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\ImportadorCompSA\"/>
    </mc:Choice>
  </mc:AlternateContent>
  <xr:revisionPtr revIDLastSave="0" documentId="13_ncr:1_{FA980587-94E7-4027-B894-CCFCD0013F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  <sheet name="SAPROV (2)" sheetId="4" r:id="rId2"/>
    <sheet name="Hoja2" sheetId="2" r:id="rId3"/>
  </sheets>
  <externalReferences>
    <externalReference r:id="rId4"/>
    <externalReference r:id="rId5"/>
    <externalReference r:id="rId6"/>
  </externalReferences>
  <definedNames>
    <definedName name="DatosExternos_1" localSheetId="1" hidden="1">'SAPROV (2)'!$A$1:$B$76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717" i="1" l="1"/>
  <c r="N8716" i="1"/>
  <c r="N8715" i="1"/>
  <c r="N8714" i="1"/>
  <c r="N8713" i="1"/>
  <c r="N8712" i="1"/>
  <c r="N8711" i="1"/>
  <c r="N8710" i="1"/>
  <c r="N8709" i="1"/>
  <c r="N8708" i="1"/>
  <c r="N8707" i="1"/>
  <c r="N8706" i="1"/>
  <c r="M8705" i="1"/>
  <c r="N8705" i="1" s="1"/>
  <c r="M8704" i="1"/>
  <c r="N8704" i="1" s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T7535" i="1"/>
  <c r="S7535" i="1"/>
  <c r="N7535" i="1"/>
  <c r="T7534" i="1"/>
  <c r="S7534" i="1"/>
  <c r="N7534" i="1"/>
  <c r="T7533" i="1"/>
  <c r="S7533" i="1"/>
  <c r="N7533" i="1"/>
  <c r="T7532" i="1"/>
  <c r="S7532" i="1"/>
  <c r="N7532" i="1"/>
  <c r="T7531" i="1"/>
  <c r="S7531" i="1"/>
  <c r="N7531" i="1"/>
  <c r="T7530" i="1"/>
  <c r="S7530" i="1"/>
  <c r="N7530" i="1"/>
  <c r="T7529" i="1"/>
  <c r="S7529" i="1"/>
  <c r="N7529" i="1"/>
  <c r="T7528" i="1"/>
  <c r="S7528" i="1"/>
  <c r="N7528" i="1"/>
  <c r="T7527" i="1"/>
  <c r="S7527" i="1"/>
  <c r="N7527" i="1"/>
  <c r="T7526" i="1"/>
  <c r="S7526" i="1"/>
  <c r="N7526" i="1"/>
  <c r="T7525" i="1"/>
  <c r="S7525" i="1"/>
  <c r="N7525" i="1"/>
  <c r="T7524" i="1"/>
  <c r="N7524" i="1"/>
  <c r="T7523" i="1"/>
  <c r="S7523" i="1"/>
  <c r="N7523" i="1"/>
  <c r="T7522" i="1"/>
  <c r="N7522" i="1"/>
  <c r="T7521" i="1"/>
  <c r="S7521" i="1"/>
  <c r="N7521" i="1"/>
  <c r="T7520" i="1"/>
  <c r="S7520" i="1"/>
  <c r="N7520" i="1"/>
  <c r="T7519" i="1"/>
  <c r="S7519" i="1"/>
  <c r="N7519" i="1"/>
  <c r="T7518" i="1"/>
  <c r="S7518" i="1"/>
  <c r="N7518" i="1"/>
  <c r="T7517" i="1"/>
  <c r="S7517" i="1"/>
  <c r="N7517" i="1"/>
  <c r="T7516" i="1"/>
  <c r="N7516" i="1"/>
  <c r="T7515" i="1"/>
  <c r="S7515" i="1"/>
  <c r="N7515" i="1"/>
  <c r="T7514" i="1"/>
  <c r="S7514" i="1"/>
  <c r="N7514" i="1"/>
  <c r="T7513" i="1"/>
  <c r="S7513" i="1"/>
  <c r="N7513" i="1"/>
  <c r="T7512" i="1"/>
  <c r="S7512" i="1"/>
  <c r="N7512" i="1"/>
  <c r="T7511" i="1"/>
  <c r="S7511" i="1"/>
  <c r="N7511" i="1"/>
  <c r="T7510" i="1"/>
  <c r="S7510" i="1"/>
  <c r="N7510" i="1"/>
  <c r="T7509" i="1"/>
  <c r="S7509" i="1"/>
  <c r="N7509" i="1"/>
  <c r="T7508" i="1"/>
  <c r="S7508" i="1"/>
  <c r="N7508" i="1"/>
  <c r="T7507" i="1"/>
  <c r="S7507" i="1"/>
  <c r="N7507" i="1"/>
  <c r="T7506" i="1"/>
  <c r="S7506" i="1"/>
  <c r="N7506" i="1"/>
  <c r="T7505" i="1"/>
  <c r="S7505" i="1"/>
  <c r="N7505" i="1"/>
  <c r="T7504" i="1"/>
  <c r="S7504" i="1"/>
  <c r="N7504" i="1"/>
  <c r="T7503" i="1"/>
  <c r="S7503" i="1"/>
  <c r="N7503" i="1"/>
  <c r="T7502" i="1"/>
  <c r="S7502" i="1"/>
  <c r="N7502" i="1"/>
  <c r="T7501" i="1"/>
  <c r="S7501" i="1"/>
  <c r="N7501" i="1"/>
  <c r="T7500" i="1"/>
  <c r="S7500" i="1"/>
  <c r="N7500" i="1"/>
  <c r="T7499" i="1"/>
  <c r="S7499" i="1"/>
  <c r="N7499" i="1"/>
  <c r="T7498" i="1"/>
  <c r="S7498" i="1"/>
  <c r="N7498" i="1"/>
  <c r="T7497" i="1"/>
  <c r="S7497" i="1"/>
  <c r="N7497" i="1"/>
  <c r="T7496" i="1"/>
  <c r="S7496" i="1"/>
  <c r="N7496" i="1"/>
  <c r="T7495" i="1"/>
  <c r="S7495" i="1"/>
  <c r="N7495" i="1"/>
  <c r="T7494" i="1"/>
  <c r="S7494" i="1"/>
  <c r="N7494" i="1"/>
  <c r="T7493" i="1"/>
  <c r="S7493" i="1"/>
  <c r="N7493" i="1"/>
  <c r="T7492" i="1"/>
  <c r="S7492" i="1"/>
  <c r="N7492" i="1"/>
  <c r="T7491" i="1"/>
  <c r="S7491" i="1"/>
  <c r="N7491" i="1"/>
  <c r="T7490" i="1"/>
  <c r="S7490" i="1"/>
  <c r="N7490" i="1"/>
  <c r="T7489" i="1"/>
  <c r="S7489" i="1"/>
  <c r="N7489" i="1"/>
  <c r="T7488" i="1"/>
  <c r="N7488" i="1"/>
  <c r="T7487" i="1"/>
  <c r="S7487" i="1"/>
  <c r="N7487" i="1"/>
  <c r="T7486" i="1"/>
  <c r="N7486" i="1"/>
  <c r="T7485" i="1"/>
  <c r="S7485" i="1"/>
  <c r="N7485" i="1"/>
  <c r="T7484" i="1"/>
  <c r="S7484" i="1"/>
  <c r="N7484" i="1"/>
  <c r="T7483" i="1"/>
  <c r="S7483" i="1"/>
  <c r="N7483" i="1"/>
  <c r="T7482" i="1"/>
  <c r="S7482" i="1"/>
  <c r="N7482" i="1"/>
  <c r="T7481" i="1"/>
  <c r="N7481" i="1"/>
  <c r="T7480" i="1"/>
  <c r="S7480" i="1"/>
  <c r="N7480" i="1"/>
  <c r="T7479" i="1"/>
  <c r="S7479" i="1"/>
  <c r="N7479" i="1"/>
  <c r="T7478" i="1"/>
  <c r="S7478" i="1"/>
  <c r="N7478" i="1"/>
  <c r="T7477" i="1"/>
  <c r="S7477" i="1"/>
  <c r="N7477" i="1"/>
  <c r="T7476" i="1"/>
  <c r="S7476" i="1"/>
  <c r="N7476" i="1"/>
  <c r="T7475" i="1"/>
  <c r="S7475" i="1"/>
  <c r="N7475" i="1"/>
  <c r="T7474" i="1"/>
  <c r="S7474" i="1"/>
  <c r="N7474" i="1"/>
  <c r="T7473" i="1"/>
  <c r="S7473" i="1"/>
  <c r="N7473" i="1"/>
  <c r="T7472" i="1"/>
  <c r="S7472" i="1"/>
  <c r="N7472" i="1"/>
  <c r="T7471" i="1"/>
  <c r="S7471" i="1"/>
  <c r="N7471" i="1"/>
  <c r="T7470" i="1"/>
  <c r="S7470" i="1"/>
  <c r="N7470" i="1"/>
  <c r="T7469" i="1"/>
  <c r="S7469" i="1"/>
  <c r="N7469" i="1"/>
  <c r="T7468" i="1"/>
  <c r="S7468" i="1"/>
  <c r="N7468" i="1"/>
  <c r="T7467" i="1"/>
  <c r="S7467" i="1"/>
  <c r="N7467" i="1"/>
  <c r="T7466" i="1"/>
  <c r="S7466" i="1"/>
  <c r="N7466" i="1"/>
  <c r="T7465" i="1"/>
  <c r="S7465" i="1"/>
  <c r="N7465" i="1"/>
  <c r="T7464" i="1"/>
  <c r="N7464" i="1"/>
  <c r="T7463" i="1"/>
  <c r="N7463" i="1"/>
  <c r="T7462" i="1"/>
  <c r="S7462" i="1"/>
  <c r="N7462" i="1"/>
  <c r="T7461" i="1"/>
  <c r="S7461" i="1"/>
  <c r="N7461" i="1"/>
  <c r="T7460" i="1"/>
  <c r="S7460" i="1"/>
  <c r="N7460" i="1"/>
  <c r="T7459" i="1"/>
  <c r="S7459" i="1"/>
  <c r="N7459" i="1"/>
  <c r="T7458" i="1"/>
  <c r="S7458" i="1"/>
  <c r="N7458" i="1"/>
  <c r="T7457" i="1"/>
  <c r="S7457" i="1"/>
  <c r="N7457" i="1"/>
  <c r="T7456" i="1"/>
  <c r="S7456" i="1"/>
  <c r="N7456" i="1"/>
  <c r="T7455" i="1"/>
  <c r="S7455" i="1"/>
  <c r="N7455" i="1"/>
  <c r="T7454" i="1"/>
  <c r="S7454" i="1"/>
  <c r="N7454" i="1"/>
  <c r="T7453" i="1"/>
  <c r="S7453" i="1"/>
  <c r="N7453" i="1"/>
  <c r="T7452" i="1"/>
  <c r="S7452" i="1"/>
  <c r="N7452" i="1"/>
  <c r="T7451" i="1"/>
  <c r="S7451" i="1"/>
  <c r="N7451" i="1"/>
  <c r="T7450" i="1"/>
  <c r="S7450" i="1"/>
  <c r="N7450" i="1"/>
  <c r="T7449" i="1"/>
  <c r="N7449" i="1"/>
  <c r="T7448" i="1"/>
  <c r="S7448" i="1"/>
  <c r="N7448" i="1"/>
  <c r="T7447" i="1"/>
  <c r="S7447" i="1"/>
  <c r="N7447" i="1"/>
  <c r="T7446" i="1"/>
  <c r="N7446" i="1"/>
  <c r="T7445" i="1"/>
  <c r="S7445" i="1"/>
  <c r="N7445" i="1"/>
  <c r="T7444" i="1"/>
  <c r="S7444" i="1"/>
  <c r="N7444" i="1"/>
  <c r="T7443" i="1"/>
  <c r="S7443" i="1"/>
  <c r="N7443" i="1"/>
  <c r="T7442" i="1"/>
  <c r="S7442" i="1"/>
  <c r="N7442" i="1"/>
  <c r="T7441" i="1"/>
  <c r="N7441" i="1"/>
  <c r="T7440" i="1"/>
  <c r="S7440" i="1"/>
  <c r="N7440" i="1"/>
  <c r="T7439" i="1"/>
  <c r="S7439" i="1"/>
  <c r="N7439" i="1"/>
  <c r="T7438" i="1"/>
  <c r="S7438" i="1"/>
  <c r="N7438" i="1"/>
  <c r="T7437" i="1"/>
  <c r="S7437" i="1"/>
  <c r="N7437" i="1"/>
  <c r="T7436" i="1"/>
  <c r="S7436" i="1"/>
  <c r="N7436" i="1"/>
  <c r="T7435" i="1"/>
  <c r="S7435" i="1"/>
  <c r="N7435" i="1"/>
  <c r="T7434" i="1"/>
  <c r="S7434" i="1"/>
  <c r="N7434" i="1"/>
  <c r="T7433" i="1"/>
  <c r="S7433" i="1"/>
  <c r="N7433" i="1"/>
  <c r="T7432" i="1"/>
  <c r="S7432" i="1"/>
  <c r="N7432" i="1"/>
  <c r="T7431" i="1"/>
  <c r="S7431" i="1"/>
  <c r="N7431" i="1"/>
  <c r="T7430" i="1"/>
  <c r="S7430" i="1"/>
  <c r="N7430" i="1"/>
  <c r="T7429" i="1"/>
  <c r="S7429" i="1"/>
  <c r="N7429" i="1"/>
  <c r="T7428" i="1"/>
  <c r="S7428" i="1"/>
  <c r="N7428" i="1"/>
  <c r="T7427" i="1"/>
  <c r="S7427" i="1"/>
  <c r="N7427" i="1"/>
  <c r="T7426" i="1"/>
  <c r="S7426" i="1"/>
  <c r="N7426" i="1"/>
  <c r="N7425" i="1"/>
  <c r="N7424" i="1"/>
  <c r="N7423" i="1"/>
  <c r="T7422" i="1"/>
  <c r="S7422" i="1"/>
  <c r="N7422" i="1"/>
  <c r="T7421" i="1"/>
  <c r="S7421" i="1"/>
  <c r="N7421" i="1"/>
  <c r="T7420" i="1"/>
  <c r="S7420" i="1"/>
  <c r="N7420" i="1"/>
  <c r="T7419" i="1"/>
  <c r="S7419" i="1"/>
  <c r="N7419" i="1"/>
  <c r="T7418" i="1"/>
  <c r="S7418" i="1"/>
  <c r="N7418" i="1"/>
  <c r="T7417" i="1"/>
  <c r="N7417" i="1"/>
  <c r="T7416" i="1"/>
  <c r="S7416" i="1"/>
  <c r="N7416" i="1"/>
  <c r="T7415" i="1"/>
  <c r="S7415" i="1"/>
  <c r="N7415" i="1"/>
  <c r="T7414" i="1"/>
  <c r="S7414" i="1"/>
  <c r="N7414" i="1"/>
  <c r="T7413" i="1"/>
  <c r="S7413" i="1"/>
  <c r="N7413" i="1"/>
  <c r="T7412" i="1"/>
  <c r="S7412" i="1"/>
  <c r="N7412" i="1"/>
  <c r="T7411" i="1"/>
  <c r="S7411" i="1"/>
  <c r="N7411" i="1"/>
  <c r="T7410" i="1"/>
  <c r="S7410" i="1"/>
  <c r="N7410" i="1"/>
  <c r="T7409" i="1"/>
  <c r="S7409" i="1"/>
  <c r="N7409" i="1"/>
  <c r="T7408" i="1"/>
  <c r="S7408" i="1"/>
  <c r="N7408" i="1"/>
  <c r="T7407" i="1"/>
  <c r="S7407" i="1"/>
  <c r="N7407" i="1"/>
  <c r="T7406" i="1"/>
  <c r="S7406" i="1"/>
  <c r="N7406" i="1"/>
  <c r="T7405" i="1"/>
  <c r="S7405" i="1"/>
  <c r="N7405" i="1"/>
  <c r="T7404" i="1"/>
  <c r="S7404" i="1"/>
  <c r="N7404" i="1"/>
  <c r="N7403" i="1"/>
  <c r="N7402" i="1"/>
  <c r="N7401" i="1"/>
  <c r="N7400" i="1"/>
  <c r="N7399" i="1"/>
  <c r="N7398" i="1"/>
  <c r="N7397" i="1"/>
  <c r="N7396" i="1"/>
  <c r="N7395" i="1"/>
  <c r="T7394" i="1"/>
  <c r="S7394" i="1"/>
  <c r="N7394" i="1"/>
  <c r="T7393" i="1"/>
  <c r="S7393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T7199" i="1"/>
  <c r="S7199" i="1"/>
  <c r="N7199" i="1"/>
  <c r="T7198" i="1"/>
  <c r="S7198" i="1"/>
  <c r="N7198" i="1"/>
  <c r="T7197" i="1"/>
  <c r="S7197" i="1"/>
  <c r="N7197" i="1"/>
  <c r="T7196" i="1"/>
  <c r="S7196" i="1"/>
  <c r="N7196" i="1"/>
  <c r="T7195" i="1"/>
  <c r="S7195" i="1"/>
  <c r="N7195" i="1"/>
  <c r="T7194" i="1"/>
  <c r="S7194" i="1"/>
  <c r="N7194" i="1"/>
  <c r="T7193" i="1"/>
  <c r="S7193" i="1"/>
  <c r="N7193" i="1"/>
  <c r="T7192" i="1"/>
  <c r="S7192" i="1"/>
  <c r="N7192" i="1"/>
  <c r="T7191" i="1"/>
  <c r="S7191" i="1"/>
  <c r="N7191" i="1"/>
  <c r="T7190" i="1"/>
  <c r="S7190" i="1"/>
  <c r="N7190" i="1"/>
  <c r="T7189" i="1"/>
  <c r="N7189" i="1"/>
  <c r="T7188" i="1"/>
  <c r="S7188" i="1"/>
  <c r="N7188" i="1"/>
  <c r="T7187" i="1"/>
  <c r="S7187" i="1"/>
  <c r="N7187" i="1"/>
  <c r="T7186" i="1"/>
  <c r="N7186" i="1"/>
  <c r="T7185" i="1"/>
  <c r="S7185" i="1"/>
  <c r="N7185" i="1"/>
  <c r="T7184" i="1"/>
  <c r="S7184" i="1"/>
  <c r="N7184" i="1"/>
  <c r="T7183" i="1"/>
  <c r="S7183" i="1"/>
  <c r="N7183" i="1"/>
  <c r="T7182" i="1"/>
  <c r="N7182" i="1"/>
  <c r="T7181" i="1"/>
  <c r="S7181" i="1"/>
  <c r="N7181" i="1"/>
  <c r="T7180" i="1"/>
  <c r="S7180" i="1"/>
  <c r="N7180" i="1"/>
  <c r="T7179" i="1"/>
  <c r="S7179" i="1"/>
  <c r="N7179" i="1"/>
  <c r="T7178" i="1"/>
  <c r="S7178" i="1"/>
  <c r="N7178" i="1"/>
  <c r="T7177" i="1"/>
  <c r="S7177" i="1"/>
  <c r="N7177" i="1"/>
  <c r="T7176" i="1"/>
  <c r="S7176" i="1"/>
  <c r="N7176" i="1"/>
  <c r="T7175" i="1"/>
  <c r="S7175" i="1"/>
  <c r="N7175" i="1"/>
  <c r="T7174" i="1"/>
  <c r="S7174" i="1"/>
  <c r="N7174" i="1"/>
  <c r="T7173" i="1"/>
  <c r="S7173" i="1"/>
  <c r="N7173" i="1"/>
  <c r="T7172" i="1"/>
  <c r="S7172" i="1"/>
  <c r="N7172" i="1"/>
  <c r="T7171" i="1"/>
  <c r="S7171" i="1"/>
  <c r="N7171" i="1"/>
  <c r="T7170" i="1"/>
  <c r="S7170" i="1"/>
  <c r="N7170" i="1"/>
  <c r="T7169" i="1"/>
  <c r="S7169" i="1"/>
  <c r="N7169" i="1"/>
  <c r="T7168" i="1"/>
  <c r="S7168" i="1"/>
  <c r="N7168" i="1"/>
  <c r="T7167" i="1"/>
  <c r="S7167" i="1"/>
  <c r="N7167" i="1"/>
  <c r="T7166" i="1"/>
  <c r="S7166" i="1"/>
  <c r="N7166" i="1"/>
  <c r="T7165" i="1"/>
  <c r="S7165" i="1"/>
  <c r="N7165" i="1"/>
  <c r="T7164" i="1"/>
  <c r="S7164" i="1"/>
  <c r="N7164" i="1"/>
  <c r="T7163" i="1"/>
  <c r="S7163" i="1"/>
  <c r="N7163" i="1"/>
  <c r="T7162" i="1"/>
  <c r="S7162" i="1"/>
  <c r="N7162" i="1"/>
  <c r="T7161" i="1"/>
  <c r="S7161" i="1"/>
  <c r="N7161" i="1"/>
  <c r="T7160" i="1"/>
  <c r="S7160" i="1"/>
  <c r="N7160" i="1"/>
  <c r="T7159" i="1"/>
  <c r="S7159" i="1"/>
  <c r="N7159" i="1"/>
  <c r="T7158" i="1"/>
  <c r="S7158" i="1"/>
  <c r="N7158" i="1"/>
  <c r="T7157" i="1"/>
  <c r="S7157" i="1"/>
  <c r="N7157" i="1"/>
  <c r="T7156" i="1"/>
  <c r="S7156" i="1"/>
  <c r="N7156" i="1"/>
  <c r="T7155" i="1"/>
  <c r="S7155" i="1"/>
  <c r="N7155" i="1"/>
  <c r="T7154" i="1"/>
  <c r="N7154" i="1"/>
  <c r="T7153" i="1"/>
  <c r="S7153" i="1"/>
  <c r="N7153" i="1"/>
  <c r="T7152" i="1"/>
  <c r="S7152" i="1"/>
  <c r="N7152" i="1"/>
  <c r="T7151" i="1"/>
  <c r="S7151" i="1"/>
  <c r="N7151" i="1"/>
  <c r="T7150" i="1"/>
  <c r="N7150" i="1"/>
  <c r="T7149" i="1"/>
  <c r="S7149" i="1"/>
  <c r="N7149" i="1"/>
  <c r="T7148" i="1"/>
  <c r="S7148" i="1"/>
  <c r="N7148" i="1"/>
  <c r="T7147" i="1"/>
  <c r="S7147" i="1"/>
  <c r="N7147" i="1"/>
  <c r="T7146" i="1"/>
  <c r="N7146" i="1"/>
  <c r="T7145" i="1"/>
  <c r="S7145" i="1"/>
  <c r="N7145" i="1"/>
  <c r="T7144" i="1"/>
  <c r="S7144" i="1"/>
  <c r="N7144" i="1"/>
  <c r="T7143" i="1"/>
  <c r="S7143" i="1"/>
  <c r="N7143" i="1"/>
  <c r="T7142" i="1"/>
  <c r="S7142" i="1"/>
  <c r="N7142" i="1"/>
  <c r="T7141" i="1"/>
  <c r="S7141" i="1"/>
  <c r="N7141" i="1"/>
  <c r="T7140" i="1"/>
  <c r="S7140" i="1"/>
  <c r="N7140" i="1"/>
  <c r="T7139" i="1"/>
  <c r="S7139" i="1"/>
  <c r="N7139" i="1"/>
  <c r="T7138" i="1"/>
  <c r="S7138" i="1"/>
  <c r="N7138" i="1"/>
  <c r="T7137" i="1"/>
  <c r="S7137" i="1"/>
  <c r="N7137" i="1"/>
  <c r="T7136" i="1"/>
  <c r="S7136" i="1"/>
  <c r="N7136" i="1"/>
  <c r="T7135" i="1"/>
  <c r="S7135" i="1"/>
  <c r="N7135" i="1"/>
  <c r="T7134" i="1"/>
  <c r="S7134" i="1"/>
  <c r="N7134" i="1"/>
  <c r="T7133" i="1"/>
  <c r="S7133" i="1"/>
  <c r="N7133" i="1"/>
  <c r="T7132" i="1"/>
  <c r="S7132" i="1"/>
  <c r="N7132" i="1"/>
  <c r="T7131" i="1"/>
  <c r="S7131" i="1"/>
  <c r="N7131" i="1"/>
  <c r="T7130" i="1"/>
  <c r="S7130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K6533" i="1"/>
  <c r="G6533" i="1"/>
  <c r="N6532" i="1"/>
  <c r="N6531" i="1"/>
  <c r="N6530" i="1"/>
  <c r="N6529" i="1"/>
  <c r="T6528" i="1"/>
  <c r="S6528" i="1"/>
  <c r="N6528" i="1"/>
  <c r="T6527" i="1"/>
  <c r="S6527" i="1"/>
  <c r="N6527" i="1"/>
  <c r="T6526" i="1"/>
  <c r="S6526" i="1"/>
  <c r="N6526" i="1"/>
  <c r="T6525" i="1"/>
  <c r="S6525" i="1"/>
  <c r="N6525" i="1"/>
  <c r="T6524" i="1"/>
  <c r="S6524" i="1"/>
  <c r="N6524" i="1"/>
  <c r="T6523" i="1"/>
  <c r="S6523" i="1"/>
  <c r="N6523" i="1"/>
  <c r="T6522" i="1"/>
  <c r="S6522" i="1"/>
  <c r="N6522" i="1"/>
  <c r="T6521" i="1"/>
  <c r="S6521" i="1"/>
  <c r="N6521" i="1"/>
  <c r="T6520" i="1"/>
  <c r="S6520" i="1"/>
  <c r="N6520" i="1"/>
  <c r="T6519" i="1"/>
  <c r="S6519" i="1"/>
  <c r="N6519" i="1"/>
  <c r="T6518" i="1"/>
  <c r="S6518" i="1"/>
  <c r="N6518" i="1"/>
  <c r="T6517" i="1"/>
  <c r="S6517" i="1"/>
  <c r="N6517" i="1"/>
  <c r="T6516" i="1"/>
  <c r="S6516" i="1"/>
  <c r="N6516" i="1"/>
  <c r="T6515" i="1"/>
  <c r="S6515" i="1"/>
  <c r="N6515" i="1"/>
  <c r="T6514" i="1"/>
  <c r="S6514" i="1"/>
  <c r="N6514" i="1"/>
  <c r="T6513" i="1"/>
  <c r="S6513" i="1"/>
  <c r="N6513" i="1"/>
  <c r="T6512" i="1"/>
  <c r="S6512" i="1"/>
  <c r="N6512" i="1"/>
  <c r="T6511" i="1"/>
  <c r="S6511" i="1"/>
  <c r="N6511" i="1"/>
  <c r="T6510" i="1"/>
  <c r="S6510" i="1"/>
  <c r="N6510" i="1"/>
  <c r="T6509" i="1"/>
  <c r="S6509" i="1"/>
  <c r="N6509" i="1"/>
  <c r="T6508" i="1"/>
  <c r="S6508" i="1"/>
  <c r="N6508" i="1"/>
  <c r="T6507" i="1"/>
  <c r="S6507" i="1"/>
  <c r="N6507" i="1"/>
  <c r="T6506" i="1"/>
  <c r="S6506" i="1"/>
  <c r="N6506" i="1"/>
  <c r="T6505" i="1"/>
  <c r="S6505" i="1"/>
  <c r="N6505" i="1"/>
  <c r="T6504" i="1"/>
  <c r="S6504" i="1"/>
  <c r="N6504" i="1"/>
  <c r="T6503" i="1"/>
  <c r="S6503" i="1"/>
  <c r="N6503" i="1"/>
  <c r="T6502" i="1"/>
  <c r="S6502" i="1"/>
  <c r="N6502" i="1"/>
  <c r="T6501" i="1"/>
  <c r="S6501" i="1"/>
  <c r="N6501" i="1"/>
  <c r="T6500" i="1"/>
  <c r="S6500" i="1"/>
  <c r="N6500" i="1"/>
  <c r="T6499" i="1"/>
  <c r="S6499" i="1"/>
  <c r="N6499" i="1"/>
  <c r="T6498" i="1"/>
  <c r="S6498" i="1"/>
  <c r="N6498" i="1"/>
  <c r="T6497" i="1"/>
  <c r="S6497" i="1"/>
  <c r="N6497" i="1"/>
  <c r="T6496" i="1"/>
  <c r="S6496" i="1"/>
  <c r="N6496" i="1"/>
  <c r="T6495" i="1"/>
  <c r="S6495" i="1"/>
  <c r="N6495" i="1"/>
  <c r="T6494" i="1"/>
  <c r="S6494" i="1"/>
  <c r="N6494" i="1"/>
  <c r="T6493" i="1"/>
  <c r="S6493" i="1"/>
  <c r="N6493" i="1"/>
  <c r="T6492" i="1"/>
  <c r="S6492" i="1"/>
  <c r="N6492" i="1"/>
  <c r="T6491" i="1"/>
  <c r="S6491" i="1"/>
  <c r="N6491" i="1"/>
  <c r="T6490" i="1"/>
  <c r="S6490" i="1"/>
  <c r="N6490" i="1"/>
  <c r="T6489" i="1"/>
  <c r="S6489" i="1"/>
  <c r="N6489" i="1"/>
  <c r="T6488" i="1"/>
  <c r="S6488" i="1"/>
  <c r="N6488" i="1"/>
  <c r="T6487" i="1"/>
  <c r="S6487" i="1"/>
  <c r="N6487" i="1"/>
  <c r="T6486" i="1"/>
  <c r="S6486" i="1"/>
  <c r="N6486" i="1"/>
  <c r="T6485" i="1"/>
  <c r="S6485" i="1"/>
  <c r="N6485" i="1"/>
  <c r="T6484" i="1"/>
  <c r="S6484" i="1"/>
  <c r="N6484" i="1"/>
  <c r="T6483" i="1"/>
  <c r="S6483" i="1"/>
  <c r="N6483" i="1"/>
  <c r="T6482" i="1"/>
  <c r="S6482" i="1"/>
  <c r="N6482" i="1"/>
  <c r="T6481" i="1"/>
  <c r="S6481" i="1"/>
  <c r="N6481" i="1"/>
  <c r="T6480" i="1"/>
  <c r="S6480" i="1"/>
  <c r="N6480" i="1"/>
  <c r="T6479" i="1"/>
  <c r="S6479" i="1"/>
  <c r="N6479" i="1"/>
  <c r="T6478" i="1"/>
  <c r="S6478" i="1"/>
  <c r="N6478" i="1"/>
  <c r="T6477" i="1"/>
  <c r="S6477" i="1"/>
  <c r="N6477" i="1"/>
  <c r="T6476" i="1"/>
  <c r="S6476" i="1"/>
  <c r="N6476" i="1"/>
  <c r="T6475" i="1"/>
  <c r="S6475" i="1"/>
  <c r="N6475" i="1"/>
  <c r="T6474" i="1"/>
  <c r="S6474" i="1"/>
  <c r="N6474" i="1"/>
  <c r="T6473" i="1"/>
  <c r="S6473" i="1"/>
  <c r="N6473" i="1"/>
  <c r="T6472" i="1"/>
  <c r="S6472" i="1"/>
  <c r="N6472" i="1"/>
  <c r="T6471" i="1"/>
  <c r="S6471" i="1"/>
  <c r="N6471" i="1"/>
  <c r="T6470" i="1"/>
  <c r="S6470" i="1"/>
  <c r="N6470" i="1"/>
  <c r="T6469" i="1"/>
  <c r="S6469" i="1"/>
  <c r="N6469" i="1"/>
  <c r="T6468" i="1"/>
  <c r="S6468" i="1"/>
  <c r="N6468" i="1"/>
  <c r="T6467" i="1"/>
  <c r="S6467" i="1"/>
  <c r="N6467" i="1"/>
  <c r="T6466" i="1"/>
  <c r="S6466" i="1"/>
  <c r="N6466" i="1"/>
  <c r="T6465" i="1"/>
  <c r="S6465" i="1"/>
  <c r="N6465" i="1"/>
  <c r="T6464" i="1"/>
  <c r="S6464" i="1"/>
  <c r="N6464" i="1"/>
  <c r="T6463" i="1"/>
  <c r="S6463" i="1"/>
  <c r="N6463" i="1"/>
  <c r="T6462" i="1"/>
  <c r="S6462" i="1"/>
  <c r="N6462" i="1"/>
  <c r="T6461" i="1"/>
  <c r="S6461" i="1"/>
  <c r="N6461" i="1"/>
  <c r="T6460" i="1"/>
  <c r="S6460" i="1"/>
  <c r="N6460" i="1"/>
  <c r="T6459" i="1"/>
  <c r="S6459" i="1"/>
  <c r="N6459" i="1"/>
  <c r="T6458" i="1"/>
  <c r="S6458" i="1"/>
  <c r="N6458" i="1"/>
  <c r="T6457" i="1"/>
  <c r="S6457" i="1"/>
  <c r="N6457" i="1"/>
  <c r="T6456" i="1"/>
  <c r="S6456" i="1"/>
  <c r="N6456" i="1"/>
  <c r="T6455" i="1"/>
  <c r="S6455" i="1"/>
  <c r="N6455" i="1"/>
  <c r="T6454" i="1"/>
  <c r="S6454" i="1"/>
  <c r="N6454" i="1"/>
  <c r="T6453" i="1"/>
  <c r="S6453" i="1"/>
  <c r="N6453" i="1"/>
  <c r="T6452" i="1"/>
  <c r="S6452" i="1"/>
  <c r="N6452" i="1"/>
  <c r="T6451" i="1"/>
  <c r="S6451" i="1"/>
  <c r="N6451" i="1"/>
  <c r="T6450" i="1"/>
  <c r="S6450" i="1"/>
  <c r="N6450" i="1"/>
  <c r="T6449" i="1"/>
  <c r="S6449" i="1"/>
  <c r="N6449" i="1"/>
  <c r="T6448" i="1"/>
  <c r="S6448" i="1"/>
  <c r="N6448" i="1"/>
  <c r="T6447" i="1"/>
  <c r="S6447" i="1"/>
  <c r="N6447" i="1"/>
  <c r="T6446" i="1"/>
  <c r="S6446" i="1"/>
  <c r="N6446" i="1"/>
  <c r="T6445" i="1"/>
  <c r="S6445" i="1"/>
  <c r="N6445" i="1"/>
  <c r="T6444" i="1"/>
  <c r="S6444" i="1"/>
  <c r="N6444" i="1"/>
  <c r="T6443" i="1"/>
  <c r="S6443" i="1"/>
  <c r="N6443" i="1"/>
  <c r="T6442" i="1"/>
  <c r="S6442" i="1"/>
  <c r="N6442" i="1"/>
  <c r="T6441" i="1"/>
  <c r="S6441" i="1"/>
  <c r="N6441" i="1"/>
  <c r="T6440" i="1"/>
  <c r="S6440" i="1"/>
  <c r="N6440" i="1"/>
  <c r="T6439" i="1"/>
  <c r="S6439" i="1"/>
  <c r="N6439" i="1"/>
  <c r="T6438" i="1"/>
  <c r="S6438" i="1"/>
  <c r="N6438" i="1"/>
  <c r="T6437" i="1"/>
  <c r="S6437" i="1"/>
  <c r="N6437" i="1"/>
  <c r="T6436" i="1"/>
  <c r="S6436" i="1"/>
  <c r="N6436" i="1"/>
  <c r="T6435" i="1"/>
  <c r="S6435" i="1"/>
  <c r="N6435" i="1"/>
  <c r="T6434" i="1"/>
  <c r="S6434" i="1"/>
  <c r="N6434" i="1"/>
  <c r="T6433" i="1"/>
  <c r="S6433" i="1"/>
  <c r="N6433" i="1"/>
  <c r="T6432" i="1"/>
  <c r="S6432" i="1"/>
  <c r="N6432" i="1"/>
  <c r="T6431" i="1"/>
  <c r="S6431" i="1"/>
  <c r="N6431" i="1"/>
  <c r="T6430" i="1"/>
  <c r="S6430" i="1"/>
  <c r="N6430" i="1"/>
  <c r="T6429" i="1"/>
  <c r="S6429" i="1"/>
  <c r="N6429" i="1"/>
  <c r="T6428" i="1"/>
  <c r="S6428" i="1"/>
  <c r="N6428" i="1"/>
  <c r="T6427" i="1"/>
  <c r="S6427" i="1"/>
  <c r="N6427" i="1"/>
  <c r="T6426" i="1"/>
  <c r="S6426" i="1"/>
  <c r="N6426" i="1"/>
  <c r="T6425" i="1"/>
  <c r="S6425" i="1"/>
  <c r="N6425" i="1"/>
  <c r="T6424" i="1"/>
  <c r="S6424" i="1"/>
  <c r="N6424" i="1"/>
  <c r="T6423" i="1"/>
  <c r="S6423" i="1"/>
  <c r="N6423" i="1"/>
  <c r="T6422" i="1"/>
  <c r="S6422" i="1"/>
  <c r="N6422" i="1"/>
  <c r="T6421" i="1"/>
  <c r="S6421" i="1"/>
  <c r="N6421" i="1"/>
  <c r="T6420" i="1"/>
  <c r="S6420" i="1"/>
  <c r="N6420" i="1"/>
  <c r="T6419" i="1"/>
  <c r="S6419" i="1"/>
  <c r="N6419" i="1"/>
  <c r="T6418" i="1"/>
  <c r="S6418" i="1"/>
  <c r="N6418" i="1"/>
  <c r="T6417" i="1"/>
  <c r="S6417" i="1"/>
  <c r="N6417" i="1"/>
  <c r="T6416" i="1"/>
  <c r="S6416" i="1"/>
  <c r="N6416" i="1"/>
  <c r="T6415" i="1"/>
  <c r="S6415" i="1"/>
  <c r="N6415" i="1"/>
  <c r="T6414" i="1"/>
  <c r="S6414" i="1"/>
  <c r="N6414" i="1"/>
  <c r="T6413" i="1"/>
  <c r="S6413" i="1"/>
  <c r="N6413" i="1"/>
  <c r="T6412" i="1"/>
  <c r="S6412" i="1"/>
  <c r="N6412" i="1"/>
  <c r="T6411" i="1"/>
  <c r="S6411" i="1"/>
  <c r="N6411" i="1"/>
  <c r="T6410" i="1"/>
  <c r="S6410" i="1"/>
  <c r="N6410" i="1"/>
  <c r="T6409" i="1"/>
  <c r="S6409" i="1"/>
  <c r="N6409" i="1"/>
  <c r="T6408" i="1"/>
  <c r="S6408" i="1"/>
  <c r="N6408" i="1"/>
  <c r="T6407" i="1"/>
  <c r="S6407" i="1"/>
  <c r="N6407" i="1"/>
  <c r="T6406" i="1"/>
  <c r="S6406" i="1"/>
  <c r="N6406" i="1"/>
  <c r="T6405" i="1"/>
  <c r="S6405" i="1"/>
  <c r="N6405" i="1"/>
  <c r="T6404" i="1"/>
  <c r="S6404" i="1"/>
  <c r="N6404" i="1"/>
  <c r="T6403" i="1"/>
  <c r="S6403" i="1"/>
  <c r="N6403" i="1"/>
  <c r="T6402" i="1"/>
  <c r="S6402" i="1"/>
  <c r="N6402" i="1"/>
  <c r="T6401" i="1"/>
  <c r="S6401" i="1"/>
  <c r="N6401" i="1"/>
  <c r="T6400" i="1"/>
  <c r="S6400" i="1"/>
  <c r="N6400" i="1"/>
  <c r="N6399" i="1"/>
  <c r="N6398" i="1"/>
  <c r="N6397" i="1"/>
  <c r="K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K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T6186" i="1"/>
  <c r="S6186" i="1"/>
  <c r="N6186" i="1"/>
  <c r="T6185" i="1"/>
  <c r="S6185" i="1"/>
  <c r="N6185" i="1"/>
  <c r="N6184" i="1"/>
  <c r="N6183" i="1"/>
  <c r="T6182" i="1"/>
  <c r="S6182" i="1"/>
  <c r="N6182" i="1"/>
  <c r="T6181" i="1"/>
  <c r="S6181" i="1"/>
  <c r="N6181" i="1"/>
  <c r="T6180" i="1"/>
  <c r="S6180" i="1"/>
  <c r="N6180" i="1"/>
  <c r="T6179" i="1"/>
  <c r="S6179" i="1"/>
  <c r="N6179" i="1"/>
  <c r="T6178" i="1"/>
  <c r="S6178" i="1"/>
  <c r="N6178" i="1"/>
  <c r="T6177" i="1"/>
  <c r="S6177" i="1"/>
  <c r="N6177" i="1"/>
  <c r="T6176" i="1"/>
  <c r="S6176" i="1"/>
  <c r="N6176" i="1"/>
  <c r="T6175" i="1"/>
  <c r="S6175" i="1"/>
  <c r="N6175" i="1"/>
  <c r="T6174" i="1"/>
  <c r="S6174" i="1"/>
  <c r="N6174" i="1"/>
  <c r="T6173" i="1"/>
  <c r="S6173" i="1"/>
  <c r="N6173" i="1"/>
  <c r="T6172" i="1"/>
  <c r="S6172" i="1"/>
  <c r="N6172" i="1"/>
  <c r="T6171" i="1"/>
  <c r="S6171" i="1"/>
  <c r="N6171" i="1"/>
  <c r="T6170" i="1"/>
  <c r="S6170" i="1"/>
  <c r="N6170" i="1"/>
  <c r="T6169" i="1"/>
  <c r="S6169" i="1"/>
  <c r="N6169" i="1"/>
  <c r="T6168" i="1"/>
  <c r="S6168" i="1"/>
  <c r="N6168" i="1"/>
  <c r="T6167" i="1"/>
  <c r="S6167" i="1"/>
  <c r="N6167" i="1"/>
  <c r="T6166" i="1"/>
  <c r="S6166" i="1"/>
  <c r="N6166" i="1"/>
  <c r="T6165" i="1"/>
  <c r="S6165" i="1"/>
  <c r="N6165" i="1"/>
  <c r="T6164" i="1"/>
  <c r="S6164" i="1"/>
  <c r="N6164" i="1"/>
  <c r="T6163" i="1"/>
  <c r="S6163" i="1"/>
  <c r="N6163" i="1"/>
  <c r="T6162" i="1"/>
  <c r="S6162" i="1"/>
  <c r="N6162" i="1"/>
  <c r="T6161" i="1"/>
  <c r="S6161" i="1"/>
  <c r="N6161" i="1"/>
  <c r="T6160" i="1"/>
  <c r="S6160" i="1"/>
  <c r="N6160" i="1"/>
  <c r="T6159" i="1"/>
  <c r="S6159" i="1"/>
  <c r="N6159" i="1"/>
  <c r="T6158" i="1"/>
  <c r="S6158" i="1"/>
  <c r="N6158" i="1"/>
  <c r="T6157" i="1"/>
  <c r="S6157" i="1"/>
  <c r="N6157" i="1"/>
  <c r="T6156" i="1"/>
  <c r="S6156" i="1"/>
  <c r="N6156" i="1"/>
  <c r="T6155" i="1"/>
  <c r="S6155" i="1"/>
  <c r="N6155" i="1"/>
  <c r="T6154" i="1"/>
  <c r="S6154" i="1"/>
  <c r="N6154" i="1"/>
  <c r="T6153" i="1"/>
  <c r="S6153" i="1"/>
  <c r="N6153" i="1"/>
  <c r="T6152" i="1"/>
  <c r="S6152" i="1"/>
  <c r="N6152" i="1"/>
  <c r="T6151" i="1"/>
  <c r="S6151" i="1"/>
  <c r="N6151" i="1"/>
  <c r="T6150" i="1"/>
  <c r="S6150" i="1"/>
  <c r="N6150" i="1"/>
  <c r="T6149" i="1"/>
  <c r="S6149" i="1"/>
  <c r="N6149" i="1"/>
  <c r="T6148" i="1"/>
  <c r="S6148" i="1"/>
  <c r="N6148" i="1"/>
  <c r="T6147" i="1"/>
  <c r="S6147" i="1"/>
  <c r="N6147" i="1"/>
  <c r="T6146" i="1"/>
  <c r="S6146" i="1"/>
  <c r="N6146" i="1"/>
  <c r="T6145" i="1"/>
  <c r="S6145" i="1"/>
  <c r="N6145" i="1"/>
  <c r="T6144" i="1"/>
  <c r="S6144" i="1"/>
  <c r="N6144" i="1"/>
  <c r="T6143" i="1"/>
  <c r="S6143" i="1"/>
  <c r="N6143" i="1"/>
  <c r="T6142" i="1"/>
  <c r="S6142" i="1"/>
  <c r="N6142" i="1"/>
  <c r="T6141" i="1"/>
  <c r="S6141" i="1"/>
  <c r="N6141" i="1"/>
  <c r="T6140" i="1"/>
  <c r="S6140" i="1"/>
  <c r="N6140" i="1"/>
  <c r="T6139" i="1"/>
  <c r="S6139" i="1"/>
  <c r="N6139" i="1"/>
  <c r="T6138" i="1"/>
  <c r="S6138" i="1"/>
  <c r="N6138" i="1"/>
  <c r="T6137" i="1"/>
  <c r="S6137" i="1"/>
  <c r="N6137" i="1"/>
  <c r="T6136" i="1"/>
  <c r="S6136" i="1"/>
  <c r="N6136" i="1"/>
  <c r="T6135" i="1"/>
  <c r="S6135" i="1"/>
  <c r="N6135" i="1"/>
  <c r="T6134" i="1"/>
  <c r="S6134" i="1"/>
  <c r="N6134" i="1"/>
  <c r="T6133" i="1"/>
  <c r="S6133" i="1"/>
  <c r="N6133" i="1"/>
  <c r="T6132" i="1"/>
  <c r="S6132" i="1"/>
  <c r="N6132" i="1"/>
  <c r="T6131" i="1"/>
  <c r="S6131" i="1"/>
  <c r="N6131" i="1"/>
  <c r="T6130" i="1"/>
  <c r="S6130" i="1"/>
  <c r="N6130" i="1"/>
  <c r="T6129" i="1"/>
  <c r="S6129" i="1"/>
  <c r="N6129" i="1"/>
  <c r="T6128" i="1"/>
  <c r="S6128" i="1"/>
  <c r="N6128" i="1"/>
  <c r="T6127" i="1"/>
  <c r="S6127" i="1"/>
  <c r="N6127" i="1"/>
  <c r="T6126" i="1"/>
  <c r="S6126" i="1"/>
  <c r="N6126" i="1"/>
  <c r="T6125" i="1"/>
  <c r="S6125" i="1"/>
  <c r="N6125" i="1"/>
  <c r="T6124" i="1"/>
  <c r="S6124" i="1"/>
  <c r="N6124" i="1"/>
  <c r="T6123" i="1"/>
  <c r="S6123" i="1"/>
  <c r="N6123" i="1"/>
  <c r="T6122" i="1"/>
  <c r="N6122" i="1"/>
  <c r="T6121" i="1"/>
  <c r="S6121" i="1"/>
  <c r="N6121" i="1"/>
  <c r="T6120" i="1"/>
  <c r="N6120" i="1"/>
  <c r="T6119" i="1"/>
  <c r="S6119" i="1"/>
  <c r="N6119" i="1"/>
  <c r="T6118" i="1"/>
  <c r="S6118" i="1"/>
  <c r="N6118" i="1"/>
  <c r="T6117" i="1"/>
  <c r="N6117" i="1"/>
  <c r="T6116" i="1"/>
  <c r="N6116" i="1"/>
  <c r="T6115" i="1"/>
  <c r="S6115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T5497" i="1"/>
  <c r="S5497" i="1"/>
  <c r="N5497" i="1"/>
  <c r="T5496" i="1"/>
  <c r="S5496" i="1"/>
  <c r="N5496" i="1"/>
  <c r="T5495" i="1"/>
  <c r="S5495" i="1"/>
  <c r="N5495" i="1"/>
  <c r="N5494" i="1"/>
  <c r="N5493" i="1"/>
  <c r="T5492" i="1"/>
  <c r="S5492" i="1"/>
  <c r="N5492" i="1"/>
  <c r="T5491" i="1"/>
  <c r="S5491" i="1"/>
  <c r="N5491" i="1"/>
  <c r="T5490" i="1"/>
  <c r="S5490" i="1"/>
  <c r="N5490" i="1"/>
  <c r="T5489" i="1"/>
  <c r="S5489" i="1"/>
  <c r="N5489" i="1"/>
  <c r="T5488" i="1"/>
  <c r="S5488" i="1"/>
  <c r="N5488" i="1"/>
  <c r="T5487" i="1"/>
  <c r="S5487" i="1"/>
  <c r="N5487" i="1"/>
  <c r="T5486" i="1"/>
  <c r="S5486" i="1"/>
  <c r="N5486" i="1"/>
  <c r="T5485" i="1"/>
  <c r="S5485" i="1"/>
  <c r="N5485" i="1"/>
  <c r="T5484" i="1"/>
  <c r="S5484" i="1"/>
  <c r="N5484" i="1"/>
  <c r="T5483" i="1"/>
  <c r="S5483" i="1"/>
  <c r="N5483" i="1"/>
  <c r="T5482" i="1"/>
  <c r="S5482" i="1"/>
  <c r="N5482" i="1"/>
  <c r="T5481" i="1"/>
  <c r="S5481" i="1"/>
  <c r="N5481" i="1"/>
  <c r="T5480" i="1"/>
  <c r="S5480" i="1"/>
  <c r="N5480" i="1"/>
  <c r="T5479" i="1"/>
  <c r="S5479" i="1"/>
  <c r="N5479" i="1"/>
  <c r="T5478" i="1"/>
  <c r="S5478" i="1"/>
  <c r="N5478" i="1"/>
  <c r="T5477" i="1"/>
  <c r="S5477" i="1"/>
  <c r="N5477" i="1"/>
  <c r="T5476" i="1"/>
  <c r="S5476" i="1"/>
  <c r="N5476" i="1"/>
  <c r="T5475" i="1"/>
  <c r="S5475" i="1"/>
  <c r="N5475" i="1"/>
  <c r="T5474" i="1"/>
  <c r="S5474" i="1"/>
  <c r="N5474" i="1"/>
  <c r="T5473" i="1"/>
  <c r="S5473" i="1"/>
  <c r="N5473" i="1"/>
  <c r="T5472" i="1"/>
  <c r="S5472" i="1"/>
  <c r="N5472" i="1"/>
  <c r="T5471" i="1"/>
  <c r="S5471" i="1"/>
  <c r="N5471" i="1"/>
  <c r="T5470" i="1"/>
  <c r="S5470" i="1"/>
  <c r="N5470" i="1"/>
  <c r="T5469" i="1"/>
  <c r="S5469" i="1"/>
  <c r="N5469" i="1"/>
  <c r="T5468" i="1"/>
  <c r="S5468" i="1"/>
  <c r="N5468" i="1"/>
  <c r="T5467" i="1"/>
  <c r="S5467" i="1"/>
  <c r="N5467" i="1"/>
  <c r="T5466" i="1"/>
  <c r="S5466" i="1"/>
  <c r="N5466" i="1"/>
  <c r="T5465" i="1"/>
  <c r="S5465" i="1"/>
  <c r="N5465" i="1"/>
  <c r="T5464" i="1"/>
  <c r="S5464" i="1"/>
  <c r="N5464" i="1"/>
  <c r="T5463" i="1"/>
  <c r="S5463" i="1"/>
  <c r="N5463" i="1"/>
  <c r="T5462" i="1"/>
  <c r="S5462" i="1"/>
  <c r="N5462" i="1"/>
  <c r="T5461" i="1"/>
  <c r="S5461" i="1"/>
  <c r="N5461" i="1"/>
  <c r="T5460" i="1"/>
  <c r="S5460" i="1"/>
  <c r="N5460" i="1"/>
  <c r="T5459" i="1"/>
  <c r="S5459" i="1"/>
  <c r="N5459" i="1"/>
  <c r="T5458" i="1"/>
  <c r="S5458" i="1"/>
  <c r="N5458" i="1"/>
  <c r="T5457" i="1"/>
  <c r="S5457" i="1"/>
  <c r="N5457" i="1"/>
  <c r="T5456" i="1"/>
  <c r="S5456" i="1"/>
  <c r="N5456" i="1"/>
  <c r="T5455" i="1"/>
  <c r="S5455" i="1"/>
  <c r="N5455" i="1"/>
  <c r="T5454" i="1"/>
  <c r="S5454" i="1"/>
  <c r="N5454" i="1"/>
  <c r="T5453" i="1"/>
  <c r="S5453" i="1"/>
  <c r="N5453" i="1"/>
  <c r="T5452" i="1"/>
  <c r="S5452" i="1"/>
  <c r="N5452" i="1"/>
  <c r="T5451" i="1"/>
  <c r="S5451" i="1"/>
  <c r="N5451" i="1"/>
  <c r="T5450" i="1"/>
  <c r="S5450" i="1"/>
  <c r="N5450" i="1"/>
  <c r="T5449" i="1"/>
  <c r="S5449" i="1"/>
  <c r="N5449" i="1"/>
  <c r="T5448" i="1"/>
  <c r="S5448" i="1"/>
  <c r="N5448" i="1"/>
  <c r="T5447" i="1"/>
  <c r="S5447" i="1"/>
  <c r="N5447" i="1"/>
  <c r="T5446" i="1"/>
  <c r="S5446" i="1"/>
  <c r="N5446" i="1"/>
  <c r="T5445" i="1"/>
  <c r="S5445" i="1"/>
  <c r="N5445" i="1"/>
  <c r="T5444" i="1"/>
  <c r="S5444" i="1"/>
  <c r="N5444" i="1"/>
  <c r="T5443" i="1"/>
  <c r="S5443" i="1"/>
  <c r="N5443" i="1"/>
  <c r="T5442" i="1"/>
  <c r="S5442" i="1"/>
  <c r="N5442" i="1"/>
  <c r="T5441" i="1"/>
  <c r="S5441" i="1"/>
  <c r="N5441" i="1"/>
  <c r="T5440" i="1"/>
  <c r="S5440" i="1"/>
  <c r="N5440" i="1"/>
  <c r="T5439" i="1"/>
  <c r="S5439" i="1"/>
  <c r="N5439" i="1"/>
  <c r="T5438" i="1"/>
  <c r="S5438" i="1"/>
  <c r="N5438" i="1"/>
  <c r="T5437" i="1"/>
  <c r="S5437" i="1"/>
  <c r="N5437" i="1"/>
  <c r="T5436" i="1"/>
  <c r="S5436" i="1"/>
  <c r="N5436" i="1"/>
  <c r="T5435" i="1"/>
  <c r="S5435" i="1"/>
  <c r="N5435" i="1"/>
  <c r="T5434" i="1"/>
  <c r="S5434" i="1"/>
  <c r="N5434" i="1"/>
  <c r="T5433" i="1"/>
  <c r="S5433" i="1"/>
  <c r="N5433" i="1"/>
  <c r="T5432" i="1"/>
  <c r="S5432" i="1"/>
  <c r="N5432" i="1"/>
  <c r="T5431" i="1"/>
  <c r="S5431" i="1"/>
  <c r="N5431" i="1"/>
  <c r="T5430" i="1"/>
  <c r="S5430" i="1"/>
  <c r="N5430" i="1"/>
  <c r="T5429" i="1"/>
  <c r="S5429" i="1"/>
  <c r="N5429" i="1"/>
  <c r="T5428" i="1"/>
  <c r="S5428" i="1"/>
  <c r="N5428" i="1"/>
  <c r="T5427" i="1"/>
  <c r="S5427" i="1"/>
  <c r="N5427" i="1"/>
  <c r="T5426" i="1"/>
  <c r="S5426" i="1"/>
  <c r="N5426" i="1"/>
  <c r="T5425" i="1"/>
  <c r="S5425" i="1"/>
  <c r="N5425" i="1"/>
  <c r="T5424" i="1"/>
  <c r="S5424" i="1"/>
  <c r="N5424" i="1"/>
  <c r="T5423" i="1"/>
  <c r="S5423" i="1"/>
  <c r="N5423" i="1"/>
  <c r="T5422" i="1"/>
  <c r="S5422" i="1"/>
  <c r="N5422" i="1"/>
  <c r="T5421" i="1"/>
  <c r="S5421" i="1"/>
  <c r="N5421" i="1"/>
  <c r="T5420" i="1"/>
  <c r="S5420" i="1"/>
  <c r="N5420" i="1"/>
  <c r="T5419" i="1"/>
  <c r="S5419" i="1"/>
  <c r="N5419" i="1"/>
  <c r="T5418" i="1"/>
  <c r="S5418" i="1"/>
  <c r="N5418" i="1"/>
  <c r="T5417" i="1"/>
  <c r="S5417" i="1"/>
  <c r="N5417" i="1"/>
  <c r="T5416" i="1"/>
  <c r="S5416" i="1"/>
  <c r="N5416" i="1"/>
  <c r="T5415" i="1"/>
  <c r="S5415" i="1"/>
  <c r="N5415" i="1"/>
  <c r="T5414" i="1"/>
  <c r="S5414" i="1"/>
  <c r="N5414" i="1"/>
  <c r="T5413" i="1"/>
  <c r="S5413" i="1"/>
  <c r="N5413" i="1"/>
  <c r="T5412" i="1"/>
  <c r="S5412" i="1"/>
  <c r="N5412" i="1"/>
  <c r="T5411" i="1"/>
  <c r="S5411" i="1"/>
  <c r="N5411" i="1"/>
  <c r="T5410" i="1"/>
  <c r="S5410" i="1"/>
  <c r="N5410" i="1"/>
  <c r="T5409" i="1"/>
  <c r="S5409" i="1"/>
  <c r="N5409" i="1"/>
  <c r="T5408" i="1"/>
  <c r="S5408" i="1"/>
  <c r="N5408" i="1"/>
  <c r="T5407" i="1"/>
  <c r="S5407" i="1"/>
  <c r="N5407" i="1"/>
  <c r="T5406" i="1"/>
  <c r="S5406" i="1"/>
  <c r="N5406" i="1"/>
  <c r="T5405" i="1"/>
  <c r="S5405" i="1"/>
  <c r="N5405" i="1"/>
  <c r="T5404" i="1"/>
  <c r="S5404" i="1"/>
  <c r="N5404" i="1"/>
  <c r="T5403" i="1"/>
  <c r="S5403" i="1"/>
  <c r="N5403" i="1"/>
  <c r="T5402" i="1"/>
  <c r="S5402" i="1"/>
  <c r="N5402" i="1"/>
  <c r="T5401" i="1"/>
  <c r="S5401" i="1"/>
  <c r="N5401" i="1"/>
  <c r="T5400" i="1"/>
  <c r="S5400" i="1"/>
  <c r="N5400" i="1"/>
  <c r="T5399" i="1"/>
  <c r="S5399" i="1"/>
  <c r="N5399" i="1"/>
  <c r="T5398" i="1"/>
  <c r="S5398" i="1"/>
  <c r="N5398" i="1"/>
  <c r="T5397" i="1"/>
  <c r="S5397" i="1"/>
  <c r="N5397" i="1"/>
  <c r="T5396" i="1"/>
  <c r="S5396" i="1"/>
  <c r="N5396" i="1"/>
  <c r="T5395" i="1"/>
  <c r="S5395" i="1"/>
  <c r="N5395" i="1"/>
  <c r="T5394" i="1"/>
  <c r="S5394" i="1"/>
  <c r="N5394" i="1"/>
  <c r="T5393" i="1"/>
  <c r="S5393" i="1"/>
  <c r="N5393" i="1"/>
  <c r="T5392" i="1"/>
  <c r="S5392" i="1"/>
  <c r="N5392" i="1"/>
  <c r="T5391" i="1"/>
  <c r="S5391" i="1"/>
  <c r="N5391" i="1"/>
  <c r="T5390" i="1"/>
  <c r="S5390" i="1"/>
  <c r="N5390" i="1"/>
  <c r="T5389" i="1"/>
  <c r="S5389" i="1"/>
  <c r="N5389" i="1"/>
  <c r="T5388" i="1"/>
  <c r="S5388" i="1"/>
  <c r="N5388" i="1"/>
  <c r="T5387" i="1"/>
  <c r="S5387" i="1"/>
  <c r="N5387" i="1"/>
  <c r="T5386" i="1"/>
  <c r="S5386" i="1"/>
  <c r="N5386" i="1"/>
  <c r="T5385" i="1"/>
  <c r="S5385" i="1"/>
  <c r="N5385" i="1"/>
  <c r="T5384" i="1"/>
  <c r="S5384" i="1"/>
  <c r="N5384" i="1"/>
  <c r="T5383" i="1"/>
  <c r="S5383" i="1"/>
  <c r="N5383" i="1"/>
  <c r="T5382" i="1"/>
  <c r="S5382" i="1"/>
  <c r="N5382" i="1"/>
  <c r="T5381" i="1"/>
  <c r="S5381" i="1"/>
  <c r="N5381" i="1"/>
  <c r="T5380" i="1"/>
  <c r="S5380" i="1"/>
  <c r="N5380" i="1"/>
  <c r="T5379" i="1"/>
  <c r="S5379" i="1"/>
  <c r="N5379" i="1"/>
  <c r="T5378" i="1"/>
  <c r="S5378" i="1"/>
  <c r="N5378" i="1"/>
  <c r="T5377" i="1"/>
  <c r="S5377" i="1"/>
  <c r="N5377" i="1"/>
  <c r="T5376" i="1"/>
  <c r="S5376" i="1"/>
  <c r="N5376" i="1"/>
  <c r="T5375" i="1"/>
  <c r="S5375" i="1"/>
  <c r="N5375" i="1"/>
  <c r="T5374" i="1"/>
  <c r="S5374" i="1"/>
  <c r="N5374" i="1"/>
  <c r="T5373" i="1"/>
  <c r="S5373" i="1"/>
  <c r="N5373" i="1"/>
  <c r="T5372" i="1"/>
  <c r="S5372" i="1"/>
  <c r="N5372" i="1"/>
  <c r="T5371" i="1"/>
  <c r="S5371" i="1"/>
  <c r="N5371" i="1"/>
  <c r="T5370" i="1"/>
  <c r="S5370" i="1"/>
  <c r="N5370" i="1"/>
  <c r="T5369" i="1"/>
  <c r="S5369" i="1"/>
  <c r="N5369" i="1"/>
  <c r="T5368" i="1"/>
  <c r="S5368" i="1"/>
  <c r="N5368" i="1"/>
  <c r="T5367" i="1"/>
  <c r="S5367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T5080" i="1"/>
  <c r="S5080" i="1"/>
  <c r="N5080" i="1"/>
  <c r="T5079" i="1"/>
  <c r="S5079" i="1"/>
  <c r="N5079" i="1"/>
  <c r="T5078" i="1"/>
  <c r="S5078" i="1"/>
  <c r="N5078" i="1"/>
  <c r="T5077" i="1"/>
  <c r="S5077" i="1"/>
  <c r="N5077" i="1"/>
  <c r="T5076" i="1"/>
  <c r="S5076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T4996" i="1"/>
  <c r="S4996" i="1"/>
  <c r="N4996" i="1"/>
  <c r="T4995" i="1"/>
  <c r="S4995" i="1"/>
  <c r="N4995" i="1"/>
  <c r="T4994" i="1"/>
  <c r="S4994" i="1"/>
  <c r="N4994" i="1"/>
  <c r="T4993" i="1"/>
  <c r="S4993" i="1"/>
  <c r="N4993" i="1"/>
  <c r="T4992" i="1"/>
  <c r="S4992" i="1"/>
  <c r="N4992" i="1"/>
  <c r="T4991" i="1"/>
  <c r="S4991" i="1"/>
  <c r="N4991" i="1"/>
  <c r="T4990" i="1"/>
  <c r="S4990" i="1"/>
  <c r="N4990" i="1"/>
  <c r="T4989" i="1"/>
  <c r="S4989" i="1"/>
  <c r="N4989" i="1"/>
  <c r="T4988" i="1"/>
  <c r="S4988" i="1"/>
  <c r="N4988" i="1"/>
  <c r="T4987" i="1"/>
  <c r="S4987" i="1"/>
  <c r="N4987" i="1"/>
  <c r="T4986" i="1"/>
  <c r="S4986" i="1"/>
  <c r="N4986" i="1"/>
  <c r="T4985" i="1"/>
  <c r="S4985" i="1"/>
  <c r="N4985" i="1"/>
  <c r="T4984" i="1"/>
  <c r="S4984" i="1"/>
  <c r="N4984" i="1"/>
  <c r="T4983" i="1"/>
  <c r="S4983" i="1"/>
  <c r="N4983" i="1"/>
  <c r="T4982" i="1"/>
  <c r="S4982" i="1"/>
  <c r="N4982" i="1"/>
  <c r="T4981" i="1"/>
  <c r="S4981" i="1"/>
  <c r="N4981" i="1"/>
  <c r="T4980" i="1"/>
  <c r="S4980" i="1"/>
  <c r="N4980" i="1"/>
  <c r="T4979" i="1"/>
  <c r="S4979" i="1"/>
  <c r="N4979" i="1"/>
  <c r="T4978" i="1"/>
  <c r="S4978" i="1"/>
  <c r="N4978" i="1"/>
  <c r="T4977" i="1"/>
  <c r="S4977" i="1"/>
  <c r="N4977" i="1"/>
  <c r="T4976" i="1"/>
  <c r="S4976" i="1"/>
  <c r="N4976" i="1"/>
  <c r="T4975" i="1"/>
  <c r="S4975" i="1"/>
  <c r="N4975" i="1"/>
  <c r="T4974" i="1"/>
  <c r="S4974" i="1"/>
  <c r="N4974" i="1"/>
  <c r="T4973" i="1"/>
  <c r="S4973" i="1"/>
  <c r="N4973" i="1"/>
  <c r="T4972" i="1"/>
  <c r="S4972" i="1"/>
  <c r="N4972" i="1"/>
  <c r="T4971" i="1"/>
  <c r="S4971" i="1"/>
  <c r="N4971" i="1"/>
  <c r="T4970" i="1"/>
  <c r="S4970" i="1"/>
  <c r="N4970" i="1"/>
  <c r="T4969" i="1"/>
  <c r="S4969" i="1"/>
  <c r="N4969" i="1"/>
  <c r="T4968" i="1"/>
  <c r="S4968" i="1"/>
  <c r="N4968" i="1"/>
  <c r="T4967" i="1"/>
  <c r="S4967" i="1"/>
  <c r="N4967" i="1"/>
  <c r="T4966" i="1"/>
  <c r="S4966" i="1"/>
  <c r="N4966" i="1"/>
  <c r="T4965" i="1"/>
  <c r="S4965" i="1"/>
  <c r="N4965" i="1"/>
  <c r="T4964" i="1"/>
  <c r="S4964" i="1"/>
  <c r="N4964" i="1"/>
  <c r="T4963" i="1"/>
  <c r="S4963" i="1"/>
  <c r="N4963" i="1"/>
  <c r="T4962" i="1"/>
  <c r="S4962" i="1"/>
  <c r="N4962" i="1"/>
  <c r="T4961" i="1"/>
  <c r="S4961" i="1"/>
  <c r="N4961" i="1"/>
  <c r="T4960" i="1"/>
  <c r="S4960" i="1"/>
  <c r="N4960" i="1"/>
  <c r="T4959" i="1"/>
  <c r="S4959" i="1"/>
  <c r="N4959" i="1"/>
  <c r="T4958" i="1"/>
  <c r="S4958" i="1"/>
  <c r="N4958" i="1"/>
  <c r="T4957" i="1"/>
  <c r="S4957" i="1"/>
  <c r="N4957" i="1"/>
  <c r="T4956" i="1"/>
  <c r="S4956" i="1"/>
  <c r="N4956" i="1"/>
  <c r="T4955" i="1"/>
  <c r="S4955" i="1"/>
  <c r="N4955" i="1"/>
  <c r="T4954" i="1"/>
  <c r="S4954" i="1"/>
  <c r="N4954" i="1"/>
  <c r="T4953" i="1"/>
  <c r="S4953" i="1"/>
  <c r="N4953" i="1"/>
  <c r="T4952" i="1"/>
  <c r="S4952" i="1"/>
  <c r="N4952" i="1"/>
  <c r="T4951" i="1"/>
  <c r="S4951" i="1"/>
  <c r="N4951" i="1"/>
  <c r="T4950" i="1"/>
  <c r="S4950" i="1"/>
  <c r="N4950" i="1"/>
  <c r="T4949" i="1"/>
  <c r="S4949" i="1"/>
  <c r="N4949" i="1"/>
  <c r="T4948" i="1"/>
  <c r="S4948" i="1"/>
  <c r="N4948" i="1"/>
  <c r="T4947" i="1"/>
  <c r="S4947" i="1"/>
  <c r="N4947" i="1"/>
  <c r="T4946" i="1"/>
  <c r="S4946" i="1"/>
  <c r="N4946" i="1"/>
  <c r="T4945" i="1"/>
  <c r="S4945" i="1"/>
  <c r="N4945" i="1"/>
  <c r="T4944" i="1"/>
  <c r="S4944" i="1"/>
  <c r="N4944" i="1"/>
  <c r="T4943" i="1"/>
  <c r="S4943" i="1"/>
  <c r="N4943" i="1"/>
  <c r="T4942" i="1"/>
  <c r="S4942" i="1"/>
  <c r="N4942" i="1"/>
  <c r="T4941" i="1"/>
  <c r="S4941" i="1"/>
  <c r="N4941" i="1"/>
  <c r="T4940" i="1"/>
  <c r="S4940" i="1"/>
  <c r="N4940" i="1"/>
  <c r="T4939" i="1"/>
  <c r="S4939" i="1"/>
  <c r="N4939" i="1"/>
  <c r="T4938" i="1"/>
  <c r="S4938" i="1"/>
  <c r="N4938" i="1"/>
  <c r="T4937" i="1"/>
  <c r="S4937" i="1"/>
  <c r="N4937" i="1"/>
  <c r="T4936" i="1"/>
  <c r="S4936" i="1"/>
  <c r="N4936" i="1"/>
  <c r="T4935" i="1"/>
  <c r="S4935" i="1"/>
  <c r="N4935" i="1"/>
  <c r="T4934" i="1"/>
  <c r="S4934" i="1"/>
  <c r="N4934" i="1"/>
  <c r="T4933" i="1"/>
  <c r="S4933" i="1"/>
  <c r="N4933" i="1"/>
  <c r="T4932" i="1"/>
  <c r="S4932" i="1"/>
  <c r="N4932" i="1"/>
  <c r="T4931" i="1"/>
  <c r="S4931" i="1"/>
  <c r="N4931" i="1"/>
  <c r="T4930" i="1"/>
  <c r="S4930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T4634" i="1"/>
  <c r="S4634" i="1"/>
  <c r="N4634" i="1"/>
  <c r="T4633" i="1"/>
  <c r="S4633" i="1"/>
  <c r="N4633" i="1"/>
  <c r="N4632" i="1"/>
  <c r="T4631" i="1"/>
  <c r="S4631" i="1"/>
  <c r="N4631" i="1"/>
  <c r="T4630" i="1"/>
  <c r="S4630" i="1"/>
  <c r="N4630" i="1"/>
  <c r="T4629" i="1"/>
  <c r="S4629" i="1"/>
  <c r="N4629" i="1"/>
  <c r="T4628" i="1"/>
  <c r="S4628" i="1"/>
  <c r="N4628" i="1"/>
  <c r="T4627" i="1"/>
  <c r="S4627" i="1"/>
  <c r="N4627" i="1"/>
  <c r="T4626" i="1"/>
  <c r="S4626" i="1"/>
  <c r="N4626" i="1"/>
  <c r="T4625" i="1"/>
  <c r="S4625" i="1"/>
  <c r="N4625" i="1"/>
  <c r="T4624" i="1"/>
  <c r="S4624" i="1"/>
  <c r="N4624" i="1"/>
  <c r="T4623" i="1"/>
  <c r="S4623" i="1"/>
  <c r="N4623" i="1"/>
  <c r="T4622" i="1"/>
  <c r="S4622" i="1"/>
  <c r="N4622" i="1"/>
  <c r="T4621" i="1"/>
  <c r="S4621" i="1"/>
  <c r="N4621" i="1"/>
  <c r="T4620" i="1"/>
  <c r="S4620" i="1"/>
  <c r="N4620" i="1"/>
  <c r="T4619" i="1"/>
  <c r="S4619" i="1"/>
  <c r="N4619" i="1"/>
  <c r="T4618" i="1"/>
  <c r="S4618" i="1"/>
  <c r="N4618" i="1"/>
  <c r="T4617" i="1"/>
  <c r="S4617" i="1"/>
  <c r="N4617" i="1"/>
  <c r="T4616" i="1"/>
  <c r="S4616" i="1"/>
  <c r="N4616" i="1"/>
  <c r="T4615" i="1"/>
  <c r="S4615" i="1"/>
  <c r="N4615" i="1"/>
  <c r="T4614" i="1"/>
  <c r="S4614" i="1"/>
  <c r="N4614" i="1"/>
  <c r="T4613" i="1"/>
  <c r="S4613" i="1"/>
  <c r="N4613" i="1"/>
  <c r="T4612" i="1"/>
  <c r="S4612" i="1"/>
  <c r="N4612" i="1"/>
  <c r="T4611" i="1"/>
  <c r="S4611" i="1"/>
  <c r="N4611" i="1"/>
  <c r="T4610" i="1"/>
  <c r="S4610" i="1"/>
  <c r="N4610" i="1"/>
  <c r="T4609" i="1"/>
  <c r="S4609" i="1"/>
  <c r="N4609" i="1"/>
  <c r="T4608" i="1"/>
  <c r="S4608" i="1"/>
  <c r="N4608" i="1"/>
  <c r="T4607" i="1"/>
  <c r="S4607" i="1"/>
  <c r="N4607" i="1"/>
  <c r="T4606" i="1"/>
  <c r="S4606" i="1"/>
  <c r="N4606" i="1"/>
  <c r="T4605" i="1"/>
  <c r="S4605" i="1"/>
  <c r="N4605" i="1"/>
  <c r="T4604" i="1"/>
  <c r="S4604" i="1"/>
  <c r="N4604" i="1"/>
  <c r="T4603" i="1"/>
  <c r="S4603" i="1"/>
  <c r="N4603" i="1"/>
  <c r="T4602" i="1"/>
  <c r="S4602" i="1"/>
  <c r="N4602" i="1"/>
  <c r="T4601" i="1"/>
  <c r="S4601" i="1"/>
  <c r="N4601" i="1"/>
  <c r="T4600" i="1"/>
  <c r="S4600" i="1"/>
  <c r="N4600" i="1"/>
  <c r="T4599" i="1"/>
  <c r="S4599" i="1"/>
  <c r="N4599" i="1"/>
  <c r="T4598" i="1"/>
  <c r="S4598" i="1"/>
  <c r="N4598" i="1"/>
  <c r="T4597" i="1"/>
  <c r="S4597" i="1"/>
  <c r="N4597" i="1"/>
  <c r="T4596" i="1"/>
  <c r="S4596" i="1"/>
  <c r="N4596" i="1"/>
  <c r="T4595" i="1"/>
  <c r="S4595" i="1"/>
  <c r="N4595" i="1"/>
  <c r="T4594" i="1"/>
  <c r="S4594" i="1"/>
  <c r="N4594" i="1"/>
  <c r="T4593" i="1"/>
  <c r="S4593" i="1"/>
  <c r="N4593" i="1"/>
  <c r="T4592" i="1"/>
  <c r="S4592" i="1"/>
  <c r="N4592" i="1"/>
  <c r="T4591" i="1"/>
  <c r="S4591" i="1"/>
  <c r="N4591" i="1"/>
  <c r="T4590" i="1"/>
  <c r="S4590" i="1"/>
  <c r="N4590" i="1"/>
  <c r="T4589" i="1"/>
  <c r="S4589" i="1"/>
  <c r="N4589" i="1"/>
  <c r="T4588" i="1"/>
  <c r="S4588" i="1"/>
  <c r="N4588" i="1"/>
  <c r="T4587" i="1"/>
  <c r="S4587" i="1"/>
  <c r="N4587" i="1"/>
  <c r="T4586" i="1"/>
  <c r="S4586" i="1"/>
  <c r="N4586" i="1"/>
  <c r="T4585" i="1"/>
  <c r="S4585" i="1"/>
  <c r="N4585" i="1"/>
  <c r="T4584" i="1"/>
  <c r="S4584" i="1"/>
  <c r="N4584" i="1"/>
  <c r="T4583" i="1"/>
  <c r="S4583" i="1"/>
  <c r="N4583" i="1"/>
  <c r="T4582" i="1"/>
  <c r="S4582" i="1"/>
  <c r="N4582" i="1"/>
  <c r="T4581" i="1"/>
  <c r="S4581" i="1"/>
  <c r="N4581" i="1"/>
  <c r="T4580" i="1"/>
  <c r="S4580" i="1"/>
  <c r="N4580" i="1"/>
  <c r="T4579" i="1"/>
  <c r="S4579" i="1"/>
  <c r="N4579" i="1"/>
  <c r="T4578" i="1"/>
  <c r="S4578" i="1"/>
  <c r="N4578" i="1"/>
  <c r="T4577" i="1"/>
  <c r="S4577" i="1"/>
  <c r="N4577" i="1"/>
  <c r="T4576" i="1"/>
  <c r="S4576" i="1"/>
  <c r="N4576" i="1"/>
  <c r="T4575" i="1"/>
  <c r="S4575" i="1"/>
  <c r="N4575" i="1"/>
  <c r="T4574" i="1"/>
  <c r="S4574" i="1"/>
  <c r="N4574" i="1"/>
  <c r="T4573" i="1"/>
  <c r="S4573" i="1"/>
  <c r="N4573" i="1"/>
  <c r="T4572" i="1"/>
  <c r="S4572" i="1"/>
  <c r="N4572" i="1"/>
  <c r="T4571" i="1"/>
  <c r="S4571" i="1"/>
  <c r="N4571" i="1"/>
  <c r="T4570" i="1"/>
  <c r="S4570" i="1"/>
  <c r="N4570" i="1"/>
  <c r="T4569" i="1"/>
  <c r="S4569" i="1"/>
  <c r="N4569" i="1"/>
  <c r="T4568" i="1"/>
  <c r="S4568" i="1"/>
  <c r="N4568" i="1"/>
  <c r="T4567" i="1"/>
  <c r="S4567" i="1"/>
  <c r="N4567" i="1"/>
  <c r="T4566" i="1"/>
  <c r="S4566" i="1"/>
  <c r="N4566" i="1"/>
  <c r="T4565" i="1"/>
  <c r="S4565" i="1"/>
  <c r="N4565" i="1"/>
  <c r="T4564" i="1"/>
  <c r="S4564" i="1"/>
  <c r="N4564" i="1"/>
  <c r="T4563" i="1"/>
  <c r="S4563" i="1"/>
  <c r="N4563" i="1"/>
  <c r="T4562" i="1"/>
  <c r="S4562" i="1"/>
  <c r="N4562" i="1"/>
  <c r="N4561" i="1"/>
  <c r="T4560" i="1"/>
  <c r="S4560" i="1"/>
  <c r="N4560" i="1"/>
  <c r="T4559" i="1"/>
  <c r="S4559" i="1"/>
  <c r="N4559" i="1"/>
  <c r="T4558" i="1"/>
  <c r="S4558" i="1"/>
  <c r="N4558" i="1"/>
  <c r="T4557" i="1"/>
  <c r="S4557" i="1"/>
  <c r="N4557" i="1"/>
  <c r="T4556" i="1"/>
  <c r="S4556" i="1"/>
  <c r="N4556" i="1"/>
  <c r="T4555" i="1"/>
  <c r="S4555" i="1"/>
  <c r="N4555" i="1"/>
  <c r="T4554" i="1"/>
  <c r="S4554" i="1"/>
  <c r="N4554" i="1"/>
  <c r="T4553" i="1"/>
  <c r="S4553" i="1"/>
  <c r="N4553" i="1"/>
  <c r="T4552" i="1"/>
  <c r="S4552" i="1"/>
  <c r="N4552" i="1"/>
  <c r="T4551" i="1"/>
  <c r="S4551" i="1"/>
  <c r="N4551" i="1"/>
  <c r="T4550" i="1"/>
  <c r="S4550" i="1"/>
  <c r="N4550" i="1"/>
  <c r="T4549" i="1"/>
  <c r="S4549" i="1"/>
  <c r="N4549" i="1"/>
  <c r="T4548" i="1"/>
  <c r="S4548" i="1"/>
  <c r="N4548" i="1"/>
  <c r="T4547" i="1"/>
  <c r="S4547" i="1"/>
  <c r="N4547" i="1"/>
  <c r="T4546" i="1"/>
  <c r="S4546" i="1"/>
  <c r="N4546" i="1"/>
  <c r="T4545" i="1"/>
  <c r="S4545" i="1"/>
  <c r="N4545" i="1"/>
  <c r="T4544" i="1"/>
  <c r="S4544" i="1"/>
  <c r="N4544" i="1"/>
  <c r="T4543" i="1"/>
  <c r="S4543" i="1"/>
  <c r="N4543" i="1"/>
  <c r="T4542" i="1"/>
  <c r="S4542" i="1"/>
  <c r="N4542" i="1"/>
  <c r="T4541" i="1"/>
  <c r="S4541" i="1"/>
  <c r="N4541" i="1"/>
  <c r="T4540" i="1"/>
  <c r="S4540" i="1"/>
  <c r="N4540" i="1"/>
  <c r="T4539" i="1"/>
  <c r="S4539" i="1"/>
  <c r="N4539" i="1"/>
  <c r="T4538" i="1"/>
  <c r="S4538" i="1"/>
  <c r="N4538" i="1"/>
  <c r="T4537" i="1"/>
  <c r="S4537" i="1"/>
  <c r="N4537" i="1"/>
  <c r="T4536" i="1"/>
  <c r="S4536" i="1"/>
  <c r="N4536" i="1"/>
  <c r="T4535" i="1"/>
  <c r="S4535" i="1"/>
  <c r="N4535" i="1"/>
  <c r="T4534" i="1"/>
  <c r="S4534" i="1"/>
  <c r="N4534" i="1"/>
  <c r="T4533" i="1"/>
  <c r="S4533" i="1"/>
  <c r="N4533" i="1"/>
  <c r="T4532" i="1"/>
  <c r="S4532" i="1"/>
  <c r="N4532" i="1"/>
  <c r="T4531" i="1"/>
  <c r="S4531" i="1"/>
  <c r="N4531" i="1"/>
  <c r="T4530" i="1"/>
  <c r="S4530" i="1"/>
  <c r="N4530" i="1"/>
  <c r="T4529" i="1"/>
  <c r="S4529" i="1"/>
  <c r="N4529" i="1"/>
  <c r="T4528" i="1"/>
  <c r="S4528" i="1"/>
  <c r="N4528" i="1"/>
  <c r="T4527" i="1"/>
  <c r="S4527" i="1"/>
  <c r="N4527" i="1"/>
  <c r="T4526" i="1"/>
  <c r="S4526" i="1"/>
  <c r="N4526" i="1"/>
  <c r="T4525" i="1"/>
  <c r="S4525" i="1"/>
  <c r="N4525" i="1"/>
  <c r="T4524" i="1"/>
  <c r="S4524" i="1"/>
  <c r="N4524" i="1"/>
  <c r="T4523" i="1"/>
  <c r="S4523" i="1"/>
  <c r="N4523" i="1"/>
  <c r="T4522" i="1"/>
  <c r="S4522" i="1"/>
  <c r="N4522" i="1"/>
  <c r="T4521" i="1"/>
  <c r="S4521" i="1"/>
  <c r="N4521" i="1"/>
  <c r="T4520" i="1"/>
  <c r="S4520" i="1"/>
  <c r="N4520" i="1"/>
  <c r="T4519" i="1"/>
  <c r="S4519" i="1"/>
  <c r="N4519" i="1"/>
  <c r="T4518" i="1"/>
  <c r="S4518" i="1"/>
  <c r="N4518" i="1"/>
  <c r="T4517" i="1"/>
  <c r="S4517" i="1"/>
  <c r="N4517" i="1"/>
  <c r="T4516" i="1"/>
  <c r="S4516" i="1"/>
  <c r="N4516" i="1"/>
  <c r="T4515" i="1"/>
  <c r="S4515" i="1"/>
  <c r="N4515" i="1"/>
  <c r="T4514" i="1"/>
  <c r="S4514" i="1"/>
  <c r="N4514" i="1"/>
  <c r="T4513" i="1"/>
  <c r="S4513" i="1"/>
  <c r="N4513" i="1"/>
  <c r="T4512" i="1"/>
  <c r="S4512" i="1"/>
  <c r="N4512" i="1"/>
  <c r="T4511" i="1"/>
  <c r="S4511" i="1"/>
  <c r="N4511" i="1"/>
  <c r="T4510" i="1"/>
  <c r="S4510" i="1"/>
  <c r="N4510" i="1"/>
  <c r="T4509" i="1"/>
  <c r="S4509" i="1"/>
  <c r="N4509" i="1"/>
  <c r="T4508" i="1"/>
  <c r="S4508" i="1"/>
  <c r="N4508" i="1"/>
  <c r="T4507" i="1"/>
  <c r="S4507" i="1"/>
  <c r="N4507" i="1"/>
  <c r="T4506" i="1"/>
  <c r="S4506" i="1"/>
  <c r="N4506" i="1"/>
  <c r="T4505" i="1"/>
  <c r="S4505" i="1"/>
  <c r="N4505" i="1"/>
  <c r="T4504" i="1"/>
  <c r="S4504" i="1"/>
  <c r="N4504" i="1"/>
  <c r="T4503" i="1"/>
  <c r="S4503" i="1"/>
  <c r="N4503" i="1"/>
  <c r="N4502" i="1"/>
  <c r="T4501" i="1"/>
  <c r="S4501" i="1"/>
  <c r="N4501" i="1"/>
  <c r="T4500" i="1"/>
  <c r="S4500" i="1"/>
  <c r="N4500" i="1"/>
  <c r="T4499" i="1"/>
  <c r="S4499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T3809" i="1"/>
  <c r="S3809" i="1"/>
  <c r="N3809" i="1"/>
  <c r="T3808" i="1"/>
  <c r="S3808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T3709" i="1"/>
  <c r="S3709" i="1"/>
  <c r="N3709" i="1"/>
  <c r="T3708" i="1"/>
  <c r="S3708" i="1"/>
  <c r="N3708" i="1"/>
  <c r="T3707" i="1"/>
  <c r="S3707" i="1"/>
  <c r="N3707" i="1"/>
  <c r="T3706" i="1"/>
  <c r="S3706" i="1"/>
  <c r="N3706" i="1"/>
  <c r="T3705" i="1"/>
  <c r="S3705" i="1"/>
  <c r="N3705" i="1"/>
  <c r="T3704" i="1"/>
  <c r="S3704" i="1"/>
  <c r="N3704" i="1"/>
  <c r="T3703" i="1"/>
  <c r="S3703" i="1"/>
  <c r="N3703" i="1"/>
  <c r="T3702" i="1"/>
  <c r="S3702" i="1"/>
  <c r="N3702" i="1"/>
  <c r="T3701" i="1"/>
  <c r="S3701" i="1"/>
  <c r="N3701" i="1"/>
  <c r="T3700" i="1"/>
  <c r="S3700" i="1"/>
  <c r="N3700" i="1"/>
  <c r="T3699" i="1"/>
  <c r="S3699" i="1"/>
  <c r="N3699" i="1"/>
  <c r="T3698" i="1"/>
  <c r="S3698" i="1"/>
  <c r="N3698" i="1"/>
  <c r="T3697" i="1"/>
  <c r="S3697" i="1"/>
  <c r="N3697" i="1"/>
  <c r="T3696" i="1"/>
  <c r="S3696" i="1"/>
  <c r="N3696" i="1"/>
  <c r="T3695" i="1"/>
  <c r="S3695" i="1"/>
  <c r="N3695" i="1"/>
  <c r="T3694" i="1"/>
  <c r="S3694" i="1"/>
  <c r="N3694" i="1"/>
  <c r="T3693" i="1"/>
  <c r="S3693" i="1"/>
  <c r="N3693" i="1"/>
  <c r="T3692" i="1"/>
  <c r="S3692" i="1"/>
  <c r="N3692" i="1"/>
  <c r="T3691" i="1"/>
  <c r="S3691" i="1"/>
  <c r="N3691" i="1"/>
  <c r="T3690" i="1"/>
  <c r="S3690" i="1"/>
  <c r="N3690" i="1"/>
  <c r="T3689" i="1"/>
  <c r="S3689" i="1"/>
  <c r="N3689" i="1"/>
  <c r="T3688" i="1"/>
  <c r="S3688" i="1"/>
  <c r="N3688" i="1"/>
  <c r="T3687" i="1"/>
  <c r="S3687" i="1"/>
  <c r="N3687" i="1"/>
  <c r="T3686" i="1"/>
  <c r="S3686" i="1"/>
  <c r="N3686" i="1"/>
  <c r="T3685" i="1"/>
  <c r="S3685" i="1"/>
  <c r="N3685" i="1"/>
  <c r="T3684" i="1"/>
  <c r="S3684" i="1"/>
  <c r="N3684" i="1"/>
  <c r="T3683" i="1"/>
  <c r="S3683" i="1"/>
  <c r="N3683" i="1"/>
  <c r="T3682" i="1"/>
  <c r="S3682" i="1"/>
  <c r="N3682" i="1"/>
  <c r="T3681" i="1"/>
  <c r="S3681" i="1"/>
  <c r="N3681" i="1"/>
  <c r="T3680" i="1"/>
  <c r="S3680" i="1"/>
  <c r="N3680" i="1"/>
  <c r="T3679" i="1"/>
  <c r="S3679" i="1"/>
  <c r="N3679" i="1"/>
  <c r="T3678" i="1"/>
  <c r="S3678" i="1"/>
  <c r="N3678" i="1"/>
  <c r="T3677" i="1"/>
  <c r="S3677" i="1"/>
  <c r="N3677" i="1"/>
  <c r="T3676" i="1"/>
  <c r="S3676" i="1"/>
  <c r="N3676" i="1"/>
  <c r="T3675" i="1"/>
  <c r="S3675" i="1"/>
  <c r="N3675" i="1"/>
  <c r="T3674" i="1"/>
  <c r="S3674" i="1"/>
  <c r="N3674" i="1"/>
  <c r="T3673" i="1"/>
  <c r="S3673" i="1"/>
  <c r="N3673" i="1"/>
  <c r="T3672" i="1"/>
  <c r="S3672" i="1"/>
  <c r="N3672" i="1"/>
  <c r="T3671" i="1"/>
  <c r="S3671" i="1"/>
  <c r="N3671" i="1"/>
  <c r="T3670" i="1"/>
  <c r="S3670" i="1"/>
  <c r="N3670" i="1"/>
  <c r="T3669" i="1"/>
  <c r="S3669" i="1"/>
  <c r="N3669" i="1"/>
  <c r="T3668" i="1"/>
  <c r="S3668" i="1"/>
  <c r="N3668" i="1"/>
  <c r="T3667" i="1"/>
  <c r="S3667" i="1"/>
  <c r="N3667" i="1"/>
  <c r="T3666" i="1"/>
  <c r="S3666" i="1"/>
  <c r="N3666" i="1"/>
  <c r="T3665" i="1"/>
  <c r="S3665" i="1"/>
  <c r="N3665" i="1"/>
  <c r="T3664" i="1"/>
  <c r="S3664" i="1"/>
  <c r="N3664" i="1"/>
  <c r="T3663" i="1"/>
  <c r="S3663" i="1"/>
  <c r="N3663" i="1"/>
  <c r="T3662" i="1"/>
  <c r="S3662" i="1"/>
  <c r="N3662" i="1"/>
  <c r="T3661" i="1"/>
  <c r="S3661" i="1"/>
  <c r="N3661" i="1"/>
  <c r="T3660" i="1"/>
  <c r="S3660" i="1"/>
  <c r="N3660" i="1"/>
  <c r="T3659" i="1"/>
  <c r="S3659" i="1"/>
  <c r="N3659" i="1"/>
  <c r="T3658" i="1"/>
  <c r="S3658" i="1"/>
  <c r="N3658" i="1"/>
  <c r="T3657" i="1"/>
  <c r="S3657" i="1"/>
  <c r="N3657" i="1"/>
  <c r="T3656" i="1"/>
  <c r="S3656" i="1"/>
  <c r="N3656" i="1"/>
  <c r="T3655" i="1"/>
  <c r="S3655" i="1"/>
  <c r="N3655" i="1"/>
  <c r="T3654" i="1"/>
  <c r="S3654" i="1"/>
  <c r="N3654" i="1"/>
  <c r="T3653" i="1"/>
  <c r="S3653" i="1"/>
  <c r="N3653" i="1"/>
  <c r="T3652" i="1"/>
  <c r="S3652" i="1"/>
  <c r="N3652" i="1"/>
  <c r="T3651" i="1"/>
  <c r="S3651" i="1"/>
  <c r="N3651" i="1"/>
  <c r="T3650" i="1"/>
  <c r="S3650" i="1"/>
  <c r="N3650" i="1"/>
  <c r="T3649" i="1"/>
  <c r="S3649" i="1"/>
  <c r="N3649" i="1"/>
  <c r="T3648" i="1"/>
  <c r="S3648" i="1"/>
  <c r="N3648" i="1"/>
  <c r="T3647" i="1"/>
  <c r="S3647" i="1"/>
  <c r="N3647" i="1"/>
  <c r="T3646" i="1"/>
  <c r="S3646" i="1"/>
  <c r="N3646" i="1"/>
  <c r="T3645" i="1"/>
  <c r="S3645" i="1"/>
  <c r="N3645" i="1"/>
  <c r="T3644" i="1"/>
  <c r="S3644" i="1"/>
  <c r="N3644" i="1"/>
  <c r="T3643" i="1"/>
  <c r="S3643" i="1"/>
  <c r="N3643" i="1"/>
  <c r="T3642" i="1"/>
  <c r="S3642" i="1"/>
  <c r="N3642" i="1"/>
  <c r="T3641" i="1"/>
  <c r="S3641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T3068" i="1"/>
  <c r="S3068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T3046" i="1"/>
  <c r="S3046" i="1"/>
  <c r="N3046" i="1"/>
  <c r="N3045" i="1"/>
  <c r="N3044" i="1"/>
  <c r="T3043" i="1"/>
  <c r="S3043" i="1"/>
  <c r="N3043" i="1"/>
  <c r="T3042" i="1"/>
  <c r="S3042" i="1"/>
  <c r="N3042" i="1"/>
  <c r="T3041" i="1"/>
  <c r="S3041" i="1"/>
  <c r="N3041" i="1"/>
  <c r="N3040" i="1"/>
  <c r="T3039" i="1"/>
  <c r="S3039" i="1"/>
  <c r="N3039" i="1"/>
  <c r="T3038" i="1"/>
  <c r="S3038" i="1"/>
  <c r="N3038" i="1"/>
  <c r="T3037" i="1"/>
  <c r="S3037" i="1"/>
  <c r="N3037" i="1"/>
  <c r="T3036" i="1"/>
  <c r="S3036" i="1"/>
  <c r="N3036" i="1"/>
  <c r="T3035" i="1"/>
  <c r="S3035" i="1"/>
  <c r="N3035" i="1"/>
  <c r="T3034" i="1"/>
  <c r="S3034" i="1"/>
  <c r="N3034" i="1"/>
  <c r="T3033" i="1"/>
  <c r="S3033" i="1"/>
  <c r="N3033" i="1"/>
  <c r="T3032" i="1"/>
  <c r="S3032" i="1"/>
  <c r="N3032" i="1"/>
  <c r="T3031" i="1"/>
  <c r="S3031" i="1"/>
  <c r="N3031" i="1"/>
  <c r="T3030" i="1"/>
  <c r="S3030" i="1"/>
  <c r="N3030" i="1"/>
  <c r="T3029" i="1"/>
  <c r="S3029" i="1"/>
  <c r="N3029" i="1"/>
  <c r="T3028" i="1"/>
  <c r="S3028" i="1"/>
  <c r="N3028" i="1"/>
  <c r="T3027" i="1"/>
  <c r="S3027" i="1"/>
  <c r="N3027" i="1"/>
  <c r="T3026" i="1"/>
  <c r="S3026" i="1"/>
  <c r="N3026" i="1"/>
  <c r="T3025" i="1"/>
  <c r="S3025" i="1"/>
  <c r="N3025" i="1"/>
  <c r="T3024" i="1"/>
  <c r="S3024" i="1"/>
  <c r="N3024" i="1"/>
  <c r="T3023" i="1"/>
  <c r="S3023" i="1"/>
  <c r="N3023" i="1"/>
  <c r="T3022" i="1"/>
  <c r="S3022" i="1"/>
  <c r="N3022" i="1"/>
  <c r="T3021" i="1"/>
  <c r="S3021" i="1"/>
  <c r="N3021" i="1"/>
  <c r="T3020" i="1"/>
  <c r="S3020" i="1"/>
  <c r="N3020" i="1"/>
  <c r="T3019" i="1"/>
  <c r="S3019" i="1"/>
  <c r="N3019" i="1"/>
  <c r="T3018" i="1"/>
  <c r="S3018" i="1"/>
  <c r="N3018" i="1"/>
  <c r="T3017" i="1"/>
  <c r="S3017" i="1"/>
  <c r="N3017" i="1"/>
  <c r="T3016" i="1"/>
  <c r="S3016" i="1"/>
  <c r="N3016" i="1"/>
  <c r="T3015" i="1"/>
  <c r="S3015" i="1"/>
  <c r="N3015" i="1"/>
  <c r="T3014" i="1"/>
  <c r="S3014" i="1"/>
  <c r="N3014" i="1"/>
  <c r="T3013" i="1"/>
  <c r="S3013" i="1"/>
  <c r="N3013" i="1"/>
  <c r="T3012" i="1"/>
  <c r="S3012" i="1"/>
  <c r="N3012" i="1"/>
  <c r="T3011" i="1"/>
  <c r="S3011" i="1"/>
  <c r="N3011" i="1"/>
  <c r="T3010" i="1"/>
  <c r="S3010" i="1"/>
  <c r="N3010" i="1"/>
  <c r="T3009" i="1"/>
  <c r="S3009" i="1"/>
  <c r="N3009" i="1"/>
  <c r="T3008" i="1"/>
  <c r="S3008" i="1"/>
  <c r="N3008" i="1"/>
  <c r="T3007" i="1"/>
  <c r="S3007" i="1"/>
  <c r="N3007" i="1"/>
  <c r="T3006" i="1"/>
  <c r="S3006" i="1"/>
  <c r="N3006" i="1"/>
  <c r="T3005" i="1"/>
  <c r="S3005" i="1"/>
  <c r="N3005" i="1"/>
  <c r="T3004" i="1"/>
  <c r="S3004" i="1"/>
  <c r="N3004" i="1"/>
  <c r="T3003" i="1"/>
  <c r="S3003" i="1"/>
  <c r="N3003" i="1"/>
  <c r="T3002" i="1"/>
  <c r="S3002" i="1"/>
  <c r="N3002" i="1"/>
  <c r="T3001" i="1"/>
  <c r="S3001" i="1"/>
  <c r="N3001" i="1"/>
  <c r="T3000" i="1"/>
  <c r="S3000" i="1"/>
  <c r="N3000" i="1"/>
  <c r="T2999" i="1"/>
  <c r="S2999" i="1"/>
  <c r="N2999" i="1"/>
  <c r="T2998" i="1"/>
  <c r="S2998" i="1"/>
  <c r="N2998" i="1"/>
  <c r="T2997" i="1"/>
  <c r="S2997" i="1"/>
  <c r="N2997" i="1"/>
  <c r="T2996" i="1"/>
  <c r="S2996" i="1"/>
  <c r="N2996" i="1"/>
  <c r="T2995" i="1"/>
  <c r="S2995" i="1"/>
  <c r="N2995" i="1"/>
  <c r="T2994" i="1"/>
  <c r="S2994" i="1"/>
  <c r="N2994" i="1"/>
  <c r="T2993" i="1"/>
  <c r="S2993" i="1"/>
  <c r="N2993" i="1"/>
  <c r="T2992" i="1"/>
  <c r="S2992" i="1"/>
  <c r="N2992" i="1"/>
  <c r="T2991" i="1"/>
  <c r="S2991" i="1"/>
  <c r="N2991" i="1"/>
  <c r="T2990" i="1"/>
  <c r="S2990" i="1"/>
  <c r="N2990" i="1"/>
  <c r="T2989" i="1"/>
  <c r="S2989" i="1"/>
  <c r="N2989" i="1"/>
  <c r="T2988" i="1"/>
  <c r="S2988" i="1"/>
  <c r="N2988" i="1"/>
  <c r="T2987" i="1"/>
  <c r="S2987" i="1"/>
  <c r="N2987" i="1"/>
  <c r="T2986" i="1"/>
  <c r="S2986" i="1"/>
  <c r="N2986" i="1"/>
  <c r="T2985" i="1"/>
  <c r="S2985" i="1"/>
  <c r="N2985" i="1"/>
  <c r="T2984" i="1"/>
  <c r="S2984" i="1"/>
  <c r="N2984" i="1"/>
  <c r="T2983" i="1"/>
  <c r="S2983" i="1"/>
  <c r="N2983" i="1"/>
  <c r="T2982" i="1"/>
  <c r="S2982" i="1"/>
  <c r="N2982" i="1"/>
  <c r="T2981" i="1"/>
  <c r="S2981" i="1"/>
  <c r="N2981" i="1"/>
  <c r="T2980" i="1"/>
  <c r="S2980" i="1"/>
  <c r="N2980" i="1"/>
  <c r="T2979" i="1"/>
  <c r="S2979" i="1"/>
  <c r="N2979" i="1"/>
  <c r="T2978" i="1"/>
  <c r="S2978" i="1"/>
  <c r="N2978" i="1"/>
  <c r="T2977" i="1"/>
  <c r="S2977" i="1"/>
  <c r="N2977" i="1"/>
  <c r="T2976" i="1"/>
  <c r="S2976" i="1"/>
  <c r="N2976" i="1"/>
  <c r="T2975" i="1"/>
  <c r="S2975" i="1"/>
  <c r="N2975" i="1"/>
  <c r="T2974" i="1"/>
  <c r="S2974" i="1"/>
  <c r="N2974" i="1"/>
  <c r="T2973" i="1"/>
  <c r="S2973" i="1"/>
  <c r="N2973" i="1"/>
  <c r="T2972" i="1"/>
  <c r="S2972" i="1"/>
  <c r="N2972" i="1"/>
  <c r="T2971" i="1"/>
  <c r="S2971" i="1"/>
  <c r="N2971" i="1"/>
  <c r="T2970" i="1"/>
  <c r="S2970" i="1"/>
  <c r="N2970" i="1"/>
  <c r="T2969" i="1"/>
  <c r="S2969" i="1"/>
  <c r="N2969" i="1"/>
  <c r="T2968" i="1"/>
  <c r="S2968" i="1"/>
  <c r="N2968" i="1"/>
  <c r="T2967" i="1"/>
  <c r="S2967" i="1"/>
  <c r="N2967" i="1"/>
  <c r="T2966" i="1"/>
  <c r="S2966" i="1"/>
  <c r="N2966" i="1"/>
  <c r="T2965" i="1"/>
  <c r="S2965" i="1"/>
  <c r="N2965" i="1"/>
  <c r="T2964" i="1"/>
  <c r="S2964" i="1"/>
  <c r="N2964" i="1"/>
  <c r="T2963" i="1"/>
  <c r="S2963" i="1"/>
  <c r="N2963" i="1"/>
  <c r="T2962" i="1"/>
  <c r="S2962" i="1"/>
  <c r="N2962" i="1"/>
  <c r="T2961" i="1"/>
  <c r="S2961" i="1"/>
  <c r="N2961" i="1"/>
  <c r="T2960" i="1"/>
  <c r="S2960" i="1"/>
  <c r="N2960" i="1"/>
  <c r="T2959" i="1"/>
  <c r="S2959" i="1"/>
  <c r="N2959" i="1"/>
  <c r="T2958" i="1"/>
  <c r="S2958" i="1"/>
  <c r="N2958" i="1"/>
  <c r="T2957" i="1"/>
  <c r="S2957" i="1"/>
  <c r="N2957" i="1"/>
  <c r="T2956" i="1"/>
  <c r="S2956" i="1"/>
  <c r="N2956" i="1"/>
  <c r="T2955" i="1"/>
  <c r="S2955" i="1"/>
  <c r="N2955" i="1"/>
  <c r="T2954" i="1"/>
  <c r="S2954" i="1"/>
  <c r="N2954" i="1"/>
  <c r="T2953" i="1"/>
  <c r="S2953" i="1"/>
  <c r="N2953" i="1"/>
  <c r="T2952" i="1"/>
  <c r="S2952" i="1"/>
  <c r="N2952" i="1"/>
  <c r="T2951" i="1"/>
  <c r="S2951" i="1"/>
  <c r="N2951" i="1"/>
  <c r="T2950" i="1"/>
  <c r="S2950" i="1"/>
  <c r="N2950" i="1"/>
  <c r="T2949" i="1"/>
  <c r="S2949" i="1"/>
  <c r="N2949" i="1"/>
  <c r="T2948" i="1"/>
  <c r="S2948" i="1"/>
  <c r="N2948" i="1"/>
  <c r="T2947" i="1"/>
  <c r="S2947" i="1"/>
  <c r="N2947" i="1"/>
  <c r="T2946" i="1"/>
  <c r="S2946" i="1"/>
  <c r="N2946" i="1"/>
  <c r="T2945" i="1"/>
  <c r="S2945" i="1"/>
  <c r="N2945" i="1"/>
  <c r="T2944" i="1"/>
  <c r="S2944" i="1"/>
  <c r="N2944" i="1"/>
  <c r="T2943" i="1"/>
  <c r="S2943" i="1"/>
  <c r="N2943" i="1"/>
  <c r="T2942" i="1"/>
  <c r="S2942" i="1"/>
  <c r="N2942" i="1"/>
  <c r="T2941" i="1"/>
  <c r="S2941" i="1"/>
  <c r="N2941" i="1"/>
  <c r="T2940" i="1"/>
  <c r="S2940" i="1"/>
  <c r="N2940" i="1"/>
  <c r="T2939" i="1"/>
  <c r="S2939" i="1"/>
  <c r="N2939" i="1"/>
  <c r="T2938" i="1"/>
  <c r="S2938" i="1"/>
  <c r="N2938" i="1"/>
  <c r="T2937" i="1"/>
  <c r="S2937" i="1"/>
  <c r="N2937" i="1"/>
  <c r="T2936" i="1"/>
  <c r="S2936" i="1"/>
  <c r="N2936" i="1"/>
  <c r="T2935" i="1"/>
  <c r="S2935" i="1"/>
  <c r="N2935" i="1"/>
  <c r="T2934" i="1"/>
  <c r="S2934" i="1"/>
  <c r="N2934" i="1"/>
  <c r="T2933" i="1"/>
  <c r="S2933" i="1"/>
  <c r="N2933" i="1"/>
  <c r="T2932" i="1"/>
  <c r="S2932" i="1"/>
  <c r="N2932" i="1"/>
  <c r="T2931" i="1"/>
  <c r="S2931" i="1"/>
  <c r="N2931" i="1"/>
  <c r="T2930" i="1"/>
  <c r="S2930" i="1"/>
  <c r="N2930" i="1"/>
  <c r="T2929" i="1"/>
  <c r="S2929" i="1"/>
  <c r="N2929" i="1"/>
  <c r="T2928" i="1"/>
  <c r="S2928" i="1"/>
  <c r="N2928" i="1"/>
  <c r="T2927" i="1"/>
  <c r="S2927" i="1"/>
  <c r="N2927" i="1"/>
  <c r="T2926" i="1"/>
  <c r="S2926" i="1"/>
  <c r="N2926" i="1"/>
  <c r="T2925" i="1"/>
  <c r="S2925" i="1"/>
  <c r="N2925" i="1"/>
  <c r="T2924" i="1"/>
  <c r="S2924" i="1"/>
  <c r="N2924" i="1"/>
  <c r="T2923" i="1"/>
  <c r="S2923" i="1"/>
  <c r="N2923" i="1"/>
  <c r="T2922" i="1"/>
  <c r="S2922" i="1"/>
  <c r="N2922" i="1"/>
  <c r="T2921" i="1"/>
  <c r="S2921" i="1"/>
  <c r="N2921" i="1"/>
  <c r="T2920" i="1"/>
  <c r="S2920" i="1"/>
  <c r="N2920" i="1"/>
  <c r="T2919" i="1"/>
  <c r="S2919" i="1"/>
  <c r="N2919" i="1"/>
  <c r="T2918" i="1"/>
  <c r="S2918" i="1"/>
  <c r="N2918" i="1"/>
  <c r="T2917" i="1"/>
  <c r="S2917" i="1"/>
  <c r="N2917" i="1"/>
  <c r="T2916" i="1"/>
  <c r="S2916" i="1"/>
  <c r="N2916" i="1"/>
  <c r="T2915" i="1"/>
  <c r="S2915" i="1"/>
  <c r="N2915" i="1"/>
  <c r="T2914" i="1"/>
  <c r="S2914" i="1"/>
  <c r="N2914" i="1"/>
  <c r="T2913" i="1"/>
  <c r="S2913" i="1"/>
  <c r="N2913" i="1"/>
  <c r="T2912" i="1"/>
  <c r="S2912" i="1"/>
  <c r="N2912" i="1"/>
  <c r="T2911" i="1"/>
  <c r="S2911" i="1"/>
  <c r="N2911" i="1"/>
  <c r="T2910" i="1"/>
  <c r="S2910" i="1"/>
  <c r="N2910" i="1"/>
  <c r="T2909" i="1"/>
  <c r="S2909" i="1"/>
  <c r="N2909" i="1"/>
  <c r="T2908" i="1"/>
  <c r="S2908" i="1"/>
  <c r="N2908" i="1"/>
  <c r="T2907" i="1"/>
  <c r="S2907" i="1"/>
  <c r="N2907" i="1"/>
  <c r="T2906" i="1"/>
  <c r="S2906" i="1"/>
  <c r="N2906" i="1"/>
  <c r="T2905" i="1"/>
  <c r="S2905" i="1"/>
  <c r="N2905" i="1"/>
  <c r="T2904" i="1"/>
  <c r="S2904" i="1"/>
  <c r="N2904" i="1"/>
  <c r="T2903" i="1"/>
  <c r="S2903" i="1"/>
  <c r="N2903" i="1"/>
  <c r="T2902" i="1"/>
  <c r="S2902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T2866" i="1"/>
  <c r="S2866" i="1"/>
  <c r="N2866" i="1"/>
  <c r="N2865" i="1"/>
  <c r="N2864" i="1"/>
  <c r="N2863" i="1"/>
  <c r="T2862" i="1"/>
  <c r="S2862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T2709" i="1"/>
  <c r="S2709" i="1"/>
  <c r="N2709" i="1"/>
  <c r="T2708" i="1"/>
  <c r="S2708" i="1"/>
  <c r="N2708" i="1"/>
  <c r="T2707" i="1"/>
  <c r="S2707" i="1"/>
  <c r="N2707" i="1"/>
  <c r="T2706" i="1"/>
  <c r="S2706" i="1"/>
  <c r="N2706" i="1"/>
  <c r="T2705" i="1"/>
  <c r="S2705" i="1"/>
  <c r="N2705" i="1"/>
  <c r="T2704" i="1"/>
  <c r="S2704" i="1"/>
  <c r="N2704" i="1"/>
  <c r="T2703" i="1"/>
  <c r="S2703" i="1"/>
  <c r="N2703" i="1"/>
  <c r="T2702" i="1"/>
  <c r="S2702" i="1"/>
  <c r="N2702" i="1"/>
  <c r="T2701" i="1"/>
  <c r="S2701" i="1"/>
  <c r="N2701" i="1"/>
  <c r="T2700" i="1"/>
  <c r="S2700" i="1"/>
  <c r="N2700" i="1"/>
  <c r="T2699" i="1"/>
  <c r="S2699" i="1"/>
  <c r="N2699" i="1"/>
  <c r="T2698" i="1"/>
  <c r="S2698" i="1"/>
  <c r="N2698" i="1"/>
  <c r="T2697" i="1"/>
  <c r="S2697" i="1"/>
  <c r="N2697" i="1"/>
  <c r="T2696" i="1"/>
  <c r="S2696" i="1"/>
  <c r="N2696" i="1"/>
  <c r="T2695" i="1"/>
  <c r="S2695" i="1"/>
  <c r="N2695" i="1"/>
  <c r="T2694" i="1"/>
  <c r="S2694" i="1"/>
  <c r="N2694" i="1"/>
  <c r="T2693" i="1"/>
  <c r="S2693" i="1"/>
  <c r="N2693" i="1"/>
  <c r="T2692" i="1"/>
  <c r="S2692" i="1"/>
  <c r="N2692" i="1"/>
  <c r="T2691" i="1"/>
  <c r="S2691" i="1"/>
  <c r="N2691" i="1"/>
  <c r="T2690" i="1"/>
  <c r="S2690" i="1"/>
  <c r="N2690" i="1"/>
  <c r="T2689" i="1"/>
  <c r="S2689" i="1"/>
  <c r="N2689" i="1"/>
  <c r="T2688" i="1"/>
  <c r="S2688" i="1"/>
  <c r="N2688" i="1"/>
  <c r="T2687" i="1"/>
  <c r="S2687" i="1"/>
  <c r="N2687" i="1"/>
  <c r="T2686" i="1"/>
  <c r="S2686" i="1"/>
  <c r="N2686" i="1"/>
  <c r="T2685" i="1"/>
  <c r="S2685" i="1"/>
  <c r="N2685" i="1"/>
  <c r="T2684" i="1"/>
  <c r="S2684" i="1"/>
  <c r="N2684" i="1"/>
  <c r="T2683" i="1"/>
  <c r="S2683" i="1"/>
  <c r="N2683" i="1"/>
  <c r="T2682" i="1"/>
  <c r="S2682" i="1"/>
  <c r="N2682" i="1"/>
  <c r="T2681" i="1"/>
  <c r="S2681" i="1"/>
  <c r="N2681" i="1"/>
  <c r="T2680" i="1"/>
  <c r="S2680" i="1"/>
  <c r="N2680" i="1"/>
  <c r="T2679" i="1"/>
  <c r="S2679" i="1"/>
  <c r="N2679" i="1"/>
  <c r="T2678" i="1"/>
  <c r="S2678" i="1"/>
  <c r="N2678" i="1"/>
  <c r="T2677" i="1"/>
  <c r="S2677" i="1"/>
  <c r="N2677" i="1"/>
  <c r="T2676" i="1"/>
  <c r="S2676" i="1"/>
  <c r="N2676" i="1"/>
  <c r="T2675" i="1"/>
  <c r="S2675" i="1"/>
  <c r="N2675" i="1"/>
  <c r="T2674" i="1"/>
  <c r="S2674" i="1"/>
  <c r="N2674" i="1"/>
  <c r="T2673" i="1"/>
  <c r="S2673" i="1"/>
  <c r="N2673" i="1"/>
  <c r="T2672" i="1"/>
  <c r="S2672" i="1"/>
  <c r="N2672" i="1"/>
  <c r="T2671" i="1"/>
  <c r="S2671" i="1"/>
  <c r="N2671" i="1"/>
  <c r="T2670" i="1"/>
  <c r="S2670" i="1"/>
  <c r="N2670" i="1"/>
  <c r="T2669" i="1"/>
  <c r="S2669" i="1"/>
  <c r="N2669" i="1"/>
  <c r="T2668" i="1"/>
  <c r="S2668" i="1"/>
  <c r="N2668" i="1"/>
  <c r="T2667" i="1"/>
  <c r="S2667" i="1"/>
  <c r="N2667" i="1"/>
  <c r="T2666" i="1"/>
  <c r="S2666" i="1"/>
  <c r="N2666" i="1"/>
  <c r="T2665" i="1"/>
  <c r="S2665" i="1"/>
  <c r="N2665" i="1"/>
  <c r="T2664" i="1"/>
  <c r="S2664" i="1"/>
  <c r="N2664" i="1"/>
  <c r="T2663" i="1"/>
  <c r="S2663" i="1"/>
  <c r="N2663" i="1"/>
  <c r="T2662" i="1"/>
  <c r="S2662" i="1"/>
  <c r="N2662" i="1"/>
  <c r="T2661" i="1"/>
  <c r="S2661" i="1"/>
  <c r="N2661" i="1"/>
  <c r="T2660" i="1"/>
  <c r="S2660" i="1"/>
  <c r="N2660" i="1"/>
  <c r="T2659" i="1"/>
  <c r="S2659" i="1"/>
  <c r="N2659" i="1"/>
  <c r="T2658" i="1"/>
  <c r="S2658" i="1"/>
  <c r="N2658" i="1"/>
  <c r="T2657" i="1"/>
  <c r="S2657" i="1"/>
  <c r="N2657" i="1"/>
  <c r="T2656" i="1"/>
  <c r="S2656" i="1"/>
  <c r="N2656" i="1"/>
  <c r="T2655" i="1"/>
  <c r="S2655" i="1"/>
  <c r="N2655" i="1"/>
  <c r="T2654" i="1"/>
  <c r="S2654" i="1"/>
  <c r="N2654" i="1"/>
  <c r="T2653" i="1"/>
  <c r="S2653" i="1"/>
  <c r="N2653" i="1"/>
  <c r="T2652" i="1"/>
  <c r="S2652" i="1"/>
  <c r="N2652" i="1"/>
  <c r="T2651" i="1"/>
  <c r="S2651" i="1"/>
  <c r="N2651" i="1"/>
  <c r="T2650" i="1"/>
  <c r="S2650" i="1"/>
  <c r="N2650" i="1"/>
  <c r="T2649" i="1"/>
  <c r="S2649" i="1"/>
  <c r="N2649" i="1"/>
  <c r="T2648" i="1"/>
  <c r="S2648" i="1"/>
  <c r="N2648" i="1"/>
  <c r="T2647" i="1"/>
  <c r="S2647" i="1"/>
  <c r="N2647" i="1"/>
  <c r="T2646" i="1"/>
  <c r="S2646" i="1"/>
  <c r="N2646" i="1"/>
  <c r="T2645" i="1"/>
  <c r="S2645" i="1"/>
  <c r="N2645" i="1"/>
  <c r="T2644" i="1"/>
  <c r="S2644" i="1"/>
  <c r="N2644" i="1"/>
  <c r="T2643" i="1"/>
  <c r="S2643" i="1"/>
  <c r="N2643" i="1"/>
  <c r="T2642" i="1"/>
  <c r="S2642" i="1"/>
  <c r="N2642" i="1"/>
  <c r="T2641" i="1"/>
  <c r="S2641" i="1"/>
  <c r="N2641" i="1"/>
  <c r="T2640" i="1"/>
  <c r="S2640" i="1"/>
  <c r="N2640" i="1"/>
  <c r="T2639" i="1"/>
  <c r="S2639" i="1"/>
  <c r="N2639" i="1"/>
  <c r="T2638" i="1"/>
  <c r="S2638" i="1"/>
  <c r="N2638" i="1"/>
  <c r="T2637" i="1"/>
  <c r="S2637" i="1"/>
  <c r="N2637" i="1"/>
  <c r="T2636" i="1"/>
  <c r="S2636" i="1"/>
  <c r="N2636" i="1"/>
  <c r="T2635" i="1"/>
  <c r="S2635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T2384" i="1"/>
  <c r="S2384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T1900" i="1"/>
  <c r="S1900" i="1"/>
  <c r="N1900" i="1"/>
  <c r="T1899" i="1"/>
  <c r="S1899" i="1"/>
  <c r="N1899" i="1"/>
  <c r="T1898" i="1"/>
  <c r="S1898" i="1"/>
  <c r="N1898" i="1"/>
  <c r="T1897" i="1"/>
  <c r="S1897" i="1"/>
  <c r="N1897" i="1"/>
  <c r="T1896" i="1"/>
  <c r="S1896" i="1"/>
  <c r="N1896" i="1"/>
  <c r="N1895" i="1"/>
  <c r="N1894" i="1"/>
  <c r="T1893" i="1"/>
  <c r="S1893" i="1"/>
  <c r="N1893" i="1"/>
  <c r="N1892" i="1"/>
  <c r="T1891" i="1"/>
  <c r="S1891" i="1"/>
  <c r="N1891" i="1"/>
  <c r="T1890" i="1"/>
  <c r="S1890" i="1"/>
  <c r="N1890" i="1"/>
  <c r="T1889" i="1"/>
  <c r="S1889" i="1"/>
  <c r="N1889" i="1"/>
  <c r="T1888" i="1"/>
  <c r="S1888" i="1"/>
  <c r="N1888" i="1"/>
  <c r="T1887" i="1"/>
  <c r="S1887" i="1"/>
  <c r="N1887" i="1"/>
  <c r="T1886" i="1"/>
  <c r="S1886" i="1"/>
  <c r="N1886" i="1"/>
  <c r="T1885" i="1"/>
  <c r="S1885" i="1"/>
  <c r="N1885" i="1"/>
  <c r="T1884" i="1"/>
  <c r="S1884" i="1"/>
  <c r="N1884" i="1"/>
  <c r="T1883" i="1"/>
  <c r="S1883" i="1"/>
  <c r="N1883" i="1"/>
  <c r="T1882" i="1"/>
  <c r="S1882" i="1"/>
  <c r="N1882" i="1"/>
  <c r="T1881" i="1"/>
  <c r="S1881" i="1"/>
  <c r="N1881" i="1"/>
  <c r="T1880" i="1"/>
  <c r="S1880" i="1"/>
  <c r="N1880" i="1"/>
  <c r="T1879" i="1"/>
  <c r="S1879" i="1"/>
  <c r="N1879" i="1"/>
  <c r="T1878" i="1"/>
  <c r="S1878" i="1"/>
  <c r="N1878" i="1"/>
  <c r="T1877" i="1"/>
  <c r="S1877" i="1"/>
  <c r="N1877" i="1"/>
  <c r="T1876" i="1"/>
  <c r="S1876" i="1"/>
  <c r="N1876" i="1"/>
  <c r="T1875" i="1"/>
  <c r="S1875" i="1"/>
  <c r="N1875" i="1"/>
  <c r="T1874" i="1"/>
  <c r="S1874" i="1"/>
  <c r="N1874" i="1"/>
  <c r="T1873" i="1"/>
  <c r="S1873" i="1"/>
  <c r="N1873" i="1"/>
  <c r="T1872" i="1"/>
  <c r="S1872" i="1"/>
  <c r="N1872" i="1"/>
  <c r="T1871" i="1"/>
  <c r="S1871" i="1"/>
  <c r="N1871" i="1"/>
  <c r="T1870" i="1"/>
  <c r="S1870" i="1"/>
  <c r="N1870" i="1"/>
  <c r="T1869" i="1"/>
  <c r="S1869" i="1"/>
  <c r="N1869" i="1"/>
  <c r="T1868" i="1"/>
  <c r="S1868" i="1"/>
  <c r="N1868" i="1"/>
  <c r="T1867" i="1"/>
  <c r="S1867" i="1"/>
  <c r="N1867" i="1"/>
  <c r="T1866" i="1"/>
  <c r="S1866" i="1"/>
  <c r="N1866" i="1"/>
  <c r="T1865" i="1"/>
  <c r="S1865" i="1"/>
  <c r="N1865" i="1"/>
  <c r="T1864" i="1"/>
  <c r="S1864" i="1"/>
  <c r="N1864" i="1"/>
  <c r="T1863" i="1"/>
  <c r="S1863" i="1"/>
  <c r="N1863" i="1"/>
  <c r="T1862" i="1"/>
  <c r="S1862" i="1"/>
  <c r="N1862" i="1"/>
  <c r="T1861" i="1"/>
  <c r="S1861" i="1"/>
  <c r="N1861" i="1"/>
  <c r="T1860" i="1"/>
  <c r="S1860" i="1"/>
  <c r="N1860" i="1"/>
  <c r="T1859" i="1"/>
  <c r="S1859" i="1"/>
  <c r="N1859" i="1"/>
  <c r="T1858" i="1"/>
  <c r="S1858" i="1"/>
  <c r="N1858" i="1"/>
  <c r="T1857" i="1"/>
  <c r="S1857" i="1"/>
  <c r="N1857" i="1"/>
  <c r="T1856" i="1"/>
  <c r="S1856" i="1"/>
  <c r="N1856" i="1"/>
  <c r="T1855" i="1"/>
  <c r="S1855" i="1"/>
  <c r="N1855" i="1"/>
  <c r="T1854" i="1"/>
  <c r="S1854" i="1"/>
  <c r="N1854" i="1"/>
  <c r="T1853" i="1"/>
  <c r="S1853" i="1"/>
  <c r="N1853" i="1"/>
  <c r="T1852" i="1"/>
  <c r="S1852" i="1"/>
  <c r="N1852" i="1"/>
  <c r="T1851" i="1"/>
  <c r="S1851" i="1"/>
  <c r="N1851" i="1"/>
  <c r="T1850" i="1"/>
  <c r="S1850" i="1"/>
  <c r="N1850" i="1"/>
  <c r="T1849" i="1"/>
  <c r="S1849" i="1"/>
  <c r="N1849" i="1"/>
  <c r="T1848" i="1"/>
  <c r="S1848" i="1"/>
  <c r="N1848" i="1"/>
  <c r="T1847" i="1"/>
  <c r="S1847" i="1"/>
  <c r="N1847" i="1"/>
  <c r="T1846" i="1"/>
  <c r="S1846" i="1"/>
  <c r="N1846" i="1"/>
  <c r="T1845" i="1"/>
  <c r="S1845" i="1"/>
  <c r="N1845" i="1"/>
  <c r="T1844" i="1"/>
  <c r="S1844" i="1"/>
  <c r="N1844" i="1"/>
  <c r="T1843" i="1"/>
  <c r="S1843" i="1"/>
  <c r="N1843" i="1"/>
  <c r="T1842" i="1"/>
  <c r="S1842" i="1"/>
  <c r="N1842" i="1"/>
  <c r="T1841" i="1"/>
  <c r="S1841" i="1"/>
  <c r="N1841" i="1"/>
  <c r="T1840" i="1"/>
  <c r="S1840" i="1"/>
  <c r="N1840" i="1"/>
  <c r="T1839" i="1"/>
  <c r="S1839" i="1"/>
  <c r="N1839" i="1"/>
  <c r="T1838" i="1"/>
  <c r="S1838" i="1"/>
  <c r="N1838" i="1"/>
  <c r="T1837" i="1"/>
  <c r="S1837" i="1"/>
  <c r="N1837" i="1"/>
  <c r="T1836" i="1"/>
  <c r="S1836" i="1"/>
  <c r="N1836" i="1"/>
  <c r="T1835" i="1"/>
  <c r="S1835" i="1"/>
  <c r="N1835" i="1"/>
  <c r="T1834" i="1"/>
  <c r="S1834" i="1"/>
  <c r="N1834" i="1"/>
  <c r="T1833" i="1"/>
  <c r="S1833" i="1"/>
  <c r="N1833" i="1"/>
  <c r="T1832" i="1"/>
  <c r="S1832" i="1"/>
  <c r="N1832" i="1"/>
  <c r="T1831" i="1"/>
  <c r="S1831" i="1"/>
  <c r="N1831" i="1"/>
  <c r="T1830" i="1"/>
  <c r="S1830" i="1"/>
  <c r="N1830" i="1"/>
  <c r="T1829" i="1"/>
  <c r="S1829" i="1"/>
  <c r="N1829" i="1"/>
  <c r="T1828" i="1"/>
  <c r="S1828" i="1"/>
  <c r="N1828" i="1"/>
  <c r="T1827" i="1"/>
  <c r="S1827" i="1"/>
  <c r="N1827" i="1"/>
  <c r="T1826" i="1"/>
  <c r="S1826" i="1"/>
  <c r="N1826" i="1"/>
  <c r="T1825" i="1"/>
  <c r="S1825" i="1"/>
  <c r="N1825" i="1"/>
  <c r="T1824" i="1"/>
  <c r="S1824" i="1"/>
  <c r="N1824" i="1"/>
  <c r="T1823" i="1"/>
  <c r="S1823" i="1"/>
  <c r="N1823" i="1"/>
  <c r="T1822" i="1"/>
  <c r="S1822" i="1"/>
  <c r="N1822" i="1"/>
  <c r="T1821" i="1"/>
  <c r="S1821" i="1"/>
  <c r="N1821" i="1"/>
  <c r="T1820" i="1"/>
  <c r="S1820" i="1"/>
  <c r="N1820" i="1"/>
  <c r="T1819" i="1"/>
  <c r="S1819" i="1"/>
  <c r="N1819" i="1"/>
  <c r="T1818" i="1"/>
  <c r="S1818" i="1"/>
  <c r="N1818" i="1"/>
  <c r="T1817" i="1"/>
  <c r="S1817" i="1"/>
  <c r="N1817" i="1"/>
  <c r="T1816" i="1"/>
  <c r="S1816" i="1"/>
  <c r="N1816" i="1"/>
  <c r="T1815" i="1"/>
  <c r="S1815" i="1"/>
  <c r="N1815" i="1"/>
  <c r="T1814" i="1"/>
  <c r="S1814" i="1"/>
  <c r="N1814" i="1"/>
  <c r="T1813" i="1"/>
  <c r="S1813" i="1"/>
  <c r="N1813" i="1"/>
  <c r="T1812" i="1"/>
  <c r="S1812" i="1"/>
  <c r="N1812" i="1"/>
  <c r="T1811" i="1"/>
  <c r="S1811" i="1"/>
  <c r="N1811" i="1"/>
  <c r="T1810" i="1"/>
  <c r="S1810" i="1"/>
  <c r="N1810" i="1"/>
  <c r="T1809" i="1"/>
  <c r="S1809" i="1"/>
  <c r="N1809" i="1"/>
  <c r="T1808" i="1"/>
  <c r="S1808" i="1"/>
  <c r="N1808" i="1"/>
  <c r="T1807" i="1"/>
  <c r="S1807" i="1"/>
  <c r="N1807" i="1"/>
  <c r="T1806" i="1"/>
  <c r="S1806" i="1"/>
  <c r="N1806" i="1"/>
  <c r="T1805" i="1"/>
  <c r="S1805" i="1"/>
  <c r="N1805" i="1"/>
  <c r="T1804" i="1"/>
  <c r="S1804" i="1"/>
  <c r="N1804" i="1"/>
  <c r="T1803" i="1"/>
  <c r="S1803" i="1"/>
  <c r="N1803" i="1"/>
  <c r="T1802" i="1"/>
  <c r="S1802" i="1"/>
  <c r="N1802" i="1"/>
  <c r="T1801" i="1"/>
  <c r="S1801" i="1"/>
  <c r="N1801" i="1"/>
  <c r="T1800" i="1"/>
  <c r="S1800" i="1"/>
  <c r="N1800" i="1"/>
  <c r="T1799" i="1"/>
  <c r="S1799" i="1"/>
  <c r="N1799" i="1"/>
  <c r="T1798" i="1"/>
  <c r="S1798" i="1"/>
  <c r="N1798" i="1"/>
  <c r="T1797" i="1"/>
  <c r="S1797" i="1"/>
  <c r="N1797" i="1"/>
  <c r="T1796" i="1"/>
  <c r="S1796" i="1"/>
  <c r="N1796" i="1"/>
  <c r="T1795" i="1"/>
  <c r="S1795" i="1"/>
  <c r="N1795" i="1"/>
  <c r="T1794" i="1"/>
  <c r="S1794" i="1"/>
  <c r="N1794" i="1"/>
  <c r="T1793" i="1"/>
  <c r="S1793" i="1"/>
  <c r="N1793" i="1"/>
  <c r="T1792" i="1"/>
  <c r="S1792" i="1"/>
  <c r="N1792" i="1"/>
  <c r="T1791" i="1"/>
  <c r="S1791" i="1"/>
  <c r="N1791" i="1"/>
  <c r="T1790" i="1"/>
  <c r="S1790" i="1"/>
  <c r="N1790" i="1"/>
  <c r="T1789" i="1"/>
  <c r="S1789" i="1"/>
  <c r="N1789" i="1"/>
  <c r="T1788" i="1"/>
  <c r="S1788" i="1"/>
  <c r="N1788" i="1"/>
  <c r="T1787" i="1"/>
  <c r="S1787" i="1"/>
  <c r="N1787" i="1"/>
  <c r="T1786" i="1"/>
  <c r="S1786" i="1"/>
  <c r="N1786" i="1"/>
  <c r="T1785" i="1"/>
  <c r="S1785" i="1"/>
  <c r="N1785" i="1"/>
  <c r="T1784" i="1"/>
  <c r="S1784" i="1"/>
  <c r="N1784" i="1"/>
  <c r="T1783" i="1"/>
  <c r="S1783" i="1"/>
  <c r="N1783" i="1"/>
  <c r="T1782" i="1"/>
  <c r="S1782" i="1"/>
  <c r="N1782" i="1"/>
  <c r="T1781" i="1"/>
  <c r="S1781" i="1"/>
  <c r="N1781" i="1"/>
  <c r="T1780" i="1"/>
  <c r="S1780" i="1"/>
  <c r="N1780" i="1"/>
  <c r="T1779" i="1"/>
  <c r="S1779" i="1"/>
  <c r="N1779" i="1"/>
  <c r="T1778" i="1"/>
  <c r="S1778" i="1"/>
  <c r="N1778" i="1"/>
  <c r="T1777" i="1"/>
  <c r="S1777" i="1"/>
  <c r="N1777" i="1"/>
  <c r="T1776" i="1"/>
  <c r="S1776" i="1"/>
  <c r="N1776" i="1"/>
  <c r="T1775" i="1"/>
  <c r="S1775" i="1"/>
  <c r="N1775" i="1"/>
  <c r="T1774" i="1"/>
  <c r="S1774" i="1"/>
  <c r="N1774" i="1"/>
  <c r="T1773" i="1"/>
  <c r="S1773" i="1"/>
  <c r="N1773" i="1"/>
  <c r="T1772" i="1"/>
  <c r="S1772" i="1"/>
  <c r="N1772" i="1"/>
  <c r="T1771" i="1"/>
  <c r="S1771" i="1"/>
  <c r="N1771" i="1"/>
  <c r="T1770" i="1"/>
  <c r="S1770" i="1"/>
  <c r="N1770" i="1"/>
  <c r="T1769" i="1"/>
  <c r="S1769" i="1"/>
  <c r="N1769" i="1"/>
  <c r="T1768" i="1"/>
  <c r="S1768" i="1"/>
  <c r="N1768" i="1"/>
  <c r="T1767" i="1"/>
  <c r="S1767" i="1"/>
  <c r="N1767" i="1"/>
  <c r="T1766" i="1"/>
  <c r="S1766" i="1"/>
  <c r="N1766" i="1"/>
  <c r="T1765" i="1"/>
  <c r="S1765" i="1"/>
  <c r="N1765" i="1"/>
  <c r="T1764" i="1"/>
  <c r="S1764" i="1"/>
  <c r="N1764" i="1"/>
  <c r="T1763" i="1"/>
  <c r="S1763" i="1"/>
  <c r="N1763" i="1"/>
  <c r="T1762" i="1"/>
  <c r="S1762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T1611" i="1"/>
  <c r="S1611" i="1"/>
  <c r="N1611" i="1"/>
  <c r="T1610" i="1"/>
  <c r="S1610" i="1"/>
  <c r="N1610" i="1"/>
  <c r="T1609" i="1"/>
  <c r="S1609" i="1"/>
  <c r="N1609" i="1"/>
  <c r="T1608" i="1"/>
  <c r="S1608" i="1"/>
  <c r="N1608" i="1"/>
  <c r="T1607" i="1"/>
  <c r="S1607" i="1"/>
  <c r="N1607" i="1"/>
  <c r="T1606" i="1"/>
  <c r="S1606" i="1"/>
  <c r="N1606" i="1"/>
  <c r="T1605" i="1"/>
  <c r="S1605" i="1"/>
  <c r="N1605" i="1"/>
  <c r="T1604" i="1"/>
  <c r="S1604" i="1"/>
  <c r="N1604" i="1"/>
  <c r="T1603" i="1"/>
  <c r="S1603" i="1"/>
  <c r="N1603" i="1"/>
  <c r="T1602" i="1"/>
  <c r="S1602" i="1"/>
  <c r="N1602" i="1"/>
  <c r="T1601" i="1"/>
  <c r="S1601" i="1"/>
  <c r="N1601" i="1"/>
  <c r="T1600" i="1"/>
  <c r="S1600" i="1"/>
  <c r="N1600" i="1"/>
  <c r="T1599" i="1"/>
  <c r="S1599" i="1"/>
  <c r="N1599" i="1"/>
  <c r="T1598" i="1"/>
  <c r="S1598" i="1"/>
  <c r="N1598" i="1"/>
  <c r="T1597" i="1"/>
  <c r="S1597" i="1"/>
  <c r="N1597" i="1"/>
  <c r="T1596" i="1"/>
  <c r="S1596" i="1"/>
  <c r="N1596" i="1"/>
  <c r="T1595" i="1"/>
  <c r="S1595" i="1"/>
  <c r="N1595" i="1"/>
  <c r="T1594" i="1"/>
  <c r="S1594" i="1"/>
  <c r="N1594" i="1"/>
  <c r="T1593" i="1"/>
  <c r="S1593" i="1"/>
  <c r="N1593" i="1"/>
  <c r="T1592" i="1"/>
  <c r="S1592" i="1"/>
  <c r="N1592" i="1"/>
  <c r="T1591" i="1"/>
  <c r="S1591" i="1"/>
  <c r="N1591" i="1"/>
  <c r="T1590" i="1"/>
  <c r="S1590" i="1"/>
  <c r="N1590" i="1"/>
  <c r="T1589" i="1"/>
  <c r="S1589" i="1"/>
  <c r="N1589" i="1"/>
  <c r="T1588" i="1"/>
  <c r="S1588" i="1"/>
  <c r="N1588" i="1"/>
  <c r="T1587" i="1"/>
  <c r="S1587" i="1"/>
  <c r="N1587" i="1"/>
  <c r="T1586" i="1"/>
  <c r="S1586" i="1"/>
  <c r="N1586" i="1"/>
  <c r="T1585" i="1"/>
  <c r="S1585" i="1"/>
  <c r="N1585" i="1"/>
  <c r="T1584" i="1"/>
  <c r="S1584" i="1"/>
  <c r="N1584" i="1"/>
  <c r="T1583" i="1"/>
  <c r="S1583" i="1"/>
  <c r="N1583" i="1"/>
  <c r="T1582" i="1"/>
  <c r="S1582" i="1"/>
  <c r="N1582" i="1"/>
  <c r="T1581" i="1"/>
  <c r="S1581" i="1"/>
  <c r="N1581" i="1"/>
  <c r="T1580" i="1"/>
  <c r="S1580" i="1"/>
  <c r="N1580" i="1"/>
  <c r="T1579" i="1"/>
  <c r="S1579" i="1"/>
  <c r="N1579" i="1"/>
  <c r="T1578" i="1"/>
  <c r="S1578" i="1"/>
  <c r="N1578" i="1"/>
  <c r="T1577" i="1"/>
  <c r="S1577" i="1"/>
  <c r="N1577" i="1"/>
  <c r="T1576" i="1"/>
  <c r="S1576" i="1"/>
  <c r="N1576" i="1"/>
  <c r="T1575" i="1"/>
  <c r="S1575" i="1"/>
  <c r="N1575" i="1"/>
  <c r="T1574" i="1"/>
  <c r="S1574" i="1"/>
  <c r="N1574" i="1"/>
  <c r="T1573" i="1"/>
  <c r="S1573" i="1"/>
  <c r="N1573" i="1"/>
  <c r="T1572" i="1"/>
  <c r="S1572" i="1"/>
  <c r="N1572" i="1"/>
  <c r="T1571" i="1"/>
  <c r="S1571" i="1"/>
  <c r="N1571" i="1"/>
  <c r="T1570" i="1"/>
  <c r="S1570" i="1"/>
  <c r="N1570" i="1"/>
  <c r="T1569" i="1"/>
  <c r="S1569" i="1"/>
  <c r="N1569" i="1"/>
  <c r="T1568" i="1"/>
  <c r="S1568" i="1"/>
  <c r="N1568" i="1"/>
  <c r="T1567" i="1"/>
  <c r="S1567" i="1"/>
  <c r="N1567" i="1"/>
  <c r="T1566" i="1"/>
  <c r="S1566" i="1"/>
  <c r="N1566" i="1"/>
  <c r="T1565" i="1"/>
  <c r="S1565" i="1"/>
  <c r="N1565" i="1"/>
  <c r="T1564" i="1"/>
  <c r="S1564" i="1"/>
  <c r="N1564" i="1"/>
  <c r="T1563" i="1"/>
  <c r="S1563" i="1"/>
  <c r="N1563" i="1"/>
  <c r="T1562" i="1"/>
  <c r="S1562" i="1"/>
  <c r="N1562" i="1"/>
  <c r="T1561" i="1"/>
  <c r="S1561" i="1"/>
  <c r="N1561" i="1"/>
  <c r="T1560" i="1"/>
  <c r="S1560" i="1"/>
  <c r="N1560" i="1"/>
  <c r="T1559" i="1"/>
  <c r="S1559" i="1"/>
  <c r="N1559" i="1"/>
  <c r="T1558" i="1"/>
  <c r="S1558" i="1"/>
  <c r="N1558" i="1"/>
  <c r="T1557" i="1"/>
  <c r="S1557" i="1"/>
  <c r="N1557" i="1"/>
  <c r="T1556" i="1"/>
  <c r="S1556" i="1"/>
  <c r="N1556" i="1"/>
  <c r="T1555" i="1"/>
  <c r="S1555" i="1"/>
  <c r="N1555" i="1"/>
  <c r="T1554" i="1"/>
  <c r="S1554" i="1"/>
  <c r="N1554" i="1"/>
  <c r="T1553" i="1"/>
  <c r="S1553" i="1"/>
  <c r="N1553" i="1"/>
  <c r="T1552" i="1"/>
  <c r="S1552" i="1"/>
  <c r="N1552" i="1"/>
  <c r="T1551" i="1"/>
  <c r="S1551" i="1"/>
  <c r="N1551" i="1"/>
  <c r="T1550" i="1"/>
  <c r="S1550" i="1"/>
  <c r="N1550" i="1"/>
  <c r="T1549" i="1"/>
  <c r="S1549" i="1"/>
  <c r="N1549" i="1"/>
  <c r="T1548" i="1"/>
  <c r="S1548" i="1"/>
  <c r="N1548" i="1"/>
  <c r="T1547" i="1"/>
  <c r="S1547" i="1"/>
  <c r="N1547" i="1"/>
  <c r="T1546" i="1"/>
  <c r="S1546" i="1"/>
  <c r="N1546" i="1"/>
  <c r="T1545" i="1"/>
  <c r="S1545" i="1"/>
  <c r="N1545" i="1"/>
  <c r="T1544" i="1"/>
  <c r="S1544" i="1"/>
  <c r="N1544" i="1"/>
  <c r="T1543" i="1"/>
  <c r="S1543" i="1"/>
  <c r="N1543" i="1"/>
  <c r="T1542" i="1"/>
  <c r="S1542" i="1"/>
  <c r="N1542" i="1"/>
  <c r="T1541" i="1"/>
  <c r="S1541" i="1"/>
  <c r="N1541" i="1"/>
  <c r="T1540" i="1"/>
  <c r="S1540" i="1"/>
  <c r="N1540" i="1"/>
  <c r="T1539" i="1"/>
  <c r="S1539" i="1"/>
  <c r="N1539" i="1"/>
  <c r="T1538" i="1"/>
  <c r="S1538" i="1"/>
  <c r="N1538" i="1"/>
  <c r="T1537" i="1"/>
  <c r="S1537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T1203" i="1"/>
  <c r="S1203" i="1"/>
  <c r="N1203" i="1"/>
  <c r="T1202" i="1"/>
  <c r="S1202" i="1"/>
  <c r="N1202" i="1"/>
  <c r="T1201" i="1"/>
  <c r="S1201" i="1"/>
  <c r="N1201" i="1"/>
  <c r="T1200" i="1"/>
  <c r="S1200" i="1"/>
  <c r="N1200" i="1"/>
  <c r="T1199" i="1"/>
  <c r="S1199" i="1"/>
  <c r="N1199" i="1"/>
  <c r="T1198" i="1"/>
  <c r="S1198" i="1"/>
  <c r="N1198" i="1"/>
  <c r="T1197" i="1"/>
  <c r="S1197" i="1"/>
  <c r="N1197" i="1"/>
  <c r="T1196" i="1"/>
  <c r="S1196" i="1"/>
  <c r="N1196" i="1"/>
  <c r="T1195" i="1"/>
  <c r="S1195" i="1"/>
  <c r="N1195" i="1"/>
  <c r="T1194" i="1"/>
  <c r="S1194" i="1"/>
  <c r="N1194" i="1"/>
  <c r="T1193" i="1"/>
  <c r="S1193" i="1"/>
  <c r="N1193" i="1"/>
  <c r="T1192" i="1"/>
  <c r="S1192" i="1"/>
  <c r="N1192" i="1"/>
  <c r="T1191" i="1"/>
  <c r="S1191" i="1"/>
  <c r="N1191" i="1"/>
  <c r="T1190" i="1"/>
  <c r="S1190" i="1"/>
  <c r="N1190" i="1"/>
  <c r="T1189" i="1"/>
  <c r="S1189" i="1"/>
  <c r="N1189" i="1"/>
  <c r="T1188" i="1"/>
  <c r="S1188" i="1"/>
  <c r="N1188" i="1"/>
  <c r="T1187" i="1"/>
  <c r="S1187" i="1"/>
  <c r="N1187" i="1"/>
  <c r="T1186" i="1"/>
  <c r="S1186" i="1"/>
  <c r="N1186" i="1"/>
  <c r="T1185" i="1"/>
  <c r="S1185" i="1"/>
  <c r="N1185" i="1"/>
  <c r="T1184" i="1"/>
  <c r="S1184" i="1"/>
  <c r="N1184" i="1"/>
  <c r="T1183" i="1"/>
  <c r="S1183" i="1"/>
  <c r="N1183" i="1"/>
  <c r="T1182" i="1"/>
  <c r="S1182" i="1"/>
  <c r="N1182" i="1"/>
  <c r="T1181" i="1"/>
  <c r="S1181" i="1"/>
  <c r="N1181" i="1"/>
  <c r="T1180" i="1"/>
  <c r="S1180" i="1"/>
  <c r="N1180" i="1"/>
  <c r="T1179" i="1"/>
  <c r="S1179" i="1"/>
  <c r="N1179" i="1"/>
  <c r="T1178" i="1"/>
  <c r="S1178" i="1"/>
  <c r="N1178" i="1"/>
  <c r="T1177" i="1"/>
  <c r="S1177" i="1"/>
  <c r="N1177" i="1"/>
  <c r="T1176" i="1"/>
  <c r="S1176" i="1"/>
  <c r="N1176" i="1"/>
  <c r="T1175" i="1"/>
  <c r="S1175" i="1"/>
  <c r="N1175" i="1"/>
  <c r="T1174" i="1"/>
  <c r="S1174" i="1"/>
  <c r="N1174" i="1"/>
  <c r="T1173" i="1"/>
  <c r="S1173" i="1"/>
  <c r="N1173" i="1"/>
  <c r="T1172" i="1"/>
  <c r="S1172" i="1"/>
  <c r="N1172" i="1"/>
  <c r="T1171" i="1"/>
  <c r="S1171" i="1"/>
  <c r="N1171" i="1"/>
  <c r="T1170" i="1"/>
  <c r="S1170" i="1"/>
  <c r="N1170" i="1"/>
  <c r="T1169" i="1"/>
  <c r="S1169" i="1"/>
  <c r="N1169" i="1"/>
  <c r="T1168" i="1"/>
  <c r="S1168" i="1"/>
  <c r="N1168" i="1"/>
  <c r="T1167" i="1"/>
  <c r="S1167" i="1"/>
  <c r="N1167" i="1"/>
  <c r="T1166" i="1"/>
  <c r="S1166" i="1"/>
  <c r="N1166" i="1"/>
  <c r="T1165" i="1"/>
  <c r="S1165" i="1"/>
  <c r="N1165" i="1"/>
  <c r="T1164" i="1"/>
  <c r="S1164" i="1"/>
  <c r="N1164" i="1"/>
  <c r="T1163" i="1"/>
  <c r="S1163" i="1"/>
  <c r="N1163" i="1"/>
  <c r="T1162" i="1"/>
  <c r="S1162" i="1"/>
  <c r="N1162" i="1"/>
  <c r="T1161" i="1"/>
  <c r="S1161" i="1"/>
  <c r="N1161" i="1"/>
  <c r="T1160" i="1"/>
  <c r="S1160" i="1"/>
  <c r="N1160" i="1"/>
  <c r="T1159" i="1"/>
  <c r="S1159" i="1"/>
  <c r="N1159" i="1"/>
  <c r="T1158" i="1"/>
  <c r="S1158" i="1"/>
  <c r="N1158" i="1"/>
  <c r="T1157" i="1"/>
  <c r="S1157" i="1"/>
  <c r="N1157" i="1"/>
  <c r="T1156" i="1"/>
  <c r="S1156" i="1"/>
  <c r="N1156" i="1"/>
  <c r="T1155" i="1"/>
  <c r="S1155" i="1"/>
  <c r="N1155" i="1"/>
  <c r="T1154" i="1"/>
  <c r="S1154" i="1"/>
  <c r="N1154" i="1"/>
  <c r="T1153" i="1"/>
  <c r="S1153" i="1"/>
  <c r="N1153" i="1"/>
  <c r="T1152" i="1"/>
  <c r="S1152" i="1"/>
  <c r="N1152" i="1"/>
  <c r="T1151" i="1"/>
  <c r="S1151" i="1"/>
  <c r="N1151" i="1"/>
  <c r="T1150" i="1"/>
  <c r="S1150" i="1"/>
  <c r="N1150" i="1"/>
  <c r="T1149" i="1"/>
  <c r="S1149" i="1"/>
  <c r="N1149" i="1"/>
  <c r="T1148" i="1"/>
  <c r="S1148" i="1"/>
  <c r="N1148" i="1"/>
  <c r="T1147" i="1"/>
  <c r="S1147" i="1"/>
  <c r="N1147" i="1"/>
  <c r="T1146" i="1"/>
  <c r="S1146" i="1"/>
  <c r="N1146" i="1"/>
  <c r="T1145" i="1"/>
  <c r="S1145" i="1"/>
  <c r="N1145" i="1"/>
  <c r="T1144" i="1"/>
  <c r="S1144" i="1"/>
  <c r="N1144" i="1"/>
  <c r="T1143" i="1"/>
  <c r="S1143" i="1"/>
  <c r="N1143" i="1"/>
  <c r="T1142" i="1"/>
  <c r="S1142" i="1"/>
  <c r="N1142" i="1"/>
  <c r="T1141" i="1"/>
  <c r="S1141" i="1"/>
  <c r="N1141" i="1"/>
  <c r="T1140" i="1"/>
  <c r="S1140" i="1"/>
  <c r="N1140" i="1"/>
  <c r="T1139" i="1"/>
  <c r="S1139" i="1"/>
  <c r="N1139" i="1"/>
  <c r="T1138" i="1"/>
  <c r="S1138" i="1"/>
  <c r="N1138" i="1"/>
  <c r="T1137" i="1"/>
  <c r="S1137" i="1"/>
  <c r="N1137" i="1"/>
  <c r="T1136" i="1"/>
  <c r="S1136" i="1"/>
  <c r="N1136" i="1"/>
  <c r="T1135" i="1"/>
  <c r="S1135" i="1"/>
  <c r="N1135" i="1"/>
  <c r="T1134" i="1"/>
  <c r="S1134" i="1"/>
  <c r="N1134" i="1"/>
  <c r="T1133" i="1"/>
  <c r="S1133" i="1"/>
  <c r="N1133" i="1"/>
  <c r="N1132" i="1"/>
  <c r="N1131" i="1"/>
  <c r="T1130" i="1"/>
  <c r="S1130" i="1"/>
  <c r="N1130" i="1"/>
  <c r="T1129" i="1"/>
  <c r="S1129" i="1"/>
  <c r="N1129" i="1"/>
  <c r="T1128" i="1"/>
  <c r="S1128" i="1"/>
  <c r="N1128" i="1"/>
  <c r="T1127" i="1"/>
  <c r="S1127" i="1"/>
  <c r="N1127" i="1"/>
  <c r="N1126" i="1"/>
  <c r="T1125" i="1"/>
  <c r="S1125" i="1"/>
  <c r="N1125" i="1"/>
  <c r="T1124" i="1"/>
  <c r="S1124" i="1"/>
  <c r="N1124" i="1"/>
  <c r="T1123" i="1"/>
  <c r="S1123" i="1"/>
  <c r="N1123" i="1"/>
  <c r="T1122" i="1"/>
  <c r="S1122" i="1"/>
  <c r="N1122" i="1"/>
  <c r="T1121" i="1"/>
  <c r="S1121" i="1"/>
  <c r="N1121" i="1"/>
  <c r="T1120" i="1"/>
  <c r="S1120" i="1"/>
  <c r="N1120" i="1"/>
  <c r="T1119" i="1"/>
  <c r="S1119" i="1"/>
  <c r="N1119" i="1"/>
  <c r="T1118" i="1"/>
  <c r="S1118" i="1"/>
  <c r="N1118" i="1"/>
  <c r="T1117" i="1"/>
  <c r="S1117" i="1"/>
  <c r="N1117" i="1"/>
  <c r="T1116" i="1"/>
  <c r="S1116" i="1"/>
  <c r="N1116" i="1"/>
  <c r="T1115" i="1"/>
  <c r="S1115" i="1"/>
  <c r="N1115" i="1"/>
  <c r="T1114" i="1"/>
  <c r="S1114" i="1"/>
  <c r="N1114" i="1"/>
  <c r="T1113" i="1"/>
  <c r="S1113" i="1"/>
  <c r="N1113" i="1"/>
  <c r="T1112" i="1"/>
  <c r="S1112" i="1"/>
  <c r="N1112" i="1"/>
  <c r="T1111" i="1"/>
  <c r="S1111" i="1"/>
  <c r="N1111" i="1"/>
  <c r="T1110" i="1"/>
  <c r="S1110" i="1"/>
  <c r="N1110" i="1"/>
  <c r="T1109" i="1"/>
  <c r="S1109" i="1"/>
  <c r="N1109" i="1"/>
  <c r="T1108" i="1"/>
  <c r="S1108" i="1"/>
  <c r="N1108" i="1"/>
  <c r="T1107" i="1"/>
  <c r="S1107" i="1"/>
  <c r="N1107" i="1"/>
  <c r="T1106" i="1"/>
  <c r="S1106" i="1"/>
  <c r="N1106" i="1"/>
  <c r="T1105" i="1"/>
  <c r="S1105" i="1"/>
  <c r="N1105" i="1"/>
  <c r="T1104" i="1"/>
  <c r="S1104" i="1"/>
  <c r="N1104" i="1"/>
  <c r="T1103" i="1"/>
  <c r="S1103" i="1"/>
  <c r="N1103" i="1"/>
  <c r="T1102" i="1"/>
  <c r="S1102" i="1"/>
  <c r="N1102" i="1"/>
  <c r="T1101" i="1"/>
  <c r="S1101" i="1"/>
  <c r="N1101" i="1"/>
  <c r="T1100" i="1"/>
  <c r="S1100" i="1"/>
  <c r="N1100" i="1"/>
  <c r="T1099" i="1"/>
  <c r="S1099" i="1"/>
  <c r="N1099" i="1"/>
  <c r="T1098" i="1"/>
  <c r="S1098" i="1"/>
  <c r="N1098" i="1"/>
  <c r="T1097" i="1"/>
  <c r="S1097" i="1"/>
  <c r="N1097" i="1"/>
  <c r="T1096" i="1"/>
  <c r="S1096" i="1"/>
  <c r="N1096" i="1"/>
  <c r="T1095" i="1"/>
  <c r="S1095" i="1"/>
  <c r="N1095" i="1"/>
  <c r="T1094" i="1"/>
  <c r="S1094" i="1"/>
  <c r="N1094" i="1"/>
  <c r="T1093" i="1"/>
  <c r="S1093" i="1"/>
  <c r="N1093" i="1"/>
  <c r="T1092" i="1"/>
  <c r="S1092" i="1"/>
  <c r="N1092" i="1"/>
  <c r="T1091" i="1"/>
  <c r="S1091" i="1"/>
  <c r="N1091" i="1"/>
  <c r="T1090" i="1"/>
  <c r="S1090" i="1"/>
  <c r="N1090" i="1"/>
  <c r="T1089" i="1"/>
  <c r="S1089" i="1"/>
  <c r="N1089" i="1"/>
  <c r="T1088" i="1"/>
  <c r="S1088" i="1"/>
  <c r="N1088" i="1"/>
  <c r="T1087" i="1"/>
  <c r="S1087" i="1"/>
  <c r="N1087" i="1"/>
  <c r="T1086" i="1"/>
  <c r="S1086" i="1"/>
  <c r="N1086" i="1"/>
  <c r="T1085" i="1"/>
  <c r="S1085" i="1"/>
  <c r="N1085" i="1"/>
  <c r="T1084" i="1"/>
  <c r="S1084" i="1"/>
  <c r="N1084" i="1"/>
  <c r="T1083" i="1"/>
  <c r="S1083" i="1"/>
  <c r="N1083" i="1"/>
  <c r="T1082" i="1"/>
  <c r="S1082" i="1"/>
  <c r="N1082" i="1"/>
  <c r="T1081" i="1"/>
  <c r="S1081" i="1"/>
  <c r="N1081" i="1"/>
  <c r="T1080" i="1"/>
  <c r="S1080" i="1"/>
  <c r="N1080" i="1"/>
  <c r="T1079" i="1"/>
  <c r="S1079" i="1"/>
  <c r="N1079" i="1"/>
  <c r="T1078" i="1"/>
  <c r="S1078" i="1"/>
  <c r="N1078" i="1"/>
  <c r="T1077" i="1"/>
  <c r="S1077" i="1"/>
  <c r="N1077" i="1"/>
  <c r="T1076" i="1"/>
  <c r="S1076" i="1"/>
  <c r="N1076" i="1"/>
  <c r="T1075" i="1"/>
  <c r="S1075" i="1"/>
  <c r="N1075" i="1"/>
  <c r="T1074" i="1"/>
  <c r="S1074" i="1"/>
  <c r="N1074" i="1"/>
  <c r="T1073" i="1"/>
  <c r="S1073" i="1"/>
  <c r="N1073" i="1"/>
  <c r="T1072" i="1"/>
  <c r="S1072" i="1"/>
  <c r="N1072" i="1"/>
  <c r="T1071" i="1"/>
  <c r="S1071" i="1"/>
  <c r="N1071" i="1"/>
  <c r="T1070" i="1"/>
  <c r="S1070" i="1"/>
  <c r="N1070" i="1"/>
  <c r="T1069" i="1"/>
  <c r="S1069" i="1"/>
  <c r="N1069" i="1"/>
  <c r="T1068" i="1"/>
  <c r="S1068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T810" i="1"/>
  <c r="S810" i="1"/>
  <c r="N810" i="1"/>
  <c r="T809" i="1"/>
  <c r="S809" i="1"/>
  <c r="N809" i="1"/>
  <c r="T808" i="1"/>
  <c r="S808" i="1"/>
  <c r="N808" i="1"/>
  <c r="T807" i="1"/>
  <c r="S807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T632" i="1"/>
  <c r="S632" i="1"/>
  <c r="N632" i="1"/>
  <c r="T631" i="1"/>
  <c r="S631" i="1"/>
  <c r="N631" i="1"/>
  <c r="T630" i="1"/>
  <c r="S630" i="1"/>
  <c r="N630" i="1"/>
  <c r="T629" i="1"/>
  <c r="S629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T502" i="1"/>
  <c r="S502" i="1"/>
  <c r="N502" i="1"/>
  <c r="N501" i="1"/>
  <c r="T500" i="1"/>
  <c r="S500" i="1"/>
  <c r="N500" i="1"/>
  <c r="T499" i="1"/>
  <c r="S499" i="1"/>
  <c r="N499" i="1"/>
  <c r="T498" i="1"/>
  <c r="S498" i="1"/>
  <c r="N498" i="1"/>
  <c r="T497" i="1"/>
  <c r="S497" i="1"/>
  <c r="N497" i="1"/>
  <c r="T496" i="1"/>
  <c r="S496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SAPROV (2)" description="Conexión a la consulta 'SAPROV (2)' en el libro." type="5" refreshedVersion="8" background="1" saveData="1">
    <dbPr connection="Provider=Microsoft.Mashup.OleDb.1;Data Source=$Workbook$;Location=&quot;SAPROV (2)&quot;;Extended Properties=&quot;&quot;" command="SELECT * FROM [SAPROV (2)]"/>
  </connection>
</connections>
</file>

<file path=xl/sharedStrings.xml><?xml version="1.0" encoding="utf-8"?>
<sst xmlns="http://schemas.openxmlformats.org/spreadsheetml/2006/main" count="66481" uniqueCount="7363">
  <si>
    <t xml:space="preserve">DRIVE SR ALFONZO S/FAC </t>
  </si>
  <si>
    <t>ENERO-SEPTIEMBRE</t>
  </si>
  <si>
    <t>3188732,86 BS</t>
  </si>
  <si>
    <t>REVISADO CON COMERCIALIZADORA HASTA JUNIO.CUADRADO</t>
  </si>
  <si>
    <t>OCTUBRE</t>
  </si>
  <si>
    <t>RESUMEN ANUAL</t>
  </si>
  <si>
    <t>DESCRIP2</t>
  </si>
  <si>
    <t>DESCRIP3</t>
  </si>
  <si>
    <t>DESCRIP1</t>
  </si>
  <si>
    <t>DESCRIP5</t>
  </si>
  <si>
    <t>CODPROV</t>
  </si>
  <si>
    <t>CODITEM</t>
  </si>
  <si>
    <t>DESCRIP4</t>
  </si>
  <si>
    <t>MONTO</t>
  </si>
  <si>
    <t>DESCRIP6</t>
  </si>
  <si>
    <t>FECHA</t>
  </si>
  <si>
    <t>REFERENCIA</t>
  </si>
  <si>
    <t>DESCRIPCIÓN</t>
  </si>
  <si>
    <t>MONTO BS</t>
  </si>
  <si>
    <t>D/C</t>
  </si>
  <si>
    <t>COD/CONT</t>
  </si>
  <si>
    <t>CONTABLE</t>
  </si>
  <si>
    <t>Columna2</t>
  </si>
  <si>
    <t>COD/SER</t>
  </si>
  <si>
    <t>SERVICIO</t>
  </si>
  <si>
    <t>Columna1</t>
  </si>
  <si>
    <t>TASA</t>
  </si>
  <si>
    <t>MONTO EN $</t>
  </si>
  <si>
    <t>BANCO</t>
  </si>
  <si>
    <t>OBSERVACIONES</t>
  </si>
  <si>
    <t>NªGASTO</t>
  </si>
  <si>
    <t>Nº</t>
  </si>
  <si>
    <t>CLASIFICACION</t>
  </si>
  <si>
    <t>SEDE</t>
  </si>
  <si>
    <t>Inversiones y materiales parra/fact 719/3 perfiles-Inversión Galpón de Tolva de Alimentación de Molino de Materia Prima</t>
  </si>
  <si>
    <t>D</t>
  </si>
  <si>
    <t>CUENTAS POR PAGAR PROVEEDORES</t>
  </si>
  <si>
    <t>SERVL005</t>
  </si>
  <si>
    <t>GASTOS MEJORAS DE LA PLANTA</t>
  </si>
  <si>
    <t>MERCANTIL</t>
  </si>
  <si>
    <t xml:space="preserve">OP.CRED.DIRT. CLTE-CLTE PJ  ELECTRON  </t>
  </si>
  <si>
    <t>COMISIONES BANCARIAS</t>
  </si>
  <si>
    <t>SERVB001E</t>
  </si>
  <si>
    <t>04-310125</t>
  </si>
  <si>
    <t>COMERCIALIZADORA/INVERSION DE CAPITAL/MERCANTIL</t>
  </si>
  <si>
    <t>C</t>
  </si>
  <si>
    <t>CUENTAS POR PAGAR INTERCOMPAÑIAS</t>
  </si>
  <si>
    <t xml:space="preserve">EMISION CARTA DE REFERENCIA BANCARIA  </t>
  </si>
  <si>
    <t>EMISION EDO. DE CTA. MONEDA NAC. EXT.</t>
  </si>
  <si>
    <t xml:space="preserve">TARIFA MANTENIMIENTO DE CUENTA   </t>
  </si>
  <si>
    <t xml:space="preserve">COMIS. CR.I OB          </t>
  </si>
  <si>
    <t>PROVINCIAL</t>
  </si>
  <si>
    <t>FARELIZ ARRIECHE/GASOLINA VEHICULO GERENTE</t>
  </si>
  <si>
    <t>GASTO COMBUSTIBLE GASOLINA</t>
  </si>
  <si>
    <t>SERVA041E</t>
  </si>
  <si>
    <t>GASTOS COMBUSTIBLES PERSONAL</t>
  </si>
  <si>
    <t>S/FACT</t>
  </si>
  <si>
    <t>12-100125</t>
  </si>
  <si>
    <t>COMERCIALIZADORA INVERION DE CAPITAL/TESORO</t>
  </si>
  <si>
    <t>JOSE RAFAEL MORALES GUARECUCO/BONIFICCAION 1ERA QUINCENA</t>
  </si>
  <si>
    <t>BONO COMPLEMENTARIO POR PAGAR</t>
  </si>
  <si>
    <t>SERVC006E</t>
  </si>
  <si>
    <t>SUELDOS Y SALARIOS/BONO ALIMENTACION</t>
  </si>
  <si>
    <t>TENDENCIAS/INVERSION DE CAPITAL/PROVINCIAL</t>
  </si>
  <si>
    <t>12-170125</t>
  </si>
  <si>
    <t>COMERCIALIZADORA INVERION DE CAPITAL/PROVINCIAL</t>
  </si>
  <si>
    <t>12-240125</t>
  </si>
  <si>
    <t>JOSE RAFAEL MORALES GUARECUCO/BONIFICCAION 2DA QUINCENA ENERO</t>
  </si>
  <si>
    <t xml:space="preserve">COM.EM.EDO.CTA          </t>
  </si>
  <si>
    <t xml:space="preserve">COM.MTTO.CTA.           </t>
  </si>
  <si>
    <t xml:space="preserve">COM TRF TERCERO PB      </t>
  </si>
  <si>
    <t>OLGA OROZCO/RESIDENCIA OPERADOR</t>
  </si>
  <si>
    <t>CAPACITACION Y DESARROLLO</t>
  </si>
  <si>
    <t>SERVA048E</t>
  </si>
  <si>
    <t>GASTOS CONDOMINIO</t>
  </si>
  <si>
    <t>45-310125</t>
  </si>
  <si>
    <t>12-310125</t>
  </si>
  <si>
    <t>FARELIZ/MTTO VEHICULO GERENTE</t>
  </si>
  <si>
    <t>MANTENIMIENTO VEHICULOS PERS. M/O</t>
  </si>
  <si>
    <t>SERVA012E</t>
  </si>
  <si>
    <t>GASTOS MANTENIMIENTO VEHICULOS</t>
  </si>
  <si>
    <t>17-310125</t>
  </si>
  <si>
    <t>COMERCIALIZADORA/INVERSION DE CAPITAL/TESORO</t>
  </si>
  <si>
    <t>TESORO</t>
  </si>
  <si>
    <t>FERRETERIA Y MATERIALES OBRA GRIS 2021 C/FACT 233/PLANTA CEMENTO</t>
  </si>
  <si>
    <t>DIOSANNY ALVAREZ/FACT 104/correspondiente a la semana 23/12 al 27/12/24 de comida, en la campaña del yeso de Camunare.</t>
  </si>
  <si>
    <t>SERVA021</t>
  </si>
  <si>
    <t>GASTOS VIATICOS</t>
  </si>
  <si>
    <t>FERRETERIA Y MATERIALES OBRA GRIS 2021/FACT 234/PLANTA CEMENTO</t>
  </si>
  <si>
    <t>COMISION PAGO A PROVEE OTROS B</t>
  </si>
  <si>
    <t>HECTOR/GOBERNACION DEL 23/12 AL 29/12</t>
  </si>
  <si>
    <t>SUELDOS Y SALARIOS POR PAGAR</t>
  </si>
  <si>
    <t>COMISION USO CANAL IB</t>
  </si>
  <si>
    <t>PROTECCION DE LAS PENSIONES/PERIODO DICIEMBRE 2024</t>
  </si>
  <si>
    <t>PROTECCION A LA PENSIONES POR PAGAR</t>
  </si>
  <si>
    <t>SERVC011E</t>
  </si>
  <si>
    <t>PROTECCION A LAS PENSIONES</t>
  </si>
  <si>
    <t>02-03125</t>
  </si>
  <si>
    <t>COMERCIALIZADORA/INVERSION DE CAPITAL/BANESCO</t>
  </si>
  <si>
    <t>12-010125</t>
  </si>
  <si>
    <t xml:space="preserve">ALBERTO PERNALETE/FACTURA 000005/reembolso correspondiente a la semana 30/12 al 03/01/25 campaña yeso comunare FACTURA 000005 </t>
  </si>
  <si>
    <t>AURELIANO LEON/07 DIAS/personal que laboro en la campaña de yeso la semana del 30/12 al 05/01/25</t>
  </si>
  <si>
    <t>FREDDY MENDOZA/2 DIAS/personal que laboro en la campaña de yeso la semana del 30/12 al 05/01/25</t>
  </si>
  <si>
    <t>LINO FLOREZ/01 DIAS/personal que laboro en la campaña de yeso la semana del 30/12 al 05/01/25</t>
  </si>
  <si>
    <t>JOSE LUIS CASTILLOS/05 DIAS/personal que laboro en la campaña de yeso la semana del 30/12 al 05/01/25</t>
  </si>
  <si>
    <t>LEONARDO CHIRINO/pago bono para operador aprobado por Wilians Aleman-20$/CAMION</t>
  </si>
  <si>
    <t>JEFFERSON DAVILA/pago bono para operador aprobado por Wilians Aleman-20$/operador de excavador</t>
  </si>
  <si>
    <t>ROBER ARIAS/pago bono para operador aprobado por Wilians Aleman-20$/operador de tractor</t>
  </si>
  <si>
    <t>Brunito Segundo Cordero/Eventual agregado-30/12/2024 AL 05/01/2025</t>
  </si>
  <si>
    <t>Delios Adolfo Ferrara/Eventual agregado-30/12/2024 AL 05/01/2025</t>
  </si>
  <si>
    <t>Eliomar Jesús Escalona/Eventual agregado-30/12/2024 AL 05/01/2025</t>
  </si>
  <si>
    <t>José Guillermo Cortez/Eventual agregado-30/12/2024 AL 05/01/2025</t>
  </si>
  <si>
    <t>Darwuin Jesús Bullones/Eventual agregado-30/12/2024 AL 05/01/2025</t>
  </si>
  <si>
    <t>Frank Armando García/Eventual agregado-30/12/2024 AL 05/01/2025</t>
  </si>
  <si>
    <t>Alberto Luis Rojas/Eventual agregado-30/12/2024 AL 05/01/2025</t>
  </si>
  <si>
    <t>Naiker Alexander Jimenez/Eventual agregado-30/12/2024 AL 05/01/2025</t>
  </si>
  <si>
    <t>José Gregorio Perez/Eventual agregado-30/12/2024 AL 05/01/2025</t>
  </si>
  <si>
    <t>Carlos Daniel Rodriguez/Eventual agregado-30/12/2024 AL 05/01/2025</t>
  </si>
  <si>
    <t>Alejandro Morales/Eventual agregado-30/12/2024 AL 05/01/2025</t>
  </si>
  <si>
    <t>Euber José Juarez/Eventual agregado-30/12/2024 AL 05/01/2025</t>
  </si>
  <si>
    <t>Ali Alberto Bullones/Eventual agregado-30/12/2024 AL 05/01/2025</t>
  </si>
  <si>
    <t>Alberto Ali Bullones/Eventual agregado-30/12/2024 AL 05/01/2025</t>
  </si>
  <si>
    <t>Fernando José Rodriguez/Eventual agregado-30/12/2024 AL 05/01/2025</t>
  </si>
  <si>
    <t>Bruno Ali Cordero Bullones/Eventual agregado-30/12/2024 AL 05/01/2025</t>
  </si>
  <si>
    <t>Justiniano Rodriguez/Eventual agregado-30/12/2024 AL 05/01/2025</t>
  </si>
  <si>
    <t>Carlos Lopez/Eventual agregado-30/12/2024 AL 05/01/2025</t>
  </si>
  <si>
    <t>Estebez Maramara/Eventual agregado-30/12/2024 AL 05/01/2025</t>
  </si>
  <si>
    <t>Armando Lopez/Eventual agregado-30/12/2024 AL 05/01/2025</t>
  </si>
  <si>
    <t>Froilan Lopez/Eventual agregado-30/12/2024 AL 05/01/2025</t>
  </si>
  <si>
    <t>Ramón Quintero/Eventual agregado-30/12/2024 AL 05/01/2025</t>
  </si>
  <si>
    <t>JESUS RAMOS/EVENTUAL GOBERNACION-30/12/2024 AL 05/01/2025</t>
  </si>
  <si>
    <t>EXSON RODRIGUEZ/EVENTUAL GOBERNACION-30/12/2024 AL 05/01/2025</t>
  </si>
  <si>
    <t>DOUGLAS PIMENTEL/EVENTUAL GOBERNACION-30/12/2024 AL 05/01/2025</t>
  </si>
  <si>
    <t>PEDRO CASTILLO/EVENTUAL GOBERNACION-30/12/2024 AL 05/01/2025</t>
  </si>
  <si>
    <t>MIGUEL TORRES/EVENTUAL GOBERNACION-30/12/2024 AL 05/01/2025</t>
  </si>
  <si>
    <t>WENDY GIMENEZ/EVENTUAL GOBERNACION-30/12/2024 AL 05/01/2025</t>
  </si>
  <si>
    <t>NICOLAS ALVAREZ/EVENTUAL GOBERNACION-30/12/2024 AL 05/01/2025</t>
  </si>
  <si>
    <t>RAFAEL PUERTAS/EVENTUAL GOBERNACION-30/12/2024 AL 05/01/2025</t>
  </si>
  <si>
    <t>CARLOS PACHECO/EVENTUAL GOBERNACION-30/12/2024 AL 05/01/2025</t>
  </si>
  <si>
    <t>ANDRÉS ARMELLA/EVENTUAL GOBERNACION-30/12/2024 AL 05/01/2025</t>
  </si>
  <si>
    <t>JUAN LOPEZ/Eventual agregado-30/12/2024 AL 05/01/2025</t>
  </si>
  <si>
    <t>JOSE TOLEDO/EVENTUAL GOBERNACION-30/12/2024 AL 05/01/2025</t>
  </si>
  <si>
    <t>JUAN PINTO/EVENTUAL GOBERNACION-30/12/2024 AL 05/01/2025</t>
  </si>
  <si>
    <t>EDWIN ROJAS/EVENTUAL GOBERNACION-30/12/2024 AL 05/01/2025</t>
  </si>
  <si>
    <t>FARELIZ ARRIECHE/EVENTUAL GOBERNACION-30/12/2024 AL 05/01/2025</t>
  </si>
  <si>
    <t>HENRRY VALERA/EVENTUAL GOBERNACION-30/12/2024 AL 05/01/2025</t>
  </si>
  <si>
    <t>ALIRIO PARRA/EVENTUAL GOBERNACION-30/12/2024 AL 05/01/2025</t>
  </si>
  <si>
    <t>FEDERICO FANEITE/EVENTUAL GOBERNACION-30/12/2024 AL 05/01/2025</t>
  </si>
  <si>
    <t>RAFAEL QUIROZ/EVENTUAL GOBERNACION-30/12/2024 AL 05/01/2025</t>
  </si>
  <si>
    <t>HECTOR/EVENTUAL GOBERNACION-30/12/2024 AL 05/01/2025</t>
  </si>
  <si>
    <t>NORYS RAMOS/EVENTUAL GOBERNACION-30/12/2024 AL 05/01/2025</t>
  </si>
  <si>
    <t>ANGEL CALDERA/EVENTUAL GOBERNACION-30/12/2024 AL 05/01/2025</t>
  </si>
  <si>
    <t>ARGENIS FLORES/EVENTUAL MEGATECH-30/12/2024 AL 05/01/2025</t>
  </si>
  <si>
    <t>PITTER PUERTA/EVENTUAL MEGATECH-30/12/2024 AL 05/01/2025</t>
  </si>
  <si>
    <t>WALNER OVIEDO/EVENTUAL MEGATECH-30/12/2024 AL 05/01/2025</t>
  </si>
  <si>
    <t>YONNY CASTILLO/EVENTUAL MEGATECH-30/12/2024 AL 05/01/2025</t>
  </si>
  <si>
    <t>FRANCISCO CASTILLO/EVENTUAL MEGATECH-30/12/2024 AL 05/01/2025</t>
  </si>
  <si>
    <t>ANTONIO CASTILLO/EVENTUAL MEGATECH-30/12/2024 AL 05/01/2025</t>
  </si>
  <si>
    <t>JOSE GUEVARA/EVENTUAL MEGATECH-30/12/2024 AL 05/01/2025</t>
  </si>
  <si>
    <t>JOSE CASTILLO/EVENTUAL MEGATECH-30/12/2024 AL 05/01/2025</t>
  </si>
  <si>
    <t>ELVIS VALLES/EVENTUAL MEGATECH-30/12/2024 AL 05/01/2025</t>
  </si>
  <si>
    <t>OMAR TORREALBA/EVENTUAL MEGATECH-30/12/2024 AL 05/01/2025</t>
  </si>
  <si>
    <t>CARLOS CASTILLO/EVENTUAL MEGATECH-30/12/2024 AL 05/01/2025</t>
  </si>
  <si>
    <t>JULIAN GUEDEZ/EVENTUAL MEGATECH-30/12/2024 AL 05/01/2025</t>
  </si>
  <si>
    <t>YORDIS ALMAO/EVENTUAL MEGATECH-30/12/2024 AL 05/01/2025</t>
  </si>
  <si>
    <t>VICTOR MENDEZ/EVENTUAL MEGATECH-30/12/2024 AL 05/01/2025</t>
  </si>
  <si>
    <t>CARLOS LOYO/EVENTUAL MEGATECH-30/12/2024 AL 05/01/2025</t>
  </si>
  <si>
    <t>ALBERTO LOYO/EVENTUAL MEGATECH-30/12/2024 AL 05/01/2025</t>
  </si>
  <si>
    <t>EDWUARD ALMEIDA/EVENTUAL MEGATECH-30/12/2024 AL 05/01/2025</t>
  </si>
  <si>
    <t>YERRY RODRÍGUEZ/EVENTUAL MEGATECH-30/12/2024 AL 05/01/2025</t>
  </si>
  <si>
    <t>ALEXANDER CASTILLO/EVENTUAL MEGATECH-30/12/2024 AL 05/01/2025</t>
  </si>
  <si>
    <t>ELIO MALPICA/EVENTUAL MEGATECH-30/12/2024 AL 05/01/2025</t>
  </si>
  <si>
    <t>ALIRIO PARRA/EVENTUAL MEGATECH-30/12/2024 AL 05/01/2025</t>
  </si>
  <si>
    <t>EMPERATRIZ LEON/EVENTUAL MEGATECH-30/12/2024 AL 05/01/2025</t>
  </si>
  <si>
    <t>NORYS RAMOS/EVENTUAL MEGATECH-30/12/2024 AL 05/01/2025</t>
  </si>
  <si>
    <t>FARELIZ ARRIECHE/EVENTUAL MEGATECH-30/12/2024 AL 05/01/2025</t>
  </si>
  <si>
    <t>RUBEN RIVAS/EVENTUAL MEGATECH-30/12/2024 AL 05/01/2025</t>
  </si>
  <si>
    <t>FARES ARRIECHE/EVENTUAL MEGATECH-30/12/2024 AL 05/01/2025</t>
  </si>
  <si>
    <t>INGRID REYES/EVENTUAL MEGATECH-30/12/2024 AL 05/01/2025</t>
  </si>
  <si>
    <t>COMISION PAGO A PROVEE MISMO B</t>
  </si>
  <si>
    <t>GLOBAL ACEROS, C.A/FACT 34/Inversión -Galpón de Tolva de Alimentación de Molino de Materia Prima -</t>
  </si>
  <si>
    <t>ANTICIPO PROVEDORES</t>
  </si>
  <si>
    <t>SERVL013</t>
  </si>
  <si>
    <t>INSUMOS MANTENIMIENTOS</t>
  </si>
  <si>
    <t>PROCESADA EN FEBRERO</t>
  </si>
  <si>
    <t>COMIS.PAGO INMEDIATO</t>
  </si>
  <si>
    <t>HECTOR/GOBERNACION DEL 23/12 AL 29/12/DEV ERROR DEL BANCO</t>
  </si>
  <si>
    <t>MATERIALES PARRAS/FACT 731/Inversión  Para Galpón de Generadores</t>
  </si>
  <si>
    <t>INVERSIONES Y MATERIALES PARRA C.A/FACT 723/Inversión Cuartones de Madera Construcción de Dique para tanque de Combustible para Generadores--Perfil Estructural Galpón de Generadores</t>
  </si>
  <si>
    <t>ARGENIS FLORES/EVENTUAL MEGATECH-RECHAZADOS DICIEMBRE</t>
  </si>
  <si>
    <t>ELVIS VALLES/EVENTUAL MEGATECH-RECHAZADOS DICIEMBRE</t>
  </si>
  <si>
    <t>ALEXANDER CASTILLO/EVENTUAL MEGATECH-RECHAZADOS DICIEMBRE</t>
  </si>
  <si>
    <t>Willam Rivas/05 DIAS/personal que laboro en la campaña de yeso la semana del 06-01 al 12-01</t>
  </si>
  <si>
    <t>Dayana Azuaje/07 DIAS/personal que laboro en la campaña de yeso la semana del 06-01 al 12-01</t>
  </si>
  <si>
    <t>FREDDY MENDOZA/4 DIAS/personal que laboro en la campaña de yeso la semana del 06-01 al 12-01</t>
  </si>
  <si>
    <t>Leonardo Chirinos/pago bono para operador aprobado por Wilians Aleman/OPERADOR CAMION</t>
  </si>
  <si>
    <t>JEFFESON DAVILA/pago bono para operador aprobado por Wilians Aleman/EXCAVADOR</t>
  </si>
  <si>
    <t xml:space="preserve">
Lino flores - 01 DIAS/personal que laboro en la campaña de yeso la semana del 06-01 al 12-01</t>
  </si>
  <si>
    <t>BEATRIZ CASTILLOS/pago bono para operador aprobado por Wilians Aleman/TRACTOR</t>
  </si>
  <si>
    <t>Brunito Segundo Cordero/Eventual agregado-06/01/2025 AL 12/01/2025</t>
  </si>
  <si>
    <t>Delios Adolfo Ferrara/Eventual agregado-06/01/2025 AL 12/01/2025</t>
  </si>
  <si>
    <t>Eliomar Jesús Escalona/Eventual agregado-06/01/2025 AL 12/01/2025</t>
  </si>
  <si>
    <t>José Guillermo Cortez/Eventual agregado-06/01/2025 AL 12/01/2025</t>
  </si>
  <si>
    <t>Darwuin Jesús Bullones/Eventual agregado-06/01/2025 AL 12/01/2025</t>
  </si>
  <si>
    <t>Frank Armando García/Eventual agregado-06/01/2025 AL 12/01/2025</t>
  </si>
  <si>
    <t>Alberto Luis Rojas/Eventual agregado-06/01/2025 AL 12/01/2025</t>
  </si>
  <si>
    <t>Naiker Alexander Jimenez/Eventual agregado-06/01/2025 AL 12/01/2025</t>
  </si>
  <si>
    <t>José Gregorio Perez/Eventual agregado-06/01/2025 AL 12/01/2025</t>
  </si>
  <si>
    <t>Carlos Daniel Rodriguez/Eventual agregado-06/01/2025 AL 12/01/2025</t>
  </si>
  <si>
    <t>Alejandro Morales/Eventual agregado-06/01/2025 AL 12/01/2025</t>
  </si>
  <si>
    <t>Euber José Juarez/Eventual agregado-06/01/2025 AL 12/01/2025</t>
  </si>
  <si>
    <t>Ali Alberto Bullones/Eventual agregado-06/01/2025 AL 12/01/2025</t>
  </si>
  <si>
    <t>Alberto Ali Bullones/Eventual agregado-06/01/2025 AL 12/01/2025</t>
  </si>
  <si>
    <t>Fernando José Rodriguez/Eventual agregado-06/01/2025 AL 12/01/2025</t>
  </si>
  <si>
    <t>Bruno Ali Cordero Bullones/Eventual agregado-06/01/2025 AL 12/01/2025</t>
  </si>
  <si>
    <t>Carlos Lopez/Eventual agregado-06/01/2025 AL 12/01/2025</t>
  </si>
  <si>
    <t>Justiniano Rodriguez/Eventual agregado-06/01/2025 AL 12/01/2025</t>
  </si>
  <si>
    <t>Armando Lopez/Eventual agregado-06/01/2025 AL 12/01/2025</t>
  </si>
  <si>
    <t>Froilan Lopez/Eventual agregado-06/01/2025 AL 12/01/2025</t>
  </si>
  <si>
    <t>Ramón Quintero/Eventual agregado-06/01/2025 AL 12/01/2025</t>
  </si>
  <si>
    <t>Estebez Maramara/Eventual agregado-06/01/2025 AL 12/01/2025</t>
  </si>
  <si>
    <t>JUAN LOPEZ/Eventual agregado-06/01/2025 AL 12/01/2025</t>
  </si>
  <si>
    <t>JESUS RAMOS/EVENTUAL GOBERNACION-06/01/2025 AL 12/01/2025</t>
  </si>
  <si>
    <t>DOUGLAS PIMENTEL/EVENTUAL GOBERNACION-06/01/2025 AL 12/01/2025</t>
  </si>
  <si>
    <t>PEDRO CASTILLO/EVENTUAL GOBERNACION-06/01/2025 AL 12/01/2025</t>
  </si>
  <si>
    <t>EXSON RODRIGUEZ/EVENTUAL GOBERNACION-06/01/2025 AL 12/01/2025</t>
  </si>
  <si>
    <t>MIGUEL TORRES/EVENTUAL GOBERNACION-06/01/2025 AL 12/01/2025</t>
  </si>
  <si>
    <t>LUIS SILVEIRO COLON OJEDA/Eventual agregado-06/01/2025 AL 12/01/2025</t>
  </si>
  <si>
    <t>WENDY GIMENEZ/EVENTUAL GOBERNACION-06/01/2025 AL 12/01/2025</t>
  </si>
  <si>
    <t>NICOLAS ALVAREZ/EVENTUAL GOBERNACION-06/01/2025 AL 12/01/2025</t>
  </si>
  <si>
    <t>RAFAEL PUERTAS/EVENTUAL GOBERNACION-06/01/2025 AL 12/01/2025</t>
  </si>
  <si>
    <t>CARLOS PACHECO/EVENTUAL GOBERNACION-06/01/2025 AL 12/01/2025</t>
  </si>
  <si>
    <t>ANDRÉS ARMELLA/EVENTUAL GOBERNACION-06/01/2025 AL 12/01/2025</t>
  </si>
  <si>
    <t>JOSE TOLEDO/EVENTUAL GOBERNACION-06/01/2025 AL 12/01/2025</t>
  </si>
  <si>
    <t>JUAN PINTO/EVENTUAL GOBERNACION-06/01/2025 AL 12/01/2025</t>
  </si>
  <si>
    <t>EDWIN ROJAS/EVENTUAL GOBERNACION-06/01/2025 AL 12/01/2025</t>
  </si>
  <si>
    <t>HENRRY VALERA/EVENTUAL GOBERNACION-06/01/2025 AL 12/01/2025</t>
  </si>
  <si>
    <t>FARELIZ ARRIECHE/EVENTUAL GOBERNACION-06/01/2025 AL 12/01/2025</t>
  </si>
  <si>
    <t>RAFAEL QUIROZ/EVENTUAL GOBERNACION-06/01/2025 AL 12/01/2025</t>
  </si>
  <si>
    <t>FEDERICO FANEITE/EVENTUAL GOBERNACION-06/01/2025 AL 12/01/2025</t>
  </si>
  <si>
    <t>NORYS RAMOS/EVENTUAL GOBERNACION-06/01/2025 AL 12/01/2025</t>
  </si>
  <si>
    <t>ALIRIO PARRA/EVENTUAL GOBERNACION-06/01/2025 AL 12/01/2025</t>
  </si>
  <si>
    <t>HECTOR/EVENTUAL GOBERNACION-06/01/2025 AL 12/01/2025</t>
  </si>
  <si>
    <t>ARGENIS FLORES/EVENTUAL MEGATECH-06/01/2025 AL 12/01/2025</t>
  </si>
  <si>
    <t>ANGEL CALDERA/EVENTUAL GOBERNACION-06/01/2025 AL 12/01/2025</t>
  </si>
  <si>
    <t>PITTER PUERTA/EVENTUAL MEGATECH-06/01/2025 AL 12/01/2025</t>
  </si>
  <si>
    <t>ANTONIO CASTILLO/EVENTUAL MEGATECH-06/01/2025 AL 12/01/2025</t>
  </si>
  <si>
    <t>WALNER OVIEDO/EVENTUAL MEGATECH-06/01/2025 AL 12/01/2025</t>
  </si>
  <si>
    <t>YONNY CASTILLO/EVENTUAL MEGATECH-06/01/2025 AL 12/01/2025</t>
  </si>
  <si>
    <t>FRANCISCO CASTILLO/EVENTUAL MEGATECH-06/01/2025 AL 12/01/2025</t>
  </si>
  <si>
    <t>JOSE GUEVARA/EVENTUAL MEGATECH-06/01/2025 AL 12/01/2025</t>
  </si>
  <si>
    <t>JOSE CASTILLO/EVENTUAL MEGATECH-06/01/2025 AL 12/01/2025</t>
  </si>
  <si>
    <t>ELVIS VALLES/EVENTUAL MEGATECH-06/01/2025 AL 12/01/2025</t>
  </si>
  <si>
    <t>OMAR TORREALBA/EVENTUAL MEGATECH-06/01/2025 AL 12/01/2025</t>
  </si>
  <si>
    <t>CARLOS CASTILLO/EVENTUAL MEGATECH-06/01/2025 AL 12/01/2025</t>
  </si>
  <si>
    <t>JULIAN GUEDEZ/EVENTUAL MEGATECH-06/01/2025 AL 12/01/2025</t>
  </si>
  <si>
    <t>YORDIS ALMAO/EVENTUAL MEGATECH-06/01/2025 AL 12/01/2025</t>
  </si>
  <si>
    <t>VICTOR MENDEZ/EVENTUAL MEGATECH-06/01/2025 AL 12/01/2025</t>
  </si>
  <si>
    <t>CARLOS LOYO/EVENTUAL MEGATECH-06/01/2025 AL 12/01/2025</t>
  </si>
  <si>
    <t>EDWUARD ALMEIDA/EVENTUAL MEGATECH-06/01/2025 AL 12/01/2025</t>
  </si>
  <si>
    <t>YERRY RODRÍGUEZ/EVENTUAL MEGATECH-06/01/2025 AL 12/01/2025</t>
  </si>
  <si>
    <t>ELIO MALPICA/EVENTUAL MEGATECH-06/01/2025 AL 12/01/2025</t>
  </si>
  <si>
    <t>ALBERTO LOYO/EVENTUAL MEGATECH-06/01/2025 AL 12/01/2025</t>
  </si>
  <si>
    <t>RUBEN RIVAS/EVENTUAL MEGATECH-06/01/2025 AL 12/01/2025</t>
  </si>
  <si>
    <t>ALIRIO PARRA/EVENTUAL MEGATECH-06/01/2025 AL 12/01/2025</t>
  </si>
  <si>
    <t>FARELIZ ARRIECHE/EVENTUAL MEGATECH-06/01/2025 AL 12/01/2025</t>
  </si>
  <si>
    <t>ALEXANDER CASTILLO/EVENTUAL MEGATECH-06/01/2025 AL 12/01/2025</t>
  </si>
  <si>
    <t>NORYS RAMOS/EVENTUAL MEGATECH-06/01/2025 AL 12/01/2025</t>
  </si>
  <si>
    <t>FARES ARRIECHE/EVENTUAL MEGATECH-06/01/2025 AL 12/01/2025</t>
  </si>
  <si>
    <t>EMPERATRIZ LEON/EVENTUAL MEGATECH-06/01/2025 AL 12/01/2025</t>
  </si>
  <si>
    <t>INGRID REYES/EVENTUAL MEGATECH-06/01/2025 AL 12/01/2025</t>
  </si>
  <si>
    <t>ISLR/PERIODO DICIEMBRE 2024</t>
  </si>
  <si>
    <t>RETENCION ISLR POR PAGAR</t>
  </si>
  <si>
    <t>SERVC003E</t>
  </si>
  <si>
    <t>RETENCIONES ISLR</t>
  </si>
  <si>
    <t>02-10125</t>
  </si>
  <si>
    <t>EMPRENDIMIENTO DIOSANNY ALVAREZ/FACT 122/consumo de comida correspondiente a los operadores de Camunare desayuno, almuerzo y cena</t>
  </si>
  <si>
    <t xml:space="preserve">
ALBERTO PERNALETE/ FACTURA 000005/PAGO REINTEGRO VIATICOS COMUNARE </t>
  </si>
  <si>
    <t>EMPRENDIMIENTO DIOSANNY ALVAREZ/FACT 121/ALMUERZOS SR GUSTAVO VIATICOS COMUNARE</t>
  </si>
  <si>
    <t>INVERSIONES Y SERVICIOS J.J GONZALEZ, C.A/FACT 80/confeccion de estructura para cerramiento de edificio hornos verticales</t>
  </si>
  <si>
    <t>50$-FACTURA 129 DIOSANNY y abono a FACTURA 000005 ALBERTO PERNALETE/pago solicitud viaticos comunare/ALMUERZOS</t>
  </si>
  <si>
    <t xml:space="preserve">GLOBAL ACEROS, C.A/FACT 33/12 laminas lisas 1,20-Inversión-Requerimiento para el personal INDU  </t>
  </si>
  <si>
    <t>VULCANIZADORA YARITAGUA MANUEL MOGOLL/FACT 1526/inmediato se enecesita retirar el caucho - esto es del camion Kamaz que se está recuperando por convenio  son de Yaracuy Bonito</t>
  </si>
  <si>
    <t>SERVL019</t>
  </si>
  <si>
    <t>GASTOS MANTENIMIENTO CAMIONES/MANO DE OBRA</t>
  </si>
  <si>
    <t>FERRENOVA 2014 C.A/FACT1614/Requerimiento para el personal INDU</t>
  </si>
  <si>
    <t xml:space="preserve">FERRE ELECTRIC JM, C.A/FACT 0704/cerradura cajas y gabinetes -Inversión Requerimiento para Energización de la Planta </t>
  </si>
  <si>
    <t>CORPORACION EP C.A/FACT 5512/filtro gasolina y puente cardan-Repuestos para Hilux Kavak 2007</t>
  </si>
  <si>
    <t>SERVA049</t>
  </si>
  <si>
    <t>GASTOS DE VEHICULOS/INSUMO</t>
  </si>
  <si>
    <t>Maria elena figueredo/FACT 20253/PAGO ERRADO/ERA DE LA EMPRESA AGUTI</t>
  </si>
  <si>
    <t>PAGO ERRADO/REINTREGO</t>
  </si>
  <si>
    <t>INVERSIONES Y MATERIALES PARRA C.A/FACT 732/15 laminas lisas-Requerimiento para el personal INDU</t>
  </si>
  <si>
    <t>COMERCIALIZADORA/INVERSION DE CAPITAL/VZLA</t>
  </si>
  <si>
    <t>Brunito Segundo Cordero/Eventual agregado-13/01/2025 AL 19/01/2025</t>
  </si>
  <si>
    <t>Delios Adolfo Ferrara/Eventual agregado-13/01/2025 AL 19/01/2025</t>
  </si>
  <si>
    <t>Eliomar Jesús Escalona/Eventual agregado-13/01/2025 AL 19/01/2025</t>
  </si>
  <si>
    <t>José Guillermo Cortez/Eventual agregado-13/01/2025 AL 19/01/2025</t>
  </si>
  <si>
    <t>Darwuin Jesús Bullones/Eventual agregado-13/01/2025 AL 19/01/2025</t>
  </si>
  <si>
    <t>Frank Armando García/Eventual agregado-13/01/2025 AL 19/01/2025</t>
  </si>
  <si>
    <t>Alberto Luis Rojas/Eventual agregado-13/01/2025 AL 19/01/2025</t>
  </si>
  <si>
    <t>Naiker Alexander Jimenez/Eventual agregado-13/01/2025 AL 19/01/2025</t>
  </si>
  <si>
    <t>José Gregorio Perez/Eventual agregado-13/01/2025 AL 19/01/2025</t>
  </si>
  <si>
    <t>Carlos Daniel Rodriguez/Eventual agregado-13/01/2025 AL 19/01/2025</t>
  </si>
  <si>
    <t>Alejandro Morales/Eventual agregado-13/01/2025 AL 19/01/2025</t>
  </si>
  <si>
    <t>Euber José Juarez/Eventual agregado-13/01/2025 AL 19/01/2025</t>
  </si>
  <si>
    <t>Ali Alberto Bullones/Eventual agregado-13/01/2025 AL 19/01/2025</t>
  </si>
  <si>
    <t>Alberto Ali Bullones/Eventual agregado-13/01/2025 AL 19/01/2025</t>
  </si>
  <si>
    <t>Fernando José Rodriguez/Eventual agregado-13/01/2025 AL 19/01/2025</t>
  </si>
  <si>
    <t>Bruno Ali Cordero Bullones/Eventual agregado-13/01/2025 AL 19/01/2025</t>
  </si>
  <si>
    <t>Justiniano Rodriguez/Eventual agregado-13/01/2025 AL 19/01/2025</t>
  </si>
  <si>
    <t>Estebez Maramara/Eventual agregado-13/01/2025 AL 19/01/2025</t>
  </si>
  <si>
    <t>Armando Lopez/Eventual agregado-13/01/2025 AL 19/01/2025</t>
  </si>
  <si>
    <t>Carlos Lopez/Eventual agregado-13/01/2025 AL 19/01/2025</t>
  </si>
  <si>
    <t>Froilan Lopez/Eventual agregado-13/01/2025 AL 19/01/2025</t>
  </si>
  <si>
    <t>JESUS RAMOS/EVENTUAL GOBERNACION-13/01/2025 AL 19/01/2025</t>
  </si>
  <si>
    <t>Ramón Quintero/Eventual agregado-13/01/2025 AL 19/01/2025</t>
  </si>
  <si>
    <t>JUAN LOPEZ/Eventual agregado-13/01/2025 AL 19/01/2025</t>
  </si>
  <si>
    <t>PEDRO CASTILLO/EVENTUAL GOBERNACION-13/01/2025 AL 19/01/2025</t>
  </si>
  <si>
    <t>EXSON RODRIGUEZ/EVENTUAL GOBERNACION-13/01/2025 AL 19/01/2025</t>
  </si>
  <si>
    <t>DOUGLAS PIMENTEL/EVENTUAL GOBERNACION-13/01/2025 AL 19/01/2025</t>
  </si>
  <si>
    <t>LUIS SILVEIRO COLON OJEDA/Eventual agregado-13/01/2025 AL 19/01/2025</t>
  </si>
  <si>
    <t>NICOLAS ALVAREZ/EVENTUAL GOBERNACION-13/01/2025 AL 19/01/2025</t>
  </si>
  <si>
    <t>RAFAEL PUERTAS/EVENTUAL GOBERNACION-13/01/2025 AL 19/01/2025</t>
  </si>
  <si>
    <t>CARLOS PACHECO/EVENTUAL GOBERNACION-13/01/2025 AL 19/01/2025</t>
  </si>
  <si>
    <t>ANDRÉS ARMELLA/EVENTUAL GOBERNACION-13/01/2025 AL 19/01/2025</t>
  </si>
  <si>
    <t>MIGUEL TORRES/EVENTUAL GOBERNACION-13/01/2025 AL 19/01/2025</t>
  </si>
  <si>
    <t>JOSE TOLEDO/EVENTUAL GOBERNACION-13/01/2025 AL 19/01/2025</t>
  </si>
  <si>
    <t>JUAN PINTO/EVENTUAL GOBERNACION-13/01/2025 AL 19/01/2025</t>
  </si>
  <si>
    <t>HENRRY VALERA/EVENTUAL GOBERNACION-13/01/2025 AL 19/01/2025</t>
  </si>
  <si>
    <t>ALIRIO PARRA/EVENTUAL GOBERNACION-13/01/2025 AL 19/01/2025</t>
  </si>
  <si>
    <t>EDWIN ROJAS/EVENTUAL GOBERNACION-13/01/2025 AL 19/01/2025</t>
  </si>
  <si>
    <t>WENDY GIMENEZ/EVENTUAL GOBERNACION-13/01/2025 AL 19/01/2025</t>
  </si>
  <si>
    <t>NORYS RAMOS/EVENTUAL GOBERNACION-13/01/2025 AL 19/01/2025</t>
  </si>
  <si>
    <t>FARELIZ ARRIECHE/EVENTUAL GOBERNACION-13/01/2025 AL 19/01/2025</t>
  </si>
  <si>
    <t>HECTOR/EVENTUAL GOBERNACION-13/01/2025 AL 19/01/2025</t>
  </si>
  <si>
    <t>FEDERICO FANEITE/EVENTUAL GOBERNACION-13/01/2025 AL 19/01/2025</t>
  </si>
  <si>
    <t>ARGENIS FLORES/EVENTUAL MEGATECH-13/01/2025 AL 19/01/2025</t>
  </si>
  <si>
    <t>ANGEL CALDERA/EVENTUAL GOBERNACION-13/01/2025 AL 19/01/2025</t>
  </si>
  <si>
    <t>RAFAEL QUIROZ/EVENTUAL GOBERNACION-13/01/2025 AL 19/01/2025</t>
  </si>
  <si>
    <t>PITTER PUERTA/EVENTUAL MEGATECH-13/01/2025 AL 19/01/2025</t>
  </si>
  <si>
    <t>WALNER OVIEDO/EVENTUAL MEGATECH-13/01/2025 AL 19/01/2025</t>
  </si>
  <si>
    <t>YONNY CASTILLO/EVENTUAL MEGATECH-13/01/2025 AL 19/01/2025</t>
  </si>
  <si>
    <t>FRANCISCO CASTILLO/EVENTUAL MEGATECH-13/01/2025 AL 19/01/2025</t>
  </si>
  <si>
    <t>ANTONIO CASTILLO/EVENTUAL MEGATECH-13/01/2025 AL 19/01/2025</t>
  </si>
  <si>
    <t>JOSE GUEVARA/EVENTUAL MEGATECH-13/01/2025 AL 19/01/2025</t>
  </si>
  <si>
    <t>JOSE CASTILLO/EVENTUAL MEGATECH-13/01/2025 AL 19/01/2025</t>
  </si>
  <si>
    <t>ELVIS VALLES/EVENTUAL MEGATECH-13/01/2025 AL 19/01/2025</t>
  </si>
  <si>
    <t>JULIAN GUEDEZ/EVENTUAL MEGATECH-13/01/2025 AL 19/01/2025</t>
  </si>
  <si>
    <t>YORDIS ALMAO/EVENTUAL MEGATECH-13/01/2025 AL 19/01/2025</t>
  </si>
  <si>
    <t>OMAR TORREALBA/EVENTUAL MEGATECH-13/01/2025 AL 19/01/2025</t>
  </si>
  <si>
    <t>CARLOS CASTILLO/EVENTUAL MEGATECH-13/01/2025 AL 19/01/2025</t>
  </si>
  <si>
    <t>ALEXANDER CASTILLO/EVENTUAL MEGATECH-13/01/2025 AL 19/01/2025</t>
  </si>
  <si>
    <t>EDWUARD ALMEIDA/EVENTUAL MEGATECH-13/01/2025 AL 19/01/2025</t>
  </si>
  <si>
    <t>YERRY RODRÍGUEZ/EVENTUAL MEGATECH-13/01/2025 AL 19/01/2025</t>
  </si>
  <si>
    <t>ELIO MALPICA/EVENTUAL MEGATECH-13/01/2025 AL 19/01/2025</t>
  </si>
  <si>
    <t>ALBERTO LOYO/EVENTUAL MEGATECH-13/01/2025 AL 19/01/2025</t>
  </si>
  <si>
    <t>VICTOR MENDEZ/EVENTUAL MEGATECH-13/01/2025 AL 19/01/2025</t>
  </si>
  <si>
    <t>ALIRIO PARRA/EVENTUAL MEGATECH-13/01/2025 AL 19/01/2025</t>
  </si>
  <si>
    <t>FARELIZ ARRIECHE/EVENTUAL MEGATECH-13/01/2025 AL 19/01/2025</t>
  </si>
  <si>
    <t>NORYS RAMOS/EVENTUAL MEGATECH-13/01/2025 AL 19/01/2025</t>
  </si>
  <si>
    <t>CARLOS LOYO/EVENTUAL MEGATECH-13/01/2025 AL 19/01/2025</t>
  </si>
  <si>
    <t>RUBEN RIVAS/EVENTUAL MEGATECH-13/01/2025 AL 19/01/2025</t>
  </si>
  <si>
    <t>FARES ARRIECHE/EVENTUAL MEGATECH-13/01/2025 AL 19/01/2025</t>
  </si>
  <si>
    <t>EMPERATRIZ LEON/EVENTUAL MEGATECH-13/01/2025 AL 19/01/2025</t>
  </si>
  <si>
    <t>INGRID REYES/EVENTUAL MEGATECH-13/01/2025 AL 19/01/2025</t>
  </si>
  <si>
    <t>COMERCIALIZADORA/INVERSION DE CAPITAL/PROVINCIAL</t>
  </si>
  <si>
    <t>EDC AUTOPARTS, C.A/FACT 206/repuestos Hilux asiganada a Gustavo-3 crucetas-1 juego de empaque tapa valvula-1 kit sellos</t>
  </si>
  <si>
    <t>SERVA012</t>
  </si>
  <si>
    <t xml:space="preserve">R &amp; A CONSTRUCCIONES E INVERSIONES 24, C/FACT 04/cierre tipo pantalla en galpon de molino de cemento  y fabricacion de perfiles  tipo esquinero en galpon de molino de crudo  y galpon de clinker </t>
  </si>
  <si>
    <t>AURELIANO LEON/07 DIAS/personal que laboro en la campaña de yeso semana del 13-01 al 19-01-25</t>
  </si>
  <si>
    <t>FREDDY MENDOZA/4 DIAS/personal que laboro en la campaña de yeso semana del 13-01 al 19-01-25</t>
  </si>
  <si>
    <t>JULIAN CASTILLO/05 DIAS/personal que laboro en la campaña de yeso semana del 13-01 al 19-01-25</t>
  </si>
  <si>
    <t>LINO FLOREZ/01 DIAS/personal que laboro en la campaña de yeso semana del 13-01 al 19-01-25</t>
  </si>
  <si>
    <t>ELIDA MENDOZA/01 DIAS/personal que laboro en la campaña de yeso semana del 13-01 al 19-01-25</t>
  </si>
  <si>
    <t>TALLER AGROINDUSTRIAL MOLI, C.A/FACT 2601/reparación de la herramienta de trabajo de un martillo percutor que se está usando en la extracción  de yeso</t>
  </si>
  <si>
    <t>SERVL002</t>
  </si>
  <si>
    <t>GASTOS MANTENIENTO MAQUINARIA</t>
  </si>
  <si>
    <t xml:space="preserve">INDUSTRIA FERRE AMERICA C.A/FACT 820/LAMINAS DE HIERRO Requerimiento para el personal INDU </t>
  </si>
  <si>
    <t>INVERGRAF 2099, CA/FACTURA 02670/IMPRESION Y CORTE DE STICKERS - TOPPERS PARA TORTA-INVERGRAF 2099, CA</t>
  </si>
  <si>
    <t>SERVA015</t>
  </si>
  <si>
    <t>GASTOS PAPELERIA</t>
  </si>
  <si>
    <t>CASTRO CORPORATION.CA/FACT 509/Servicio de activacion de office-para laptop de Gustavo Rangel</t>
  </si>
  <si>
    <t>SERVA011</t>
  </si>
  <si>
    <t>GASTOS MANTENIMIENTO INFORMATICOS</t>
  </si>
  <si>
    <t>DIOSANNY ALVAREZ/FACT 130/consumo de comida correspondiente a los operadores de Camunare desayuno, almuerzo y cena</t>
  </si>
  <si>
    <t xml:space="preserve">
ALBERTO PERNALETE/FACTURA 000005/pago diferencia viaticos comunare y abono </t>
  </si>
  <si>
    <t>EMPRENDIMIENTO DIOSANNY ALVAREZ/FACT 142/ALMUZOS DESDE 17/01/25 AL 24/01/2025</t>
  </si>
  <si>
    <t>ALIMENTOS AGROTENDENCIAS, C.A/FACT 20766/harina y cafe  empleados DESPACHO DEL -06-01 al 10-01</t>
  </si>
  <si>
    <t>SERVE001E</t>
  </si>
  <si>
    <t>CUENTAS POR COBRAR EMPLEADOS</t>
  </si>
  <si>
    <t>TENDENCIAS/INVERSION DE CAPITAL/TESORO</t>
  </si>
  <si>
    <t>EDC AUTOPARTS, C.A/FACT 207/repuestos Hilux asiganada a Gustavo-1 pastilla freno ceramica</t>
  </si>
  <si>
    <t>CASTRO CORPORATION.CA/FACT 512/Servicio Mensual de Internet Satelital Empresarial-planta cemento</t>
  </si>
  <si>
    <t>SERVA030</t>
  </si>
  <si>
    <t>GASTOS TELECOMUNICACIONES/INTERNET</t>
  </si>
  <si>
    <t>DIESEL INYECCION BARQUISIMETO S A/FACT 5438/reparación de 2 inyectores de la grúa</t>
  </si>
  <si>
    <t xml:space="preserve">FERRETERIA CAMILA, CA/FACT 30448/palustra raton-Inversión Herramienta de trabajo </t>
  </si>
  <si>
    <t>SERVL012</t>
  </si>
  <si>
    <t>ADQUISICION DE HERRAMIENTAS</t>
  </si>
  <si>
    <t>MPP ECOSOCIALISMO/pago tramite minet piedra caliza de garantia</t>
  </si>
  <si>
    <t>GASTOS TRAMITES PERMISOS SANIDAD/SAPI</t>
  </si>
  <si>
    <t>SERVA032E</t>
  </si>
  <si>
    <t>GASTOS PERMISOS MINEC</t>
  </si>
  <si>
    <t>08-220125</t>
  </si>
  <si>
    <t>DAFNE PEÑA/FACT 75/TRAMITE ACTUALIZACION RUPDAE</t>
  </si>
  <si>
    <t>SERVA007</t>
  </si>
  <si>
    <t>GASTOS HONORARIO PROFESIONALES</t>
  </si>
  <si>
    <t>EDWUARD ALMEIDA/EVENTUAL MEGATECH-20/01/2025 al 26/01/2025</t>
  </si>
  <si>
    <t xml:space="preserve">REPUESTOS Y SERVIVIOS KR CARS/FACT 1379/para mant de la vibradora de concreto y compactadora de terreno </t>
  </si>
  <si>
    <t>EMPRENDIMIENTO DIOSANNY ALVAREZ/FACT 140/correspondiente a la semana del 20-01 al 24-01-25 de comida, en la campaña del yeso de Camunare.</t>
  </si>
  <si>
    <t>JESUS RAMOS/EVENTUAL GOBERNACION-20/01/2025 al 26/01/2025</t>
  </si>
  <si>
    <t>YERRY RODRÍGUEZ/EVENTUAL MEGATECH-20/01/2025 al 26/01/2025</t>
  </si>
  <si>
    <t>PROMICAR/FACT0954/Reparacion de manguera del gato hidraulico de la retro excavadora</t>
  </si>
  <si>
    <t>SERVL017</t>
  </si>
  <si>
    <t>INSUMOS MAQUINARIAS</t>
  </si>
  <si>
    <t>ELIA MENDOZA/Elida Mendoza - 01 día/personal que laboro en la campaña de yeso la semana del 20-01 al 26-01-25</t>
  </si>
  <si>
    <t>ELIO MALPICA/EVENTUAL MEGATECH-20/01/2025 al 26/01/2025</t>
  </si>
  <si>
    <t>ARGENIS FLORES/EVENTUAL MEGATECH-20/01/2025 al 26/01/2025</t>
  </si>
  <si>
    <t>pago solicitud de viaticos comunare correspondiente a la semana del 20 al 26-01-25- 50$ RESTANTE  fact 142 diosanny- FACT 403 JULIO IGLESIAS Y  FACTURA 000005 ALBERTO PERNALETE (en espera del cambio de factura de diosanny)</t>
  </si>
  <si>
    <t>DIESEL INYECCION BARQUISIMETO S A/FACT 5439/camisas para 2 inyectores de la grúa</t>
  </si>
  <si>
    <t>FREDDY MENDOZA/Fredy Mendoza - 02 días de 12$ y 02 días de 15$-total 54$/personal que laboro en la campaña de yeso la semana del 20-01 al 26-01-25</t>
  </si>
  <si>
    <t>Lino flores - 01 dias/personal que laboro en la campaña de yeso la semana del 20-01 al 26-01-25</t>
  </si>
  <si>
    <t>Brunito Segundo Cordero/Eventual agregado-20/01/2025 al 26/01/2025</t>
  </si>
  <si>
    <t>Delios Adolfo Ferrara/Eventual agregado-20/01/2025 al 26/01/2025</t>
  </si>
  <si>
    <t>Eliomar Jesús Escalona/Eventual agregado-20/01/2025 al 26/01/2025</t>
  </si>
  <si>
    <t>José Guillermo Cortez/Eventual agregado-20/01/2025 al 26/01/2025</t>
  </si>
  <si>
    <t>Darwuin Jesús Bullones/Eventual agregado-20/01/2025 al 26/01/2025</t>
  </si>
  <si>
    <t>Frank Armando García/Eventual agregado-20/01/2025 al 26/01/2025</t>
  </si>
  <si>
    <t>Alberto Luis Rojas/Eventual agregado-20/01/2025 al 26/01/2025</t>
  </si>
  <si>
    <t>Naiker Alexander Jimenez/Eventual agregado-20/01/2025 al 26/01/2025</t>
  </si>
  <si>
    <t>José Gregorio Perez/Eventual agregado-20/01/2025 al 26/01/2025</t>
  </si>
  <si>
    <t>Carlos Daniel Rodriguez/Eventual agregado-20/01/2025 al 26/01/2025</t>
  </si>
  <si>
    <t>Alejandro Morales/Eventual agregado-20/01/2025 al 26/01/2025</t>
  </si>
  <si>
    <t>Euber José Juarez/Eventual agregado-20/01/2025 al 26/01/2025</t>
  </si>
  <si>
    <t>Ali Alberto Bullones/Eventual agregado-20/01/2025 al 26/01/2025</t>
  </si>
  <si>
    <t>Alberto Ali Bullones/Eventual agregado-20/01/2025 al 26/01/2025</t>
  </si>
  <si>
    <t>Justiniano Rodriguez/Eventual agregado-20/01/2025 al 26/01/2025</t>
  </si>
  <si>
    <t>Fernando José Rodriguez/Eventual agregado-20/01/2025 al 26/01/2025</t>
  </si>
  <si>
    <t>Armando Lopez/Eventual agregado-20/01/2025 al 26/01/2025</t>
  </si>
  <si>
    <t>Carlos Lopez/Eventual agregado-20/01/2025 al 26/01/2025</t>
  </si>
  <si>
    <t>Froilan Lopez/Eventual agregado-20/01/2025 al 26/01/2025</t>
  </si>
  <si>
    <t>Estebez Maramara/Eventual agregado-20/01/2025 al 26/01/2025</t>
  </si>
  <si>
    <t>Ramón Quintero/Eventual agregado-20/01/2025 al 26/01/2025</t>
  </si>
  <si>
    <t>JUAN LOPEZ/Eventual agregado-20/01/2025 al 26/01/2025</t>
  </si>
  <si>
    <t>EXSON RODRIGUEZ/EVENTUAL GOBERNACION-20/01/2025 al 26/01/2025</t>
  </si>
  <si>
    <t>DOUGLAS PIMENTEL/EVENTUAL GOBERNACION-20/01/2025 al 26/01/2025</t>
  </si>
  <si>
    <t>PEDRO CASTILLO/EVENTUAL GOBERNACION-20/01/2025 al 26/01/2025</t>
  </si>
  <si>
    <t>MIGUEL TORRES/EVENTUAL GOBERNACION-20/01/2025 al 26/01/2025</t>
  </si>
  <si>
    <t>WENDY GIMENEZ/EVENTUAL GOBERNACION-20/01/2025 al 26/01/2025</t>
  </si>
  <si>
    <t>YONNY CASTILLO/EVENTUAL MEGATECH-20/01/2025 al 26/01/2025</t>
  </si>
  <si>
    <t>NICOLAS ALVAREZ/EVENTUAL GOBERNACION-20/01/2025 al 26/01/2025</t>
  </si>
  <si>
    <t>LUIS SILVEIRO COLON OJEDA/Eventual agregado-20/01/2025 al 26/01/2025</t>
  </si>
  <si>
    <t>RAFAEL PUERTAS/EVENTUAL GOBERNACION-20/01/2025 al 26/01/2025</t>
  </si>
  <si>
    <t>CARLOS PACHECO/EVENTUAL GOBERNACION-20/01/2025 al 26/01/2025</t>
  </si>
  <si>
    <t>ANDRÉS ARMELLA/EVENTUAL GOBERNACION-20/01/2025 al 26/01/2025</t>
  </si>
  <si>
    <t>JOSE TOLEDO/EVENTUAL GOBERNACION-20/01/2025 al 26/01/2025</t>
  </si>
  <si>
    <t>JUAN PINTO/EVENTUAL GOBERNACION-20/01/2025 al 26/01/2025</t>
  </si>
  <si>
    <t>HENRRY VALERA/EVENTUAL GOBERNACION-20/01/2025 al 26/01/2025</t>
  </si>
  <si>
    <t>HECTOR/EVENTUAL GOBERNACION-20/01/2025 al 26/01/2025</t>
  </si>
  <si>
    <t>RAFAEL QUIROZ/EVENTUAL GOBERNACION-20/01/2025 al 26/01/2025</t>
  </si>
  <si>
    <t>ALIRIO PARRA/EVENTUAL GOBERNACION-20/01/2025 al 26/01/2025</t>
  </si>
  <si>
    <t>EDWIN ROJAS/EVENTUAL GOBERNACION-20/01/2025 al 26/01/2025</t>
  </si>
  <si>
    <t>FEDERICO FANEITE/EVENTUAL GOBERNACION-20/01/2025 al 26/01/2025</t>
  </si>
  <si>
    <t>PITTER PUERTA/EVENTUAL MEGATECH-20/01/2025 al 26/01/2025</t>
  </si>
  <si>
    <t>ANGEL CALDERA/EVENTUAL GOBERNACION-20/01/2025 al 26/01/2025</t>
  </si>
  <si>
    <t>WALNER OVIEDO/EVENTUAL MEGATECH-20/01/2025 al 26/01/2025</t>
  </si>
  <si>
    <t>Dayana Azuaje/07 dias de 10$/personal que laboro en la campaña de yeso la semana del 20-01 al 26-01-25</t>
  </si>
  <si>
    <t>FRANCISCO CASTILLO/EVENTUAL MEGATECH-20/01/2025 al 26/01/2025</t>
  </si>
  <si>
    <t>ANTONIO CASTILLO/EVENTUAL MEGATECH-20/01/2025 al 26/01/2025</t>
  </si>
  <si>
    <t>FARELIZ ARRIECHE/EVENTUAL GOBERNACION-20/01/2025 al 26/01/2025</t>
  </si>
  <si>
    <t>Bruno Ali Cordero Bullones/Eventual agregado-20/01/2025 al 26/01/2025</t>
  </si>
  <si>
    <t>JOSE GUEVARA/EVENTUAL MEGATECH-20/01/2025 al 26/01/2025</t>
  </si>
  <si>
    <t>ELVIS VALLES/EVENTUAL MEGATECH-20/01/2025 al 26/01/2025</t>
  </si>
  <si>
    <t>JOSE CASTILLO/EVENTUAL MEGATECH-20/01/2025 al 26/01/2025</t>
  </si>
  <si>
    <t>OMAR TORREALBA/EVENTUAL MEGATECH-20/01/2025 al 26/01/2025</t>
  </si>
  <si>
    <t>CARLOS CASTILLO/EVENTUAL MEGATECH-20/01/2025 al 26/01/2025</t>
  </si>
  <si>
    <t>YORDIS ALMAO/EVENTUAL MEGATECH-20/01/2025 al 26/01/2025</t>
  </si>
  <si>
    <t>VICTOR MENDEZ/EVENTUAL MEGATECH-20/01/2025 al 26/01/2025</t>
  </si>
  <si>
    <t>CARLOS LOYO/EVENTUAL MEGATECH-20/01/2025 al 26/01/2025</t>
  </si>
  <si>
    <t>JULIAN GUEDEZ/EVENTUAL MEGATECH-20/01/2025 al 26/01/2025</t>
  </si>
  <si>
    <t>ALBERTO LOYO/EVENTUAL MEGATECH-20/01/2025 al 26/01/2025</t>
  </si>
  <si>
    <t>WILLIAM RIVAS/Willam Rivas - 05 días de 10$ personal que laboro en la campaña de yeso la semana del 20-01 al 26-01-25</t>
  </si>
  <si>
    <t>NORYS RAMOS/EVENTUAL GOBERNACION-20/01/2025 al 26/01/2025</t>
  </si>
  <si>
    <t>RUBEN RIVAS/EVENTUAL MEGATECH-20/01/2025 al 26/01/2025</t>
  </si>
  <si>
    <t>ALEXANDER CASTILLO/EVENTUAL MEGATECH-20/01/2025 al 26/01/2025</t>
  </si>
  <si>
    <t>NORYS RAMOS/EVENTUAL MEGATECH-20/01/2025 al 26/01/2025</t>
  </si>
  <si>
    <t>EMPERATRIZ LEON/EVENTUAL MEGATECH-20/01/2025 al 26/01/2025</t>
  </si>
  <si>
    <t>RAMONC QUIROGAS/pago bono para operador aprobado por Wilians Aleman-20$/operador de tractor</t>
  </si>
  <si>
    <t>ALIRIO PARRA/EVENTUAL MEGATECH-20/01/2025 al 26/01/2025</t>
  </si>
  <si>
    <t>FARELIZ ARRIECHE/EVENTUAL MEGATECH-20/01/2025 al 26/01/2025</t>
  </si>
  <si>
    <t>FARES ARRIECHE/EVENTUAL MEGATECH-20/01/2025 al 26/01/2025</t>
  </si>
  <si>
    <t>INGRID REYES/EVENTUAL MEGATECH-20/01/2025 al 26/01/2025</t>
  </si>
  <si>
    <t>MATERIALES SANTA LUCIA/ FACT 00004670/PLANTA CEMENTO-NE 255429-255430-255431-255444</t>
  </si>
  <si>
    <t>DIGASMALAR/FACT 55006/Oxígeno para equipos de oxicorte</t>
  </si>
  <si>
    <t>ALBERTO PERNALETE/ fact 000005 /solictud viaticos gustavo rangel -50$ pago fact  diosanny y abono</t>
  </si>
  <si>
    <t>FALTA PROCESAR LA FACT DE DIOSANNY</t>
  </si>
  <si>
    <t>JULIO IGLESIAS/ FACT 406/grasa excavador yaracuy bonito</t>
  </si>
  <si>
    <t>COMIS USO CANAL INT BANK X CTA</t>
  </si>
  <si>
    <t>SERV AMBIT P/ECOSOCIALISMO/obtención del permiso de afectación - caliza</t>
  </si>
  <si>
    <t>08-280125</t>
  </si>
  <si>
    <t>ARIEDDY ROSELY GARRIDO URDANETA/FACT 19/análisis realizados a las muestras de yeso enviadas por ustedes a nuestra unidad de Análisis Instrumental.</t>
  </si>
  <si>
    <t>SERVA009</t>
  </si>
  <si>
    <t>GASTOS INVESTIGACION Y DESARROLLO</t>
  </si>
  <si>
    <t>INVERSIONES Y MATERIALES PARRA C.A/FACT 717/Requerimiento para el personal INDU</t>
  </si>
  <si>
    <t>VIELMA GONZALEZ, CARLEN ALONSO/BONO COMPLEMENTARIO 31-01-2025</t>
  </si>
  <si>
    <t>RANGEL PEREZ, GUSTAVO ALONSO/BONO COMPLEMENTARIO 31-01-2025</t>
  </si>
  <si>
    <t>RANGEL PEREZ,GUSTAVO ALONSO/NOMINA 31-01-2025</t>
  </si>
  <si>
    <t>RANGEL PEREZ,GUSTAVO ALONSO/CESTA TICKET 31-01-2025</t>
  </si>
  <si>
    <t>VIELMA GONZALEZ, CARLEN ALFONSO/CESTA TICKET 31-01-2025</t>
  </si>
  <si>
    <t>JOSE ARRIETA/BONIFICACION ESPECIAL GOBERNACION 2DA QUINCENA</t>
  </si>
  <si>
    <t>VIELMA GONZALEZ, CARLEN ALFONSO/NOMINA 31-01-2025</t>
  </si>
  <si>
    <t>CARLOS RODRIGUEZ/BONIFICACION ESPECIAL GOBERNACION 2DA QUINCENA</t>
  </si>
  <si>
    <t>ARMANDO VILLEGA/BONIFICACION ESPECIAL GOBERNACION 2DA QUINCENA</t>
  </si>
  <si>
    <t>LISO, C.A/FACT 591/suministro vigas de madera soporte de tritura de mandibula-insumo es equerido por los Hindú para las pruebas que se realizarán la semana entrante</t>
  </si>
  <si>
    <t>Brunito Segundo Cordero/Eventual agregado-27/01/2025 AL 02/02/2025</t>
  </si>
  <si>
    <t>Delios Adolfo Ferrara/Eventual agregado-27/01/2025 AL 02/02/2025</t>
  </si>
  <si>
    <t>Eliomar Jesús Escalona/Eventual agregado-27/01/2025 AL 02/02/2025</t>
  </si>
  <si>
    <t>José Guillermo Cortez/Eventual agregado-27/01/2025 AL 02/02/2025</t>
  </si>
  <si>
    <t>Darwuin Jesús Bullones/Eventual agregado-27/01/2025 AL 02/02/2025</t>
  </si>
  <si>
    <t>Alberto Luis Rojas/Eventual agregado-27/01/2025 AL 02/02/2025</t>
  </si>
  <si>
    <t>Naiker Alexander Jimenez/Eventual agregado-27/01/2025 AL 02/02/2025</t>
  </si>
  <si>
    <t>José Gregorio Perez/Eventual agregado-27/01/2025 AL 02/02/2025</t>
  </si>
  <si>
    <t>Carlos Daniel Rodriguez/Eventual agregado-27/01/2025 AL 02/02/2025</t>
  </si>
  <si>
    <t>Alejandro Morales/Eventual agregado-27/01/2025 AL 02/02/2025</t>
  </si>
  <si>
    <t>Euber José Juarez/Eventual agregado-27/01/2025 AL 02/02/2025</t>
  </si>
  <si>
    <t>Ali Alberto Bullones/Eventual agregado-27/01/2025 AL 02/02/2025</t>
  </si>
  <si>
    <t>Alberto Ali Bullones/Eventual agregado-27/01/2025 AL 02/02/2025</t>
  </si>
  <si>
    <t>Fernando José Rodriguez/Eventual agregado-27/01/2025 AL 02/02/2025</t>
  </si>
  <si>
    <t>Justiniano Rodriguez/Eventual agregado-27/01/2025 AL 02/02/2025</t>
  </si>
  <si>
    <t>Bruno Ali Cordero Bullones/Eventual agregado-27/01/2025 AL 02/02/2025</t>
  </si>
  <si>
    <t>Carlos Lopez/Eventual agregado-27/01/2025 AL 02/02/2025</t>
  </si>
  <si>
    <t>Armando Lopez/Eventual agregado-27/01/2025 AL 02/02/2025</t>
  </si>
  <si>
    <t>Froilan Lopez/Eventual agregado-27/01/2025 AL 02/02/2025</t>
  </si>
  <si>
    <t>Ramón Quintero/Eventual agregado-27/01/2025 AL 02/02/2025</t>
  </si>
  <si>
    <t>Estebez Maramara/Eventual agregado-27/01/2025 AL 02/02/2025</t>
  </si>
  <si>
    <t>JUAN LOPEZ/Eventual agregado-27/01/2025 AL 02/02/2025</t>
  </si>
  <si>
    <t>JESUS RAMOS/EVENTUAL GOBERNACION-27/01/2025 AL 02/02/2025</t>
  </si>
  <si>
    <t>LUIS SILVEIRO COLON OJEDA/Eventual agregado-27/01/2025 AL 02/02/2025</t>
  </si>
  <si>
    <t>DOUGLAS PIMENTEL/EVENTUAL GOBERNACION-27/01/2025 AL 02/02/2025</t>
  </si>
  <si>
    <t>EXSON RODRIGUEZ/EVENTUAL GOBERNACION-27/01/2025 AL 02/02/2025</t>
  </si>
  <si>
    <t>PEDRO CASTILLO/EVENTUAL GOBERNACION-27/01/2025 AL 02/02/2025</t>
  </si>
  <si>
    <t>MIGUEL TORRES/EVENTUAL GOBERNACION-27/01/2025 AL 02/02/2025</t>
  </si>
  <si>
    <t>CARLOS PACHECO/EVENTUAL GOBERNACION-27/01/2025 AL 02/02/2025</t>
  </si>
  <si>
    <t>ANDRÉS ARMELLA/EVENTUAL GOBERNACION-27/01/2025 AL 02/02/2025</t>
  </si>
  <si>
    <t>JOSE TOLEDO/EVENTUAL GOBERNACION-27/01/2025 AL 02/02/2025</t>
  </si>
  <si>
    <t>JUAN PINTO/EVENTUAL GOBERNACION-27/01/2025 AL 02/02/2025</t>
  </si>
  <si>
    <t>EDWIN ROJAS/EVENTUAL GOBERNACION-27/01/2025 AL 02/02/2025</t>
  </si>
  <si>
    <t>HENRRY VALERA/EVENTUAL GOBERNACION-27/01/2025 AL 02/02/2025</t>
  </si>
  <si>
    <t>WENDY GIMENEZ/EVENTUAL GOBERNACION-27/01/2025 AL 02/02/2025</t>
  </si>
  <si>
    <t>ALIRIO PARRA/EVENTUAL GOBERNACION-27/01/2025 AL 02/02/2025</t>
  </si>
  <si>
    <t>HECTOR/EVENTUAL GOBERNACION-27/01/2025 AL 02/02/2025</t>
  </si>
  <si>
    <t>FARELIZ ARRIECHE/EVENTUAL GOBERNACION-27/01/2025 AL 02/02/2025</t>
  </si>
  <si>
    <t>NORYS RAMOS/EVENTUAL GOBERNACION-27/01/2025 AL 02/02/2025</t>
  </si>
  <si>
    <t>RAFAEL QUIROZ/EVENTUAL GOBERNACION-27/01/2025 AL 02/02/2025</t>
  </si>
  <si>
    <t>ANGEL CALDERA/EVENTUAL GOBERNACION-27/01/2025 AL 02/02/2025</t>
  </si>
  <si>
    <t>ARGENIS FLORES/EVENTUAL MEGATECH-27/01/2025 AL 02/02/2025</t>
  </si>
  <si>
    <t>FEDERICO FANEITE/EVENTUAL GOBERNACION-27/01/2025 AL 02/02/2025</t>
  </si>
  <si>
    <t>PITTER PUERTA/EVENTUAL MEGATECH-27/01/2025 AL 02/02/2025</t>
  </si>
  <si>
    <t>YONNY CASTILLO/EVENTUAL MEGATECH-27/01/2025 AL 02/02/2025</t>
  </si>
  <si>
    <t>WALNER OVIEDO/EVENTUAL MEGATECH-27/01/2025 AL 02/02/2025</t>
  </si>
  <si>
    <t>FRANCISCO CASTILLO/EVENTUAL MEGATECH-27/01/2025 AL 02/02/2025</t>
  </si>
  <si>
    <t>ANTONIO CASTILLO/EVENTUAL MEGATECH-27/01/2025 AL 02/02/2025</t>
  </si>
  <si>
    <t>JOSE GUEVARA/EVENTUAL MEGATECH-27/01/2025 AL 02/02/2025</t>
  </si>
  <si>
    <t>JOSE CASTILLO/EVENTUAL MEGATECH-27/01/2025 AL 02/02/2025</t>
  </si>
  <si>
    <t>ELVIS VALLES/EVENTUAL MEGATECH-27/01/2025 AL 02/02/2025</t>
  </si>
  <si>
    <t>OMAR TORREALBA/EVENTUAL MEGATECH-27/01/2025 AL 02/02/2025</t>
  </si>
  <si>
    <t>CARLOS CASTILLO/EVENTUAL MEGATECH-27/01/2025 AL 02/02/2025</t>
  </si>
  <si>
    <t>JULIAN GUEDEZ/EVENTUAL MEGATECH-27/01/2025 AL 02/02/2025</t>
  </si>
  <si>
    <t>YORDIS ALMAO/EVENTUAL MEGATECH-27/01/2025 AL 02/02/2025</t>
  </si>
  <si>
    <t>VICTOR MENDEZ/EVENTUAL MEGATECH-27/01/2025 AL 02/02/2025</t>
  </si>
  <si>
    <t>CARLOS LOYO/EVENTUAL MEGATECH-27/01/2025 AL 02/02/2025</t>
  </si>
  <si>
    <t>ALBERTO LOYO/EVENTUAL MEGATECH-27/01/2025 AL 02/02/2025</t>
  </si>
  <si>
    <t>EDWUARD ALMEIDA/EVENTUAL MEGATECH-27/01/2025 AL 02/02/2025</t>
  </si>
  <si>
    <t>YERRY RODRÍGUEZ/EVENTUAL MEGATECH-27/01/2025 AL 02/02/2025</t>
  </si>
  <si>
    <t>ALEXANDER CASTILLO/EVENTUAL MEGATECH-27/01/2025 AL 02/02/2025</t>
  </si>
  <si>
    <t>ELIO MALPICA/EVENTUAL MEGATECH-27/01/2025 AL 02/02/2025</t>
  </si>
  <si>
    <t>RUBEN RIVAS/EVENTUAL MEGATECH-27/01/2025 AL 02/02/2025</t>
  </si>
  <si>
    <t>NORYS RAMOS/EVENTUAL MEGATECH-27/01/2025 AL 02/02/2025</t>
  </si>
  <si>
    <t>ALIRIO PARRA/EVENTUAL MEGATECH-27/01/2025 AL 02/02/2025</t>
  </si>
  <si>
    <t>EMPERATRIZ LEON/EVENTUAL MEGATECH-27/01/2025 AL 02/02/2025</t>
  </si>
  <si>
    <t>FARELIZ ARRIECHE/EVENTUAL MEGATECH-27/01/2025 AL 02/02/2025</t>
  </si>
  <si>
    <t>FARES ARRIECHE/EVENTUAL MEGATECH-27/01/2025 AL 02/02/2025</t>
  </si>
  <si>
    <t>INGRID REYES/EVENTUAL MEGATECH-27/01/2025 AL 02/02/2025</t>
  </si>
  <si>
    <t>Repuestos HRN 2020 CA/ fact 1564/Correa para Trompo Mezclador de Concreto</t>
  </si>
  <si>
    <t>Repuestos y servicios KR cars ca/FACT 1388/Correa y Aceite para Rana Compactadora</t>
  </si>
  <si>
    <t>DIOSANNY ALAVREZ/FACT 150/pago almuerzos Consumos de comidas del 27/01 al 31/01/25</t>
  </si>
  <si>
    <t>Aureliano León  - 70$/
pago personal que laboro en la campaña del yeso semana 27-01 al 31-01-2025</t>
  </si>
  <si>
    <t>Fredy Mendoza -48$/pago personal que laboro en la campaña del yeso semana 27-01 al 31-01-2025</t>
  </si>
  <si>
    <t>Leonardo Chirinos - 20$/pago bono para operador aprobado por Wilians Aleman-20$/CAMION</t>
  </si>
  <si>
    <t>Lino flore - 65$/pago personal que laboro en la campaña del yeso semana 27-01 al 31-01-2025</t>
  </si>
  <si>
    <t>Julian Castillo - 50$/pago personal que laboro en la campaña del yeso semana 27-01 al 31-01-2025</t>
  </si>
  <si>
    <t>Elida Mendoza - 10$/pago personal que laboro en la campaña del yeso semana 27-01 al 31-01-2025</t>
  </si>
  <si>
    <t>Jeferson Davila - 20$/pago bono para operador aprobado por Wilians Aleman/EXCAVADOR</t>
  </si>
  <si>
    <t>Beatriz Castillo - 20$/pago bono para operador aprobado por Wilians Aleman/TRACTOR</t>
  </si>
  <si>
    <t>ferrenova 2014/Fact 01659/Techado de dique Tanque Diesel para Generadores</t>
  </si>
  <si>
    <t xml:space="preserve"> ALBERTO PERNALETE/FACT 000005/REINTEGRO DIFERENCIA VIATCOS SR GUSTAVO</t>
  </si>
  <si>
    <t>Ramon Quirogas - 20$/pago bono para operador aprobado por Wilians Aleman-20$/operador de tractor</t>
  </si>
  <si>
    <t>TRANSPORTE  Y SERVICIO TDC/FACT 0051/SERVICIO DICIEMBRE 2024</t>
  </si>
  <si>
    <t>SERVA005</t>
  </si>
  <si>
    <t>GASTOS FLETES Y ENCOMIENDA</t>
  </si>
  <si>
    <t>MATERIALES SANTA LUCIA/FACT 00004716/PLANTA CEMENTO-NE 255507-255508-255469-255479-255480</t>
  </si>
  <si>
    <t>BELOW MINIMUM BALANCE CHARGES</t>
  </si>
  <si>
    <t>STAMENT SERVICE</t>
  </si>
  <si>
    <t>0329235598968</t>
  </si>
  <si>
    <t>VENEZUELA</t>
  </si>
  <si>
    <t>0598114204262</t>
  </si>
  <si>
    <t xml:space="preserve">SAPI/planillas fm02/la marca  Minerales AB   </t>
  </si>
  <si>
    <t>SERVA031E</t>
  </si>
  <si>
    <t>GASTOS PERMISOS SAPI</t>
  </si>
  <si>
    <t>08-070125</t>
  </si>
  <si>
    <t>9884807012025</t>
  </si>
  <si>
    <t xml:space="preserve">COM PAGO OTRAS CTAS JUR GUB   </t>
  </si>
  <si>
    <t>0329200000001</t>
  </si>
  <si>
    <t xml:space="preserve">ALBERTO PERNALETTE/FACT 05/pago reembolso de lavado de vehiculo de la empresa </t>
  </si>
  <si>
    <t>0329200000002</t>
  </si>
  <si>
    <t>Digasmalar/fact 00054879/oxígeno para equipos de oxicorte solicitado por ing fareliz</t>
  </si>
  <si>
    <t>0329200000003</t>
  </si>
  <si>
    <t>SERVICIOS RODRIGUEZ C.A/FACT 3873/correspondiente a la evaluación de materiales en campo para ser usados en el montaje de la trituración primaria</t>
  </si>
  <si>
    <t>0329200000004</t>
  </si>
  <si>
    <t>SERVICIOSRODRIGUEZ C.A/FACT 3873/correspondiente a la evaluación de materiales en campo para ser usados en el montaje de la trituración primaria</t>
  </si>
  <si>
    <t>0676200000004</t>
  </si>
  <si>
    <t xml:space="preserve">COMISION PAGO A PROVEEDORES   </t>
  </si>
  <si>
    <t>0676200000001</t>
  </si>
  <si>
    <t>0676200000003</t>
  </si>
  <si>
    <t>0676200000002</t>
  </si>
  <si>
    <t>0329235602002</t>
  </si>
  <si>
    <t>0598114207916</t>
  </si>
  <si>
    <t>0329235789840</t>
  </si>
  <si>
    <t>0329276063563</t>
  </si>
  <si>
    <t>HILDAMAR ANTONIETTA ADAN RODRIGUEZ/FACT 103/comidas personal que laboro en la campaña de yeso- desayunos 19-12 al 03-01- almuerzos del 19-12 al 03-01- cena del 19-12 al 02-01</t>
  </si>
  <si>
    <t>SERVA017</t>
  </si>
  <si>
    <t>GASTOS REFRIGERIOS</t>
  </si>
  <si>
    <t>0676276063563</t>
  </si>
  <si>
    <t>0828607231644</t>
  </si>
  <si>
    <t xml:space="preserve">BANAVIH/PERIODO DICIEMBRE 2024          </t>
  </si>
  <si>
    <t>BANAVIH POR PAGAR</t>
  </si>
  <si>
    <t>SERVC007E</t>
  </si>
  <si>
    <t>GASTOS PARAFISCALES FAOV</t>
  </si>
  <si>
    <t>03-080125</t>
  </si>
  <si>
    <t>0100707234961</t>
  </si>
  <si>
    <t xml:space="preserve">IVSS/PERIODO DICIEMBRE 2024              </t>
  </si>
  <si>
    <t>SEGURO SOCIAL POR PAGAR</t>
  </si>
  <si>
    <t>SERVC008E</t>
  </si>
  <si>
    <t>GASTOS PARAFISCALES SSO</t>
  </si>
  <si>
    <t>03-08125</t>
  </si>
  <si>
    <t>0329237917016</t>
  </si>
  <si>
    <t>COMERCIALIZADOR/INVERSION DE CAPITAL/VZLA</t>
  </si>
  <si>
    <t>RANGEL PEREZ, GUSTAVO ALONSO/BONO COMPLEMENTARIO  15/01/2025</t>
  </si>
  <si>
    <t>RANGEL PEREZ, GUSTAVO ALONSO/NOMINA 15/01/2025</t>
  </si>
  <si>
    <t>VIELMA GONZALEZ, CARLEN ALFONZO/BONO COMPLENTARIO 15/01/2025</t>
  </si>
  <si>
    <t>VIELMA GONZALEZ, CARLEN ALFONZO/NOMINA 15/01/2025</t>
  </si>
  <si>
    <t>0329245241860</t>
  </si>
  <si>
    <t>0329277561940</t>
  </si>
  <si>
    <t xml:space="preserve"> DERECHO/ALMACENAJE/CONTENE/GASTO/IMPORT- MANEJO, DESPACHO, SEGURIDAD CONTENEDOR /PLANTA DE CEMENTO ORDEN DE PAGO 2536-2025</t>
  </si>
  <si>
    <t>EFECTOS POR COBRAR</t>
  </si>
  <si>
    <t>SERVA044</t>
  </si>
  <si>
    <t>GASTOS CONTAINER</t>
  </si>
  <si>
    <t>EN ESPERA DE REPUESTA DE COMPRAS-20/02/2025</t>
  </si>
  <si>
    <t>31-270125</t>
  </si>
  <si>
    <t>0676277561940</t>
  </si>
  <si>
    <t>0329245315252</t>
  </si>
  <si>
    <t>0329277581418</t>
  </si>
  <si>
    <t>COSCO LOGISTICS, C.A./CONTENEDOR CON EQUIPOS P/ PLANTA DE CEMENTO GASTO DE IMPORTACION 795,60$</t>
  </si>
  <si>
    <t>EN ESPERA DE REPUESTA DE COMPRAS</t>
  </si>
  <si>
    <t>0676277581418</t>
  </si>
  <si>
    <t xml:space="preserve"> Dulcemente Cabudare/-Factura 1128/MERIENDA SOLICITADA REUNIONES 06-11 DE SALON USO MULTIPLES ALFONSO</t>
  </si>
  <si>
    <t>PROCESADAS EN FEBRERO</t>
  </si>
  <si>
    <t xml:space="preserve"> Dulcemente Cabudare/-Factura 1127/MERIENDA SOLICITADA REUNIONES 06-11 DE SALON USO MULTIPLES ALFONSO</t>
  </si>
  <si>
    <t>0329245612665</t>
  </si>
  <si>
    <t>0597318825238</t>
  </si>
  <si>
    <t>SOGEBUSA C.A/pago ELEVADORA CONTENEDOR CON EQUIPOS PARA LA PLANTA DE CEMENTO-357$/OP 2548-2025</t>
  </si>
  <si>
    <t>31-290125</t>
  </si>
  <si>
    <t xml:space="preserve">COM PAGO OTR BCOS JUR JUR     </t>
  </si>
  <si>
    <t>0597318838547</t>
  </si>
  <si>
    <t>SOGEBUSA C.A/pago SERVICIO LAVADO QUIMICO CONTENEDOR CON EQUIPOS PARA LA PLANTA DE CEMENTO-92,80$/ OP 2551-2025-</t>
  </si>
  <si>
    <t xml:space="preserve">EMISION EDO. DE CTA. MONEDA NAC. EXT. </t>
  </si>
  <si>
    <t>04-280225</t>
  </si>
  <si>
    <t xml:space="preserve">TARIFA MANTENIMIENTO DE CUENTA    </t>
  </si>
  <si>
    <t xml:space="preserve">Hanley Borge/FACT 697/servidor lenovo-monitor xiaomi-ph rk 1000-bateria 12-100 gel-impresora hp 111-teclado y mouse-sede ,minerales (arenera) </t>
  </si>
  <si>
    <t>SERVA022</t>
  </si>
  <si>
    <t>GASTOS ADQUISICION EQUIPOS INFORMATICOS</t>
  </si>
  <si>
    <t>PROCESADO EN MARZO</t>
  </si>
  <si>
    <t xml:space="preserve">OP.CRED.DIRT. CLTE-CLTE PJ  ELECTRON   </t>
  </si>
  <si>
    <t>Hanley Borge/FACT 696/instalacion y conf servidor-instal SQL, saint, modulo ventas-conf migracion ventas a sede principal-instal vpn-sede minerales (arenera)</t>
  </si>
  <si>
    <t>SERVA001</t>
  </si>
  <si>
    <t>GASTOS ASESORIA INFORMATICA/MANTENIMIEN</t>
  </si>
  <si>
    <t>Hanley Borge/FACT 700/licencia saint sede Minerales-arenera</t>
  </si>
  <si>
    <t>MATERIALES PARRAS/FACT 735/Para Galpón de Tolva de Alimentación de Molino de Materia Prima-inmediato</t>
  </si>
  <si>
    <t>TENDENCIAS AB/INVERSION DE CAPITAL/MERCANTIL</t>
  </si>
  <si>
    <t>12-070225</t>
  </si>
  <si>
    <t>JOSE RAFAEL MORALES/BONIFICACION 1RA QUINCENAS</t>
  </si>
  <si>
    <t>12-140225</t>
  </si>
  <si>
    <t xml:space="preserve">DAFNE PEÑA/FACT82/redaccion y tramite de acta de asamblea aumento de capital </t>
  </si>
  <si>
    <t>PROCESADA EN MARZO</t>
  </si>
  <si>
    <t>12-210225</t>
  </si>
  <si>
    <t>JOSE RAFAEL MORALES/BONIFICACION 2DA QUINCENAS</t>
  </si>
  <si>
    <t>ALIMENTOS AGROTENDENCIAS, C.A/FACT 22039/harina y cafe  empleados DESPACHO DEL -20-01 al 24-01</t>
  </si>
  <si>
    <t>FERRENOVA 2014 C.A/FACT 01660/2 tubo estructural-Techado de dique Tanque Diesel para Generadores</t>
  </si>
  <si>
    <t>INVERSIONES Y MATERIALES PARRA C.A/FACT 727/100 mts Gomas para Sellado de Compuertas de Recolectores de Polvo-Requerimiento Hindú</t>
  </si>
  <si>
    <t>LISO, C.A/FACT 592/alquiler martillo rotopercutor neumatico-en explotación  de yeso</t>
  </si>
  <si>
    <t>SERVA047</t>
  </si>
  <si>
    <t>ALQUILER DE EQUIPOS/HERRAMIENTAS</t>
  </si>
  <si>
    <t>MARIA DEL CARMEN MOGOLLON ALVARADO/FACT 0465/POLVORA PIEDRA</t>
  </si>
  <si>
    <t>SERVP006</t>
  </si>
  <si>
    <t>INSUMOS DE EXPLOTACION DE MATERIA PRIMA</t>
  </si>
  <si>
    <t>EMPRENDIMIENTO DIOSANNY ALVAREZ/FACT 161/ALMUERZO/semana del 03-02 al 09-02-25</t>
  </si>
  <si>
    <t>DIESEL INYECCION BARQUISIMETO S A/FACT 5440/reparacion de inyectores de la grua-solicitud Fareliz</t>
  </si>
  <si>
    <t>AMERICANA DE TORNILLOS, C.A/FACT 10056/Para Sistema de Escape de Generadores</t>
  </si>
  <si>
    <t>GLOBAL ACEROS, C.A/FACT 0036/7 laminas lisas-Para Sistema de Escape de Generadores</t>
  </si>
  <si>
    <t>Brunito Segundo Cordero/Eventual Agregados 03/02/205 Al 09/02/2025</t>
  </si>
  <si>
    <t>Delios Adolfo Ferrara/Eventual Agregados 03/02/205 Al 09/02/2025</t>
  </si>
  <si>
    <t>Eliomar Jesús Escalona/Eventual Agregados 03/02/205 Al 09/02/2025</t>
  </si>
  <si>
    <t>José Guillermo Cortez/Eventual Agregados 03/02/205 Al 09/02/2025</t>
  </si>
  <si>
    <t>Darwuin Jesús Bullones/Eventual Agregados 03/02/205 Al 09/02/2025</t>
  </si>
  <si>
    <t>Frank Armando García/Eventual Agregados 03/02/205 Al 09/02/2025</t>
  </si>
  <si>
    <t>Alberto Luis Rojas/Eventual Agregados 03/02/205 Al 09/02/2025</t>
  </si>
  <si>
    <t>Naiker Alexander Jimenez/Eventual Agregados 03/02/205 Al 09/02/2025</t>
  </si>
  <si>
    <t>José Gregorio Perez/Eventual Agregados 03/02/205 Al 09/02/2025</t>
  </si>
  <si>
    <t>Carlos Daniel Rodriguez/Eventual Agregados 03/02/205 Al 09/02/2025</t>
  </si>
  <si>
    <t>Alejandro Morales/Eventual Agregados 03/02/205 Al 09/02/2025</t>
  </si>
  <si>
    <t>Euber José Juarez/Eventual Agregados 03/02/205 Al 09/02/2025</t>
  </si>
  <si>
    <t>Ali Alberto Bullones/Eventual Agregados 03/02/205 Al 09/02/2025</t>
  </si>
  <si>
    <t>Alberto Ali Bullones/Eventual Agregados 03/02/205 Al 09/02/2025</t>
  </si>
  <si>
    <t>Federico Faneite/Eventual Gobernacion 03/02/205 Al 09/02/2025</t>
  </si>
  <si>
    <t>Fernando José Rodriguez/Eventual Agregados 03/02/205 Al 09/02/2025</t>
  </si>
  <si>
    <t>Bruno Ali Cordero Bullones/Eventual Agregados 03/02/205 Al 09/02/2025</t>
  </si>
  <si>
    <t>Justiniano Rodriguez/Eventual Agregados 03/02/205 Al 09/02/2025</t>
  </si>
  <si>
    <t>Henrry Valera/Eventual Gobernacion 03/02/205 Al 09/02/2025</t>
  </si>
  <si>
    <t>Fareliz Arrieche/Eventual Gobernacion 03/02/205 Al 09/02/2025</t>
  </si>
  <si>
    <t>Armando Lopez /Eventual Agregados 03/02/205 Al 09/02/2025</t>
  </si>
  <si>
    <t>Froilan Lopez/Eventual Agregados 03/02/205 Al 09/02/2025</t>
  </si>
  <si>
    <t>Ramón Quintero/Eventual Agregados 03/02/205 Al 09/02/2025</t>
  </si>
  <si>
    <t>Juan López/Eventual Agregados 03/02/205 Al 09/02/2025</t>
  </si>
  <si>
    <t>Jesus Ramos/Eventual Gobernacion 03/02/205 Al 09/02/2025</t>
  </si>
  <si>
    <t>Exson Rodriguez/Eventual Gobernacion 03/02/205 Al 09/02/2025</t>
  </si>
  <si>
    <t>Douglas Pimentel/Eventual Gobernacion 03/02/205 Al 09/02/2025</t>
  </si>
  <si>
    <t>Pedro Castillo/Eventual Gobernacion 03/02/205 Al 09/02/2025</t>
  </si>
  <si>
    <t>Miguel Torres/Eventual Gobernacion 03/02/205 Al 09/02/2025</t>
  </si>
  <si>
    <t>Wendy Gimenez/Eventual Gobernacion 03/02/205 Al 09/02/2025</t>
  </si>
  <si>
    <t>Nicolas Alvarez/Eventual Gobernacion 03/02/205 Al 09/02/2025</t>
  </si>
  <si>
    <t>Rafael Puertas/Eventual Gobernacion 03/02/205 Al 09/02/2025</t>
  </si>
  <si>
    <t>Carlos Pacheco/Eventual Gobernacion 03/02/205 Al 09/02/2025</t>
  </si>
  <si>
    <t>Andrés Armella/Eventual Gobernacion 03/02/205 Al 09/02/2025</t>
  </si>
  <si>
    <t>Jose Toledo/Eventual Gobernacion 03/02/205 Al 09/02/2025</t>
  </si>
  <si>
    <t>Juan Pinto/Eventual Gobernacion 03/02/205 Al 09/02/2025</t>
  </si>
  <si>
    <t>Edwin Rojas/Eventual Gobernacion 03/02/205 Al 09/02/2025</t>
  </si>
  <si>
    <t>Alirio Parra/Eventual Gobernacion 03/02/205 Al 09/02/2025</t>
  </si>
  <si>
    <t>Angel Caldera/Eventual Gobernacion 03/02/205 Al 09/02/2025</t>
  </si>
  <si>
    <t>Luis Silveiro Colon Ojeda/Eventual Agregados 03/02/205 Al 09/02/2025</t>
  </si>
  <si>
    <t>Carlos Lopez/Eventual Agregados 03/02/205 Al 09/02/2025</t>
  </si>
  <si>
    <t>Norys Ramos/Eventual Gobernacion 03/02/205 Al 09/02/2025</t>
  </si>
  <si>
    <t>Hector/Eventual Gobernacion 03/02/205 Al 09/02/2025</t>
  </si>
  <si>
    <t>Rafael Quiroz/Eventual Gobernacion 03/02/205 Al 09/02/2025</t>
  </si>
  <si>
    <t>Argenis Flores/Eventual Megatech 03/02/205 Al 09/02/2025</t>
  </si>
  <si>
    <t>Estebez Maramara/Eventual Agregados 03/02/205 Al 09/02/2025</t>
  </si>
  <si>
    <t>Pitter Puerta/Eventual Megatech 03/02/205 Al 09/02/2025</t>
  </si>
  <si>
    <t>Walner Oviedo/Eventual Megatech 03/02/205 Al 09/02/2025</t>
  </si>
  <si>
    <t>Yonny Castillo/Eventual Megatech 03/02/205 Al 09/02/2025</t>
  </si>
  <si>
    <t>Francisco Castillo/Eventual Megatech 03/02/205 Al 09/02/2025</t>
  </si>
  <si>
    <t>Jose Guevara/Eventual Megatech 03/02/205 Al 09/02/2025</t>
  </si>
  <si>
    <t>Antonio Castillo/Eventual Megatech 03/02/205 Al 09/02/2025</t>
  </si>
  <si>
    <t>Jose Castillo/Eventual Megatech 03/02/205 Al 09/02/2025</t>
  </si>
  <si>
    <t>Elvis Valles/Eventual Megatech 03/02/205 Al 09/02/2025</t>
  </si>
  <si>
    <t>Julian Guedez/Eventual Megatech 03/02/205 Al 09/02/2025</t>
  </si>
  <si>
    <t>Omar Torrealba/Eventual Megatech 03/02/205 Al 09/02/2025</t>
  </si>
  <si>
    <t>Carlos Castillo/Eventual Megatech 03/02/205 Al 09/02/2025</t>
  </si>
  <si>
    <t>Victor Mendez/Eventual Megatech 03/02/205 Al 09/02/2025</t>
  </si>
  <si>
    <t>Carlos Loyo/Eventual Megatech 03/02/205 Al 09/02/2025</t>
  </si>
  <si>
    <t>Edwuard Almeida/Eventual Megatech 03/02/205 Al 09/02/2025</t>
  </si>
  <si>
    <t>Yordis Almao/Eventual Megatech 03/02/205 Al 09/02/2025</t>
  </si>
  <si>
    <t>Yerry Rodríguez/Eventual Megatech 03/02/205 Al 09/02/2025</t>
  </si>
  <si>
    <t>Alberto Loyo/Eventual Megatech 03/02/205 Al 09/02/2025</t>
  </si>
  <si>
    <t>Alirio Parra/Eventual Megatech 03/02/205 Al 09/02/2025</t>
  </si>
  <si>
    <t>Elio Malpica/Eventual Megatech 03/02/205 Al 09/02/2025</t>
  </si>
  <si>
    <t>Alexander Castillo/Eventual Megatech 03/02/205 Al 09/02/2025</t>
  </si>
  <si>
    <t>Norys Ramos/Eventual Megatech 03/02/205 Al 09/02/2025</t>
  </si>
  <si>
    <t>Ruben Rivas/Eventual Megatech 03/02/205 Al 09/02/2025</t>
  </si>
  <si>
    <t>Fareliz Arrieche/Eventual Megatech 03/02/205 Al 09/02/2025</t>
  </si>
  <si>
    <t>Fares Arrieche/Eventual Megatech 03/02/205 Al 09/02/2025</t>
  </si>
  <si>
    <t>Emperatriz Leon/Eventual Megatech 03/02/205 Al 09/02/2025</t>
  </si>
  <si>
    <t>Ingrid Reyes/Eventual Megatech 03/02/205 Al 09/02/2025</t>
  </si>
  <si>
    <t xml:space="preserve">Willam Rivas/pago relacion de personal que laboro en la campaña de yeso la semana del 03/02 al 07/02/25  </t>
  </si>
  <si>
    <t xml:space="preserve">EMPRENDIMIENTO DIOSANNY ALVAREZ/FACT 160/pago almuerzos Consumos de comidas del 03/02 al  07/02/25 </t>
  </si>
  <si>
    <t xml:space="preserve">Fredy Mendoza/pago relacion de personal que laboro en la campaña de yeso la semana del 03/02 al 07/02/25  </t>
  </si>
  <si>
    <t xml:space="preserve">J.Luis Castillo/pago relacion de personal que laboro en la campaña de yeso la semana del 03/02 al 07/02/25  </t>
  </si>
  <si>
    <t xml:space="preserve">Lino floreS/pago relacion de personal que laboro en la campaña de yeso la semana del 03/02 al 07/02/25  </t>
  </si>
  <si>
    <t>Robert  Arias/pago relacion de personal que laboro en la campaña de yeso la semana del 03/02 al 07/02/25  -Bono de operador 20$</t>
  </si>
  <si>
    <t>Jeferson Davila/pago relacion de personal que laboro en la campaña de yeso la semana del 03/02 al 07/02/25  -Bono de operador 20$</t>
  </si>
  <si>
    <t>Ramon Quirogas/pago relacion de personal que laboro en la campaña de yeso la semana del 03/02 al 07/02/25  -Bono de operador 20$</t>
  </si>
  <si>
    <t>Beatriz Castillo/pago relacion de personal que laboro en la campaña de yeso la semana del 03/02 al 07/02/25  -Bono de operador 20$</t>
  </si>
  <si>
    <t>ALBERTO PERNALETE C.A/FACT 006/VIATICOS MES DE FEBRERO</t>
  </si>
  <si>
    <t>COMIS.RECHAZO PAGO INMEDIATO</t>
  </si>
  <si>
    <t xml:space="preserve">Dayana Azuaje/pago relacion de personal que laboro en la campaña de yeso la semana del 03/02 al 07/02/25  </t>
  </si>
  <si>
    <t>MATERIALES SANTA LUCIAS/FACT 4763/PLANTA CEMENTO</t>
  </si>
  <si>
    <t xml:space="preserve">ALBERTO PERNALETE/FACT 000006/pago reintegro viaticos gustavo rangel gastos correspondientes a viaje realizado  para el estado Cojedes. gasolina </t>
  </si>
  <si>
    <t>INVERSIONES Y SERVICIOS J.J GONZALEZ, C.A/FACT 82/confeccion e instalacion estructura metalica para instalacion de techo</t>
  </si>
  <si>
    <t>MULTISERVICIOS JR 2016, C.A/FACT 93/cambio pila y filtro gasolina-limpieza inyectores-cambio empaccadura crucetas pastillas y cuerpo aceleracion-camioneta Hilux asignada a Gustavo Rangel</t>
  </si>
  <si>
    <t>EMPRENDIMIENTO DIOSANNY ALVAREZ/FACT 167/ALMUERZOS-ALBERTO PERNALETTE/FACT 006/VIATICOS MES DE FEBRERO</t>
  </si>
  <si>
    <t>CARLEN VIELMA/BONO COMPLEMENTARIO 15/02/2025</t>
  </si>
  <si>
    <t>GUSTAVO RANGEL/BONO COMPLEMENTARIO 15/02/2025</t>
  </si>
  <si>
    <t>GUSTAVO RANGEL/NOMINA 15/02/2025</t>
  </si>
  <si>
    <t>CARLEN VIELMA/NOMINA 15/02/2025</t>
  </si>
  <si>
    <t>HOME CARE, C.A/FACT 8950/PRODUCTOS Limpieza EN LA  cementera (JABON MULTIUSO/CERA AUTOBRILLANTER GALON)</t>
  </si>
  <si>
    <t>SERVA008</t>
  </si>
  <si>
    <t>GASTOS INSUMOS LIMPIEZA</t>
  </si>
  <si>
    <t>Brunito Segundo Cordero/Eventual Agregados 10/02/2025 AL 16/02/2025</t>
  </si>
  <si>
    <t>Delios Adolfo Ferrara/Eventual Agregados 10/02/2025 AL 16/02/2025</t>
  </si>
  <si>
    <t>Eliomar Jesús Escalona/Eventual Agregados 10/02/2025 AL 16/02/2025</t>
  </si>
  <si>
    <t>José Guillermo Cortez/Eventual Agregados 10/02/2025 AL 16/02/2025</t>
  </si>
  <si>
    <t>Darwuin Jesús Bullones/Eventual Agregados 10/02/2025 AL 16/02/2025</t>
  </si>
  <si>
    <t>Frank Armando García/Eventual Agregados 10/02/2025 AL 16/02/2025</t>
  </si>
  <si>
    <t>Alberto Luis Rojas/Eventual Agregados 10/02/2025 AL 16/02/2025</t>
  </si>
  <si>
    <t>Naiker Alexander Jimenez/Eventual Agregados 10/02/2025 AL 16/02/2025</t>
  </si>
  <si>
    <t>José Gregorio Perez/Eventual Agregados 10/02/2025 AL 16/02/2025</t>
  </si>
  <si>
    <t>Carlos Daniel Rodriguez/Eventual Agregados 10/02/2025 AL 16/02/2025</t>
  </si>
  <si>
    <t>Alejandro Morales/Eventual Agregados 10/02/2025 AL 16/02/2025</t>
  </si>
  <si>
    <t>Euber José Juarez/Eventual Agregados 10/02/2025 AL 16/02/2025</t>
  </si>
  <si>
    <t>Ali Alberto Bullones/Eventual Agregados 10/02/2025 AL 16/02/2025</t>
  </si>
  <si>
    <t>Alberto Ali Bullones/Eventual Agregados 10/02/2025 AL 16/02/2025</t>
  </si>
  <si>
    <t>Fernando José Rodriguez/Eventual Agregados 10/02/2025 AL 16/02/2025</t>
  </si>
  <si>
    <t>Bruno Ali Cordero Bullones/Eventual Agregados 10/02/2025 AL 16/02/2025</t>
  </si>
  <si>
    <t>Jesus Ramos/Eventual Gobernacion 10/02/2025 AL 16/02/2025</t>
  </si>
  <si>
    <t>Federico Faneite/Eventual Gobernacion 10/02/2025 AL 16/02/2025</t>
  </si>
  <si>
    <t>Justiniano Rodriguez/Eventual Agregados 10/02/2025 AL 16/02/2025</t>
  </si>
  <si>
    <t>Armando Lopez /Eventual Agregados 10/02/2025 AL 16/02/2025</t>
  </si>
  <si>
    <t>Froilan Lopez/Eventual Agregados 10/02/2025 AL 16/02/2025</t>
  </si>
  <si>
    <t>Ramón Quintero/Eventual Agregados 10/02/2025 AL 16/02/2025</t>
  </si>
  <si>
    <t>Exson Rodriguez/Eventual Gobernacion 10/02/2025 AL 16/02/2025</t>
  </si>
  <si>
    <t>Fareliz Arrieche/Eventual Gobernacion 10/02/2025 AL 16/02/2025</t>
  </si>
  <si>
    <t>Henrry Valera/Eventual Gobernacion 10/02/2025 AL 16/02/2025</t>
  </si>
  <si>
    <t>Juan López/Eventual Agregados 10/02/2025 AL 16/02/2025</t>
  </si>
  <si>
    <t>Douglas Pimentel/Eventual Gobernacion 10/02/2025 AL 16/02/2025</t>
  </si>
  <si>
    <t>Nicolas Alvarez/Eventual Gobernacion 10/02/2025 AL 16/02/2025</t>
  </si>
  <si>
    <t>Rafael Puertas/Eventual Gobernacion 10/02/2025 AL 16/02/2025</t>
  </si>
  <si>
    <t>Pedro Castillo/Eventual Gobernacion 10/02/2025 AL 16/02/2025</t>
  </si>
  <si>
    <t>Miguel Torres/Eventual Gobernacion 10/02/2025 AL 16/02/2025</t>
  </si>
  <si>
    <t>Wendy Gimenez/Eventual Gobernacion 10/02/2025 AL 16/02/2025</t>
  </si>
  <si>
    <t>Carlos Pacheco/Eventual Gobernacion 10/02/2025 AL 16/02/2025</t>
  </si>
  <si>
    <t>Andrés Armella/Eventual Gobernacion 10/02/2025 AL 16/02/2025</t>
  </si>
  <si>
    <t>Jose Toledo/Eventual Gobernacion 10/02/2025 AL 16/02/2025</t>
  </si>
  <si>
    <t>Juan Pinto/Eventual Gobernacion 10/02/2025 AL 16/02/2025</t>
  </si>
  <si>
    <t>Alirio Parra/Eventual Gobernacion 10/02/2025 AL 16/02/2025</t>
  </si>
  <si>
    <t>Edwin Rojas/Eventual Gobernacion 10/02/2025 AL 16/02/2025</t>
  </si>
  <si>
    <t>Angel Caldera/Eventual Gobernacion 10/02/2025 AL 16/02/2025</t>
  </si>
  <si>
    <t>Luis Silveiro Colon Ojeda/Eventual Agregados 10/02/2025 AL 16/02/2025</t>
  </si>
  <si>
    <t>Carlos Lopez/Eventual Agregados 10/02/2025 AL 16/02/2025</t>
  </si>
  <si>
    <t>Rafael Quiroz/Eventual Gobernacion 10/02/2025 AL 16/02/2025</t>
  </si>
  <si>
    <t>Hector/Eventual Gobernacion 10/02/2025 AL 16/02/2025</t>
  </si>
  <si>
    <t>Argenis Flores/Eventual Megatech 10/02/2025 AL 16/02/2025</t>
  </si>
  <si>
    <t>Estebez Maramara/Eventual Agregados 10/02/2025 AL 16/02/2025</t>
  </si>
  <si>
    <t>Norys Ramos/Eventual Gobernacion 10/02/2025 AL 16/02/2025</t>
  </si>
  <si>
    <t>Pitter Puerta/Eventual Megatech 10/02/2025 AL 16/02/2025</t>
  </si>
  <si>
    <t>Walner Oviedo/Eventual Megatech 10/02/2025 AL 16/02/2025</t>
  </si>
  <si>
    <t>Francisco Castillo/Eventual Megatech 10/02/2025 AL 16/02/2025</t>
  </si>
  <si>
    <t>Antonio Castillo/Eventual Megatech 10/02/2025 AL 16/02/2025</t>
  </si>
  <si>
    <t>Jose Guevara/Eventual Megatech 10/02/2025 AL 16/02/2025</t>
  </si>
  <si>
    <t>Jose Castillo/Eventual Megatech 10/02/2025 AL 16/02/2025</t>
  </si>
  <si>
    <t>Elvis Valles/Eventual Megatech 10/02/2025 AL 16/02/2025</t>
  </si>
  <si>
    <t>Julian Guedez/Eventual Megatech 10/02/2025 AL 16/02/2025</t>
  </si>
  <si>
    <t>Omar Torrealba/Eventual Megatech 10/02/2025 AL 16/02/2025</t>
  </si>
  <si>
    <t>Carlos Castillo/Eventual Megatech 10/02/2025 AL 16/02/2025</t>
  </si>
  <si>
    <t>Yordis Almao/Eventual Megatech 10/02/2025 AL 16/02/2025</t>
  </si>
  <si>
    <t>Victor Mendez/Eventual Megatech 10/02/2025 AL 16/02/2025</t>
  </si>
  <si>
    <t>Carlos Loyo/Eventual Megatech 10/02/2025 AL 16/02/2025</t>
  </si>
  <si>
    <t>Alberto Loyo/Eventual Megatech 10/02/2025 AL 16/02/2025</t>
  </si>
  <si>
    <t>YONNY CASTILLOS/Eventual Megatech 10/02/2025 AL 16/02/2025</t>
  </si>
  <si>
    <t>Edwuard Almeida/Eventual Megatech 10/02/2025 AL 16/02/2025</t>
  </si>
  <si>
    <t>Yerry Rodríguez/Eventual Megatech 10/02/2025 AL 16/02/2025</t>
  </si>
  <si>
    <t>Elio Malpica/Eventual Megatech 10/02/2025 AL 16/02/2025</t>
  </si>
  <si>
    <t>Alirio Parra/Eventual Megatech 10/02/2025 AL 16/02/2025</t>
  </si>
  <si>
    <t>Fareliz Arrieche/Eventual Megatech 10/02/2025 AL 16/02/2025</t>
  </si>
  <si>
    <t>Ruben Rivas/Eventual Megatech 10/02/2025 AL 16/02/2025</t>
  </si>
  <si>
    <t>Emperatriz Leon/Eventual Megatech 10/02/2025 AL 16/02/2025</t>
  </si>
  <si>
    <t>Fares Arrieche/Eventual Megatech 10/02/2025 AL 16/02/2025</t>
  </si>
  <si>
    <t>Norys Ramos/Eventual Megatech 10/02/2025 AL 16/02/2025</t>
  </si>
  <si>
    <t>Alexander Castillo/Eventual Megatech 10/02/2025 AL 16/02/2025</t>
  </si>
  <si>
    <t>Ingrid Reyes/Eventual Megatech 10/02/2025 AL 16/02/2025</t>
  </si>
  <si>
    <t>Diosanny Alvarez/FACT 166/Consumos de comidas del 03/01 al 14/01/25 personal del yeso</t>
  </si>
  <si>
    <t>MATERIALES SANTA LUCIAS/FACT 4818/PLANTA CEMENTO</t>
  </si>
  <si>
    <t xml:space="preserve">Julian Castillo/pago relacion de personal que laboro en la campaña de yeso la semana del 10/02 al 14/02/25  </t>
  </si>
  <si>
    <t xml:space="preserve">Aureliano León/pago relacion de personal que laboro en la campaña de yeso la semana del 10/02 al 14/02/25  </t>
  </si>
  <si>
    <t xml:space="preserve">Lisandro Milla- 20$/pago relacion de personal que laboro en la campaña de yeso la semana del 10/02 al 14/02/25  </t>
  </si>
  <si>
    <t xml:space="preserve">Fredy Mendoza/pago relacion de personal que laboro en la campaña de yeso la semana del 10/02 al 14/02/25  </t>
  </si>
  <si>
    <t xml:space="preserve">Jeferson Davila/pago relacion de personal que laboro en la campaña de yeso la semana del 10/02 al 14/02/25  </t>
  </si>
  <si>
    <t xml:space="preserve">Beatriz Castillo/pago relacion de personal que laboro en la campaña de yeso la semana del 10/02 al 14/02/25  </t>
  </si>
  <si>
    <t xml:space="preserve">Lino flore - 30$-Dinamitero/pago relacion de personal que laboro en la campaña de yeso la semana del 10/02 al 14/02/25  </t>
  </si>
  <si>
    <t xml:space="preserve">Ramon Quirogas/pago relacion de personal que laboro en la campaña de yeso la semana del 10/02 al 14/02/25  </t>
  </si>
  <si>
    <t>FERRETERIA Y MATERIALES OBRA GRIS 2021 C/FACT 243/MATERIALES PLANTA CEMENTO</t>
  </si>
  <si>
    <t>ALBERTO PERNALETTE/FACT 06/VIATICOS FEBREROS</t>
  </si>
  <si>
    <t>ARIEDDY ROSELY GARRIDO URDANETA/FACT 20/análisis realizados a las muestras de yeso enviadas por ustedes a nuestra unidad de Análisis Instrumental.</t>
  </si>
  <si>
    <t>CASTRO CORPORATION.CA/FACT 520/BATERIA LAPTO/ING CARLEN</t>
  </si>
  <si>
    <t>AMERICANA DE TORNILLOS, C.A/FACT 10132/Requerimiento para el personal INDU</t>
  </si>
  <si>
    <t>CASTRO CORPORATION.CA/FACT 522/servicio de software y hardware laptop ingeniero Carlem Vielman</t>
  </si>
  <si>
    <t>CASTRO CORPORACION/FACT 523/antena y mensualidad empresarial starlink-sede fabrica</t>
  </si>
  <si>
    <t>EDC AUTOPARTS, C.A/FACT 215/CUERPO ACELERACION-HILUX</t>
  </si>
  <si>
    <t>DMASEIN C.A/FACT 213/Planta de cemento - Inversión - sistema de generación de energía</t>
  </si>
  <si>
    <t>Viauto ca/fact 00000288/parabrisa Camioneta Hilux y mano de obra-INMEDIATO</t>
  </si>
  <si>
    <t>TALONARIOS 10/pago diferencia de talonarios guias de circulacion</t>
  </si>
  <si>
    <t>SERVL015E</t>
  </si>
  <si>
    <t>GASTOS DE GUIA DE TRASLADO</t>
  </si>
  <si>
    <t>EN ESPERA P/CAMBIAR LA CUENTA</t>
  </si>
  <si>
    <t>08-200225</t>
  </si>
  <si>
    <t>EL MIO CARRO, C. A/FACT 04566/2 tambores de engranaje-Requerimiento Hindú-</t>
  </si>
  <si>
    <t>COMPRA DICES QUE ES ALGO DE LAS MAQUINARIAS DE LA GOBERNACION</t>
  </si>
  <si>
    <t>EL MIO CARRO, C. A/FACT 4565/10 pailas de grasa azul -Requerimiento Hindú</t>
  </si>
  <si>
    <t>GRAFICO VENEZUELA/3758 talonarios forma libre agregados sede arenera</t>
  </si>
  <si>
    <t>Gobernacion del estado yaracuy/pago tiembre fiscales agregados -  minerales</t>
  </si>
  <si>
    <t>SERVA038E</t>
  </si>
  <si>
    <t>ARANCELES Y PLANILLAS/NOTARIA/REGISTRO</t>
  </si>
  <si>
    <t>07-210225</t>
  </si>
  <si>
    <t>AUTO PARTES BONSAI, C.A/FACT 378/trampa de agua-filtros de gasoil, aceite,elemento,combustible-Fabrica arenera</t>
  </si>
  <si>
    <t>AUTO PARTES BONSAI, C.A/FACT 380/tambor-pailas de hidraulico, valvulina y grasa-Fabrica arenera</t>
  </si>
  <si>
    <t xml:space="preserve">Fredy Mendoza-4 dias a 12$- total 48$/pago relacion de personal que laboro en la campaña de yeso la semana del 24-02 al 28-02-25  </t>
  </si>
  <si>
    <t>Exson Rodriguez/Eventual Gobernacion 17/02/2025 AL 23/02/2025</t>
  </si>
  <si>
    <t>AUTO PARTES BONSAI, C.A/FACT 382/pailas diesel- filtros de combustible, aceite-Fabrica arenera</t>
  </si>
  <si>
    <t xml:space="preserve">Elia Mendoza-10$/pago relacion de personal que laboro en la campaña de yeso la semana del 17/02 al 23/02/25  </t>
  </si>
  <si>
    <t>Argenis Flores/Eventual Megatech 17/02/2025 AL 23/02/2025</t>
  </si>
  <si>
    <t>Edwuard Almeida/Eventual Megatech 17/02/2025 AL 23/02/2025</t>
  </si>
  <si>
    <t>Yerry Rodríguez/Eventual Megatech 17/02/2025 AL 23/02/2025</t>
  </si>
  <si>
    <t xml:space="preserve">Lino flore - 65$-Dinamitero/pago relacion de personal que laboro en la campaña de yeso la semana del 17/02 al 23/02/25  </t>
  </si>
  <si>
    <t>Elio Malpica/Eventual Megatech 17/02/2025 AL 23/02/2025</t>
  </si>
  <si>
    <t>Ruben Rivas/Eventual Megatech 17/02/2025 AL 23/02/2025</t>
  </si>
  <si>
    <t>Valeracars 2023 ca/fact 100/montura de silenciadores y soportes escape y reparacion-Hilux</t>
  </si>
  <si>
    <t>HUMBERTO FRANCO/FACT 186/Actuacion de sistema electrico instalacion cielo raso y aires acondicionados laboratorio quimico y sala de reuniones</t>
  </si>
  <si>
    <t>EMPRENDIMIENTO DIOSANNY ALVAREZ/FACT 175/Consumos de comidas del 17/02 al 21/02/25 personal del yeso</t>
  </si>
  <si>
    <t>EMPRENDIMIENTO DIOSANNY ALVAREZ/FACT 176/campaña yeso sr gustavo-ALBERTO PERNALETTE FACT 006</t>
  </si>
  <si>
    <t xml:space="preserve"> Roda mangueras chivacoa ca/fact 1340/correspondiente a la compra de un repuesto para un camión volteo Kamaz perteneciente a la sede de Chivacoa-ARENERA</t>
  </si>
  <si>
    <t>SERVL018</t>
  </si>
  <si>
    <t>GASTOS CAMIONES/INSUMOS</t>
  </si>
  <si>
    <t xml:space="preserve"> Vulcanizadora Yaritagua Manuel Mogollon/fact 1563/Reparación de Caucho Retroexcavadora</t>
  </si>
  <si>
    <t>08-210225</t>
  </si>
  <si>
    <t>Brunito Segundo Cordero/Eventual Agregados 17/02/2025 AL 23/02/2025</t>
  </si>
  <si>
    <t>Delios Adolfo Ferrara/Eventual Agregados 17/02/2025 AL 23/02/2025</t>
  </si>
  <si>
    <t>Eliomar Jesús Escalona/Eventual Agregados 17/02/2025 AL 23/02/2025</t>
  </si>
  <si>
    <t>José Guillermo Cortez/Eventual Agregados 17/02/2025 AL 23/02/2025</t>
  </si>
  <si>
    <t>Darwuin Jesús Bullones/Eventual Agregados 17/02/2025 AL 23/02/2025</t>
  </si>
  <si>
    <t>Frank Armando García/Eventual Agregados 17/02/2025 AL 23/02/2025</t>
  </si>
  <si>
    <t>Alberto Luis Rojas/Eventual Agregados 17/02/2025 AL 23/02/2025</t>
  </si>
  <si>
    <t>Naiker Alexander Jimenez/Eventual Agregados 17/02/2025 AL 23/02/2025</t>
  </si>
  <si>
    <t>José Gregorio Perez/Eventual Agregados 17/02/2025 AL 23/02/2025</t>
  </si>
  <si>
    <t>Carlos Daniel Rodriguez/Eventual Agregados 17/02/2025 AL 23/02/2025</t>
  </si>
  <si>
    <t>Douglas Pimentel/Eventual Gobernacion 17/02/2025 AL 23/02/2025</t>
  </si>
  <si>
    <t>Federico Faneite/Eventual Gobernacion 17/02/2025 AL 23/02/2025</t>
  </si>
  <si>
    <t>Justiniano Rodriguez/Eventual Agregados 17/02/2025 AL 23/02/2025</t>
  </si>
  <si>
    <t>Fareliz Arrieche/Eventual Gobernacion 17/02/2025 AL 23/02/2025</t>
  </si>
  <si>
    <t>Pedro Castillo/Eventual Gobernacion 17/02/2025 AL 23/02/2025</t>
  </si>
  <si>
    <t>Miguel Torres/Eventual Gobernacion 17/02/2025 AL 23/02/2025</t>
  </si>
  <si>
    <t>Julian Guedez/Eventual Megatech 17/02/2025 AL 23/02/2025</t>
  </si>
  <si>
    <t>Nicolas Alvarez/Eventual Gobernacion 17/02/2025 AL 23/02/2025</t>
  </si>
  <si>
    <t>Carlos Lopez/Eventual Agregados 17/02/2025 AL 23/02/2025</t>
  </si>
  <si>
    <t>Alejandro Morales/Eventual Agregados 17/02/2025 AL 23/02/2025</t>
  </si>
  <si>
    <t>Armando Lopez /Eventual Agregados 17/02/2025 AL 23/02/2025</t>
  </si>
  <si>
    <t>Froilan Lopez/Eventual Agregados 17/02/2025 AL 23/02/2025</t>
  </si>
  <si>
    <t>Euber José Juarez/Eventual Agregados 17/02/2025 AL 23/02/2025</t>
  </si>
  <si>
    <t>Rafael Puertas/Eventual Gobernacion 17/02/2025 AL 23/02/2025</t>
  </si>
  <si>
    <t>Hector/Eventual Gobernacion 17/02/2025 AL 23/02/2025</t>
  </si>
  <si>
    <t>Rafael Quiroz/Eventual Gobernacion 17/02/2025 AL 23/02/2025</t>
  </si>
  <si>
    <t>Jesus Ramos/Eventual Gobernacion 17/02/2025 AL 23/02/2025</t>
  </si>
  <si>
    <t>Wendy Gimenez/Eventual Gobernacion 17/02/2025 AL 23/02/2025</t>
  </si>
  <si>
    <t>Yonny Castillo/Eventual Megatech 17/02/2025 AL 23/02/2025</t>
  </si>
  <si>
    <t>Francisco Castillo/Eventual Megatech 17/02/2025 AL 23/02/2025</t>
  </si>
  <si>
    <t>Antonio Castillo/Eventual Megatech 17/02/2025 AL 23/02/2025</t>
  </si>
  <si>
    <t>Henrry Valera/Eventual Gobernacion 17/02/2025 AL 23/02/2025</t>
  </si>
  <si>
    <t>Jose Guevara/Eventual Megatech 17/02/2025 AL 23/02/2025</t>
  </si>
  <si>
    <t>Carlos Pacheco/Eventual Gobernacion 17/02/2025 AL 23/02/2025</t>
  </si>
  <si>
    <t>Jose Castillo/Eventual Megatech 17/02/2025 AL 23/02/2025</t>
  </si>
  <si>
    <t>Elvis Valles/Eventual Megatech 17/02/2025 AL 23/02/2025</t>
  </si>
  <si>
    <t>Alirio Parra/Eventual Gobernacion 17/02/2025 AL 23/02/2025</t>
  </si>
  <si>
    <t>Alberto Loyo/Eventual Megatech 17/02/2025 AL 23/02/2025</t>
  </si>
  <si>
    <t>Angel Caldera/Eventual Gobernacion 17/02/2025 AL 23/02/2025</t>
  </si>
  <si>
    <t xml:space="preserve">Lisandro Milla- 20$/pago relacion de personal que laboro en la campaña de yeso la semana del 17/02 al 23/02/25  </t>
  </si>
  <si>
    <t>Ramón Quintero/Eventual Agregados 17/02/2025 AL 23/02/2025</t>
  </si>
  <si>
    <t>Omar Torrealba/Eventual Megatech 17/02/2025 AL 23/02/2025</t>
  </si>
  <si>
    <t>Fareliz Arrieche/Eventual Megatech 17/02/2025 AL 23/02/2025</t>
  </si>
  <si>
    <t xml:space="preserve">Jeferson Davila - 20$/pago relacion de personal que laboro en la campaña de yeso la semana del 17/02 al 23/02/25  </t>
  </si>
  <si>
    <t>Pitter Puerta/Eventual Megatech 17/02/2025 AL 23/02/2025</t>
  </si>
  <si>
    <t>Ali Alberto Bullones/Eventual Agregados 17/02/2025 AL 23/02/2025</t>
  </si>
  <si>
    <t xml:space="preserve">Ramon Quirogas - 20$/pago relacion de personal que laboro en la campaña de yeso la semana del 17/02 al 23/02/25  </t>
  </si>
  <si>
    <t>Estebez Maramara/Eventual Agregados 17/02/2025 AL 23/02/2025</t>
  </si>
  <si>
    <t xml:space="preserve">Beatriz Castillo - 20$/pago relacion de personal que laboro en la campaña de yeso la semana del 17/02 al 23/02/25  </t>
  </si>
  <si>
    <t>Walner Oviedo/Eventual Megatech 17/02/2025 AL 23/02/2025</t>
  </si>
  <si>
    <t>Alberto Ali Bullones/Eventual Agregados 17/02/2025 AL 23/02/2025</t>
  </si>
  <si>
    <t>Andrés Armella/Eventual Gobernacion 17/02/2025 AL 23/02/2025</t>
  </si>
  <si>
    <t>Carlos Castillo/Eventual Megatech 17/02/2025 AL 23/02/2025</t>
  </si>
  <si>
    <t>Norys Ramos/Eventual Megatech 17/02/2025 AL 23/02/2025</t>
  </si>
  <si>
    <t>Juan López/Eventual Agregados 17/02/2025 AL 23/02/2025</t>
  </si>
  <si>
    <t>Jose Toledo/Eventual Gobernacion 17/02/2025 AL 23/02/2025</t>
  </si>
  <si>
    <t>Fernando José Rodriguez/Eventual Agregados 17/02/2025 AL 23/02/2025</t>
  </si>
  <si>
    <t>Juan Pinto/Eventual Gobernacion 17/02/2025 AL 23/02/2025</t>
  </si>
  <si>
    <t>Bruno Ali Cordero Bullones/Eventual Agregados 17/02/2025 AL 23/02/2025</t>
  </si>
  <si>
    <t>Yordis Almao/Eventual Megatech 17/02/2025 AL 23/02/2025</t>
  </si>
  <si>
    <t>Edwin Rojas/Eventual Gobernacion 17/02/2025 AL 23/02/2025</t>
  </si>
  <si>
    <t>Victor Mendez/Eventual Megatech 17/02/2025 AL 23/02/2025</t>
  </si>
  <si>
    <t>Luis Silveiro Colon Ojeda/Eventual Agregados 17/02/2025 AL 23/02/2025</t>
  </si>
  <si>
    <t>Norys Ramos/Eventual Gobernacion 17/02/2025 AL 23/02/2025</t>
  </si>
  <si>
    <t xml:space="preserve">Dayana Azuaje - 70$/pago relacion de personal que laboro en la campaña de yeso la semana del 17/02 al 23/02/25  </t>
  </si>
  <si>
    <t>Carlos Loyo/Eventual Megatech 17/02/2025 AL 23/02/2025</t>
  </si>
  <si>
    <t>Fares Arrieche/Eventual Megatech 17/02/2025 AL 23/02/2025</t>
  </si>
  <si>
    <t>Emperatriz Leon/Eventual Megatech 17/02/2025 AL 23/02/2025</t>
  </si>
  <si>
    <t>Alirio Parra/Eventual Megatech 17/02/2025 AL 23/02/2025</t>
  </si>
  <si>
    <t>Alexander Castillo/Eventual Megatech 17/02/2025 AL 23/02/2025</t>
  </si>
  <si>
    <t xml:space="preserve">Willam Rivas - 50$/pago relacion de personal que laboro en la campaña de yeso la semana del 17/02 al 23/02/25  </t>
  </si>
  <si>
    <t>Ingrid Reyes/Eventual Megatech 17/02/2025 AL 23/02/2025</t>
  </si>
  <si>
    <t>ferrenova 2014/fact 01680/tablero de madera de 1,20x60-Obras Civiles Romana</t>
  </si>
  <si>
    <t>MATERIALES SANTA LUCIA/FACT 00004871/PLANTA CEMENTO</t>
  </si>
  <si>
    <t xml:space="preserve">EMPRENDIMIENTO OLGA HAVRILUK/FACT 07/25 botellones sede Arenera </t>
  </si>
  <si>
    <t>SERVA023</t>
  </si>
  <si>
    <t>GASTOS ADQUISICION EQUIPOS/MOBILIARIO</t>
  </si>
  <si>
    <t>AMERICANA DE TORNILLOS, C.A/FACT 10156/Requerimiento para el personal INDU</t>
  </si>
  <si>
    <t>MATER C.A/FACT 01/VENTA DE ARENA CERNIDA</t>
  </si>
  <si>
    <t>CUENTAS POR COBRAR CLIENTES</t>
  </si>
  <si>
    <t>VENTA DE ARENA CERNIDA</t>
  </si>
  <si>
    <t>COM.PAT APP-0163 4125907628</t>
  </si>
  <si>
    <t>JOSE ANDRES CASTRO LOPEZ/FACT 03/Servicio Mensual de Internet Satelital Empresarial-planta cemento</t>
  </si>
  <si>
    <t xml:space="preserve">MULTISERVICIOS JR 2016, C.A/FACT 94/cambio de aceite-Hilux asignada a Ing Gustavo Rangel </t>
  </si>
  <si>
    <t>DIGASMALAR/FACT 55221/Oxígeno para equipos de oxicorte</t>
  </si>
  <si>
    <t>Vulcanizadora Yaritagua Manuel Mogollon/fact 1566/Mantenimiento de Caucho Retroexcavadora</t>
  </si>
  <si>
    <t>CONSTRUFE DEL ESTE, C.A/FACT 05/VENTA DE ARENA CERNIDA-FACT DE VENTAS</t>
  </si>
  <si>
    <t>Castro Corporation, C.A/fact 528/router sede chivacoa arenera</t>
  </si>
  <si>
    <t>Castro Corporation, C.A/fact 527/router sede chivacoa arenera</t>
  </si>
  <si>
    <t>LUBRICAR MOTOS/ADELANT FACT/PAILA DE ACEITE Y BATERIA BRAZO PIGMAN/SOLICITADO POR ING FARELIZ</t>
  </si>
  <si>
    <t xml:space="preserve">potumania del este/ Fact 00001911/silla de oficina Sala de Reuniones Edificio Administrativo  - planta cemento </t>
  </si>
  <si>
    <t>RODA MANGUERA/FACT 1332/4 ring para excavador</t>
  </si>
  <si>
    <t>ADJAM HOMEDAM/FACT 000063/Bomba de Transferencia Diesel, Trasegado</t>
  </si>
  <si>
    <t>ALEJOS, RODOLFO/NOMINA 28-02-2025/OPER</t>
  </si>
  <si>
    <t>ALVARADO, EDDY/NOMINA 28-02-2025/OPER</t>
  </si>
  <si>
    <t>BASTIDAS, JOSE/NOMINA 28-02-2025/OPER</t>
  </si>
  <si>
    <t>BRACHO, LUIS/NOMINA 28-02-2025/OPER</t>
  </si>
  <si>
    <t>CHIRINOS, RAFAEL/NOMINA 28-02-2025/OPER</t>
  </si>
  <si>
    <t>DAZA, VICTOR/NOMINA 28-02-2025/OPER</t>
  </si>
  <si>
    <t>GALEANO, FRANCISCO/NOMINA 28-02-2025/OPER</t>
  </si>
  <si>
    <t>GARCIA, JASON/NOMINA 28-02-2025/OPER</t>
  </si>
  <si>
    <t>ZERPA, WISTON/NOMINA 28-02-2025/OPER</t>
  </si>
  <si>
    <t>GUEDEZ JOSE/NOMINA 28-02-2025/OPER</t>
  </si>
  <si>
    <t>GUILLEN, LUIS/NOMINA 28-02-2025/OPER</t>
  </si>
  <si>
    <t>GUTIERREZ, PRESCILIANO/NOMINA 28-02-2025/OPER</t>
  </si>
  <si>
    <t>GUTIERREZ,RODOLFO/NOMINA 28-02-2025/ADM</t>
  </si>
  <si>
    <t>LINAREZ, PEDRO/NOMINA 28-02-2025/OPER</t>
  </si>
  <si>
    <t>LINAREZ, SANTIAGO/NOMINA 28-02-2025/OPER</t>
  </si>
  <si>
    <t>LOPEZ ,MANOLO/NOMINA 28-02-2025/ADM</t>
  </si>
  <si>
    <t>MANZO, JESMAIYELIT/NOMINA 28-02-2025/ADM</t>
  </si>
  <si>
    <t>MARTINEZ JUAN/NOMINA 28-02-2025/OPER</t>
  </si>
  <si>
    <t>PEREZ CARLOS/NOMINA 28-02-2025/OPER</t>
  </si>
  <si>
    <t>PEREZ, ROLANDO/NOMINA 28-02-2025/OPER</t>
  </si>
  <si>
    <t>POLANCO, FRANKLIN/NOMINA 28-02-2025/OPER</t>
  </si>
  <si>
    <t>PUERTAS, TEODORO/NOMINA 28-02-2025/OPER</t>
  </si>
  <si>
    <t>QUERALES ,EDIXON/NOMINA 28-02-2025/OPER</t>
  </si>
  <si>
    <t>QUERALES, HERMES/NOMINA 28-02-2025/OPER</t>
  </si>
  <si>
    <t>RAGA NELIDO/NOMINA 28-02-2025/ADM</t>
  </si>
  <si>
    <t>RANGEL GUSTAVO/NOMINA 28-02-2025/ADM</t>
  </si>
  <si>
    <t>REVERON, RAMON/NOMINA 28-02-2025/OPER</t>
  </si>
  <si>
    <t>RIVERO, JORGE/NOMINA 28-02-2025/OPER</t>
  </si>
  <si>
    <t>RODRIGUEZ ANSONNY/NOMINA 28-02-2025/OPER</t>
  </si>
  <si>
    <t>ROJAS MARIA/NOMINA 28-02-2025/OPER</t>
  </si>
  <si>
    <t>SEGURA ,WAILEN/NOMINA 28-02-2025/OPER</t>
  </si>
  <si>
    <t>SOTELDO, LUSMAR/NOMINA 28-02-2025/OPER</t>
  </si>
  <si>
    <t>SUAREZ, RAFAEL/NOMINA 28-02-2025/OPER</t>
  </si>
  <si>
    <t>VALLE, GERARDO/NOMINA 28-02-2025/OPER</t>
  </si>
  <si>
    <t>VETANCOURT, BLIXANDER/NOMINA 28-02-2025/ADM</t>
  </si>
  <si>
    <t>VIELMA CARLEN/NOMINA 28-02-2025/ADM</t>
  </si>
  <si>
    <t>REVERON,RAMON/BONO SUBSIDIO 28-02-2025-OPER</t>
  </si>
  <si>
    <t>RANGEL,GUSTAVO/BONO SUBSIDIADO 28/02/2025-ADM</t>
  </si>
  <si>
    <t>PUERTAS,TEODORO/BONO SUBSIDIO 28-02-2025-OPER</t>
  </si>
  <si>
    <t>GUILLEN,LUIS/BONO SUBSIDIO 28-02-2025-OPER</t>
  </si>
  <si>
    <t>ZERPA,WISTON/BONO SUBSIDIO 28-02-2025-OPER</t>
  </si>
  <si>
    <t>MARTINEZ,JUAN /BONO SUBSIDIO 28-02-2025-OPER</t>
  </si>
  <si>
    <t>GARCIA,JASON /BONO SUBSIDIO 28-02-2025-OPER</t>
  </si>
  <si>
    <t>DAZA,VICTOR ADOLFREDO/BONO SUBSIDIO 28-02-2025-OPER</t>
  </si>
  <si>
    <t>SEGURA,WAILEN/BONO SUBSIDIO 28-02-2025-OPER</t>
  </si>
  <si>
    <t>LINAREZ,PEDRO/BONO SUBSIDIO 28-02-2025-OPER</t>
  </si>
  <si>
    <t>MANZO,JESMAIYELIT/BONO SUBSIDIO 28-02/2025-ADM</t>
  </si>
  <si>
    <t>VIELMA,CARLEN ALFONSO/BONO SUBSIDIO 28/02/2025-ADM</t>
  </si>
  <si>
    <t>GUTIERREZ,PRESCILIANO/BONO SUBSIDIO 28-02-2025-OPER</t>
  </si>
  <si>
    <t>RAGA,NELIDO/BONO SUBSIDIO 28-02-2025-OPER</t>
  </si>
  <si>
    <t>SUAREZ,LEONARDO RAFAEL/BONO SUBSIDIO 28-02-2025-OPER</t>
  </si>
  <si>
    <t>RIVERO,JORGE/BONO SUBSIDIO 28-02-2025-OPER</t>
  </si>
  <si>
    <t>VETANCOURT,BLIXANDER/BONO SUBSIDIO 28-02-2025-OPER</t>
  </si>
  <si>
    <t>GIMENEZ,PABLO/BONO SUBSIDIO 28-02-2025-OPER</t>
  </si>
  <si>
    <t>VALLE,LUIS GERARDO/BONO SUBSIDIO 28-02-2025-OPER</t>
  </si>
  <si>
    <t>LINAREZ,SANTIAGO/BONO SUBSIDIO 28-02-2025-OPER</t>
  </si>
  <si>
    <t>BASTIDAS,JOSE/BONO SUBSIDIO 28-02-2025-OPER</t>
  </si>
  <si>
    <t>CHIRINOS,RAFAEL/BONO SUBSIDIO 28-02-2025-OPER</t>
  </si>
  <si>
    <t>JOSE ARRIETA/BONIFICACION 2DA QUINCENA GOBERNACION</t>
  </si>
  <si>
    <t>GALEANO,FRANCISCO/BONO SUBSIDIO 28-02-2025-OPER</t>
  </si>
  <si>
    <t>ALEJOS, RODOLFO/BONO COMPLEMENTARIO 28-02-2025/OPER</t>
  </si>
  <si>
    <t>ALEJOS,RODOLFO/BONO SUBSIDIO 28-02-2025-OPER</t>
  </si>
  <si>
    <t>BRACHO,LUIS ALBERTO/BONO SUBSIDIO 28-02-2025-OPER</t>
  </si>
  <si>
    <t>CARLOS RODRIGUEZ/BONIFICACION 2DA QUINCENA GOBERNACION</t>
  </si>
  <si>
    <t>ARMANDO VILLEGAS/BONIFICACION 2DA QUINCENA GOBERNACION</t>
  </si>
  <si>
    <t>ALVARADO, EDDY/BONO COMPLEMENTARIO 28-02-2025/OPER</t>
  </si>
  <si>
    <t>BASTIDAS, JOSE/BONO COMPLEMENTARIO 28-02-2025/OPER</t>
  </si>
  <si>
    <t>BRACHO, LUIS/BONO COMPLEMENTARIO 28-02-2025/OPER</t>
  </si>
  <si>
    <t>CHIRINOS, RAFAEL/BONO COMPLEMENTARIO 28-02-2025/OPER</t>
  </si>
  <si>
    <t>DAZA, VICTOR/BONO COMPLEMENTARIO 28-02-2025/OPER</t>
  </si>
  <si>
    <t>GUILLEN, LUIS/BONO COMPLEMENTARIO 28-02-2025/OPER</t>
  </si>
  <si>
    <t>GALEANO, FRANCISCO/BONO COMPLEMENTARIO 28-02-2025/OPER</t>
  </si>
  <si>
    <t>LINAREZ, PEDRO/BONO COMPLEMENTARIO 28-02-2025/OPER</t>
  </si>
  <si>
    <t>GUTIERREZ, PRESCILIANO/BONO COMPLEMENTARIO 28-02-2025/OPER</t>
  </si>
  <si>
    <t>LINAREZ, SANTIAGO/BONO COMPLEMENTARIO 28-02-2025/OPER</t>
  </si>
  <si>
    <t>GARCIA, JASON/BONO COMPLEMENTARIO 28-02-2025/OPER</t>
  </si>
  <si>
    <t>GUTIERREZ,RODOLFO/BONO COMPLEMENTARIO 28-02-2025/ADM</t>
  </si>
  <si>
    <t>GUEDEZ JOSE/BONO COMPLEMENTARIO 28-02-2025/OPER</t>
  </si>
  <si>
    <t>MANZO, JESMAIYELIT/BONO COMPLEMENTARIO 28-02-2025/ADM</t>
  </si>
  <si>
    <t>LOPEZ ,MANOLO/BONO COMPLEMENTARIO 28-02-2025/ADM</t>
  </si>
  <si>
    <t>MARTINEZ JUAN/BONO COMPLEMENTARIO 28-02-2025/OPER</t>
  </si>
  <si>
    <t>PUERTAS, TEODORO/BONO COMPLEMENTARIO 28-02-2025/OPER</t>
  </si>
  <si>
    <t>PEREZ, ROLANDO/BONO COMPLEMENTARIO 28-02-2025/OPER</t>
  </si>
  <si>
    <t>PEREZ CARLOS/BONO COMPLEMENTARIO 28-02-2025/OPER</t>
  </si>
  <si>
    <t>POLANCO, FRANKLIN/BONO COMPLEMENTARIO 28-02-2025/OPER</t>
  </si>
  <si>
    <t>QUERALES ,EDIXON/BONO COMPLEMENTARIO 28-02-2025/OPER</t>
  </si>
  <si>
    <t>QUERALES, HERMES/BONO COMPLEMENTARIO 28-02-2025/OPER</t>
  </si>
  <si>
    <t>REVERON, RAMON/BONO COMPLEMENTARIO 28-02-2025/OPER</t>
  </si>
  <si>
    <t>RAGA NELIDO/BONO COMPLEMENTARIO 28-02-2025/ADM</t>
  </si>
  <si>
    <t>RODRIGUEZ ANSONNY/BONO COMPLEMENTARIO 28-02-2025/OPER</t>
  </si>
  <si>
    <t>ROJAS MARIA/BONO COMPLEMENTARIO 28-02-2025/OPER</t>
  </si>
  <si>
    <t>RANGEL GUSTAVO/BONO COMPLEMENTARIO 28-02-2025/ADM</t>
  </si>
  <si>
    <t>RIVERO, JORGE/BONO COMPLEMENTARIO 28-02-2025/OPER</t>
  </si>
  <si>
    <t>SOTELDO, LUSMAR/BONO COMPLEMENTARIO 28-02-2025/OPER</t>
  </si>
  <si>
    <t>SUAREZ, RAFAEL/BONO COMPLEMENTARIO 28-02-2025/OPER</t>
  </si>
  <si>
    <t>SEGURA ,WAILEN/BONO COMPLEMENTARIO 28-02-2025/OPER</t>
  </si>
  <si>
    <t>VALLE, GERARDO/BONO COMPLEMENTARIO 28-02-2025/OPER</t>
  </si>
  <si>
    <t>VIELMA CARLEN/BONO COMPLEMENTARIO 28-02-2025/ADM</t>
  </si>
  <si>
    <t>ALEJOS, RODOLFO/CESTA TICKET FEBRERO 28-02-2025/OPER</t>
  </si>
  <si>
    <t>ALVARADO, EDDY/CESTA TICKET FEBRERO 28-02-2025/OPER</t>
  </si>
  <si>
    <t>VETANCOURT, BLIXANDER/BONO COMPLEMENTARIO 28-02-2025/ADM</t>
  </si>
  <si>
    <t>ZERPA, WISTON/BONO COMPLEMENTARIO 28-02-2025/OPER</t>
  </si>
  <si>
    <t>BASTIDAS, JOSE/CESTA TICKET FEBRERO 28-02-2025/OPER</t>
  </si>
  <si>
    <t>BRACHO, LUIS/CESTA TICKET FEBRERO 28-02-2025/OPER</t>
  </si>
  <si>
    <t>CHIRINOS, RAFAEL/CESTA TICKET FEBRERO 28-02-2025/OPER</t>
  </si>
  <si>
    <t>DAZA, VICTOR/CESTA TICKET FEBRERO 28-02-2025/OPER</t>
  </si>
  <si>
    <t>GALEANO, FRANCISCO/CESTA TICKET FEBRERO 28-02-2025/OPER</t>
  </si>
  <si>
    <t>GARCIA, JASON/CESTA TICKET FEBRERO 28-02-2025/OPER</t>
  </si>
  <si>
    <t>GUEDEZ JOSE/CESTA TICKET FEBRERO 28-02-2025/OPER</t>
  </si>
  <si>
    <t>GUILLEN, LUIS/CESTA TICKET FEBRERO 28-02-2025/OPER</t>
  </si>
  <si>
    <t>GUTIERREZ, PRESCILIANO/CESTA TICKET FEBRERO 28-02-2025/OPER</t>
  </si>
  <si>
    <t>ZERPA, WISTON/CESTA TICKET FEBRERO 28-02-2025/OPER</t>
  </si>
  <si>
    <t>LINAREZ, PEDRO/CESTA TICKET FEBRERO 28-02-2025/OPER</t>
  </si>
  <si>
    <t>LINAREZ, SANTIAGO/CESTA TICKET FEBRERO 28-02-2025/OPER</t>
  </si>
  <si>
    <t>LOPEZ ,MANOLO/CESTA TICKET FEBRERO 28-02-2025/ADM</t>
  </si>
  <si>
    <t>MANZO, JESMAIYELIT/CESTA TICKET FEBRERO 28-02-2025/ADM</t>
  </si>
  <si>
    <t>MARTINEZ JUAN/CESTA TICKET FEBRERO 28-02-2025/OPER</t>
  </si>
  <si>
    <t>PEREZ CARLOS/CESTA TICKET FEBRERO 28-02-2025/OPER</t>
  </si>
  <si>
    <t>PEREZ, ROLANDO/CESTA TICKET FEBRERO 28-02-2025/OPER</t>
  </si>
  <si>
    <t>POLANCO, FRANKLIN/CESTA TICKET FEBRERO 28-02-2025/OPER</t>
  </si>
  <si>
    <t>PUERTAS, TEODORO/CESTA TICKET FEBRERO 28-02-2025/OPER</t>
  </si>
  <si>
    <t>RANGEL GUSTAVO/CESTA TICKET FEBRERO 28-02-2025/ADM</t>
  </si>
  <si>
    <t>QUERALES ,EDIXON/CESTA TICKET FEBRERO 28-02-2025/OPER</t>
  </si>
  <si>
    <t>QUERALES, HERMES/CESTA TICKET FEBRERO 28-02-2025/OPER</t>
  </si>
  <si>
    <t>RAGA NELIDO/CESTA TICKET FEBRERO 28-02-2025/ADM</t>
  </si>
  <si>
    <t>REVERON, RAMON/CESTA TICKET FEBRERO 28-02-2025/OPER</t>
  </si>
  <si>
    <t>RIVERO, JORGE/CESTA TICKET FEBRERO 28-02-2025/OPER</t>
  </si>
  <si>
    <t>RODRIGUEZ ANSONNY/CESTA TICKET FEBRERO 28-02-2025/OPER</t>
  </si>
  <si>
    <t>ROJAS MARIA/CESTA TICKET FEBRERO 28-02-2025/OPER</t>
  </si>
  <si>
    <t>SEGURA ,WAILEN/CESTA TICKET FEBRERO 28-02-2025/OPER</t>
  </si>
  <si>
    <t>SOTELDO, LUSMAR/CESTA TICKET FEBRERO 28-02-2025/OPER</t>
  </si>
  <si>
    <t>SUAREZ, RAFAEL/CESTA TICKET FEBRERO 28-02-2025/OPER</t>
  </si>
  <si>
    <t>VIELMA CARLEN/CESTA TICKET FEBRERO 28-02-2025/ADM</t>
  </si>
  <si>
    <t>VALLE, GERARDO/CESTA TICKET FEBRERO 28-02-2025/OPER</t>
  </si>
  <si>
    <t>VETANCOURT, BLIXANDER/CESTA TICKET FEBRERO 28-02-2025/ADM</t>
  </si>
  <si>
    <t>GIMENEZ, PABLO/NOMINA-BONO-CESTA TICKET-28-02-2025</t>
  </si>
  <si>
    <t>AMERICA TORNILLO/REINTEGRO/FACT 00010156</t>
  </si>
  <si>
    <t>REINTEGRO</t>
  </si>
  <si>
    <t>12-280225</t>
  </si>
  <si>
    <t>HUMBERTO FRANCO/FACT 187/Actuacion de sistema electrico instalacion cielo raso y aires acondicionados laboratorio quimico y sala de reuniones</t>
  </si>
  <si>
    <t xml:space="preserve">OLGA OROZCO/PAGO RESIDENCIA OPERADOR - 120$/PAGO MENSUAL </t>
  </si>
  <si>
    <t>45-280225</t>
  </si>
  <si>
    <t>Hector/Eventual Gobernacion 24/02/2025 AL 02/03/2025</t>
  </si>
  <si>
    <t xml:space="preserve">Lino flore-3 dias a 35$- total 105$-Dinamitero/pago relacion de personal que laboro en la campaña de yeso la semana del 24-02 al 28-02-25  </t>
  </si>
  <si>
    <t xml:space="preserve">Lisandro Milla- bono operador 20$/pago relacion de personal que laboro en la campaña de yeso la semana del 24-02 al 28-02-25  </t>
  </si>
  <si>
    <t>ferre materiales miller/ADELANT FACT/Electrodo 6013 utilizados para trabajos de fabricación , áreas activas molienda de cemento, hornos verticales, salida túnel de materia prima solicitado ing fareliz</t>
  </si>
  <si>
    <t>17-280225</t>
  </si>
  <si>
    <t xml:space="preserve">Julian Castillo-5 dias a 10$- total 50$/pago relacion de personal que laboro en la campaña de yeso la semana del 24-02 al 28-02-25  </t>
  </si>
  <si>
    <t xml:space="preserve">FERRENOVA 14/FACT 01692/laminas-union -vigas-hindú (cementera) </t>
  </si>
  <si>
    <t xml:space="preserve">Jeferson Davila- bono operador 20$/pago relacion de personal que laboro en la campaña de yeso la semana del 24-02 al 28-02-25  </t>
  </si>
  <si>
    <t xml:space="preserve">Beatriz Castillo- bono operador 20$/pago relacion de personal que laboro en la campaña de yeso la semana del 24-02 al 28-02-25  </t>
  </si>
  <si>
    <t xml:space="preserve">Ramon Quirogas- bono operador 20$/pago relacion de personal que laboro en la campaña de yeso la semana del 24-02 al 28-02-25  </t>
  </si>
  <si>
    <t>Henrry Valera/Eventual Gobernacion 24/02/2025 AL 02/03/2025</t>
  </si>
  <si>
    <t>Brunito Segundo Cordero/Eventual Agregados 24/02/2025 AL 02/03/2025</t>
  </si>
  <si>
    <t>Delios Adolfo Ferrara/Eventual Agregados 24/02/2025 AL 02/03/2025</t>
  </si>
  <si>
    <t>Eliomar Jesús Escalona/Eventual Agregados 24/02/2025 AL 02/03/2025</t>
  </si>
  <si>
    <t>José Guillermo Cortez/Eventual Agregados 24/02/2025 AL 02/03/2025</t>
  </si>
  <si>
    <t>Darwuin Jesús Bullones/Eventual Agregados 24/02/2025 AL 02/03/2025</t>
  </si>
  <si>
    <t>Frank Armando García/Eventual Agregados 24/02/2025 AL 02/03/2025</t>
  </si>
  <si>
    <t>Alberto Luis Rojas/Eventual Agregados 24/02/2025 AL 02/03/2025</t>
  </si>
  <si>
    <t>Naiker Alexander Jimenez/Eventual Agregados 24/02/2025 AL 02/03/2025</t>
  </si>
  <si>
    <t>José Gregorio Perez/Eventual Agregados 24/02/2025 AL 02/03/2025</t>
  </si>
  <si>
    <t>Carlos Daniel Rodriguez/Eventual Agregados 24/02/2025 AL 02/03/2025</t>
  </si>
  <si>
    <t>Alejandro Morales/Eventual Agregados 24/02/2025 AL 02/03/2025</t>
  </si>
  <si>
    <t>Euber José Juarez/Eventual Agregados 24/02/2025 AL 02/03/2025</t>
  </si>
  <si>
    <t>Ali Alberto Bullones/Eventual Agregados 24/02/2025 AL 02/03/2025</t>
  </si>
  <si>
    <t>Alberto Ali Bullones/Eventual Agregados 24/02/2025 AL 02/03/2025</t>
  </si>
  <si>
    <t>Fernando José Rodriguez/Eventual Agregados 24/02/2025 AL 02/03/2025</t>
  </si>
  <si>
    <t>Federico Faneite/Eventual Gobernacion 24/02/2025 AL 02/03/2025</t>
  </si>
  <si>
    <t>Justiniano Rodriguez/Eventual Agregados 24/02/2025 AL 02/03/2025</t>
  </si>
  <si>
    <t>Fareliz Arrieche/Eventual Gobernacion 24/02/2025 AL 02/03/2025</t>
  </si>
  <si>
    <t>Armando Lopez /Eventual Agregados 24/02/2025 AL 02/03/2025</t>
  </si>
  <si>
    <t>Alirio Parra/Eventual Gobernacion 24/02/2025 AL 02/03/2025</t>
  </si>
  <si>
    <t>Froilan Lopez/Eventual Agregados 24/02/2025 AL 02/03/2025</t>
  </si>
  <si>
    <t>Jesus Ramos/Eventual Gobernacion 24/02/2025 AL 02/03/2025</t>
  </si>
  <si>
    <t>Ramón Quintero/Eventual Agregados 24/02/2025 AL 02/03/2025</t>
  </si>
  <si>
    <t>Exson Rodriguez/Eventual Gobernacion 24/02/2025 AL 02/03/2025</t>
  </si>
  <si>
    <t>Miguel Torres/Eventual Gobernacion 24/02/2025 AL 02/03/2025</t>
  </si>
  <si>
    <t>Douglas Pimentel/Eventual Gobernacion 24/02/2025 AL 02/03/2025</t>
  </si>
  <si>
    <t>Pedro Castillo/Eventual Gobernacion 24/02/2025 AL 02/03/2025</t>
  </si>
  <si>
    <t>Juan López/Eventual Agregados 24/02/2025 AL 02/03/2025</t>
  </si>
  <si>
    <t>Nicolas Alvarez/Eventual Gobernacion 24/02/2025 AL 02/03/2025</t>
  </si>
  <si>
    <t>Wendy Gimenez/Eventual Gobernacion 24/02/2025 AL 02/03/2025</t>
  </si>
  <si>
    <t>Rafael Puertas/Eventual Gobernacion 24/02/2025 AL 02/03/2025</t>
  </si>
  <si>
    <t>Carlos Pacheco/Eventual Gobernacion 24/02/2025 AL 02/03/2025</t>
  </si>
  <si>
    <t>Andrés Armella/Eventual Gobernacion 24/02/2025 AL 02/03/2025</t>
  </si>
  <si>
    <t>Jose Toledo/Eventual Gobernacion 24/02/2025 AL 02/03/2025</t>
  </si>
  <si>
    <t>Juan Pinto/Eventual Gobernacion 24/02/2025 AL 02/03/2025</t>
  </si>
  <si>
    <t>Bruno Ali Cordero Bullones/Eventual Agregados 24/02/2025 AL 02/03/2025</t>
  </si>
  <si>
    <t>Carlos Lopez/Eventual Agregados 24/02/2025 AL 02/03/2025</t>
  </si>
  <si>
    <t>Fares Arrieche/Eventual Megatech 24/02/2025 AL 02/03/2025</t>
  </si>
  <si>
    <t>Angel Caldera/Eventual Gobernacion 24/02/2025 AL 02/03/2025</t>
  </si>
  <si>
    <t>Estebez Maramara/Eventual Agregados 24/02/2025 AL 02/03/2025</t>
  </si>
  <si>
    <t>Norys Ramos/Eventual Gobernacion 24/02/2025 AL 02/03/2025</t>
  </si>
  <si>
    <t>Edwin Rojas/Eventual Gobernacion 24/02/2025 AL 02/03/2025</t>
  </si>
  <si>
    <t>Rafael Quiroz/Eventual Gobernacion 24/02/2025 AL 02/03/2025</t>
  </si>
  <si>
    <t>Luis Silveiro Colon Ojeda/Eventual Agregados 24/02/2025 AL 02/03/2025</t>
  </si>
  <si>
    <t>Argenis Flores/Eventual Megatech 24/02/2025 AL 02/03/2025</t>
  </si>
  <si>
    <t>Pitter Puerta/Eventual Megatech 24/02/2025 AL 02/03/2025</t>
  </si>
  <si>
    <t>Yonny Castillo/Eventual Megatech 24/02/2025 AL 02/03/2025</t>
  </si>
  <si>
    <t>Francisco Castillo/Eventual Megatech 24/02/2025 AL 02/03/2025</t>
  </si>
  <si>
    <t>Walner Oviedo/Eventual Megatech 24/02/2025 AL 02/03/2025</t>
  </si>
  <si>
    <t>Antonio Castillo/Eventual Megatech 24/02/2025 AL 02/03/2025</t>
  </si>
  <si>
    <t>Jose Guevara/Eventual Megatech 24/02/2025 AL 02/03/2025</t>
  </si>
  <si>
    <t>Jose Castillo/Eventual Megatech 24/02/2025 AL 02/03/2025</t>
  </si>
  <si>
    <t>Elvis Valles/Eventual Megatech 24/02/2025 AL 02/03/2025</t>
  </si>
  <si>
    <t>Omar Torrealba/Eventual Megatech 24/02/2025 AL 02/03/2025</t>
  </si>
  <si>
    <t>Carlos Castillo/Eventual Megatech 24/02/2025 AL 02/03/2025</t>
  </si>
  <si>
    <t>Julian Guedez/Eventual Megatech 24/02/2025 AL 02/03/2025</t>
  </si>
  <si>
    <t>Yordis Almao/Eventual Megatech 24/02/2025 AL 02/03/2025</t>
  </si>
  <si>
    <t>Victor Mendez/Eventual Megatech 24/02/2025 AL 02/03/2025</t>
  </si>
  <si>
    <t>Carlos Loyo/Eventual Megatech 24/02/2025 AL 02/03/2025</t>
  </si>
  <si>
    <t>Edwuard Almeida/Eventual Megatech 24/02/2025 AL 02/03/2025</t>
  </si>
  <si>
    <t>Yerry Rodríguez/Eventual Megatech 24/02/2025 AL 02/03/2025</t>
  </si>
  <si>
    <t>Alberto Loyo/Eventual Megatech 24/02/2025 AL 02/03/2025</t>
  </si>
  <si>
    <t>Norys Ramos/Eventual Megatech 24/02/2025 AL 02/03/2025</t>
  </si>
  <si>
    <t>Fareliz Arrieche/Eventual Megatech 24/02/2025 AL 02/03/2025</t>
  </si>
  <si>
    <t>Alirio Parra/Eventual Megatech 24/02/2025 AL 02/03/2025</t>
  </si>
  <si>
    <t>Emperatriz Leon/Eventual Megatech 24/02/2025 AL 02/03/2025</t>
  </si>
  <si>
    <t>Elio Malpica/Eventual Megatech 24/02/2025 AL 02/03/2025</t>
  </si>
  <si>
    <t>Alexander Castillo/Eventual Megatech 24/02/2025 AL 02/03/2025</t>
  </si>
  <si>
    <t>Ruben Rivas/Eventual Megatech 24/02/2025 AL 02/03/2025</t>
  </si>
  <si>
    <t xml:space="preserve">Aureliano León-7 dias a 10$- total 70$/pago relacion de personal que laboro en la campaña de yeso la semana del 24-02 al 28-02-25  </t>
  </si>
  <si>
    <t>Ingrid Reyes/Eventual Megatech 24/02/2025 AL 02/03/2025</t>
  </si>
  <si>
    <t>0120200000427</t>
  </si>
  <si>
    <t xml:space="preserve">COM MANTENIMIENTO DE CUENTA   </t>
  </si>
  <si>
    <t>0329249186848</t>
  </si>
  <si>
    <t>0592352247793</t>
  </si>
  <si>
    <t>PROTECCION A LAS PENSIONES/PERIODO ENERO 2025</t>
  </si>
  <si>
    <t>02-040225</t>
  </si>
  <si>
    <t xml:space="preserve">Constructora AJR CA/ADELANT FACT/ACONDI BASE/AREAS INTERNAS PLANTA DE CEMENTO </t>
  </si>
  <si>
    <t>S/PROCESAR</t>
  </si>
  <si>
    <t>DURANGO C.A/FACT285/procura de barras de cobre para selda de sincronizacion de central de generacion</t>
  </si>
  <si>
    <t>0828654503593</t>
  </si>
  <si>
    <t xml:space="preserve">BANAVIH/PERIODO ENERO 2025            </t>
  </si>
  <si>
    <t>03-050225</t>
  </si>
  <si>
    <t>0100754506374</t>
  </si>
  <si>
    <t xml:space="preserve">IVSS/PERIODO ENERO 2025                     </t>
  </si>
  <si>
    <t>0592356868620</t>
  </si>
  <si>
    <t xml:space="preserve">ISLR/PERIODO ENERO 2025 </t>
  </si>
  <si>
    <t>02-060225</t>
  </si>
  <si>
    <t>0329251427834</t>
  </si>
  <si>
    <t>0329200000006</t>
  </si>
  <si>
    <t>0329200000005</t>
  </si>
  <si>
    <t>HENCAR CONSTRUCCIONES/FACT 595/Adecuacion y armado de sistema de escape para 05 grupos electrogenos de 1250 kva</t>
  </si>
  <si>
    <t>PROCESADO EN ABRIL</t>
  </si>
  <si>
    <t>0676200000005</t>
  </si>
  <si>
    <t>0676200000006</t>
  </si>
  <si>
    <t>0329253825718</t>
  </si>
  <si>
    <t>0329279700270</t>
  </si>
  <si>
    <t>0676279700270</t>
  </si>
  <si>
    <t>0329254052707</t>
  </si>
  <si>
    <t>0329279786021</t>
  </si>
  <si>
    <t>HENCAD/FACT 615/TABLERO MECANICO/SISTEM SINCRONIZACION</t>
  </si>
  <si>
    <t>PROCESADA EN JULIO</t>
  </si>
  <si>
    <t>0676279786021</t>
  </si>
  <si>
    <t>0329279828885</t>
  </si>
  <si>
    <t>RODA MANGUERAS CHIVACOA/FACT 1329/manguera Corresponde a maquinaria que esta en el yeso</t>
  </si>
  <si>
    <t>0676279828885</t>
  </si>
  <si>
    <t>0590562302010</t>
  </si>
  <si>
    <t>FERREMATERIALES Y OBRAS GRIS/FACT 03/ARENA CERDIDA FACT DE VENTA</t>
  </si>
  <si>
    <t>VENTA DE ARENA CERDIDA</t>
  </si>
  <si>
    <t>0599116078878</t>
  </si>
  <si>
    <t>SIN FRONTERA RJL, C.A./FACT 004/VENTA DE CONCRETO PREMEZCLADO RC 210</t>
  </si>
  <si>
    <t>VENTA DE CONCRETO PREMEZCLADO RC 210</t>
  </si>
  <si>
    <t>0590562847321</t>
  </si>
  <si>
    <t>FERRETERIA Y MATERIALES OBRA GRIS 2021 C.A/FACT 06/VENTA DE ARENA CERNIDA/FACTURAS DE VENTAS</t>
  </si>
  <si>
    <t>0590562847391</t>
  </si>
  <si>
    <t>FERRETERIA Y MATERIALES OBRA GRIS 2021 C.A/FACT 21 /VENTA DE ARENA CERNIDA</t>
  </si>
  <si>
    <t>el cliente transfirio doble y se le abono este monto a la fact 21 del mes de marzo</t>
  </si>
  <si>
    <t>TIMBRES FISCALES P/GESTION PERMISO BOMBEROS/CEMENTERA</t>
  </si>
  <si>
    <t>08-270225</t>
  </si>
  <si>
    <t>MARIA MOGOLLON/FACT 467/30 kg de polvora para piedra-Para ser usada en la extracción del Yeso</t>
  </si>
  <si>
    <t>ALBERTO PERNALETTE/FACT 0008/pago viaticos traslado de Falcon a Yaracuy/INSPECCION</t>
  </si>
  <si>
    <t>SERVA021E</t>
  </si>
  <si>
    <t>RESGUARDO/FACT 0174/2da qna Febrero-MINERALES</t>
  </si>
  <si>
    <t>SERVA026</t>
  </si>
  <si>
    <t>GASTOS SEGURIDAD /RESGUARDO</t>
  </si>
  <si>
    <t>0329262868948</t>
  </si>
  <si>
    <t>0329262871351</t>
  </si>
  <si>
    <t>INVERSIONES VENEZOLANOS DE TRANSPORTE/FACT A-000003/Minerales chivacoa - gasto - transporte y descarga de carga de cemento a granel</t>
  </si>
  <si>
    <t>SERVA005E</t>
  </si>
  <si>
    <t>MATERIALES SANTA LUCIA/ FACT 00004928/PLANTA CEMENTO</t>
  </si>
  <si>
    <t>GRAFICOS VENEZUELA/FACT 3693/3 talonarios de fact en quimico-3 talonarios de nota en quimico-sede minerales arenera</t>
  </si>
  <si>
    <t>DIOSANNY ALVAREZ/FACT 183/Consumos de comidas del 24-02 al 28-02-25 personal del yeso</t>
  </si>
  <si>
    <t>04-310325</t>
  </si>
  <si>
    <t xml:space="preserve">JOSE, MORALES/BONIFICACION ESPECIAL </t>
  </si>
  <si>
    <t>JOSE MORALES/BONOFICACION ESPECIAL/AGREG</t>
  </si>
  <si>
    <t>TRANSPORTE Y COMERCIALIZADORA NJG, C.A/FACT 757/Requerimientos para Minerales-PRODUCTOS LIMPIENZAS</t>
  </si>
  <si>
    <t>ALIMENTOS AGROTENDENCIAS/FACT 23848/HARINA Y CAFÉ EMPLEADOS</t>
  </si>
  <si>
    <t>TIENDAS DAKA/FACT 27129/electrodomesticos minerales</t>
  </si>
  <si>
    <t>GOBIERNO BOLIVARIANO DEL ESTADO YARACUY/compra de cemento materia prima</t>
  </si>
  <si>
    <t>CEMENTO MATERIA PRIMA</t>
  </si>
  <si>
    <t>DISTRIBUIDORA DIAR/FACT 640/Arenera - Gasto de mantenimiento - Mini Cargador</t>
  </si>
  <si>
    <t xml:space="preserve">FREDDY MENDOZA/2 dias/pago relacion de personal que laboro en la campaña de yeso la semana del 05-03 al 07-03-25  </t>
  </si>
  <si>
    <t>Exson Rodriguez/Eventual Gobernacion 03/03 AL 09/03</t>
  </si>
  <si>
    <t>Brunito Segundo Cordero/Eventual Agregados 03/03 AL 09/03</t>
  </si>
  <si>
    <t>Edwuard Almeida/Eventual Megatech 03/03 AL 09/03</t>
  </si>
  <si>
    <t>Yerry Rodríguez/Eventual Megatech 03/03 AL 09/03</t>
  </si>
  <si>
    <t>Elio Malpica/Eventual Megatech 03/03 AL 09/03</t>
  </si>
  <si>
    <t>Ruben Rivas/Eventual Megatech 03/03 AL 09/03</t>
  </si>
  <si>
    <t xml:space="preserve">EMPREND DIOSANNY ALVAREZ/FACT 197/ALMUERZOS PERSONAL en la campaña de yeso la semana del 05-03 al 07-03-25  </t>
  </si>
  <si>
    <t>12-070325</t>
  </si>
  <si>
    <t>DIOSANNY ALVAREZ/FACT 199/JULIO IGL FACT 430</t>
  </si>
  <si>
    <t>PROTECCION A LAS PENSIONES/PERIODO FEBRERO 2025</t>
  </si>
  <si>
    <t>02-070325</t>
  </si>
  <si>
    <t>VICTOR MARTINEZ/FACT 159/FLETE MESA DE REUNION</t>
  </si>
  <si>
    <t>MOBILIARQ'/FACT 2470/Mesa de reunion para Agregados</t>
  </si>
  <si>
    <t>MAC INFINITE/FACT 48/RECTIFICADO TABLEROS CABLEADOS -PLANTA CEMENTO</t>
  </si>
  <si>
    <t>Argenis Flores/Eventual Megatech 03/03 AL 09/03</t>
  </si>
  <si>
    <t>VECONINTER/ORDEN PAGO 2683-2025/GASTO DE IMPORTACION</t>
  </si>
  <si>
    <t>SERVA044E</t>
  </si>
  <si>
    <t>31-070325</t>
  </si>
  <si>
    <t>MAC INIFINITE ENERGY/FACT 49/PRUEBAS FUNCIONALES DE OPERACION PLANTA DE CEMENTO</t>
  </si>
  <si>
    <t>PROCESADA EN ABRIL</t>
  </si>
  <si>
    <t>MAC INFINITE ENERGY/FACT47/MTTO CELDAS/BAJA TENSION-PLANTA DE CEMENTO</t>
  </si>
  <si>
    <t>Delios Adolfo Ferrara/Eventual Agregados 03/03 AL 09/03</t>
  </si>
  <si>
    <t>Eliomar Jesús Escalona/Eventual Agregados 03/03 AL 09/03</t>
  </si>
  <si>
    <t>José Guillermo Cortez/Eventual Agregados 03/03 AL 09/03</t>
  </si>
  <si>
    <t>Darwuin Jesús Bullones/Eventual Agregados 03/03 AL 09/03</t>
  </si>
  <si>
    <t>Frank Armando García/Eventual Agregados 03/03 AL 09/03</t>
  </si>
  <si>
    <t>Alberto Luis Rojas/Eventual Agregados 03/03 AL 09/03</t>
  </si>
  <si>
    <t>Naiker Alexander Jimenez/Eventual Agregados 03/03 AL 09/03</t>
  </si>
  <si>
    <t>José Gregorio Perez/Eventual Agregados 03/03 AL 09/03</t>
  </si>
  <si>
    <t>Carlos Daniel Rodriguez/Eventual Agregados 03/03 AL 09/03</t>
  </si>
  <si>
    <t>Alejandro Morales/Eventual Agregados 03/03 AL 09/03</t>
  </si>
  <si>
    <t>Ali Alberto Bullones/Eventual Agregados 03/03 AL 09/03</t>
  </si>
  <si>
    <t>Alberto Ali Bullones/Eventual Agregados 03/03 AL 09/03</t>
  </si>
  <si>
    <t>Fernando José Rodriguez/Eventual Agregados 03/03 AL 09/03</t>
  </si>
  <si>
    <t>Bruno Ali Cordero Bullones/Eventual Agregados 03/03 AL 09/03</t>
  </si>
  <si>
    <t xml:space="preserve">Lino flore-2 dias/campaña de yeso la semana del 05-03 al 07-03-25  </t>
  </si>
  <si>
    <t>Euber José Juarez/Eventual Agregados 03/03 AL 09/03</t>
  </si>
  <si>
    <t>Fareliz Arrieche/Eventual Gobernacion 03/03 AL 09/03</t>
  </si>
  <si>
    <t>Federico Faneite/Eventual Gobernacion 03/03 AL 09/03</t>
  </si>
  <si>
    <t>Justiniano Rodriguez/Eventual Agregados 03/03 AL 09/03</t>
  </si>
  <si>
    <t>Henrry Valera/Eventual Gobernacion 03/03 AL 09/03</t>
  </si>
  <si>
    <t>Armando Lopez /Eventual Agregados 03/03 AL 09/03</t>
  </si>
  <si>
    <t>Froilan Lopez/Eventual Agregados 03/03 AL 09/03</t>
  </si>
  <si>
    <t>Ramón Quintero/Eventual Agregados 03/03 AL 09/03</t>
  </si>
  <si>
    <t>Juan López/Eventual Agregados 03/03 AL 09/03</t>
  </si>
  <si>
    <t>Douglas Pimentel/Eventual Gobernacion 03/03 AL 09/03</t>
  </si>
  <si>
    <t>Jesus Ramos/Eventual Gobernacion 03/03 AL 09/03</t>
  </si>
  <si>
    <t>Pedro Castillo/Eventual Gobernacion 03/03 AL 09/03</t>
  </si>
  <si>
    <t>Miguel Torres/Eventual Gobernacion 03/03 AL 09/03</t>
  </si>
  <si>
    <t>Wendy Gimenez/Eventual Gobernacion 03/03 AL 09/03</t>
  </si>
  <si>
    <t>Nicolas Alvarez/Eventual Gobernacion 03/03 AL 09/03</t>
  </si>
  <si>
    <t>Yonny Castillo/Eventual Megatech 03/03 AL 09/03</t>
  </si>
  <si>
    <t>Rafael Puertas/Eventual Gobernacion 03/03 AL 09/03</t>
  </si>
  <si>
    <t>Carlos Pacheco/Eventual Gobernacion 03/03 AL 09/03</t>
  </si>
  <si>
    <t>Andrés Armella/Eventual Gobernacion 03/03 AL 09/03</t>
  </si>
  <si>
    <t>Jose Toledo/Eventual Gobernacion 03/03 AL 09/03</t>
  </si>
  <si>
    <t>Juan Pinto/Eventual Gobernacion 03/03 AL 09/03</t>
  </si>
  <si>
    <t>Edwin Rojas/Eventual Gobernacion 03/03 AL 09/03</t>
  </si>
  <si>
    <t>Alirio Parra/Eventual Gobernacion 03/03 AL 09/03</t>
  </si>
  <si>
    <t>Angel Caldera/Eventual Gobernacion 03/03 AL 09/03</t>
  </si>
  <si>
    <t>Hector/Eventual Gobernacion 03/03 AL 09/03</t>
  </si>
  <si>
    <t>Carlos Lopez/Eventual Agregados 03/03 AL 09/03</t>
  </si>
  <si>
    <t>Estebez Maramara/Eventual Agregados 03/03 AL 09/03</t>
  </si>
  <si>
    <t>Luis Silveiro Colon Ojeda/Eventual Agregados 03/03 AL 09/03</t>
  </si>
  <si>
    <t>Rafael Quiroz/Eventual Gobernacion 03/03 AL 09/03</t>
  </si>
  <si>
    <t>Pitter Puerta/Eventual Megatech 03/03 AL 09/03</t>
  </si>
  <si>
    <t>Walner Oviedo/Eventual Megatech 03/03 AL 09/03</t>
  </si>
  <si>
    <t>Norys Ramos/Eventual Gobernacion 03/03 AL 09/03</t>
  </si>
  <si>
    <t xml:space="preserve">DAYANA AZUAJE -7 dias/campaña de yeso la semana del 05-03 al 07-03-25  </t>
  </si>
  <si>
    <t>Francisco Castillo/Eventual Megatech 03/03 AL 09/03</t>
  </si>
  <si>
    <t>Antonio Castillo/Eventual Megatech 03/03 AL 09/03</t>
  </si>
  <si>
    <t>Jose Guevara/Eventual Megatech 03/03 AL 09/03</t>
  </si>
  <si>
    <t>Jose Castillo/Eventual Megatech 03/03 AL 09/03</t>
  </si>
  <si>
    <t>Elvis Valles/Eventual Megatech 03/03 AL 09/03</t>
  </si>
  <si>
    <t>Omar Torrealba/Eventual Megatech 03/03 AL 09/03</t>
  </si>
  <si>
    <t>Carlos Castillo/Eventual Megatech 03/03 AL 09/03</t>
  </si>
  <si>
    <t>Julian Guedez/Eventual Megatech 03/03 AL 09/03</t>
  </si>
  <si>
    <t>Yordis Almao/Eventual Megatech 03/03 AL 09/03</t>
  </si>
  <si>
    <t>Victor Mendez/Eventual Megatech 03/03 AL 09/03</t>
  </si>
  <si>
    <t>Carlos Loyo/Eventual Megatech 03/03 AL 09/03</t>
  </si>
  <si>
    <t>Alberto Loyo/Eventual Megatech 03/03 AL 09/03</t>
  </si>
  <si>
    <t>Alexander Castillo/Eventual Megatech 03/03 AL 09/03</t>
  </si>
  <si>
    <t xml:space="preserve">WILLIAN RIVAS-5 dias/campaña de yeso la semana del 05-03 al 07-03-25  </t>
  </si>
  <si>
    <t xml:space="preserve">Lisandro Milla- bono operador 20$/campaña de yeso la semana del 05-03 al 07-03-25  </t>
  </si>
  <si>
    <t xml:space="preserve">Jeferson Davila- bono operador 20$/campaña de yeso la semana del 05-03 al 07-03-25  </t>
  </si>
  <si>
    <t xml:space="preserve">Ramon Quirogas- bono operador 20$/campaña de yeso la semana del 05-03 al 07-03-25  </t>
  </si>
  <si>
    <t xml:space="preserve">Beatriz Castillo- bono operador 20$/campaña de yeso la semana del 05-03 al 07-03-25  </t>
  </si>
  <si>
    <t>Alirio Parra/Eventual Megatech 03/03 AL 09/03</t>
  </si>
  <si>
    <t>Fareliz Arrieche/Eventual Megatech 03/03 AL 09/03</t>
  </si>
  <si>
    <t>Fares Arrieche/Eventual Megatech 03/03 AL 09/03</t>
  </si>
  <si>
    <t>Norys Ramos/Eventual Megatech 03/03 AL 09/03</t>
  </si>
  <si>
    <t>Emperatriz Leon/Eventual Megatech 03/03 AL 09/03</t>
  </si>
  <si>
    <t>Ingrid Reyes/Eventual Megatech 03/03 AL 09/03</t>
  </si>
  <si>
    <t>MATERIALES SANTA LUCIA/4984/MATERIALES P/MTTO</t>
  </si>
  <si>
    <t>MATERIALES OBRAS GRIS/FACT 246/MATERIALES planta de cemento</t>
  </si>
  <si>
    <t>TALLER AGROINDUSTRIAL MOLI/FACT 2621/Reparación Transmisión Grúa Telescópica de 100 ton</t>
  </si>
  <si>
    <t>GRUPO PARIATA/FACT 481889/Eslingas de izamiento para planta de cemento- Inmediato</t>
  </si>
  <si>
    <t>ISLR/PERIODO FEBRERO 2024</t>
  </si>
  <si>
    <t>02-100325</t>
  </si>
  <si>
    <t>INVER Y SERV/FACT 83/ABO 50%/ESTRUCT METALICA-TOLVA MOLINO</t>
  </si>
  <si>
    <t>TALLER AGROINDUSTRIAL MOLI/FACT 2623/MINERALES - GASTO-Equipo MINI CARGADOR</t>
  </si>
  <si>
    <t xml:space="preserve">JULIO IGLESIAS/FACT433/una paila de aceite para es escavador </t>
  </si>
  <si>
    <t>DIGASMALAR, C.A/FACT 55391/Oxígeno para equipos de oxicorte</t>
  </si>
  <si>
    <t xml:space="preserve">VEVAL SUMINISTROS, C.A/FACT 6253/5 cajas tapaboca 3M, 02 conos grandes para minerales </t>
  </si>
  <si>
    <t>SERVA019</t>
  </si>
  <si>
    <t>GASTOS IMPLEMENTOS DE SEGURIDAD</t>
  </si>
  <si>
    <t>DMASEIN/FACT 213/Planta de cemento - Inversión - sistema de generación de energía</t>
  </si>
  <si>
    <t>FERRETERIA CAMILA/FACT 3174/20 kl electrodos/CANDADOS MINERALES</t>
  </si>
  <si>
    <t>RAUL SANZ/FACT 07/CONCRETO PLEMEZCLADO</t>
  </si>
  <si>
    <t>VENTA DE CONCRETO PLEMEZCLADO</t>
  </si>
  <si>
    <t>COM.PAT SMS-0163 4125907628</t>
  </si>
  <si>
    <t>DR. TORNILLO, C.A/FACT 9566/2897-ORING LINEA 200- MINIRALES EQUIPO MINI CARGADOR</t>
  </si>
  <si>
    <t>GOBERNACION DEL ESTADO YARACUY/EXTRACCION DE GRANZON-2500$</t>
  </si>
  <si>
    <t>08-120325</t>
  </si>
  <si>
    <t xml:space="preserve">CORPORACION ERDS INDUST/FACT 1635/02 regletas de 06 puertos para minerales </t>
  </si>
  <si>
    <t>TALONARIO/GUIAS CIRCULACION/ACARREOS/PLANTA MINERALES</t>
  </si>
  <si>
    <t>08-1203251</t>
  </si>
  <si>
    <t xml:space="preserve">TOTAL TOOLS BQTO/FACT 2306/Taladro eléctrico, Gato de 10ton, Juego de dados,Juegos de llaves en mm para minerales  </t>
  </si>
  <si>
    <t>TIMBRE FISCAL POR REGALIA</t>
  </si>
  <si>
    <t>07-130325</t>
  </si>
  <si>
    <t>TIMBRE FISCAL POR GUIA</t>
  </si>
  <si>
    <t>TRANSPORTE/FACT 54/SERV TRASLADO NIVEL NACIONAL</t>
  </si>
  <si>
    <t>RESGUARDO/FACT 181/ 1ER QNA/MINERALES/TESORO</t>
  </si>
  <si>
    <t>FERRETANQUE`S/FACT 3699/BOMBA  DE 1/2HP PARA MINERALES</t>
  </si>
  <si>
    <t>TRANSPORTE TDC/FACT 59/SERVICIO DE TRASLADO A NIVEL NACIONAL</t>
  </si>
  <si>
    <t>ALEJOS, RODOLFO/BONO COMPL15-03-2025/OPER</t>
  </si>
  <si>
    <t>ALVARADO, EDDY/BONO COMPL15-03-2025/OPER</t>
  </si>
  <si>
    <t>BASTIDAS, JOSE/BONO COMPL15-03-2025/OPER</t>
  </si>
  <si>
    <t>CHIRINOS, RAFAEL/BONO COMPL15-03-2025/OPER</t>
  </si>
  <si>
    <t>GALEANO, FRANCISCO/BONO COMPL15-03-2025/OPER</t>
  </si>
  <si>
    <t>BRACHO, LUIS/BONO COMPL15-03-2025/OPER</t>
  </si>
  <si>
    <t>DAZA, VICTOR/BONO COMPL15-03-2025/OPER</t>
  </si>
  <si>
    <t>GUEDEZ JOSE/BONO COMPL15-03-2025/OPER</t>
  </si>
  <si>
    <t>GARCIA, JASON/BONO COMPL15-03-2025/OPER</t>
  </si>
  <si>
    <t>GUILLEN, LUIS/BONO COMPL15-03-2025/OPER</t>
  </si>
  <si>
    <t>GUTIERREZ, PRESCILIANO/BONO COMPL15-03-2025/OPER</t>
  </si>
  <si>
    <t>GUTIERREZ,RODOLFO/BONO COMPL15-03-2025/ADM</t>
  </si>
  <si>
    <t>LINAREZ, PEDRO/BONO COMPL15-03-2025/OPER</t>
  </si>
  <si>
    <t>LINAREZ, SANTIAGO/BONO COMPL15-03-2025/OPER</t>
  </si>
  <si>
    <t>LOPEZ ,MANOLO/BONO COMPL15-03-2025/ADM</t>
  </si>
  <si>
    <t>PEREZ, ROLANDO/BONO COMPL15-03-2025/OPER</t>
  </si>
  <si>
    <t>MARTINEZ JUAN/BONO COMPL15-03-2025/OPER</t>
  </si>
  <si>
    <t>MANZO, JESMAIYELIT/BONO COMPL15-03-2025/ADM</t>
  </si>
  <si>
    <t>POLANCO, FRANKLIN/BONO COMPL15-03-2025/OPER</t>
  </si>
  <si>
    <t>PEREZ, CARLOS/BONO COMPL15-03-2025/OPER</t>
  </si>
  <si>
    <t>PUERTAS, TEODORO/BONO COMPL15-03-2025/OPER</t>
  </si>
  <si>
    <t>QUERALES ,EDIXON/BONO COMPL15-03-2025/OPER</t>
  </si>
  <si>
    <t>QUERALES, HERMES/BONO COMPL15-03-2025/OPER</t>
  </si>
  <si>
    <t>RANGEL GUSTAVO/BONO COMPL15-03-2025/ADM</t>
  </si>
  <si>
    <t>REVERON, RAMON/BONO COMPL15-03-2025/OPER</t>
  </si>
  <si>
    <t>RAGA NELIDO/BONO COMPL15-03-2025/ADM</t>
  </si>
  <si>
    <t>RIVERO, JORGE/BONO COMPL15-03-2025/OPER</t>
  </si>
  <si>
    <t>RODRIGUEZ ANSONNY/BONO COMPL15-03-2025/OPER</t>
  </si>
  <si>
    <t>RODRIGUEZ, MIGUEL/BONO COMPL15-03-2025/OPER</t>
  </si>
  <si>
    <t>SEGURA ,WAILEN/BONO COMPL15-03-2025/OPER</t>
  </si>
  <si>
    <t>ROJAS MARIA/BONO COMPL15-03-2025/OPER</t>
  </si>
  <si>
    <t>SOTELDO, LUSMAR/BONO COMPL15-03-2025/OPER</t>
  </si>
  <si>
    <t>SUAREZ, RAFAEL/BONO COMPL15-03-2025/OPER</t>
  </si>
  <si>
    <t>VIELMA CARLEN/BONO COMPL15-03-2025/ADM</t>
  </si>
  <si>
    <t>VALLE, GERARDO/BONO COMPL15-03-2025/OPER</t>
  </si>
  <si>
    <t>VETANCOURT, BLIXANDER/BONO COMPL15-03-2025/ADM</t>
  </si>
  <si>
    <t>ALEJOS, RODOLFO/NOMINA 15-03-2025/OPER</t>
  </si>
  <si>
    <t>ZERPA, WISTON/BONO COMPL15-03-2025/OPER</t>
  </si>
  <si>
    <t>ALVARADO, EDDY/NOMINA 15-03-2025/OPER</t>
  </si>
  <si>
    <t>BASTIDAS, JOSE/NOMINA 15-03-2025/OPER</t>
  </si>
  <si>
    <t>BRACHO, LUIS/NOMINA 15-03-2025/OPER</t>
  </si>
  <si>
    <t>CHIRINOS, RAFAEL/NOMINA 15-03-2025/OPER</t>
  </si>
  <si>
    <t>DAZA, VICTOR/NOMINA 15-03-2025/OPER</t>
  </si>
  <si>
    <t>GALEANO, FRANCISCO/NOMINA 15-03-2025/OPER</t>
  </si>
  <si>
    <t>GARCIA, JASON/NOMINA 15-03-2025/OPER</t>
  </si>
  <si>
    <t>ZERPA, WISTON/NOMINA 15-03-2025/OPER</t>
  </si>
  <si>
    <t>GUEDEZ JOSE/NOMINA 15-03-2025/OPER</t>
  </si>
  <si>
    <t>GUILLEN, LUIS/NOMINA 15-03-2025/OPER</t>
  </si>
  <si>
    <t>GUTIERREZ, PRESCILIANO/NOMINA 15-03-2025/OPER</t>
  </si>
  <si>
    <t>GUTIERREZ,RODOLFO/NOMINA 15-03-2025/ADM</t>
  </si>
  <si>
    <t>LINAREZ, PEDRO/NOMINA 15-03-2025/OPER</t>
  </si>
  <si>
    <t>LINAREZ, SANTIAGO/NOMINA 15-03-2025/OPER</t>
  </si>
  <si>
    <t>LOPEZ ,MANOLO/NOMINA 15-03-2025/ADM</t>
  </si>
  <si>
    <t>MANZO, JESMAIYELIT/NOMINA 15-03-2025/ADM</t>
  </si>
  <si>
    <t>MARTINEZ JUAN/NOMINA 15-03-2025/OPER</t>
  </si>
  <si>
    <t>PEREZ, ROLANDO/NOMINA 15-03-2025/OPER</t>
  </si>
  <si>
    <t>PEREZ, CARLOS/NOMINA 15-03-2025/OPER</t>
  </si>
  <si>
    <t>POLANCO, FRANKLIN/NOMINA 15-03-2025/OPER</t>
  </si>
  <si>
    <t>PUERTAS, TEODORO/NOMINA 15-03-2025/OPER</t>
  </si>
  <si>
    <t>QUERALES ,EDIXON/NOMINA 15-03-2025/OPER</t>
  </si>
  <si>
    <t>QUERALES, HERMES/NOMINA 15-03-2025/OPER</t>
  </si>
  <si>
    <t>RANGEL GUSTAVO/NOMINA 15-03-2025/ADM</t>
  </si>
  <si>
    <t>REVERON, RAMON/NOMINA 15-03-2025/OPER</t>
  </si>
  <si>
    <t>RIVERO, JORGE/NOMINA 15-03-2025/OPER</t>
  </si>
  <si>
    <t>RODRIGUEZ ANSONNY/NOMINA 15-03-2025/OPER</t>
  </si>
  <si>
    <t>RODRIGUEZ, MIGUEL/NOMINA 15-03-2025/OPER</t>
  </si>
  <si>
    <t>ROJAS MARIA/NOMINA 15-03-2025/OPER</t>
  </si>
  <si>
    <t>SEGURA ,WAILEN/NOMINA 15-03-2025/OPER</t>
  </si>
  <si>
    <t>SOTELDO, LUSMAR/NOMINA 15-03-2025/OPER</t>
  </si>
  <si>
    <t>SUAREZ, RAFAEL/NOMINA 15-03-2025/OPER</t>
  </si>
  <si>
    <t>VALLE, GERARDO/NOMINA 15-03-2025/OPER</t>
  </si>
  <si>
    <t>VETANCOURT, BLIXANDER/NOMINA 15-03-2025/ADM</t>
  </si>
  <si>
    <t>VIELMA CARLEN/NOMINA 15-03-2025/ADM</t>
  </si>
  <si>
    <t>GIMENEZ,PABLO/NOMINA 15-03-25/OPER</t>
  </si>
  <si>
    <t>REPUESTOS H.R.N/FACT 1597/Valvula de Freno 4 Vías para Grúa Telescópica de 100 Toneladas</t>
  </si>
  <si>
    <t>BALANZA VZLA/FACT 1145/2 Balanza plataforma 200kg- para minerales</t>
  </si>
  <si>
    <t xml:space="preserve">ARRIEDY GARRIDO/FACT 21/análisis MUETSRA/YESO </t>
  </si>
  <si>
    <t>PORTUMANIA/FACT 2355/Sillas para oficina (cementera)</t>
  </si>
  <si>
    <t>HERNCARD CONSTRUCCIONES/FACT 595/ADECUACIO-ARMADO-SISTEM ESCAP-ELECTROGENO</t>
  </si>
  <si>
    <t xml:space="preserve">Corporacion albij shinE/FACT 1728/Requerimientos planta de cemento </t>
  </si>
  <si>
    <t>Multiservicios el Baquero/FACT 0233/Vulcanizacion  Minerales</t>
  </si>
  <si>
    <t>ROBIN IANNELLI./FACT 4973/Valvula check y adaptador macho (Para tanque de suminstro de agua en la bloquera</t>
  </si>
  <si>
    <t>ACOMULADORA DUNCA/FACT 833/Baterias P/Grúa -Telescópica-100 TN (Cemetera)</t>
  </si>
  <si>
    <t>ACOMULADORA DUNCA/FACT 832/Baterias P/camiones KAMAZ  P/compresor ingersol rand  (Minerales)</t>
  </si>
  <si>
    <t>PROCESADA EN MAYO</t>
  </si>
  <si>
    <t>TRANSPORTE Y COMERCIA/FACT 770/papelera y kit marcadores-Requerimientos para sala de reunion Agregados</t>
  </si>
  <si>
    <t xml:space="preserve">FLORICOLOR/FACT 1384/Inversion de Minerales Yaracuy Pintura en general de las instalaciones </t>
  </si>
  <si>
    <t>Jose Castro/fact 000011/Servicio Mensual de Internet Satelital Empresarial-planta cemento</t>
  </si>
  <si>
    <t xml:space="preserve">TOTAL TOOLS/FACT 2356/compra de 50 disco de corte 4, 20 disco de desbaste 4, 20, disco de corte de 7 para minerales </t>
  </si>
  <si>
    <t>SIN FRONTERA RJL/FACT 09/ CONCRETO PREMEZCLADO</t>
  </si>
  <si>
    <t xml:space="preserve">VENTA CONCRETO PREMEZCLADO RC </t>
  </si>
  <si>
    <t>SIN FRONTERA RJL/FACT 09 CONCRETO PREMEZCLADO</t>
  </si>
  <si>
    <t>Brunito Segundo Cordero/Eventual Agregados 17/03 AL 23/03</t>
  </si>
  <si>
    <t>Delios Adolfo Ferrara/Eventual Agregados 17/03 AL 23/03</t>
  </si>
  <si>
    <t>Eliomar Jesús Escalona/Eventual Agregados 17/03 AL 23/03</t>
  </si>
  <si>
    <t>José Guillermo Cortez/Eventual Agregados 17/03 AL 23/03</t>
  </si>
  <si>
    <t>Darwuin Jesús Bullones/Eventual Agregados 17/03 AL 23/03</t>
  </si>
  <si>
    <t>Frank Armando García/Eventual Agregados 17/03 AL 23/03</t>
  </si>
  <si>
    <t>Alberto Luis Rojas/Eventual Agregados 17/03 AL 23/03</t>
  </si>
  <si>
    <t>Naiker Alexander Jimenez/Eventual Agregados 17/03 AL 23/03</t>
  </si>
  <si>
    <t>José Gregorio Perez/Eventual Agregados 17/03 AL 23/03</t>
  </si>
  <si>
    <t>Carlos Daniel Rodriguez/Eventual Agregados 17/03 AL 23/03</t>
  </si>
  <si>
    <t>Alejandro Morales/Eventual Agregados 17/03 AL 23/03</t>
  </si>
  <si>
    <t>Euber José Juarez/Eventual Agregados 17/03 AL 23/03</t>
  </si>
  <si>
    <t>Ali Alberto Bullones/Eventual Agregados 17/03 AL 23/03</t>
  </si>
  <si>
    <t>Alberto Ali Bullones/Eventual Agregados 17/03 AL 23/03</t>
  </si>
  <si>
    <t>Fernando José Rodriguez/Eventual Agregados 17/03 AL 23/03</t>
  </si>
  <si>
    <t>Fareliz Arrieche/Eventual Gobernacion 17/03 AL 23/03</t>
  </si>
  <si>
    <t>Bruno Ali Cordero Bullones/Eventual Agregados 17/03 AL 23/03</t>
  </si>
  <si>
    <t>Federico Faneite/Eventual Gobernacion 17/03 AL 23/03</t>
  </si>
  <si>
    <t>Henrry Valera/Eventual Gobernacion 17/03 AL 23/03</t>
  </si>
  <si>
    <t>Justiniano Rodriguez/Eventual Agregados 17/03 AL 23/03</t>
  </si>
  <si>
    <t>Armando Lopez /Eventual Agregados 17/03 AL 23/03</t>
  </si>
  <si>
    <t>Froilan Lopez/Eventual Agregados 17/03 AL 23/03</t>
  </si>
  <si>
    <t>Ramón Quintero/Eventual Agregados 17/03 AL 23/03</t>
  </si>
  <si>
    <t>Juan López/Eventual Agregados 17/03 AL 23/03</t>
  </si>
  <si>
    <t>Jesus Ramos/Eventual Gobernacion 17/03 AL 23/03</t>
  </si>
  <si>
    <t>Exson Rodriguez/Eventual Gobernacion 17/03 AL 23/03</t>
  </si>
  <si>
    <t>Douglas Pimentel/Eventual Gobernacion 17/03 AL 23/03</t>
  </si>
  <si>
    <t>Pedro Castillo/Eventual Gobernacion 17/03 AL 23/03</t>
  </si>
  <si>
    <t>Miguel Torres/Eventual Gobernacion 17/03 AL 23/03</t>
  </si>
  <si>
    <t>Wendy Gimenez/Eventual Gobernacion 17/03 AL 23/03</t>
  </si>
  <si>
    <t>Nicolas Alvarez/Eventual Gobernacion 17/03 AL 23/03</t>
  </si>
  <si>
    <t>Rafael Puertas/Eventual Gobernacion 17/03 AL 23/03</t>
  </si>
  <si>
    <t>Carlos Pacheco/Eventual Gobernacion 17/03 AL 23/03</t>
  </si>
  <si>
    <t>Andrés Armella/Eventual Gobernacion 17/03 AL 23/03</t>
  </si>
  <si>
    <t>Jose Toledo/Eventual Gobernacion 17/03 AL 23/03</t>
  </si>
  <si>
    <t>Juan Pinto/Eventual Gobernacion 17/03 AL 23/03</t>
  </si>
  <si>
    <t>Edwin Rojas/Eventual Gobernacion 17/03 AL 23/03</t>
  </si>
  <si>
    <t>Alirio Parra/Eventual Gobernacion 17/03 AL 23/03</t>
  </si>
  <si>
    <t>Angel Caldera/Eventual Gobernacion 17/03 AL 23/03</t>
  </si>
  <si>
    <t>Carlos Lopez/Eventual Agregados 17/03 AL 23/03</t>
  </si>
  <si>
    <t>Rafael Quiroz/Eventual Gobernacion 17/03 AL 23/03</t>
  </si>
  <si>
    <t>Hector/Eventual Gobernacion 17/03 AL 23/03</t>
  </si>
  <si>
    <t>Estebez Maramara/Eventual Agregados 17/03 AL 23/03</t>
  </si>
  <si>
    <t>Luis Silveiro Colon Ojeda/Eventual Agregados 17/03 AL 23/03</t>
  </si>
  <si>
    <t>Norys Ramos/Eventual Gobernacion 17/03 AL 23/03</t>
  </si>
  <si>
    <t>Yonny Castillo/Eventual Megatech 17/03 AL 23/03</t>
  </si>
  <si>
    <t>Walner Oviedo/Eventual Megatech 17/03 AL 23/03</t>
  </si>
  <si>
    <t>Argenis Flores/Eventual Megatech 17/03 AL 23/03</t>
  </si>
  <si>
    <t>Francisco Castillo/Eventual Megatech 17/03 AL 23/03</t>
  </si>
  <si>
    <t>Antonio Castillo/Eventual Megatech 17/03 AL 23/03</t>
  </si>
  <si>
    <t>Pitter Puerta/Eventual Megatech 17/03 AL 23/03</t>
  </si>
  <si>
    <t>Jose Guevara/Eventual Megatech 17/03 AL 23/03</t>
  </si>
  <si>
    <t>Elvis Valles/Eventual Megatech 17/03 AL 23/03</t>
  </si>
  <si>
    <t>Jose Castillo/Eventual Megatech 17/03 AL 23/03</t>
  </si>
  <si>
    <t>Omar Torrealba/Eventual Megatech 17/03 AL 23/03</t>
  </si>
  <si>
    <t>Julian Guedez/Eventual Megatech 17/03 AL 23/03</t>
  </si>
  <si>
    <t>Carlos Castillo/Eventual Megatech 17/03 AL 23/03</t>
  </si>
  <si>
    <t>Yordis Almao/Eventual Megatech 17/03 AL 23/03</t>
  </si>
  <si>
    <t>Victor Mendez/Eventual Megatech 17/03 AL 23/03</t>
  </si>
  <si>
    <t>Carlos Loyo/Eventual Megatech 17/03 AL 23/03</t>
  </si>
  <si>
    <t>Alberto Loyo/Eventual Megatech 17/03 AL 23/03</t>
  </si>
  <si>
    <t>Alexander Castillo/Eventual Megatech 17/03 AL 23/03</t>
  </si>
  <si>
    <t>Edwuard Almeida/Eventual Megatech 17/03 AL 23/03</t>
  </si>
  <si>
    <t>Yerry Rodríguez/Eventual Megatech 17/03 AL 23/03</t>
  </si>
  <si>
    <t>Alirio Parra/Eventual Megatech 17/03 AL 23/03</t>
  </si>
  <si>
    <t>Fareliz Arrieche/Eventual Megatech 17/03 AL 23/03</t>
  </si>
  <si>
    <t>Emperatriz Leon/Eventual Megatech 17/03 AL 23/03</t>
  </si>
  <si>
    <t>Elio Malpica/Eventual Megatech 17/03 AL 23/03</t>
  </si>
  <si>
    <t>Norys Ramos/Eventual Megatech 17/03 AL 23/03</t>
  </si>
  <si>
    <t>Fares Arrieche/Eventual Megatech 17/03 AL 23/03</t>
  </si>
  <si>
    <t>Ruben Rivas/Eventual Megatech 17/03 AL 23/03</t>
  </si>
  <si>
    <t>Ingrid Reyes/Eventual Megatech 17/03 AL 23/03</t>
  </si>
  <si>
    <t>Ebenezer El Anca/pago peaje -14 mts de Arena/Granzon para el grupo Ebenezer en un sitio llamado el Anca-Minerales AB- inmediato</t>
  </si>
  <si>
    <t>11-240325</t>
  </si>
  <si>
    <t>FERRE LOS CEPEDAS/FACT 3734/Inversion Pintura general para Mineras Yaracuy</t>
  </si>
  <si>
    <t xml:space="preserve">HUMBERTO FRANCO/FACT 187/LLENADO TANQUE-AUTOMAT-5MIL LTS </t>
  </si>
  <si>
    <t>ALIMENTOS AGRO/FACT25536/BENEFICIO CORRES MES MAZO</t>
  </si>
  <si>
    <t>SERVC012E</t>
  </si>
  <si>
    <t>BENEFICIO ALIMENTICIO</t>
  </si>
  <si>
    <t xml:space="preserve"> MATER/FACT 13/VENTA ARENA CERNIDA</t>
  </si>
  <si>
    <t>VENTA ARENA CERNIDA</t>
  </si>
  <si>
    <t>MATER/FACT 14/VENTA ARENA CERNIDA</t>
  </si>
  <si>
    <t>COMERCIAL GLOBAL IMP/FACT 29/repuestos de alternador de la cernidora de arena</t>
  </si>
  <si>
    <t>MATER/FACT 15/VENTA ARENA CERNIDA</t>
  </si>
  <si>
    <t>MATERIALES PARRAS/FACT 741/Llaves/estrias MTTO/trompos premezclado (Minerales)</t>
  </si>
  <si>
    <t>DISTRIBUIDORA DIAR/FACT659/aceites/hidráulico P/tractor/calizas Shantui-motor/Camión Kamaz/reparación</t>
  </si>
  <si>
    <t>DIAR/FACT 648/relay-Para el excavador del yeso</t>
  </si>
  <si>
    <t xml:space="preserve">INTERELECTRONIC/FACT 373/Inver/instalac grales/Minerales Yaracuy </t>
  </si>
  <si>
    <t>FERREBOMBA 38/FACT 1682/Bomba centrifuga P/ tanque BAÑOS (minerales)</t>
  </si>
  <si>
    <t>DIOSANNY/FACT 220/ALBERTO PERNALETTE/FACT 09/ correspondientes a la semana del 24/03 al 28/03/25 campaña de yesos Camunare</t>
  </si>
  <si>
    <t>ROLANDO BAQUERO/FACT 0234/REP CAUCHO TROMPO MACK</t>
  </si>
  <si>
    <t>GASTOS MANTENIMIENTO CAMIONES/MANO DE O</t>
  </si>
  <si>
    <t>MATERIALES E INSUMOS VZLA/FACT 16/</t>
  </si>
  <si>
    <t>COMERCIALIZDORA/INVERSION DE CAPITAL/TESORO</t>
  </si>
  <si>
    <t>Electrica 2003/FACT 3461/Inv HERRAM P/USO GERAL MINERALES YARACUY</t>
  </si>
  <si>
    <t>RESGUARDO/FACT 187/SERV VIG 2DA QNA MARZO</t>
  </si>
  <si>
    <t>RANGEL GUSTAVO/BONO ADICIONAL 31-03-2025/ADM</t>
  </si>
  <si>
    <t>RODRIGUEZ, MIGUEL/BONO ADICIONAL 31-03-2025/OPER</t>
  </si>
  <si>
    <t>VIELMA CARLEN/BONO ADICIONAL 31-03-2025/ADM</t>
  </si>
  <si>
    <t>RANGEL GUSTAVO/CESTA TICKET MARZO/ADM</t>
  </si>
  <si>
    <t>REVERON, RAMON/CESTA TICKET MARZO/OPER</t>
  </si>
  <si>
    <t>PEREZ, ROLANDO/CESTA TICKET MARZO/OPER</t>
  </si>
  <si>
    <t>ZERPA, WISTON/CESTA TICKET MARZO/OPER</t>
  </si>
  <si>
    <t>PUERTAS, TEODORO/CESTA TICKET MARZO/OPER</t>
  </si>
  <si>
    <t>GUILLEN, LUIS/CESTA TICKET MARZO/OPER</t>
  </si>
  <si>
    <t>LOPEZ ,MANOLO/CESTA TICKET MARZO/ADM</t>
  </si>
  <si>
    <t>SEGURA ,WAILEN/CESTA TICKET MARZO/OPER</t>
  </si>
  <si>
    <t>MARTINEZ JUAN/CESTA TICKET MARZO/OPER</t>
  </si>
  <si>
    <t>GARCIA, JASON/CESTA TICKET MARZO/OPER</t>
  </si>
  <si>
    <t>PEREZ, CARLOS/CESTA TICKET MARZO/OPER</t>
  </si>
  <si>
    <t>ALVARADO, EDDY/CESTA TICKET MARZO/OPER</t>
  </si>
  <si>
    <t>LINAREZ, PEDRO/CESTA TICKET MARZO/OPER</t>
  </si>
  <si>
    <t>GUTIERREZ, PRESCILIANO/CESTA TICKET MARZO/OPER</t>
  </si>
  <si>
    <t>VIELMA CARLEN/CESTA TICKET MARZO/ADM</t>
  </si>
  <si>
    <t>NOGUERA, OSCAR/BONO ADICIONAL 31-03-2025/OPER</t>
  </si>
  <si>
    <t>GUEDEZ JOSE/CESTA TICKET MARZO/OPER</t>
  </si>
  <si>
    <t>MANZO, JESMAIYELIT/CESTA TICKET MARZO/ADM</t>
  </si>
  <si>
    <t>RAGA NELIDO/CESTA TICKET MARZO/ADM</t>
  </si>
  <si>
    <t>SUAREZ, RAFAEL/CESTA TICKET MARZO/OPER</t>
  </si>
  <si>
    <t>RIVERO, JORGE/CESTA TICKET MARZO/OPER</t>
  </si>
  <si>
    <t>VETANCOURT, BLIXANDER/CESTA TICKET MARZO/ADM</t>
  </si>
  <si>
    <t>RODRIGUEZ, MIGUEL/CESTA TICKET MARZO/OPER</t>
  </si>
  <si>
    <t>RODRIGUEZ ANSONNY/CESTA TICKET MARZO/OPER</t>
  </si>
  <si>
    <t>SOTELDO, LUSMAR/CESTA TICKET MARZO/OPER</t>
  </si>
  <si>
    <t>POLANCO, FRANKLIN/CESTA TICKET MARZO/OPER</t>
  </si>
  <si>
    <t>ROJAS MARIA/CESTA TICKET MARZO/OPER</t>
  </si>
  <si>
    <t>QUERALES ,EDIXON/CESTA TICKET MARZO/OPER</t>
  </si>
  <si>
    <t>QUERALES, HERMES/CESTA TICKET MARZO/OPER</t>
  </si>
  <si>
    <t>VALLE, GERARDO/CESTA TICKET MARZO/OPER</t>
  </si>
  <si>
    <t>LINAREZ, SANTIAGO/CESTA TICKET MARZO/OPER</t>
  </si>
  <si>
    <t>CHIRINOS, RAFAEL/CESTA TICKET MARZO/OPER</t>
  </si>
  <si>
    <t>ALEJOS, RODOLFO/NOMINA 31-03-2025/OPER</t>
  </si>
  <si>
    <t>GALEANO, FRANCISCO/CESTA TICKET MARZO/OPER</t>
  </si>
  <si>
    <t>ALEJOS, RODOLFO/CESTA TICKET MARZO/OPER</t>
  </si>
  <si>
    <t>ALVARADO, EDDY/NOMINA 31-03-2025/OPER</t>
  </si>
  <si>
    <t>CHIRINOS, RAFAEL/NOMINA 31-03-2025/OPER</t>
  </si>
  <si>
    <t>DAZA, VICTOR/NOMINA 31-03-2025/OPER</t>
  </si>
  <si>
    <t>GALEANO, FRANCISCO/NOMINA 31-03-2025/OPER</t>
  </si>
  <si>
    <t>GARCIA, JASON/NOMINA 31-03-2025/OPER</t>
  </si>
  <si>
    <t>GUEDEZ JOSE/NOMINA 31-03-2025/OPER</t>
  </si>
  <si>
    <t>GUTIERREZ, PRESCILIANO/NOMINA 31-03-2025/OPER</t>
  </si>
  <si>
    <t>LINAREZ, PEDRO/NOMINA 31-03-2025/OPER</t>
  </si>
  <si>
    <t>LINAREZ, SANTIAGO/NOMINA 31-03-2025/OPER</t>
  </si>
  <si>
    <t>LOPEZ ,MANOLO/NOMINA 31-03-2025/ADM</t>
  </si>
  <si>
    <t>MANZO, JESMAIYELIT/NOMINA 31-03-2025/ADM</t>
  </si>
  <si>
    <t>MARTINEZ JUAN/NOMINA 31-03-2025/OPER</t>
  </si>
  <si>
    <t>NOGUERA, OSCAR/NOMINA 31-03-2025/OPER</t>
  </si>
  <si>
    <t>PEREZ, CARLOS/NOMINA 31-03-2025/OPER</t>
  </si>
  <si>
    <t>PEREZ, ROLANDO/NOMINA 31-03-2025/OPER</t>
  </si>
  <si>
    <t>POLANCO, FRANKLIN/NOMINA 31-03-2025/OPER</t>
  </si>
  <si>
    <t>PUERTAS, TEODORO/NOMINA 31-03-2025/OPER</t>
  </si>
  <si>
    <t>QUERALES ,EDIXON/NOMINA 31-03-2025/OPER</t>
  </si>
  <si>
    <t>QUERALES, HERMES/NOMINA 31-03-2025/OPER</t>
  </si>
  <si>
    <t>RAGA NELIDO/NOMINA 31-03-2025/ADM</t>
  </si>
  <si>
    <t>RANGEL GUSTAVO/NOMINA 31-03-2025/ADM</t>
  </si>
  <si>
    <t>REVERON, RAMON/NOMINA 31-03-2025/OPER</t>
  </si>
  <si>
    <t>RIVERO, JORGE/NOMINA 31-03-2025/OPER</t>
  </si>
  <si>
    <t>RODRIGUEZ ANSONNY/NOMINA 31-03-2025/OPER</t>
  </si>
  <si>
    <t>RODRIGUEZ, MIGUEL/NOMINA 31-03-2025/OPER</t>
  </si>
  <si>
    <t>ROJAS MARIA/NOMINA 31-03-2025/OPER</t>
  </si>
  <si>
    <t>SEGURA ,WAILEN/NOMINA 31-03-2025/OPER</t>
  </si>
  <si>
    <t>SOTELDO, LUSMAR/NOMINA 31-03-2025/OPER</t>
  </si>
  <si>
    <t>SUAREZ, RAFAEL/NOMINA 31-03-2025/OPER</t>
  </si>
  <si>
    <t>VETANCOURT, BLIXANDER/NOMINA 31-03-2025/ADM</t>
  </si>
  <si>
    <t>ALEJOS, RODOLFO/BONO COMPLE 31-03-2025/OPER</t>
  </si>
  <si>
    <t>VIELMA CARLEN/NOMINA 31-03-2025/ADM</t>
  </si>
  <si>
    <t>ZERPA, WISTON/NOMINA 31-03-2025/OPER</t>
  </si>
  <si>
    <t>ALVARADO, EDDY/BONO COMPLE 31-03-2025/OPER</t>
  </si>
  <si>
    <t>CHIRINOS, RAFAEL/BONO COMPLE 31-03-2025/OPER</t>
  </si>
  <si>
    <t>DAZA, VICTOR/BONO COMPLE 31-03-2025/OPER</t>
  </si>
  <si>
    <t>GALEANO, FRANCISCO/BONO COMPLE 31-03-2025/OPER</t>
  </si>
  <si>
    <t>GARCIA, JASON/BONO COMPLE 31-03-2025/OPER</t>
  </si>
  <si>
    <t>GUEDEZ JOSE/BONO COMPLE 31-03-2025/OPER</t>
  </si>
  <si>
    <t>GUILLEN, LUIS/BONO COMPLE 31-03-2025/OPER</t>
  </si>
  <si>
    <t>GUTIERREZ, PRESCILIANO/BONO COMPLE 31-03-2025/OPER</t>
  </si>
  <si>
    <t>LINAREZ, PEDRO/BONO COMPLE 31-03-2025/OPER</t>
  </si>
  <si>
    <t>LINAREZ, SANTIAGO/BONO COMPLE 31-03-2025/OPER</t>
  </si>
  <si>
    <t>LOPEZ ,MANOLO/BONO COMPLE 31-03-2025/ADM</t>
  </si>
  <si>
    <t>MARTINEZ JUAN/BONO COMPLE 31-03-2025/OPER</t>
  </si>
  <si>
    <t>NOGUERA, OSCAR/BONO COMPLE 31-03-2025/OPER</t>
  </si>
  <si>
    <t>PEREZ, CARLOS/BONO COMPLE 31-03-2025/OPER</t>
  </si>
  <si>
    <t>MANZO, JESMAIYELIT/BONO COMPLE 31-03-2025/ADM</t>
  </si>
  <si>
    <t>PEREZ, ROLANDO/BONO COMPLE 31-03-2025/OPER</t>
  </si>
  <si>
    <t>POLANCO, FRANKLIN/BONO COMPLE 31-03-2025/OPER</t>
  </si>
  <si>
    <t>PUERTAS, TEODORO/BONO COMPLE 31-03-2025/OPER</t>
  </si>
  <si>
    <t>QUERALES ,EDIXON/BONO COMPLE 31-03-2025/OPER</t>
  </si>
  <si>
    <t>ROJAS MARIA/BONO COMPLE 31-03-2025/OPER</t>
  </si>
  <si>
    <t>QUERALES, HERMES/BONO COMPLE 31-03-2025/OPER</t>
  </si>
  <si>
    <t>RAGA NELIDO/BONO COMPLE 31-03-2025/ADM</t>
  </si>
  <si>
    <t>RANGEL GUSTAVO/BONO COMPLE 31-03-2025/ADM</t>
  </si>
  <si>
    <t>REVERON, RAMON/BONO COMPLE 31-03-2025/OPER</t>
  </si>
  <si>
    <t>RIVERO, JORGE/BONO COMPLE 31-03-2025/OPER</t>
  </si>
  <si>
    <t>RODRIGUEZ ANSONNY/BONO COMPLE 31-03-2025/OPER</t>
  </si>
  <si>
    <t>RODRIGUEZ, MIGUEL/BONO COMPLE 31-03-2025/OPER</t>
  </si>
  <si>
    <t>SEGURA ,WAILEN/BONO COMPLE 31-03-2025/OPER</t>
  </si>
  <si>
    <t>SOTELDO, LUSMAR/BONO COMPLE 31-03-2025/OPER</t>
  </si>
  <si>
    <t>SUAREZ, RAFAEL/BONO COMPLE 31-03-2025/OPER</t>
  </si>
  <si>
    <t>VALLE, GERARDO/BONO COMPLE 31-03-2025/OPER</t>
  </si>
  <si>
    <t>VETANCOURT, BLIXANDER/BONO COMPLE 31-03-2025/ADM</t>
  </si>
  <si>
    <t>REVERON, RAMON/BONO SUBSIDIO 31-03-2025/OPER</t>
  </si>
  <si>
    <t>VIELMA CARLEN/BONO COMPLE 31-03-2025/ADM</t>
  </si>
  <si>
    <t>ZERPA, WISTON/BONO COMPLE 31-03-2025/OPER</t>
  </si>
  <si>
    <t>PUERTAS, TEODORO/BONO SUBSIDIO 31-03-2025/OPER</t>
  </si>
  <si>
    <t>RANGEL GUSTAVO/BONO SUBSIDIO 31-03-2025/ADM</t>
  </si>
  <si>
    <t>GUILLEN, LUIS/BONO SUBSIDIO 31-03-2025/OPER</t>
  </si>
  <si>
    <t>MARTINEZ JUAN/BONO SUBSIDIO 31-03-2025/OPER</t>
  </si>
  <si>
    <t>ZERPA, WISTON/BONO SUBSIDIO 31-03-2025/OPER</t>
  </si>
  <si>
    <t>SEGURA ,WAILEN/BONO SUBSIDIO 31-03-2025/OPER</t>
  </si>
  <si>
    <t>GARCIA, JASON/BONO SUBSIDIO 31-03-2025/OPER</t>
  </si>
  <si>
    <t>PEREZ, CARLOS/BONO SUBSIDIO 31-03-2025/OPER</t>
  </si>
  <si>
    <t>LINAREZ, PEDRO/BONO SUBSIDIO 31-03-2025/OPER</t>
  </si>
  <si>
    <t>VIELMA CARLEN/BONO SUBSIDIO 31-03-2025/ADM</t>
  </si>
  <si>
    <t>MANZO, JESMAIYELIT/BONO SUBSIDIO 31-03-2025/ADM</t>
  </si>
  <si>
    <t>GUTIERREZ, PRESCILIANO/BONO SUBSIDIO 31-03-2025/OPER</t>
  </si>
  <si>
    <t>RAGA NELIDO/BONO SUBSIDIO 31-03-2025/ADM</t>
  </si>
  <si>
    <t>SUAREZ, RAFAEL/BONO SUBSIDIO 31-03-2025/OPER</t>
  </si>
  <si>
    <t>RODRIGUEZ, MIGUEL/BONO SUBSIDIO 31-03-2025/OPER</t>
  </si>
  <si>
    <t>RIVERO, JORGE/BONO SUBSIDIO 31-03-2025/OPER</t>
  </si>
  <si>
    <t>VETANCOURT, BLIXANDER/BONO SUBSIDIO 31-03-2025/ADM</t>
  </si>
  <si>
    <t>VALLE, GERARDO/BONO SUBSIDIO 31-03-2025/OPER</t>
  </si>
  <si>
    <t>LINAREZ, SANTIAGO/BONO SUBSIDIO 31-03-2025/OPER</t>
  </si>
  <si>
    <t>CHIRINOS, RAFAEL/BONO SUBSIDIO 31-03-2025/OPER</t>
  </si>
  <si>
    <t>GALEANO, FRANCISCO/BONO SUBSIDIO 31-03-2025/OPER</t>
  </si>
  <si>
    <t>ALEJOS, RODOLFO/BONO SUBSIDIO 31-03-2025/OPER</t>
  </si>
  <si>
    <t>JOSE ARRIETA/BONIFICACION ESPECIAL GOBERNACION MES DE MARZO</t>
  </si>
  <si>
    <t>DAZA, VICTOR/BONO SUBSIDIO 31-03-2025/OPER</t>
  </si>
  <si>
    <t>CARLOS RODRIGUEZ/BONIFICACION ESPECIAL GOBERNACION MES DE MARZO</t>
  </si>
  <si>
    <t>ARMANDO VILLEGA/BONIFICACION ESPECIAL GOBERNACION MES DE MARZO</t>
  </si>
  <si>
    <t>NOGUERA, OSCAR/CESTAT TICKET MARZO</t>
  </si>
  <si>
    <t>DAZA, VICTOR/CESTA TICKET MARZO/OPER</t>
  </si>
  <si>
    <t>BASTIDA, JOSE/CESTA TICKET MARZO/OPER</t>
  </si>
  <si>
    <t>BRACHO LUIS/CESTA TICKET MARZO/OPER</t>
  </si>
  <si>
    <t>GIMENEZ, PABLO/NOMINA BONO COMB BONO SUBSIDIO CESTA TICKET MARZO-31-03-2025/OPER</t>
  </si>
  <si>
    <t xml:space="preserve"> EDUAR MARTINEZ/FACT 17/ARENA CERNIDA</t>
  </si>
  <si>
    <t>Federico Faneite/Eventual Gobernacion 24/03 al 30/03</t>
  </si>
  <si>
    <t>OLGA OROZCO/PAGO RESIDENCIA OPERADOR</t>
  </si>
  <si>
    <t>45-280325</t>
  </si>
  <si>
    <t>Henrry Valera/Eventual Gobernacion 24/03 al 30/03</t>
  </si>
  <si>
    <t>Hector/Eventual Gobernacion 24/03 al 30/03</t>
  </si>
  <si>
    <t>ALBERTO PERNALETTE/FACT 009/VIATICOS MES DE MARZO</t>
  </si>
  <si>
    <t xml:space="preserve">FREDDY MENDOZA/CAMPAÑA YESO SEMANA  24-03 al 28-03-25  </t>
  </si>
  <si>
    <t>ELIA MENDOZA/CAMPAÑA YESO 24-03 AL 28-03</t>
  </si>
  <si>
    <t>LEONARDO CHIRINO/OPERADOR CAMPAÑA YESO 24-03 AL 28-03</t>
  </si>
  <si>
    <t>JEFFERSON DAVILA/OPERADOR CAMPAÑA YESO 24-03 AL 28-03</t>
  </si>
  <si>
    <t>ROBERT ARIAS/OPERADOR CAMPAÑA YESO 24-03 AL 28-03</t>
  </si>
  <si>
    <t>DIOSANNY ALVAREZ/FACT 219/CONSUMO/COMIDA 24/03 AL 28/03</t>
  </si>
  <si>
    <t>RAMON QUIROGAS/OPERADOR CAMPAÑA YESO 24-03 AL 28-03</t>
  </si>
  <si>
    <t>Construcciones e inversiones 24/FACT 07/INST TECHO-CANALES GALPON GENERADORES</t>
  </si>
  <si>
    <t>VZLANO PESAJE VEINPECA/FACT 13017/SERV METROLOGICO AJUSTE CERO-TOLVA</t>
  </si>
  <si>
    <t>Edwuard Almeida/Eventual Megatech 24/03 al 30/03</t>
  </si>
  <si>
    <t>Julian Castillo -5 dias/CAMPAÑA DE YESO 24/03 AL 28/03</t>
  </si>
  <si>
    <t>BEATRIZ CASTILLO/OPERADOR CAMPAÑA YESO 24-03 AL 28-03</t>
  </si>
  <si>
    <t>Brunito Segundo Cordero/Eventual Agregados 24/03 al 30/03</t>
  </si>
  <si>
    <t>Delios Adolfo Ferrara/Eventual Agregados 24/03 al 30/03</t>
  </si>
  <si>
    <t>Eliomar Jesús Escalona/Eventual Agregados 24/03 al 30/03</t>
  </si>
  <si>
    <t>José Guillermo Cortez/Eventual Agregados 24/03 al 30/03</t>
  </si>
  <si>
    <t>Darwuin Jesús Bullones/Eventual Agregados 24/03 al 30/03</t>
  </si>
  <si>
    <t>Frank Armando García/Eventual Agregados 24/03 al 30/03</t>
  </si>
  <si>
    <t>Alberto Luis Rojas/Eventual Agregados 24/03 al 30/03</t>
  </si>
  <si>
    <t>Naiker Alexander Jimenez/Eventual Agregados 24/03 al 30/03</t>
  </si>
  <si>
    <t>José Gregorio Perez/Eventual Agregados 24/03 al 30/03</t>
  </si>
  <si>
    <t>Carlos Daniel Rodriguez/Eventual Agregados 24/03 al 30/03</t>
  </si>
  <si>
    <t>Alejandro Morales/Eventual Agregados 24/03 al 30/03</t>
  </si>
  <si>
    <t>Euber José Juarez/Eventual Agregados 24/03 al 30/03</t>
  </si>
  <si>
    <t>Ali Alberto Bullones/Eventual Agregados 24/03 al 30/03</t>
  </si>
  <si>
    <t>Alberto Ali Bullones/Eventual Agregados 24/03 al 30/03</t>
  </si>
  <si>
    <t>Fernando José Rodriguez/Eventual Agregados 24/03 al 30/03</t>
  </si>
  <si>
    <t>Bruno Ali Cordero Bullones/Eventual Agregados 24/03 al 30/03</t>
  </si>
  <si>
    <t>Justiniano Rodriguez/Eventual Agregados 24/03 al 30/03</t>
  </si>
  <si>
    <t>Fareliz Arrieche/Eventual Gobernacion 24/03 al 30/03</t>
  </si>
  <si>
    <t>Armando Lopez /Eventual Agregados 24/03 al 30/03</t>
  </si>
  <si>
    <t>Froilan Lopez/Eventual Agregados 24/03 al 30/03</t>
  </si>
  <si>
    <t>Alirio Parra/Eventual Gobernacion 24/03 al 30/03</t>
  </si>
  <si>
    <t>Ramón Quintero/Eventual Agregados 24/03 al 30/03</t>
  </si>
  <si>
    <t>Juan López/Eventual Agregados 24/03 al 30/03</t>
  </si>
  <si>
    <t>Luis Silveiro Colon Ojeda/Eventual Agregados 24/03 al 30/03</t>
  </si>
  <si>
    <t>Exson Rodriguez/Eventual Gobernacion 24/03 al 30/03</t>
  </si>
  <si>
    <t>Douglas Pimentel/Eventual Gobernacion 24/03 al 30/03</t>
  </si>
  <si>
    <t>Miguel Torres/Eventual Gobernacion 24/03 al 30/03</t>
  </si>
  <si>
    <t>Jesus Ramos/Eventual Gobernacion 24/03 al 30/03</t>
  </si>
  <si>
    <t>Wendy Gimenez/Eventual Gobernacion 24/03 al 30/03</t>
  </si>
  <si>
    <t>Yonny Castillo/Eventual Megatech 24/03 al 30/03</t>
  </si>
  <si>
    <t>Nicolas Alvarez/Eventual Gobernacion 24/03 al 30/03</t>
  </si>
  <si>
    <t>Rafael Puertas/Eventual Gobernacion 24/03 al 30/03</t>
  </si>
  <si>
    <t>Carlos Pacheco/Eventual Gobernacion 24/03 al 30/03</t>
  </si>
  <si>
    <t>Carlos Lopez/Eventual Agregados 24/03 al 30/03</t>
  </si>
  <si>
    <t>Andrés Armella/Eventual Gobernacion 24/03 al 30/03</t>
  </si>
  <si>
    <t>Alirio Parra/Eventual Megatech 24/03 al 30/03</t>
  </si>
  <si>
    <t>Jose Toledo/Eventual Gobernacion 24/03 al 30/03</t>
  </si>
  <si>
    <t>Angel Caldera/Eventual Gobernacion 24/03 al 30/03</t>
  </si>
  <si>
    <t>Juan Pinto/Eventual Gobernacion 24/03 al 30/03</t>
  </si>
  <si>
    <t>Edwin Rojas/Eventual Gobernacion 24/03 al 30/03</t>
  </si>
  <si>
    <t>Estebez Maramara/Eventual Agregados 24/03 al 30/03</t>
  </si>
  <si>
    <t>Fares Arrieche/Eventual Megatech 24/03 al 30/03</t>
  </si>
  <si>
    <t>Norys Ramos/Eventual Gobernacion 24/03 al 30/03</t>
  </si>
  <si>
    <t>Rafael Quiroz/Eventual Gobernacion 24/03 al 30/03</t>
  </si>
  <si>
    <t>Norys Ramos/Eventual Megatech 24/03 al 30/03</t>
  </si>
  <si>
    <t>Argenis Flores/Eventual Megatech 24/03 al 30/03</t>
  </si>
  <si>
    <t>Pitter Puerta/Eventual Megatech 24/03 al 30/03</t>
  </si>
  <si>
    <t>Walner Oviedo/Eventual Megatech 24/03 al 30/03</t>
  </si>
  <si>
    <t>Francisco Castillo/Eventual Megatech 24/03 al 30/03</t>
  </si>
  <si>
    <t>Antonio Castillo/Eventual Megatech 24/03 al 30/03</t>
  </si>
  <si>
    <t>Jose Guevara/Eventual Megatech 24/03 al 30/03</t>
  </si>
  <si>
    <t>Jose Castillo/Eventual Megatech 24/03 al 30/03</t>
  </si>
  <si>
    <t>Elvis Valles/Eventual Megatech 24/03 al 30/03</t>
  </si>
  <si>
    <t>Omar Torrealba/Eventual Megatech 24/03 al 30/03</t>
  </si>
  <si>
    <t>Carlos Castillo/Eventual Megatech 24/03 al 30/03</t>
  </si>
  <si>
    <t>Julian Guedez/Eventual Megatech 24/03 al 30/03</t>
  </si>
  <si>
    <t>Yordis Almao/Eventual Megatech 24/03 al 30/03</t>
  </si>
  <si>
    <t>Victor Mendez/Eventual Megatech 24/03 al 30/03</t>
  </si>
  <si>
    <t>Carlos Loyo/Eventual Megatech 24/03 al 30/03</t>
  </si>
  <si>
    <t>Alberto Loyo/Eventual Megatech 24/03 al 30/03</t>
  </si>
  <si>
    <t>Alexander Castillo/Eventual Megatech 24/03 al 30/03</t>
  </si>
  <si>
    <t>PEDRO CASTILLO/EVENTUAL GOBERNACION 24/03 AL 30/03</t>
  </si>
  <si>
    <t>MULTISERVICIOS ARW/FACT 2099/MANTENIMIENTO VEHICULO GERENTE</t>
  </si>
  <si>
    <t>Yerry Rodríguez/Eventual Megatech 24/03 al 30/03</t>
  </si>
  <si>
    <t>Elio Malpica/Eventual Megatech 24/03 al 30/03</t>
  </si>
  <si>
    <t>Ruben Rivas/Eventual Megatech 24/03 al 30/03</t>
  </si>
  <si>
    <t>Fareliz Arrieche/Eventual Megatech 24/03 al 30/03</t>
  </si>
  <si>
    <t>LINO FLOREZ/CAMPAÑA YESO 24-03 AL 28-03</t>
  </si>
  <si>
    <t>12-280325</t>
  </si>
  <si>
    <t xml:space="preserve">AURELIANO LEON/CAMPAÑA YESO 24-03 al 28-03-25  </t>
  </si>
  <si>
    <t>Emperatriz Leon/Eventual Megatech 24/03 al 30/03</t>
  </si>
  <si>
    <t>Ingrid Reyes/Eventual Megatech 24/03 al 30/03</t>
  </si>
  <si>
    <t xml:space="preserve">VZLANO PESAJE VEINPECA/FACT 13017/ERROR PAGO DOBLE </t>
  </si>
  <si>
    <t>PAGO ERRADO</t>
  </si>
  <si>
    <t>Repuet y Servi C Parra/Fact 2281/Stock D/REPUEST CAMIONES-MINERALES YARACUY</t>
  </si>
  <si>
    <t>SERVA018</t>
  </si>
  <si>
    <t>GASTOS REPRESENTACION</t>
  </si>
  <si>
    <t>Electrica 2003/FACT 3463/USO MINERALES YARACUY</t>
  </si>
  <si>
    <t>Castro Corporation/FACT 535/Accesss Point-Minerales</t>
  </si>
  <si>
    <t>EL RELAMPAGO/FACT 1002/COMPRESOR YESO CAMUNARE</t>
  </si>
  <si>
    <t>RODA MANGUERA/FACT 1553/COMPRESOR YESO CAMUNARE</t>
  </si>
  <si>
    <t>Ferretería EPA/ADELANT FACT/ESCRITORIOS OFI ADMI</t>
  </si>
  <si>
    <t>EDUAR MARTINEZ/FACT 18/VENTA ARENA CERNIDA</t>
  </si>
  <si>
    <t>CARLOS PERNALETTE/FACT 09/VIATICOS 10/03 AL 14/03 DIF</t>
  </si>
  <si>
    <t>0120200000484</t>
  </si>
  <si>
    <t>0828606987644</t>
  </si>
  <si>
    <t xml:space="preserve">BANAVIH/PERIODO FEBRERO  2025         </t>
  </si>
  <si>
    <t>03-050325</t>
  </si>
  <si>
    <t>0100706989705</t>
  </si>
  <si>
    <t xml:space="preserve">IVSS/PERIODO FEBRERO                   </t>
  </si>
  <si>
    <t>0329265679179</t>
  </si>
  <si>
    <t>YAMILA COLMENAREZ/FACT 182/COMPRESOR MARCA INGERSON RAND MODELO 1999 SERIA L 306395UKJ221-minerales</t>
  </si>
  <si>
    <t>YAMILA/FACT 183/COMPRESOR RAND 99E-PLANTA</t>
  </si>
  <si>
    <t>VICTOR BARRIO/FACT 446/REVIS-EVALU-TECNICA 3CARGADORES FRONTA-MINERALES</t>
  </si>
  <si>
    <t>LISO/FACT 596/ALQUILER/MARTILLO-otopercutor neumatico-EXPLOT YESO</t>
  </si>
  <si>
    <t>0329265917918</t>
  </si>
  <si>
    <t>0329265925051</t>
  </si>
  <si>
    <t>0329200000013</t>
  </si>
  <si>
    <t>DIOSANNY ALVAREZ/FACT 201/ALMUERZOS 10/03 AL 14/03</t>
  </si>
  <si>
    <t>0329200000016</t>
  </si>
  <si>
    <t>DISTR DIAR/FACT 650/Valvulina P/Trans Grúa Teles de 100 TN</t>
  </si>
  <si>
    <t>Norys Ramos/Eventual Megatech 10/03 AL 16/03</t>
  </si>
  <si>
    <t>Argenis Flores/Eventual Megatech 10/03 AL 16/03</t>
  </si>
  <si>
    <t>0329200000008</t>
  </si>
  <si>
    <t>LINO FLOREZ/CAMPAÑA DE YESO 10/03 AL 14/03</t>
  </si>
  <si>
    <t>0329200000012</t>
  </si>
  <si>
    <t>Edwuard Almeida/Eventual Megatech 10/03 AL 16/03</t>
  </si>
  <si>
    <t>0329200000007</t>
  </si>
  <si>
    <t>ELIA MENDOZA/CAMPAÑA DE YESO 10/03 AL 14/03</t>
  </si>
  <si>
    <t>0329200000010</t>
  </si>
  <si>
    <t>Yerry Rodríguez/Eventual Megatech 10/03 AL 16/03</t>
  </si>
  <si>
    <t>0329200000014</t>
  </si>
  <si>
    <t>DIOSANNY ALVAREZ/FACT 202/(2.720,20BS) EL RESTO VA SER ABONAD A UNA NVA FACTU</t>
  </si>
  <si>
    <t>HUMBERTO FRANCO/FACT 189/ADECUA/SISTEMA ELECTRICO PARA A-A Y VENTILACION DE LABORATORIO</t>
  </si>
  <si>
    <t>Exson Rodriguez/Eventual Gobernacion 10/03 AL 16/03</t>
  </si>
  <si>
    <t>0329200000011</t>
  </si>
  <si>
    <t>Elio Malpica/Eventual Megatech 10/03 AL 16/03</t>
  </si>
  <si>
    <t>FREDDY MENDOZA/CAMPAÑA YESO 10/03 AL 14/03</t>
  </si>
  <si>
    <t>0329200000015</t>
  </si>
  <si>
    <t>DIAR/FACT 649/Aceite Retroexcavadora y Trompo Mezclador</t>
  </si>
  <si>
    <t>0329200000009</t>
  </si>
  <si>
    <t>Ruben Rivas/Eventual Megatech 10/03 AL 16/03</t>
  </si>
  <si>
    <t>0676200000015</t>
  </si>
  <si>
    <t>0676200000009</t>
  </si>
  <si>
    <t>0676200000012</t>
  </si>
  <si>
    <t>0676200000013</t>
  </si>
  <si>
    <t>0676200000008</t>
  </si>
  <si>
    <t>0676200000010</t>
  </si>
  <si>
    <t>0676200000007</t>
  </si>
  <si>
    <t>0676200000014</t>
  </si>
  <si>
    <t>0676200000011</t>
  </si>
  <si>
    <t>0676200000016</t>
  </si>
  <si>
    <t>0329267505113</t>
  </si>
  <si>
    <t>MATERIALES PARRAS/FACT 718/Cadena INDUSTRIAL MINIERAL(Para activación de la otra línea de bloquera)</t>
  </si>
  <si>
    <t>DURANGO/FACT 285/PLETINAS COBRES</t>
  </si>
  <si>
    <t>PROCESADA EN MARZO-EL RESTO FUE PAGADO EN FEBRERO BCO VZLA</t>
  </si>
  <si>
    <t>MATERIALES SANTA LUCIA/FACT 5035/PLANTA DE CEMENTO</t>
  </si>
  <si>
    <t>CASTRO CORPORATION/FACT 531/Ups para minerales</t>
  </si>
  <si>
    <t>0329267526220</t>
  </si>
  <si>
    <t>0329200000073</t>
  </si>
  <si>
    <t>Nicolas Alvarez/Eventual Gobernacion 10/03 AL 16/03</t>
  </si>
  <si>
    <t>Brunito Segundo Cordero/Eventual Agregados 10/03 AL 16/03</t>
  </si>
  <si>
    <t>Delios Adolfo Ferrara/Eventual Agregados 10/03 AL 16/03</t>
  </si>
  <si>
    <t>Eliomar Jesús Escalona/Eventual Agregados 10/03 AL 16/03</t>
  </si>
  <si>
    <t>José Guillermo Cortez/Eventual Agregados 10/03 AL 16/03</t>
  </si>
  <si>
    <t>0329200000029</t>
  </si>
  <si>
    <t>Douglas Pimentel/Eventual Gobernacion 10/03 AL 16/03</t>
  </si>
  <si>
    <t>0329200000021</t>
  </si>
  <si>
    <t>Federico Faneite/Eventual Gobernacion 10/03 AL 16/03</t>
  </si>
  <si>
    <t>0329200000022</t>
  </si>
  <si>
    <t>Justiniano Rodriguez/Eventual Agregados 10/03 AL 16/03</t>
  </si>
  <si>
    <t>0329200000031</t>
  </si>
  <si>
    <t>Rafael Puertas/Eventual Gobernacion 10/03 AL 16/03</t>
  </si>
  <si>
    <t>0329200000043</t>
  </si>
  <si>
    <t>Armando Lopez /Eventual Agregados 10/03 AL 16/03</t>
  </si>
  <si>
    <t>0329200000070</t>
  </si>
  <si>
    <t>Fareliz Arrieche/Eventual Megatech 10/03 AL 16/03</t>
  </si>
  <si>
    <t>0329200000072</t>
  </si>
  <si>
    <t>Hector/Eventual Gobernacion 10/03 AL 16/03</t>
  </si>
  <si>
    <t>Darwuin Jesús Bullones/Eventual Agregados 10/03 AL 16/03</t>
  </si>
  <si>
    <t>Frank Armando García/Eventual Agregados 10/03 AL 16/03</t>
  </si>
  <si>
    <t>Alberto Luis Rojas/Eventual Agregados 10/03 AL 16/03</t>
  </si>
  <si>
    <t>Naiker Alexander Jimenez/Eventual Agregados 10/03 AL 16/03</t>
  </si>
  <si>
    <t>José Gregorio Perez/Eventual Agregados 10/03 AL 16/03</t>
  </si>
  <si>
    <t>0329200000024</t>
  </si>
  <si>
    <t>Froilan Lopez/Eventual Agregados 10/03 AL 16/03</t>
  </si>
  <si>
    <t>0329200000025</t>
  </si>
  <si>
    <t>Jesus Ramos/Eventual Gobernacion 10/03 AL 16/03</t>
  </si>
  <si>
    <t>0329200000027</t>
  </si>
  <si>
    <t>Pedro Castillo/Eventual Gobernacion 10/03 AL 16/03</t>
  </si>
  <si>
    <t>0329200000033</t>
  </si>
  <si>
    <t>Carlos Pacheco/Eventual Gobernacion 10/03 AL 16/03</t>
  </si>
  <si>
    <t>0329200000035</t>
  </si>
  <si>
    <t>Andrés Armella/Eventual Gobernacion 10/03 AL 16/03</t>
  </si>
  <si>
    <t>0329200000040</t>
  </si>
  <si>
    <t>Fareliz Arrieche/Eventual Gobernacion 10/03 AL 16/03</t>
  </si>
  <si>
    <t>0329200000058</t>
  </si>
  <si>
    <t>Miguel Torres/Eventual Gobernacion 10/03 AL 16/03</t>
  </si>
  <si>
    <t>0329200000062</t>
  </si>
  <si>
    <t>Wendy Gimenez/Eventual Gobernacion 10/03 AL 16/03</t>
  </si>
  <si>
    <t>0329200000032</t>
  </si>
  <si>
    <t>Jose Toledo/Eventual Gobernacion 10/03 AL 16/03</t>
  </si>
  <si>
    <t>0329200000042</t>
  </si>
  <si>
    <t>Rafael Quiroz/Eventual Gobernacion 10/03 AL 16/03</t>
  </si>
  <si>
    <t>0329200000045</t>
  </si>
  <si>
    <t>Norys Ramos/Eventual Gobernacion 10/03 AL 16/03</t>
  </si>
  <si>
    <t>0329200000055</t>
  </si>
  <si>
    <t>Yonny Castillo/Eventual Megatech 10/03 AL 16/03</t>
  </si>
  <si>
    <t>0329200000064</t>
  </si>
  <si>
    <t>LISANDRO MILLA/OPERADOR 10/03 AL 14/03</t>
  </si>
  <si>
    <t>0329200000065</t>
  </si>
  <si>
    <t>JEFFERSON DAVILA/OPERADOR 10/03 AL 14/03</t>
  </si>
  <si>
    <t>0329200000018</t>
  </si>
  <si>
    <t>Henrry Valera/Eventual Gobernacion 10/03 AL 16/03</t>
  </si>
  <si>
    <t>0329200000023</t>
  </si>
  <si>
    <t>Ramón Quintero/Eventual Agregados 10/03 AL 16/03</t>
  </si>
  <si>
    <t>0329200000026</t>
  </si>
  <si>
    <t>Francisco Castillo/Eventual Megatech 10/03 AL 16/03</t>
  </si>
  <si>
    <t>0329200000039</t>
  </si>
  <si>
    <t>Alirio Parra/Eventual Gobernacion 10/03 AL 16/03</t>
  </si>
  <si>
    <t>0329200000057</t>
  </si>
  <si>
    <t>Antonio Castillo/Eventual Megatech 10/03 AL 16/03</t>
  </si>
  <si>
    <t>0329200000060</t>
  </si>
  <si>
    <t>Jose Castillo/Eventual Megatech 10/03 AL 16/03</t>
  </si>
  <si>
    <t>Carlos Daniel Rodriguez/Eventual Agregados 10/03 AL 16/03</t>
  </si>
  <si>
    <t>0329200000017</t>
  </si>
  <si>
    <t>Carlos Lopez/Eventual Agregados 10/03 AL 16/03</t>
  </si>
  <si>
    <t>0329200000028</t>
  </si>
  <si>
    <t>Elvis Valles/Eventual Megatech 10/03 AL 16/03</t>
  </si>
  <si>
    <t>0329200000030</t>
  </si>
  <si>
    <t>0329200000034</t>
  </si>
  <si>
    <t>Juan Pinto/Eventual Gobernacion 10/03 AL 16/03</t>
  </si>
  <si>
    <t>0329200000046</t>
  </si>
  <si>
    <t>Pitter Puerta/Eventual Megatech 10/03 AL 16/03</t>
  </si>
  <si>
    <t>0329200000054</t>
  </si>
  <si>
    <t>Omar Torrealba/Eventual Megatech 10/03 AL 16/03</t>
  </si>
  <si>
    <t>Alejandro Morales/Eventual Agregados 10/03 AL 16/03</t>
  </si>
  <si>
    <t>0329200000019</t>
  </si>
  <si>
    <t>Juan López/Eventual Agregados 10/03 AL 16/03</t>
  </si>
  <si>
    <t>0329200000037</t>
  </si>
  <si>
    <t>Edwin Rojas/Eventual Gobernacion 10/03 AL 16/03</t>
  </si>
  <si>
    <t>0329200000038</t>
  </si>
  <si>
    <t>Angel Caldera/Eventual Gobernacion 10/03 AL 16/03</t>
  </si>
  <si>
    <t>0329200000047</t>
  </si>
  <si>
    <t>Walner Oviedo/Eventual Megatech 10/03 AL 16/03</t>
  </si>
  <si>
    <t>0329200000056</t>
  </si>
  <si>
    <t>Carlos Castillo/Eventual Megatech 10/03 AL 16/03</t>
  </si>
  <si>
    <t>0329200000059</t>
  </si>
  <si>
    <t>Julian Guedez/Eventual Megatech 10/03 AL 16/03</t>
  </si>
  <si>
    <t>0329200000066</t>
  </si>
  <si>
    <t>BEATRIZ CASTILLO/OPERADOR 10/03 AL 14/03</t>
  </si>
  <si>
    <t>0329200000063</t>
  </si>
  <si>
    <t>Yordis Almao/Eventual Megatech 10/03 AL 16/03</t>
  </si>
  <si>
    <t>0329200000069</t>
  </si>
  <si>
    <t>Estebez Maramara/Eventual Agregados 10/03 AL 16/03</t>
  </si>
  <si>
    <t>0329200000071</t>
  </si>
  <si>
    <t>12-140325</t>
  </si>
  <si>
    <t>Euber José Juarez/Eventual Agregados 10/03 AL 16/03</t>
  </si>
  <si>
    <t>Ali Alberto Bullones/Eventual Agregados 10/03 AL 16/03</t>
  </si>
  <si>
    <t>0329200000020</t>
  </si>
  <si>
    <t>Luis Silveiro Colon Ojeda/Eventual Agregados 10/03 AL 16/03</t>
  </si>
  <si>
    <t>0329200000036</t>
  </si>
  <si>
    <t>Emperatriz Leon/Eventual Megatech 10/03 AL 16/03</t>
  </si>
  <si>
    <t>0329200000044</t>
  </si>
  <si>
    <t>Alirio Parra/Eventual Megatech 10/03 AL 16/03</t>
  </si>
  <si>
    <t>0329200000050</t>
  </si>
  <si>
    <t>Victor Mendez/Eventual Megatech 10/03 AL 16/03</t>
  </si>
  <si>
    <t>0329200000052</t>
  </si>
  <si>
    <t>Jose Guevara/Eventual Megatech 10/03 AL 16/03</t>
  </si>
  <si>
    <t>0329200000061</t>
  </si>
  <si>
    <t>Carlos Loyo/Eventual Megatech 10/03 AL 16/03</t>
  </si>
  <si>
    <t>Alberto Ali Bullones/Eventual Agregados 10/03 AL 16/03</t>
  </si>
  <si>
    <t>Fernando José Rodriguez/Eventual Agregados 10/03 AL 16/03</t>
  </si>
  <si>
    <t>Bruno Ali Cordero Bullones/Eventual Agregados 10/03 AL 16/03</t>
  </si>
  <si>
    <t>0329200000041</t>
  </si>
  <si>
    <t>Fares Arrieche/Eventual Megatech 10/03 AL 16/03</t>
  </si>
  <si>
    <t>0329200000048</t>
  </si>
  <si>
    <t>AURELIANO LEO/CAMPAÑA DE YESO 10/03 AL 14/03</t>
  </si>
  <si>
    <t>0329200000049</t>
  </si>
  <si>
    <t>Alberto Loyo/Eventual Megatech 10/03 AL 16/03</t>
  </si>
  <si>
    <t>0329200000051</t>
  </si>
  <si>
    <t>Alexander Castillo/Eventual Megatech 10/03 AL 16/03</t>
  </si>
  <si>
    <t>0329200000053</t>
  </si>
  <si>
    <t>JULIAN CASTILLO/CAMPAÑA DE YESO 10/03 AL 14/03</t>
  </si>
  <si>
    <t>0329200000067</t>
  </si>
  <si>
    <t>RAMON QUIROGAS/OPERADOR 10/03 AL 14/03</t>
  </si>
  <si>
    <t>0329200000068</t>
  </si>
  <si>
    <t>Ingrid Reyes/Eventual Megatech 10/03 AL 16/03</t>
  </si>
  <si>
    <t>0676200000057</t>
  </si>
  <si>
    <t>0676200000067</t>
  </si>
  <si>
    <t>0676200000070</t>
  </si>
  <si>
    <t>0676200000073</t>
  </si>
  <si>
    <t>0676200000023</t>
  </si>
  <si>
    <t>0676200000024</t>
  </si>
  <si>
    <t>0676200000026</t>
  </si>
  <si>
    <t>0676200000042</t>
  </si>
  <si>
    <t>0676200000033</t>
  </si>
  <si>
    <t>0676200000034</t>
  </si>
  <si>
    <t>0676200000038</t>
  </si>
  <si>
    <t>0676200000040</t>
  </si>
  <si>
    <t>0676200000055</t>
  </si>
  <si>
    <t>0676200000056</t>
  </si>
  <si>
    <t>0676200000072</t>
  </si>
  <si>
    <t>0676200000018</t>
  </si>
  <si>
    <t>0676200000021</t>
  </si>
  <si>
    <t>0676200000028</t>
  </si>
  <si>
    <t>0676200000046</t>
  </si>
  <si>
    <t>0676200000017</t>
  </si>
  <si>
    <t>0676200000051</t>
  </si>
  <si>
    <t>0676200000052</t>
  </si>
  <si>
    <t>0676200000053</t>
  </si>
  <si>
    <t>0676200000032</t>
  </si>
  <si>
    <t>0676200000035</t>
  </si>
  <si>
    <t>0676200000037</t>
  </si>
  <si>
    <t>0676200000041</t>
  </si>
  <si>
    <t>0676200000043</t>
  </si>
  <si>
    <t>0676200000049</t>
  </si>
  <si>
    <t>0676200000064</t>
  </si>
  <si>
    <t>0676200000065</t>
  </si>
  <si>
    <t>0676200000071</t>
  </si>
  <si>
    <t>0676200000045</t>
  </si>
  <si>
    <t>0676200000019</t>
  </si>
  <si>
    <t>0676200000030</t>
  </si>
  <si>
    <t>0676200000047</t>
  </si>
  <si>
    <t>0676200000059</t>
  </si>
  <si>
    <t>0676200000060</t>
  </si>
  <si>
    <t>0676200000062</t>
  </si>
  <si>
    <t>0676200000050</t>
  </si>
  <si>
    <t>0676200000054</t>
  </si>
  <si>
    <t>0676200000058</t>
  </si>
  <si>
    <t>0676200000061</t>
  </si>
  <si>
    <t>0676200000066</t>
  </si>
  <si>
    <t>0676200000069</t>
  </si>
  <si>
    <t>0676200000020</t>
  </si>
  <si>
    <t>0676200000022</t>
  </si>
  <si>
    <t>0676200000027</t>
  </si>
  <si>
    <t>0676200000029</t>
  </si>
  <si>
    <t>0676200000036</t>
  </si>
  <si>
    <t>0676200000039</t>
  </si>
  <si>
    <t>0676200000044</t>
  </si>
  <si>
    <t>0676200000048</t>
  </si>
  <si>
    <t>0676200000063</t>
  </si>
  <si>
    <t>0676200000068</t>
  </si>
  <si>
    <t>0676200000025</t>
  </si>
  <si>
    <t>0676200000031</t>
  </si>
  <si>
    <t>0329268856343</t>
  </si>
  <si>
    <t>E&amp;E CUSTOMBROKERS/TRAMITE-CONTENEDOR-MAQUI PLANTA DE CEMENTO</t>
  </si>
  <si>
    <t>ORDEN DE PAGO 2728-2025 - AGREGADOS TENDENCIAS -PLANTA DE CEMENTO</t>
  </si>
  <si>
    <t>31-180325</t>
  </si>
  <si>
    <t xml:space="preserve">AGROINSUMOS MATA CAÑA/FACT 53/Reqto de Minerales(Aceites y Grasa) </t>
  </si>
  <si>
    <t>DM ASEIN CA/FACT 218/TRASLADO 5 TANQ 250 LTS gasoil</t>
  </si>
  <si>
    <t>0597319447805</t>
  </si>
  <si>
    <t>SENCAMER/FACT RG3-CF8356/GESTION PERMISO CPE CEMENTO</t>
  </si>
  <si>
    <t>SERVA027</t>
  </si>
  <si>
    <t>SENCAMER</t>
  </si>
  <si>
    <t>0597319447832</t>
  </si>
  <si>
    <t>SENCAMER/INSCRIP EMPRESA MANUFACTURERA</t>
  </si>
  <si>
    <t>0329268888634</t>
  </si>
  <si>
    <t>INVERSIONES Y SERV JJ/FACT 83/ESTRUCTURA METALICA TOLVA MOLINO</t>
  </si>
  <si>
    <t>NR.INDUSTRIAL/FACT 5992/01 CAJA TAPABOCA</t>
  </si>
  <si>
    <t>RODA MANGUERAS/FACT 1460/Bornes de bateria para una de los camiones trompo (Minerales)</t>
  </si>
  <si>
    <t>0590572599762</t>
  </si>
  <si>
    <t>WILLIAMS AVILA/FACT10/CONCRETO PREMEZCLADO</t>
  </si>
  <si>
    <t>CONCRETO PREMEZCLADO</t>
  </si>
  <si>
    <t>0329269236753</t>
  </si>
  <si>
    <t xml:space="preserve">DIOSANNY ALVAREZ/FACT 210/SERV DE ALMUERZO/CENA/DESAYUNO CAMPAÑA YESO </t>
  </si>
  <si>
    <t>LEONARDO CHIRINO/OPERADORES CAMPAÑA YESO 17/03 AL 21/03</t>
  </si>
  <si>
    <t>JEFFERSON DAVILA/OPERADORES CAMPAÑA YESO 17/03 AL 21/03</t>
  </si>
  <si>
    <t>12-210325</t>
  </si>
  <si>
    <t>ROBERT ARIAS/OPERADORES CAMPAÑA YESO 17/03 AL 21/03</t>
  </si>
  <si>
    <t>RAMON QUIROGAS/OPERADORES CAMPAÑA YESO 17/03 AL 21/03</t>
  </si>
  <si>
    <t>HUMBERTO FRANCO/FACT 190/suministro varios e instalacion de cable</t>
  </si>
  <si>
    <t xml:space="preserve">
EDUARMI RUMBO/CONTRIBUCCION POR TRAMITES CPE PLANTA DE CEMENTO</t>
  </si>
  <si>
    <t>08-210325</t>
  </si>
  <si>
    <t>PAGO FACT 211 DIOSANNY (O) , FACT 435 JULIO IGLESIA (O) Y ABONO FACT</t>
  </si>
  <si>
    <t xml:space="preserve">NR INDUSTRIAL/FACT 6018/12 teipe 3m, 6 cepillo de alambre, 10 hojas de seguetes, 2 arcos de seguetas para Minerales </t>
  </si>
  <si>
    <t>BEATRIZ CASTILLO/OPERADORES CAMPAÑA YESO 17/03 AL 21/03</t>
  </si>
  <si>
    <t>WILLIAM RIVAS/CAMPAÑA YESO 17/03 AL 21/03</t>
  </si>
  <si>
    <t>FREDDY MENDOZA/CAMPAÑA YESO 17/03 AL 21/03</t>
  </si>
  <si>
    <t xml:space="preserve">INTERELECTRONIC INDUSTRIAL/FACT 371/Inversion Cableado General para Minerales Yaracuy </t>
  </si>
  <si>
    <t>0329269394041</t>
  </si>
  <si>
    <t>DAYANA AZUAJE/CAMPAÑA YESO 17/03 AL 21/03</t>
  </si>
  <si>
    <t>MATERIALES SANTA LUCIAS/FACT 5097/MINERALES</t>
  </si>
  <si>
    <t>MATERIALES SANTA LUCIA/FACT 5101/PLANTA CEMENTO</t>
  </si>
  <si>
    <t>MATERIALES SANTA LUCIA/FACT 5102/PLNATA DE CEMENTO</t>
  </si>
  <si>
    <t>0329269410502</t>
  </si>
  <si>
    <t>CONSTRUCTORA RENACER 2024/FACT 11/GRANZON MT3</t>
  </si>
  <si>
    <t>GRANZON MT3</t>
  </si>
  <si>
    <t>GLOBAL ACERO/FACT 37/INV TRABAJOS GRALES MINERIA YARACUY (ANGULO-LAMINA)</t>
  </si>
  <si>
    <t>ERDS INDUS/FACT 1654/20kl de Elect/Aceite formula mecanica para minerales</t>
  </si>
  <si>
    <t>JOSE CASTRO/FACT 000016/servicio antena satelital empresarial -minerales</t>
  </si>
  <si>
    <t>ERDS INDUSTRIAL/FACT 1656/prescontrol es para llenado de baños y La manguera para hidrojet (Minerales)</t>
  </si>
  <si>
    <t xml:space="preserve">INDUSTRIALES OESTE/FACT 36/Inver CABLDO/GRAL/mineras Yaracuy </t>
  </si>
  <si>
    <t>0590573776230</t>
  </si>
  <si>
    <t xml:space="preserve">FERRET Y MATERIALES  OBRA GRIS/fact 21/ARENA CERNIDA	</t>
  </si>
  <si>
    <t>ARENA CERNIDA</t>
  </si>
  <si>
    <t>0329283001680</t>
  </si>
  <si>
    <t>MAXIPARTES.G.&amp;.CFACT 1855/prescontrol es para llenado de baños y La manguera para hidrojet (Minerales)</t>
  </si>
  <si>
    <t>0676283001680</t>
  </si>
  <si>
    <t>Comercializadora NJG/FACT 772/PAQT VASOS-BANDEJ PLASTICO-ATENC VISITAS</t>
  </si>
  <si>
    <t xml:space="preserve">Interelectronic Industrial/FACT 372/cable st 3x10- Inv/Taller de Minerales Yaracuy </t>
  </si>
  <si>
    <t>HUMBERTO FRANCO/FACT 191/MATERIALES DE CONSTRUCCION</t>
  </si>
  <si>
    <t>SERVL05</t>
  </si>
  <si>
    <t>MRJORA DE PLANTA</t>
  </si>
  <si>
    <t>MADETO GROUP/FACT 10882/disco c-sierra 10"</t>
  </si>
  <si>
    <t xml:space="preserve">REPUESTOS PARRAS/FACT 2279/FILTROS -Stock de REPTOS/CAMIONES/Minerales </t>
  </si>
  <si>
    <t>MATERIALES PARRAS/FACT 740/MATTO/CAUCHOS CAMIONES/TROMPOS PREMEZCLADORA/ MINERALES</t>
  </si>
  <si>
    <t>0329269617999</t>
  </si>
  <si>
    <t>DURANGO/FACT 288/INTERRUPTOR DE POTENCIA 3-4000 AMP STECK REF SACBH401-inmediato Planta de cemento - Inversión - sistema de generacion de energía</t>
  </si>
  <si>
    <t>0329272509544</t>
  </si>
  <si>
    <t xml:space="preserve">TOTAL TOOLS/FACT 2386/Esmeril-mandarria-copa de alambre/REPAR/Minerales </t>
  </si>
  <si>
    <t xml:space="preserve">INVER Y SERV GONZALEZ/FACT 85/conf E instal ipe330 galpon </t>
  </si>
  <si>
    <t>0329272547731</t>
  </si>
  <si>
    <t>0329272622529</t>
  </si>
  <si>
    <t>VEINPECA/FACT 103014/SERV METROLOG-CERO-BALANZA</t>
  </si>
  <si>
    <t>YAMILA COLMENAREZ/FACT 185/revision-motor 8cilindros-cambio/aceite filtro/gasoil-Planta de cemento</t>
  </si>
  <si>
    <t>TALLER MOLI/FACT 2629/MAQUINA/ACOPLE P/REDUCTOR/MOLINO Planta de cemento - inversión - horno1</t>
  </si>
  <si>
    <t>0329272655294</t>
  </si>
  <si>
    <t xml:space="preserve">CASTRO CORPORACION/FACT 534/BIOMETRICO DETECCION FACIAL-MINERALES </t>
  </si>
  <si>
    <t>MATERIALES PARRAS/FACT 742/ACOPLE P/COMPRESOR AIRE DESCARGA CEMENTO-MINERALES</t>
  </si>
  <si>
    <t>TOTAL TOOLS/FACT 2391/PINZA/ALICATE ELECTRICIDAD/PIQUETA-MINERALES</t>
  </si>
  <si>
    <t xml:space="preserve">CORPORACION ERDS/FACT 1665/HERRAM USO GENERAL-MINERALES </t>
  </si>
  <si>
    <t>0429674715513</t>
  </si>
  <si>
    <t>VEINPECA/REINTEGRO PAGO DOBLE</t>
  </si>
  <si>
    <t>0429674919730</t>
  </si>
  <si>
    <t>TALLER MOLI/REINTEGRO FACT 2629/RETENCION</t>
  </si>
  <si>
    <t>04-300425</t>
  </si>
  <si>
    <t>JOSE MORALES/BONIFI ESPE ABRIL</t>
  </si>
  <si>
    <t>CARLEN VIELMA/REINTEGRO EXCEDENDEN NOMINA</t>
  </si>
  <si>
    <t>TRANSPORTE TDC/FACT 21/VENTAS</t>
  </si>
  <si>
    <t>VENTAS DE ARENA/BLOQUE/GRANZO</t>
  </si>
  <si>
    <t>INTERELECTRONIC/FACT 376/REFLECTOR 100W-MINERALES YARACUY</t>
  </si>
  <si>
    <t xml:space="preserve">AGRO TENDENCIAS/FACT 20/VENTAS </t>
  </si>
  <si>
    <t>PROTECCION A LAS PENSIONES/MARZO 2025</t>
  </si>
  <si>
    <t>02-010425</t>
  </si>
  <si>
    <t>INTERELECTRONIC/FACT 377/ILUMINACION GRAL-MINIERALES YARACUY</t>
  </si>
  <si>
    <t>JBARAH/FACT 954/DISPENSADOR P/AGUA/CEMENTERA</t>
  </si>
  <si>
    <t>SUMINISTROS/FACT 45/REFLECTORES 200W-MINERALES YARACUY</t>
  </si>
  <si>
    <t>EL GALPON DEL TORNILLO/FACT 9536/MERCANC P/TRACTOR SD32/CALIZAS</t>
  </si>
  <si>
    <t>COMPUSHOP/1091/PC P/OFICINA-MINERALES</t>
  </si>
  <si>
    <t>AMERICANA TORNILLOS/FACT 10350/TORNILLOS-HUNDUS</t>
  </si>
  <si>
    <t xml:space="preserve">EL MIO CARRO/FACT 005202/CAUCHO SUNWIDE1200/GRUA P/CEMENTO   </t>
  </si>
  <si>
    <t>TOTAL TOOLS/ FACT 2432/CARETA P/SOLDAR/DESTORNILLADOR-MINERALES</t>
  </si>
  <si>
    <t>EMPRENDIMIENTO DIOSANNY/FACT 227/VIATICOS CAMPAÑA/YESO</t>
  </si>
  <si>
    <t>DISTRIBUIDORA DIAR/FACT 667/ACEITE DIESEL P/TRACTOR CALIZA</t>
  </si>
  <si>
    <t>DISTRIBUIDORA DIAR/668/ACEITE DEXRON-MINERALES/PAYLOADER</t>
  </si>
  <si>
    <t xml:space="preserve">EXPERTO FERRETERO/FACT 442/ZUNCHO FILTRO-MINERALES </t>
  </si>
  <si>
    <t>DISTRIBUIDORA DIAR/FACT 669/ SILICON GRIS/MINERALES</t>
  </si>
  <si>
    <t>DISTRIBUIDORA DIAR/FACT 670/LIJA 803M/MINERALES</t>
  </si>
  <si>
    <t>SUMINISTROS INDUSTRIALES/FACT 46/ REFLECTORES/MINERALES YARACUY</t>
  </si>
  <si>
    <t>CORPORACION ERDS/FACT 1685/CINCEL,PRENSA/MINERALES</t>
  </si>
  <si>
    <t>TRANSPORTE NJG/FACT 785/GALON JABON LIQUIDO/DISENFECTANTE/PLANTA DE CEMENTO</t>
  </si>
  <si>
    <t>MATERIALES SANTA LUCIA/FACT 5170/ MATERIALES P/CONSTRUCCION-PLANTA CEMENTO</t>
  </si>
  <si>
    <t>MATE INSUMOS VZLA/FACT 22/ VENTA ARENA</t>
  </si>
  <si>
    <t>VENTA ARENA</t>
  </si>
  <si>
    <t>EDUAR MARTINEZ/FACT 23/VENTA ARENA CERNIDA</t>
  </si>
  <si>
    <t>KLEIBER RODRIFUEZ /FACT 0008/INSTALACION DE CARTELERAS-PLANTA CEMENTO</t>
  </si>
  <si>
    <t>KLEIBER RODRIFUEZ /FACT 0009/INSTALACION DE CARTELERAS-MINERALES</t>
  </si>
  <si>
    <t>Federico Faneite/Eventual Gobernacion31/03/2025 AL 06/04/2025</t>
  </si>
  <si>
    <t>Eliomar Jesús Escalona/Eventual Agregados31/03/2025 AL 06/04/2025</t>
  </si>
  <si>
    <t>José Guillermo Cortez/Eventual Agregados31/03/2025 AL 06/04/2025</t>
  </si>
  <si>
    <t>Hector/Eventual Gobernacion31/03/2025 AL 06/04/2025</t>
  </si>
  <si>
    <t>Darwuin Jesús Bullones/Eventual Agregados31/03/2025 AL 06/04/2025</t>
  </si>
  <si>
    <t>Frank Armando García/Eventual Agregados31/03/2025 AL 06/04/2025</t>
  </si>
  <si>
    <t>Alberto Luis Rojas/Eventual Agregados31/03/2025 AL 06/04/2025</t>
  </si>
  <si>
    <t>Naiker Alexander Jimenez/Eventual Agregados31/03/2025 AL 06/04/2025</t>
  </si>
  <si>
    <t>José Gregorio Perez/Eventual Agregados31/03/2025 AL 06/04/2025</t>
  </si>
  <si>
    <t>Carlos Daniel Rodriguez/Eventual Agregados31/03/2025 AL 06/04/2025</t>
  </si>
  <si>
    <t>Alejandro Morales/Eventual Agregados31/03/2025 AL 06/04/2025</t>
  </si>
  <si>
    <t>Euber José Juarez/Eventual Agregados31/03/2025 AL 06/04/2025</t>
  </si>
  <si>
    <t>Ali Alberto Bullones/Eventual Agregados31/03/2025 AL 06/04/2025</t>
  </si>
  <si>
    <t>Alberto Ali Bullones/Eventual Agregados31/03/2025 AL 06/04/2025</t>
  </si>
  <si>
    <t>Fernando José Rodriguez/Eventual Agregados31/03/2025 AL 06/04/2025</t>
  </si>
  <si>
    <t>Brunito Segundo Cordero/Eventual Agregados31/03/2025 AL 06/04/2025</t>
  </si>
  <si>
    <t>Henrry Valera/Eventual Gobernacion31/03/2025 AL 06/04/2025</t>
  </si>
  <si>
    <t>Fareliz Arrieche/Eventual Gobernacion31/03/2025 AL 06/04/2025</t>
  </si>
  <si>
    <t>Justiniano Rodriguez/Eventual Agregados31/03/2025 AL 06/04/2025</t>
  </si>
  <si>
    <t>Bruno Ali Cordero Bullones/Eventual Agregados31/03/2025 AL 06/04/2025</t>
  </si>
  <si>
    <t>Armando Lopez /Eventual Agregados31/03/2025 AL 06/04/2025</t>
  </si>
  <si>
    <t>Froilan Lopez/Eventual Agregados31/03/2025 AL 06/04/2025</t>
  </si>
  <si>
    <t>Ramón Quintero/Eventual Agregados31/03/2025 AL 06/04/2025</t>
  </si>
  <si>
    <t>Juan López/Eventual Agregados31/03/2025 AL 06/04/2025</t>
  </si>
  <si>
    <t>Exson Rodriguez/Eventual Gobernacion31/03/2025 AL 06/04/2025</t>
  </si>
  <si>
    <t>Douglas Pimentel/Eventual Gobernacion31/03/2025 AL 06/04/2025</t>
  </si>
  <si>
    <t>Jesus Ramos/Eventual Gobernacion31/03/2025 AL 06/04/2025</t>
  </si>
  <si>
    <t>Pedro Castillo/Eventual Gobernacion31/03/2025 AL 06/04/2025</t>
  </si>
  <si>
    <t>Miguel Torres/Eventual Gobernacion31/03/2025 AL 06/04/2025</t>
  </si>
  <si>
    <t>Wendy Gimenez/Eventual Gobernacion31/03/2025 AL 06/04/2025</t>
  </si>
  <si>
    <t>Nicolas Alvarez/Eventual Gobernacion31/03/2025 AL 06/04/2025</t>
  </si>
  <si>
    <t>Rafael Puertas/Eventual Gobernacion31/03/2025 AL 06/04/2025</t>
  </si>
  <si>
    <t>Carlos Pacheco/Eventual Gobernacion31/03/2025 AL 06/04/2025</t>
  </si>
  <si>
    <t>Carlos Lopez/Eventual Agregados31/03/2025 AL 06/04/2025</t>
  </si>
  <si>
    <t>Andrés Armella/Eventual Gobernacion31/03/2025 AL 06/04/2025</t>
  </si>
  <si>
    <t>Alirio Parra/Eventual Gobernacion31/03/2025 AL 06/04/2025</t>
  </si>
  <si>
    <t>Jose Toledo/Eventual Gobernacion31/03/2025 AL 06/04/2025</t>
  </si>
  <si>
    <t>Norys Ramos/Eventual Gobernacion31/03/2025 AL 06/04/2025</t>
  </si>
  <si>
    <t>Juan Pinto/Eventual Gobernacion31/03/2025 AL 06/04/2025</t>
  </si>
  <si>
    <t>Angel Caldera/Eventual Gobernacion31/03/2025 AL 06/04/2025</t>
  </si>
  <si>
    <t>Estebez Maramara/Eventual Agregados31/03/2025 AL 06/04/2025</t>
  </si>
  <si>
    <t>Luis Silveiro Colon Ojeda/Eventual Agregados31/03/2025 AL 06/04/2025</t>
  </si>
  <si>
    <t>Delios Adolfo Ferrara/Eventual Agregados31/03/2025 AL 06/04/2025</t>
  </si>
  <si>
    <t>Rafael Quiroz/Eventual Gobernacion31/03/2025 AL 06/04/2025</t>
  </si>
  <si>
    <t>Edwin Rojas/Eventual Gobernacion31/03/2025 AL 06/04/2025</t>
  </si>
  <si>
    <t>Argenis Flores/Eventual Megatech31/03/2025 AL 06/04/2025</t>
  </si>
  <si>
    <t>Pitter Puerta/Eventual Megatech31/03/2025 AL 06/04/2025</t>
  </si>
  <si>
    <t>Walner Oviedo/Eventual Megatech31/03/2025 AL 06/04/2025</t>
  </si>
  <si>
    <t>Yonny Castillo/Eventual Megatech31/03/2025 AL 06/04/2025</t>
  </si>
  <si>
    <t>Francisco Castillo/Eventual Megatech31/03/2025 AL 06/04/2025</t>
  </si>
  <si>
    <t>Antonio Castillo/Eventual Megatech31/03/2025 AL 06/04/2025</t>
  </si>
  <si>
    <t>Jose Guevara/Eventual Megatech31/03/2025 AL 06/04/2025</t>
  </si>
  <si>
    <t>Jose Castillo/Eventual Megatech31/03/2025 AL 06/04/2025</t>
  </si>
  <si>
    <t>Elvis Valles/Eventual Megatech31/03/2025 AL 06/04/2025</t>
  </si>
  <si>
    <t>Omar Torrealba/Eventual Megatech31/03/2025 AL 06/04/2025</t>
  </si>
  <si>
    <t>Carlos Castillo/Eventual Megatech31/03/2025 AL 06/04/2025</t>
  </si>
  <si>
    <t>Julian Guedez/Eventual Megatech31/03/2025 AL 06/04/2025</t>
  </si>
  <si>
    <t>Yordis Almao/Eventual Megatech31/03/2025 AL 06/04/2025</t>
  </si>
  <si>
    <t>Victor Mendez/Eventual Megatech31/03/2025 AL 06/04/2025</t>
  </si>
  <si>
    <t>Carlos Loyo/Eventual Megatech31/03/2025 AL 06/04/2025</t>
  </si>
  <si>
    <t>Alberto Loyo/Eventual Megatech31/03/2025 AL 06/04/2025</t>
  </si>
  <si>
    <t>Alexander Castillo/Eventual Megatech31/03/2025 AL 06/04/2025</t>
  </si>
  <si>
    <t>Edwuard Almeida/Eventual Megatech31/03/2025 AL 06/04/2025</t>
  </si>
  <si>
    <t>Alirio Parra/Eventual Megatech31/03/2025 AL 06/04/2025</t>
  </si>
  <si>
    <t>Yerry Rodríguez/Eventual Megatech31/03/2025 AL 06/04/2025</t>
  </si>
  <si>
    <t>Elio Malpica/Eventual Megatech31/03/2025 AL 06/04/2025</t>
  </si>
  <si>
    <t>Ruben Rivas/Eventual Megatech31/03/2025 AL 06/04/2025</t>
  </si>
  <si>
    <t>Fareliz Arrieche/Eventual Megatech31/03/2025 AL 06/04/2025</t>
  </si>
  <si>
    <t>Norys Ramos/Eventual Megatech31/03/2025 AL 06/04/2025</t>
  </si>
  <si>
    <t>Emperatriz Leon/Eventual Megatech31/03/2025 AL 06/04/2025</t>
  </si>
  <si>
    <t>Fares Arrieche/Eventual Megatech31/03/2025 AL 06/04/2025</t>
  </si>
  <si>
    <t>Ingrid Reyes/Eventual Megatech31/03/2025 AL 06/04/2025</t>
  </si>
  <si>
    <t>MATERIALES SANTA LUCIA/FACT 5182/ MATERIALES P/CONSTRUCCION-PLANTA CEMENTO</t>
  </si>
  <si>
    <t xml:space="preserve">INVERTRAVI/FACT 007257/TRANSP-DESCARG CEMENTO GRANEL </t>
  </si>
  <si>
    <t>TRANSPORTE/ FACT 21/REINTEGR RETEN IVA</t>
  </si>
  <si>
    <t>VALROCA/FACT A-1205/FILTRO Y ACEITE-RETROEXCAVADORA</t>
  </si>
  <si>
    <t>FERRE NIRGUA/FACT 26/VENTA ARENA CERNIDA</t>
  </si>
  <si>
    <t>LUBRICARMOTOR/FACT 793/PAILA DIESEL-RETROEXCAVADORA</t>
  </si>
  <si>
    <t>EDUAR MARTINEZ/FACT 31/VENTA ARENA CERNIDA</t>
  </si>
  <si>
    <t>ERDS/FACT 1701/HERRAMIENTAS/MINERALES YARACUY</t>
  </si>
  <si>
    <t>COOP LOS GUERREROS/FACT 32/VENTA ARENA CERNIDA</t>
  </si>
  <si>
    <t>EMPRENDIMIENTO DIOSANNY/FACT 235/ VIATICOS</t>
  </si>
  <si>
    <t>VALMORE COLMENAREZ/FACT 34/VENTA ARENA CERNIDA</t>
  </si>
  <si>
    <t>REPUESTO Y SERV PARRA/FACT 2302/FILTRO Y ACEITE/STOCK/MINERALES YARACUY</t>
  </si>
  <si>
    <t>COOP/LA MILAGROSA/VENTA ARENA CERNIDA</t>
  </si>
  <si>
    <t>UNIVERSAL REPUESTO/FACT 0399/Minerales - inversión - Payloader volvo</t>
  </si>
  <si>
    <t>MULTISERVICIO EL VAQUERO/FACT 0233/ REPA Y COCIDO CAUCHOS</t>
  </si>
  <si>
    <t>MULTISERVICIO EL VAQUERO/FACT 0234/ REPA Y COCIDO CAUCHOS</t>
  </si>
  <si>
    <t>VULCANIZADORA/FACT 1606/CAMBIO CAUCHO GRUA TELESCOPICA</t>
  </si>
  <si>
    <t>RODA MANGUERA/FACT 1627/CORREAS CARGADOR FRONTAL-MINERALES</t>
  </si>
  <si>
    <t>AMERICA TORNILLO/FACT 10386/TUERCAS Y TORNILLOS/PLANTA CEMENTO</t>
  </si>
  <si>
    <t>T EXPRESS 2018/FACT 1012/ BOTELLON PET 19 LTS 4 AROS</t>
  </si>
  <si>
    <t>Eliomar Jesús Escalona/Eventual Agregados 07/04/2025 AL 13/04/2025</t>
  </si>
  <si>
    <t>Hector/Eventual Gobernacion 07/04/2025 AL 13/04/2025</t>
  </si>
  <si>
    <t>José Guillermo Cortez/Eventual Agregados 07/04/2025 AL 13/04/2025</t>
  </si>
  <si>
    <t>Federico Faneite/Eventual Gobernacion 07/04/2025 AL 13/04/2025</t>
  </si>
  <si>
    <t>Darwuin Jesús Bullones/Eventual Agregados 07/04/2025 AL 13/04/2025</t>
  </si>
  <si>
    <t>Frank Armando García/Eventual Agregados 07/04/2025 AL 13/04/2025</t>
  </si>
  <si>
    <t>Alberto Luis Rojas/Eventual Agregados 07/04/2025 AL 13/04/2025</t>
  </si>
  <si>
    <t>Naiker Alexander Jimenez/Eventual Agregados 07/04/2025 AL 13/04/2025</t>
  </si>
  <si>
    <t>José Gregorio Perez/Eventual Agregados 07/04/2025 AL 13/04/2025</t>
  </si>
  <si>
    <t>Carlos Daniel Rodriguez/Eventual Agregados 07/04/2025 AL 13/04/2025</t>
  </si>
  <si>
    <t>Alejandro Morales/Eventual Agregados 07/04/2025 AL 13/04/2025</t>
  </si>
  <si>
    <t>Euber José Juarez/Eventual Agregados 07/04/2025 AL 13/04/2025</t>
  </si>
  <si>
    <t>Ali Alberto Bullones/Eventual Agregados 07/04/2025 AL 13/04/2025</t>
  </si>
  <si>
    <t>Alberto Ali Bullones/Eventual Agregados 07/04/2025 AL 13/04/2025</t>
  </si>
  <si>
    <t>Fernando José Rodriguez/Eventual Agregados 07/04/2025 AL 13/04/2025</t>
  </si>
  <si>
    <t>Bruno Ali Cordero Bullones/Eventual Agregados 07/04/2025 AL 13/04/2025</t>
  </si>
  <si>
    <t>Brunito Segundo Cordero/Eventual Agregados 07/04/2025 AL 13/04/2025</t>
  </si>
  <si>
    <t>Fareliz Arrieche/Eventual Gobernacion 07/04/2025 AL 13/04/2025</t>
  </si>
  <si>
    <t>Justiniano Rodriguez/Eventual Agregados 07/04/2025 AL 13/04/2025</t>
  </si>
  <si>
    <t>Henrry Valera/Eventual Gobernacion 07/04/2025 AL 13/04/2025</t>
  </si>
  <si>
    <t>Armando Lopez /Eventual Agregados 07/04/2025 AL 13/04/2025</t>
  </si>
  <si>
    <t>Froilan Lopez/Eventual Agregados 07/04/2025 AL 13/04/2025</t>
  </si>
  <si>
    <t>Ramón Quintero/Eventual Agregados 07/04/2025 AL 13/04/2025</t>
  </si>
  <si>
    <t>Juan López/Eventual Agregados 07/04/2025 AL 13/04/2025</t>
  </si>
  <si>
    <t>Exson Rodriguez/Eventual Gobernacion 07/04/2025 AL 13/04/2025</t>
  </si>
  <si>
    <t>Jesus Ramos/Eventual Gobernacion 07/04/2025 AL 13/04/2025</t>
  </si>
  <si>
    <t>Pedro Castillo/Eventual Gobernacion 07/04/2025 AL 13/04/2025</t>
  </si>
  <si>
    <t>Douglas Pimentel/Eventual Gobernacion 07/04/2025 AL 13/04/2025</t>
  </si>
  <si>
    <t>Miguel Torres/Eventual Gobernacion 07/04/2025 AL 13/04/2025</t>
  </si>
  <si>
    <t>Nicolas Alvarez/Eventual Gobernacion 07/04/2025 AL 13/04/2025</t>
  </si>
  <si>
    <t>Rafael Puertas/Eventual Gobernacion 07/04/2025 AL 13/04/2025</t>
  </si>
  <si>
    <t>Carlos Pacheco/Eventual Gobernacion 07/04/2025 AL 13/04/2025</t>
  </si>
  <si>
    <t>Andrés Armella/Eventual Gobernacion 07/04/2025 AL 13/04/2025</t>
  </si>
  <si>
    <t>Wendy Gimenez/Eventual Gobernacion 07/04/2025 AL 13/04/2025</t>
  </si>
  <si>
    <t>Jose Toledo/Eventual Gobernacion 07/04/2025 AL 13/04/2025</t>
  </si>
  <si>
    <t>Juan Pinto/Eventual Gobernacion 07/04/2025 AL 13/04/2025</t>
  </si>
  <si>
    <t>Edwin Rojas/Eventual Gobernacion 07/04/2025 AL 13/04/2025</t>
  </si>
  <si>
    <t>Alirio Parra/Eventual Gobernacion 07/04/2025 AL 13/04/2025</t>
  </si>
  <si>
    <t>Carlos Lopez/Eventual Agregados 07/04/2025 AL 13/04/2025</t>
  </si>
  <si>
    <t>Angel Caldera/Eventual Gobernacion 07/04/2025 AL 13/04/2025</t>
  </si>
  <si>
    <t>Delios Adolfo Ferrara/Eventual Agregados 07/04/2025 AL 13/04/2025</t>
  </si>
  <si>
    <t>Rafael Quiroz/Eventual Gobernacion 07/04/2025 AL 13/04/2025</t>
  </si>
  <si>
    <t>Estebez Maramara/Eventual Agregados 07/04/2025 AL 13/04/2025</t>
  </si>
  <si>
    <t>Norys Ramos/Eventual Gobernacion 07/04/2025 AL 13/04/2025</t>
  </si>
  <si>
    <t>Luis Silveiro Colon Ojeda/Eventual Agregados 07/04/2025 AL 13/04/2025</t>
  </si>
  <si>
    <t>Argenis Flores/Eventual Megatech 07/04/2025 AL 13/04/2025</t>
  </si>
  <si>
    <t>Pitter Puerta/Eventual Megatech 07/04/2025 AL 13/04/2025</t>
  </si>
  <si>
    <t>Walner Oviedo/Eventual Megatech 07/04/2025 AL 13/04/2025</t>
  </si>
  <si>
    <t>Francisco Castillo/Eventual Megatech 07/04/2025 AL 13/04/2025</t>
  </si>
  <si>
    <t>Yonny Castillo/Eventual Megatech 07/04/2025 AL 13/04/2025</t>
  </si>
  <si>
    <t>Antonio Castillo/Eventual Megatech 07/04/2025 AL 13/04/2025</t>
  </si>
  <si>
    <t>Jose Castillo/Eventual Megatech 07/04/2025 AL 13/04/2025</t>
  </si>
  <si>
    <t>Elvis Valles/Eventual Megatech 07/04/2025 AL 13/04/2025</t>
  </si>
  <si>
    <t>Jose Guevara/Eventual Megatech 07/04/2025 AL 13/04/2025</t>
  </si>
  <si>
    <t>Omar Torrealba/Eventual Megatech 07/04/2025 AL 13/04/2025</t>
  </si>
  <si>
    <t>Carlos Castillo/Eventual Megatech 07/04/2025 AL 13/04/2025</t>
  </si>
  <si>
    <t>Julian Guedez/Eventual Megatech 07/04/2025 AL 13/04/2025</t>
  </si>
  <si>
    <t>Yordis Almao/Eventual Megatech 07/04/2025 AL 13/04/2025</t>
  </si>
  <si>
    <t>Victor Mendez/Eventual Megatech 07/04/2025 AL 13/04/2025</t>
  </si>
  <si>
    <t>Carlos Loyo/Eventual Megatech 07/04/2025 AL 13/04/2025</t>
  </si>
  <si>
    <t>Alberto Loyo/Eventual Megatech 07/04/2025 AL 13/04/2025</t>
  </si>
  <si>
    <t>Alexander Castillo/Eventual Megatech 07/04/2025 AL 13/04/2025</t>
  </si>
  <si>
    <t>Edwuard Almeida/Eventual Megatech 07/04/2025 AL 13/04/2025</t>
  </si>
  <si>
    <t>Yerry Rodríguez/Eventual Megatech 07/04/2025 AL 13/04/2025</t>
  </si>
  <si>
    <t>Alirio Parra/Eventual Megatech 07/04/2025 AL 13/04/2025</t>
  </si>
  <si>
    <t>Elio Malpica/Eventual Megatech 07/04/2025 AL 13/04/2025</t>
  </si>
  <si>
    <t>Ruben Rivas/Eventual Megatech 07/04/2025 AL 13/04/2025</t>
  </si>
  <si>
    <t>Fareliz Arrieche/Eventual Megatech 07/04/2025 AL 13/04/2025</t>
  </si>
  <si>
    <t>Norys Ramos/Eventual Megatech 07/04/2025 AL 13/04/2025</t>
  </si>
  <si>
    <t>Emperatriz Leon/Eventual Megatech 07/04/2025 AL 13/04/2025</t>
  </si>
  <si>
    <t>Fares Arrieche/Eventual Megatech 07/04/2025 AL 13/04/2025</t>
  </si>
  <si>
    <t>Ingrid Reyes/Eventual Megatech 07/04/2025 AL 13/04/2025</t>
  </si>
  <si>
    <t>MATERIALES SANTA LUCIA/FACT 5227/PLANTA DE CEMENTO</t>
  </si>
  <si>
    <t xml:space="preserve">JOSE CASTILLO/PERSONAL CAMPAÑA DE YESO </t>
  </si>
  <si>
    <t>GUSTAVO RANGEL/LAVAD VEHICULO+GASOLINA</t>
  </si>
  <si>
    <t>VALMORE COLMENAREZ/FACT 36/VENTA ARENA-CANTO</t>
  </si>
  <si>
    <t>VENTA ARENA-CANTO</t>
  </si>
  <si>
    <t xml:space="preserve">ALIMENTO/FACT 26807/CAFÉ CONSUMO INTERNO-MINERALES </t>
  </si>
  <si>
    <t xml:space="preserve"> CUENTAS POR PAGAR PROVEEDORES</t>
  </si>
  <si>
    <t>SERVA017E</t>
  </si>
  <si>
    <t>ALEJOS, RODOLFO/BONO COMPL 15-04-25/OPER</t>
  </si>
  <si>
    <t>ALVARADO, EDDY/BONO COMPL 15-04-25/OPER</t>
  </si>
  <si>
    <t>BASTIDA, JOSE/BONO COMPL 15-04-25/OPER</t>
  </si>
  <si>
    <t>DAZA, VICTOR/BONO COMPL 15-04-25/OPER</t>
  </si>
  <si>
    <t>BRACHO, LUIS/BONO COMPL 15-04-25/OPER</t>
  </si>
  <si>
    <t>CHIRINOS, RAFAEL/BONO COMPL 15-04-25/OPER</t>
  </si>
  <si>
    <t>GARCIA, JASON/BONO COMPL 15-04-25/OPER</t>
  </si>
  <si>
    <t>GALEANO, FRANCISCO/BONO COMPL 15-04-25/OPER</t>
  </si>
  <si>
    <t>GUTIERREZ, PRESCILIANO/BONO COMPL 15-04-25/OPER</t>
  </si>
  <si>
    <t>GUEDEZ JOSE/BONO COMPL 15-04-25/OPER</t>
  </si>
  <si>
    <t>GUILLEN, LUIS/BONO COMPL 15-04-25/OPER</t>
  </si>
  <si>
    <t>LINAREZ, PEDRO/BONO COMPL 15-04-25/OPER</t>
  </si>
  <si>
    <t>LOPEZ ,MANOLO/BONO COMPL 15-04-25/ADM</t>
  </si>
  <si>
    <t>LINAREZ, SANTIAGO/BONO COMPL 15-04-25/OPER</t>
  </si>
  <si>
    <t>MANZO, JESMAIYELIT/BONO COMPL 15-04-25/ADM</t>
  </si>
  <si>
    <t>NOGUERA, OSCAR/BONO COMPL 15-04-25/OPER</t>
  </si>
  <si>
    <t>MARTINEZ JUAN/BONO COMPL 15-04-25/OPER</t>
  </si>
  <si>
    <t>PEREZ, CARLOS/BONO COMPL 15-04-25/OPER</t>
  </si>
  <si>
    <t>PEREZ, ROLANDO/BONO COMPL 15-04-25/OPER</t>
  </si>
  <si>
    <t>PUERTAS, TEODORO/BONO COMPL 15-04-25/OPER</t>
  </si>
  <si>
    <t>POLANCO, FRANKLIN/BONO COMPL 15-04-25/OPER</t>
  </si>
  <si>
    <t>QUERALES ,EDIXON/BONO COMPL 15-04-25/OPER</t>
  </si>
  <si>
    <t>QUERALES, HERMES/BONO COMPL 15-04-25/OPER</t>
  </si>
  <si>
    <t>RAGA NELIDO/BONO COMPL 15-04-25/ADM</t>
  </si>
  <si>
    <t>RANGEL GUSTAVO/BONO COMPL 15-04-25/ADM</t>
  </si>
  <si>
    <t>REVERON, RAMON/BONO COMPL 15-04-25/OPER</t>
  </si>
  <si>
    <t>RODRIGUEZ, MIGUEL/BONO COMPL 15-04-25/OPER</t>
  </si>
  <si>
    <t>SEGURA ,WAILEN/BONO COMPL 15-04-25/OPER</t>
  </si>
  <si>
    <t>RIVERO, JORGE/BONO COMPL 15-04-25/OPER</t>
  </si>
  <si>
    <t>VALLE, GERARDO/BONO COMPL 15-04-25/OPER</t>
  </si>
  <si>
    <t>SOTELDO, LUSMAR/BONO COMPL 15-04-25/OPER</t>
  </si>
  <si>
    <t>SUAREZ, RAFAEL/BONO COMPL 15-04-25/OPER</t>
  </si>
  <si>
    <t>ALEJOS, RODOLFO/NOMINA 15-04-25/OPER</t>
  </si>
  <si>
    <t>VETANCOURT, BLIXANDER/BONO COMPL 15-04-25/ADM</t>
  </si>
  <si>
    <t>VIELMA CARLEN/BONO COMPL 15-04-25/ADM</t>
  </si>
  <si>
    <t>RODRIGUEZ ANSONNY/BONO COMPL 15-04-25/OPER</t>
  </si>
  <si>
    <t>ZERPA, WISTON/BONO COMPL 15-04-25/OPER</t>
  </si>
  <si>
    <t>ALVARADO, EDDY/NOMINA 15-04-25/OPER</t>
  </si>
  <si>
    <t>CHIRINOS, RAFAEL/NOMINA 15-04-25/OPER</t>
  </si>
  <si>
    <t>BASTIDA, JOSE/NOMINA 15-04-25/OPER</t>
  </si>
  <si>
    <t>DAZA, VICTOR/NOMINA 15-04-25/OPER</t>
  </si>
  <si>
    <t>BRACHO, LUIS/NOMINA 15-04-25/OPER</t>
  </si>
  <si>
    <t>ROJAS MARIA/BONO COMPLE 30-04-25/OPER</t>
  </si>
  <si>
    <t>GALEANO, FRANCISCO/NOMINA 15-04-25/OPER</t>
  </si>
  <si>
    <t>GARCIA, JASON/NOMINA 15-04-25/OPER</t>
  </si>
  <si>
    <t>VIELMA CARLEN/NOMINA 15-04-25/ADM</t>
  </si>
  <si>
    <t>GUEDEZ JOSE/NOMINA 15-04-25/OPER</t>
  </si>
  <si>
    <t>GUILLEN, LUIS/NOMINA 15-04-25/OPER</t>
  </si>
  <si>
    <t>GUTIERREZ, PRESCILIANO/NOMINA 15-04-25/OPER</t>
  </si>
  <si>
    <t>LINAREZ, PEDRO/NOMINA 15-04-25/OPER</t>
  </si>
  <si>
    <t>LINAREZ, SANTIAGO/NOMINA 15-04-25/OPER</t>
  </si>
  <si>
    <t>LOPEZ ,MANOLO/NOMINA 15-04-25/ADM</t>
  </si>
  <si>
    <t>MANZO, JESMAIYELIT/NOMINA 15-04-25/ADM</t>
  </si>
  <si>
    <t>MARTINEZ JUAN/NOMINA 15-04-25/OPER</t>
  </si>
  <si>
    <t>NOGUERA, OSCAR/NOMINA 15-04-25/OPER</t>
  </si>
  <si>
    <t>PEREZ, CARLOS/NOMINA 15-04-25/OPER</t>
  </si>
  <si>
    <t>PEREZ, ROLANDO/NOMINA 15-04-25/OPER</t>
  </si>
  <si>
    <t>POLANCO, FRANKLIN/NOMINA 15-04-25/OPER</t>
  </si>
  <si>
    <t>PUERTAS, TEODORO/NOMINA 15-04-25/OPER</t>
  </si>
  <si>
    <t>QUERALES ,EDIXON/NOMINA 15-04-25/OPER</t>
  </si>
  <si>
    <t>QUERALES, HERMES/NOMINA 15-04-25/OPER</t>
  </si>
  <si>
    <t>RAGA NELIDO/NOMINA 15-04-25/ADM</t>
  </si>
  <si>
    <t>RANGEL GUSTAVO/NOMINA 15-04-25/ADM</t>
  </si>
  <si>
    <t>REVERON, RAMON/NOMINA 15-04-25/OPER</t>
  </si>
  <si>
    <t>RIVERO, JORGE/NOMINA 15-04-25/OPER</t>
  </si>
  <si>
    <t>RODRIGUEZ ANSONNY/NOMINA 15-04-25/OPER</t>
  </si>
  <si>
    <t>RODRIGUEZ, MIGUEL/NOMINA 15-04-25/OPER</t>
  </si>
  <si>
    <t>ROJAS MARIA/NOMINA 15-04-25/OPER</t>
  </si>
  <si>
    <t>SEGURA ,WAILEN/NOMINA 15-04-25/OPER</t>
  </si>
  <si>
    <t>SOTELDO, LUSMAR/NOMINA 15-04-25/OPER</t>
  </si>
  <si>
    <t>SUAREZ, RAFAEL/NOMINA 15-04-25/OPER</t>
  </si>
  <si>
    <t>VALLE, GERARDO/NOMINA 15-04-25/OPER</t>
  </si>
  <si>
    <t>VETANCOURT, BLIXANDER/NOMINA 15-04-25/ADM</t>
  </si>
  <si>
    <t>GIMENEZ, PABLO/NOMINA BONO COMPL 15-04-25/OPER</t>
  </si>
  <si>
    <t>HERNCARD CONSTRUCCIONES/ FACT595/ADECUACIO-ARMADO-SISTEM ESCAP-ELECTROGENO</t>
  </si>
  <si>
    <t>PROCESADA ABRIL</t>
  </si>
  <si>
    <t>CORPOMUEBLES/FACT84/ARCHIVADOR 4 GAVETA SALA</t>
  </si>
  <si>
    <t>DR TORNILLO/FACT 9619/SELLO P/MINICARGADOR-REPUES MAQU</t>
  </si>
  <si>
    <t>MINERALES YARACUY/4TN CEMENTO GRIS</t>
  </si>
  <si>
    <t>REPUEST SERV PARRA 2020/FACT 2311/STOCK REPUESTO P/CAMIONES-MINERALES</t>
  </si>
  <si>
    <t>TRACTO AUTO/FACT 7648/ STOCK REPUEST CAMIONES-MINERALES YARACUY</t>
  </si>
  <si>
    <t>CASTRO/FACT 0547/UPS OFICINA MINERALES</t>
  </si>
  <si>
    <t>MATER/FACT 39/VENTA ARENA CERNIDA</t>
  </si>
  <si>
    <t>MATERIALES PARRA/FACT2314/FILTRO MOROCHO/MINERALES YARACUY</t>
  </si>
  <si>
    <t>Exson Rodriguez/Eventual Gobernacion 14/04/2025 AL 17/04/2025</t>
  </si>
  <si>
    <t>FREDDY MENDOZA/CAMPAÑA YESO 14-04 AL 20-04</t>
  </si>
  <si>
    <t>Argenis Flores/Eventual Megatech 14/04/2025 AL 17/04/2025</t>
  </si>
  <si>
    <t>Edwuard Almeida/Eventual Megatech 14/04/2025 AL 17/04/2025</t>
  </si>
  <si>
    <t>Yerry Rodríguez/Eventual Megatech 14/04/2025 AL 17/04/2025</t>
  </si>
  <si>
    <t>Elio Malpica/Eventual Megatech 14/04/2025 AL 17/04/2025</t>
  </si>
  <si>
    <t>Ruben Rivas/Eventual Megatech 14/04/2025 AL 17/04/2025</t>
  </si>
  <si>
    <t>12-160425</t>
  </si>
  <si>
    <t>INSUMOS MANTENIMIENTOS/PLANTA</t>
  </si>
  <si>
    <t>PROCESADA EN JUNIO</t>
  </si>
  <si>
    <t>SERVA010</t>
  </si>
  <si>
    <t>GASTOS MANT. EQUIPOS/MOBILIARIO OFICINA</t>
  </si>
  <si>
    <t>17-300425</t>
  </si>
  <si>
    <t>45-300425</t>
  </si>
  <si>
    <t>0120200000836</t>
  </si>
  <si>
    <t>0329276349985</t>
  </si>
  <si>
    <t>reintegro de dinero,  debido a fallas de reportes por sistema en la nómina 2da quincena del mes de marzo 2025 se canceló doble el  bono adicional de 40$ con la tasa 68.70.</t>
  </si>
  <si>
    <t>0329277269955</t>
  </si>
  <si>
    <t>TRAMITE CONTENEDOR/MAQU PLANTA CEMENTO</t>
  </si>
  <si>
    <t xml:space="preserve"> EFECTOS POR COBRAR</t>
  </si>
  <si>
    <t>31-0304251</t>
  </si>
  <si>
    <t>0828662885640</t>
  </si>
  <si>
    <t>03-040425</t>
  </si>
  <si>
    <t>0100762893241</t>
  </si>
  <si>
    <t>0598117520236</t>
  </si>
  <si>
    <t>RETENCION INCE</t>
  </si>
  <si>
    <t>SERVC010E</t>
  </si>
  <si>
    <t>GASTOS PARAFISCALES INCES</t>
  </si>
  <si>
    <t>9884804042025</t>
  </si>
  <si>
    <t>0329277403803</t>
  </si>
  <si>
    <t>45-040425</t>
  </si>
  <si>
    <t>12-040425</t>
  </si>
  <si>
    <t>0329277408693</t>
  </si>
  <si>
    <t>0592363138043</t>
  </si>
  <si>
    <t>02-040425</t>
  </si>
  <si>
    <t>0590578934513</t>
  </si>
  <si>
    <t>0599117608135</t>
  </si>
  <si>
    <t>VENTA DE CONCRETO</t>
  </si>
  <si>
    <t>0329277669736</t>
  </si>
  <si>
    <t>0271313400001</t>
  </si>
  <si>
    <t>VENTA ARENA/BLOQUE</t>
  </si>
  <si>
    <t>0271318500001</t>
  </si>
  <si>
    <t>0271327600001</t>
  </si>
  <si>
    <t>VENTA CERNIDA</t>
  </si>
  <si>
    <t>0271323200001</t>
  </si>
  <si>
    <t>0590580273478</t>
  </si>
  <si>
    <t>0329277748990</t>
  </si>
  <si>
    <t>0329277893879</t>
  </si>
  <si>
    <t>0329278009669</t>
  </si>
  <si>
    <t>0329281466944</t>
  </si>
  <si>
    <t>12-110425</t>
  </si>
  <si>
    <t>0590582298108</t>
  </si>
  <si>
    <t>ELEIZER NICOLIELLO/HONORARIOS/INSPECC SINELEC-ELEVADOR</t>
  </si>
  <si>
    <t>HONORARIOS PROFESIONALES</t>
  </si>
  <si>
    <t>38-140425</t>
  </si>
  <si>
    <t>0329284490577</t>
  </si>
  <si>
    <t>0766825138662</t>
  </si>
  <si>
    <t>REINTEGRO/FACT 43 P/ERROR</t>
  </si>
  <si>
    <t>0329285285018</t>
  </si>
  <si>
    <t>0329285303117</t>
  </si>
  <si>
    <t>0429611820942</t>
  </si>
  <si>
    <t>SERVA004</t>
  </si>
  <si>
    <t>GASTOS CONTADOR</t>
  </si>
  <si>
    <t>SERVA015E</t>
  </si>
  <si>
    <t>0329285391207</t>
  </si>
  <si>
    <t>Argenis Flores/Eventual Megatech 21/04 AL 27/04</t>
  </si>
  <si>
    <t xml:space="preserve">CASTRO/FACT 552/INSTLA INTERNET P/OFICINA PLANTA CEMENTO </t>
  </si>
  <si>
    <t>FRANK MOSQUERA/FACT 302/MTTO CUARTOS ELECTR/LABO/REUNIONES-PLANTA CEMENTO</t>
  </si>
  <si>
    <t>Jesus Ramos/Eventual Gobernacion 21/04 AL 27/04</t>
  </si>
  <si>
    <t>LINO FLORE/CAMPAÑA YESO 21/04 AL 26/04</t>
  </si>
  <si>
    <t>JOSE CASTILLO/CAMPAÑA YESO 21/04 AL 26/04</t>
  </si>
  <si>
    <t>DIOSANNY ALVAREZ/FACT 248/ALMUERZO CAMPAÑA YESO</t>
  </si>
  <si>
    <t xml:space="preserve">MATERIALES SANTA LUCIA/FACT 5276/MINERALES </t>
  </si>
  <si>
    <t>MATERIALES SANTA LUCIA/FACT 5277/PLANTA CEMENTO</t>
  </si>
  <si>
    <t>RODA MANGUERA/FACT 1701/2CORREAS EXCAVADOR</t>
  </si>
  <si>
    <t>Elio Malpica/Eventual Megatech 21/04 AL 27/04</t>
  </si>
  <si>
    <t>Ruben Rivas/Eventual Megatech 21/04 AL 27/04</t>
  </si>
  <si>
    <t>Walner Oviedo/Eventual Megatech 21/04 AL 27/04</t>
  </si>
  <si>
    <t>ELIA MENDOZA/CAMPAÑA YESO 21/04 AL 26/04</t>
  </si>
  <si>
    <t>CORPORACION EP/FACT 5557/STOCK REPUEST CAMIONES-MINERALES</t>
  </si>
  <si>
    <t>0329288389927</t>
  </si>
  <si>
    <t>Douglas Pimentel/Eventual Gobernacion 21/04 AL 27/04</t>
  </si>
  <si>
    <t>Delios Adolfo Ferrara/Eventual Agregados 21/04 AL 27/04</t>
  </si>
  <si>
    <t>Miguel Torres/Eventual Gobernacion 21/04 AL 27/04</t>
  </si>
  <si>
    <t>Eliomar Jesús Escalona/Eventual Agregados 21/04 AL 27/04</t>
  </si>
  <si>
    <t>José Guillermo Cortez/Eventual Agregados 21/04 AL 27/04</t>
  </si>
  <si>
    <t>Darwuin Jesús Bullones/Eventual Agregados 21/04 AL 27/04</t>
  </si>
  <si>
    <t>Frank Armando García/Eventual Agregados 21/04 AL 27/04</t>
  </si>
  <si>
    <t>Federico Faneite/Eventual Gobernacion 21/04 AL 27/04</t>
  </si>
  <si>
    <t>Nicolas Alvarez/Eventual Gobernacion 21/04 AL 27/04</t>
  </si>
  <si>
    <t>Henrry Valera/Eventual Gobernacion 21/04 AL 27/04</t>
  </si>
  <si>
    <t>Pitter Puerta/Eventual Megatech 21/04 AL 27/04</t>
  </si>
  <si>
    <t>Wendy Gimenez/Eventual Gobernacion 21/04 AL 27/04</t>
  </si>
  <si>
    <t>Alirio Parra/Eventual Gobernacion 21/04 AL 27/04</t>
  </si>
  <si>
    <t>Brunito Segundo Cordero/Eventual Agregados 21/04 AL 27/04</t>
  </si>
  <si>
    <t>Alberto Luis Rojas/Eventual Agregados 21/04 AL 27/04</t>
  </si>
  <si>
    <t>Naiker Alexander Jimenez/Eventual Agregados 21/04 AL 27/04</t>
  </si>
  <si>
    <t>Angel Caldera/Eventual Gobernacion 21/04 AL 27/04</t>
  </si>
  <si>
    <t>Yonny Castillo/Eventual Megatech 21/04 AL 27/04</t>
  </si>
  <si>
    <t>Rafael Puertas/Eventual Gobernacion 21/04 AL 27/04</t>
  </si>
  <si>
    <t>Justiniano Rodriguez/Eventual Agregados 21/04 AL 27/04</t>
  </si>
  <si>
    <t>Francisco Castillo/Eventual Megatech 21/04 AL 27/04</t>
  </si>
  <si>
    <t>Jose Guevara/Eventual Megatech 21/04 AL 27/04</t>
  </si>
  <si>
    <t>Jose Castillo/Eventual Megatech 21/04 AL 27/04</t>
  </si>
  <si>
    <t>Armando Lopez /Eventual Agregados 21/04 AL 27/04</t>
  </si>
  <si>
    <t>Froilan Lopez/Eventual Agregados 21/04 AL 27/04</t>
  </si>
  <si>
    <t>Elvis Valles/Eventual Megatech 21/04 AL 27/04</t>
  </si>
  <si>
    <t>Estebez Maramara/Eventual Agregados 21/04 AL 27/04</t>
  </si>
  <si>
    <t>Rafael Quiroz/Eventual Gobernacion 21/04 AL 27/04</t>
  </si>
  <si>
    <t>Exson Rodriguez/Eventual Gobernacion 21/04 AL 27/04</t>
  </si>
  <si>
    <t>Omar Torrealba/Eventual Megatech 21/04 AL 27/04</t>
  </si>
  <si>
    <t>LEONARDO CHIRINO/OPERADORES 21/04 AL 26/04</t>
  </si>
  <si>
    <t>José Gregorio Perez/Eventual Agregados 21/04 AL 27/04</t>
  </si>
  <si>
    <t>Fareliz Arrieche/Eventual Gobernacion 21/04 AL 27/04</t>
  </si>
  <si>
    <t>Ramón Quintero/Eventual Agregados 21/04 AL 27/04</t>
  </si>
  <si>
    <t>Carlos Pacheco/Eventual Gobernacion 21/04 AL 27/04</t>
  </si>
  <si>
    <t>Andrés Armella/Eventual Gobernacion 21/04 AL 27/04</t>
  </si>
  <si>
    <t>Carlos Lopez/Eventual Agregados 21/04 AL 27/04</t>
  </si>
  <si>
    <t>Pedro Castillo/Eventual Gobernacion 21/04 AL 27/04</t>
  </si>
  <si>
    <t>Hector/Eventual Gobernacion 21/04 AL 27/04</t>
  </si>
  <si>
    <t>Antonio Castillo/Eventual Megatech 21/04 AL 27/04</t>
  </si>
  <si>
    <t>Julian Guedez/Eventual Megatech 21/04 AL 27/04</t>
  </si>
  <si>
    <t>JEFFERSON DAVILA/OPERADORES 21/04 AL 26/04</t>
  </si>
  <si>
    <t>Ingrid Reyes/Eventual Megatech 21/04 AL 27/04</t>
  </si>
  <si>
    <t>Carlos Daniel Rodriguez/Eventual Agregados 21/04 AL 27/04</t>
  </si>
  <si>
    <t>Carlos Castillo/Eventual Megatech 21/04 AL 27/04</t>
  </si>
  <si>
    <t>Alirio Parra/Eventual Megatech 21/04 AL 27/04</t>
  </si>
  <si>
    <t>Norys Ramos/Eventual Gobernacion 21/04 AL 27/04</t>
  </si>
  <si>
    <t>FREDY MENDOZA/CAMPAÑA YESO 21/04 AL 26/04</t>
  </si>
  <si>
    <t>BEATRIZ CASTILLO/OPERADORES 21/04 AL 26/04</t>
  </si>
  <si>
    <t>RAMON QUIROA/OPERADORES 21/04 AL 26/04</t>
  </si>
  <si>
    <t>Yordis Almao/Eventual Megatech 21/04 AL 27/04</t>
  </si>
  <si>
    <t>Victor Mendez/Eventual Megatech 21/04 AL 27/04</t>
  </si>
  <si>
    <t>Norys Ramos/Eventual Megatech 21/04 AL 27/04</t>
  </si>
  <si>
    <t>Fares Arrieche/Eventual Megatech 21/04 AL 27/04</t>
  </si>
  <si>
    <t>Alejandro Morales/Eventual Agregados 21/04 AL 27/04</t>
  </si>
  <si>
    <t>Euber José Juarez/Eventual Agregados 21/04 AL 27/04</t>
  </si>
  <si>
    <t>Ali Alberto Bullones/Eventual Agregados 21/04 AL 27/04</t>
  </si>
  <si>
    <t>Alberto Ali Bullones/Eventual Agregados 21/04 AL 27/04</t>
  </si>
  <si>
    <t>Jose Toledo/Eventual Gobernacion 21/04 AL 27/04</t>
  </si>
  <si>
    <t>Carlos Loyo/Eventual Megatech 21/04 AL 27/04</t>
  </si>
  <si>
    <t>Alberto Loyo/Eventual Megatech 21/04 AL 27/04</t>
  </si>
  <si>
    <t>Fareliz Arrieche/Eventual Megatech 21/04 AL 27/04</t>
  </si>
  <si>
    <t>Juan Pinto/Eventual Gobernacion 21/04 AL 27/04</t>
  </si>
  <si>
    <t>Fernando José Rodriguez/Eventual Agregados 21/04 AL 27/04</t>
  </si>
  <si>
    <t>Bruno Ali Cordero Bullones/Eventual Agregados 21/04 AL 27/04</t>
  </si>
  <si>
    <t>Juan López/Eventual Agregados 21/04 AL 27/04</t>
  </si>
  <si>
    <t>Luis Silveiro Colon Ojeda/Eventual Agregados 21/04 AL 27/04</t>
  </si>
  <si>
    <t>Alexander Castillo/Eventual Megatech 21/04 AL 27/04</t>
  </si>
  <si>
    <t>Edwin Rojas/Eventual Gobernacion 21/04 AL 27/04</t>
  </si>
  <si>
    <t>Emperatriz Leon/Eventual Megatech 21/04 AL 27/04</t>
  </si>
  <si>
    <t>AURELIANO/CAMPAÑA YESO 21/04 AL 26/04</t>
  </si>
  <si>
    <t>JULIAN CASTILLO/CAMPAÑA YESO 21/04 26/04</t>
  </si>
  <si>
    <t>0590588238488</t>
  </si>
  <si>
    <t>MATERIALES OBRAS GRIS/FACT 43/VENTA ARENA CERNIDA</t>
  </si>
  <si>
    <t>0329288669068</t>
  </si>
  <si>
    <t>CORPORACION EP/FACT 5559/STOCK REPUEST CAMIONES-MINERALES</t>
  </si>
  <si>
    <t>ALBERTO PERNALETTE/FACT 12/VIATICOS 28/04 AL 02/05</t>
  </si>
  <si>
    <t>INVER MATER PARRAS/752/INVE P/BARANDAS-CEMENTERA</t>
  </si>
  <si>
    <t xml:space="preserve">ALIMENTO AGRO/FACT 27682/BENEFICIOS MES ABRIL </t>
  </si>
  <si>
    <t>0329288799686</t>
  </si>
  <si>
    <t>VULCANIZADORA YARITAGUA/FACT 1624/REPAR CAUCHOS</t>
  </si>
  <si>
    <t>INVER MATERIALES PARRA/FACT 754/INVER TECHO EDIF HORNO</t>
  </si>
  <si>
    <t>PAMPA INDUSTRIAL/FACT 18522/BOTA LARGA NEGRA</t>
  </si>
  <si>
    <t>PEDRERA SANTA ROSA/FACT 37/VENTA ARENA CERNIDA</t>
  </si>
  <si>
    <t>PEDRERA SANTA ROSA/FACT 41/VENTA ARENA CERNIDA</t>
  </si>
  <si>
    <t>PEDRERA SANTA ROSA/FACT 53/VENTA ARENA CERNIDA</t>
  </si>
  <si>
    <t>04-310525</t>
  </si>
  <si>
    <t>JOSE MORALES/BONIFICACION ESPECIAL 15/05</t>
  </si>
  <si>
    <t>JOSE MORALES/BONIFICACION ESPECIAL 31/05</t>
  </si>
  <si>
    <t>DR. TORNILLO, C.A./FACT 9639 /TORNILLO MAQ. DE HACER  BLOQUES</t>
  </si>
  <si>
    <t>RODA MANGUERAS CHIVACOA C.A./ FACT 1736/ CONEXIONES MINERALES</t>
  </si>
  <si>
    <t xml:space="preserve">TRANSPORTE TDC/FACT56/VENTAS MATERIALES </t>
  </si>
  <si>
    <t>VENTA CEMENTOP-GRANZO-BLOQUES</t>
  </si>
  <si>
    <t>Edwuard Almeida/Eventual Megatech 26/05/25 AL 01/06/25</t>
  </si>
  <si>
    <t xml:space="preserve">EMPRENDIMIENTO DIOSANNY ALVAREZ/FACT 260/ ALMUERZOS CAMPAÑA DE YESO </t>
  </si>
  <si>
    <t>Henrry Valera/Eventual Gobernacion 28/04/25 AL 04/05/25</t>
  </si>
  <si>
    <t>Brunito Segundo Cordero/Eventual Agregados 28/04/25 AL 04/05/25</t>
  </si>
  <si>
    <t>Delios Adolfo Ferrara/Eventual Agregados 28/04/25 AL 04/05/25</t>
  </si>
  <si>
    <t>Eliomar Jesús Escalona/Eventual Agregados 28/04/25 AL 04/05/25</t>
  </si>
  <si>
    <t>José Guillermo Cortez/Eventual Agregados 28/04/25 AL 04/05/25</t>
  </si>
  <si>
    <t>Darwuin Jesús Bullones/Eventual Agregados 28/04/25 AL 04/05/25</t>
  </si>
  <si>
    <t>Frank Armando García/Eventual Agregados 28/04/25 AL 04/05/25</t>
  </si>
  <si>
    <t>Alberto Luis Rojas/Eventual Agregados 28/04/25 AL 04/05/25</t>
  </si>
  <si>
    <t>Naiker Alexander Jimenez/Eventual Agregados 28/04/25 AL 04/05/25</t>
  </si>
  <si>
    <t>José Gregorio Perez/Eventual Agregados 28/04/25 AL 04/05/25</t>
  </si>
  <si>
    <t>Carlos Daniel Rodriguez/Eventual Agregados 28/04/25 AL 04/05/25</t>
  </si>
  <si>
    <t>Alejandro Morales/Eventual Agregados 28/04/25 AL 04/05/25</t>
  </si>
  <si>
    <t>Euber José Juarez/Eventual Agregados 28/04/25 AL 04/05/25</t>
  </si>
  <si>
    <t>Ali Alberto Bullones/Eventual Agregados 28/04/25 AL 04/05/25</t>
  </si>
  <si>
    <t>Alberto Ali Bullones/Eventual Agregados 28/04/25 AL 04/05/25</t>
  </si>
  <si>
    <t>Fernando José Rodriguez/Eventual Agregados 28/04/25 AL 04/05/25</t>
  </si>
  <si>
    <t>Federico Faneite/Eventual Gobernacion 28/04/25 AL 04/05/25</t>
  </si>
  <si>
    <t>Fareliz Arrieche/Eventual Gobernacion 28/04/25 AL 04/05/25</t>
  </si>
  <si>
    <t>Alirio Parra/Eventual Gobernacion 28/04/25 AL 04/05/25</t>
  </si>
  <si>
    <t>Justiniano Rodriguez/Eventual Agregados 28/04/25 AL 04/05/25</t>
  </si>
  <si>
    <t>Armando Lopez /Eventual Agregados 28/04/25 AL 04/05/25</t>
  </si>
  <si>
    <t>Froilan Lopez/Eventual Agregados 28/04/25 AL 04/05/25</t>
  </si>
  <si>
    <t>Ramón Quintero/Eventual Agregados 28/04/25 AL 04/05/25</t>
  </si>
  <si>
    <t>Juan López/Eventual Agregados 28/04/25 AL 04/05/25</t>
  </si>
  <si>
    <t>Jesus Ramos/Eventual Gobernacion 28/04/25 AL 04/05/25</t>
  </si>
  <si>
    <t>Exson Rodriguez/Eventual Gobernacion 28/04/25 AL 04/05/25</t>
  </si>
  <si>
    <t>Douglas Pimentel/Eventual Gobernacion 28/04/25 AL 04/05/25</t>
  </si>
  <si>
    <t>Pedro Castillo/Eventual Gobernacion 28/04/25 AL 04/05/25</t>
  </si>
  <si>
    <t>Miguel Torres/Eventual Gobernacion 28/04/25 AL 04/05/25</t>
  </si>
  <si>
    <t>Wendy Gimenez/Eventual Gobernacion 28/04/25 AL 04/05/25</t>
  </si>
  <si>
    <t>Nicolas Alvarez/Eventual Gobernacion 28/04/25 AL 04/05/25</t>
  </si>
  <si>
    <t>Rafael Puertas/Eventual Gobernacion 28/04/25 AL 04/05/25</t>
  </si>
  <si>
    <t>Carlos Pacheco/Eventual Gobernacion 28/04/25 AL 04/05/25</t>
  </si>
  <si>
    <t>Andrés Armella/Eventual Gobernacion 28/04/25 AL 04/05/25</t>
  </si>
  <si>
    <t>Jose Toledo/Eventual Gobernacion 28/04/25 AL 04/05/25</t>
  </si>
  <si>
    <t>Juan Pinto/Eventual Gobernacion 28/04/25 AL 04/05/25</t>
  </si>
  <si>
    <t>Angel Caldera/Eventual Gobernacion 28/04/25 AL 04/05/25</t>
  </si>
  <si>
    <t>Carlos Lopez/Eventual Agregados 28/04/25 AL 04/05/25</t>
  </si>
  <si>
    <t>Edwin Rojas/Eventual Gobernacion 28/04/25 AL 04/05/25</t>
  </si>
  <si>
    <t>Bruno Ali Cordero Bullones/Eventual Agregados 28/04/25 AL 04/05/25</t>
  </si>
  <si>
    <t>Hector/Eventual Gobernacion 28/04/25 AL 04/05/25</t>
  </si>
  <si>
    <t>Rafael Quiroz/Eventual Gobernacion 28/04/25 AL 04/05/25</t>
  </si>
  <si>
    <t>Estebez Maramara/Eventual Agregados 28/04/25 AL 04/05/25</t>
  </si>
  <si>
    <t>Argenis Flores/Eventual Megatech 28/04/25 AL 04/05/25</t>
  </si>
  <si>
    <t>Norys Ramos/Eventual Gobernacion 28/04/25 AL 04/05/25</t>
  </si>
  <si>
    <t>Luis Silveiro Colon Ojeda/Eventual Agregados 28/04/25 AL 04/05/25</t>
  </si>
  <si>
    <t>Pitter Puerta/Eventual Megatech 28/04/25 AL 04/05/25</t>
  </si>
  <si>
    <t>Walner Oviedo/Eventual Megatech 28/04/25 AL 04/05/25</t>
  </si>
  <si>
    <t>Yonny Castillo/Eventual Megatech 28/04/25 AL 04/05/25</t>
  </si>
  <si>
    <t>Francisco Castillo/Eventual Megatech 28/04/25 AL 04/05/25</t>
  </si>
  <si>
    <t>Antonio Castillo/Eventual Megatech 28/04/25 AL 04/05/25</t>
  </si>
  <si>
    <t>Jose Guevara/Eventual Megatech 28/04/25 AL 04/05/25</t>
  </si>
  <si>
    <t>Jose Castillo/Eventual Megatech 28/04/25 AL 04/05/25</t>
  </si>
  <si>
    <t>Elvis Valles/Eventual Megatech 28/04/25 AL 04/05/25</t>
  </si>
  <si>
    <t>Omar Torrealba/Eventual Megatech 28/04/25 AL 04/05/25</t>
  </si>
  <si>
    <t>Carlos Castillo/Eventual Megatech 28/04/25 AL 04/05/25</t>
  </si>
  <si>
    <t>Julian Guedez/Eventual Megatech 28/04/25 AL 04/05/25</t>
  </si>
  <si>
    <t>Yordis Almao/Eventual Megatech 28/04/25 AL 04/05/25</t>
  </si>
  <si>
    <t>Victor Mendez/Eventual Megatech 28/04/25 AL 04/05/25</t>
  </si>
  <si>
    <t>Carlos Loyo/Eventual Megatech 28/04/25 AL 04/05/25</t>
  </si>
  <si>
    <t>Alberto Loyo/Eventual Megatech 28/04/25 AL 04/05/25</t>
  </si>
  <si>
    <t>Yerry Rodríguez/Eventual Megatech 28/04/25 AL 04/05/25</t>
  </si>
  <si>
    <t>Elio Malpica/Eventual Megatech 28/04/25 AL 04/05/25</t>
  </si>
  <si>
    <t>Alexander Castillo/Eventual Megatech 28/04/25 AL 04/05/25</t>
  </si>
  <si>
    <t>Fareliz Arrieche/Eventual Megatech 28/04/25 AL 04/05/25</t>
  </si>
  <si>
    <t>Ruben Rivas/Eventual Megatech 28/04/25 AL 04/05/25</t>
  </si>
  <si>
    <t>NORYS RAMOS/RESFRIGERIO TOPOGRAFO CAMPAÑA 21/04 AL 25/04</t>
  </si>
  <si>
    <t>13-020525</t>
  </si>
  <si>
    <t>Alirio Parra/Eventual Megatech 28/04/25 AL 04/05/25</t>
  </si>
  <si>
    <t>Fares Arrieche/Eventual Megatech 28/04/25 AL 04/05/25</t>
  </si>
  <si>
    <t>Norys Ramos/Eventual Megatech 28/04/25 AL 04/05/25</t>
  </si>
  <si>
    <t>Emperatriz Leon/Eventual Megatech 28/04/25 AL 04/05/25</t>
  </si>
  <si>
    <t>Ingrid Reyes/Eventual Megatech 28/04/25 AL 04/05/25</t>
  </si>
  <si>
    <t>Brunito Segundo Cordero/Eventual Agregados 28/04/25 AL 04/05/25-DIFE</t>
  </si>
  <si>
    <t xml:space="preserve">CORPORCACION ERDS/FACT 1759/INVER P/TECHOS-MINERALES YARACUY </t>
  </si>
  <si>
    <t xml:space="preserve">TRANSPORTE Y COMERCIALIZADORA NJG/FACT 829/ARTI. DE OFICINA </t>
  </si>
  <si>
    <t xml:space="preserve">DISTRIBUIDORA FLORICOLOR DEL OESTE, C.A/FACT 1460/MINERALES YARACUY </t>
  </si>
  <si>
    <t>PAGO A PROVEEDOR OTROS BCO</t>
  </si>
  <si>
    <t>CORPOELEC/FACT 2258/31-12-24 AL 29-01-25</t>
  </si>
  <si>
    <t>SERVICIO DE ENERGIA ELECTRICA</t>
  </si>
  <si>
    <t>SERVL003</t>
  </si>
  <si>
    <t>GASTOS ELECTRICIDAD</t>
  </si>
  <si>
    <t>29-050525</t>
  </si>
  <si>
    <t>CORPOELEC/FACT 68081/31-01-25 AL 28-02-25</t>
  </si>
  <si>
    <t>CORPOELEC/FACT 99207/01-03-25 AL 31-03-25</t>
  </si>
  <si>
    <t>CORPOELEC/FACT 52078/01-04-25 AL 11-04-25</t>
  </si>
  <si>
    <t>INVERSIONES AB 2000/FACT 57/VENTA CONCRETO/CEMENTO.</t>
  </si>
  <si>
    <t>VENTA CONCRETO PREMEZCLADO/CEMENTO</t>
  </si>
  <si>
    <t>GEORMAN LEANDRO MOLINA RAMIREZ/FACT 257/ FLETE PALA MINERALES</t>
  </si>
  <si>
    <t>DISTRIBUIDORA FLORICOLOR DEL OESTE, C.A/FACT 1463/MINERALES YARACUY</t>
  </si>
  <si>
    <t xml:space="preserve">TRANSPORTE/FACT 56/REINTEGRO DE IVA </t>
  </si>
  <si>
    <t>REINTEGRO DE IVA</t>
  </si>
  <si>
    <t>el dia 02-05-25 transporte le cancelo la totalidad de esta fact agregados -agregados le reintegra a transporte la retención del iva</t>
  </si>
  <si>
    <t>TIMBRES FISCALES/TALONARIO ACARREO PLANTA MINERALES</t>
  </si>
  <si>
    <t>07-060525</t>
  </si>
  <si>
    <t>CORPOMUEBLES OFFICE C.A/FACT A-00096/Mesas para sala de reuniones (cementera)</t>
  </si>
  <si>
    <t>FREDY MENDOZA/CAMPAÑA YESO 05/05 AL 09/05</t>
  </si>
  <si>
    <t>JULIAN CASTILLO/CAMPAÑA DE YESO 05/05 AL 09/05</t>
  </si>
  <si>
    <t>AUREALEANO LEON/CAMPAÑA YESO 05/05 AL 09/05</t>
  </si>
  <si>
    <t>ELIA MENDOZA/CAMPAÑA YESO 05/05 AL 09/05</t>
  </si>
  <si>
    <t>JEFERSON DAVILA/CAMPAÑA YESO 05/05 AL 09/05</t>
  </si>
  <si>
    <t>BEATRIZ/CAMPAÑA YESO 05/05 AL 09/05</t>
  </si>
  <si>
    <t>RAMON QUIROGAS/CAMPAÑA YESO 05/05 AL 09/05</t>
  </si>
  <si>
    <t>LEONARDO CHIRINOS/CAMPAÑA YESO 05/05 AL 09/05</t>
  </si>
  <si>
    <t>NORYS RAMOS/COMIDA TOPOGRAFO CAMPAÑA DE YESO 05/05 AL 09/05</t>
  </si>
  <si>
    <t>13-090525</t>
  </si>
  <si>
    <t>OLGA OROZCO/HOSPEDAJE CALIZA 05/05 AL 09/05</t>
  </si>
  <si>
    <t>45-090525</t>
  </si>
  <si>
    <t>EMPRENDIMIENTO DIOSANNY ALVAREZ/FACT 5320/ DESAYUNOS, ALMUERZO CAMP.YESO</t>
  </si>
  <si>
    <t xml:space="preserve">EMPRENDIMIENTO DIOSANNY ALVAREZ/FACT 275/ ALMUERZOS Y VIATOCOS </t>
  </si>
  <si>
    <t>DISTRIBUIDORA DIAR, C.A./FACT 723/sociada al excavador del yeso</t>
  </si>
  <si>
    <t>MIGUEL RODRIGUEZ/REPOSICION CAJA CHICA</t>
  </si>
  <si>
    <t>CAJA PRINCIPAL</t>
  </si>
  <si>
    <t>REPOSICION CAJA CHICA</t>
  </si>
  <si>
    <t>MATERIALES SANTA LUCIA, C.A./FACT 5320/DONATIVO</t>
  </si>
  <si>
    <t>SERVA043</t>
  </si>
  <si>
    <t>DONATIVO</t>
  </si>
  <si>
    <t>MATERIALES SANTA LUCIA, C.A./FACT 5319/PLANTA DE CEMENTO</t>
  </si>
  <si>
    <t>12-090525</t>
  </si>
  <si>
    <t>ISLR/PERIODO ABRIL 2025</t>
  </si>
  <si>
    <t>02-090525</t>
  </si>
  <si>
    <t>TALONARIO GUIAS ACARREOS P/EXTRACCION MATERIAL</t>
  </si>
  <si>
    <t>08-120525</t>
  </si>
  <si>
    <t>2DA COUTAS REGALIA TALONARIO GUIAS ACARREOS  P/EXTRACCION MATERIAL</t>
  </si>
  <si>
    <t>MAQUINARIAS LORENZI C A/FACT 30847/Dientes 4 para la retroescabadora</t>
  </si>
  <si>
    <t>VULCANIZADORA YARITAGUA MANUEL MOGOLLON, C.A./FACT 1628/pago reparacion de Camión Cava de Tendencias</t>
  </si>
  <si>
    <t>PAGO DIFE TASA/TALONARIOS/MINERALES</t>
  </si>
  <si>
    <t>08-140525</t>
  </si>
  <si>
    <t>PAGO TIMBRE FISCALES/MINERALES</t>
  </si>
  <si>
    <t>07-140525</t>
  </si>
  <si>
    <t>PAGO TIMBRE FISCALES/MINERALES 4TA REGALIA</t>
  </si>
  <si>
    <t xml:space="preserve">GLOBAL ACERO/FACT 52/INVER PLETINA P/PERSONAL HINDU PLANTA CEMENTO </t>
  </si>
  <si>
    <t xml:space="preserve">RESGUARDO AB, R./FACT 208/ 1QNA MAYO MINERALES </t>
  </si>
  <si>
    <t>TRANSPORTE Y SERVICIO TDC C.A/FACT  00000068/ GASTOS DE NOMINA MINERALES</t>
  </si>
  <si>
    <t>INVERSIONES AB/FACT 33/INSUMOS CONSTRUCCION PLANTA CEMENTO</t>
  </si>
  <si>
    <t>MOVIMINETO NECESARIO</t>
  </si>
  <si>
    <t>ALEJOS, RODOLFO/BONO COMPL 15-05-25/OPER</t>
  </si>
  <si>
    <t>BASTIDA, JOSE/BONO COMPL 15-05-25/OPER</t>
  </si>
  <si>
    <t>CHIRINOS, RAFAEL/BONO COMPL 15-05-25/OPER</t>
  </si>
  <si>
    <t>ALVARADO, EDDY/BONO COMPL 15-05-25/OPER</t>
  </si>
  <si>
    <t>DAZA, VICTOR/BONO COMPL 15-05-25/OPER</t>
  </si>
  <si>
    <t>GARCIA, JASON/BONO COMPL 15-05-25/OPER</t>
  </si>
  <si>
    <t>GALEANO, FRANCISCO/BONO COMPL 15-05-25/OPER</t>
  </si>
  <si>
    <t>LINAREZ, PEDRO/BONO COMPL 15-05-25/OPER</t>
  </si>
  <si>
    <t>MANZO, JESMAIYELIT/BONO COMPL 15-05-25/ADM</t>
  </si>
  <si>
    <t>GUTIERREZ, PRESCILIANO/BONO COMPL 15-05-25/OPER</t>
  </si>
  <si>
    <t>GUEDEZ JOSE/BONO COMPL 15-05-25/OPER</t>
  </si>
  <si>
    <t>LINAREZ, SANTIAGO/BONO COMPL 15-05-25/OPER</t>
  </si>
  <si>
    <t>PEREZ, JOSE ROLANDO/BONO COMPL 15-05-25/OPER</t>
  </si>
  <si>
    <t>LOPEZ ,MANOLO/BONO COMPL 15-05-25/ADM</t>
  </si>
  <si>
    <t>POLANCO, FRANKLIN/BONO COMPL 15-05-25/OPER</t>
  </si>
  <si>
    <t>MARTINEZ JUAN/BONO COMPL 15-05-25/OPER</t>
  </si>
  <si>
    <t>PEREZ, CARLOS/BONO COMPL 15-05-25/OPER</t>
  </si>
  <si>
    <t>NOGUERA, OSCAR/BONO COMPL 15-05-25/OPER</t>
  </si>
  <si>
    <t>QUERALES ,EDIXON/BONO COMPL 15-05-25/OPER</t>
  </si>
  <si>
    <t>PUERTAS, TEODORO/BONO COMPL 15-05-25/OPER</t>
  </si>
  <si>
    <t>QUERALES, HERMES/BONO COMPL 15-05-25/OPER</t>
  </si>
  <si>
    <t>RAGA NELIDO/BONO COMPL 15-05-25/ADM</t>
  </si>
  <si>
    <t>RANGEL GUSTAVO/BONO COMPL 15-05-25/ADM</t>
  </si>
  <si>
    <t>REVERON, RAMON/BONO COMPL 15-05-25/OPER</t>
  </si>
  <si>
    <t>RODRIGUEZ, MIGUEL/BONO COMPL 15-05-25/OPER</t>
  </si>
  <si>
    <t>SEGURA ,WAILEN/BONO COMPL 15-05-25/OPER</t>
  </si>
  <si>
    <t>RODRIGUEZ ANSONNY/BONO COMPL 15-05-25/OPER</t>
  </si>
  <si>
    <t>ROJAS MARIA/BONO COMPL 15-05-25/OPER</t>
  </si>
  <si>
    <t>RIVERO, JORGE/BONO COMPL 15-05-25/OPER</t>
  </si>
  <si>
    <t>SUAREZ, RAFAEL/BONO COMPL 15-05-25/OPER</t>
  </si>
  <si>
    <t>SOTELDO, LUSMAR/BONO COMPL 15-05-25/OPER</t>
  </si>
  <si>
    <t>VIELMA CARLEN/BONO COMPL 15-05-25/ADM</t>
  </si>
  <si>
    <t>VETANCOURT, BLIXANDER/BONO COMPL 15-05-25/ADM</t>
  </si>
  <si>
    <t>ALEJOS, RODOLFO/NOMINA 15-05-25/OPER</t>
  </si>
  <si>
    <t>ALVARADO, EDDY/NOMINA 15-05-25/OPER</t>
  </si>
  <si>
    <t>ZERPA, WISTON/BONO COMPL 15-05-25/OPER</t>
  </si>
  <si>
    <t>BASTIDA, JOSE/NOMINA 15-05-25/OPER</t>
  </si>
  <si>
    <t>CHIRINOS, RAFAEL/NOMINA 15-05-25/OPER</t>
  </si>
  <si>
    <t>DAZA, VICTOR/NOMINA 15-05-25/OPER</t>
  </si>
  <si>
    <t>GALEANO, FRANCISCO/NOMINA 15-05-25/OPER</t>
  </si>
  <si>
    <t>GUEDEZ JOSE/NOMINA 15-05-25/OPER</t>
  </si>
  <si>
    <t>GARCIA, JASON/NOMINA 15-05-25/OPER</t>
  </si>
  <si>
    <t>GUTIERREZ, PRESCILIANO/NOMINA 15-05-25/OPER</t>
  </si>
  <si>
    <t>LINAREZ, PEDRO/NOMINA 15-05-25/OPER</t>
  </si>
  <si>
    <t>LINAREZ, SANTIAGO/NOMINA 15-05-25/OPER</t>
  </si>
  <si>
    <t>LOPEZ ,MANOLO/NOMINA 15-05-25/ADM</t>
  </si>
  <si>
    <t>MANZO, JESMAIYELIT/NOMINA 15-05-25/ADM</t>
  </si>
  <si>
    <t>MARTINEZ JUAN/NOMINA 15-05-25/OPER</t>
  </si>
  <si>
    <t>NOGUERA, OSCAR/NOMINA 15-05-25/OPER</t>
  </si>
  <si>
    <t>PEREZ, JOSE ROLANDO/NOMINA 15-05-25/OPER</t>
  </si>
  <si>
    <t>POLANCO, FRANKLIN/NOMINA 15-05-25/OPER</t>
  </si>
  <si>
    <t>PEREZ, CARLOS/NOMINA 15-05-25/OPER</t>
  </si>
  <si>
    <t>PUERTAS, TEODORO/NOMINA 15-05-25/OPER</t>
  </si>
  <si>
    <t>QUERALES ,EDIXON/NOMINA 15-05-25/OPER</t>
  </si>
  <si>
    <t>QUERALES, HERMES/NOMINA 15-05-25/OPER</t>
  </si>
  <si>
    <t>RAGA NELIDO/NOMINA 15-05-25/ADM</t>
  </si>
  <si>
    <t>RANGEL GUSTAVO/NOMINA 15-05-25/ADM</t>
  </si>
  <si>
    <t>RIVERO, JORGE/NOMINA 15-05-25/OPER</t>
  </si>
  <si>
    <t>RODRIGUEZ ANSONNY/NOMINA 15-05-25/OPER</t>
  </si>
  <si>
    <t>RODRIGUEZ, MIGUEL/NOMINA 15-05-25/OPER</t>
  </si>
  <si>
    <t>REVERON, RAMON/NOMINA 15-05-25/OPER</t>
  </si>
  <si>
    <t>ROJAS MARIA/NOMINA 15-05-25/OPER</t>
  </si>
  <si>
    <t>SEGURA ,WAILEN/NOMINA 15-05-25/OPER</t>
  </si>
  <si>
    <t>SOTELDO, LUSMAR/NOMINA 15-05-25/OPER</t>
  </si>
  <si>
    <t>SUAREZ, RAFAEL/NOMINA 15-05-25/OPER</t>
  </si>
  <si>
    <t>VETANCOURT, BLIXANDER/NOMINA 15-05-25/ADM</t>
  </si>
  <si>
    <t>VIELMA CARLEN/NOMINA 15-05-25/ADM</t>
  </si>
  <si>
    <t>ZERPA, WISTON/NOMINA 15-05-25/OPER</t>
  </si>
  <si>
    <t>GIMENEZ,PABLO/BONO COMPL 15-05-25/OPER</t>
  </si>
  <si>
    <t>VALROCA/FACT A-1278/filtros/diesel-P/grúa telescópica-PLANTA CEMENTO</t>
  </si>
  <si>
    <t>Federico Faneite/Eventual Gobernacion 12/05/25 AL 18/05/25</t>
  </si>
  <si>
    <t>Delios Adolfo Ferrara/Eventual Agregados 12/05/25 AL 18/05/25</t>
  </si>
  <si>
    <t>Eliomar Jesús Escalona/Eventual Agregados 12/05/25 AL 18/05/25</t>
  </si>
  <si>
    <t>José Guillermo Cortez/Eventual Agregados 12/05/25 AL 18/05/25</t>
  </si>
  <si>
    <t>Darwuin Jesús Bullones/Eventual Agregados 12/05/25 AL 18/05/25</t>
  </si>
  <si>
    <t>Frank Armando García/Eventual Agregados 12/05/25 AL 18/05/25</t>
  </si>
  <si>
    <t>Alberto Luis Rojas/Eventual Agregados 12/05/25 AL 18/05/25</t>
  </si>
  <si>
    <t>Naiker Alexander Jimenez/Eventual Agregados 12/05/25 AL 18/05/25</t>
  </si>
  <si>
    <t>José Gregorio Perez/Eventual Agregados 12/05/25 AL 18/05/25</t>
  </si>
  <si>
    <t>Carlos Daniel Rodriguez/Eventual Agregados 12/05/25 AL 18/05/25</t>
  </si>
  <si>
    <t>Alejandro Morales/Eventual Agregados 12/05/25 AL 18/05/25</t>
  </si>
  <si>
    <t>Euber José Juarez/Eventual Agregados 12/05/25 AL 18/05/25</t>
  </si>
  <si>
    <t>Ali Alberto Bullones/Eventual Agregados 12/05/25 AL 18/05/25</t>
  </si>
  <si>
    <t>Alberto Ali Bullones/Eventual Agregados 12/05/25 AL 18/05/25</t>
  </si>
  <si>
    <t>Henrry Valera/Eventual Gobernacion 12/05/25 AL 18/05/25</t>
  </si>
  <si>
    <t>Fareliz Arrieche/Eventual Gobernacion 12/05/25 AL 18/05/25</t>
  </si>
  <si>
    <t>Fernando José Rodriguez/Eventual Agregados 12/05/25 AL 18/05/25</t>
  </si>
  <si>
    <t>Bruno Ali Cordero Bullones/Eventual Agregados 12/05/25 AL 18/05/25</t>
  </si>
  <si>
    <t>Brunito Segundo Cordero/Eventual Agregados 12/05/25 AL 18/05/25</t>
  </si>
  <si>
    <t>Justiniano Rodriguez/Eventual Agregados 12/05/25 AL 18/05/25</t>
  </si>
  <si>
    <t>Armando Lopez /Eventual Agregados 12/05/25 AL 18/05/25</t>
  </si>
  <si>
    <t>Froilan Lopez/Eventual Agregados 12/05/25 AL 18/05/25</t>
  </si>
  <si>
    <t>Ramón Quintero/Eventual Agregados 12/05/25 AL 18/05/25</t>
  </si>
  <si>
    <t>Exson Rodriguez/Eventual Gobernacion 12/05/25 AL 18/05/25</t>
  </si>
  <si>
    <t>Douglas Pimentel/Eventual Gobernacion 12/05/25 AL 18/05/25</t>
  </si>
  <si>
    <t>Pedro Castillo/Eventual Gobernacion 12/05/25 AL 18/05/25</t>
  </si>
  <si>
    <t>Juan López/Eventual Agregados 12/05/25 AL 18/05/25</t>
  </si>
  <si>
    <t>Jesus Ramos/Eventual Gobernacion 12/05/25 AL 18/05/25</t>
  </si>
  <si>
    <t>Miguel Torres/Eventual Gobernacion 12/05/25 AL 18/05/25</t>
  </si>
  <si>
    <t>Wendy Gimenez/Eventual Gobernacion 12/05/25 AL 18/05/25</t>
  </si>
  <si>
    <t>Nicolas Alvarez/Eventual Gobernacion 12/05/25 AL 18/05/25</t>
  </si>
  <si>
    <t>Rafael Puertas/Eventual Gobernacion 12/05/25 AL 18/05/25</t>
  </si>
  <si>
    <t>Carlos Pacheco/Eventual Gobernacion 12/05/25 AL 18/05/25</t>
  </si>
  <si>
    <t>Alirio Parra/Eventual Gobernacion 12/05/25 AL 18/05/25</t>
  </si>
  <si>
    <t>Andrés Armella/Eventual Gobernacion 12/05/25 AL 18/05/25</t>
  </si>
  <si>
    <t>Jose Toledo/Eventual Gobernacion 12/05/25 AL 18/05/25</t>
  </si>
  <si>
    <t>Juan Pinto/Eventual Gobernacion 12/05/25 AL 18/05/25</t>
  </si>
  <si>
    <t>Carlos Lopez/Eventual Agregados 12/05/25 AL 18/05/25</t>
  </si>
  <si>
    <t>Edwin Rojas/Eventual Gobernacion 12/05/25 AL 18/05/25</t>
  </si>
  <si>
    <t>Angel Caldera/Eventual Gobernacion 12/05/25 AL 18/05/25</t>
  </si>
  <si>
    <t>Rafael Quiroz/Eventual Gobernacion 12/05/25 AL 18/05/25</t>
  </si>
  <si>
    <t>Norys Ramos/Eventual Gobernacion 12/05/25 AL 18/05/25</t>
  </si>
  <si>
    <t>Argenis Flores/Eventual Megatech 12/05/25 AL 18/05/25</t>
  </si>
  <si>
    <t>Estebez Maramara/Eventual Agregados 12/05/25 AL 18/05/25</t>
  </si>
  <si>
    <t>Luis Silveiro Colon Ojeda/Eventual Agregados 12/05/25 AL 18/05/25</t>
  </si>
  <si>
    <t>Hector/Eventual Gobernacion 12/05/25 AL 18/05/25</t>
  </si>
  <si>
    <t>Pitter Puerta/Eventual Megatech 12/05/25 AL 18/05/25</t>
  </si>
  <si>
    <t>Yonny Castillo/Eventual Megatech 12/05/25 AL 18/05/25</t>
  </si>
  <si>
    <t>Walner Oviedo/Eventual Megatech 12/05/25 AL 18/05/25</t>
  </si>
  <si>
    <t>Francisco Castillo/Eventual Megatech 12/05/25 AL 18/05/25</t>
  </si>
  <si>
    <t>Antonio Castillo/Eventual Megatech 12/05/25 AL 18/05/25</t>
  </si>
  <si>
    <t>Jose Guevara/Eventual Megatech 12/05/25 AL 18/05/25</t>
  </si>
  <si>
    <t>Jose Castillo/Eventual Megatech 12/05/25 AL 18/05/25</t>
  </si>
  <si>
    <t>Elvis Valles/Eventual Megatech 12/05/25 AL 18/05/25</t>
  </si>
  <si>
    <t>Omar Torrealba/Eventual Megatech 12/05/25 AL 18/05/25</t>
  </si>
  <si>
    <t>Carlos Castillo/Eventual Megatech 12/05/25 AL 18/05/25</t>
  </si>
  <si>
    <t>Yordis Almao/Eventual Megatech 12/05/25 AL 18/05/25</t>
  </si>
  <si>
    <t>Edwuard Almeida/Eventual Megatech 12/05/25 AL 18/05/25</t>
  </si>
  <si>
    <t>Julian Guedez/Eventual Megatech 12/05/25 AL 18/05/25</t>
  </si>
  <si>
    <t>Victor Mendez/Eventual Megatech 12/05/25 AL 18/05/25</t>
  </si>
  <si>
    <t>Yerry Rodríguez/Eventual Megatech 12/05/25 AL 18/05/25</t>
  </si>
  <si>
    <t>Alberto Loyo/Eventual Megatech 12/05/25 AL 18/05/25</t>
  </si>
  <si>
    <t>Carlos Loyo/Eventual Megatech 12/05/25 AL 18/05/25</t>
  </si>
  <si>
    <t>Alirio Parra/Eventual Megatech 12/05/25 AL 18/05/25</t>
  </si>
  <si>
    <t>Alexander Castillo/Eventual Megatech 12/05/25 AL 18/05/25</t>
  </si>
  <si>
    <t>Norys Ramos/Eventual Megatech 12/05/25 AL 18/05/25</t>
  </si>
  <si>
    <t>Fareliz Arrieche/Eventual Megatech 12/05/25 AL 18/05/25</t>
  </si>
  <si>
    <t>Fares Arrieche/Eventual Megatech 12/05/25 AL 18/05/25</t>
  </si>
  <si>
    <t>Elio Malpica/Eventual Megatech 12/05/25 AL 18/05/25</t>
  </si>
  <si>
    <t>Ruben Rivas/Eventual Megatech 12/05/25 AL 18/05/25</t>
  </si>
  <si>
    <t>Emperatriz Leon/Eventual Megatech 12/05/25 AL 18/05/25</t>
  </si>
  <si>
    <t>Ingrid Reyes/Eventual Megatech 12/05/25 AL 18/05/25</t>
  </si>
  <si>
    <t>JULIO ZALAZAR/FACT 58/VENTA ARENA CERNIDA</t>
  </si>
  <si>
    <t>MATERIALES VZLA/FACT 59/VENTA ARENA CERNIDA</t>
  </si>
  <si>
    <t>JULIO ZALAZAR/FACT 60/VENTA ARENA CERNIDA</t>
  </si>
  <si>
    <t>INVE HC VZLA/FACT63/VENTA ARENA CERNIDA</t>
  </si>
  <si>
    <t>JULIO ZALAZAR/FACT 62/VENTA ARENA CERNIDA</t>
  </si>
  <si>
    <t>SIN FRONTERA RJL/REINTEGR NC04-DEV ARENA</t>
  </si>
  <si>
    <t>REINTEGRO NC04 P/LA FACT 25</t>
  </si>
  <si>
    <t>AGREGADOS/TRASPASO/MERCANTIL</t>
  </si>
  <si>
    <t>CARGOS TRANSITORIOS TRASPASOS</t>
  </si>
  <si>
    <t>AGREGADOS/TRASPASO/VZLA</t>
  </si>
  <si>
    <t>GUSTAVO RANGEL/VACACIONES</t>
  </si>
  <si>
    <t>36-2305251</t>
  </si>
  <si>
    <t>ANDRES MELENDEZ/CAMPAÑA YESO 19/05 AL 23/05</t>
  </si>
  <si>
    <t>Federico Faneite/Eventual Gobernacion 19/05/25 AL 25/05/25</t>
  </si>
  <si>
    <t>Delios Adolfo Ferrara/Eventual Agregados 19/05/25 AL 25/05/25</t>
  </si>
  <si>
    <t>Eliomar Jesús Escalona/Eventual Agregados 19/05/25 AL 25/05/25</t>
  </si>
  <si>
    <t>José Guillermo Cortez/Eventual Agregados 19/05/25 AL 25/05/25</t>
  </si>
  <si>
    <t>Darwuin Jesús Bullones/Eventual Agregados 19/05/25 AL 25/05/25</t>
  </si>
  <si>
    <t>Frank Armando García/Eventual Agregados 19/05/25 AL 25/05/25</t>
  </si>
  <si>
    <t>Alberto Luis Rojas/Eventual Agregados 19/05/25 AL 25/05/25</t>
  </si>
  <si>
    <t>Naiker Alexander Jimenez/Eventual Agregados 19/05/25 AL 25/05/25</t>
  </si>
  <si>
    <t>José Gregorio Perez/Eventual Agregados 19/05/25 AL 25/05/25</t>
  </si>
  <si>
    <t>Carlos Daniel Rodriguez/Eventual Agregados 19/05/25 AL 25/05/25</t>
  </si>
  <si>
    <t>Alejandro Morales/Eventual Agregados 19/05/25 AL 25/05/25</t>
  </si>
  <si>
    <t>Euber José Juarez/Eventual Agregados 19/05/25 AL 25/05/25</t>
  </si>
  <si>
    <t>Ali Alberto Bullones/Eventual Agregados 19/05/25 AL 25/05/25</t>
  </si>
  <si>
    <t>Alberto Ali Bullones/Eventual Agregados 19/05/25 AL 25/05/25</t>
  </si>
  <si>
    <t>Fernando José Rodriguez/Eventual Agregados 19/05/25 AL 25/05/25</t>
  </si>
  <si>
    <t>Bruno Ali Cordero Bullones/Eventual Agregados 19/05/25 AL 25/05/25</t>
  </si>
  <si>
    <t>Brunito Segundo Cordero/Eventual Agregados 19/05/25 AL 25/05/25</t>
  </si>
  <si>
    <t>Fareliz Arrieche/Eventual Gobernacion 19/05/25 AL 25/05/25</t>
  </si>
  <si>
    <t>Justiniano Rodriguez/Eventual Agregados 19/05/25 AL 25/05/25</t>
  </si>
  <si>
    <t>Armando Lopez /Eventual Agregados 19/05/25 AL 25/05/25</t>
  </si>
  <si>
    <t>Froilan Lopez/Eventual Agregados 19/05/25 AL 25/05/25</t>
  </si>
  <si>
    <t>Ramón Quintero/Eventual Agregados 19/05/25 AL 25/05/25</t>
  </si>
  <si>
    <t>Henrry Valera/Eventual Gobernacion 19/05/25 AL 25/05/25</t>
  </si>
  <si>
    <t>Juan López/Eventual Agregados 19/05/25 AL 25/05/25</t>
  </si>
  <si>
    <t>Exson Rodriguez/Eventual Gobernacion 19/05/25 AL 25/05/25</t>
  </si>
  <si>
    <t>Jesus Ramos/Eventual Gobernacion 19/05/25 AL 25/05/25</t>
  </si>
  <si>
    <t>Douglas Pimentel/Eventual Gobernacion 19/05/25 AL 25/05/25</t>
  </si>
  <si>
    <t>Miguel Torres/Eventual Gobernacion 19/05/25 AL 25/05/25</t>
  </si>
  <si>
    <t>Wendy Gimenez/Eventual Gobernacion 19/05/25 AL 25/05/25</t>
  </si>
  <si>
    <t>Pedro Castillo/Eventual Gobernacion 19/05/25 AL 25/05/25</t>
  </si>
  <si>
    <t>Nicolas Alvarez/Eventual Gobernacion 19/05/25 AL 25/05/25</t>
  </si>
  <si>
    <t>Rafael Puertas/Eventual Gobernacion 19/05/25 AL 25/05/25</t>
  </si>
  <si>
    <t>Carlos Pacheco/Eventual Gobernacion 19/05/25 AL 25/05/25</t>
  </si>
  <si>
    <t>Andrés Armella/Eventual Gobernacion 19/05/25 AL 25/05/25</t>
  </si>
  <si>
    <t>Alirio Parra/Eventual Gobernacion 19/05/25 AL 25/05/25</t>
  </si>
  <si>
    <t>Jose Toledo/Eventual Gobernacion 19/05/25 AL 25/05/25</t>
  </si>
  <si>
    <t>Juan Pinto/Eventual Gobernacion 19/05/25 AL 25/05/25</t>
  </si>
  <si>
    <t>Carlos Lopez/Eventual Agregados 19/05/25 AL 25/05/25</t>
  </si>
  <si>
    <t>Angel Caldera/Eventual Gobernacion 19/05/25 AL 25/05/25</t>
  </si>
  <si>
    <t>Edwin Rojas/Eventual Gobernacion 19/05/25 AL 25/05/25</t>
  </si>
  <si>
    <t>Hector/Eventual Gobernacion 19/05/25 AL 25/05/25</t>
  </si>
  <si>
    <t>Norys Ramos/Eventual Gobernacion 19/05/25 AL 25/05/25</t>
  </si>
  <si>
    <t>Luis Silveiro Colon Ojeda/Eventual Agregados 19/05/25 AL 25/05/25</t>
  </si>
  <si>
    <t>Estebez Maramara/Eventual Agregados 19/05/25 AL 25/05/25</t>
  </si>
  <si>
    <t>Rafael Quiroz/Eventual Gobernacion 19/05/25 AL 25/05/25</t>
  </si>
  <si>
    <t>Argenis Flores/Eventual Megatech 19/05/25 AL 25/05/25</t>
  </si>
  <si>
    <t>Pitter Puerta/Eventual Megatech 19/05/25 AL 25/05/25</t>
  </si>
  <si>
    <t>Walner Oviedo/Eventual Megatech 19/05/25 AL 25/05/25</t>
  </si>
  <si>
    <t>Yonny Castillo/Eventual Megatech 19/05/25 AL 25/05/25</t>
  </si>
  <si>
    <t>Francisco Castillo/Eventual Megatech 19/05/25 AL 25/05/25</t>
  </si>
  <si>
    <t>Antonio Castillo/Eventual Megatech 19/05/25 AL 25/05/25</t>
  </si>
  <si>
    <t>Jose Guevara/Eventual Megatech 19/05/25 AL 25/05/25</t>
  </si>
  <si>
    <t>Jose Castillo/Eventual Megatech 19/05/25 AL 25/05/25</t>
  </si>
  <si>
    <t>Elvis Valles/Eventual Megatech 19/05/25 AL 25/05/25</t>
  </si>
  <si>
    <t>Omar Torrealba/Eventual Megatech 19/05/25 AL 25/05/25</t>
  </si>
  <si>
    <t>Carlos Castillo/Eventual Megatech 19/05/25 AL 25/05/25</t>
  </si>
  <si>
    <t>Julian Guedez/Eventual Megatech 19/05/25 AL 25/05/25</t>
  </si>
  <si>
    <t>Yordis Almao/Eventual Megatech 19/05/25 AL 25/05/25</t>
  </si>
  <si>
    <t>Victor Mendez/Eventual Megatech 19/05/25 AL 25/05/25</t>
  </si>
  <si>
    <t>Carlos Loyo/Eventual Megatech 19/05/25 AL 25/05/25</t>
  </si>
  <si>
    <t>Alberto Loyo/Eventual Megatech 19/05/25 AL 25/05/25</t>
  </si>
  <si>
    <t>Edwuard Almeida/Eventual Megatech 19/05/25 AL 25/05/25</t>
  </si>
  <si>
    <t>Yerry Rodríguez/Eventual Megatech 19/05/25 AL 25/05/25</t>
  </si>
  <si>
    <t>Alexander Castillo/Eventual Megatech 19/05/25 AL 25/05/25</t>
  </si>
  <si>
    <t>Alirio Parra/Eventual Megatech 19/05/25 AL 25/05/25</t>
  </si>
  <si>
    <t>Elio Malpica/Eventual Megatech 19/05/25 AL 25/05/25</t>
  </si>
  <si>
    <t>Ruben Rivas/Eventual Megatech 19/05/25 AL 25/05/25</t>
  </si>
  <si>
    <t>Fareliz Arrieche/Eventual Megatech 19/05/25 AL 25/05/25</t>
  </si>
  <si>
    <t>Fares Arrieche/Eventual Megatech 19/05/25 AL 25/05/25</t>
  </si>
  <si>
    <t>Norys Ramos/Eventual Megatech 19/05/25 AL 25/05/25</t>
  </si>
  <si>
    <t>Emperatriz Leon/Eventual Megatech 19/05/25 AL 25/05/25</t>
  </si>
  <si>
    <t>Ingrid Reyes/Eventual Megatech 19/05/25 AL 25/05/25</t>
  </si>
  <si>
    <t>DIOSANNY ALVAREZ/FACT313/VIATICOS</t>
  </si>
  <si>
    <t>FERREMATERIALES MILLER/FACT 21057/ELECTRODOS-TRABAJO P/INDU</t>
  </si>
  <si>
    <t>IMPORCAUCHOS/FACT 211/CAUCHOS P/LAS PATRULLAS</t>
  </si>
  <si>
    <t>COLABORACIONES/DONACIONES</t>
  </si>
  <si>
    <t>ALIMENTOS/FACT 29574-29568-FUE PAGADO P/ERROR CTA TRANSPORTE-REALIZO EL REINTEGRO</t>
  </si>
  <si>
    <t>TRANSPORTE/ERROR DE PAGO/REINTEGRO</t>
  </si>
  <si>
    <t>REINTEGRO TRANSPORTES/ERROR DE PROVEREDOR</t>
  </si>
  <si>
    <t xml:space="preserve">TRANSPORTE TDC/FACT65/BLOQUES-GRANZON </t>
  </si>
  <si>
    <t>VENTA DE BLOQUES-GRANZON</t>
  </si>
  <si>
    <t>AGROPECUARIA/FACT64/VENTA GRAZON-ARENA-CANTO</t>
  </si>
  <si>
    <t>VENTA GRAZON MT3-ARENA CERNIDA</t>
  </si>
  <si>
    <t>TRANSPORTE NJG/FACT 0857/PRODUCTO LIMPIEZA-CEMENTERA</t>
  </si>
  <si>
    <t>MILLER/ADELANT FACT/MATERIAL HINDU</t>
  </si>
  <si>
    <t>PROCESADA EN SEPTIEMBRE</t>
  </si>
  <si>
    <t>NR INDUSTRIAL/FACT 6295/IMPLEMENTO SEGURIDAD-MINERALES</t>
  </si>
  <si>
    <t>PAMPA INDUSTRIAL/FACT18684/LENTES SEGURIDAD-MINERALES</t>
  </si>
  <si>
    <t>USSAIMPORT21/FACT 003/RADIO TRAMISION-P/COMUNICACIÓN-PLANTA GENERAL</t>
  </si>
  <si>
    <t>ALIMENTOS/FACT 568-574/BENEFICIO EMPLEADOS-DESCAPCHO</t>
  </si>
  <si>
    <t xml:space="preserve">ALIMENTOS/FACT29574/BENEFICIO MAYO </t>
  </si>
  <si>
    <t>ALIMENTOS/FACT29568/HARINA-CAFÉ-DESPAC 12/05 AL 16-05</t>
  </si>
  <si>
    <t>DIOSANNY ALVAREZ/FACT261/DIFE</t>
  </si>
  <si>
    <t>Federico Faneite/Eventual Gobernacion 26/05/25 AL 01/06/25</t>
  </si>
  <si>
    <t>Henrry Valera/Eventual Gobernacion 26/05/25 AL 01/06/25</t>
  </si>
  <si>
    <t>Delios Adolfo Ferrara/Eventual Agregados 26/05/25 AL 01/06/25</t>
  </si>
  <si>
    <t>Eliomar Jesús Escalona/Eventual Agregados 26/05/25 AL 01/06/25</t>
  </si>
  <si>
    <t>José Guillermo Cortez/Eventual Agregados 26/05/25 AL 01/06/25</t>
  </si>
  <si>
    <t>Darwuin Jesús Bullones/Eventual Agregados 26/05/25 AL 01/06/25</t>
  </si>
  <si>
    <t>Frank Armando García/Eventual Agregados 26/05/25 AL 01/06/25</t>
  </si>
  <si>
    <t>Alberto Luis Rojas/Eventual Agregados 26/05/25 AL 01/06/25</t>
  </si>
  <si>
    <t>Naiker Alexander Jimenez/Eventual Agregados 26/05/25 AL 01/06/25</t>
  </si>
  <si>
    <t>José Gregorio Perez/Eventual Agregados 26/05/25 AL 01/06/25</t>
  </si>
  <si>
    <t>Carlos Daniel Rodriguez/Eventual Agregados 26/05/25 AL 01/06/25</t>
  </si>
  <si>
    <t>Alejandro Morales/Eventual Agregados 26/05/25 AL 01/06/25</t>
  </si>
  <si>
    <t>Euber José Juarez/Eventual Agregados 26/05/25 AL 01/06/25</t>
  </si>
  <si>
    <t>Fareliz Arrieche/Eventual Gobernacion 26/05/25 AL 01/06/25</t>
  </si>
  <si>
    <t>Ali Alberto Bullones/Eventual Agregados 26/05/25 AL 01/06/25</t>
  </si>
  <si>
    <t>Brunito Segundo Cordero/Eventual Agregados 26/05/25 AL 01/06/25</t>
  </si>
  <si>
    <t>Justiniano Rodriguez/Eventual Agregados 26/05/25 AL 01/06/25</t>
  </si>
  <si>
    <t>Armando Lopez /Eventual Agregados 26/05/25 AL 01/06/25</t>
  </si>
  <si>
    <t>Froilan Lopez/Eventual Agregados 26/05/25 AL 01/06/25</t>
  </si>
  <si>
    <t>Ramón Quintero/Eventual Agregados 26/05/25 AL 01/06/25</t>
  </si>
  <si>
    <t>Alirio Parra/Eventual Gobernacion 26/05/25 AL 01/06/25</t>
  </si>
  <si>
    <t>Alberto Ali Bullones/Eventual Agregados 26/05/25 AL 01/06/25</t>
  </si>
  <si>
    <t>Fernando José Rodriguez/Eventual Agregados 26/05/25 AL 01/06/25</t>
  </si>
  <si>
    <t>Juan López/Eventual Agregados 26/05/25 AL 01/06/25</t>
  </si>
  <si>
    <t>Jesus Ramos/Eventual Gobernacion 26/05/25 AL 01/06/25</t>
  </si>
  <si>
    <t>Exson Rodriguez/Eventual Gobernacion 26/05/25 AL 01/06/25</t>
  </si>
  <si>
    <t>Douglas Pimentel/Eventual Gobernacion 26/05/25 AL 01/06/25</t>
  </si>
  <si>
    <t>Miguel Torres/Eventual Gobernacion 26/05/25 AL 01/06/25</t>
  </si>
  <si>
    <t>Nicolas Alvarez/Eventual Gobernacion 26/05/25 AL 01/06/25</t>
  </si>
  <si>
    <t>Pedro Castillo/Eventual Gobernacion 26/05/25 AL 01/06/25</t>
  </si>
  <si>
    <t>Rafael Puertas/Eventual Gobernacion 26/05/25 AL 01/06/25</t>
  </si>
  <si>
    <t>Carlos Pacheco/Eventual Gobernacion 26/05/25 AL 01/06/25</t>
  </si>
  <si>
    <t>Angel Caldera/Eventual Gobernacion 26/05/25 AL 01/06/25</t>
  </si>
  <si>
    <t>Andrés Armella/Eventual Gobernacion 26/05/25 AL 01/06/25</t>
  </si>
  <si>
    <t>Carlos Lopez/Eventual Agregados 26/05/25 AL 01/06/25</t>
  </si>
  <si>
    <t>Jose Toledo/Eventual Gobernacion 26/05/25 AL 01/06/25</t>
  </si>
  <si>
    <t>Juan Pinto/Eventual Gobernacion 26/05/25 AL 01/06/25</t>
  </si>
  <si>
    <t>Wendy Gimenez/Eventual Gobernacion 26/05/25 AL 01/06/25</t>
  </si>
  <si>
    <t>Estebez Maramara/Eventual Agregados 26/05/25 AL 01/06/25</t>
  </si>
  <si>
    <t>Edwin Rojas/Eventual Gobernacion 26/05/25 AL 01/06/25</t>
  </si>
  <si>
    <t>Bruno Ali Cordero Bullones/Eventual Agregados 26/05/25 AL 01/06/25</t>
  </si>
  <si>
    <t>Argenis Flores/Eventual Megatech 26/05/25 AL 01/06/25</t>
  </si>
  <si>
    <t>Rafael Quiroz/Eventual Gobernacion 26/05/25 AL 01/06/25</t>
  </si>
  <si>
    <t>Hector/Eventual Gobernacion 26/05/25 AL 01/06/25</t>
  </si>
  <si>
    <t>Norys Ramos/Eventual Gobernacion 26/05/25 AL 01/06/25</t>
  </si>
  <si>
    <t>Luis Silveiro Colon Ojeda/Eventual Agregados 26/05/25 AL 01/06/25</t>
  </si>
  <si>
    <t>Yonny Castillo/Eventual Megatech 26/05/25 AL 01/06/25</t>
  </si>
  <si>
    <t>Pitter Puerta/Eventual Megatech 26/05/25 AL 01/06/25</t>
  </si>
  <si>
    <t>Walner Oviedo/Eventual Megatech 26/05/25 AL 01/06/25</t>
  </si>
  <si>
    <t>Francisco Castillo/Eventual Megatech 26/05/25 AL 01/06/25</t>
  </si>
  <si>
    <t>Antonio Castillo/Eventual Megatech 26/05/25 AL 01/06/25</t>
  </si>
  <si>
    <t>Jose Guevara/Eventual Megatech 26/05/25 AL 01/06/25</t>
  </si>
  <si>
    <t>Jose Castillo/Eventual Megatech 26/05/25 AL 01/06/25</t>
  </si>
  <si>
    <t>Elvis Valles/Eventual Megatech 26/05/25 AL 01/06/25</t>
  </si>
  <si>
    <t>Omar Torrealba/Eventual Megatech 26/05/25 AL 01/06/25</t>
  </si>
  <si>
    <t>Carlos Castillo/Eventual Megatech 26/05/25 AL 01/06/25</t>
  </si>
  <si>
    <t>Julian Guedez/Eventual Megatech 26/05/25 AL 01/06/25</t>
  </si>
  <si>
    <t>Yordis Almao/Eventual Megatech 26/05/25 AL 01/06/25</t>
  </si>
  <si>
    <t>Alexander Castillo/Eventual Megatech 26/05/25 AL 01/06/25</t>
  </si>
  <si>
    <t>Victor Mendez/Eventual Megatech 26/05/25 AL 01/06/25</t>
  </si>
  <si>
    <t>Yerry Rodríguez/Eventual Megatech 26/05/25 AL 01/06/25</t>
  </si>
  <si>
    <t>Carlos Loyo/Eventual Megatech 26/05/25 AL 01/06/25</t>
  </si>
  <si>
    <t>Alberto Loyo/Eventual Megatech 26/05/25 AL 01/06/25</t>
  </si>
  <si>
    <t>Alirio Parra/Eventual Megatech 26/05/25 AL 01/06/25</t>
  </si>
  <si>
    <t>Elio Malpica/Eventual Megatech 26/05/25 AL 01/06/25</t>
  </si>
  <si>
    <t>Fareliz Arrieche/Eventual Megatech 26/05/25 AL 01/06/25</t>
  </si>
  <si>
    <t>Norys Ramos/Eventual Megatech 26/05/25 AL 01/06/25</t>
  </si>
  <si>
    <t>Ruben Rivas/Eventual Megatech 26/05/25 AL 01/06/25</t>
  </si>
  <si>
    <t>Emperatriz Leon/Eventual Megatech 26/05/25 AL 01/06/25</t>
  </si>
  <si>
    <t>Fares Arrieche/Eventual Megatech 26/05/25 AL 01/06/25</t>
  </si>
  <si>
    <t>Ingrid Reyes/Eventual Megatech 26/05/25 AL 01/06/25</t>
  </si>
  <si>
    <t>COMI MANTENIMIENTO DE CUENTA</t>
  </si>
  <si>
    <t>0329292345539</t>
  </si>
  <si>
    <t>0329292349156</t>
  </si>
  <si>
    <t>AGRO TENDENCIAS/FACT55/VENTA MATERIALES</t>
  </si>
  <si>
    <t>VENTA GRANZO-CONCRETO-CEMENTO</t>
  </si>
  <si>
    <t>WILLIAM RIVAS/CAMPAÑA YESO 14/05 AL 20/05</t>
  </si>
  <si>
    <t>LINO FLOREZ/CAMPAÑA YESO 14/05 AL 20/05</t>
  </si>
  <si>
    <t>LEONARDO CHIRINO/CAMPAÑA YESO 14/05 AL 20/05</t>
  </si>
  <si>
    <t>MATERIALES SANTA LUCIA, C.A./ FACT 5295/MINERALES</t>
  </si>
  <si>
    <t xml:space="preserve">OLGA OROZCO/OPERADOR TOPOGRAFICO </t>
  </si>
  <si>
    <t>45-020525</t>
  </si>
  <si>
    <t>AURELIANO LEON/CAMPAÑA YESO 14/05 AL 20/05</t>
  </si>
  <si>
    <t>MATERIALES SANTA LUCIA, C.A./FACT 5296/PLANTA DE CEMENTO</t>
  </si>
  <si>
    <t>12-020525</t>
  </si>
  <si>
    <t>PAGO ERRADO/NORYS RAMOS/RESFRIGERIO P/TOPOGRAFO 21/04 AL 30/04</t>
  </si>
  <si>
    <t>PAGO ERRADO/BANCO</t>
  </si>
  <si>
    <t>MIGUEL RODRIGUEZ/RECARGA CAJA CHICA-1</t>
  </si>
  <si>
    <t>R&amp;A CONSTRU/FACT 21/INSTA TECHO CERRAMIENTO-TOLVA</t>
  </si>
  <si>
    <t>FREDDY MENDOZA/CAMPAÑA YESO 14/05 AL 20/05</t>
  </si>
  <si>
    <t>DAYANA AZUAJE/CAMPAÑA YESO 14/05 AL 20/05</t>
  </si>
  <si>
    <t>JEFFERSON DAVILA/CAMPAÑA YESO 14/05 AL 20/05</t>
  </si>
  <si>
    <t>BEATRIZ CASTILLO/CAMPAÑA YESO 14/05 AL 20/05</t>
  </si>
  <si>
    <t>RAMON QUIROGAS/CAMPAÑA YESO 14/05 AL 20/05</t>
  </si>
  <si>
    <t>COMERCIAL SUPER VZLA/FACT 14377/BOMBONES D/MADRES</t>
  </si>
  <si>
    <t>0270900000013</t>
  </si>
  <si>
    <t xml:space="preserve">DEVUELTA NORYS RAMOS/RESFRIGERIO P/TOPOGRAFO 21/04 AL 30/04     </t>
  </si>
  <si>
    <t>0592318904326</t>
  </si>
  <si>
    <t>LA DECLARACION PENSIONES/PERIODO ABRIL 2025</t>
  </si>
  <si>
    <t>02-020525</t>
  </si>
  <si>
    <t>0828624515338</t>
  </si>
  <si>
    <t xml:space="preserve">BANAVIH/PERIODO ABRIL 2025              </t>
  </si>
  <si>
    <t>03-050525</t>
  </si>
  <si>
    <t>0100724517346</t>
  </si>
  <si>
    <t xml:space="preserve">IVSS/PERIODO ABRIL 2025                     </t>
  </si>
  <si>
    <t>0598118706665</t>
  </si>
  <si>
    <t>SAPI/REGISTRO MARCA MINERALES AB</t>
  </si>
  <si>
    <t>08-060525</t>
  </si>
  <si>
    <t>9884806052025</t>
  </si>
  <si>
    <t>0329287387609</t>
  </si>
  <si>
    <t>AUTO PREMIER/FACT 0119/20RINES P/CAMIONES PLANTA CEMENTO</t>
  </si>
  <si>
    <t>0676287387609</t>
  </si>
  <si>
    <t>0329292923451</t>
  </si>
  <si>
    <t xml:space="preserve">HUMBERTO FRANCO /FACT 197/Inversion Pintura general en planta de Minerales Yracuy </t>
  </si>
  <si>
    <t xml:space="preserve">VENFA/ FACT A-0077/ REPARACION DEL UNICO CARGADOR- VOLO  DIPONIBLE </t>
  </si>
  <si>
    <t>corporacion erds industrial/fact 1764/Nylon para desmalezadora (minerales)</t>
  </si>
  <si>
    <t xml:space="preserve">DISTRIBUIDORA FLORICOLOR DEL OESTE, C.A/ FACT 1465/ planta de Minerales Yracuy </t>
  </si>
  <si>
    <t>INVERSIONES Y MATERIALES PARRA C.A./FACT 755/ FOTOCELDA</t>
  </si>
  <si>
    <t xml:space="preserve">CORPORACION ERDS/FACT 1764/Inversion para area de empaque de Compresor en Minerales Yaracuy </t>
  </si>
  <si>
    <t>Justiniano Rodriguez/Eventual Agregados 05/05 AL 11/05</t>
  </si>
  <si>
    <t>Delios Adolfo Ferrara/Eventual Agregados 05/05 AL 11/05</t>
  </si>
  <si>
    <t>Naiker Alexander Jimenez/Eventual Agregados 05/05 AL 11/05</t>
  </si>
  <si>
    <t>Bruno Ali Cordero Bullones/Eventual Agregados 05/05 AL 11/05</t>
  </si>
  <si>
    <t>Euber José Juarez/Eventual Agregados 05/05 AL 11/05</t>
  </si>
  <si>
    <t>Ali Alberto Bullones/Eventual Agregados 05/05 AL 11/05</t>
  </si>
  <si>
    <t>Carlos Daniel Rodriguez/Eventual Agregados 05/05 AL 11/05</t>
  </si>
  <si>
    <t>Eliomar Jesús Escalona/Eventual Agregados 05/05 AL 11/05</t>
  </si>
  <si>
    <t>José Guillermo Cortez/Eventual Agregados 05/05 AL 11/05</t>
  </si>
  <si>
    <t>Frank Armando García/Eventual Agregados 05/05 AL 11/05</t>
  </si>
  <si>
    <t>Alberto Luis Rojas/Eventual Agregados 05/05 AL 11/05</t>
  </si>
  <si>
    <t>José Gregorio Perez/Eventual Agregados 05/05 AL 11/05</t>
  </si>
  <si>
    <t>Alberto Ali Bullones/Eventual Agregados 05/05 AL 11/05</t>
  </si>
  <si>
    <t>Fernando José Rodriguez/Eventual Agregados 05/05 AL 11/05</t>
  </si>
  <si>
    <t>Darwuin Jesús Bullones/Eventual Agregados 05/05 AL 11/05</t>
  </si>
  <si>
    <t>Alejandro Morales/Eventual Agregados 05/05 AL 11/05</t>
  </si>
  <si>
    <t>Carlos Lopez/Eventual Agregados 05/05 AL 11/05</t>
  </si>
  <si>
    <t>Henrry Valera/Eventual Gobernacion 05/05 AL 11/05</t>
  </si>
  <si>
    <t>Federico Faneite/Eventual Gobernacion 05/05 AL 11/05</t>
  </si>
  <si>
    <t>Juan López/Eventual Agregados 05/05 AL 11/05</t>
  </si>
  <si>
    <t>Armando Lopez /Eventual Agregados 05/05 AL 11/05</t>
  </si>
  <si>
    <t>Luis Silveiro Colon Ojeda/Eventual Agregados 05/05 AL 11/05</t>
  </si>
  <si>
    <t>Brunito Segundo Cordero/Eventual Agregados 05/05 AL 11/05</t>
  </si>
  <si>
    <t>Ramón Quintero/Eventual Agregados 05/05 AL 11/05</t>
  </si>
  <si>
    <t>Jesus Ramos/Eventual Gobernacion 05/05 AL 11/05</t>
  </si>
  <si>
    <t>Exson Rodriguez/Eventual Gobernacion 05/05 AL 11/05</t>
  </si>
  <si>
    <t>Victor Mendez/Eventual Megatech 05/05 AL 11/05</t>
  </si>
  <si>
    <t>Francisco Castillo/Eventual Megatech 05/05 AL 11/05</t>
  </si>
  <si>
    <t>Antonio Castillo/Eventual Megatech 05/05 AL 11/05</t>
  </si>
  <si>
    <t>Omar Torrealba/Eventual Megatech 05/05 AL 11/05</t>
  </si>
  <si>
    <t>Jose Toledo/Eventual Gobernacion 05/05 AL 11/05</t>
  </si>
  <si>
    <t>Nicolas Alvarez/Eventual Gobernacion 05/05 AL 11/05</t>
  </si>
  <si>
    <t>Rafael Puertas/Eventual Gobernacion 05/05 AL 11/05</t>
  </si>
  <si>
    <t>Juan Pinto/Eventual Gobernacion 05/05 AL 11/05</t>
  </si>
  <si>
    <t>Edwin Rojas/Eventual Gobernacion 05/05 AL 11/05</t>
  </si>
  <si>
    <t>Andrés Armella/Eventual Gobernacion 05/05 AL 11/05</t>
  </si>
  <si>
    <t>Emperatriz Leon/Eventual Megatech 05/05 AL 11/05</t>
  </si>
  <si>
    <t>Angel Caldera/Eventual Gobernacion 05/05 AL 11/05</t>
  </si>
  <si>
    <t>Alirio Parra/Eventual Megatech 05/05 AL 11/05</t>
  </si>
  <si>
    <t>Fareliz Arrieche/Eventual Gobernacion 05/05 AL 11/05</t>
  </si>
  <si>
    <t>Hector/Eventual Gobernacion 05/05 AL 11/05</t>
  </si>
  <si>
    <t>Rafael Quiroz/Eventual Gobernacion 05/05 AL 11/05</t>
  </si>
  <si>
    <t>Froilan Lopez/Eventual Agregados 05/05 AL 11/05</t>
  </si>
  <si>
    <t>Alirio Parra/Eventual Gobernacion 05/05 AL 11/05</t>
  </si>
  <si>
    <t>Norys Ramos/Eventual Gobernacion 05/05 AL 11/05</t>
  </si>
  <si>
    <t>Argenis Flores/Eventual Megatech 05/05 AL 11/05</t>
  </si>
  <si>
    <t>Pitter Puerta/Eventual Megatech 05/05 AL 11/05</t>
  </si>
  <si>
    <t>Walner Oviedo/Eventual Megatech 05/05 AL 11/05</t>
  </si>
  <si>
    <t>Pedro Castillo/Eventual Gobernacion 05/05 AL 11/05</t>
  </si>
  <si>
    <t>Jose Guevara/Eventual Megatech 05/05 AL 11/05</t>
  </si>
  <si>
    <t>Alberto Loyo/Eventual Megatech 05/05 AL 11/05</t>
  </si>
  <si>
    <t>Carlos Castillo/Eventual Megatech 05/05 AL 11/05</t>
  </si>
  <si>
    <t>Yordis Almao/Eventual Megatech 05/05 AL 11/05</t>
  </si>
  <si>
    <t>Yonny Castillo/Eventual Megatech 05/05 AL 11/05</t>
  </si>
  <si>
    <t>Alexander Castillo/Eventual Megatech 05/05 AL 11/05</t>
  </si>
  <si>
    <t>Julian Guedez/Eventual Megatech 05/05 AL 11/05</t>
  </si>
  <si>
    <t>Jose Castillo/Eventual Megatech 05/05 AL 11/05</t>
  </si>
  <si>
    <t>Miguel Torres/Eventual Gobernacion 05/05 AL 11/05</t>
  </si>
  <si>
    <t>Douglas Pimentel/Eventual Gobernacion 05/05 AL 11/05</t>
  </si>
  <si>
    <t>Wendy Gimenez/Eventual Gobernacion 05/05 AL 11/05</t>
  </si>
  <si>
    <t>Carlos Loyo/Eventual Megatech 05/05 AL 11/05</t>
  </si>
  <si>
    <t>Elvis Valles/Eventual Megatech 05/05 AL 11/05</t>
  </si>
  <si>
    <t>Elio Malpica/Eventual Megatech 05/05 AL 11/05</t>
  </si>
  <si>
    <t>Yerry Rodríguez/Eventual Megatech 05/05 AL 11/05</t>
  </si>
  <si>
    <t>Edwuard Almeida/Eventual Megatech 05/05 AL 11/05</t>
  </si>
  <si>
    <t>Ruben Rivas/Eventual Megatech 05/05 AL 11/05</t>
  </si>
  <si>
    <t>Ingrid Reyes/Eventual Megatech 05/05 AL 11/05</t>
  </si>
  <si>
    <t>Estebez Maramara/Eventual Agregados 05/05 AL 11/05</t>
  </si>
  <si>
    <t>Fareliz Arrieche/Eventual Megatech 05/05 AL 11/05</t>
  </si>
  <si>
    <t>Norys Ramos/Eventual Megatech 05/05 AL 11/05</t>
  </si>
  <si>
    <t>Fares Arrieche/Eventual Megatech 05/05 AL 11/05</t>
  </si>
  <si>
    <t>Carlos Pacheco/Eventual Gobernacion 05/05 AL 11/05</t>
  </si>
  <si>
    <t>0329293158455</t>
  </si>
  <si>
    <t>0329295805677</t>
  </si>
  <si>
    <t xml:space="preserve">PROMIRCA/FACT 000988/ MANGUERAS HIDRAULICAS </t>
  </si>
  <si>
    <t xml:space="preserve">ARIWDDY ROSELY GARRIDO/FACT 000033/ ANALISIS DE MUESTRA </t>
  </si>
  <si>
    <t>ALQUILER VALLA P/INFORM EXTRACCION GRANZON (MARZO/ABRIL 2025)</t>
  </si>
  <si>
    <t>08-1205251</t>
  </si>
  <si>
    <t>0329296168124</t>
  </si>
  <si>
    <t xml:space="preserve">FERRETERIA Y MATERIALES OBRA GRIS 2021 C.A/FACT 251/MATERIALES DE COSTRUCCION </t>
  </si>
  <si>
    <t>SUMINISTROS OFFITECNOLOGIES C.A./FACT 14718/ART. DE LA OFICINA</t>
  </si>
  <si>
    <t xml:space="preserve">LISO/FACT 609/CONFF INST ESTRUCTURA METALICA P/TECHADO  </t>
  </si>
  <si>
    <t>FERRETERIA Y MATERIALESOBRA GRIS 20/FACT 000252/ OBRA CIVILES /PLANTA CEMENTERA</t>
  </si>
  <si>
    <t>0329296307635</t>
  </si>
  <si>
    <t>INVERSIONES Y MATERIALES PARRA C.A./FACT 764/ ANGULOS P/PERSONAL/PLANTA DE CEMENTO</t>
  </si>
  <si>
    <t>TALLER MOLI/FACT 2646/REPA 4TERMINLES/4RODILLOS FRENOS-MINERALES</t>
  </si>
  <si>
    <t>EL MIO CARRO/FACT 5210/CAUCHOS PARA GRUA</t>
  </si>
  <si>
    <t>MULTISERVICIOS JR 2016, C.A/FACT 00095/REPUESTO VEHICULO</t>
  </si>
  <si>
    <t>NULTISERVICIO JR 2016/FACT 0099/PAGO SERVICIOS VARIOS HILUX AGREGADOS</t>
  </si>
  <si>
    <t>0329296574636</t>
  </si>
  <si>
    <t xml:space="preserve">COMERCIALIZADORA/INVERSION DE CAPITAL/VZLA </t>
  </si>
  <si>
    <t xml:space="preserve">MULTISERVICIOS GARQUIS/FACT 06/FABRICA INSTAC BARANDA SEGURIDAD </t>
  </si>
  <si>
    <t>SERVA046</t>
  </si>
  <si>
    <t>CONSTRUCCION/MANO DE OBRA</t>
  </si>
  <si>
    <t xml:space="preserve">CORPORACION ERDS INDUSTRIAL S.A/FACT  1788/CERRADURA </t>
  </si>
  <si>
    <t>0329299246351</t>
  </si>
  <si>
    <t>0329299249941</t>
  </si>
  <si>
    <t>OLGA OROZCO/HOSPEDAJE CALIZA 12/05 AL 16/05</t>
  </si>
  <si>
    <t>45-160525</t>
  </si>
  <si>
    <t>JOSE CASTILLO/CAMPAÑA YESO 12/05 AL 16/05</t>
  </si>
  <si>
    <t>MATERIALES SANTA LUCIA/ FACT 5346/ CEMENTERA</t>
  </si>
  <si>
    <t>LEONARDO CHIRINO /CAMPAÑA YESO 12/05 AL 16/05</t>
  </si>
  <si>
    <t>JEFERSON DAVILA /CAMPAÑA YESO 12/05 AL 16/05</t>
  </si>
  <si>
    <t>WILLIAN RIVAS/CAMPAÑA YESO 12/05 AL 16/05</t>
  </si>
  <si>
    <t>12-160525</t>
  </si>
  <si>
    <t>BEATRIZ CASTILLO/CAMPAÑA YESO 12/05 AL 16/05</t>
  </si>
  <si>
    <t xml:space="preserve">EMPRENDIMIENTO DIOSANNY ALVAREZ/ FACT 000095/ALMUERZOS </t>
  </si>
  <si>
    <t>GLOBAL ACERO/FACT0061/TUBOS HIERROS P/PERSONAL HINDU-P/CEMENTO</t>
  </si>
  <si>
    <t>FREDDY MENDOZA/CAMPAÑA YESO 12/05 AL 16/05</t>
  </si>
  <si>
    <t xml:space="preserve">EMPRENDIEMIENTO DIOSANNY /FACT 002833/ ALMUERZOS Y VIATICOS </t>
  </si>
  <si>
    <t>DAYANA ASUAJE/CAMPAÑA YESO 12/05 AL 16/05</t>
  </si>
  <si>
    <t>CREACIONES LO MAXIMO C A/ FACT FA00680109/BOTAS DE SEGURIDAD P/PERSONAL</t>
  </si>
  <si>
    <t>SERVA020</t>
  </si>
  <si>
    <t>GASTOS UNIFORME Y DOTACIONES</t>
  </si>
  <si>
    <t>DISTRIBUIDORA FLORICOLOR DEL ESTE /FACT 7731/SACOS Y BROCHAS/MINERALES</t>
  </si>
  <si>
    <t>RAMON QUIROGAS/CAMPAÑA YESO 12/05 AL 16/05</t>
  </si>
  <si>
    <t>ELIAN MENSOZA/CAMPAÑA YESO 12/05 AL 16/05</t>
  </si>
  <si>
    <t xml:space="preserve">YEAN CARLOS YARAURE/FACT 000039/VIAJE DE CISTERNA </t>
  </si>
  <si>
    <t>SERVL004E</t>
  </si>
  <si>
    <t xml:space="preserve">VIAJE DE AGUA CISTERNA </t>
  </si>
  <si>
    <t>NORYS RAMOS/RESFRIGERIO TOPOGRAFO 12/05 AL 16/05</t>
  </si>
  <si>
    <t>13-160525</t>
  </si>
  <si>
    <t>MIGUEL/REPOSICION DE CAJA CHICA</t>
  </si>
  <si>
    <t>REPOSICION DE CAJA CHICA</t>
  </si>
  <si>
    <t>0329299413210</t>
  </si>
  <si>
    <t>ELIGIO ANTONIO GONZALEZ/FACT 273/ EXPLORACION Y DELIMITACION</t>
  </si>
  <si>
    <t>MATERIALES OBRAS GRIS/FACT 256/CEMENTERA</t>
  </si>
  <si>
    <t>FERRETERIA Y MATERIALES OBRA GRIS 2021 C.A/ FACT 000256/CEMENTERA</t>
  </si>
  <si>
    <t>0329299558401</t>
  </si>
  <si>
    <t>INVER MATERIALES PARRA/FACT 766/ TUBOS 10" P/PERSONAL HINDU</t>
  </si>
  <si>
    <t>MULTITRASNPORTE/FACT 0258/FLETE PALA POLVO (MINERALES)</t>
  </si>
  <si>
    <t>0590596835459</t>
  </si>
  <si>
    <t>MATERIALES OBRAS/FACT 61/VENTA ARENA CERNIDA</t>
  </si>
  <si>
    <t>0329299869538</t>
  </si>
  <si>
    <t>JOSE ANDRES CASTRO LOPEZ/ FACT 00032/ SERV. ANTENA SATELITAL/PLANTA LEGUMINOSA</t>
  </si>
  <si>
    <t>FERRETERIA Y MATERIALES OBRA GRIS/ FACT 000257/CEMENTERA</t>
  </si>
  <si>
    <t>FERRETERIA Y MATERIALES OBRA GRIS 2021 C.A/ FACT 000258/CEMENTERA</t>
  </si>
  <si>
    <t>JOSE ANDRES CASTRO LOPEZ/ FACT 00037/ SERV. ANTENA SATELITAL/SERVICIOS GENERALES</t>
  </si>
  <si>
    <t>0329299997291</t>
  </si>
  <si>
    <t>SERV INDUST RODRIGUEZ/FACT 3874/SERV INDUSTRIAL P/PROYECTO SISTEMA SUB PRODUCTO-TRITURACION PIEDRA</t>
  </si>
  <si>
    <t>INVERSIONES Y MATERIALES PARRA C.A./ FACT 000767/PLANTA DE CEMENTO</t>
  </si>
  <si>
    <t xml:space="preserve">PRINT EXPRESS C.A./FACT 1945 /PLANOS TRITURACION PRIMARIA </t>
  </si>
  <si>
    <t>0328789198359</t>
  </si>
  <si>
    <t>AGREGADOS/TRASPASO/TESORO</t>
  </si>
  <si>
    <t>9500489198359</t>
  </si>
  <si>
    <t>COM PAGO A PROVEED CTAS PROPIA</t>
  </si>
  <si>
    <t>0329203285092</t>
  </si>
  <si>
    <t>MATERIALES SANTA LUCIA/FACT 5367/MATERIALES CEMENTERA</t>
  </si>
  <si>
    <t>ELIA MENDOZA/CAMPAÑA YESO 19/05 AL 23/05</t>
  </si>
  <si>
    <t>JULIAN CASTILLO/CAMPAÑA YESO 19/05 AL 23/05</t>
  </si>
  <si>
    <t>BEATRIZ/CAMPAÑA YESO 19/05 AL 23/05</t>
  </si>
  <si>
    <t>JOSE CASTILLO/CAMPAÑA YESO 19/05 AL 23/05</t>
  </si>
  <si>
    <t>EMPRENDIEMIENTO DIOSANNY/ FACT 294/ ALMUERZO Y CENAS CAMPAÑA DE YESO</t>
  </si>
  <si>
    <t>NORIZ RAMOS/REFRIGERIO P/TOPOGRAFO CAMPAÑA YESO 19/05 AL 23/05</t>
  </si>
  <si>
    <t>13-230525</t>
  </si>
  <si>
    <t>AURELIANO LEON/CAMPAÑA YESO 19/05 AL 23/05</t>
  </si>
  <si>
    <t>Diosanny Alvarez/FACT 0295/ABO ALBERTO PERNALETE/FACT 0014</t>
  </si>
  <si>
    <t>ONE PLASTIC/FACT 150/152</t>
  </si>
  <si>
    <t>PAGO A PROVEEDORES LOTE 000000030602601</t>
  </si>
  <si>
    <t>JEFERSON DAVILA/CAMPAÑA YESO 19/05 AL 23/05</t>
  </si>
  <si>
    <t>LEONARDO CHIRINO/CAMPAÑA YESO 19/05 AL 23/05</t>
  </si>
  <si>
    <t>LINO FLOREZ/CAMPAÑA YESO 19/05 AL 23/05</t>
  </si>
  <si>
    <t>WILLIAN RIVAS/CAMPAÑA YESO 19/05 AL 23/05</t>
  </si>
  <si>
    <t>OLGA OROZCO/4 NOCHES HOSPEDAJE CALIZA</t>
  </si>
  <si>
    <t>45-230525</t>
  </si>
  <si>
    <t>FREDDY MENDOZA/CAMPAÑA YESO 19/05 AL 23/05</t>
  </si>
  <si>
    <t>12-230525</t>
  </si>
  <si>
    <t>0329203904320</t>
  </si>
  <si>
    <t>FERRENOVA/FACT 2001/COMPRESOR DE AIRE-MINERALES YARACUY</t>
  </si>
  <si>
    <t xml:space="preserve">SINELECT/NOTA/CULMINACION TRANSFOMADOR </t>
  </si>
  <si>
    <t>SERVL005E</t>
  </si>
  <si>
    <t>0329203931266</t>
  </si>
  <si>
    <t xml:space="preserve">SINELEC/CULMINACION TRANSFORMADOR </t>
  </si>
  <si>
    <t>FLORICOLOR OESTE/FACT 1502/FONDO HERRERIA-MINERALES YARACUY</t>
  </si>
  <si>
    <t>DISGAMALAR/FACT56050/OXIGENOS P/EQUIPOS OXICORTES</t>
  </si>
  <si>
    <t>0329203932564</t>
  </si>
  <si>
    <t>GREMIO MOTOR/FACT09/MOTOR MINERALES</t>
  </si>
  <si>
    <t>GREMIO MOTOR/FACT08/MOTOR PLANTA CEMENTO</t>
  </si>
  <si>
    <t>0329203959827</t>
  </si>
  <si>
    <t>RESGUARDO/FACT 214/PAGO ERRADO</t>
  </si>
  <si>
    <t>SUMINISTROS INDUSTR/FACT 66/INSTALA ELECTRICAS-MINERALES YARACUY</t>
  </si>
  <si>
    <t>0270900000002</t>
  </si>
  <si>
    <t>0329204002574</t>
  </si>
  <si>
    <t>BEATRIZ CASTILLO/CAMPAÑA YESO 26/05 AL 30/05</t>
  </si>
  <si>
    <t>JERFERSON SALAS/CAMPAÑA YESO 26/05 AL 30/05</t>
  </si>
  <si>
    <t>FREDDY MENDOZA/CAMPAÑA YESO 26/05 AL 30/05</t>
  </si>
  <si>
    <t>LINO FLOREZ/CAMPAÑA YESO 26/05 AL 30/05</t>
  </si>
  <si>
    <t>JOSE CASTILLO/CAMPAÑA YESO 26/05 AL 30/05</t>
  </si>
  <si>
    <t>OLGA OROZCO/HOSPEDAJE CALIZA 26/05 AL 30/05</t>
  </si>
  <si>
    <t>ANDRES MELENDEZ/CAMPAÑA YESO 26/05 AL 30/05</t>
  </si>
  <si>
    <t>NORYS RAMO/REFRIGERIO TOPOGRAFO 26/05 AL 30/05</t>
  </si>
  <si>
    <t>13-300525</t>
  </si>
  <si>
    <t>DIOSANNY ALVAREZ/FACT 310/CAMPAÑA YESO 26/05 AL 30/05</t>
  </si>
  <si>
    <t>WILLIAN RIVAS/CAMPAÑA YESO 26/05 AL 30/05</t>
  </si>
  <si>
    <t>ALBERTO PERNALETTE/FACT 14/ABON DIOSANNY/FACT 313-COMIDA 26/05 AL 30/05</t>
  </si>
  <si>
    <t>LISO/FACT 611/CONFE INSTAL ESTRUCTURA METALICA</t>
  </si>
  <si>
    <t>LEONARDO CHIRINO/CAMPAÑA YESO 26/05 AL 30/05</t>
  </si>
  <si>
    <t>OLGA OROZCO/RESIDENCIA OPERADOR MENSUAL</t>
  </si>
  <si>
    <t>45-300525</t>
  </si>
  <si>
    <t>17-300525</t>
  </si>
  <si>
    <t>12-300525</t>
  </si>
  <si>
    <t>RESGUARDO/FACT 214/SERV VIGILANCIA 2DA QUINCENA MINERALES</t>
  </si>
  <si>
    <t>RAMON QUIROGAS/CAMPAÑA YESO 26/05 AL 30/05</t>
  </si>
  <si>
    <t>PAGO DOBLE</t>
  </si>
  <si>
    <t>DANNY URRUTIA/FACT 260/CAMPAÑA YESO 26/05 AL 30/05</t>
  </si>
  <si>
    <t>SUMINISTROS INDUS/FACT 67/INSTAL ELECTRICA-MINERALES YARACUY</t>
  </si>
  <si>
    <t>DAYANA AZUAJE/CAMPAÑA YESO 26/05 AL 30/05</t>
  </si>
  <si>
    <t>0270900000020</t>
  </si>
  <si>
    <t>OLGA OROZCO/HOSPEDAJE CALIZA 26/05 AL 30/05-PAGO DEVUELTO</t>
  </si>
  <si>
    <t>PAGO DEVUELTO</t>
  </si>
  <si>
    <t>0766803645336</t>
  </si>
  <si>
    <t>0329207509115</t>
  </si>
  <si>
    <t>MATERIALES SANTA LUCIA/FACT 5389/CEMENTERA</t>
  </si>
  <si>
    <t>MATERIALES OBRAS GRIS/FACT 259/Obras D/Generadores- CEMENTERA</t>
  </si>
  <si>
    <t>MATERIALES OBRAS GRIS/FACT 260/Obras D/Generadores- CEMENTERA</t>
  </si>
  <si>
    <t>ANGEL ROSALES/CAMPAÑA YESO 26/05 AL 30/05</t>
  </si>
  <si>
    <t>MATERIALES OBRAS GRIS/FACT 261/- MINERALES</t>
  </si>
  <si>
    <t>0329207524128</t>
  </si>
  <si>
    <t>RANGEL GUSTAVO/BONO SUBSIDIO 30-05-25/ADM</t>
  </si>
  <si>
    <t>ZERPA, WISTON/BONO SUBSIDIO 30-05-25/OPER</t>
  </si>
  <si>
    <t>REVERON, RAMON/BONO SUBSIDIO 30-05-25/OPER</t>
  </si>
  <si>
    <t>0329200000136</t>
  </si>
  <si>
    <t>JOSE ARRIETA/BONIFICACION ESPECIAL MAYO-GOBER</t>
  </si>
  <si>
    <t>0329200000076</t>
  </si>
  <si>
    <t>ALEJOS, RODOLFO/ NOMINA 30-05-25 /OPER</t>
  </si>
  <si>
    <t>0329200000083</t>
  </si>
  <si>
    <t>ALVARADO, EDDY/NOMINA 30-05-25/OPER</t>
  </si>
  <si>
    <t>0329200000095</t>
  </si>
  <si>
    <t>POLANCO, FRANKLIN/NOMINA 30-05-25/OPER</t>
  </si>
  <si>
    <t>0329200000100</t>
  </si>
  <si>
    <t>NOGUERA, OSCAR/BONO ADICIONAL 30-05-25/OPER</t>
  </si>
  <si>
    <t>0329200000109</t>
  </si>
  <si>
    <t>RANGEL GUSTAVO/BONO ADICIONAL 30-05-25/ADM</t>
  </si>
  <si>
    <t>RODRIGUEZ, MIGUEL/BONO ADICIONAL 30-05-25/OPER</t>
  </si>
  <si>
    <t>BASTIDA, JOSE/NOMINA 30-05-25/OPER</t>
  </si>
  <si>
    <t>CHIRINOS, RAFAEL/NOMINA 30-05-25/OPER</t>
  </si>
  <si>
    <t>0329200000084</t>
  </si>
  <si>
    <t>DAZA, VICTOR/NOMINA 30-05-25/OPER</t>
  </si>
  <si>
    <t>0329200000085</t>
  </si>
  <si>
    <t>GARCIA, JASON/NOMINA 30-05-25/OPER</t>
  </si>
  <si>
    <t>0329200000094</t>
  </si>
  <si>
    <t>GIMENEZ,PABLO/NOMINA 30-05-25/OPER</t>
  </si>
  <si>
    <t>0329200000103</t>
  </si>
  <si>
    <t>VIELMA CARLEN/BONO ADICIONAL 30-05-25/ADM</t>
  </si>
  <si>
    <t>0329200000108</t>
  </si>
  <si>
    <t>ALEJOS, RODOLFO/ CESTA TICKET 30-05-25 /OPER</t>
  </si>
  <si>
    <t>0329200000119</t>
  </si>
  <si>
    <t>ALVARADO, EDDY/CESTA TICKET 30-05-25/OPER</t>
  </si>
  <si>
    <t>0329200000125</t>
  </si>
  <si>
    <t>BASTIDA, JOSE/CESTA TICKET 30-05-25/OPER</t>
  </si>
  <si>
    <t>0329200000130</t>
  </si>
  <si>
    <t>CHIRINOS, RAFAEL/CESTA TICKET 30-05-25/OPER</t>
  </si>
  <si>
    <t>DAZA, VICTOR/BONO COMPLE 30-05-25/OPER</t>
  </si>
  <si>
    <t>GARCIA, JASON/BONO COMPLE 30-05-25/OPER</t>
  </si>
  <si>
    <t>0329200000122</t>
  </si>
  <si>
    <t>DAZA, VICTOR/CESTA TICKET 30-05-25/OPER</t>
  </si>
  <si>
    <t>0329200000131</t>
  </si>
  <si>
    <t>GALEANO, FRANCISCO/CESTA TICKET 30-05-25/OPER</t>
  </si>
  <si>
    <t>PUERTAS, TEODORO/BONO SUBSIDIO 30-05-25/OPER</t>
  </si>
  <si>
    <t>MARTINEZ JUAN/BONO SUBSIDIO 30-05-25/OPER</t>
  </si>
  <si>
    <t>0329200000074</t>
  </si>
  <si>
    <t>GUEDEZ JOSE/NOMINA 30-05-25/OPER</t>
  </si>
  <si>
    <t>0329200000105</t>
  </si>
  <si>
    <t>GARCIA, JASON/CESTA TICKET 30-05-25/OPER</t>
  </si>
  <si>
    <t>VIELMA CARLEN/BONO SUBSIDIO 30-05-25/ADM</t>
  </si>
  <si>
    <t>GARCIA, JASON/BONO SUBSIDIO 30-05-25/OPER</t>
  </si>
  <si>
    <t>PEREZ, CARLOS/BONO SUBSIDIO 30-05-25/OPER</t>
  </si>
  <si>
    <t>GUTIERREZ, PRESCILIANO/NOMINA 30-05-25/OPER</t>
  </si>
  <si>
    <t>LINAREZ, PEDRO/NOMINA 30-05-25/OPER</t>
  </si>
  <si>
    <t>LINAREZ, SANTIAGO/NOMINA 30-05-25/OPER</t>
  </si>
  <si>
    <t>LOPEZ ,MANOLO/NOMINA 30-05-25/ADM</t>
  </si>
  <si>
    <t>0329200000077</t>
  </si>
  <si>
    <t>MANZO, JESMAIYELIT/NOMINA 30-05-25/ADM</t>
  </si>
  <si>
    <t>0329200000086</t>
  </si>
  <si>
    <t>MARTINEZ JUAN/NOMINA 30-05-25/OPER</t>
  </si>
  <si>
    <t>0329200000101</t>
  </si>
  <si>
    <t>GIMENEZ,PABLO/CESTA TICKET 30-05-25/OPER</t>
  </si>
  <si>
    <t>0329200000111</t>
  </si>
  <si>
    <t>GUEDEZ JOSE/CESTA TICKET 30-05-25/OPER</t>
  </si>
  <si>
    <t>0329200000112</t>
  </si>
  <si>
    <t>GUTIERREZ, PRESCILIANO/CESTA TICKET 30-05-25/OPER</t>
  </si>
  <si>
    <t>0329200000113</t>
  </si>
  <si>
    <t>LINAREZ, PEDRO/CESTA TICKET 30-05-25/OPER</t>
  </si>
  <si>
    <t>0329200000116</t>
  </si>
  <si>
    <t>LINAREZ, SANTIAGO/CESTA TICKET 30-05-25/OPER</t>
  </si>
  <si>
    <t>0329200000127</t>
  </si>
  <si>
    <t>LOPEZ ,MANOLO/CESTA TICKET 30-05-25/OPER</t>
  </si>
  <si>
    <t>0329200000128</t>
  </si>
  <si>
    <t>MANZO, JESMAIYELIT/CESTA TICKET 30-05-25/ADM</t>
  </si>
  <si>
    <t>ALVARADO, EDDY/BONO COMPLE 30-05-25/OPER</t>
  </si>
  <si>
    <t>CHIRINOS, RAFAEL/BONO COMPLE 30-05-25/OPER</t>
  </si>
  <si>
    <t>GIMENEZ,PABLO/BONO COMPLE 30-05-25/OPER</t>
  </si>
  <si>
    <t>ALEJOS, RODOLFO/ BONO COMPLE 30-05-25 /OPER</t>
  </si>
  <si>
    <t>POLANCO, FRANKLIN/BONO COMPLE 30-05-25/OPER</t>
  </si>
  <si>
    <t>RIVERO, JORGE/BONO COMPLE 30-05-25/OPER</t>
  </si>
  <si>
    <t>SOTELDO, LUSMAR/BONO COMPLE 30-05-25/OPER</t>
  </si>
  <si>
    <t>VIELMA CARLEN/BONO COMPLE 30-05-25/ADM</t>
  </si>
  <si>
    <t>MARTINEZ JUAN/CESTA TICKET 30-05-25/OPER</t>
  </si>
  <si>
    <t>SEGURA ,WAILEN/BONO SUBSIDIO 30-05-25/OPER</t>
  </si>
  <si>
    <t>0329200000082</t>
  </si>
  <si>
    <t>NOGUERA, OSCAR/NOMINA 30-05-25/OPER</t>
  </si>
  <si>
    <t>0329200000096</t>
  </si>
  <si>
    <t>PEREZ, JOSE ROLANDO/NOMINA 30-05-25/OPER</t>
  </si>
  <si>
    <t>0329200000098</t>
  </si>
  <si>
    <t>PEREZ, CARLOS/NOMINA 30-05-25/OPER</t>
  </si>
  <si>
    <t>0329200000104</t>
  </si>
  <si>
    <t>NOGUERA, OSCAR/CESTA TICKET 30-05-25/OPER</t>
  </si>
  <si>
    <t>0329200000114</t>
  </si>
  <si>
    <t>PEREZ, JOSE ROLANDO/CESTA TICKET 30-05-25/OPER</t>
  </si>
  <si>
    <t>0329200000121</t>
  </si>
  <si>
    <t>PEREZ, CARLOS/CESTA TICKET 30-05-25/OPER</t>
  </si>
  <si>
    <t>0329200000124</t>
  </si>
  <si>
    <t>POLANCO, FRANKLIN/CESTA TICKET 30-05-25/OPER</t>
  </si>
  <si>
    <t>0329200000132</t>
  </si>
  <si>
    <t>PUERTAS, TEODORO/CESTA TICKET 30-05-25/OPER</t>
  </si>
  <si>
    <t>0329200000134</t>
  </si>
  <si>
    <t>CARLOS RODRIGUEZ/BONIFICACION ESPECIAL MAYO-GOBER</t>
  </si>
  <si>
    <t>LINAREZ, PEDRO/BONO COMPLE 30-05-25/OPER</t>
  </si>
  <si>
    <t>ROJAS MARIA/BONO COMPLE 30-05-25/OPER</t>
  </si>
  <si>
    <t>LINAREZ, PEDRO/BONO SUBSIDIO 30-05-25/OPER</t>
  </si>
  <si>
    <t>RAGA NELIDO/BONO COMPLE 30-05-25/ADM</t>
  </si>
  <si>
    <t>BASTIDA, JOSE/BONO COMPLE 30-05-25/OPER</t>
  </si>
  <si>
    <t>GUTIERREZ, PRESCILIANO/BONO SUBSIDIO 30-05-25/OPER</t>
  </si>
  <si>
    <t>MANZO, JESMAIYELIT/BONO SUBSIDIO 30-05-25/ADM</t>
  </si>
  <si>
    <t>RAGA NELIDO/BONO SUBSIDIO 30-05-25/ADM</t>
  </si>
  <si>
    <t>SUAREZ, RAFAEL/BONO SUBSIDIO 30-05-25/OPER</t>
  </si>
  <si>
    <t>PUERTAS, TEODORO/NOMINA 30-05-25/OPER</t>
  </si>
  <si>
    <t>QUERALES ,EDIXON/NOMINA 30-05-25/OPER</t>
  </si>
  <si>
    <t>LINAREZ, SANTIAGO/BONO COMPLE 30-05-25/OPER</t>
  </si>
  <si>
    <t>QUERALES, HERMES/BONO COMPLE 30-05-25/OPER</t>
  </si>
  <si>
    <t>RODRIGUEZ ANSONNY/BONO COMPLE 30-05-25/OPER</t>
  </si>
  <si>
    <t>RODRIGUEZ, MIGUEL/BONO COMPLE 30-05-25/OPER</t>
  </si>
  <si>
    <t>SEGURA ,WAILEN/BONO COMPLE 30-05-25/OPER</t>
  </si>
  <si>
    <t>ZERPA, WISTON/BONO COMPLE 30-05-25/OPER</t>
  </si>
  <si>
    <t>RIVERO, JORGE/BONO SUBSIDIO 30-05-25/OPER</t>
  </si>
  <si>
    <t>VETANCOURT, BLIXANDER/BONO SUBSIDIO 30-05-25/ADM</t>
  </si>
  <si>
    <t>0329200000079</t>
  </si>
  <si>
    <t>QUERALES, HERMES/NOMINA 30-05-25/OPER</t>
  </si>
  <si>
    <t>0329200000080</t>
  </si>
  <si>
    <t>RAGA NELIDO/NOMINA 30-05-25/ADM</t>
  </si>
  <si>
    <t>0329200000089</t>
  </si>
  <si>
    <t>RANGEL GUSTAVO/NOMINA 30-05-25/ADM</t>
  </si>
  <si>
    <t>0329200000106</t>
  </si>
  <si>
    <t>QUERALES ,EDIXON/CESTA TICKET 30-05-25/OPER</t>
  </si>
  <si>
    <t>0329200000107</t>
  </si>
  <si>
    <t>QUERALES, HERMES/CESTA TICKET 30-05-25/OPER</t>
  </si>
  <si>
    <t>0329200000110</t>
  </si>
  <si>
    <t>RAGA NELIDO/CESTA TICKET 30-05-25/ADM</t>
  </si>
  <si>
    <t>0329200000118</t>
  </si>
  <si>
    <t>RANGEL GUSTAVO/CESTA TICKET 30-05-25/ADM</t>
  </si>
  <si>
    <t>0329200000120</t>
  </si>
  <si>
    <t>REVERON, RAMON/CESTA TICKET 30-05-25/OPER</t>
  </si>
  <si>
    <t>0329200000133</t>
  </si>
  <si>
    <t>RIVERO, JORGE/CESTA TICKET 30-05-25/OPER</t>
  </si>
  <si>
    <t>REVERON, RAMON/NOMINA 30-05-25/OPER</t>
  </si>
  <si>
    <t>0329200000075</t>
  </si>
  <si>
    <t>RIVERO, JORGE/NOMINA 30-05-25/OPER</t>
  </si>
  <si>
    <t>0329200000078</t>
  </si>
  <si>
    <t>RODRIGUEZ ANSONNY/NOMINA 30-05-25/OPER</t>
  </si>
  <si>
    <t>0329200000087</t>
  </si>
  <si>
    <t>RODRIGUEZ, MIGUEL/NOMINA 30-05-25/OPER</t>
  </si>
  <si>
    <t>0329200000093</t>
  </si>
  <si>
    <t>ROJAS MARIA/NOMINA 30-05-25/OPER</t>
  </si>
  <si>
    <t>0329200000099</t>
  </si>
  <si>
    <t>RODRIGUEZ ANSONNY/CESTA TICKET 30-05-25/OPER</t>
  </si>
  <si>
    <t>0329200000102</t>
  </si>
  <si>
    <t>RODRIGUEZ, MIGUEL/CESTA TICKET 30-05-25/OPER</t>
  </si>
  <si>
    <t>0329200000126</t>
  </si>
  <si>
    <t>ROJAS MARIA/CESTA TICKET 30-05-25/OPER</t>
  </si>
  <si>
    <t>MARTINEZ JUAN/BONO COMPLE 30-05-25/OPER</t>
  </si>
  <si>
    <t>GUTIERREZ, PRESCILIANO/BONO COMPLE 30-05-25/OPER</t>
  </si>
  <si>
    <t>NOGUERA, OSCAR/BONO COMPLE 30-05-25/OPER</t>
  </si>
  <si>
    <t>PEREZ, JOSE ROLANDO/BONO COMPLE 30-05-25/OPER</t>
  </si>
  <si>
    <t>QUERALES ,EDIXON/BONO COMPLE 30-05-25/OPER</t>
  </si>
  <si>
    <t>VETANCOURT, BLIXANDER/BONO COMPLE 30-05-25/ADM</t>
  </si>
  <si>
    <t>REVERON, RAMON/BONO COMPLE 30-05-25/OPER</t>
  </si>
  <si>
    <t>GIMENEZ,PABLO/BONO SUBSIDIO 30-05-25/OPER</t>
  </si>
  <si>
    <t>RODRIGUEZ, MIGUEL/BONO SUBSIDIO 30-05-25/OPER</t>
  </si>
  <si>
    <t>LINAREZ, SANTIAGO/BONO SUBSIDIO 30-05-25/OPER</t>
  </si>
  <si>
    <t>BASTIDA, JOSE/BONO SUBSIDIO 30-05-25/OPER</t>
  </si>
  <si>
    <t>GALEANO, FRANCISCO/BONO COMPLE 30-05-25/OPER</t>
  </si>
  <si>
    <t>PEREZ, CARLOS/BONO COMPLE 30-05-25/OPER</t>
  </si>
  <si>
    <t>SUAREZ, RAFAEL/BONO COMPLE 30-05-25/OPER</t>
  </si>
  <si>
    <t>MANZO, JESMAIYELIT/BONO COMPLE 30-05-25/ADM</t>
  </si>
  <si>
    <t>PUERTAS, TEODORO/BONO COMPLE 30-05-25/OPER</t>
  </si>
  <si>
    <t>RANGEL GUSTAVO/BONO COMPLE 30-05-25/ADM</t>
  </si>
  <si>
    <t>SEGURA ,WAILEN/CESTA TICKET 30-05-25/OPER</t>
  </si>
  <si>
    <t>SOTELDO, LUSMAR/CESTA TICKET 30-05-25/OPER</t>
  </si>
  <si>
    <t>CHIRINOS, RAFAEL/BONO SUBSIDIO 30-05-25/OPER</t>
  </si>
  <si>
    <t>GALEANO, FRANCISCO/BONO SUBSIDIO 30-05-25/OPER</t>
  </si>
  <si>
    <t>ALEJOS, RODOLFO/ BONO SUBSIDIO 30-05-25 /OPER</t>
  </si>
  <si>
    <t>DAZA, VICTOR/BONO SUBSIDIO 30-05-25/OPER</t>
  </si>
  <si>
    <t>0329200000081</t>
  </si>
  <si>
    <t>SEGURA ,WAILEN/NOMINA 30-05-25/OPER</t>
  </si>
  <si>
    <t>0329200000088</t>
  </si>
  <si>
    <t>SOTELDO, LUSMAR/NOMINA 30-05-25/OPER</t>
  </si>
  <si>
    <t>0329200000090</t>
  </si>
  <si>
    <t>SUAREZ, RAFAEL/NOMINA 30-05-25/OPER</t>
  </si>
  <si>
    <t>0329200000091</t>
  </si>
  <si>
    <t>VETANCOURT, BLIXANDER/NOMINA 30-05-25/ADM</t>
  </si>
  <si>
    <t>0329200000092</t>
  </si>
  <si>
    <t>VIELMA CARLEN/NOMINA 30-05-25/ADM</t>
  </si>
  <si>
    <t>0329200000097</t>
  </si>
  <si>
    <t>ZERPA, WISTON/NOMINA 30-05-25/OPER</t>
  </si>
  <si>
    <t>0329200000115</t>
  </si>
  <si>
    <t>SUAREZ, RAFAEL/CESTA TICKET 30-05-25/OPER</t>
  </si>
  <si>
    <t>0329200000117</t>
  </si>
  <si>
    <t>VETANCOURT, BLIXANDER/CESTA TICKET 30-05-25/OPER</t>
  </si>
  <si>
    <t>0329200000123</t>
  </si>
  <si>
    <t>VIELMA CARLEN/CESTA TICKET 30-05-25/ADM</t>
  </si>
  <si>
    <t>0329200000129</t>
  </si>
  <si>
    <t>ZERPA, WISTON/CESTA TICKET 30-05-25/OPER</t>
  </si>
  <si>
    <t>0329200000135</t>
  </si>
  <si>
    <t>ARMANDO VILLEGAS/BONIFICACION ESPECIAL MAYO-GOBER</t>
  </si>
  <si>
    <t>GUEDEZ JOSE/BONO COMPLE 30-05-25/OPER</t>
  </si>
  <si>
    <t>LOPEZ ,MANOLO/BONO COMPLE 30-05-25/ADM</t>
  </si>
  <si>
    <t>0676200000090</t>
  </si>
  <si>
    <t>0676200000098</t>
  </si>
  <si>
    <t>0676200000104</t>
  </si>
  <si>
    <t>0676200000109</t>
  </si>
  <si>
    <t>0676200000117</t>
  </si>
  <si>
    <t>0676200000120</t>
  </si>
  <si>
    <t>0676200000134</t>
  </si>
  <si>
    <t>0676200000088</t>
  </si>
  <si>
    <t>0676200000095</t>
  </si>
  <si>
    <t>0676200000107</t>
  </si>
  <si>
    <t>0676200000113</t>
  </si>
  <si>
    <t>0676200000118</t>
  </si>
  <si>
    <t>0676200000082</t>
  </si>
  <si>
    <t>0676200000091</t>
  </si>
  <si>
    <t>0676200000093</t>
  </si>
  <si>
    <t>0676200000099</t>
  </si>
  <si>
    <t>0676200000100</t>
  </si>
  <si>
    <t>0676200000114</t>
  </si>
  <si>
    <t>0676200000122</t>
  </si>
  <si>
    <t>0676200000123</t>
  </si>
  <si>
    <t>0676200000127</t>
  </si>
  <si>
    <t>0676200000133</t>
  </si>
  <si>
    <t>0676200000135</t>
  </si>
  <si>
    <t>0676200000124</t>
  </si>
  <si>
    <t>0676200000130</t>
  </si>
  <si>
    <t>0676200000131</t>
  </si>
  <si>
    <t>0676200000101</t>
  </si>
  <si>
    <t>0676200000076</t>
  </si>
  <si>
    <t>0676200000077</t>
  </si>
  <si>
    <t>0676200000084</t>
  </si>
  <si>
    <t>0676200000087</t>
  </si>
  <si>
    <t>0676200000112</t>
  </si>
  <si>
    <t>0676200000121</t>
  </si>
  <si>
    <t>0676200000074</t>
  </si>
  <si>
    <t>0676200000078</t>
  </si>
  <si>
    <t>0676200000080</t>
  </si>
  <si>
    <t>0676200000089</t>
  </si>
  <si>
    <t>0676200000094</t>
  </si>
  <si>
    <t>0676200000102</t>
  </si>
  <si>
    <t>0676200000105</t>
  </si>
  <si>
    <t>0676200000106</t>
  </si>
  <si>
    <t>0676200000115</t>
  </si>
  <si>
    <t>0676200000116</t>
  </si>
  <si>
    <t>0676200000119</t>
  </si>
  <si>
    <t>0676200000128</t>
  </si>
  <si>
    <t>0676200000129</t>
  </si>
  <si>
    <t>0676200000081</t>
  </si>
  <si>
    <t>0676200000085</t>
  </si>
  <si>
    <t>0676200000086</t>
  </si>
  <si>
    <t>0676200000108</t>
  </si>
  <si>
    <t>0676200000111</t>
  </si>
  <si>
    <t>0676200000125</t>
  </si>
  <si>
    <t>0676200000132</t>
  </si>
  <si>
    <t>0676200000079</t>
  </si>
  <si>
    <t>0676200000083</t>
  </si>
  <si>
    <t>0676200000096</t>
  </si>
  <si>
    <t>0676200000097</t>
  </si>
  <si>
    <t>0676200000103</t>
  </si>
  <si>
    <t>0676200000110</t>
  </si>
  <si>
    <t>0676200000126</t>
  </si>
  <si>
    <t>0676200000136</t>
  </si>
  <si>
    <t>0676200000075</t>
  </si>
  <si>
    <t>0676200000092</t>
  </si>
  <si>
    <t xml:space="preserve">COMISION POR TRANSFERENCIA DE FONDOS  </t>
  </si>
  <si>
    <t>MATERIALES PARRA/REINTEGRO FACT 766/Materiales no aplicaron para el requerimiento solicitado.</t>
  </si>
  <si>
    <t>COMERCIALIZADORA/INV. DE CAPITAL/PROVINCIAL</t>
  </si>
  <si>
    <t>JOSE MORALES/BONIFICACION ESPECIAL</t>
  </si>
  <si>
    <t>ANYEBETH LEO/BONIFICACION ESPECIAL/MINERALES</t>
  </si>
  <si>
    <t>COMERCIALIZADORA/INV. DE CAPITAL/TESORO</t>
  </si>
  <si>
    <t>JOSE MORALES/BONIFICACION AGREGADOS</t>
  </si>
  <si>
    <t>DURANGO/FACT 307/INTERRUPTOR P/CEMENTO</t>
  </si>
  <si>
    <t>04-300625</t>
  </si>
  <si>
    <t>INVER SALEM/FACT 3194/MTTO GENERAL MINERALES</t>
  </si>
  <si>
    <t>YAMILA PASTORA COLMENAREZ/FACT 000202/REP.MOTOR PLANTA CERNIDORA</t>
  </si>
  <si>
    <t>MATERIALES SANTA LUCIA/ FACT 5427/MATERIALES</t>
  </si>
  <si>
    <t>MATERIALES SANTA LUCIA/ FACT 5426/MATERIALES</t>
  </si>
  <si>
    <t>DONACION</t>
  </si>
  <si>
    <t>Federico Faneite/Eventual Gobernacion 02/06/25 AL 08/06/25</t>
  </si>
  <si>
    <t>Delios Adolfo Ferrara/Eventual Agregados 02/06/25 AL 08/06/25</t>
  </si>
  <si>
    <t>Eliomar Jesús Escalona/Eventual Agregados 02/06/25 AL 08/06/25</t>
  </si>
  <si>
    <t>José Guillermo Cortez/Eventual Agregados 02/06/25 AL 08/06/25</t>
  </si>
  <si>
    <t>Darwuin Jesús Bullones/Eventual Agregados 02/06/25 AL 08/06/25</t>
  </si>
  <si>
    <t>Frank Armando García/Eventual Agregados 02/06/25 AL 08/06/25</t>
  </si>
  <si>
    <t>Alberto Luis Rojas/Eventual Agregados 02/06/25 AL 08/06/25</t>
  </si>
  <si>
    <t>Naiker Alexander Jimenez/Eventual Agregados 02/06/25 AL 08/06/25</t>
  </si>
  <si>
    <t>José Gregorio Perez/Eventual Agregados 02/06/25 AL 08/06/25</t>
  </si>
  <si>
    <t>Carlos Daniel Rodriguez/Eventual Agregados 02/06/25 AL 08/06/25</t>
  </si>
  <si>
    <t>Alejandro Morales/Eventual Agregados 02/06/25 AL 08/06/25</t>
  </si>
  <si>
    <t>Euber José Juarez/Eventual Agregados 02/06/25 AL 08/06/25</t>
  </si>
  <si>
    <t>Ali Alberto Bullones/Eventual Agregados 02/06/25 AL 08/06/25</t>
  </si>
  <si>
    <t>Alberto Ali Bullones/Eventual Agregados 02/06/25 AL 08/06/25</t>
  </si>
  <si>
    <t>Fernando José Rodriguez/Eventual Agregados 02/06/25 AL 08/06/25</t>
  </si>
  <si>
    <t>Bruno Ali Cordero Bullones/Eventual Agregados 02/06/25 AL 08/06/25</t>
  </si>
  <si>
    <t>Fareliz Arrieche/Eventual Gobernacion 02/06/25 AL 08/06/25</t>
  </si>
  <si>
    <t>Henrry Valera/Eventual Gobernacion 02/06/25 AL 08/06/25</t>
  </si>
  <si>
    <t>Brunito Segundo Cordero/Eventual Agregados 02/06/25 AL 08/06/25</t>
  </si>
  <si>
    <t>Justiniano Rodriguez/Eventual Agregados 02/06/25 AL 08/06/25</t>
  </si>
  <si>
    <t>Armando Lopez /Eventual Agregados 02/06/25 AL 08/06/25</t>
  </si>
  <si>
    <t>Froilan Lopez/Eventual Agregados 02/06/25 AL 08/06/25</t>
  </si>
  <si>
    <t>Ramón Quintero/Eventual Agregados 02/06/25 AL 08/06/25</t>
  </si>
  <si>
    <t>Jesus Ramos/Eventual Gobernacion 02/06/25 AL 08/06/25</t>
  </si>
  <si>
    <t>Exson Rodriguez/Eventual Gobernacion 02/06/25 AL 08/06/25</t>
  </si>
  <si>
    <t>Douglas Pimentel/Eventual Gobernacion 02/06/25 AL 08/06/25</t>
  </si>
  <si>
    <t>Juan López/Eventual Agregados 02/06/25 AL 08/06/25</t>
  </si>
  <si>
    <t>Pedro Castillo/Eventual Gobernacion 02/06/25 AL 08/06/25</t>
  </si>
  <si>
    <t>Miguel Torres/Eventual Gobernacion 02/06/25 AL 08/06/25</t>
  </si>
  <si>
    <t>Wendy Gimenez/Eventual Gobernacion 02/06/25 AL 08/06/25</t>
  </si>
  <si>
    <t>Nicolas Alvarez/Eventual Gobernacion 02/06/25 AL 08/06/25</t>
  </si>
  <si>
    <t>Rafael Puertas/Eventual Gobernacion 02/06/25 AL 08/06/25</t>
  </si>
  <si>
    <t>Carlos Pacheco/Eventual Gobernacion 02/06/25 AL 08/06/25</t>
  </si>
  <si>
    <t>Andrés Armella/Eventual Gobernacion 02/06/25 AL 08/06/25</t>
  </si>
  <si>
    <t>Jose Toledo/Eventual Gobernacion 02/06/25 AL 08/06/25</t>
  </si>
  <si>
    <t>Juan Pinto/Eventual Gobernacion 02/06/25 AL 08/06/25</t>
  </si>
  <si>
    <t>Edwin Rojas/Eventual Gobernacion 02/06/25 AL 08/06/25</t>
  </si>
  <si>
    <t>Alirio Parra/Eventual Gobernacion 02/06/25 AL 08/06/25</t>
  </si>
  <si>
    <t>Carlos Lopez/Eventual Agregados 02/06/25 AL 08/06/25</t>
  </si>
  <si>
    <t>Angel Caldera/Eventual Gobernacion 02/06/25 AL 08/06/25</t>
  </si>
  <si>
    <t>Hector/Eventual Gobernacion 02/06/25 AL 08/06/25</t>
  </si>
  <si>
    <t>Rafael Quiroz/Eventual Gobernacion 02/06/25 AL 08/06/25</t>
  </si>
  <si>
    <t>Estebez Maramara/Eventual Agregados 02/06/25 AL 08/06/25</t>
  </si>
  <si>
    <t>Luis Silveiro Colon Ojeda/Eventual Agregados 02/06/25 AL 08/06/25</t>
  </si>
  <si>
    <t>Argenis Flores/Eventual Megatech 02/06/25 AL 08/06/25</t>
  </si>
  <si>
    <t>Pitter Puerta/Eventual Megatech 02/06/25 AL 08/06/25</t>
  </si>
  <si>
    <t>Norys Ramos/Eventual Gobernacion 02/06/25 AL 08/06/25</t>
  </si>
  <si>
    <t>Yonny Castillo/Eventual Megatech 02/06/25 AL 08/06/25</t>
  </si>
  <si>
    <t>Walner Oviedo/Eventual Megatech 02/06/25 AL 08/06/25</t>
  </si>
  <si>
    <t>Antonio Castillo/Eventual Megatech 02/06/25 AL 08/06/25</t>
  </si>
  <si>
    <t>Jose Guevara/Eventual Megatech 02/06/25 AL 08/06/25</t>
  </si>
  <si>
    <t>Francisco Castillo/Eventual Megatech 02/06/25 AL 08/06/25</t>
  </si>
  <si>
    <t>Jose Castillo/Eventual Megatech 02/06/25 AL 08/06/25</t>
  </si>
  <si>
    <t>Elvis Valles/Eventual Megatech 02/06/25 AL 08/06/25</t>
  </si>
  <si>
    <t>Omar Torrealba/Eventual Megatech 02/06/25 AL 08/06/25</t>
  </si>
  <si>
    <t>Carlos Castillo/Eventual Megatech 02/06/25 AL 08/06/25</t>
  </si>
  <si>
    <t>Julian Guedez/Eventual Megatech 02/06/25 AL 08/06/25</t>
  </si>
  <si>
    <t>Yordis Almao/Eventual Megatech 02/06/25 AL 08/06/25</t>
  </si>
  <si>
    <t>Victor Mendez/Eventual Megatech 02/06/25 AL 08/06/25</t>
  </si>
  <si>
    <t>Carlos Loyo/Eventual Megatech 02/06/25 AL 08/06/25</t>
  </si>
  <si>
    <t>Alberto Loyo/Eventual Megatech 02/06/25 AL 08/06/25</t>
  </si>
  <si>
    <t>Edwuard Almeida/Eventual Megatech 02/06/25 AL 08/06/25</t>
  </si>
  <si>
    <t>Yerry Rodríguez/Eventual Megatech 02/06/25 AL 08/06/25</t>
  </si>
  <si>
    <t>Elio Malpica/Eventual Megatech 02/06/25 AL 08/06/25</t>
  </si>
  <si>
    <t>Alexander Castillo/Eventual Megatech 02/06/25 AL 08/06/25</t>
  </si>
  <si>
    <t>Alirio Parra/Eventual Megatech 02/06/25 AL 08/06/25</t>
  </si>
  <si>
    <t>Ruben Rivas/Eventual Megatech 02/06/25 AL 08/06/25</t>
  </si>
  <si>
    <t>Norys Ramos/Eventual Megatech 02/06/25 AL 08/06/25</t>
  </si>
  <si>
    <t>Fareliz Arrieche/Eventual Megatech 02/06/25 AL 08/06/25</t>
  </si>
  <si>
    <t>Fares Arrieche/Eventual Megatech 02/06/25 AL 08/06/25</t>
  </si>
  <si>
    <t>Emperatriz Leon/Eventual Megatech 02/06/25 AL 08/06/25</t>
  </si>
  <si>
    <t>Ingrid Reyes/Eventual Megatech 02/06/25 AL 08/06/25</t>
  </si>
  <si>
    <t>ELECTRICA 2003/FACT 3476/MECHA P/TALLER-CINTA ALUMINIO-LLAVE PASO-MINERALES</t>
  </si>
  <si>
    <t>DISTRIBUIDORA DIAR/ FACT 756-755/SUMINISTROS PARA CAMIONETA SILVERADO</t>
  </si>
  <si>
    <t>GLOBAL ACERO/ FACT 0048/REQUERIMIENTO TUBO /CEMENTERA</t>
  </si>
  <si>
    <t>FERRE MATERIALES REMI/FACT258/TUBO REDONDO-HINDU</t>
  </si>
  <si>
    <t>YEAN YARAURE/FACT 42/VIAJES CISTERNA DE AGUA</t>
  </si>
  <si>
    <t>INVER.GENERAL SERV'S/ FACT 000356/SERV.RESGUARDO DE MAQUINA</t>
  </si>
  <si>
    <t>TRACTO AUTO/FACT7727/REPUES/CAMIONES-TROMPO</t>
  </si>
  <si>
    <t>PRINT EXPRESS/FACT 1949/IMPRESIONES FORMATO A1 COLOR</t>
  </si>
  <si>
    <t>MULTISERVICIOS GARQUIS/FACT 51/40%/SOLICT ING CARLEN</t>
  </si>
  <si>
    <t>INVERSIONES SALEM/FACT 3202/MATERIAL P/TALLER MECANICO Y MTTO GRAL</t>
  </si>
  <si>
    <t>SANDRA JEANETTE VELASCO/ FACT 000236/KIT DEL DIA DEL PADRE</t>
  </si>
  <si>
    <t>SANDRA JEANETTE VELASCO/ FACT 00027/KIT DEL DIA DEL PADRE</t>
  </si>
  <si>
    <t>5719SION USO CANAL IB</t>
  </si>
  <si>
    <t>ISLR/PERIODO MAYO 2025</t>
  </si>
  <si>
    <t>02-100625</t>
  </si>
  <si>
    <t>FERRENOVA/FACT 2003/PNAL HINDU P/CEMENTO</t>
  </si>
  <si>
    <t>TELEPILA/FACT4674/BOLSO P/LAPTO P/CEMENTO (VIELMA)</t>
  </si>
  <si>
    <t>PROTECCION PENSIONES/PERIODO MAYO 2025</t>
  </si>
  <si>
    <t>02-110625</t>
  </si>
  <si>
    <t>TRANSPORTE TDC/FACT 74/SERV TRASLADO NIVEL NACIONAL</t>
  </si>
  <si>
    <t>ALEJOS, RODOLFO/NOMINA 15-06-25/OPER</t>
  </si>
  <si>
    <t>ALVARADO, EDDY/NOMINA 15-06-25/OPER</t>
  </si>
  <si>
    <t>BASTIDA, JOSE/NOMINA 15-06-25/OPER</t>
  </si>
  <si>
    <t>GUEDEZ JOSE/NOMINA 15-06-25/OPER</t>
  </si>
  <si>
    <t>CHIRINOS, RAFAEL/NOMINA 15-06-25/OPER</t>
  </si>
  <si>
    <t>DAZA, VICTOR/NOMINA 15-06-25/OPER</t>
  </si>
  <si>
    <t>GARCIA, JASON/NOMINA 15-06-25/OPER</t>
  </si>
  <si>
    <t>ZERPA, WISTON/NOMINA 15-06-25/OPER</t>
  </si>
  <si>
    <t>LINAREZ, PEDRO/NOMINA 15-06-25/OPER</t>
  </si>
  <si>
    <t>GUTIERREZ, PRESCILIANO/NOMINA 15-06-25/OPER</t>
  </si>
  <si>
    <t>LINAREZ, SANTIAGO/NOMINA 15-06-25/OPER</t>
  </si>
  <si>
    <t>LOPEZ ,MANOLO/NOMINA 15-06-25/ADM</t>
  </si>
  <si>
    <t>MANZO, JESMAIYELIT/NOMINA 15-06-25/ADM</t>
  </si>
  <si>
    <t>POLANCO, FRANKLIN/NOMINA 15-06-25/OPER</t>
  </si>
  <si>
    <t>MARTINEZ JUAN/NOMINA 15-06-25/OPER</t>
  </si>
  <si>
    <t>NOGUERA, OSCAR/NOMINA 15-06-25/OPER</t>
  </si>
  <si>
    <t>PEREZ, CARLOS/NOMINA 15-06-25/OPER</t>
  </si>
  <si>
    <t>PEREZ, JOSE ROLANDO/NOMINA 15-06-25/OPER</t>
  </si>
  <si>
    <t>PUERTAS, TEODORO/NOMINA 15-06-25/OPER</t>
  </si>
  <si>
    <t>QUERALES ,EDIXON/NOMINA 15-06-25/OPER</t>
  </si>
  <si>
    <t>QUERALES, HERMES/NOMINA 15-06-25/OPER</t>
  </si>
  <si>
    <t>REVERON, RAMON/NOMINA 15-06-25/OPER</t>
  </si>
  <si>
    <t>RAGA NELIDO/NOMINA 15-06-25/ADM</t>
  </si>
  <si>
    <t>RANGEL GUSTAVO/NOMINA 15-06-25/ADM</t>
  </si>
  <si>
    <t>RODRIGUEZ ANSONNY/NOMINA 15-06-25/OPER</t>
  </si>
  <si>
    <t>RIVERO, JORGE/NOMINA 15-06-25/OPER</t>
  </si>
  <si>
    <t>RODRIGUEZ, MIGUEL/NOMINA 15-06-25/OPER</t>
  </si>
  <si>
    <t>ROJAS MARIA/NOMINA 15-06-25/OPER</t>
  </si>
  <si>
    <t>SEGURA ,WAILEN/NOMINA 15-06-25/OPER</t>
  </si>
  <si>
    <t>SUAREZ, RAFAEL/NOMINA 15-06-25/OPER</t>
  </si>
  <si>
    <t>SOTELDO, LUSMAR/NOMINA 15-06-25/OPER</t>
  </si>
  <si>
    <t>VETANCOURT, BLIXANDER/NOMINA 15-06-25/ADM</t>
  </si>
  <si>
    <t>VIELMA CARLEN/NOMINA 15-06-25/ADM</t>
  </si>
  <si>
    <t>ALEJOS, RODOLFO/BONO COMP 15-06-25/OPER</t>
  </si>
  <si>
    <t>BASTIDA, JOSE/BONO COMP 15-06-25/OPER</t>
  </si>
  <si>
    <t>ALVARADO, EDDY/BONO COMP 15-06-25/OPER</t>
  </si>
  <si>
    <t>CHIRINOS, RAFAEL/BONO COMP 15-06-25/OPER</t>
  </si>
  <si>
    <t>DAZA, VICTOR/BONO COMP 15-06-25/OPER</t>
  </si>
  <si>
    <t>GARCIA, JASON/BONO COMP 15-06-25/OPER</t>
  </si>
  <si>
    <t>LINAREZ, PEDRO/BONO COMP 15-06-25/OPER</t>
  </si>
  <si>
    <t>LINAREZ, SANTIAGO/BONO COMP 15-06-25/OPER</t>
  </si>
  <si>
    <t>GUEDEZ JOSE/BONO COMP 15-06-25/OPER</t>
  </si>
  <si>
    <t>LOPEZ ,MANOLO/BONO COMP 15-06-25/ADM</t>
  </si>
  <si>
    <t>GUTIERREZ, PRESCILIANO/BONO COMP 15-06-25/OPER</t>
  </si>
  <si>
    <t>MANZO, JESMAIYELIT/BONO COMP 15-06-25/ADM</t>
  </si>
  <si>
    <t>MARTINEZ JUAN/BONO COMP 15-06-25/OPER</t>
  </si>
  <si>
    <t>NOGUERA, OSCAR/BONO COMP 15-06-25/OPER</t>
  </si>
  <si>
    <t>POLANCO, FRANKLIN/BONO COMP 15-06-25/OPER</t>
  </si>
  <si>
    <t>PEREZ, CARLOS/BONO COMP 15-06-25/OPER</t>
  </si>
  <si>
    <t>PEREZ, JOSE ROLANDO/BONO COMP 15-06-25/OPER</t>
  </si>
  <si>
    <t>PUERTAS, TEODORO/BONO COMP 15-06-25/OPER</t>
  </si>
  <si>
    <t>RAGA NELIDO/BONO COMP 15-06-25/ADM</t>
  </si>
  <si>
    <t>QUERALES ,EDIXON/BONO COMP 15-06-25/OPER</t>
  </si>
  <si>
    <t>QUERALES, HERMES/BONO COMP 15-06-25/OPER</t>
  </si>
  <si>
    <t>REVERON, RAMON/BONO COMP 15-06-25/OPER</t>
  </si>
  <si>
    <t>RANGEL GUSTAVO/BONO COMP 15-06-25/ADM</t>
  </si>
  <si>
    <t>RIVERO, JORGE/BONO COMP 15-06-25/OPER</t>
  </si>
  <si>
    <t>SEGURA ,WAILEN/BONO COMP 15-06-25/OPER</t>
  </si>
  <si>
    <t>ROJAS MARIA/BONO COMP 15-06-25/OPER</t>
  </si>
  <si>
    <t>RODRIGUEZ ANSONNY/BONO COMP 15-06-25/OPER</t>
  </si>
  <si>
    <t>RODRIGUEZ, MIGUEL/BONO COMP 15-06-25/OPER</t>
  </si>
  <si>
    <t>SOTELDO, LUSMAR/BONO COMP 15-06-25/OPER</t>
  </si>
  <si>
    <t>ZERPA, WISTON/BONO COMP 15-06-25/OPER</t>
  </si>
  <si>
    <t>VETANCOURT, BLIXANDER/BONO COMP 15-06-25/ADM</t>
  </si>
  <si>
    <t>SUAREZ, RAFAEL/BONO COMP 15-06-25/OPER</t>
  </si>
  <si>
    <t>VIELMA CARLEN/BONO COMP 15-06-25/ADM</t>
  </si>
  <si>
    <t>GIMENEZ,PABLO/BONO COMP/NOMINA  15-06-25/OPER</t>
  </si>
  <si>
    <t>Federico Faneite/Eventual Gobernacion 09/06/25 AL 15/06/25</t>
  </si>
  <si>
    <t>Delios Adolfo Ferrara/Eventual Agregados 09/06/25 AL 15/06/25</t>
  </si>
  <si>
    <t>Eliomar Jesús Escalona/Eventual Agregados 09/06/25 AL 15/06/25</t>
  </si>
  <si>
    <t>José Guillermo Cortez/Eventual Agregados 09/06/25 AL 15/06/25</t>
  </si>
  <si>
    <t>Darwuin Jesús Bullones/Eventual Agregados 09/06/25 AL 15/06/25</t>
  </si>
  <si>
    <t>Frank Armando García/Eventual Agregados 09/06/25 AL 15/06/25</t>
  </si>
  <si>
    <t>Alberto Luis Rojas/Eventual Agregados 09/06/25 AL 15/06/25</t>
  </si>
  <si>
    <t>Fareliz Arrieche/Eventual Gobernacion 09/06/25 AL 15/06/25</t>
  </si>
  <si>
    <t>Naiker Alexander Jimenez/Eventual Agregados 09/06/25 AL 15/06/25</t>
  </si>
  <si>
    <t>José Gregorio Perez/Eventual Agregados 09/06/25 AL 15/06/25</t>
  </si>
  <si>
    <t>Henrry Valera/Eventual Gobernacion 09/06/25 AL 15/06/25</t>
  </si>
  <si>
    <t>Carlos Daniel Rodriguez/Eventual Agregados 09/06/25 AL 15/06/25</t>
  </si>
  <si>
    <t>Brunito Segundo Cordero/Eventual Agregados 09/06/25 AL 15/06/25</t>
  </si>
  <si>
    <t>Justiniano Rodriguez/Eventual Agregados 09/06/25 AL 15/06/25</t>
  </si>
  <si>
    <t>Alejandro Morales/Eventual Agregados 09/06/25 AL 15/06/25</t>
  </si>
  <si>
    <t>Armando Lopez /Eventual Agregados 09/06/25 AL 15/06/25</t>
  </si>
  <si>
    <t>Euber José Juarez/Eventual Agregados 09/06/25 AL 15/06/25</t>
  </si>
  <si>
    <t>Ali Alberto Bullones/Eventual Agregados 09/06/25 AL 15/06/25</t>
  </si>
  <si>
    <t>Froilan Lopez/Eventual Agregados 09/06/25 AL 15/06/25</t>
  </si>
  <si>
    <t>Alberto Ali Bullones/Eventual Agregados 09/06/25 AL 15/06/25</t>
  </si>
  <si>
    <t>Fernando José Rodriguez/Eventual Agregados 09/06/25 AL 15/06/25</t>
  </si>
  <si>
    <t>Ramón Quintero/Eventual Agregados 09/06/25 AL 15/06/25</t>
  </si>
  <si>
    <t>Bruno Ali Cordero Bullones/Eventual Agregados 09/06/25 AL 15/06/25</t>
  </si>
  <si>
    <t>Juan López/Eventual Agregados 09/06/25 AL 15/06/25</t>
  </si>
  <si>
    <t>Jesus Ramos/Eventual Gobernacion 09/06/25 AL 15/06/25</t>
  </si>
  <si>
    <t>Exson Rodriguez/Eventual Gobernacion 09/06/25 AL 15/06/25</t>
  </si>
  <si>
    <t>Douglas Pimentel/Eventual Gobernacion 09/06/25 AL 15/06/25</t>
  </si>
  <si>
    <t>Pedro Castillo/Eventual Gobernacion 09/06/25 AL 15/06/25</t>
  </si>
  <si>
    <t>Nicolas Alvarez/Eventual Gobernacion 09/06/25 AL 15/06/25</t>
  </si>
  <si>
    <t>Miguel Torres/Eventual Gobernacion 09/06/25 AL 15/06/25</t>
  </si>
  <si>
    <t>Wendy Gimenez/Eventual Gobernacion 09/06/25 AL 15/06/25</t>
  </si>
  <si>
    <t>Rafael Puertas/Eventual Gobernacion 09/06/25 AL 15/06/25</t>
  </si>
  <si>
    <t>Carlos Pacheco/Eventual Gobernacion 09/06/25 AL 15/06/25</t>
  </si>
  <si>
    <t>Andrés Armella/Eventual Gobernacion 09/06/25 AL 15/06/25</t>
  </si>
  <si>
    <t>Jose Toledo/Eventual Gobernacion 09/06/25 AL 15/06/25</t>
  </si>
  <si>
    <t>Alirio Parra/Eventual Gobernacion 09/06/25 AL 15/06/25</t>
  </si>
  <si>
    <t>Juan Pinto/Eventual Gobernacion 09/06/25 AL 15/06/25</t>
  </si>
  <si>
    <t>Hector/Eventual Gobernacion 09/06/25 AL 15/06/25</t>
  </si>
  <si>
    <t>Edwin Rojas/Eventual Gobernacion 09/06/25 AL 15/06/25</t>
  </si>
  <si>
    <t>Carlos Lopez/Eventual Agregados 09/06/25 AL 15/06/25</t>
  </si>
  <si>
    <t>Angel Caldera/Eventual Gobernacion 09/06/25 AL 15/06/25</t>
  </si>
  <si>
    <t>Norys Ramos/Eventual Gobernacion 09/06/25 AL 15/06/25</t>
  </si>
  <si>
    <t>Pitter Puerta/Eventual Megatech 09/06/25 AL 15/06/25</t>
  </si>
  <si>
    <t>Luis Silveiro Colon Ojeda/Eventual Agregados 09/06/25 AL 15/06/25</t>
  </si>
  <si>
    <t>Argenis Flores/Eventual Megatech 09/06/25 AL 15/06/25</t>
  </si>
  <si>
    <t>Walner Oviedo/Eventual Megatech 09/06/25 AL 15/06/25</t>
  </si>
  <si>
    <t>Yonny Castillo/Eventual Megatech 09/06/25 AL 15/06/25</t>
  </si>
  <si>
    <t>Francisco Castillo/Eventual Megatech 09/06/25 AL 15/06/25</t>
  </si>
  <si>
    <t>Rafael Quiroz/Eventual Gobernacion 09/06/25 AL 15/06/25</t>
  </si>
  <si>
    <t>Estebez Maramara/Eventual Agregados 09/06/25 AL 15/06/25</t>
  </si>
  <si>
    <t>Antonio Castillo/Eventual Megatech 09/06/25 AL 15/06/25</t>
  </si>
  <si>
    <t>Jose Guevara/Eventual Megatech 09/06/25 AL 15/06/25</t>
  </si>
  <si>
    <t>Jose Castillo/Eventual Megatech 09/06/25 AL 15/06/25</t>
  </si>
  <si>
    <t>Elvis Valles/Eventual Megatech 09/06/25 AL 15/06/25</t>
  </si>
  <si>
    <t>Julian Guedez/Eventual Megatech 09/06/25 AL 15/06/25</t>
  </si>
  <si>
    <t>Omar Torrealba/Eventual Megatech 09/06/25 AL 15/06/25</t>
  </si>
  <si>
    <t>Carlos Castillo/Eventual Megatech 09/06/25 AL 15/06/25</t>
  </si>
  <si>
    <t>Yordis Almao/Eventual Megatech 09/06/25 AL 15/06/25</t>
  </si>
  <si>
    <t>Victor Mendez/Eventual Megatech 09/06/25 AL 15/06/25</t>
  </si>
  <si>
    <t>Carlos Loyo/Eventual Megatech 09/06/25 AL 15/06/25</t>
  </si>
  <si>
    <t>Edwuard Almeida/Eventual Megatech 09/06/25 AL 15/06/25</t>
  </si>
  <si>
    <t>Alexander Castillo/Eventual Megatech 09/06/25 AL 15/06/25</t>
  </si>
  <si>
    <t>Alberto Loyo/Eventual Megatech 09/06/25 AL 15/06/25</t>
  </si>
  <si>
    <t>Yerry Rodríguez/Eventual Megatech 09/06/25 AL 15/06/25</t>
  </si>
  <si>
    <t>Alirio Parra/Eventual Megatech 09/06/25 AL 15/06/25</t>
  </si>
  <si>
    <t>Elio Malpica/Eventual Megatech 09/06/25 AL 15/06/25</t>
  </si>
  <si>
    <t>Ruben Rivas/Eventual Megatech 09/06/25 AL 15/06/25</t>
  </si>
  <si>
    <t>Fareliz Arrieche/Eventual Megatech 09/06/25 AL 15/06/25</t>
  </si>
  <si>
    <t>Fares Arrieche/Eventual Megatech 09/06/25 AL 15/06/25</t>
  </si>
  <si>
    <t>Norys Ramos/Eventual Megatech 09/06/25 AL 15/06/25</t>
  </si>
  <si>
    <t>Emperatriz Leon/Eventual Megatech 09/06/25 AL 15/06/25</t>
  </si>
  <si>
    <t>Ingrid Reyes/Eventual Megatech 09/06/25 AL 15/06/25</t>
  </si>
  <si>
    <t>JESMAIYELIT MANZO/LIQUIDACION</t>
  </si>
  <si>
    <t>FRANKLIN POLANCO/LIQUIDACION</t>
  </si>
  <si>
    <t>WISTON ZERPA/LIQUIDACION</t>
  </si>
  <si>
    <t>TEODORO PUERTAS/LIQUIDACION</t>
  </si>
  <si>
    <t>PABLO GIMENEZ/LIQUIDACION</t>
  </si>
  <si>
    <t>CONSTRURAMA/FACT10765/FONDO CROMATO ZING GALON</t>
  </si>
  <si>
    <t>CLAUDICOLOR/FACT 0786/PINTURA ESCAMALTE-MINERALES</t>
  </si>
  <si>
    <t>FERRENOVA/FACT 2002/MANGUERA 1" P/TROMPO-MINERALES</t>
  </si>
  <si>
    <t>INDUSTRIALES OESTE/FACT 0072/MATERIALES ELECTRICOS P/USO GRAL-MINERALES</t>
  </si>
  <si>
    <t xml:space="preserve">CASTRO CORPORACION/FACT 562/LAPTOP CORE I5-Miguel Rodriguez  </t>
  </si>
  <si>
    <t>INVE SALEM/FACT 3204/MATERIALES-MINERALES</t>
  </si>
  <si>
    <t>VENFA/FACT 80/RENCONSTRUCCION PALA/CARGADOE FRONTAL HYUNDAI-MINERALES</t>
  </si>
  <si>
    <t>ERDS/FACT 1896/NIPLES P/TROMPOS-MINERALES</t>
  </si>
  <si>
    <t>ALBERTO PERNALETTE/FACT 15/VIATICOS</t>
  </si>
  <si>
    <t>HENCARD CONSTRUCCIONES/FACT 616/INSTAL,PROG SISTEMA CONTROL Y DISTRI CONTROL-CEMENTO</t>
  </si>
  <si>
    <t>INVE PEROZO/FACT 96748/MANGUERA P/EQUIP HYUNDAI 770</t>
  </si>
  <si>
    <t>AMERICA TORNILLO/FACT 10654/TORNILLO ARANDELA-TRATOR D9</t>
  </si>
  <si>
    <t>GLOBAL ACERO/FACT 0075/INV MATERIALES GASOIL-MINERALES</t>
  </si>
  <si>
    <t>LISO/FACT 613/ALQUILER MARTILLIO ROTOPERCUTOR/YESO</t>
  </si>
  <si>
    <t>FERRE REMI/FACT 272/REQUIR P/HUNDU P/CEMENTO LAMINAS DE HN</t>
  </si>
  <si>
    <t>FLACO RIVAS/FACT 206-204/REPA MTTO RADIADORES-CAMION KAMAZ</t>
  </si>
  <si>
    <t>PROCESADA EN AGOSTO</t>
  </si>
  <si>
    <t>COPIKAG GLOBAL/FACT 1894/CARTUCHO IMPRESORA LASER JET M111</t>
  </si>
  <si>
    <t>SERVA002</t>
  </si>
  <si>
    <t>GASTOS CONSUMIBLES/IMPRESORAS</t>
  </si>
  <si>
    <t>REPUEST H.R.N/FACT 1673/REPUEST P/MONTACARGA-RETROEXCAVADORA</t>
  </si>
  <si>
    <t>JOSE CASTRO/FACT 42/SERV ANTENA SATELITAL P/CEMENTO</t>
  </si>
  <si>
    <t>REPUEST CAMACAROS/FACT5903/REPUEST SILVERADO-SEDE MINERALES</t>
  </si>
  <si>
    <t>JOSE CASTRO/FACT 46/SERV ANTENA SATELITAL MINERALES</t>
  </si>
  <si>
    <t>GLOBAL ACEROS/FACT 76/INVER LAMINAS P/BASE TANQUE GASOIL-MINERALES</t>
  </si>
  <si>
    <t>12-200625</t>
  </si>
  <si>
    <t>JOSE CASTILLOS/OPERADORES DESARROLLO YESO/CALIZA 16/06 AL 20/06</t>
  </si>
  <si>
    <t>Edwuard Almeida/Eventual Megatech 16/06/25 AL 22/06//25</t>
  </si>
  <si>
    <t>Hector/Eventual Gobernacion 16/06/25 AL 22/06//25</t>
  </si>
  <si>
    <t>Yerry Rodríguez/Eventual Megatech 16/06/25 AL 22/06//25</t>
  </si>
  <si>
    <t>Elio Malpica/Eventual Megatech 16/06/25 AL 22/06//25</t>
  </si>
  <si>
    <t>Ruben Rivas/Eventual Megatech 16/06/25 AL 22/06//25</t>
  </si>
  <si>
    <t>ANDRES MELENDEZ/OPERADORES DESARROLLO YESO/CALIZA 16/06 AL 20/06</t>
  </si>
  <si>
    <t>YOHAN GUANIPA/BONO OPERADORES 16/06 AL 20/06</t>
  </si>
  <si>
    <t>Ingrid Reyes/Eventual Megatech 16/06/25 AL 22/06//25</t>
  </si>
  <si>
    <t>DOMINIO VIRGUEZ/OPERADORES DESARROLLO YESO/CALIZA 16/06 AL 20/06</t>
  </si>
  <si>
    <t>DANNY URRUTIA/CAMPAÑADESARROLLO YESO/CALIZA 16/06 AL</t>
  </si>
  <si>
    <t>R&amp;A CONSTRUCC/FACT 28/MTTO CANALES LLUVIAS-P/CEMENTO</t>
  </si>
  <si>
    <t>JEFFERSON DAVILA/BONO OPERADORES 16/06 AL 20/06</t>
  </si>
  <si>
    <t>Federico Faneite/Eventual Gobernacion 16/06/25 AL 22/06//25</t>
  </si>
  <si>
    <t>Delios Adolfo Ferrara/Eventual Agregados 16/06/25 AL 22/06//25</t>
  </si>
  <si>
    <t>Eliomar Jesús Escalona/Eventual Agregados 16/06/25 AL 22/06//25</t>
  </si>
  <si>
    <t>José Guillermo Cortez/Eventual Agregados 16/06/25 AL 22/06//25</t>
  </si>
  <si>
    <t>Darwuin Jesús Bullones/Eventual Agregados 16/06/25 AL 22/06//25</t>
  </si>
  <si>
    <t>Frank Armando García/Eventual Agregados 16/06/25 AL 22/06//25</t>
  </si>
  <si>
    <t>Alberto Luis Rojas/Eventual Agregados 16/06/25 AL 22/06//25</t>
  </si>
  <si>
    <t>Naiker Alexander Jimenez/Eventual Agregados 16/06/25 AL 22/06//25</t>
  </si>
  <si>
    <t>José Gregorio Perez/Eventual Agregados 16/06/25 AL 22/06//25</t>
  </si>
  <si>
    <t>Carlos Daniel Rodriguez/Eventual Agregados 16/06/25 AL 22/06//25</t>
  </si>
  <si>
    <t>Alejandro Morales/Eventual Agregados 16/06/25 AL 22/06//25</t>
  </si>
  <si>
    <t>Euber José Juarez/Eventual Agregados 16/06/25 AL 22/06//25</t>
  </si>
  <si>
    <t>Ali Alberto Bullones/Eventual Agregados 16/06/25 AL 22/06//25</t>
  </si>
  <si>
    <t>Alberto Ali Bullones/Eventual Agregados 16/06/25 AL 22/06//25</t>
  </si>
  <si>
    <t>Fernando José Rodriguez/Eventual Agregados 16/06/25 AL 22/06//25</t>
  </si>
  <si>
    <t>Bruno Ali Cordero Bullones/Eventual Agregados 16/06/25 AL 22/06//25</t>
  </si>
  <si>
    <t>Fareliz Arrieche/Eventual Gobernacion 16/06/25 AL 22/06//25</t>
  </si>
  <si>
    <t>Henrry Valera/Eventual Gobernacion 16/06/25 AL 22/06//25</t>
  </si>
  <si>
    <t>Brunito Segundo Cordero/Eventual Agregados 16/06/25 AL 22/06//25</t>
  </si>
  <si>
    <t>Justiniano Rodriguez/Eventual Agregados 16/06/25 AL 22/06//25</t>
  </si>
  <si>
    <t>Armando Lopez /Eventual Agregados 16/06/25 AL 22/06//25</t>
  </si>
  <si>
    <t>Froilan Lopez/Eventual Agregados 16/06/25 AL 22/06//25</t>
  </si>
  <si>
    <t>Ramón Quintero/Eventual Agregados 16/06/25 AL 22/06//25</t>
  </si>
  <si>
    <t>Juan López/Eventual Agregados 16/06/25 AL 22/06//25</t>
  </si>
  <si>
    <t>Jesus Ramos/Eventual Gobernacion 16/06/25 AL 22/06//25</t>
  </si>
  <si>
    <t>Exson Rodriguez/Eventual Gobernacion 16/06/25 AL 22/06//25</t>
  </si>
  <si>
    <t>Douglas Pimentel/Eventual Gobernacion 16/06/25 AL 22/06//25</t>
  </si>
  <si>
    <t>Pedro Castillo/Eventual Gobernacion 16/06/25 AL 22/06//25</t>
  </si>
  <si>
    <t>Miguel Torres/Eventual Gobernacion 16/06/25 AL 22/06//25</t>
  </si>
  <si>
    <t>Wendy Gimenez/Eventual Gobernacion 16/06/25 AL 22/06//25</t>
  </si>
  <si>
    <t>Nicolas Alvarez/Eventual Gobernacion 16/06/25 AL 22/06//25</t>
  </si>
  <si>
    <t>Rafael Puertas/Eventual Gobernacion 16/06/25 AL 22/06//25</t>
  </si>
  <si>
    <t>Carlos Pacheco/Eventual Gobernacion 16/06/25 AL 22/06//25</t>
  </si>
  <si>
    <t>Andrés Armella/Eventual Gobernacion 16/06/25 AL 22/06//25</t>
  </si>
  <si>
    <t>Jose Toledo/Eventual Gobernacion 16/06/25 AL 22/06//25</t>
  </si>
  <si>
    <t>Juan Pinto/Eventual Gobernacion 16/06/25 AL 22/06//25</t>
  </si>
  <si>
    <t>Edwin Rojas/Eventual Gobernacion 16/06/25 AL 22/06//25</t>
  </si>
  <si>
    <t>Carlos Lopez/Eventual Agregados 16/06/25 AL 22/06//25</t>
  </si>
  <si>
    <t>Alirio Parra/Eventual Gobernacion 16/06/25 AL 22/06//25</t>
  </si>
  <si>
    <t>Angel Caldera/Eventual Gobernacion 16/06/25 AL 22/06//25</t>
  </si>
  <si>
    <t>Luis Silveiro Colon Ojeda/Eventual Agregados 16/06/25 AL 22/06//25</t>
  </si>
  <si>
    <t>Norys Ramos/Eventual Megatech 16/06/25 AL 22/06//25</t>
  </si>
  <si>
    <t>Estebez Maramara/Eventual Agregados 16/06/25 AL 22/06//25</t>
  </si>
  <si>
    <t>Rafael Quiroz/Eventual Gobernacion 16/06/25 AL 22/06//25</t>
  </si>
  <si>
    <t>Pitter Puerta/Eventual Megatech 16/06/25 AL 22/06//25</t>
  </si>
  <si>
    <t>Francisco Castillo/Eventual Megatech 16/06/25 AL 22/06//25</t>
  </si>
  <si>
    <t>Yonny Castillo/Eventual Megatech 16/06/25 AL 22/06//25</t>
  </si>
  <si>
    <t>Jose Guevara/Eventual Megatech 16/06/25 AL 22/06//25</t>
  </si>
  <si>
    <t>Antonio Castillo/Eventual Megatech 16/06/25 AL 22/06//25</t>
  </si>
  <si>
    <t>Jose Castillo/Eventual Megatech 16/06/25 AL 22/06//25</t>
  </si>
  <si>
    <t>Elvis Valles/Eventual Megatech 16/06/25 AL 22/06//25</t>
  </si>
  <si>
    <t>Argenis Flores/Eventual Megatech 16/06/25 AL 22/06//25</t>
  </si>
  <si>
    <t>Walner Oviedo/Eventual Megatech 16/06/25 AL 22/06//25</t>
  </si>
  <si>
    <t>Carlos Castillo/Eventual Megatech 16/06/25 AL 22/06//25</t>
  </si>
  <si>
    <t>Omar Torrealba/Eventual Megatech 16/06/25 AL 22/06//25</t>
  </si>
  <si>
    <t>Julian Guedez/Eventual Megatech 16/06/25 AL 22/06//25</t>
  </si>
  <si>
    <t>Yordis Almao/Eventual Megatech 16/06/25 AL 22/06//25</t>
  </si>
  <si>
    <t>Victor Mendez/Eventual Megatech 16/06/25 AL 22/06//25</t>
  </si>
  <si>
    <t>Carlos Loyo/Eventual Megatech 16/06/25 AL 22/06//25</t>
  </si>
  <si>
    <t>Alberto Loyo/Eventual Megatech 16/06/25 AL 22/06//25</t>
  </si>
  <si>
    <t>Alexander Castillo/Eventual Megatech 16/06/25 AL 22/06//25</t>
  </si>
  <si>
    <t>RAMON QUIROGAS/BONO OPERADORES 16/06 AL 20/06</t>
  </si>
  <si>
    <t>ROBER ARIAS/BONO OPERADORES 16/06 AL 20/06</t>
  </si>
  <si>
    <t>Fareliz Arrieche/Eventual Megatech 16/06/25 AL 22/06//25</t>
  </si>
  <si>
    <t>BEATRIZ CASTILLO/BONO OPERADORES 16/06 AL 20/06</t>
  </si>
  <si>
    <t>HONORARIOS PROFESIONALES/INSPECC SINELEC-FABRICANTES TRANSFORMADOR</t>
  </si>
  <si>
    <t>38-200625</t>
  </si>
  <si>
    <t>Alirio Parra/Eventual Megatech 16/06/25 AL 22/06//25</t>
  </si>
  <si>
    <t>Fares Arrieche/Eventual Megatech 16/06/25 AL 22/06//25</t>
  </si>
  <si>
    <t>LINO FLOREZ/CAMPAÑA YESO 16/06 AL 20/06-OPERADORES</t>
  </si>
  <si>
    <t>OLGA OROZCO/HOSPEDAJE/CALIZA</t>
  </si>
  <si>
    <t>45-200625</t>
  </si>
  <si>
    <t>MATERIALES SANTA LUCIA/FACT 5505/MATERIALES CEMENTERA</t>
  </si>
  <si>
    <t>SANTA LUCIA/FACT 5503/CEMENTERA/DONATIVO</t>
  </si>
  <si>
    <t>GEORMAN MOLINA/FACT 262/SERV GRUA-PAYLOVER-PALA-HYUNDAI</t>
  </si>
  <si>
    <t>FERRE REMI/FACT 274/TUBOS ESTRUCTURALES-P/GALPON EMPAQ MOLINO CEMENTO</t>
  </si>
  <si>
    <t>TIENDA DAKA/FACT 33294/2 AIRES SPLIT OFIC MINERALES</t>
  </si>
  <si>
    <t>INVECEM S.A/COMPRA CEMENTO P/PLANTA MINERALES -FACT ESMY-TIENE EL CUPO DE DESPACHO</t>
  </si>
  <si>
    <t>MULTISERVICIOS W Y R/FACT 33/INSTALACION MOTOR CUNIS-MINERALES</t>
  </si>
  <si>
    <t xml:space="preserve">GEORMAN LEANDRO MOLINA/ FACT 000259/SERVICIO DE GRUA </t>
  </si>
  <si>
    <t>ALBERTO JOSE SUAREZ CASTRO/ FACT 002578/BOMBA DE INYECCION CERNIDORA DE ARENA</t>
  </si>
  <si>
    <t>LUZBARDO ESPINOSA/FACT 118/MATERIAL ELECTRICO -ING FARELIZ</t>
  </si>
  <si>
    <t>FERRE MATERIALES REMI/FACT 0277/INV P/CERRAMIENT-GALPON EMPAQUETADO-MOLINO CEMENTO</t>
  </si>
  <si>
    <t>REICARIS MANUEL RIVAS/ FACT 000200/MANT.RADIADOR</t>
  </si>
  <si>
    <t>VALLA INFOR-EXTRACCION GRANZON (MAYO/JUNIO)</t>
  </si>
  <si>
    <t>08-250625</t>
  </si>
  <si>
    <t>GLOBAL ACERO/FACT0058/P/CERRAMIENTO GALPON DE EMPAQUETADO/MOLINO CEMENTO</t>
  </si>
  <si>
    <t xml:space="preserve">ALIMENTOS/FACT 31488/CAFÉ CONSUMO INTERNO </t>
  </si>
  <si>
    <t>RODA MANGUERA/FACT 2108/MONTAJE CERNIDORA-MINERALES</t>
  </si>
  <si>
    <t>ALIMENTO FACT 31493-31507/BENFICIOS TRABAJADORES-EVENTUALES</t>
  </si>
  <si>
    <t>VICTOR VARLVERDE/FACT A-1281/FILTRO DE AIRE GRUA  TELESCOPICA</t>
  </si>
  <si>
    <t>COMERCIALIZADORA/INVERSION DE CAPITAL/BICENTENARIO</t>
  </si>
  <si>
    <t>DIAR/FACT 770/ACEITE HIDRAULICO-EXCAVADORES-CALIZAS-P/CEMENTERA</t>
  </si>
  <si>
    <t>FERRE REMI/FACT 281/P/PLATAFORMAS SEGURIDAD MOLINO-P/CEMENTO</t>
  </si>
  <si>
    <t>DIAR/FACT 768/ACEITE HIDRAULICO-EXCAVADORES-CALIZAS-P/CEMENTERA</t>
  </si>
  <si>
    <t>GLOBAL ACERO/FACT 0057/PLATAFORMAS SEGURIDAD MOLINO CRUDO P/CEMENTO</t>
  </si>
  <si>
    <t>Jesus Ramos/Eventual Gobernacion 23/06 AL 29/06</t>
  </si>
  <si>
    <t>Exson Rodriguez/Eventual Gobernacion 23/06 AL 29/06</t>
  </si>
  <si>
    <t>Douglas Pimentel/Eventual Gobernacion 23/06 AL 29/06</t>
  </si>
  <si>
    <t>Pedro Castillo/Eventual Gobernacion 23/06 AL 29/06</t>
  </si>
  <si>
    <t>Miguel Torres/Eventual Gobernacion 23/06 AL 29/06</t>
  </si>
  <si>
    <t>Wendy Gimenez/Eventual Gobernacion 23/06 AL 29/06</t>
  </si>
  <si>
    <t>Rafael Puertas/Eventual Gobernacion 23/06 AL 29/06</t>
  </si>
  <si>
    <t>Carlos Pacheco/Eventual Gobernacion 23/06 AL 29/06</t>
  </si>
  <si>
    <t>Andrés Armella/Eventual Gobernacion 23/06 AL 29/06</t>
  </si>
  <si>
    <t>Jose Toledo/Eventual Gobernacion 23/06 AL 29/06</t>
  </si>
  <si>
    <t>Henrry Valera/Eventual Gobernacion 23/06 AL 29/06</t>
  </si>
  <si>
    <t>Juan Pinto/Eventual Gobernacion 23/06 AL 29/06</t>
  </si>
  <si>
    <t>Edwin Rojas/Eventual Gobernacion 23/06 AL 29/06</t>
  </si>
  <si>
    <t>Alirio Parra/Eventual Gobernacion 23/06 AL 29/06</t>
  </si>
  <si>
    <t>Fareliz Arrieche/Eventual Gobernacion 23/06 AL 29/06</t>
  </si>
  <si>
    <t>Rafael Quiroz/Eventual Gobernacion 23/06 AL 29/06</t>
  </si>
  <si>
    <t>Federico Faneite/Eventual Gobernacion 23/06 AL 29/06</t>
  </si>
  <si>
    <t>Brunito Segundo Cordero/Eventual Agregados 23/06 AL 29/06</t>
  </si>
  <si>
    <t>Angel Caldera/Eventual Gobernacion 23/06 AL 29/06</t>
  </si>
  <si>
    <t>Delios Adolfo Ferrara/Eventual Agregados 23/06 AL 29/06</t>
  </si>
  <si>
    <t>Eliomar Jesús Escalona/Eventual Agregados 23/06 AL 29/06</t>
  </si>
  <si>
    <t>José Guillermo Cortez/Eventual Agregados 23/06 AL 29/06</t>
  </si>
  <si>
    <t>Darwuin Jesús Bullones/Eventual Agregados 23/06 AL 29/06</t>
  </si>
  <si>
    <t>Frank Armando García/Eventual Agregados 23/06 AL 29/06</t>
  </si>
  <si>
    <t>Alberto Luis Rojas/Eventual Agregados 23/06 AL 29/06</t>
  </si>
  <si>
    <t>Naiker Alexander Jimenez/Eventual Agregados 23/06 AL 29/06</t>
  </si>
  <si>
    <t>José Gregorio Perez/Eventual Agregados 23/06 AL 29/06</t>
  </si>
  <si>
    <t>Carlos Daniel Rodriguez/Eventual Agregados 23/06 AL 29/06</t>
  </si>
  <si>
    <t>Alejandro Morales/Eventual Agregados 23/06 AL 29/06</t>
  </si>
  <si>
    <t>Euber José Juarez/Eventual Agregados 23/06 AL 29/06</t>
  </si>
  <si>
    <t>Ali Alberto Bullones/Eventual Agregados 23/06 AL 29/06</t>
  </si>
  <si>
    <t>Alberto Ali Bullones/Eventual Agregados 23/06 AL 29/06</t>
  </si>
  <si>
    <t>Fernando José Rodriguez/Eventual Agregados 23/06 AL 29/06</t>
  </si>
  <si>
    <t>Bruno Ali Cordero Bullones/Eventual Agregados 23/06 AL 29/06</t>
  </si>
  <si>
    <t>Justiniano Rodriguez/Eventual Agregados 23/06 AL 29/06</t>
  </si>
  <si>
    <t>Estebez Maramara/Eventual Agregados 23/06 AL 29/06</t>
  </si>
  <si>
    <t>Carlos Lopez/Eventual Agregados 23/06 AL 29/06</t>
  </si>
  <si>
    <t>Armando Lopez /Eventual Agregados 23/06 AL 29/06</t>
  </si>
  <si>
    <t>Froilan Lopez/Eventual Agregados 23/06 AL 29/06</t>
  </si>
  <si>
    <t>Ramón Quintero/Eventual Agregados 23/06 AL 29/06</t>
  </si>
  <si>
    <t>Argenis Flores/Eventual Megatech 23/06 AL 29/06</t>
  </si>
  <si>
    <t>Juan López/Eventual Agregados 23/06 AL 29/06</t>
  </si>
  <si>
    <t>Luis Silveiro Colon Ojeda/Eventual Agregados 23/06 AL 29/06</t>
  </si>
  <si>
    <t>Pitter Puerta/Eventual Megatech 23/06 AL 29/06</t>
  </si>
  <si>
    <t>Walner Oviedo/Eventual Megatech 23/06 AL 29/06</t>
  </si>
  <si>
    <t>Yonny Castillo/Eventual Megatech 23/06 AL 29/06</t>
  </si>
  <si>
    <t>Antonio Castillo/Eventual Megatech 23/06 AL 29/06</t>
  </si>
  <si>
    <t>Jose Guevara/Eventual Megatech 23/06 AL 29/06</t>
  </si>
  <si>
    <t>Francisco Castillo/Eventual Megatech 23/06 AL 29/06</t>
  </si>
  <si>
    <t>Jose Castillo/Eventual Megatech 23/06 AL 29/06</t>
  </si>
  <si>
    <t>Elvis Valles/Eventual Megatech 23/06 AL 29/06</t>
  </si>
  <si>
    <t>Omar Torrealba/Eventual Megatech 23/06 AL 29/06</t>
  </si>
  <si>
    <t>Carlos Castillo/Eventual Megatech 23/06 AL 29/06</t>
  </si>
  <si>
    <t>Julian Guedez/Eventual Megatech 23/06 AL 29/06</t>
  </si>
  <si>
    <t>Yordis Almao/Eventual Megatech 23/06 AL 29/06</t>
  </si>
  <si>
    <t>Victor Mendez/Eventual Megatech 23/06 AL 29/06</t>
  </si>
  <si>
    <t>Carlos Loyo/Eventual Megatech 23/06 AL 29/06</t>
  </si>
  <si>
    <t>Alberto Loyo/Eventual Megatech 23/06 AL 29/06</t>
  </si>
  <si>
    <t>Edwuard Almeida/Eventual Megatech 23/06 AL 29/06</t>
  </si>
  <si>
    <t>Yerry Rodríguez/Eventual Megatech 23/06 AL 29/06</t>
  </si>
  <si>
    <t>Elio Malpica/Eventual Megatech 23/06 AL 29/06</t>
  </si>
  <si>
    <t>Alexander Castillo/Eventual Megatech 23/06 AL 29/06</t>
  </si>
  <si>
    <t>Ruben Rivas/Eventual Megatech 23/06 AL 29/06</t>
  </si>
  <si>
    <t>Norys Ramos/Eventual Megatech 23/06 AL 29/06</t>
  </si>
  <si>
    <t>Fareliz Arrieche/Eventual Megatech 23/06 AL 29/06</t>
  </si>
  <si>
    <t>Alirio Parra/Eventual Megatech 23/06 AL 29/06</t>
  </si>
  <si>
    <t>Emperatriz Leon/Eventual Megatech 23/06 AL 29/06</t>
  </si>
  <si>
    <t>Fares Arrieche/Eventual Megatech 23/06 AL 29/06</t>
  </si>
  <si>
    <t>Ingrid Reyes/Eventual Megatech 23/06 AL 29/06</t>
  </si>
  <si>
    <t>MAQUIMAT CASTILLO/FACT 666/GATO HIDRAULIVO P/HYUNDAI MINERALES</t>
  </si>
  <si>
    <t>MATERIALES SANTA LUCIAS/FACT 5534/CEMENTERA</t>
  </si>
  <si>
    <t>PORTUMANIA/FACT 3370/SILLAS CORDOBA/OFICINAS MINERALES</t>
  </si>
  <si>
    <t>RODA MANGUERA/FACT 2142/MANGUERA P/KAMAZ #16-CEMENTERA</t>
  </si>
  <si>
    <t>TRACTO AUTO/FACT 7756/BATERIAS P/KAMAZ-MINERALES</t>
  </si>
  <si>
    <t>QUITRONIC/FACT 2219/GATO 50T P/TALER-MINERALES</t>
  </si>
  <si>
    <t>RESGUARDO/FACT 227/2DA QNA junio-MINERALES</t>
  </si>
  <si>
    <t>TDC/INVERSION DE CAPITAL/PROVINCIAL</t>
  </si>
  <si>
    <t>JOSE ARRIETA/BONIFICACION GOBER MES JUNIO</t>
  </si>
  <si>
    <t>CARLOS RODRIGUEZ/BONIFICACION GOBER MES JUNIO</t>
  </si>
  <si>
    <t>ARMANDO VILLEGAS/BONIFICACION GOBER MES JUNIO</t>
  </si>
  <si>
    <t>ALEJOS, RODOLFO/BONO COMPLE 30-06-25/OPER</t>
  </si>
  <si>
    <t>ALMAO,GENESIS/BONO COMPLE 30-06-25/ADM</t>
  </si>
  <si>
    <t>CHIRINOS, RAFAEL/BONO COMPLE 30-06-25/OPER</t>
  </si>
  <si>
    <t>ALVARADO, EDID/BONO COMPLE 30-06-25/OPER</t>
  </si>
  <si>
    <t>BASTIDA, JOSE/BONO COMPLE 30-06-25/OPER</t>
  </si>
  <si>
    <t>DAZA, VICTOR/BONO COMPLE 30-06-25/OPER</t>
  </si>
  <si>
    <t>DURAN, MARIA/BONO COMPLE 30-06-25/OPER</t>
  </si>
  <si>
    <t>GARCIA, JASON/BONO COMPLE 30-06-25/OPER</t>
  </si>
  <si>
    <t>GUEDEZ,JOSE/BONO COMPLE 30-06-25/OPER</t>
  </si>
  <si>
    <t>GOMEZ,ARGENIS/BONO COMPLE 30-06-25/OPER</t>
  </si>
  <si>
    <t>LINAREZ, PEDRO/BONO COMPLE 30-06-25/OPER</t>
  </si>
  <si>
    <t>GUTIERREZ, PRESCILIANO/BONO COMPLE 30-06-25/OPER</t>
  </si>
  <si>
    <t>LOPEZ ,MANOLO/BONO COMPLE 30-06-25/ADM</t>
  </si>
  <si>
    <t>LINAREZ, SANTIAGO/BONO COMPLE 30-06-25/OPER</t>
  </si>
  <si>
    <t>MARTINEZ JUAN/BONO COMPLE 30-06-25/OPER</t>
  </si>
  <si>
    <t>GUEDEZ,YIRMER/BONO COMPLE 30-06-25/OPER</t>
  </si>
  <si>
    <t>PEREZ, JOSE ROLANDO/BONO COMPLE 30-06-25/OPER</t>
  </si>
  <si>
    <t>MENDOZA,ANTONY/BONO COMPLE 30-06-25/OPER</t>
  </si>
  <si>
    <t>NOGUERA, OSCAR/BONO COMPLE 30-06-25/OPER</t>
  </si>
  <si>
    <t>QUERALES ,EDIXON/BONO COMPLE 30-06-25/OPER</t>
  </si>
  <si>
    <t>PEREZ, CARLOS/BONO COMPLE 30-06-25/OPER</t>
  </si>
  <si>
    <t>RANGEL GUSTAVO/BONO COMPLE 30-06-25/ADM</t>
  </si>
  <si>
    <t>QUERALES, HERMES/BONO COMPLE 30-06-25/OPER</t>
  </si>
  <si>
    <t>REVERON, RAMON/BONO COMPLE 30-06-25/OPER</t>
  </si>
  <si>
    <t>RAGA NELIDO/BONO COMPLE 30-06-25/ADM</t>
  </si>
  <si>
    <t>ROJAS MARIA/BONO COMPLE 30-06-25/OPER</t>
  </si>
  <si>
    <t>SEGURA ,WAILEN/BONO COMPLE 30-06-25/OPER</t>
  </si>
  <si>
    <t>RODRIGUEZ ANSONNY/BONO COMPLE 30-06-25/OPER</t>
  </si>
  <si>
    <t>RIVERO, JORGE/BONO COMPLE 30-06-25/OPER</t>
  </si>
  <si>
    <t>RODRIGUEZ, MIGUEL/BONO COMPLE 30-06-25/OPER</t>
  </si>
  <si>
    <t>SUAREZ, RAFAEL/BONO COMPLE 30-06-25/OPER</t>
  </si>
  <si>
    <t>SOTELDO, LUSMAR/BONO COMPLE 30-06-25/OPER</t>
  </si>
  <si>
    <t>VIELMA CARLEN/BONO COMPLE 30-06-25/ADM</t>
  </si>
  <si>
    <t>VETANCOURT, BLIXANDER/BONO COMPLE 30-06-25/OPER</t>
  </si>
  <si>
    <t>NOGUERA, OSCAR/BONO ADICIONAL30-06-25/OPER</t>
  </si>
  <si>
    <t>RANGEL GUSTAVO/BONO ADICIONAL30-06-25/ADM</t>
  </si>
  <si>
    <t>RODRIGUEZ, MIGUEL/BONO ADICIONAL30-06-25/OPER</t>
  </si>
  <si>
    <t>VIELMA CARLEN/BONO ADICIONAL30-06-25/ADM</t>
  </si>
  <si>
    <t>ALEJOS, RODOLFO/CESTA TICKET JUNIO/OPER</t>
  </si>
  <si>
    <t>GUEDEZ,YIRMER/CESTA TICKET JUNIO/OPER</t>
  </si>
  <si>
    <t>CHIRINOS, RAFAEL/CESTA TICKET JUNIO/OPER</t>
  </si>
  <si>
    <t>ALVARADO, EDID/CESTA TICKET JUNIO/OPER</t>
  </si>
  <si>
    <t>BASTIDA, JOSE/CESTA TICKET JUNIO/OPER</t>
  </si>
  <si>
    <t>DAZA, VICTOR/CESTA TICKET JUNIO/OPER</t>
  </si>
  <si>
    <t>DURAN, MARIA/CESTA TICKET JUNIO/OPER</t>
  </si>
  <si>
    <t>GARCIA, JASON/CESTA TICKET JUNIO/OPER</t>
  </si>
  <si>
    <t>GOMEZ,ARGENIS/CESTA TICKET JUNIO/OPER</t>
  </si>
  <si>
    <t>GUEDEZ,JOSE/CESTA TICKET JUNIO/OPER</t>
  </si>
  <si>
    <t>GUTIERREZ, PRESCILIANO/CESTA TICKET JUNIO/OPER</t>
  </si>
  <si>
    <t>LINAREZ, PEDRO/CESTA TICKET JUNIO/OPER</t>
  </si>
  <si>
    <t>LINAREZ, SANTIAGO/CESTA TICKET JUNIO/OPER</t>
  </si>
  <si>
    <t>LOPEZ ,MANOLO/CESTA TICKET JUNIO/ADM</t>
  </si>
  <si>
    <t>MARTINEZ JUAN/CESTA TICKET JUNIO/OPER</t>
  </si>
  <si>
    <t>NOGUERA, OSCAR/CESTA TICKET JUNIO/OPER</t>
  </si>
  <si>
    <t>PEREZ, JOSE ROLANDO/CESTA TICKET JUNIO/OPER</t>
  </si>
  <si>
    <t>PARADA,KEIBY/CESTA TICKET JUNIO/OPER</t>
  </si>
  <si>
    <t>MENDOZA,ANTONY/CESTA TICKET JUNIO/OPER</t>
  </si>
  <si>
    <t>PEREZ, CARLOS/CESTA TICKET JUNIO/OPER</t>
  </si>
  <si>
    <t>QUERALES ,EDIXON/CESTA TICKET JUNIO/OPER</t>
  </si>
  <si>
    <t>QUERALES, HERMES/CESTA TICKET JUNIO/OPER</t>
  </si>
  <si>
    <t>RAGA NELIDO/CESTA TICKET JUNIO/ADM</t>
  </si>
  <si>
    <t>RANGEL GUSTAVO/CESTA TICKET JUNIO/ADM</t>
  </si>
  <si>
    <t>REVERON, RAMON/CESTA TICKET JUNIO/OPER</t>
  </si>
  <si>
    <t>RIVERO, JORGE/CESTA TICKET JUNIO/OPER</t>
  </si>
  <si>
    <t>RODRIGUEZ ANSONNY/CESTA TICKET JUNIO/OPER</t>
  </si>
  <si>
    <t>RODRIGUEZ, MIGUEL/CESTA TICKET JUNIO/OPER</t>
  </si>
  <si>
    <t>ROJAS MARIA/CESTA TICKET JUNIO/OPER</t>
  </si>
  <si>
    <t>SEGURA ,WAILEN/CESTA TICKET JUNIO/OPER</t>
  </si>
  <si>
    <t>SOTELDO, LUSMAR/CESTA TICKET JUNIO/OPER</t>
  </si>
  <si>
    <t>SUAREZ, RAFAEL/CESTA TICKET JUNIO/OPER</t>
  </si>
  <si>
    <t>VETANCOURT, BLIXANDER/CESTA TICKET JUNIO/ADM</t>
  </si>
  <si>
    <t>VIELMA CARLEN/CESTA TICKET JUNIO/ADM</t>
  </si>
  <si>
    <t>ALEJOS, RODOLFO/NOMINA 30-06-25/OPER</t>
  </si>
  <si>
    <t>ALMAO,GENESIS/NOMINA 30-06-25/ADM</t>
  </si>
  <si>
    <t>ALVARADO, EDID/NOMINA 30-06-25/OPER</t>
  </si>
  <si>
    <t>BASTIDA, JOSE/NOMINA 30-06-25/OPER</t>
  </si>
  <si>
    <t>CHIRINOS, RAFAEL/NOMINA 30-06-25/OPER</t>
  </si>
  <si>
    <t>DAZA, VICTOR/NOMINA 30-06-25/OPER</t>
  </si>
  <si>
    <t>GOMEZ,ARGENIS/NOMINA 30-06-25/OPER</t>
  </si>
  <si>
    <t>GARCIA, JASON/NOMINA 30-06-25/OPER</t>
  </si>
  <si>
    <t>DURAN, MARIA/NOMINA 30-06-25/OPER</t>
  </si>
  <si>
    <t>GUEDEZ,YIRMER/NOMINA 30-06-25/OPER</t>
  </si>
  <si>
    <t>GUTIERREZ, PRESCILIANO/NOMINA 30-06-25/OPER</t>
  </si>
  <si>
    <t>LINAREZ, PEDRO/NOMINA 30-06-25/OPER</t>
  </si>
  <si>
    <t>LINAREZ, SANTIAGO/NOMINA 30-06-25/OPER</t>
  </si>
  <si>
    <t>LOPEZ ,MANOLO/NOMINA 30-06-25/ADM</t>
  </si>
  <si>
    <t>MARTINEZ JUAN/NOMINA 30-06-25/OPER</t>
  </si>
  <si>
    <t>NOGUERA, OSCAR/NOMINA 30-06-25/OPER</t>
  </si>
  <si>
    <t>GUEDEZ,JOSE/NOMINA 30-06-25/OPER</t>
  </si>
  <si>
    <t>PEREZ, JOSE ROLANDO/NOMINA 30-06-25/OPER</t>
  </si>
  <si>
    <t>MENDOZA,ANTONY/NOMINA 30-06-25/OPER</t>
  </si>
  <si>
    <t>PEREZ, CARLOS/NOMINA 30-06-25/OPER</t>
  </si>
  <si>
    <t>QUERALES ,EDIXON/NOMINA 30-06-25/OPER</t>
  </si>
  <si>
    <t>PARADA,KEIBY/NOMINA 30-06-25/OPER</t>
  </si>
  <si>
    <t>QUERALES, HERMES/NOMINA 30-06-25/OPER</t>
  </si>
  <si>
    <t>RANGEL GUSTAVO/NOMINA 30-06-25/ADM</t>
  </si>
  <si>
    <t>REVERON, RAMON/NOMINA 30-06-25/OPER</t>
  </si>
  <si>
    <t>RIVERO, JORGE/NOMINA 30-06-25/OPER</t>
  </si>
  <si>
    <t>RODRIGUEZ ANSONNY/NOMINA 30-06-25/OPER</t>
  </si>
  <si>
    <t>RODRIGUEZ, MIGUEL/NOMINA 30-06-25/OPER</t>
  </si>
  <si>
    <t>ROJAS MARIA/NOMINA 30-06-25/OPER</t>
  </si>
  <si>
    <t>SEGURA ,WAILEN/NOMINA 30-06-25/OPER</t>
  </si>
  <si>
    <t>SOTELDO, LUSMAR/NOMINA 30-06-25/OPER</t>
  </si>
  <si>
    <t>SUAREZ, RAFAEL/NOMINA 30-06-25/OPER</t>
  </si>
  <si>
    <t>VETANCOURT, BLIXANDER/NOMINA 30-06-25/ADM</t>
  </si>
  <si>
    <t>VIELMA CARLEN/NOMINA 30-06-25/ADM</t>
  </si>
  <si>
    <t>RANGEL GUSTAVO/BONO SUBSIDIO 30-06-25/ADM</t>
  </si>
  <si>
    <t>REVERON, RAMON/BONO SUBSIDIO 30-06-25/OPER</t>
  </si>
  <si>
    <t>MARTINEZ JUAN/BONO SUBSIDIO 30-06-25/OPER</t>
  </si>
  <si>
    <t>GARCIA, JASON/BONO SUBSIDIO 30-06-25/OPER</t>
  </si>
  <si>
    <t>SEGURA ,WAILEN/BONO SUBSIDIO 30-06-25/OPER</t>
  </si>
  <si>
    <t>PEREZ, CARLOS/BONO SUBSIDIO 30-06-25/OPER</t>
  </si>
  <si>
    <t>LINAREZ, PEDRO/BONO SUBSIDIO 30-06-25/OPER</t>
  </si>
  <si>
    <t>VIELMA CARLEN/BONO SUBSIDIO 30-06-25/ADM</t>
  </si>
  <si>
    <t>GUTIERREZ, PRESCILIANO/BONO SUBSIDIO 30-06-25/OPER</t>
  </si>
  <si>
    <t>RAGA NELIDO/BONO SUBSIDIO 30-06-25/ADM</t>
  </si>
  <si>
    <t>SUAREZ, RAFAEL/BONO SUBSIDIO 30-06-25/OPER</t>
  </si>
  <si>
    <t>RIVERO, JORGE/BONO SUBSIDIO 30-06-25/OPER</t>
  </si>
  <si>
    <t>VETANCOURT, BLIXANDER/BONO SUBSIDIO 30-06-25/ADM</t>
  </si>
  <si>
    <t>RODRIGUEZ, MIGUEL/BONO SUBSIDIO 30-06-25/OPER</t>
  </si>
  <si>
    <t>LINAREZ, SANTIAGO/BONO SUBSIDIO 30-06-25/OPER</t>
  </si>
  <si>
    <t>BASTIDA, JOSE/BONO SUBSIDIO 30-06-25/OPER</t>
  </si>
  <si>
    <t>CHIRINOS, RAFAEL/BONO SUBSIDIO 30-06-25/OPER</t>
  </si>
  <si>
    <t>ALEJOS, RODOLFO/BONO SUBSIDIO 30-06-25/OPER</t>
  </si>
  <si>
    <t>DAZA, VICTOR/BONO SUBSIDIO 30-06-25/OPER</t>
  </si>
  <si>
    <t>PARADA,KEIBY/BONO COMPLE 30-06-25/OPER</t>
  </si>
  <si>
    <t>RAGA NELIDO/NOMINA 30-06-25/ADM</t>
  </si>
  <si>
    <t>ALMAO,GENESIS/CESTA TICKET JUNIO/ADM</t>
  </si>
  <si>
    <t>COM MANTENIMIENTO DE CUENTA</t>
  </si>
  <si>
    <t>0329207759698</t>
  </si>
  <si>
    <t>0329207799984</t>
  </si>
  <si>
    <t>LUCAS LOYO/ADELANT FACT/30RINES-CAMIONES KAMAZ</t>
  </si>
  <si>
    <t xml:space="preserve">INVERSIONES Y MATERIALES PARRA/ FACT 769/ REPUESTOS </t>
  </si>
  <si>
    <t>INTERELECTRONIC/FACT414/BOMBILLOS-CAMIONES MINERALES</t>
  </si>
  <si>
    <t>INTERELECTRONIC INDUSTRIAL /FACT 415/CABLE 2</t>
  </si>
  <si>
    <t>DUMINISTROS INDUSTRIALES DEL OESTE /FACT 069/CABLE 16</t>
  </si>
  <si>
    <t>0329208031482</t>
  </si>
  <si>
    <t>HUMBERTO FRANCO/FACT202/INSTALACION CABLE P/CEMENTO</t>
  </si>
  <si>
    <t xml:space="preserve">HENCARD CONSTRUCCIONE/FACT 616/INSTA-PROGRA-SISTEMA CONTROL P/SINCRONISMO Y DISTRIB </t>
  </si>
  <si>
    <t>LUZBARDO ANTONIO ESPINOZA GOYO/FACT 000116/MATERIALES ELCTRICOS</t>
  </si>
  <si>
    <t>GLOBAL ACEROS, C.A/FACT 0049/PLANTA DE CEMENTO</t>
  </si>
  <si>
    <t>CARLOS VALDEZ/ADELAN FACT/30 CAUCHOS MDDA 315</t>
  </si>
  <si>
    <t>PAGO A PROVEEDORES LOTE 000000030975903</t>
  </si>
  <si>
    <t>FERRENOVA/FACT2006/INV P/BARANDA,ESCALERAS,PLATA-SEGURIDAD,EDIF,MP Y MOLINO-PLANTA CEMENTO</t>
  </si>
  <si>
    <t>-8.055,98</t>
  </si>
  <si>
    <t>-500,00</t>
  </si>
  <si>
    <t>-135,67</t>
  </si>
  <si>
    <t>-20,13</t>
  </si>
  <si>
    <t>-38,71</t>
  </si>
  <si>
    <t>-64,16</t>
  </si>
  <si>
    <t>-491,02</t>
  </si>
  <si>
    <t>-160,00</t>
  </si>
  <si>
    <t>-435,69</t>
  </si>
  <si>
    <t>0329208179619</t>
  </si>
  <si>
    <t>LUCAS LOYO/20 RINES-CAMIONES KAMAZ-PLANTA CEMENTO</t>
  </si>
  <si>
    <t>GLOBAL ACERO/FACT 32/P/BARANDA-ESCALERA-PLATAFORMA-MATERIA PRIMA MOLINO</t>
  </si>
  <si>
    <t>CORPORACION ERDS INDUSTRIAL S.A/FACT 00001852/Inversiones, herramientas</t>
  </si>
  <si>
    <t>0828678760541</t>
  </si>
  <si>
    <t xml:space="preserve">BANAVIH/PERIODO MAYO 2025               </t>
  </si>
  <si>
    <t>03-040625</t>
  </si>
  <si>
    <t>0100778763771</t>
  </si>
  <si>
    <t xml:space="preserve">IVSS/PERIODO MAYO 2025                       </t>
  </si>
  <si>
    <t>0329208336943</t>
  </si>
  <si>
    <t>FERRE MATERIALES REMI C.A/FACT 000253/TUBOS PARA EL PERSONAL HINDU</t>
  </si>
  <si>
    <t>-92.995,12</t>
  </si>
  <si>
    <t>RODA MANGUERAS CHIVACOA C.A./ FACT0001965/MANGUERA Y ANILLOS</t>
  </si>
  <si>
    <t>-7.000,00</t>
  </si>
  <si>
    <t>TRACTO AUTO CA/FACT 000007718/BUJE/MINERLES</t>
  </si>
  <si>
    <t>-84.718,74</t>
  </si>
  <si>
    <t>MAQUIMAT CASTILLO/FACT 000661/ENGRANAJE</t>
  </si>
  <si>
    <t>-33.481,80</t>
  </si>
  <si>
    <t>-200.000,00</t>
  </si>
  <si>
    <t>-42.789,80</t>
  </si>
  <si>
    <t>-232,48</t>
  </si>
  <si>
    <t>-211,79</t>
  </si>
  <si>
    <t>-17,50</t>
  </si>
  <si>
    <t>-106,97</t>
  </si>
  <si>
    <t>-83,70</t>
  </si>
  <si>
    <t>0329208435580</t>
  </si>
  <si>
    <t>0329208436447</t>
  </si>
  <si>
    <t>0329208555850</t>
  </si>
  <si>
    <t>TRANSPORTE Y COMERCIALIAZADORA NJG/FACT 000871/INSUMOS DE LIMPIEZA</t>
  </si>
  <si>
    <t>EMPRENDIMIENTO DIOSANNY ALVAREZ/FACT 321/ALMUERZOS</t>
  </si>
  <si>
    <t>MULTISERVICIOS WYR/ADELANT FACT/INSTAL MOTOR CUMMIS CAMION VOLTEO-MINERALES</t>
  </si>
  <si>
    <t xml:space="preserve">LUZBARDO ESPINOZA/FACT 119/INSTALA ELECTRICA GALPON TOLVA Y MOLINA </t>
  </si>
  <si>
    <t>DANNY URRUTIA/CAMPAÑA YESO 02/06 AL 06/06 OPERADORES</t>
  </si>
  <si>
    <t>12-060625</t>
  </si>
  <si>
    <t>MI BRIWNIE/ FACT 2788-2791/TORTA DE CUMPLEAÑOS DEL MES</t>
  </si>
  <si>
    <t>TRACTO AUTO/FACT7722/INVER STOCK REPUEST MINERALES</t>
  </si>
  <si>
    <t>PROCESADO EN JULIO</t>
  </si>
  <si>
    <t>MAQUINA CASTILLO / FACT 00062/ BOMBA HIDRAULICA</t>
  </si>
  <si>
    <t>JEFFERSON DAVILA/CAMPAÑA YESO 02/06 AL 06/06 OPERADORES</t>
  </si>
  <si>
    <t>BEATRIZ CASTILLO/CAMPAÑA YESO 02/06 AL 06/06 OPERADORES</t>
  </si>
  <si>
    <t>RAMON QUIROGAS/CAMPAÑA YESO 02/06 AL 06/06 OPERADORES</t>
  </si>
  <si>
    <t>INVER REMI/FACT271/P/MTTO VEHICULO-MINERALES</t>
  </si>
  <si>
    <t xml:space="preserve">TOTAL TOOLS BARQUISIMETO /FACT 2753/ Herramienta para limpiar los trompos </t>
  </si>
  <si>
    <t>DR.TORNILLO/FACT00009686/SUMINISTROS DE TORNILLOS DE CAMION</t>
  </si>
  <si>
    <t>ANDRES MELENDEZ/CAMPAÑA YESO 02/06 AL 06/06-YESO CAMP ELIAS Y CALIZAS</t>
  </si>
  <si>
    <t>DOMINIO VIRGUEZ/CAMPAÑA YESO 02/06 AL 06/06-YESO CAMP ELIAS Y CALIZAS</t>
  </si>
  <si>
    <t>LINOS FLOREZ/CAMPAÑA YESO 02/06 AL 06/06-YESO CAMP ELIAS Y CALIZAS</t>
  </si>
  <si>
    <t>HONORARIOS PROFESIONALES SINELEC FABRICANTE TRANSFORMADOR ELEVADOR</t>
  </si>
  <si>
    <t>38-060625</t>
  </si>
  <si>
    <t>EMPRENDIMIENTO NEXI VELANDIA/FACT 000014/ REPARACION Y LAVADO</t>
  </si>
  <si>
    <t>TRANSPORTE Y COMERCIALIAZADORA NIG/FACT 000874/SEÑALIZACION DE EXTINTORES</t>
  </si>
  <si>
    <t>JOSE CASTILLO/CAMPAÑA YESO 02/06 AL 06/06-YESO CAMP ELIAS Y CALIZAS</t>
  </si>
  <si>
    <t>NORY RAMOS/RESFRIGERIO TOPOGRAFO/CAMPAÑA YESO 02/06 AL 06/06-YESO CAMP ELIAS Y CALIZAS</t>
  </si>
  <si>
    <t>13-060625</t>
  </si>
  <si>
    <t>SERVICIO Y MANTENIMIENTO INDUSTRIA/FACT 3875/ANALISIS DE MUESTRA DE SUELO</t>
  </si>
  <si>
    <t>ALBERTO JOSE SUAREZ CASTRO/ FACT 002578/BOMBA DE INYECCION</t>
  </si>
  <si>
    <t>OLGA OROZCO/HOSPEDAJE OPERADORES</t>
  </si>
  <si>
    <t>45-060625</t>
  </si>
  <si>
    <t>0329208715177</t>
  </si>
  <si>
    <t>HOME CARE/FACT 00009523/CERA NEUTRA</t>
  </si>
  <si>
    <t xml:space="preserve">DISTRIBUIDORA DIAR / FACT 00000754/ ACEITE RETRO EXCAVADORA </t>
  </si>
  <si>
    <t>LISO/FACT 000612/ALQUILER DE MARTILLO PROCESO DE YESO</t>
  </si>
  <si>
    <t>MAXIPARTES C&amp;G/BORNES P/CAMIONES-MINERALES</t>
  </si>
  <si>
    <t xml:space="preserve">MULTISERVICIOS WYR/FACT33/INSTLA MOTOR CUMMINS-CARGADOR FRONTAL HYUNDAI </t>
  </si>
  <si>
    <t xml:space="preserve">GRUPO NEZCO/FACT 2846/EXTINTORES P/MINERALES </t>
  </si>
  <si>
    <t>NR INDUSTRIAL /FACT 0000006351/EQUIPO DE PROTECCION</t>
  </si>
  <si>
    <t>0329210388234</t>
  </si>
  <si>
    <t>FERRE REMI/FACT260/Tubos-Hindu P/CEMENTO</t>
  </si>
  <si>
    <t xml:space="preserve">SULGAR/ADELAN FACT/SUMINIST INSTAL DUCTERIA LAMINAS GALVANIZADA CALIBRE 20-22-ANCLAJE-SISTEMA VENTILACION TUNEL MP TUNELCLINKER </t>
  </si>
  <si>
    <t>RENY PEREZ/FACT 6039/SIKAGROUT-HINDU-CEMENTERA</t>
  </si>
  <si>
    <t>EL MIO CARRO/FACT 5211/ACEITEA DEXRON-P/MINERALES</t>
  </si>
  <si>
    <t>0329210614668</t>
  </si>
  <si>
    <t xml:space="preserve">DIAR/FACT758/ACEITE Y FILTRO </t>
  </si>
  <si>
    <t>FERRENOVA/FACT 2004/REQUERI P/PERSONAL HINDU-P/CEMENTO</t>
  </si>
  <si>
    <t>DIAR/FACT 757/ACEITE 15W40 MONERAL</t>
  </si>
  <si>
    <t>PAMPA INDUSTRIAL/FACT18739/TEIPE NEGRO P/INSTALAC ELECTRICA CAMIONES-MINERALES</t>
  </si>
  <si>
    <t>RESGUARDO/FACT 221/SERV VIGILANCIA 1RA QUINCENA</t>
  </si>
  <si>
    <t>TRACTO AUTO/FACT 7732/Voltimetro P/camiones  (minerales)</t>
  </si>
  <si>
    <t>0329210853723</t>
  </si>
  <si>
    <t>0429614396128</t>
  </si>
  <si>
    <t>LINO FLOREZ/CAMPAÑA YESO 09/06 AL 13/06-CAMP ELIAS Y CALIZA PLANTA</t>
  </si>
  <si>
    <t xml:space="preserve">SERV INDUSTRIAL/FACT3876/INDUSTRIAL/P/CEMENTO PROYECCION ING-TRITURACION-DISCIPLINA CIVIL </t>
  </si>
  <si>
    <t>33 CON 30/FACT 152/PQTE CARAMELO-DIA DEL PADRE</t>
  </si>
  <si>
    <t>12-130625</t>
  </si>
  <si>
    <t>33 CON 30/PQTE CARAMELOS CAFÉ/DIA DEL PADRE</t>
  </si>
  <si>
    <t>OLGA OROZCO/HOSPEDAJE OPERADOR CALIZA 09/06 AL 13/06</t>
  </si>
  <si>
    <t>45-130625</t>
  </si>
  <si>
    <t>LUZBARDO ESPINOSA/FACT 117/MATERIAL ELECTRICO-PANELES ELECTRICOS-REQUI HINDU</t>
  </si>
  <si>
    <t>DANNY URRUTIA/CAMPAÑA YESO 09/06 AL 13/06-CAMP ELIAS Y CALIZA PLANTA</t>
  </si>
  <si>
    <t>JEFFERSON DAVILA/OPERADORES CAMPAÑA YESO 09/06 AL 13/06</t>
  </si>
  <si>
    <t>JOSE CASTILLOS/CAMPAÑA YESO 09/06 AL 13/06-CAMP ELIAS Y CALIZA PLANTA</t>
  </si>
  <si>
    <t>FERRENOVA/FACT 2005/INV VALVULAS REQUI-HINDI P/CEMENTO</t>
  </si>
  <si>
    <t>ANDRES MELENDEZ/CAMPAÑA YESO 09/06 AL 13/06-CAMP ELIAS Y CALIZA PLANTA</t>
  </si>
  <si>
    <t>DOMINIO VIRGUEZ/CAMPAÑA YESO 09/06 AL 13/06-CAMP ELIAS Y CALIZA PLANTA</t>
  </si>
  <si>
    <t>RODA MANGUERA/FACT 2031/2MANGUERA P/EL EQUIPO HYUNDAI-MR</t>
  </si>
  <si>
    <t>NORYS RAMOS/RESFRIGERIO-CAMPAÑA YESO 09/06 AL 13/06-CAMP ELIAS Y CALIZA PLANTA</t>
  </si>
  <si>
    <t>13-130625</t>
  </si>
  <si>
    <t>SANTA LUCIA/FACT 5460-5461/CEMENTERA-INSTAL PIEZAS SANITARIAS-EDIF ADM</t>
  </si>
  <si>
    <t>HONORARIOS PROFESIONALES/SINELEC FABRI  TRANSFOR ELEVADOR AREA GENERACION</t>
  </si>
  <si>
    <t>38-130625</t>
  </si>
  <si>
    <t>BEATRIZ CASTILLO/OPERADORES CAMPAÑA YESO 09/06 AL 13/06</t>
  </si>
  <si>
    <t>RAMON QUIROGAS/OPERADORES CAMPAÑA YESO 09/06 AL 13/06</t>
  </si>
  <si>
    <t>0329217742542</t>
  </si>
  <si>
    <t>GRUPO EBENEZER/FACT67-68-69-70-71-72-73-74-75-76-77/VENTA/BLOQUE/CONCRETO/GRANZO</t>
  </si>
  <si>
    <t>VENTAS</t>
  </si>
  <si>
    <t>0329218160397</t>
  </si>
  <si>
    <t>JEFFERSON DAVILA/OPERADORES-CAMPAÑA YESO 23/06 AL 27/06</t>
  </si>
  <si>
    <t>YOHAN GUANIPA/ALMUERZO-DESAY-CENA- OPERADORES CAMPAÑA YESO 23/06 AL 27/06</t>
  </si>
  <si>
    <t>13-270625</t>
  </si>
  <si>
    <t>LINO FLOREZ/CAMPAÑA YESO 23/06 AL 27/06 YESO CAMPO ELIAS-CALIZA PLANTA</t>
  </si>
  <si>
    <t>MULTISERVICIOS JR/FACT 98/5LTS ACEITE-CINTURON-FILTRO-CAMB ACEITE/HILUX</t>
  </si>
  <si>
    <t>DOMICIO VIRGUEZ/CAMPAÑA YESO 23/06 AL 27/06 YESO CAMPO ELIAS-CALIZA PLANTA</t>
  </si>
  <si>
    <t>12-270625</t>
  </si>
  <si>
    <t>YAMILA COLMENAREZ/FACT 206/MINERALES-CERNIDORA</t>
  </si>
  <si>
    <t>JOSE CASTILLO/CAMPAÑA YESO 23/06 AL 27/06 YESO CAMPO ELIAS-CALIZA PLANTA</t>
  </si>
  <si>
    <t>ANDRES MENDOZA/CAMPAÑA YESO 23/06 AL 27/06 YESO CAMPO ELIAS-CALIZA PLANTA</t>
  </si>
  <si>
    <t>ROBERT ARIAS/OPERADORES-CAMPAÑA YESO 23/06 AL 27/06</t>
  </si>
  <si>
    <t>RAMON QUIROGAS/OPERADORES-CAMPAÑA YESO 23/06 AL 27/06</t>
  </si>
  <si>
    <t>DANNY URRUTIA/CAMPAÑA YESO 23/06 AL 27/06 YESO CAMPO ELIAS-CALIZA PLANTA</t>
  </si>
  <si>
    <t>GLOBAL ACERO/FACT 57/PLATAFORMA SEGURIDAD MOLINO-P/CEMENTO</t>
  </si>
  <si>
    <t>OLGA OROZCO/HOSPEDAJE CALIZA</t>
  </si>
  <si>
    <t>45-270625</t>
  </si>
  <si>
    <t>0329222237545</t>
  </si>
  <si>
    <t xml:space="preserve">COMERCIALIZADORA/INVERSION DE CAPITAL/VZLA   </t>
  </si>
  <si>
    <t>TRACTO AUTO/FACT 7757/INVER BATERIA P/CAMIONES KAMAZ-MINERALES</t>
  </si>
  <si>
    <t>17-300625</t>
  </si>
  <si>
    <t>OLGA OROZCO/RESIDENCIA OPERADOR-MENSUAL</t>
  </si>
  <si>
    <t>45-300625</t>
  </si>
  <si>
    <t>TOTAL TOOLS/FACT 2891/SEÑORITA P/USO GRAL TALLER-MINERALES</t>
  </si>
  <si>
    <t>HONORARIOS PROFESIONALES/SINELEC FABRIC TRANSFOR ELEVADOR</t>
  </si>
  <si>
    <t>38-300625</t>
  </si>
  <si>
    <t>COMISION POR TRANSFERENCIA DE FONDOS</t>
  </si>
  <si>
    <t>-600,00</t>
  </si>
  <si>
    <t>04-310725</t>
  </si>
  <si>
    <t>COMERCIALIZADORA/INVERSIN DE CAPITAL/MERCANTIL</t>
  </si>
  <si>
    <t>240.000,00</t>
  </si>
  <si>
    <t>-3.000,00</t>
  </si>
  <si>
    <t>VENTA DE CEMENTO/WILLIANS ALEMAN-REINTEGRO POR GANDOLA CEMENTO</t>
  </si>
  <si>
    <t>VENTA DE CEMENTO</t>
  </si>
  <si>
    <t xml:space="preserve">DESIREE; REINTEGRO DE UNA GANDOLA DE CEMENTO </t>
  </si>
  <si>
    <t>-221,76</t>
  </si>
  <si>
    <t>RESGUARDO/FACT 0240/2DA QUINC JULIO MINERALES</t>
  </si>
  <si>
    <t>-73.921,75</t>
  </si>
  <si>
    <t>-62,44</t>
  </si>
  <si>
    <t>KLEIBER RODRIGUEZ/FACT 31/VALLA PUBLICITARIA-SEDE MINERALES</t>
  </si>
  <si>
    <t>-20.815,32</t>
  </si>
  <si>
    <t>SERVA016</t>
  </si>
  <si>
    <t>GASTOS PUBLICIDAD</t>
  </si>
  <si>
    <t>-11,05</t>
  </si>
  <si>
    <t>VALLAS MINERALES MES JULIO</t>
  </si>
  <si>
    <t>08-290725</t>
  </si>
  <si>
    <t>EMISION EDO. DE CTA. MONEDA NAC. / EXT.</t>
  </si>
  <si>
    <t>-0,50</t>
  </si>
  <si>
    <t>TARIFA MANTENIMIENTO DE CUENTA</t>
  </si>
  <si>
    <t>-300,00</t>
  </si>
  <si>
    <t>-100.000,00</t>
  </si>
  <si>
    <t>ANYBETH LEON/BONIFICACION ESPECIAL 1ERA QUINCENA</t>
  </si>
  <si>
    <t>JOSE MORALES/BONIFICACION ESPECIAL 1ERA QUINCENA</t>
  </si>
  <si>
    <t>ANYBETH LEON/BONIFICACION ESPECIAL 2DA QUINCENA</t>
  </si>
  <si>
    <t>JOSE MORALES/BONIFICACION ESPECIAL 2DA QUINCENA</t>
  </si>
  <si>
    <t>LISO/FACT 618/CERRAMIENTO GALPON-MOLINO P/CEMENTO</t>
  </si>
  <si>
    <t>GOBERNACION EDO YARACUY/LICENCIA MINERA-P/CHIVACOA</t>
  </si>
  <si>
    <t>DIAR/FACT 776/ACEITE P/EQUIPO HYNDAI 770</t>
  </si>
  <si>
    <t>DAYANA LOPEZ/HONORARIOS PROFESIONALES INSPECCION SINELEC</t>
  </si>
  <si>
    <t>38-010725</t>
  </si>
  <si>
    <t>CORPORACION EP/FACT 5591/CAMIONES  PAYLOVER-MINERALES</t>
  </si>
  <si>
    <t>CORPORACION EP/FACT 5592/CAMIONES  PAYLOVER-MINERALES</t>
  </si>
  <si>
    <t>GLOBAL ACERO/FACT 59/REQUERI P/HINDU</t>
  </si>
  <si>
    <t>FERRE REMI/FACT 284/REQUI P/HINDU P/CEMENTO</t>
  </si>
  <si>
    <t>DECLARACION DE LAS PENSIONES/PERIODO JUNIO 2025</t>
  </si>
  <si>
    <t>02-010725</t>
  </si>
  <si>
    <t>INVERSIONES AB/FACT 79/CANTO RODADO</t>
  </si>
  <si>
    <t>VENTA DE CANTO RODADO</t>
  </si>
  <si>
    <t>AGROPECUARIA/FACT78/GRANZON-CANTO RODADO-ARENA CERNIDA</t>
  </si>
  <si>
    <t>VENTA DE GRANZO-CANTO-ARENA CERNIDA</t>
  </si>
  <si>
    <t>DIGASMALAR/FACT 56328/OXIGENOS P/EQUIPOS OXICORTES-TRABAJ FABRIC/ENSAMB</t>
  </si>
  <si>
    <t>FERRENOVA/FACT 2007/TUBOS 2" P/PERSONAL HINDU-P/CEMENTO</t>
  </si>
  <si>
    <t>TRCATO AUTO/FACT 7762/BATERIA-BONER TRACTOR SD32 SAHNTUI P/EXPLOTACION CALIZA P/CEMENTO</t>
  </si>
  <si>
    <t xml:space="preserve">ARUCA MAQUINARIA/FACT 20210/CABEZAL COMPRESOR LINEAL P/TALLER-MINERALES </t>
  </si>
  <si>
    <t>CARLOS LEAL/FACT000115/CAUCHOS P/MONTACARGA-MINERALES</t>
  </si>
  <si>
    <t>COMERCILIZADORA/INVERSION DE CAPITAL/TESORO</t>
  </si>
  <si>
    <t>LINO BETANCOURT/FACT84/RETROVISORES P/CAMIONES KAMAZ-MINERALES</t>
  </si>
  <si>
    <t>INV PEROZO GARCIAS/FACT96743/CORREAS P/CERNIDORAS</t>
  </si>
  <si>
    <t>FERRE REMI/FACT 285/REQUI P/HINDU P/CEMENTO</t>
  </si>
  <si>
    <t>LINO FLOREZ/SEMANA 30/06 AL 04/07 CAMPAÑA CALIZA PLANTA</t>
  </si>
  <si>
    <t>MIGUEL RODRIGUEZ/REPOSICION DE CAJA CHICA MINERALES</t>
  </si>
  <si>
    <t>FARELIS ARRIECHE/GASOLINA VEHICULO GERENTE</t>
  </si>
  <si>
    <t>12-040725</t>
  </si>
  <si>
    <t>DANNY URRUTIA/SEMANA 30/06 AL 04/07 CAMPAÑA CALIZA PLANTA</t>
  </si>
  <si>
    <t>RESTAURANT AREPERA/FACT24629/CAFÉ GRANDE-GUSTAVO RANGEL</t>
  </si>
  <si>
    <t>Edwuard Almeida/Eventual Megatech28/07 AL 03/08</t>
  </si>
  <si>
    <t>Yerry Rodríguez/Eventual Megatech28/07 AL 03/08</t>
  </si>
  <si>
    <t>YOHAN GUANIPA/SEMANA 30/06 AL 04/07 CAMPAÑA CALIZA PLANTA</t>
  </si>
  <si>
    <t>Elio Malpica/Eventual Megatech28/07 AL 03/08</t>
  </si>
  <si>
    <t>Federico Faneite/Eventual Gobernacion28/07 AL 03/08</t>
  </si>
  <si>
    <t>Delios Adolfo Ferrara/Eventual Agregados28/07 AL 03/08</t>
  </si>
  <si>
    <t>Brunito Segundo Cordero/Eventual Agregados28/07 AL 03/08</t>
  </si>
  <si>
    <t>Eliomar Jesús Escalona/Eventual Agregados28/07 AL 03/08</t>
  </si>
  <si>
    <t>José Guillermo Cortez/Eventual Agregados28/07 AL 03/08</t>
  </si>
  <si>
    <t>Darwuin Jesús Bullones/Eventual Agregados28/07 AL 03/08</t>
  </si>
  <si>
    <t>Frank Armando García/Eventual Agregados28/07 AL 03/08</t>
  </si>
  <si>
    <t>Alberto Luis Rojas/Eventual Agregados28/07 AL 03/08</t>
  </si>
  <si>
    <t>Naiker Alexander Jimenez/Eventual Agregados28/07 AL 03/08</t>
  </si>
  <si>
    <t>José Gregorio Perez/Eventual Agregados28/07 AL 03/08</t>
  </si>
  <si>
    <t>Carlos Daniel Rodriguez/Eventual Agregados28/07 AL 03/08</t>
  </si>
  <si>
    <t>Alejandro Morales/Eventual Agregados28/07 AL 03/08</t>
  </si>
  <si>
    <t>Euber José Juarez/Eventual Agregados28/07 AL 03/08</t>
  </si>
  <si>
    <t>Ali Alberto Bullones/Eventual Agregados28/07 AL 03/08</t>
  </si>
  <si>
    <t>Alberto Ali Bullones/Eventual Agregados28/07 AL 03/08</t>
  </si>
  <si>
    <t>Fernando José Rodriguez/Eventual Agregados28/07 AL 03/08</t>
  </si>
  <si>
    <t>Bruno Ali Cordero Bullones/Eventual Agregados28/07 AL 03/08</t>
  </si>
  <si>
    <t>Fareliz Arrieche/Eventual Gobernacion28/07 AL 03/08</t>
  </si>
  <si>
    <t>Henrry Valera/Eventual Gobernacion28/07 AL 03/08</t>
  </si>
  <si>
    <t>Justiniano Rodriguez/Eventual Agregados28/07 AL 03/08</t>
  </si>
  <si>
    <t>Armando Lopez /Eventual Agregados28/07 AL 03/08</t>
  </si>
  <si>
    <t>Froilan Lopez/Eventual Agregados28/07 AL 03/08</t>
  </si>
  <si>
    <t>Ramón Quintero/Eventual Agregados28/07 AL 03/08</t>
  </si>
  <si>
    <t>Juan López/Eventual Agregados28/07 AL 03/08</t>
  </si>
  <si>
    <t>Jesus Ramos/Eventual Gobernacion28/07 AL 03/08</t>
  </si>
  <si>
    <t>Luis Silveiro Colon Ojeda/Eventual Agregados28/07 AL 03/08</t>
  </si>
  <si>
    <t>Exson Rodriguez/Eventual Gobernacion28/07 AL 03/08</t>
  </si>
  <si>
    <t>Douglas Pimentel/Eventual Gobernacion28/07 AL 03/08</t>
  </si>
  <si>
    <t>Miguel Torres/Eventual Gobernacion28/07 AL 03/08</t>
  </si>
  <si>
    <t>Nicolas Alvarez/Eventual Gobernacion28/07 AL 03/08</t>
  </si>
  <si>
    <t>Wendy Gimenez/Eventual Gobernacion28/07 AL 03/08</t>
  </si>
  <si>
    <t>Rafael Puertas/Eventual Gobernacion28/07 AL 03/08</t>
  </si>
  <si>
    <t>Carlos Pacheco/Eventual Gobernacion28/07 AL 03/08</t>
  </si>
  <si>
    <t>Andrés Armella/Eventual Gobernacion28/07 AL 03/08</t>
  </si>
  <si>
    <t>Jose Toledo/Eventual Gobernacion28/07 AL 03/08</t>
  </si>
  <si>
    <t>Juan Pinto/Eventual Gobernacion28/07 AL 03/08</t>
  </si>
  <si>
    <t>Edwin Rojas/Eventual Gobernacion28/07 AL 03/08</t>
  </si>
  <si>
    <t>Antonio Castillo/Eventual Megatech28/07 AL 03/08</t>
  </si>
  <si>
    <t>Rafael Quiroz/Eventual Gobernacion28/07 AL 03/08</t>
  </si>
  <si>
    <t>Alirio Parra/Eventual Gobernacion21/07 AL 27/07</t>
  </si>
  <si>
    <t>Angel Caldera/Eventual Gobernacion28/07 AL 03/08</t>
  </si>
  <si>
    <t>Argenis Flores/Eventual Megatech28/07 AL 03/08</t>
  </si>
  <si>
    <t>OLGA OROZCO/HOSPEDAJE 30/06 AL 04/07 CAMPAÑA CALIZA PLANTA</t>
  </si>
  <si>
    <t>45-040725</t>
  </si>
  <si>
    <t>Pitter Puerta/Eventual Megatech28/07 AL 03/08</t>
  </si>
  <si>
    <t>Carlos Lopez/Eventual Agregados28/07 AL 03/08</t>
  </si>
  <si>
    <t>Estebez Maramara/Eventual Agregados28/07 AL 03/08</t>
  </si>
  <si>
    <t>Walner Oviedo/Eventual Megatech28/07 AL 03/08</t>
  </si>
  <si>
    <t>Yonny Castillo/Eventual Megatech28/07 AL 03/08</t>
  </si>
  <si>
    <t>Jose Guevara/Eventual Megatech28/07 AL 03/08</t>
  </si>
  <si>
    <t>Jose Castillo/Eventual Megatech28/07 AL 03/08</t>
  </si>
  <si>
    <t>Francisco Castillo/Eventual Megatech28/07 AL 03/08</t>
  </si>
  <si>
    <t>Elvis Valles/Eventual Megatech28/07 AL 03/08</t>
  </si>
  <si>
    <t>Carlos Castillo/Eventual Megatech28/07 AL 03/08</t>
  </si>
  <si>
    <t>Omar Torrealba/Eventual Megatech28/07 AL 03/08</t>
  </si>
  <si>
    <t>Julian Guedez/Eventual Megatech28/07 AL 03/08</t>
  </si>
  <si>
    <t>Yordis Almao/Eventual Megatech28/07 AL 03/08</t>
  </si>
  <si>
    <t>Victor Mendez/Eventual Megatech28/07 AL 03/08</t>
  </si>
  <si>
    <t>Carlos Loyo/Eventual Megatech28/07 AL 03/08</t>
  </si>
  <si>
    <t>Alberto Loyo/Eventual Megatech28/07 AL 03/08</t>
  </si>
  <si>
    <t>Ruben Rivas/Eventual Megatech28/07 AL 03/08</t>
  </si>
  <si>
    <t>Alexander Castillo/Eventual Megatech28/07 AL 03/08</t>
  </si>
  <si>
    <t>PEDRO CASTILLO/Eventual Gobernacion28/07 AL 03/08</t>
  </si>
  <si>
    <t>JEFERSON DAVILA/SEMANA 30/06 AL 04/07 CAMPAÑA CALIZA PLANTA</t>
  </si>
  <si>
    <t>Norys Ramos/Eventual Megatech28/07 AL 03/08</t>
  </si>
  <si>
    <t>Fareliz Arrieche/Eventual Megatech28/07 AL 03/08</t>
  </si>
  <si>
    <t>RAMON QUIROGAS/SEMANA 30/06 AL 04/07 CAMPAÑA CALIZA PLANTA</t>
  </si>
  <si>
    <t>BAETRIZ CASTILLO/SEMANA 30/06 AL 04/07 CAMPAÑA CALIZA PLANTA</t>
  </si>
  <si>
    <t>Fares Arrieche/Eventual Megatech28/07 AL 03/08</t>
  </si>
  <si>
    <t>Alirio Parra/Eventual Megatech28/07 AL 03/08</t>
  </si>
  <si>
    <t>Ingrid Reyes/Eventual Megatech28/07 AL 03/08</t>
  </si>
  <si>
    <t>MATERIALES SANTA LUCIA/FACT5563/CEMENTERA</t>
  </si>
  <si>
    <t>JHONMER PERDOMO/FACT28/MTTO BOMBEADORA-P/CEMENTO</t>
  </si>
  <si>
    <t>ISLR/PERIODO JUNIO</t>
  </si>
  <si>
    <t>02-100725</t>
  </si>
  <si>
    <t>TRADING CHARRIS/FACT253/TORQUIMETRO HERRA-MINERALES</t>
  </si>
  <si>
    <t>Federico Faneite/Eventual Gobernacion07/07 AL 13/07</t>
  </si>
  <si>
    <t>Delios Adolfo Ferrara/Eventual Agregados07/07 AL 13/07</t>
  </si>
  <si>
    <t>Eliomar Jesús Escalona/Eventual Agregados07/07 AL 13/07</t>
  </si>
  <si>
    <t>José Guillermo Cortez/Eventual Agregados07/07 AL 13/07</t>
  </si>
  <si>
    <t>Darwuin Jesús Bullones/Eventual Agregados07/07 AL 13/07</t>
  </si>
  <si>
    <t>Fernando José Rodriguez/Eventual Agregados07/07 AL 13/07</t>
  </si>
  <si>
    <t>Alberto Luis Rojas/Eventual Agregados07/07 AL 13/07</t>
  </si>
  <si>
    <t>Naiker Alexander Jimenez/Eventual Agregados07/07 AL 13/07</t>
  </si>
  <si>
    <t>Bruno Ali Cordero Bullones/Eventual Agregados07/07 AL 13/07</t>
  </si>
  <si>
    <t>Carlos Daniel Rodriguez/Eventual Agregados07/07 AL 13/07</t>
  </si>
  <si>
    <t>Brunito Segundo Cordero/Eventual Agregados07/07 AL 13/07</t>
  </si>
  <si>
    <t>Fareliz Arrieche/Eventual Gobernacion07/07 AL 13/07</t>
  </si>
  <si>
    <t>Justiniano Rodriguez/Eventual Agregados07/07 AL 13/07</t>
  </si>
  <si>
    <t>Armando Lopez /Eventual Agregados07/07 AL 13/07</t>
  </si>
  <si>
    <t>Henrry Valera/Eventual Gobernacion07/07 AL 13/07</t>
  </si>
  <si>
    <t>Froilan Lopez/Eventual Agregados07/07 AL 13/07</t>
  </si>
  <si>
    <t>Ramón Quintero/Eventual Agregados07/07 AL 13/07</t>
  </si>
  <si>
    <t>Jesus Ramos/Eventual Gobernacion07/07 AL 13/07</t>
  </si>
  <si>
    <t>Alberto Loyo/Eventual Megatech07/07 AL 13/07</t>
  </si>
  <si>
    <t>Exson Rodriguez/Eventual Gobernacion07/07 AL 13/07</t>
  </si>
  <si>
    <t>Alexander Castillo/Eventual Megatech07/07 AL 13/07</t>
  </si>
  <si>
    <t>Juan Pinto/Eventual Gobernacion07/07 AL 13/07</t>
  </si>
  <si>
    <t>Rafael Puertas/Eventual Gobernacion07/07 AL 13/07</t>
  </si>
  <si>
    <t>Carlos Pacheco/Eventual Gobernacion07/07 AL 13/07</t>
  </si>
  <si>
    <t>Alejandro Morales/Eventual Agregados07/07 AL 13/07</t>
  </si>
  <si>
    <t>Euber José Juarez/Eventual Agregados07/07 AL 13/07</t>
  </si>
  <si>
    <t>Alirio Parra/Eventual Gobernacion07/07 AL 13/07</t>
  </si>
  <si>
    <t>Carlos Lopez/Eventual Agregados07/07 AL 13/07</t>
  </si>
  <si>
    <t>Angel Caldera/Eventual Gobernacion07/07 AL 13/07</t>
  </si>
  <si>
    <t>Argenis Flores/Eventual Megatech07/07 AL 13/07</t>
  </si>
  <si>
    <t>Pitter Puerta/Eventual Megatech07/07 AL 13/07</t>
  </si>
  <si>
    <t>Miguel Torres/Eventual Gobernacion07/07 AL 13/07</t>
  </si>
  <si>
    <t>Wendy Gimenez/Eventual Gobernacion07/07 AL 13/07</t>
  </si>
  <si>
    <t>Yordis Almao/Eventual Megatech07/07 AL 13/07</t>
  </si>
  <si>
    <t>Victor Mendez/Eventual Megatech07/07 AL 13/07</t>
  </si>
  <si>
    <t>Jose Guevara/Eventual Megatech07/07 AL 13/07</t>
  </si>
  <si>
    <t>Jose Castillo/Eventual Megatech07/07 AL 13/07</t>
  </si>
  <si>
    <t>Elvis Valles/Eventual Megatech07/07 AL 13/07</t>
  </si>
  <si>
    <t>Francisco Castillo/Eventual Megatech07/07 AL 13/07</t>
  </si>
  <si>
    <t>Edwuard Almeida/Eventual Megatech07/07 AL 13/07</t>
  </si>
  <si>
    <t>Omar Torrealba/Eventual Megatech07/07 AL 13/07</t>
  </si>
  <si>
    <t>Fareliz Arrieche/Eventual Megatech07/07 AL 13/07</t>
  </si>
  <si>
    <t>Ruben Rivas/Eventual Megatech07/07 AL 13/07</t>
  </si>
  <si>
    <t>Estebez Maramara/Eventual Agregados07/07 AL 13/07</t>
  </si>
  <si>
    <t>Fares Arrieche/Eventual Megatech07/07 AL 13/07</t>
  </si>
  <si>
    <t>Norys Ramos/Eventual Megatech07/07 AL 13/07</t>
  </si>
  <si>
    <t>Andrés Armella/Eventual Gobernacion07/07 AL 13/07</t>
  </si>
  <si>
    <t>Juan López/Eventual Agregados07/07 AL 13/07</t>
  </si>
  <si>
    <t>Emperatriz Leon/Eventual Megatech07/07 AL 13/07</t>
  </si>
  <si>
    <t>Ali Alberto Bullones/Eventual Agregados07/07 AL 13/07</t>
  </si>
  <si>
    <t>Elio Malpica/Eventual Megatech07/07 AL 13/07</t>
  </si>
  <si>
    <t>Carlos Loyo/Eventual Megatech07/07 AL 13/07</t>
  </si>
  <si>
    <t>Alirio Parra/Eventual Megatech07/07 AL 13/07</t>
  </si>
  <si>
    <t>Alberto Ali Bullones/Eventual Agregados07/07 AL 13/07</t>
  </si>
  <si>
    <t>Julian Guedez/Eventual Megatech07/07 AL 13/07</t>
  </si>
  <si>
    <t>Luis Silveiro Colon Ojeda/Eventual Agregados07/07 AL 13/07</t>
  </si>
  <si>
    <t>Ingrid Reyes/Eventual Megatech07/07 AL 13/07</t>
  </si>
  <si>
    <t>TALLER MOLI/FACT 2682/FABRI PERCUTOR 2682/ASICIADO COMPR PLANTA</t>
  </si>
  <si>
    <t>GLOBAL ACERO/FACT 60/PLATAFORMA SEGUR TOLVA CALIZA-HORNO Y PASARELA</t>
  </si>
  <si>
    <t>CONSTRUCCION SPIDER/FACT395/REPA RESTABLECER SERV ELECTRICO-MINERALES</t>
  </si>
  <si>
    <t>FERRE MATERIALES REMI/FACT282/REQUERI P/PERSONAL HINDI-P/CEMENTO</t>
  </si>
  <si>
    <t>PROMIRCA/FACT1015/MANGUERA HIDRAULICA/-GANCHO RETROEXCAVADORA-P/CEMENTO</t>
  </si>
  <si>
    <t>SUMINISTRO INDUSTR/FACT87/INVER REQUI CABLE ST 4X8 P/EL PERSONAL HINDU P/CEMENTO</t>
  </si>
  <si>
    <t>AGROP-PAGO ERRADO FACT 78/PAGADA 02/07/25-SE REINTEGRA</t>
  </si>
  <si>
    <t>RESGUARDO/FACT234/SERV VIGILANCIA 1ERA QUINCENA DE JULIO</t>
  </si>
  <si>
    <t>AGROPE-PAGO ERRRADO-REINTEGRO</t>
  </si>
  <si>
    <t>REINTEGRO P/ERRADO</t>
  </si>
  <si>
    <t>ASOCI CALURARACHICHE/FACT 253/SERV DESCARGA GANDOLA CEMENTO-MINERALES</t>
  </si>
  <si>
    <t>TRANSPORTE TDC/FACT82/TRASLADO A NIVEL NACIONAL</t>
  </si>
  <si>
    <t>ALEJOS, RODOLFO/BONO COMPLE 15-07-25/OPER</t>
  </si>
  <si>
    <t>ALMAO,GENESIS/BONO COMPLE 15-07-25/ADM</t>
  </si>
  <si>
    <t>OPERACIONES</t>
  </si>
  <si>
    <t>CHIRINOS, RAFAEL/BONO COMPLE 15-07-25/OPER</t>
  </si>
  <si>
    <t>ALVARADO, EDID/BONO COMPLE 15-07-25/OPER</t>
  </si>
  <si>
    <t>BASTIDA, JOSE/BONO COMPLE 15-07-25/OPER</t>
  </si>
  <si>
    <t>DURAN, MARIA/BONO COMPLE 15-07-25/OPER</t>
  </si>
  <si>
    <t>DAZA, VICTOR/BONO COMPLE 15-07-25/OPER</t>
  </si>
  <si>
    <t>GARCIA, JASON/BONO COMPLE 15-07-25/OPER</t>
  </si>
  <si>
    <t>GUEDEZ,YIRMER/BONO COMPLE 15-07-25/OPER</t>
  </si>
  <si>
    <t>GUTIERREZ, PRESCILIANO/BONO COMPLE 15-07-25/OPER</t>
  </si>
  <si>
    <t>GUEDEZ,JOSE/BONO COMPLE 15-07-25/OPER</t>
  </si>
  <si>
    <t>LINAREZ, PEDRO/BONO COMPLE 15-07-25/OPER</t>
  </si>
  <si>
    <t>LOPEZ ,MANOLO/BONO COMPLE 15-07-25/ADM</t>
  </si>
  <si>
    <t>LINAREZ, SANTIAGO/BONO COMPLE 15-07-25/OPER</t>
  </si>
  <si>
    <t>MENDOZA,ANTONY/BONO COMPLE 15-07-25/OPER</t>
  </si>
  <si>
    <t>MARTINEZ JUAN/BONO COMPLE 15-07-25/OPER</t>
  </si>
  <si>
    <t>NOGUERA, OSCAR/BONO COMPLE 15-07-25/OPER</t>
  </si>
  <si>
    <t>PEREZ, JOSE ROLANDO/BONO COMPLE 15-07-25/OPER</t>
  </si>
  <si>
    <t>PEREZ, CARLOS/BONO COMPLE 15-07-25/OPER</t>
  </si>
  <si>
    <t>PARADA,KEIBY/BONO COMPLE 15-07-25/OPER</t>
  </si>
  <si>
    <t>QUERALES ,EDIXON/BONO COMPLE 15-07-25/OPER</t>
  </si>
  <si>
    <t>RANGEL GUSTAVO/BONO COMPLE 15-07-25/ADM</t>
  </si>
  <si>
    <t>QUERALES, HERMES/BONO COMPLE 15-07-25/OPER</t>
  </si>
  <si>
    <t>RAGA NELIDO/BONO COMPLE 15-07-25/ADM</t>
  </si>
  <si>
    <t>REVERON, RAMON/BONO COMPLE 15-07-25/OPER</t>
  </si>
  <si>
    <t>RODRIGUEZ ANSONNY/BONO COMPLE 15-07-25/OPER</t>
  </si>
  <si>
    <t>ROJAS MARIA/BONO COMPLE 15-07-25/OPER</t>
  </si>
  <si>
    <t>RIVERO, JORGE/BONO COMPLE 15-07-25/OPER</t>
  </si>
  <si>
    <t>RODRIGUEZ, MIGUEL/BONO COMPLE 15-07-25/OPER</t>
  </si>
  <si>
    <t>SEGURA ,WAILEN/BONO COMPLE 15-07-25/OPER</t>
  </si>
  <si>
    <t>SOTELDO, LUSMAR/BONO COMPLE 15-07-25/OPER</t>
  </si>
  <si>
    <t>SUAREZ, RAFAEL/BONO COMPLE 15-07-25/OPER</t>
  </si>
  <si>
    <t>VIELMA CARLEN/BONO COMPLE 15-07-25/ADM</t>
  </si>
  <si>
    <t>ALEJOS, RODOLFO/NOMINA 15-07-25/OPER</t>
  </si>
  <si>
    <t>VETANCOURT, BLIXANDER/BONO COMPLE 15-07-25/ADM</t>
  </si>
  <si>
    <t>ALMAO,GENESIS/NOMINA 15-07-25/ADM</t>
  </si>
  <si>
    <t>ALVARADO, EDID/NOMINA 15-07-25/OPER</t>
  </si>
  <si>
    <t>BASTIDA, JOSE/NOMINA 15-07-25/OPER</t>
  </si>
  <si>
    <t>CHIRINOS, RAFAEL/NOMINA 15-07-25/OPER</t>
  </si>
  <si>
    <t>DAZA, VICTOR/NOMINA 15-07-25/OPER</t>
  </si>
  <si>
    <t>DURAN, MARIA/NOMINA 15-07-25/OPER</t>
  </si>
  <si>
    <t>GUEDEZ,JOSE/NOMINA 15-07-25/OPER</t>
  </si>
  <si>
    <t>GARCIA, JASON/NOMINA 15-07-25/OPER</t>
  </si>
  <si>
    <t>GOMEZ,ARGENIS/NOMINA 15-07-25/OPER</t>
  </si>
  <si>
    <t>GUEDEZ,YIRMER/NOMINA 15-07-25/OPER</t>
  </si>
  <si>
    <t>GUTIERREZ, PRESCILIANO/NOMINA 15-07-25/OPER</t>
  </si>
  <si>
    <t>LINAREZ, PEDRO/NOMINA 15-07-25/OPER</t>
  </si>
  <si>
    <t>LINAREZ, SANTIAGO/NOMINA 15-07-25/OPER</t>
  </si>
  <si>
    <t>LOPEZ ,MANOLO/NOMINA 15-07-25/ADM</t>
  </si>
  <si>
    <t>MARTINEZ JUAN/NOMINA 15-07-25/OPER</t>
  </si>
  <si>
    <t>MENDOZA,ANTONY/NOMINA 15-07-25/OPER</t>
  </si>
  <si>
    <t>PEREZ, CARLOS/NOMINA 15-07-25/OPER</t>
  </si>
  <si>
    <t>NOGUERA, OSCAR/NOMINA 15-07-25/OPER</t>
  </si>
  <si>
    <t>PARADA,KEIBY/NOMINA 15-07-25/OPER</t>
  </si>
  <si>
    <t>PEREZ, JOSE ROLANDO/NOMINA 15-07-25/OPER</t>
  </si>
  <si>
    <t>QUERALES ,EDIXON/NOMINA 15-07-25/OPER</t>
  </si>
  <si>
    <t>QUERALES, HERMES/NOMINA 15-07-25/OPER</t>
  </si>
  <si>
    <t>RAGA NELIDO/NOMINA 15-07-25/ADM</t>
  </si>
  <si>
    <t>RIVERO, JORGE/NOMINA 15-07-25/OPER</t>
  </si>
  <si>
    <t>RANGEL GUSTAVO/NOMINA 15-07-25/ADM</t>
  </si>
  <si>
    <t>REVERON, RAMON/NOMINA 15-07-25/OPER</t>
  </si>
  <si>
    <t>RODRIGUEZ ANSONNY/NOMINA 15-07-25/OPER</t>
  </si>
  <si>
    <t>RODRIGUEZ, MIGUEL/NOMINA 15-07-25/OPER</t>
  </si>
  <si>
    <t>ROJAS MARIA/NOMINA 15-07-25/OPER</t>
  </si>
  <si>
    <t>SEGURA ,WAILEN/NOMINA 15-07-25/OPER</t>
  </si>
  <si>
    <t>SOTELDO, LUSMAR/NOMINA 15-07-25/OPER</t>
  </si>
  <si>
    <t>SUAREZ, RAFAEL/NOMINA 15-07-25/OPER</t>
  </si>
  <si>
    <t>VETANCOURT, BLIXANDER/NOMINA 15-07-25/ADM</t>
  </si>
  <si>
    <t>VIELMA CARLEN/NOMINA 15-07-25/ADM</t>
  </si>
  <si>
    <t>GOMEZ,ARGENIS/BONO COMPLE 15-07-25/OPER</t>
  </si>
  <si>
    <t>CASTRO CORPORATION/FACT 566/SERV HARDWARE-REP LAPTOP CARLEN-P/CEMENTO</t>
  </si>
  <si>
    <t>NR INDUSTRIAL/FACT6510-6509/EQUIPOS P/PROTECCION-MINERALES CHIVACOA</t>
  </si>
  <si>
    <t>GAUYAS Y REPU/FACT3781/GUAYA SLECTORA/ING CARLEN</t>
  </si>
  <si>
    <t>MANUFACTURAS CEPILLO/FACT2722/TUBOS RECTAGUNGULO P/PERSONAL HINDU P/CEMENTO</t>
  </si>
  <si>
    <t>TRACTO AUTO/FACT7786/RELOJ ACEITE/TEMPERATURA P/DOS CAMIONES TROMPO-MINERALES</t>
  </si>
  <si>
    <t>INVER NISSI/FACT1519/SOBRE P/ENVIO MACHOS-MINERALES</t>
  </si>
  <si>
    <t>MULTISERVICIOS W&amp;R/FACT34/TRABAJ P/LA CERNIDORA-MINERALES</t>
  </si>
  <si>
    <t>INVERSIONES AB/FACT 36/CEMENTERA INSUM-CONSTRUCCION</t>
  </si>
  <si>
    <t>MILTISERVICIOS JR/FACT 112/VARIOS REPUESTO</t>
  </si>
  <si>
    <t>RODA MANGUERA/FACT2299/DIRRECION HIDRAULICA CAMION TROMPO 5000-MINERALES</t>
  </si>
  <si>
    <t>GLOBAL ACERO/FACT66/INV PLATAFORMA SEGURIDAD TOLVA/CALIZA-PASARE SILOS-HORNOS</t>
  </si>
  <si>
    <t>ITALMECANICA MOTORS/FACT181/EQUIPO P/EL CARGADOR FRONTAL VOLVO-MINERALES</t>
  </si>
  <si>
    <t>Frank Armando García/Eventual Agregados07/07 AL 13/07</t>
  </si>
  <si>
    <t>José Gregorio Perez/Eventual Agregados07/07 AL 13/07</t>
  </si>
  <si>
    <t>Douglas Pimentel/Eventual Gobernacion07/07 AL 13/07</t>
  </si>
  <si>
    <t>Pedro Castillo/Eventual Gobernacion07/07 AL 13/07</t>
  </si>
  <si>
    <t>Nicolas Alvarez/Eventual Gobernacion07/07 AL 13/07</t>
  </si>
  <si>
    <t>Jose Toledo/Eventual Gobernacion07/07 AL 13/07</t>
  </si>
  <si>
    <t>Edwin Rojas/Eventual Gobernacion07/07 AL 13/07</t>
  </si>
  <si>
    <t>Rafael Quiroz/Eventual Gobernacion07/07 AL 13/07</t>
  </si>
  <si>
    <t>Walner Oviedo/Eventual Megatech07/07 AL 13/07</t>
  </si>
  <si>
    <t>Yonny Castillo/Eventual Megatech07/07 AL 13/07</t>
  </si>
  <si>
    <t>Antonio Castillo/Eventual Megatech07/07 AL 13/07</t>
  </si>
  <si>
    <t>Carlos Castillo/Eventual Megatech07/07 AL 13/07</t>
  </si>
  <si>
    <t>Yerry Rodríguez/Eventual Megatech07/07 AL 13/07</t>
  </si>
  <si>
    <t>CORPOR ERDS/FACT1993/INV P/BARANDAS-ESCALERA SEGURIDAD-P/CEMENTO</t>
  </si>
  <si>
    <t>DM ASEIN/ADELANT FACT/TANQUE P/SEDE MINERALES</t>
  </si>
  <si>
    <t>SERVL016</t>
  </si>
  <si>
    <t>ADQUISICIÓN DE MAQUINARIAS</t>
  </si>
  <si>
    <t>OM AUTO/FACT 2698/ARRANQUE COMPRESOR DE AIRE-P/CEMENTO</t>
  </si>
  <si>
    <t>GLOBAL ACERO/FACT 0068/PLATAFORMA SEGURIDAD TOLVA CALIZA</t>
  </si>
  <si>
    <t>VIATICOS-TRADESUR/FACT 1207/DIOSANNY FACT408/ADELANT FACT16 ALBERTO PERNALETTE</t>
  </si>
  <si>
    <t>ITALMECANICA MOTOR/REINTEGRO FACT 181</t>
  </si>
  <si>
    <t>REINTEGRO FACT 181</t>
  </si>
  <si>
    <t>REPOSICION DE CAJA CHICA-MINERALES</t>
  </si>
  <si>
    <t>RYA/FACT 35/OBRA PLANTA CEMENTO</t>
  </si>
  <si>
    <t>12-250725</t>
  </si>
  <si>
    <t>JULIO PERNALETTE/FACT 16/VIATICOS</t>
  </si>
  <si>
    <t>Henrry Valera/Eventual Gobernacion21/07 AL 27/07</t>
  </si>
  <si>
    <t>Federico Faneite/Eventual Gobernacion21/07 AL 27/07</t>
  </si>
  <si>
    <t>Brunito Segundo Cordero/Eventual Agregados21/07 AL 27/07</t>
  </si>
  <si>
    <t>DANNY URRUTIA/SEMANA 21/07 AL 25/07 DESARROLLO YESO-CALIZA</t>
  </si>
  <si>
    <t>Edwuard Almeida/Eventual Megatech21/07 AL 27/07</t>
  </si>
  <si>
    <t>ANDRES MELENDEZ/SEMANA 21/07 AL 25/07 DESARROLLO YESO-CALIZA</t>
  </si>
  <si>
    <t>Yerry Rodríguez/Eventual Megatech21/07 AL 27/07</t>
  </si>
  <si>
    <t>OLGA OROZCO/HOSPEDAJE-SEMANA 21/07 AL 25/07 DESARROLLO YESO-CALIZA</t>
  </si>
  <si>
    <t>45-250725</t>
  </si>
  <si>
    <t>Elio Malpica/Eventual Megatech21/07 AL 27/07</t>
  </si>
  <si>
    <t>GLOBAL ACERO/FACT 69/CERRAMIENTO BANDAS TRANSPORTADORA CLINKER P/CEMENTO</t>
  </si>
  <si>
    <t>YOHAN GUANIPA/COMIDA-SEMANA 21/07 AL 25/07 DESARROLLO YESO-CALIZA</t>
  </si>
  <si>
    <t>13-250725</t>
  </si>
  <si>
    <t>MATERIALES STA LUCIA/FACT5673/CEMENTERA</t>
  </si>
  <si>
    <t>SUMINISTRO OESTE/FACT89/REQUERI CABLES ST 4X12 P/PERSONAL HINDU P/CEMENTO</t>
  </si>
  <si>
    <t>FERRE REMI/FACT306/CERRAMIENTO FOSAS D/ELEVADORES D/HORNOS P/CEMENTO</t>
  </si>
  <si>
    <t>Ruben Rivas/Eventual Megatech21/07 AL 27/07</t>
  </si>
  <si>
    <t>Justiniano Rodriguez/Eventual Agregados21/07 AL 27/07</t>
  </si>
  <si>
    <t>Delios Adolfo Ferrara/Eventual Agregados21/07 AL 27/07</t>
  </si>
  <si>
    <t>Eliomar Jesús Escalona/Eventual Agregados21/07 AL 27/07</t>
  </si>
  <si>
    <t>José Guillermo Cortez/Eventual Agregados21/07 AL 27/07</t>
  </si>
  <si>
    <t>Darwuin Jesús Bullones/Eventual Agregados21/07 AL 27/07</t>
  </si>
  <si>
    <t>Frank Armando García/Eventual Agregados21/07 AL 27/07</t>
  </si>
  <si>
    <t>Alberto Luis Rojas/Eventual Agregados21/07 AL 27/07</t>
  </si>
  <si>
    <t>Naiker Alexander Jimenez/Eventual Agregados21/07 AL 27/07</t>
  </si>
  <si>
    <t>José Gregorio Perez/Eventual Agregados21/07 AL 27/07</t>
  </si>
  <si>
    <t>Carlos Daniel Rodriguez/Eventual Agregados21/07 AL 27/07</t>
  </si>
  <si>
    <t>Alejandro Morales/Eventual Agregados21/07 AL 27/07</t>
  </si>
  <si>
    <t>Euber José Juarez/Eventual Agregados21/07 AL 27/07</t>
  </si>
  <si>
    <t>Ali Alberto Bullones/Eventual Agregados21/07 AL 27/07</t>
  </si>
  <si>
    <t>Alberto Ali Bullones/Eventual Agregados21/07 AL 27/07</t>
  </si>
  <si>
    <t>Fernando José Rodriguez/Eventual Agregados21/07 AL 27/07</t>
  </si>
  <si>
    <t>Bruno Ali Cordero Bullones/Eventual Agregados21/07 AL 27/07</t>
  </si>
  <si>
    <t>Fareliz Arrieche/Eventual Gobernacion21/07 AL 27/07</t>
  </si>
  <si>
    <t>Armando Lopez /Eventual Agregados21/07 AL 27/07</t>
  </si>
  <si>
    <t>Froilan Lopez/Eventual Agregados21/07 AL 27/07</t>
  </si>
  <si>
    <t>Ramón Quintero/Eventual Agregados21/07 AL 27/07</t>
  </si>
  <si>
    <t>Juan López/Eventual Agregados21/07 AL 27/07</t>
  </si>
  <si>
    <t>Luis Silveiro Colon Ojeda/Eventual Agregados21/07 AL 27/07</t>
  </si>
  <si>
    <t>RAFAEL MORILLO/SEMANA 21/07 AL 25/07 DESARROLLO YESO-CALIZA</t>
  </si>
  <si>
    <t>Jesus Ramos/Eventual Gobernacion21/07 AL 27/07</t>
  </si>
  <si>
    <t>Exson Rodriguez/Eventual Gobernacion21/07 AL 27/07</t>
  </si>
  <si>
    <t>Douglas Pimentel/Eventual Gobernacion21/07 AL 27/07</t>
  </si>
  <si>
    <t>Pedro Castillo/Eventual Gobernacion21/07 AL 27/07</t>
  </si>
  <si>
    <t>Miguel Torres/Eventual Gobernacion21/07 AL 27/07</t>
  </si>
  <si>
    <t>Wendy Gimenez/Eventual Gobernacion21/07 AL 27/07</t>
  </si>
  <si>
    <t>Nicolas Alvarez/Eventual Gobernacion21/07 AL 27/07</t>
  </si>
  <si>
    <t>Rafael Puertas/Eventual Gobernacion21/07 AL 27/07</t>
  </si>
  <si>
    <t>Carlos Pacheco/Eventual Gobernacion21/07 AL 27/07</t>
  </si>
  <si>
    <t>Andrés Armella/Eventual Gobernacion21/07 AL 27/07</t>
  </si>
  <si>
    <t>Angel Caldera/Eventual Gobernacion21/07 AL 27/07</t>
  </si>
  <si>
    <t>Jose Toledo/Eventual Gobernacion21/07 AL 27/07</t>
  </si>
  <si>
    <t>Juan Pinto/Eventual Gobernacion21/07 AL 27/07</t>
  </si>
  <si>
    <t>Edwin Rojas/Eventual Gobernacion21/07 AL 27/07</t>
  </si>
  <si>
    <t>Estebez Maramara/Eventual Agregados21/07 AL 27/07</t>
  </si>
  <si>
    <t>Carlos Lopez/Eventual Agregados21/07 AL 27/07</t>
  </si>
  <si>
    <t>Rafael Quiroz/Eventual Gobernacion21/07 AL 27/07</t>
  </si>
  <si>
    <t>Alirio Parra/Eventual Megatech21/07 AL 27/07</t>
  </si>
  <si>
    <t>Pitter Puerta/Eventual Megatech21/07 AL 27/07</t>
  </si>
  <si>
    <t>LINO FLOREZ/SEMANA 21/07 AL 25/07 DESARROLLO YESO-CALIZA</t>
  </si>
  <si>
    <t>Argenis Flores/Eventual Megatech21/07 AL 27/07</t>
  </si>
  <si>
    <t>Yonny Castillo/Eventual Megatech21/07 AL 27/07</t>
  </si>
  <si>
    <t>Walner Oviedo/Eventual Megatech21/07 AL 27/07</t>
  </si>
  <si>
    <t>Francisco Castillo/Eventual Megatech21/07 AL 27/07</t>
  </si>
  <si>
    <t>Antonio Castillo/Eventual Megatech21/07 AL 27/07</t>
  </si>
  <si>
    <t>Jose Guevara/Eventual Megatech21/07 AL 27/07</t>
  </si>
  <si>
    <t>Jose Castillo/Eventual Megatech21/07 AL 27/07</t>
  </si>
  <si>
    <t>Elvis Valles/Eventual Megatech21/07 AL 27/07</t>
  </si>
  <si>
    <t>Omar Torrealba/Eventual Megatech21/07 AL 27/07</t>
  </si>
  <si>
    <t>Carlos Castillo/Eventual Megatech21/07 AL 27/07</t>
  </si>
  <si>
    <t>Julian Guedez/Eventual Megatech21/07 AL 27/07</t>
  </si>
  <si>
    <t>Yordis Almao/Eventual Megatech21/07 AL 27/07</t>
  </si>
  <si>
    <t>Victor Mendez/Eventual Megatech21/07 AL 27/07</t>
  </si>
  <si>
    <t>Carlos Loyo/Eventual Megatech21/07 AL 27/07</t>
  </si>
  <si>
    <t>Alberto Loyo/Eventual Megatech21/07 AL 27/07</t>
  </si>
  <si>
    <t>Alexander Castillo/Eventual Megatech21/07 AL 27/07</t>
  </si>
  <si>
    <t>JEFERSON DAVILA/SEMANA 21/07 AL 25/07 DESARROLLO YESO-CALIZA</t>
  </si>
  <si>
    <t>ROBERT ARIAS/SEMANA 21/07 AL 25/07 DESARROLLO YESO-CALIZA</t>
  </si>
  <si>
    <t>RAMON QUIROGAS/SEMANA 21/07 AL 25/07 DESARROLLO YESO-CALIZA</t>
  </si>
  <si>
    <t>REAL SEGURO/RESPONSABILIDAD CIVIL+AMBIENTAL</t>
  </si>
  <si>
    <t>Fareliz Arrieche/Eventual Megatech21/07 AL 27/07</t>
  </si>
  <si>
    <t>BEATRIZ CASTILLO/SEMANA 21/07 AL 25/07 DESARROLLO YESO-CALIZA</t>
  </si>
  <si>
    <t>Norys Ramos/Eventual Megatech21/07 AL 27/07</t>
  </si>
  <si>
    <t>Emperatriz Leon/Eventual Megatech21/07 AL 27/07</t>
  </si>
  <si>
    <t>Fares Arrieche/Eventual Megatech21/07 AL 27/07</t>
  </si>
  <si>
    <t>Ingrid Reyes/Eventual Megatech21/07 AL 27/07</t>
  </si>
  <si>
    <t>PREMEZCLADO NIRGUA/FATC 381/CONCRETO PREMEZCLADO P/CEMENTO</t>
  </si>
  <si>
    <t xml:space="preserve">PROCESADA EN AGOSTO </t>
  </si>
  <si>
    <t>SEGURA ,WAILEN/BONO SUBSIDIO -OPER</t>
  </si>
  <si>
    <t>RANGEL GUSTAVO/CESTA TICKET JULIO/ADM</t>
  </si>
  <si>
    <t>REVERON, RAMON/BONO SUBSIDIO 31-07-25/OPER</t>
  </si>
  <si>
    <t>MARTINEZ JUAN/BONO SUBSIDIO 31-07-25/OPER</t>
  </si>
  <si>
    <t>GARCIA, JASON/BONO SUBSIDIO 31-07-25/OPER</t>
  </si>
  <si>
    <t>PEREZ, CARLOS/BONO SUBSIDIO 31-07-25/OPER</t>
  </si>
  <si>
    <t>LINAREZ, PEDRO/BONO SUBSIDIO 31-07-25/OPER</t>
  </si>
  <si>
    <t>GUTIERREZ, PRESCILIANO/BONO SUBSIDIO 31-07-25/OPER</t>
  </si>
  <si>
    <t>VIELMA CARLEN/CESTA TICKET JULIO/ADM</t>
  </si>
  <si>
    <t>RAGA NELIDO/BONO SUBSIDIO 31-07-25/ADM</t>
  </si>
  <si>
    <t>SUAREZ, RAFAEL/BONO SUBSIDIO 31-07-25/OPER</t>
  </si>
  <si>
    <t>RIVERO, JORGE/BONO SUBSIDIO 31-07-25/OPER</t>
  </si>
  <si>
    <t>RODRIGUEZ, MIGUEL/SUBSIDIO JULIO/OPER</t>
  </si>
  <si>
    <t>VETANCOURT, BLIXANDER/BONO SUBSIDIO 31-07-25/ADM</t>
  </si>
  <si>
    <t>LINAREZ, SANTIAGO/BONO SUBSIDIO 31-07-25/OPER</t>
  </si>
  <si>
    <t>BASTIDA, JOSE/BONO SUBSIDIO 31-07-25/OPER</t>
  </si>
  <si>
    <t>CHIRINOS, RAFAEL/BONO SUBSIDIO 31-07-25/OPER</t>
  </si>
  <si>
    <t>ALEJOS, RODOLFO/BONO SUBSIDIO 31-07-25/OPER</t>
  </si>
  <si>
    <t>RANGEL GUSTAVO/BONO COMPLE 31-07-25/ADM</t>
  </si>
  <si>
    <t>DAZA, VICTOR/BONO SUBSIDIO 31-07-25/OPER</t>
  </si>
  <si>
    <t>REVERON, RAMON/BONO COMPLE 31-07-25/OPER</t>
  </si>
  <si>
    <t>GUEDEZ,YIRMER/BONO COMPLE 31-07-25/OPER</t>
  </si>
  <si>
    <t>PEREZ, JOSE ROLANDO/BONO COMPLE 31-07-25/OPER</t>
  </si>
  <si>
    <t>LOPEZ ,MANOLO/BONO COMPLE 31-07-25/ADM</t>
  </si>
  <si>
    <t>SEGURA ,WAILEN/BONO COMPLE 31-07-25/OPER</t>
  </si>
  <si>
    <t>MARTINEZ JUAN/BONO COMPLE 31-07-25/OPER</t>
  </si>
  <si>
    <t>GARCIA, JASON/BONO COMPLE 31-07-25/OPER</t>
  </si>
  <si>
    <t>PEREZ, CARLOS/BONO COMPLE 31-07-25/OPER</t>
  </si>
  <si>
    <t>ALVARADO, EDID/BONO COMPLE 31-07-25/OPER</t>
  </si>
  <si>
    <t>LINAREZ, PEDRO/BONO COMPLE 31-07-25/OPER</t>
  </si>
  <si>
    <t>GUTIERREZ, PRESCILIANO/BONO COMPLE 31-07-25/OPER</t>
  </si>
  <si>
    <t>VIELMA CARLEN/BONO COMPLE 31-07-25/ADM</t>
  </si>
  <si>
    <t>GUEDEZ,JOSE/BONO COMPLE 31-07-25/OPER</t>
  </si>
  <si>
    <t>NOGUERA, OSCAR/BONO COMPLE 31-07-25/OPER</t>
  </si>
  <si>
    <t>RAGA NELIDO/BONO COMPLE 31-07-25/ADM</t>
  </si>
  <si>
    <t>GOMEZ,ARGENIS/BONO COMPLE 31-07-25/OPER</t>
  </si>
  <si>
    <t>SUAREZ, RAFAEL/BONO COMPLE 31-07-25/OPER</t>
  </si>
  <si>
    <t>RIVERO, JORGE/BONO COMPLE 31-07-25/OPER</t>
  </si>
  <si>
    <t>PARADA,KEIBY/BONO COMPLE 31-07-25/OPER</t>
  </si>
  <si>
    <t>RODRIGUEZ ANSONNY/BONO COMPLE 31-07-25/OPER</t>
  </si>
  <si>
    <t>RODRIGUEZ, MIGUEL/BONO COMPLE 31-07-25/OPER</t>
  </si>
  <si>
    <t>SOTELDO, LUSMAR/BONO COMPLE 31-07-25/OPER</t>
  </si>
  <si>
    <t>MENDOZA,ANTONY/BONO COMPLE 31-07-25/OPER</t>
  </si>
  <si>
    <t>ALMAO,GENESIS/BONO COMPLE 31-07-25/ADM</t>
  </si>
  <si>
    <t>QUERALES ,EDIXON/BONO COMPLE 31-07-25/OPER</t>
  </si>
  <si>
    <t>ROJAS MARIA/BONO COMPLE 31-07-25/OPER</t>
  </si>
  <si>
    <t>VETANCOURT, BLIXANDER/BONO COMPLE 31-07-25/ADM</t>
  </si>
  <si>
    <t>ALEJOS, RODOLFO/BONO COMPLE 31-07-25/OPER</t>
  </si>
  <si>
    <t>QUERALES, HERMES/BONO COMPLE 31-07-25/OPER</t>
  </si>
  <si>
    <t>DURAN, MARIA/BONO COMPLE 31-07-25/OPER</t>
  </si>
  <si>
    <t>CHIRINOS, RAFAEL/BONO COMPLE 31-07-25/OPER</t>
  </si>
  <si>
    <t>BASTIDA, JOSE/BONO COMPLE 31-07-25/OPER</t>
  </si>
  <si>
    <t>DAZA, VICTOR/BONO COMPLE 31-07-25/OPER</t>
  </si>
  <si>
    <t>LINAREZ, SANTIAGO/BONO COMPLE 31-07-25/OPER</t>
  </si>
  <si>
    <t>RANGEL GUSTAVO/BONO ADICIONAL 31-07-25/ADM</t>
  </si>
  <si>
    <t>VIELMA CARLEN/BONO ADICIONAL 31-07-25/ADM</t>
  </si>
  <si>
    <t>NOGUERA, OSCAR/BONO ADICIONAL 31-07-25/OPER</t>
  </si>
  <si>
    <t>RODRIGUEZ, MIGUEL/BONO ADICIONAL 31-07-25/OPER</t>
  </si>
  <si>
    <t>GUEDEZ,YIRMER/CESTA TICKET JULIO/OPER</t>
  </si>
  <si>
    <t>REVERON, RAMON/CESTA TICKET JULIO/OPER</t>
  </si>
  <si>
    <t>PEREZ, JOSE ROLANDO/CESTA TICKET JULIO/OPER</t>
  </si>
  <si>
    <t>LOPEZ ,MANOLO/CESTA TICKET JULIO/ADM</t>
  </si>
  <si>
    <t>SEGURA ,WAILEN/CESTA TICKET JULIO/OPER</t>
  </si>
  <si>
    <t>MARTINEZ JUAN/CESTA TICKET JULIO/OPER</t>
  </si>
  <si>
    <t>GARCIA, JASON/CESTA TICKET JULIO/OPER</t>
  </si>
  <si>
    <t>PEREZ, CARLOS/CESTA TICKET JULIO/OPER</t>
  </si>
  <si>
    <t>ALVARADO, EDID/CESTA TICKET JULIO/OPER</t>
  </si>
  <si>
    <t>LINAREZ, PEDRO/CESTA TICKET JULIO/OPER</t>
  </si>
  <si>
    <t>GUTIERREZ, PRESCILIANO/CESTA TICKET JULIO/OPER</t>
  </si>
  <si>
    <t>GUEDEZ,JOSE/CESTA TICKET JULIO/OPER</t>
  </si>
  <si>
    <t>RAGA NELIDO/CESTA TICKET JULIO/ADM</t>
  </si>
  <si>
    <t>NOGUERA, OSCAR/CESTA TICKET JULIO/OPER</t>
  </si>
  <si>
    <t>GOMEZ,ARGENIS/CESTA TICKET JULIO/OPER</t>
  </si>
  <si>
    <t>PARADA,KEIBY/CESTA TICKET JULIO/OPER</t>
  </si>
  <si>
    <t>SUAREZ, RAFAEL/CESTA TICKET JULIO/OPER</t>
  </si>
  <si>
    <t>RIVERO, JORGE/CESTA TICKET JULIO/OPER</t>
  </si>
  <si>
    <t>RODRIGUEZ, MIGUEL/CESTA TICKET JULIO/OPER</t>
  </si>
  <si>
    <t>RODRIGUEZ ANSONNY/CESTA TICKET JULIO/OPER</t>
  </si>
  <si>
    <t>SOTELDO, LUSMAR/CESTA TICKET JULIO/OPER</t>
  </si>
  <si>
    <t>MENDOZA,ANTONY/CESTA TICKET JULIO/OPER</t>
  </si>
  <si>
    <t>ALMAO,GENESIS/CESTA TICKET JULIO/ADM</t>
  </si>
  <si>
    <t>ROJAS MARIA/CESTA TICKET JULIO/OPER</t>
  </si>
  <si>
    <t>QUERALES ,EDIXON/CESTA TICKET JULIO/OPER</t>
  </si>
  <si>
    <t>VETANCOURT, BLIXANDER/CESTA TICKET JULIO/ADM</t>
  </si>
  <si>
    <t>DURAN, MARIA/CESTA TICKET JULIO/OPER</t>
  </si>
  <si>
    <t>QUERALES, HERMES/CESTA TICKET JULIO/OPER</t>
  </si>
  <si>
    <t>LINAREZ, SANTIAGO/CESTA TICKET JULIO/OPER</t>
  </si>
  <si>
    <t>BASTIDA, JOSE/CESTA TICKET JULIO/OPER</t>
  </si>
  <si>
    <t>CHIRINOS, RAFAEL/CESTA TICKET JULIO/OPER</t>
  </si>
  <si>
    <t>ALEJOS, RODOLFO/CESTA TICKET JULIO/OPER</t>
  </si>
  <si>
    <t>DAZA, VICTOR/CESTA TICKET JULIO/OPER</t>
  </si>
  <si>
    <t>GALEANO, FRANCISCO/CESTA TICKET JULIO/OPER</t>
  </si>
  <si>
    <t>RANGEL GUSTAVO/NOMINA 31-07-25/ADM</t>
  </si>
  <si>
    <t>GUEDEZ,YIRMER/NOMINA 31-07-25/OPER</t>
  </si>
  <si>
    <t>REVERON, RAMON/NOMINA 31-07-25/OPER</t>
  </si>
  <si>
    <t>PEREZ, JOSE ROLANDO/NOMINA 31-07-25/OPER</t>
  </si>
  <si>
    <t>LOPEZ ,MANOLO/NOMINA 31-07-25/ADM</t>
  </si>
  <si>
    <t>SEGURA ,WAILEN/NOMINA 31-07-25/OPER</t>
  </si>
  <si>
    <t>MARTINEZ JUAN/NOMINA 31-07-25/OPER</t>
  </si>
  <si>
    <t>GARCIA, JASON/NOMINA 31-07-25/OPER</t>
  </si>
  <si>
    <t>PEREZ, CARLOS/NOMINA 31-07-25/OPER</t>
  </si>
  <si>
    <t>ALVARADO, EDID/NOMINA 31-07-25/OPER</t>
  </si>
  <si>
    <t>LINAREZ, PEDRO/NOMINA 31-07-25/OPER</t>
  </si>
  <si>
    <t>GUTIERREZ, PRESCILIANO/NOMINA 31-07-25/OPER</t>
  </si>
  <si>
    <t>VIELMA CARLEN/NOMINA 31-07-25/ADM</t>
  </si>
  <si>
    <t>GUEDEZ,JOSE/NOMINA 31-07-25/OPER</t>
  </si>
  <si>
    <t>RAGA NELIDO/NOMINA 31-07-25/ADM</t>
  </si>
  <si>
    <t>NOGUERA, OSCAR/NOMINA 31-07-25/OPER</t>
  </si>
  <si>
    <t>GOMEZ,ARGENIS/NOMINA 31-07-25/OPER</t>
  </si>
  <si>
    <t>PARADA,KEIBY/NOMINA 31-07-25/OPER</t>
  </si>
  <si>
    <t>SUAREZ, RAFAEL/NOMINA 31-07-25/OPER</t>
  </si>
  <si>
    <t>RIVERO, JORGE/NOMINA 31-07-25/OPER</t>
  </si>
  <si>
    <t>RODRIGUEZ, MIGUEL/NOMINA 31-07-25/OPER</t>
  </si>
  <si>
    <t>RODRIGUEZ ANSONNY/NOMINA 31-07-25/OPER</t>
  </si>
  <si>
    <t>SOTELDO, LUSMAR/NOMINA 31-07-25/OPER</t>
  </si>
  <si>
    <t>MENDOZA,ANTONY/NOMINA 31-07-25/OPER</t>
  </si>
  <si>
    <t>ALMAO,GENESIS/NOMINA 31-07-25/ADM</t>
  </si>
  <si>
    <t>ROJAS MARIA/NOMINA 31-07-25/OPER</t>
  </si>
  <si>
    <t>QUERALES ,EDIXON/NOMINA 31-07-25/OPER</t>
  </si>
  <si>
    <t>VETANCOURT, BLIXANDER/NOMINA 31-07-25/ADM</t>
  </si>
  <si>
    <t>DURAN, MARIA/NOMINA 31-07-25/OPER</t>
  </si>
  <si>
    <t>QUERALES, HERMES/NOMINA 31-07-25/OPER</t>
  </si>
  <si>
    <t>LINAREZ, SANTIAGO/NOMINA 31-07-25/OPER</t>
  </si>
  <si>
    <t>BASTIDA, JOSE/NOMINA 31-07-25/OPER</t>
  </si>
  <si>
    <t>ALEJOS, RODOLFO/NOMINA 31-07-25/OPER</t>
  </si>
  <si>
    <t>DAZA, VICTOR/NOMINA 31-07-25/OPER</t>
  </si>
  <si>
    <t>CHIRINOS, RAFAEL/NOMINA  31-07-25/OPER</t>
  </si>
  <si>
    <t>JOSE ARRIETA/EVENTUAL GOBERNACION 2DA QUINCENA</t>
  </si>
  <si>
    <t>CARLOS RODRIGUEZ/EVENTUAL GOBERNACION 2DA QUINCENA</t>
  </si>
  <si>
    <t>ARMANDO VILLEGAS/EVENTUAL GOBERNACION 2DA QUINCENA</t>
  </si>
  <si>
    <t>FARELIZ ARRIECHE/MATTO VEHICULO GERENTE</t>
  </si>
  <si>
    <t>12-300725</t>
  </si>
  <si>
    <t>LAMINADOS/FACT 4087/DIF RETENCION</t>
  </si>
  <si>
    <t>INVERFILTRO/FACT 11268/FILTRO/GASOLINA P/TRACTOR D9</t>
  </si>
  <si>
    <t>KLEIBER RODRIGUEZ/FACT 32/VALLA PUBLICITARIA VINIL AUTOADHESIVO-SEDE MINERALES</t>
  </si>
  <si>
    <t>RESPUESTO Y SERV CARS/FACT 1553/BORNES P/BATERIA GRUA TELESCOPICA</t>
  </si>
  <si>
    <t>HONORARIOS PROFESIONALES/INSPECCION SINELEC FABRICANTE TRANSFORMACION</t>
  </si>
  <si>
    <t>38-310725</t>
  </si>
  <si>
    <t>GUSTAVO RANGEL/MUESTRA YESO P/ANALISIS UCAB</t>
  </si>
  <si>
    <t>0329222762141</t>
  </si>
  <si>
    <t>2.710.000,00</t>
  </si>
  <si>
    <t>VZLA</t>
  </si>
  <si>
    <t>LUZBARDO ESPINOSA/FACT 120/INSTAL ELECTRICA EDIFI HORNOS VERTICALES</t>
  </si>
  <si>
    <t>-178.761,75</t>
  </si>
  <si>
    <t>-126.330,00</t>
  </si>
  <si>
    <t>-446,90</t>
  </si>
  <si>
    <t>-315,82</t>
  </si>
  <si>
    <t>0598121002315</t>
  </si>
  <si>
    <t xml:space="preserve">INCES/ II TRIMESTRES      </t>
  </si>
  <si>
    <t>03-040725</t>
  </si>
  <si>
    <t>9884804072025</t>
  </si>
  <si>
    <t>0100733541066</t>
  </si>
  <si>
    <t xml:space="preserve">IVSS/PERIODO JUNIO 2025                      </t>
  </si>
  <si>
    <t>0828633543641</t>
  </si>
  <si>
    <t xml:space="preserve">BANAVIH/PERIODO JUNIO 2025                </t>
  </si>
  <si>
    <t>0329223485424</t>
  </si>
  <si>
    <t>2.010.000,00</t>
  </si>
  <si>
    <t>SUMINISTR OESTE/FACT88/SISTEMA GENERACION P/CEMENTO</t>
  </si>
  <si>
    <t>MI BROWNIE/FACT3094/CAKE VAINILLA CUMPLEAÑOS COLABORADORES</t>
  </si>
  <si>
    <t>VENFA/FACTA-084/CILINDRO HIDRAULICO-CARGADOR FRONTAL-MINERALES</t>
  </si>
  <si>
    <t>MI BROWNIE/FACT3095/CAKE CUMPLEAÑOS COLABORADORES</t>
  </si>
  <si>
    <t>NISSI/FACT1440/ENVIO CABEZAL P/COMPRESOR-MINERALES</t>
  </si>
  <si>
    <t>GEORMAN/FACT263/TRASLADO HYNDUAI DESDE TALLER-SEDE MINERALES</t>
  </si>
  <si>
    <t>MI BROWNIE/FACT3095/CAKE VAINILLA CUMPLEAÑOS COLABORADORES</t>
  </si>
  <si>
    <t>FERRE REMI/FACT 287/TUBO REDONDO P/BARANDA PLATAFORMA SEGUR-HORNO VERTICALES-P/CEMENTO</t>
  </si>
  <si>
    <t>GLOBAL ACEROS/FACT63/TUBOS P/BARANDA-PLATAFORMA-HORNOS VERTICALES</t>
  </si>
  <si>
    <t>-145.023,20</t>
  </si>
  <si>
    <t>-1,65</t>
  </si>
  <si>
    <t>-362,55</t>
  </si>
  <si>
    <t>-71,58</t>
  </si>
  <si>
    <t>-16,63</t>
  </si>
  <si>
    <t>-2,44</t>
  </si>
  <si>
    <t>-9,58</t>
  </si>
  <si>
    <t>-339,27</t>
  </si>
  <si>
    <t>-20,37</t>
  </si>
  <si>
    <t>0599021102055</t>
  </si>
  <si>
    <t>JHONMER PERDOMO/FACT30/MTTO-BOMBADERA-P/CEMENTO</t>
  </si>
  <si>
    <t>-71.999,33</t>
  </si>
  <si>
    <t>9705507072025</t>
  </si>
  <si>
    <t xml:space="preserve">COM PAGO OTRAS CTAS JUR NAT   </t>
  </si>
  <si>
    <t>-71,99</t>
  </si>
  <si>
    <t>0329223550078</t>
  </si>
  <si>
    <t>920.000,00</t>
  </si>
  <si>
    <t>0329223566602</t>
  </si>
  <si>
    <t>77.000,00</t>
  </si>
  <si>
    <t>ZIO EMPRESAS/FACT 0875/EXTRACTO D/TORNILLOS P/MINERALES</t>
  </si>
  <si>
    <t>-773,92</t>
  </si>
  <si>
    <t>VENFA/FACT 85/FABR BASE P/KING PIN-QUINTA RUEDA UND CARGA DE CEMENTO-MINERALES</t>
  </si>
  <si>
    <t>-9.042,21</t>
  </si>
  <si>
    <t>GLOBAL ACERO/FACT65/TUBO REDONDO P/BARANDAS-PLATAFORMA SEGUR-HORNOS VERTICALES-P/CEMENTO</t>
  </si>
  <si>
    <t>-145.860,72</t>
  </si>
  <si>
    <t>JULIO IGLESIAS/FACT492/ACEITES P/HYUNDAI 770/VALVULA P/SILVERADO</t>
  </si>
  <si>
    <t>-47.080,39</t>
  </si>
  <si>
    <t>TRACTO AUTO/FACT 7772/EMPACADURA-MULTIPLE-VOLVO-MINERALES</t>
  </si>
  <si>
    <t>-15.608,50</t>
  </si>
  <si>
    <t>FERRE REMI/FACT290/TUBO REDONDO P/BARANDA Y PLATAFORMA SEGUIR-HORNO VERTICAL-P/CEMENTO</t>
  </si>
  <si>
    <t>-136.562,16</t>
  </si>
  <si>
    <t>TRACTO AUTO/FACT7771/TORNILLOS, TUERCAS P/CAMARA VOLVO-MINERALES</t>
  </si>
  <si>
    <t>-14.047,65</t>
  </si>
  <si>
    <t>INVER TRANSPORTE/FACT 08/VIAJE CUMAREBO-YARITAGUA</t>
  </si>
  <si>
    <t>-14.015,54</t>
  </si>
  <si>
    <t>TRANSPORTE NJG/FACT 905/PRODUCT LIMPIEZA P/CEMENTO</t>
  </si>
  <si>
    <t>-4.887,08</t>
  </si>
  <si>
    <t>-1,93</t>
  </si>
  <si>
    <t>-12,21</t>
  </si>
  <si>
    <t>-117,70</t>
  </si>
  <si>
    <t>-35,03</t>
  </si>
  <si>
    <t>-35,11</t>
  </si>
  <si>
    <t>-341,40</t>
  </si>
  <si>
    <t>-39,02</t>
  </si>
  <si>
    <t>-364,65</t>
  </si>
  <si>
    <t>-22,60</t>
  </si>
  <si>
    <t>0329223759276</t>
  </si>
  <si>
    <t>725.000,00</t>
  </si>
  <si>
    <t>CORPORACION EP/FACT5589/TAMBOR ACEITE P/CAMIONES PAYLOVER-MINERALES YARACUY</t>
  </si>
  <si>
    <t>RODA MANGUERA/FACT2239/ANILLO P/MAQU-HYUNDAI 770</t>
  </si>
  <si>
    <t>-16.890,50</t>
  </si>
  <si>
    <t>DIAR/FACT787/ACEITE P/LA CAJA HYUNDAI 770</t>
  </si>
  <si>
    <t>-20.390,02</t>
  </si>
  <si>
    <t>SULGAR/ADELANT FACT/SUMINISTRO INSTAL DUCTERIA LAMINA GALVANIZADAS</t>
  </si>
  <si>
    <t>AMERICANA TORNILLO/FACT10783/RAMPLUG EXPANSIVO-BARANDA SEGUIR</t>
  </si>
  <si>
    <t>FERRE BOLIMOR/FACT449/JUEGO DE MACHOS-MINERALES</t>
  </si>
  <si>
    <t>0329223782924</t>
  </si>
  <si>
    <t>ALBERTO PERNALETTE/FACT16/VIATICOS MES DE JULIO</t>
  </si>
  <si>
    <t>JULIO IGLESIAS/FACT493/PAILA DIESEL/LIMPIA CARBURADOR-CARGADOL FRONTAL</t>
  </si>
  <si>
    <t>-158,31</t>
  </si>
  <si>
    <t>-162,19</t>
  </si>
  <si>
    <t>-12,78</t>
  </si>
  <si>
    <t>0329226036052</t>
  </si>
  <si>
    <t>1.130.000,00</t>
  </si>
  <si>
    <t>JULIO IGLESIAS/FACT494/ACEITE HIDRAULICO PAYLOVER-MINERALES</t>
  </si>
  <si>
    <t>-59.750,00</t>
  </si>
  <si>
    <t>RYA/FACT35/PRESUPUESTO P/CEMENTO</t>
  </si>
  <si>
    <t>PROCESADA EN AGOSTOS</t>
  </si>
  <si>
    <t>CORPORACION EP/FACT5590/ESTOPERA P/CAMIONES-MINERALES YARACUY</t>
  </si>
  <si>
    <t>-138.547,50</t>
  </si>
  <si>
    <t>-850,85</t>
  </si>
  <si>
    <t>-346,36</t>
  </si>
  <si>
    <t>-149,37</t>
  </si>
  <si>
    <t>0329226138226</t>
  </si>
  <si>
    <t>2.500.000,00</t>
  </si>
  <si>
    <t>YOHAN GUANIPA/COMIDA-CAMPAÑA YESO Y CALIZA 07/07 AL 11/07</t>
  </si>
  <si>
    <t>13-110725</t>
  </si>
  <si>
    <t>AMERICA TORNILLO/FACT10827/TUERCA-TORNILLOS Y ARANDELA-FIJACION COLUMNAS</t>
  </si>
  <si>
    <t>DANNY URRUTIA/CAMPAÑA YESO Y CALIZA 07/07 AL 11/07</t>
  </si>
  <si>
    <t>HUMBERTO FRANCO/FACT203/SUMIN INST CABLE/REVESTIDO P-PUESTA TIERRA MOTORES-CEMENTERA</t>
  </si>
  <si>
    <t>LINO FLOREZ/CAMPAÑA YESO Y CALIZA 07/07 AL 11/07</t>
  </si>
  <si>
    <t>TALLER MOLI/FACT2680/FABRI EXCAVADORA P/CEMENTO</t>
  </si>
  <si>
    <t>MATERIALES STA LUCIA/FACT5590/CEMENTERA</t>
  </si>
  <si>
    <t>TALLER MOLI/FACT 2681/REPAR GATOS HIDRAULICO AL/MONTACARGA P/CEMENTO</t>
  </si>
  <si>
    <t>RAMON QUIROGAS/CAMPAÑA YESO Y CALIZA 07/07 AL 11/07</t>
  </si>
  <si>
    <t>0429615043223</t>
  </si>
  <si>
    <t>BEATRIZ CASTILLO/CAMPAÑA YESO Y CALIZA 07/07 AL 11/07</t>
  </si>
  <si>
    <t>OLGA OROZCO/HOSPEDAJE-CAMPAÑA YESO Y CALIZA 07/07 AL 11/07</t>
  </si>
  <si>
    <t>45-110725</t>
  </si>
  <si>
    <t>0329226508696</t>
  </si>
  <si>
    <t>SANDRA VELAZCO/FACT272/TARJETA CUMPLEAÑOS</t>
  </si>
  <si>
    <t>FERRE REMI/FACT292/INV PLATAFORMA SEGURIDAD-TOLVA CALIZA</t>
  </si>
  <si>
    <t>CARLOS VALDEZ/ADELANT FACT/50 CAUCHOS 3-15-KAMAZ</t>
  </si>
  <si>
    <t>ARRIDDY GARRILLO/FACT 42/MUESTRA YESO/SULFATO/HUMEDAD Y PERDIDA POR CALCINACION</t>
  </si>
  <si>
    <t>0329230462752</t>
  </si>
  <si>
    <t>DIAR/FACT790/EXCAVADOR/TRACTO SD32 SHANTUI P/CEMENTO</t>
  </si>
  <si>
    <t>TALLER MOLI/FACT2686/SUMIN MANGUERA P/HYUNDAI REP GATO BOTELLA-MINERALES</t>
  </si>
  <si>
    <t>DAYANA LOPEZ/HONORARIOS PROFESIONALES INSPECCION AVANCE SINELEC FABRI TRASNFORMADOR</t>
  </si>
  <si>
    <t>38-160725</t>
  </si>
  <si>
    <t>FERRE REMI/FACT 294/TUBO REDONDO P-PERSONAL HINDU P/CEMENTO</t>
  </si>
  <si>
    <t>-127.380,52</t>
  </si>
  <si>
    <t>TALLER MOLI/FACT2685/TRABAJ REALI CAMION KAMAZ #16-P/CEMENTO</t>
  </si>
  <si>
    <t>-25.969,09</t>
  </si>
  <si>
    <t>MULTISERVICIOS GARQUIS/FACT 51/SOLICT ING CARLEN</t>
  </si>
  <si>
    <t>-912.883,99</t>
  </si>
  <si>
    <t>-64,92</t>
  </si>
  <si>
    <t>-318,45</t>
  </si>
  <si>
    <t>-2.282,20</t>
  </si>
  <si>
    <t>-62,78</t>
  </si>
  <si>
    <t>-51,93</t>
  </si>
  <si>
    <t>-5,84</t>
  </si>
  <si>
    <t>0329260506506</t>
  </si>
  <si>
    <t>1.300.000,00</t>
  </si>
  <si>
    <t>0329260927927</t>
  </si>
  <si>
    <t>COMPRA 50 CAUCHOS/ADELANT FACT/KAMAZ-</t>
  </si>
  <si>
    <t>-1.280.519,44</t>
  </si>
  <si>
    <t>0676260927927</t>
  </si>
  <si>
    <t>-3.201,29</t>
  </si>
  <si>
    <t>0329258697697</t>
  </si>
  <si>
    <t>1.480.000,00</t>
  </si>
  <si>
    <t>0329265454005</t>
  </si>
  <si>
    <t>ANDRES MELENDEZ/CAMPAÑA YESO Y CALIZA SEMANA 14/07 AL 18/07</t>
  </si>
  <si>
    <t>0676265454005</t>
  </si>
  <si>
    <t>0329265451003</t>
  </si>
  <si>
    <t>LINO FLOREZ/CAMPAÑA YESO Y CALIZA SEMANA 14/07 AL 18/07</t>
  </si>
  <si>
    <t>0676265451003</t>
  </si>
  <si>
    <t>0329265464015</t>
  </si>
  <si>
    <t>MATERIALES GRIS/FACT263/P/CEMENTO</t>
  </si>
  <si>
    <t>0676265464015</t>
  </si>
  <si>
    <t>0329265465016</t>
  </si>
  <si>
    <t>MATERIALES GRIS/FACT264/P/CEMENTO</t>
  </si>
  <si>
    <t>0676265465016</t>
  </si>
  <si>
    <t>0329265458009</t>
  </si>
  <si>
    <t>DANNY URRUTIA/CAMPAÑA YESO Y CALIZA SEMANA 14/07 AL 18/07</t>
  </si>
  <si>
    <t>0676265458009</t>
  </si>
  <si>
    <t>0329265456007</t>
  </si>
  <si>
    <t>JEFERSON DAVILA/CAMPAÑA YESO Y CALIZA SEMANA 14/07 AL 18/07</t>
  </si>
  <si>
    <t>0676265456007</t>
  </si>
  <si>
    <t>0329265459010</t>
  </si>
  <si>
    <t>YOHAN GUANIPA/COMIDA-CAMPAÑA YESO Y CALIZA SEMANA 14/07 AL 18/07</t>
  </si>
  <si>
    <t>13-180725</t>
  </si>
  <si>
    <t>0676265459010</t>
  </si>
  <si>
    <t>0329265461012</t>
  </si>
  <si>
    <t>ALBERTO PERNALETTE/FACT 16/VIATICOS MES JULIO</t>
  </si>
  <si>
    <t>0676265461012</t>
  </si>
  <si>
    <t>0676265449001</t>
  </si>
  <si>
    <t>0329265449001</t>
  </si>
  <si>
    <t>LUZBARDO/FACT120/INST ELECTRICA EDIF HORNOS VERTICALES</t>
  </si>
  <si>
    <t>0676265452004</t>
  </si>
  <si>
    <t>0329265452004</t>
  </si>
  <si>
    <t>RAMON QUIROGAS/CAMPAÑA YESO Y CALIZA SEMANA 14/07 AL 18/07</t>
  </si>
  <si>
    <t>0676265462013</t>
  </si>
  <si>
    <t>0329265462013</t>
  </si>
  <si>
    <t>AMERICA TORNILLO/FACT10827/TUERCA TORNILLO/ARANDELA-FIJACION COLUMNA</t>
  </si>
  <si>
    <t>0676265466017</t>
  </si>
  <si>
    <t>0329265466017</t>
  </si>
  <si>
    <t>MATERIALES STA LUCIA/FACT5627/CEMENTERA</t>
  </si>
  <si>
    <t>0676265450002</t>
  </si>
  <si>
    <t>0329265450002</t>
  </si>
  <si>
    <t>12-180725</t>
  </si>
  <si>
    <t>0676265455006</t>
  </si>
  <si>
    <t>0329265455006</t>
  </si>
  <si>
    <t>DOMICIO VIRGUEZ/CAMPAÑA YESO Y CALIZA SEMANA 14/07 AL 18/07</t>
  </si>
  <si>
    <t>0676265463014</t>
  </si>
  <si>
    <t>0329265463014</t>
  </si>
  <si>
    <t>REPOSICION CAJA CHICA-MINERALES</t>
  </si>
  <si>
    <t>0676265457008</t>
  </si>
  <si>
    <t>0329265457008</t>
  </si>
  <si>
    <t>BEATRIZ CASTILLO/CAMPAÑA YESO Y CALIZA SEMANA 14/07 AL 18/07</t>
  </si>
  <si>
    <t>0676265460011</t>
  </si>
  <si>
    <t>-35,48</t>
  </si>
  <si>
    <t>0329265460011</t>
  </si>
  <si>
    <t>OLGA OROZCO/HOSPEDAJE-CAMPAÑA YESO Y CALIZA SEMANA 14/07 AL 18/07</t>
  </si>
  <si>
    <t>45-180725</t>
  </si>
  <si>
    <t>0329290809809</t>
  </si>
  <si>
    <t>0676204747005</t>
  </si>
  <si>
    <t>0329204747005</t>
  </si>
  <si>
    <t>FERRE REMI/FACT301/PLATAFORMA SEGURIDAD TOLVA CALIZA PASARELA P/CEMENTO</t>
  </si>
  <si>
    <t>0676204745003</t>
  </si>
  <si>
    <t>0329204745003</t>
  </si>
  <si>
    <t>JOSE CASTRO/FACT48/SERV ANTENA SATELITAL P/CEMENTO</t>
  </si>
  <si>
    <t>0676204743001</t>
  </si>
  <si>
    <t>0329204743001</t>
  </si>
  <si>
    <t>LISO/FACT624/CONFECC E INSTAL ESTRUCTURA METALICA P/CERRAMIENTO GALPON EMPAQUETADO</t>
  </si>
  <si>
    <t>0676204746004</t>
  </si>
  <si>
    <t>0329204746004</t>
  </si>
  <si>
    <t>JOSE CASTRO/FACT49/SERV ANTENA SATELITAL P/CEMENTO</t>
  </si>
  <si>
    <t>0676204744002</t>
  </si>
  <si>
    <t>0329204744002</t>
  </si>
  <si>
    <t>LISO/FACT619/ALQUILER MARTILLO ROTOPERCURTOR P/CEMENTO</t>
  </si>
  <si>
    <t>0329286123123</t>
  </si>
  <si>
    <t>0676289193011</t>
  </si>
  <si>
    <t>0329289193011</t>
  </si>
  <si>
    <t>PAGO ERRADO/DEVUELTA P/BANCO</t>
  </si>
  <si>
    <t>0270989193011</t>
  </si>
  <si>
    <t>DEVOLUCION P/ERRADO ERROR BANCO</t>
  </si>
  <si>
    <t>0676289187005</t>
  </si>
  <si>
    <t>0329289187005</t>
  </si>
  <si>
    <t>0676289192010</t>
  </si>
  <si>
    <t>0329289192010</t>
  </si>
  <si>
    <t>0270989187005</t>
  </si>
  <si>
    <t>0270989192010</t>
  </si>
  <si>
    <t>0676289185003</t>
  </si>
  <si>
    <t>0329289185003</t>
  </si>
  <si>
    <t>0676289186004</t>
  </si>
  <si>
    <t>0329289186004</t>
  </si>
  <si>
    <t>CORPORACION ERDS/FACT 1998/BARANDAS-ESCALERA PLATAFORMA D/SEGURID-P/CEMENTO</t>
  </si>
  <si>
    <t>0270989185003</t>
  </si>
  <si>
    <t>0676289183001</t>
  </si>
  <si>
    <t>0329289183001</t>
  </si>
  <si>
    <t>LAMINADO NORBUEN/FACT 4087/FABR ROSCA P/PERNOS DE ANCLAJE FUNDACIONES P/CEMENTO</t>
  </si>
  <si>
    <t>0676289188006</t>
  </si>
  <si>
    <t>0329289188006</t>
  </si>
  <si>
    <t>0676289189007</t>
  </si>
  <si>
    <t>0329289189007</t>
  </si>
  <si>
    <t>0676289184002</t>
  </si>
  <si>
    <t>0329289184002</t>
  </si>
  <si>
    <t>MULTISERVICIOS GARQUIS/FACT 54/BARANDAS-PLATAFORMA-ESCALERA SEGURIDAD TOLVAS CALIZA-P/CEMENTO</t>
  </si>
  <si>
    <t>0676289190008</t>
  </si>
  <si>
    <t>0270989188006</t>
  </si>
  <si>
    <t>0329289190008</t>
  </si>
  <si>
    <t>0270989189007</t>
  </si>
  <si>
    <t>0676289191009</t>
  </si>
  <si>
    <t>0329289191009</t>
  </si>
  <si>
    <t>0270989190008</t>
  </si>
  <si>
    <t>0270989191009</t>
  </si>
  <si>
    <t>0676212299004</t>
  </si>
  <si>
    <t>0329212299004</t>
  </si>
  <si>
    <t>ELECTROLARA/FACT 3032/INVER P/CABLEADO POTENCIA SISTEMA D/GENERADORES P/CEMENTO</t>
  </si>
  <si>
    <t>0676212301006</t>
  </si>
  <si>
    <t>0329212301006</t>
  </si>
  <si>
    <t>0676212303007</t>
  </si>
  <si>
    <t>0329212303007</t>
  </si>
  <si>
    <t>0676212298003</t>
  </si>
  <si>
    <t>0329212298003</t>
  </si>
  <si>
    <t>0676212296001</t>
  </si>
  <si>
    <t>0329212296001</t>
  </si>
  <si>
    <t>0676212302007</t>
  </si>
  <si>
    <t>0329212302007</t>
  </si>
  <si>
    <t>0676212300005</t>
  </si>
  <si>
    <t>0329212300005</t>
  </si>
  <si>
    <t>0676212297002</t>
  </si>
  <si>
    <t>0329212297002</t>
  </si>
  <si>
    <t>0596700166642</t>
  </si>
  <si>
    <t>SAREN/PLANILLA SELLADO LIBROS CONTABLES</t>
  </si>
  <si>
    <t>07-280725</t>
  </si>
  <si>
    <t>0329220985985</t>
  </si>
  <si>
    <t>0329225423007</t>
  </si>
  <si>
    <t>ALIMENTOS/FACT 33304/BENEFICIOS EVENTUALES GOBERNACION</t>
  </si>
  <si>
    <t>0676225423007</t>
  </si>
  <si>
    <t>0329225422006</t>
  </si>
  <si>
    <t>ALIMENTOS/FACT 33303/BENEFICIOS EVENTUALES MEGATECH</t>
  </si>
  <si>
    <t>0676225422006</t>
  </si>
  <si>
    <t>0329225424007</t>
  </si>
  <si>
    <t>ALIMENTOS/FACT 33289/BENEFICIOS P/CEMENTO</t>
  </si>
  <si>
    <t>0676225424007</t>
  </si>
  <si>
    <t>0329225421005</t>
  </si>
  <si>
    <t>ALIMENTOS/FACT 33302/BENEFICIOS FIJOS P/CEMENTO</t>
  </si>
  <si>
    <t>0676225421005</t>
  </si>
  <si>
    <t>0329225425009</t>
  </si>
  <si>
    <t>ALIMENTOS/FACT 33290/BENEFICIOS SEDE MINERALES</t>
  </si>
  <si>
    <t>0676225425009</t>
  </si>
  <si>
    <t>0676225419003</t>
  </si>
  <si>
    <t>0329225419003</t>
  </si>
  <si>
    <t>VENFA/FACT 92/ARREGLOS CARGADOR FRONTAL-VOLVO-MINERALES</t>
  </si>
  <si>
    <t>0676225420004</t>
  </si>
  <si>
    <t>0329225420004</t>
  </si>
  <si>
    <t>VENFA/FACT A-0090/REPA SISTEMA ELECTRICO/CIRCUITO-MINERALES</t>
  </si>
  <si>
    <t>0676225418002</t>
  </si>
  <si>
    <t>0329225418002</t>
  </si>
  <si>
    <t>YAMILA COLMENAREZ/FACT208/COMPRESOR-REPA UNIDAD COMPRESORA-ING GUSTAVO</t>
  </si>
  <si>
    <t>0676225417001</t>
  </si>
  <si>
    <t>0329225417001</t>
  </si>
  <si>
    <t>MULTISERVICIOS LA MANDARRIA/FACT902/ALQUILER DIDROYECT ELECTRICO</t>
  </si>
  <si>
    <t>0329291614614</t>
  </si>
  <si>
    <t>0676204368001</t>
  </si>
  <si>
    <t>0329204368001</t>
  </si>
  <si>
    <t>LUZBARDO/FACT 120/INSTAL ELECTRICA EDIFICIOS HORNOS</t>
  </si>
  <si>
    <t>0329214835835</t>
  </si>
  <si>
    <t>0273011274514</t>
  </si>
  <si>
    <t>COM TRANSF LINEA OT BCOS CTA P</t>
  </si>
  <si>
    <t>0766883653878</t>
  </si>
  <si>
    <t>LAMINADOS NORBUEN/REINTEGRO FACT4087</t>
  </si>
  <si>
    <t>0598122019181</t>
  </si>
  <si>
    <t xml:space="preserve">REGISTRO RESQUIM/PERMISO P/MATERIALES EXPLOSIVO    </t>
  </si>
  <si>
    <t>08-310725</t>
  </si>
  <si>
    <t>9884831072025</t>
  </si>
  <si>
    <t>-0,13</t>
  </si>
  <si>
    <t>000010730487495</t>
  </si>
  <si>
    <t>-1.170,00</t>
  </si>
  <si>
    <t>04-310825</t>
  </si>
  <si>
    <t>000020430487495</t>
  </si>
  <si>
    <t>-390.000,00</t>
  </si>
  <si>
    <t>000071600000000</t>
  </si>
  <si>
    <t>000091577700000</t>
  </si>
  <si>
    <t>JOSE MORALES/BONIFICAVION ESPECIAL 15/08</t>
  </si>
  <si>
    <t>BONO COMPLE MENTARIO POR PAGAR</t>
  </si>
  <si>
    <t>ANYBETH LEON/BONIFICAVION ESPECIAL 15/08</t>
  </si>
  <si>
    <t>CUENTA POR PAGAR INTERCOMPAÑIAS</t>
  </si>
  <si>
    <t>ANYBETH LEON/BONIFICACION ESPECIAL 31/08</t>
  </si>
  <si>
    <t>JOSE MORALES/BONIFICACION ESPECIAL 31/08</t>
  </si>
  <si>
    <t>OLGA OROZCO/HOSPEDAJE-CAMPAÑA D/YESO CALIZA 28-07 AL 01/08</t>
  </si>
  <si>
    <t>45-010825</t>
  </si>
  <si>
    <t>MATERIALES SANTA LUCIA/FACT 5719/CEMENTERA</t>
  </si>
  <si>
    <t>HIELO, AGUA, BOLSA/P/TERMINAR LA JORNADA</t>
  </si>
  <si>
    <t>13-010825</t>
  </si>
  <si>
    <t>DANNY URRUTIA/CAMPAÑA D/YESO CALIZA 28-07 AL 01/08</t>
  </si>
  <si>
    <t>RAFAEL MORILLO/CAMPAÑA D/YESO CALIZA 28-07 AL 01/08</t>
  </si>
  <si>
    <t>LINO FLORES/CAMPAÑA D/YESO CALIZA 28-07 AL 01/08</t>
  </si>
  <si>
    <t>JEFERSON DAVILA/CAMPAÑA D/YESO CALIZA 28-07 AL 01/08</t>
  </si>
  <si>
    <t>ROBERT ARIAS/CAMPAÑA D/YESO CALIZA 28-07 AL 01/08</t>
  </si>
  <si>
    <t>RAMON QUIROGAS/CAMPAÑA D/YESO CALIZA 28-07 AL 01/08</t>
  </si>
  <si>
    <t>BEATRIZ CASTILLO/CAMPAÑA D/YESO CALIZA 28-07 AL 01/08</t>
  </si>
  <si>
    <t>RAFAEL QUIROZ/CAMPAÑA D/YESO CALIZA 28-07 AL 01/08-OPERADOR</t>
  </si>
  <si>
    <t>YOHAN GUANIPA/COMIDA-CAMPAÑA D/YESO CALIZA 28-07 AL 01/08</t>
  </si>
  <si>
    <t>CORPOELEC/FACT 963-6597-9319/MINERALES YARACUY</t>
  </si>
  <si>
    <t>SERVL003E</t>
  </si>
  <si>
    <t>29-010825</t>
  </si>
  <si>
    <t>Henrry Valera/Eventual Gobernacion 28/07 AL 03/08</t>
  </si>
  <si>
    <t>Federico Faneite/Eventual Gobernacion 28/07 AL 03/08</t>
  </si>
  <si>
    <t>Delios Adolfo Ferrara/Eventual Agregados 28/07 AL 03/08</t>
  </si>
  <si>
    <t>Eliomar Jesús Escalona/Eventual Agregados 28/07 AL 03/08</t>
  </si>
  <si>
    <t>José Guillermo Cortez/Eventual Agregados 28/07 AL 03/08</t>
  </si>
  <si>
    <t>Darwuin Jesús Bullones/Eventual Agregados 28/07 AL 03/08</t>
  </si>
  <si>
    <t>Frank Armando García/Eventual Agregados 28/07 AL 03/08</t>
  </si>
  <si>
    <t>Alberto Luis Rojas/Eventual Agregados 28/07 AL 03/08</t>
  </si>
  <si>
    <t>Naiker Alexander Jimenez/Eventual Agregados 28/07 AL 03/08</t>
  </si>
  <si>
    <t>José Gregorio Perez/Eventual Agregados 28/07 AL 03/08</t>
  </si>
  <si>
    <t>Carlos Daniel Rodriguez/Eventual Agregados 28/07 AL 03/08</t>
  </si>
  <si>
    <t>Alejandro Morales/Eventual Agregados 28/07 AL 03/08</t>
  </si>
  <si>
    <t>Euber José Juarez/Eventual Agregados 28/07 AL 03/08</t>
  </si>
  <si>
    <t>Ali Alberto Bullones/Eventual Agregados 28/07 AL 03/08</t>
  </si>
  <si>
    <t>Alberto Ali Bullones/Eventual Agregados 28/07 AL 03/08</t>
  </si>
  <si>
    <t>Fernando José Rodriguez/Eventual Agregados 28/07 AL 03/08</t>
  </si>
  <si>
    <t>Brunito Segundo Cordero/Eventual Agregados 28/07 AL 03/08</t>
  </si>
  <si>
    <t>Justiniano Rodriguez/Eventual Agregados 28/07 AL 03/08</t>
  </si>
  <si>
    <t>Fareliz Arrieche/Eventual Gobernacion 28/07 AL 03/08</t>
  </si>
  <si>
    <t>Armando Lopez /Eventual Agregados 28/07 AL 03/08</t>
  </si>
  <si>
    <t>Alirio Parra/Eventual Gobernacion 28/07 AL 03/08</t>
  </si>
  <si>
    <t>Froilan Lopez/Eventual Agregados 28/07 AL 03/08</t>
  </si>
  <si>
    <t>Ramón Quintero/Eventual Agregados 28/07 AL 03/08</t>
  </si>
  <si>
    <t>Juan López/Eventual Agregados 28/07 AL 03/08</t>
  </si>
  <si>
    <t>Jesus Ramos/Eventual Gobernacion 28/07 AL 03/08</t>
  </si>
  <si>
    <t>Exson Rodriguez/Eventual Gobernacion 28/07 AL 03/08</t>
  </si>
  <si>
    <t>Douglas Pimentel/Eventual Gobernacion 28/07 AL 03/08</t>
  </si>
  <si>
    <t>Pedro Castillo/Eventual Gobernacion 28/07 AL 03/08</t>
  </si>
  <si>
    <t>Miguel Torres/Eventual Gobernacion 28/07 AL 03/08</t>
  </si>
  <si>
    <t>Wendy Gimenez/Eventual Gobernacion 28/07 AL 03/08</t>
  </si>
  <si>
    <t>Nicolas Alvarez/Eventual Gobernacion 28/07 AL 03/08</t>
  </si>
  <si>
    <t>Rafael Puertas/Eventual Gobernacion 28/07 AL 03/08</t>
  </si>
  <si>
    <t>Carlos Pacheco/Eventual Gobernacion 28/07 AL 03/08</t>
  </si>
  <si>
    <t>Andrés Armella/Eventual Gobernacion 28/07 AL 03/08</t>
  </si>
  <si>
    <t>Jose Toledo/Eventual Gobernacion 28/07 AL 03/08</t>
  </si>
  <si>
    <t>Bruno Ali Cordero Bullones/Eventual Agregados 28/07 AL 03/08</t>
  </si>
  <si>
    <t>Juan Pinto/Eventual Gobernacion 28/07 AL 03/08</t>
  </si>
  <si>
    <t>Edwin Rojas/Eventual Gobernacion 28/07 AL 03/08</t>
  </si>
  <si>
    <t>Angel Caldera/Eventual Gobernacion 28/07 AL 03/08</t>
  </si>
  <si>
    <t>Carlos Lopez/Eventual Agregados 28/07 AL 03/08</t>
  </si>
  <si>
    <t>Rafael Quiroz/Eventual Gobernacion 28/07 AL 03/08</t>
  </si>
  <si>
    <t>Luis Silveiro Colon Ojeda/Eventual Agregados 28/07 AL 03/08</t>
  </si>
  <si>
    <t>Estebez Maramara/Eventual Agregados 28/07 AL 03/08</t>
  </si>
  <si>
    <t>Argenis Flores/Eventual Megatech 28/07 AL 03/08</t>
  </si>
  <si>
    <t>Walner Oviedo/Eventual Megatech 28/07 AL 03/08</t>
  </si>
  <si>
    <t>Yonny Castillo/Eventual Megatech 28/07 AL 03/08</t>
  </si>
  <si>
    <t>Antonio Castillo/Eventual Megatech 28/07 AL 03/08</t>
  </si>
  <si>
    <t>Jose Guevara/Eventual Megatech 28/07 AL 03/08</t>
  </si>
  <si>
    <t>Francisco Castillo/Eventual Megatech 28/07 AL 03/08</t>
  </si>
  <si>
    <t>Jose Castillo/Eventual Megatech 28/07 AL 03/08</t>
  </si>
  <si>
    <t>Elvis Valles/Eventual Megatech 28/07 AL 03/08</t>
  </si>
  <si>
    <t>Omar Torrealba/Eventual Megatech 28/07 AL 03/08</t>
  </si>
  <si>
    <t>Carlos Castillo/Eventual Megatech 28/07 AL 03/08</t>
  </si>
  <si>
    <t>Yordis Almao/Eventual Megatech 28/07 AL 03/08</t>
  </si>
  <si>
    <t>Victor Mendez/Eventual Megatech 28/07 AL 03/08</t>
  </si>
  <si>
    <t>Julian Guedez/Eventual Megatech 28/07 AL 03/08</t>
  </si>
  <si>
    <t>Carlos Loyo/Eventual Megatech 28/07 AL 03/08</t>
  </si>
  <si>
    <t>Alberto Loyo/Eventual Megatech 28/07 AL 03/08</t>
  </si>
  <si>
    <t>Edwuard Almeida/Eventual Megatech 28/07 AL 03/08</t>
  </si>
  <si>
    <t>Yerry Rodríguez/Eventual Megatech 28/07 AL 03/08</t>
  </si>
  <si>
    <t>Elio Malpica/Eventual Megatech 28/07 AL 03/08</t>
  </si>
  <si>
    <t>Alexander Castillo/Eventual Megatech 28/07 AL 03/08</t>
  </si>
  <si>
    <t>Fareliz Arrieche/Eventual Megatech 28/07 AL 03/08</t>
  </si>
  <si>
    <t>Ruben Rivas/Eventual Megatech 28/07 AL 03/08</t>
  </si>
  <si>
    <t>Alirio Parra/Eventual Megatech 28/07 AL 03/08</t>
  </si>
  <si>
    <t>Fares Arrieche/Eventual Megatech 28/07 AL 03/08</t>
  </si>
  <si>
    <t>Norys Ramos/Eventual Megatech 28/07 AL 03/08</t>
  </si>
  <si>
    <t>Emperatriz Leon/Eventual Megatech 28/07 AL 03/08</t>
  </si>
  <si>
    <t>Ingrid Reyes/Eventual Megatech 28/07 AL 03/08</t>
  </si>
  <si>
    <t>ALIMENTOS/FACT 33570/CAFÉ CARAOTA-DONACION RASDA</t>
  </si>
  <si>
    <t>SERVA043E</t>
  </si>
  <si>
    <t>ALIMENTOS/FACT 33571/CAFÉ CARAOTA-DONACION RASDA</t>
  </si>
  <si>
    <t xml:space="preserve">LISO/FACT 625/ALQUILER MARTILLO-PLANTA DEMOLICION </t>
  </si>
  <si>
    <t>CAUCHOS NAJAN/FACT 2696/SELLOS ORIGINALES P/RUEDA DEL EQUIPO VOLVO</t>
  </si>
  <si>
    <t>ISLR/PERIODO JULIO 2025</t>
  </si>
  <si>
    <t>02-070825</t>
  </si>
  <si>
    <t>Argenis Flores/Eventual Megatech 04/08 AL 10/08</t>
  </si>
  <si>
    <t>Jesus Ramos/Eventual Gobernacion 04/08 AL 10/08</t>
  </si>
  <si>
    <t>Walner Oviedo/Eventual Megatech 04/08 AL 10/08</t>
  </si>
  <si>
    <t>Exson Rodriguez/Eventual Gobernacion 04/08 AL 10/08</t>
  </si>
  <si>
    <t>Douglas Pimentel/Eventual Gobernacion 04/08 AL 10/08</t>
  </si>
  <si>
    <t>Francisco Castillo/Eventual Megatech 04/08 AL 10/08</t>
  </si>
  <si>
    <t>Miguel Torres/Eventual Gobernacion 04/08 AL 10/08</t>
  </si>
  <si>
    <t>Wendy Gimenez/Eventual Gobernacion 04/08 AL 10/08</t>
  </si>
  <si>
    <t>Yonny Castillo/Eventual Megatech 04/08 AL 10/08</t>
  </si>
  <si>
    <t>Pedro Castillo/Eventual Gobernacion 04/08 AL 10/08</t>
  </si>
  <si>
    <t>Antonio Castillo/Eventual Megatech 04/08 AL 10/08</t>
  </si>
  <si>
    <t>Jose Guevara/Eventual Megatech 04/08 AL 10/08</t>
  </si>
  <si>
    <t>Jose Castillo/Eventual Megatech 04/08 AL 10/08</t>
  </si>
  <si>
    <t>Elvis Valles/Eventual Megatech 04/08 AL 10/08</t>
  </si>
  <si>
    <t>Edwuard Almeida/Eventual Megatech 04/08 AL 10/08</t>
  </si>
  <si>
    <t>Omar Torrealba/Eventual Megatech 04/08 AL 10/08</t>
  </si>
  <si>
    <t>Julian Guedez/Eventual Megatech 04/08 AL 10/08</t>
  </si>
  <si>
    <t>Yerry Rodríguez/Eventual Megatech 04/08 AL 10/08</t>
  </si>
  <si>
    <t>Norys Ramos/Eventual Megatech 04/08 AL 10/08</t>
  </si>
  <si>
    <t>Fareliz Arrieche/Eventual Megatech 04/08 AL 10/08</t>
  </si>
  <si>
    <t>Henrry Valera/Eventual Gobernacion 04/08 AL 10/08</t>
  </si>
  <si>
    <t>Fares Arrieche/Eventual Megatech 04/08 AL 10/08</t>
  </si>
  <si>
    <t>Nicolas Alvarez/Eventual Gobernacion 04/08 AL 10/08</t>
  </si>
  <si>
    <t>Elio Malpica/Eventual Megatech 04/08 AL 10/08</t>
  </si>
  <si>
    <t>Ruben Rivas/Eventual Megatech 04/08 AL 10/08</t>
  </si>
  <si>
    <t>Federico Faneite/Eventual Gobernacion 04/08 AL 10/08</t>
  </si>
  <si>
    <t>Delios Adolfo Ferrara/Eventual Agregados 04/08 AL 10/08</t>
  </si>
  <si>
    <t>Eliomar Jesús Escalona/Eventual Agregados 04/08 AL 10/08</t>
  </si>
  <si>
    <t>José Guillermo Cortez/Eventual Agregados 04/08 AL 10/08</t>
  </si>
  <si>
    <t>Darwuin Jesús Bullones/Eventual Agregados 04/08 AL 10/08</t>
  </si>
  <si>
    <t>Frank Armando García/Eventual Agregados 04/08 AL 10/08</t>
  </si>
  <si>
    <t>Alberto Luis Rojas/Eventual Agregados 04/08 AL 10/08</t>
  </si>
  <si>
    <t>Naiker Alexander Jimenez/Eventual Agregados 04/08 AL 10/08</t>
  </si>
  <si>
    <t>José Gregorio Perez/Eventual Agregados 04/08 AL 10/08</t>
  </si>
  <si>
    <t>Carlos Daniel Rodriguez/Eventual Agregados 04/08 AL 10/08</t>
  </si>
  <si>
    <t>Alejandro Morales/Eventual Agregados 04/08 AL 10/08</t>
  </si>
  <si>
    <t>Euber José Juarez/Eventual Agregados 04/08 AL 10/08</t>
  </si>
  <si>
    <t>Ali Alberto Bullones/Eventual Agregados 04/08 AL 10/08</t>
  </si>
  <si>
    <t>Alberto Ali Bullones/Eventual Agregados 04/08 AL 10/08</t>
  </si>
  <si>
    <t>Fernando José Rodriguez/Eventual Agregados 04/08 AL 10/08</t>
  </si>
  <si>
    <t>Bruno Ali Cordero Bullones/Eventual Agregados 04/08 AL 10/08</t>
  </si>
  <si>
    <t>Alirio Parra/Eventual Gobernacion 04/08 AL 10/08</t>
  </si>
  <si>
    <t>Brunito Segundo Cordero/Eventual Agregados 04/08 AL 10/08</t>
  </si>
  <si>
    <t>Fareliz Arrieche/Eventual Gobernacion 04/08 AL 10/08</t>
  </si>
  <si>
    <t>Justiniano Rodriguez/Eventual Agregados 04/08 AL 10/08</t>
  </si>
  <si>
    <t>Armando Lopez /Eventual Agregados 04/08 AL 10/08</t>
  </si>
  <si>
    <t>Froilan Lopez/Eventual Agregados 04/08 AL 10/08</t>
  </si>
  <si>
    <t>Ramón Quintero/Eventual Agregados 04/08 AL 10/08</t>
  </si>
  <si>
    <t>Juan López/Eventual Agregados 04/08 AL 10/08</t>
  </si>
  <si>
    <t>Yordis Almao/Eventual Megatech 04/08 AL 10/08</t>
  </si>
  <si>
    <t>Victor Mendez/Eventual Megatech 04/08 AL 10/08</t>
  </si>
  <si>
    <t>Carlos Castillo/Eventual Megatech 04/08 AL 10/08</t>
  </si>
  <si>
    <t>Carlos Loyo/Eventual Megatech 04/08 AL 10/08</t>
  </si>
  <si>
    <t>Alberto Loyo/Eventual Megatech 04/08 AL 10/08</t>
  </si>
  <si>
    <t>Rafael Puertas/Eventual Gobernacion 04/08 AL 10/08</t>
  </si>
  <si>
    <t>Carlos Pacheco/Eventual Gobernacion 04/08 AL 10/08</t>
  </si>
  <si>
    <t>Andrés Armella/Eventual Gobernacion 04/08 AL 10/08</t>
  </si>
  <si>
    <t>Jose Toledo/Eventual Gobernacion 04/08 AL 10/08</t>
  </si>
  <si>
    <t>Juan Pinto/Eventual Gobernacion 04/08 AL 10/08</t>
  </si>
  <si>
    <t>Edwin Rojas/Eventual Gobernacion 04/08 AL 10/08</t>
  </si>
  <si>
    <t>Carlos Lopez/Eventual Agregados 04/08 AL 10/08</t>
  </si>
  <si>
    <t>Angel Caldera/Eventual Gobernacion 04/08 AL 10/08</t>
  </si>
  <si>
    <t>Estebez Maramara/Eventual Agregados 04/08 AL 10/08</t>
  </si>
  <si>
    <t>Alirio Parra/Eventual Megatech 04/08 AL 10/08</t>
  </si>
  <si>
    <t>Emperatriz Leon/Eventual Megatech 04/08 AL 10/08</t>
  </si>
  <si>
    <t>Rafael Quiroz/Eventual Gobernacion 04/08 AL 10/08</t>
  </si>
  <si>
    <t>Luis Silveiro Colon Ojeda/Eventual Agregados 04/08 AL 10/08</t>
  </si>
  <si>
    <t>Alexander Castillo/Eventual Megatech 04/08 AL 10/08</t>
  </si>
  <si>
    <t>Ingrid Reyes/Eventual Megatech 04/08 AL 10/08</t>
  </si>
  <si>
    <t>COMERCIALIZADORA/FACT 82/ARENA CERNIDA-CANTO RODADO</t>
  </si>
  <si>
    <t>VENTA ARENA CERNIDA/CANTO RODADO</t>
  </si>
  <si>
    <t>INVERSIONES AB/FACT 81/VENTA DE MATERIALES</t>
  </si>
  <si>
    <t>VENTA DE CANTO RODADO/CEMENTO GRANEL/GRANZON MT3/RIPIO PIEDRA DE GAVION/GRANZON MT3/ARENA CERNIDA</t>
  </si>
  <si>
    <t>TRANSPORTE TDC/FACT 83/VENTA CEMENTO GRANEL</t>
  </si>
  <si>
    <t>VENTA DE CEMENTO A GRANEL</t>
  </si>
  <si>
    <t>INVERSIONES AB/FACT 38/PLANTA CEMENTO</t>
  </si>
  <si>
    <t>AIR SYSTEM/FACT 234/FILTRO SEPARADOR DE ACEITE-FILTRO DE AIRE</t>
  </si>
  <si>
    <t>ITALMECANICA/FACT189/RECIFICACION-MEDIDAS TOLERANCIAS-SILVERADO</t>
  </si>
  <si>
    <t>MATERIALES SANTA LUCIA/FACT 5761/CEMENTERA</t>
  </si>
  <si>
    <t>AGROPECUARIA/FACT 80/VENTA GRANZO-ARENA CERNIDA-GRANZON</t>
  </si>
  <si>
    <t>VENTA DE GRANZON/ARENA CERNIDA/GRANZON</t>
  </si>
  <si>
    <t>PROTECCION PENSIONES/JULIO 2025</t>
  </si>
  <si>
    <t>02-110825</t>
  </si>
  <si>
    <t>ARIEDDY GARRIDO/FACT 44/SERV ANALISIS INSTRUMENTAL P/CEMENTO</t>
  </si>
  <si>
    <t>HENCARD/FACT 620/SISTEMA FIJACION  P/BANDEJAS PORTACABLE SALA GENERADORES-CEMENTERA</t>
  </si>
  <si>
    <t>PREMEZCLADO FERRE NIRGUA/FACT382/P/CEMENTO 7,5 M3</t>
  </si>
  <si>
    <t>RENOVADORA AZEM/FACT 1034/CAUCHOS P/RETROEXCAVADORA P/CEMENTO</t>
  </si>
  <si>
    <t>RODA MANGUERA/FACT 2492/10GOMAS 30/30 P/LOS FRENOS P/CAMIONES-MANGUERA M/CARGADOR-MINERALES</t>
  </si>
  <si>
    <t>COMERCIALIZADORA/INVERSION DE CAPITAL/TESOSO</t>
  </si>
  <si>
    <t>HANLEY BORGE/FACT 0711/LICENCIA SAINT</t>
  </si>
  <si>
    <t>RESGUARDO/FACT 247/1ERA QUINC AGOSTO</t>
  </si>
  <si>
    <t>REICARI RIVAS/FACT 206 DIF</t>
  </si>
  <si>
    <t>TRANSPORTE TDC/FACT 87/SERV TRASLAD A NIVEL NACIONAL</t>
  </si>
  <si>
    <t>RANGEL GUSTAVO/BONO COMPLE 15-08-25/ADM</t>
  </si>
  <si>
    <t>PEREZ, JOSE ROLANDO/BONO COMPLE 14-08-25/OPER</t>
  </si>
  <si>
    <t>BASTIDA, JOSE/BONO COMPL15-08-25/OPER</t>
  </si>
  <si>
    <t>GUEDEZ,YIRMER/BONO COMPLE 14-08-25/ADM</t>
  </si>
  <si>
    <t>GARCIA, JASON/BONO COMPLE 14-08-25/OPER</t>
  </si>
  <si>
    <t>LINAREZ, PEDRO/BONO COMPLE 14-08-25/OPER</t>
  </si>
  <si>
    <t>ALVARADO, EDID/BONO COMPLE 14-08-25/OPER</t>
  </si>
  <si>
    <t>MARTINEZ JUAN/BONO COMPLE 14-08-25/OPER</t>
  </si>
  <si>
    <t>LOPEZ ,MANOLO/BONO COMPLE 14-08-25/OPER</t>
  </si>
  <si>
    <t>PEREZ, CARLOS/BONO COMPLE 14-08-25/OPER</t>
  </si>
  <si>
    <t>VIELMA CARLEN/BONO COMPLE 15-08-25/ADM</t>
  </si>
  <si>
    <t>SEGURA ,WAILEN/BONO COMPLE 14-08-25/OPER</t>
  </si>
  <si>
    <t>GUTIERREZ, PRESCILIANO/BONO COMPLE 14-08-25/OPER</t>
  </si>
  <si>
    <t>RAGA NELIDO/BONO COMPLE 14-08-25/OPER</t>
  </si>
  <si>
    <t>GUEDEZ,JOSE/BONO COMPLE 14-08-25/OPER</t>
  </si>
  <si>
    <t>RIVERO, JORGE/BONO COMPLE 14-08-25/OPER</t>
  </si>
  <si>
    <t>NOGUERA, OSCAR/BONO COMPLE 14-08-25/OPER</t>
  </si>
  <si>
    <t>ADMINISTRATIVO</t>
  </si>
  <si>
    <t>SUAREZ, RAFAEL/BONO COMPLE 14-08-25/OPER</t>
  </si>
  <si>
    <t>GOMEZ,ARGENIS/BONO COMPLE 14-08-25/OPER</t>
  </si>
  <si>
    <t>PARADA,KEIBY/BONO COMPLE 14-08-25/OPER</t>
  </si>
  <si>
    <t>RODRIGUEZ, MIGUEL/BONO COMPLE 14-08-25/OPER</t>
  </si>
  <si>
    <t>ALMAO,GENESIS/BONO COMPLE 14-08-25/ADM</t>
  </si>
  <si>
    <t>MENDOZA,ANTONY/BONO COMPLE 14-08-25/OPER</t>
  </si>
  <si>
    <t>ROJAS MARIA/BONO COMPLE 14-08-25/ADM</t>
  </si>
  <si>
    <t>SOTELDO, LUSMAR/BONO COMPLE 14-08-25/OPER</t>
  </si>
  <si>
    <t>RODRIGUEZ ANSONNY/BONO COMPLE 14-08-25/OPER</t>
  </si>
  <si>
    <t>QUERALES ,EDIXON/BONO COMPLE 14-08-25/OPER</t>
  </si>
  <si>
    <t>DURAN, MARIA/BONO COMPLE 14-08-25/ADM</t>
  </si>
  <si>
    <t>LINAREZ, SANTIAGO/BONO COMPLE 14-08-25/OPER</t>
  </si>
  <si>
    <t>CHIRINOS, RAFAEL/BONO COMPLE 14-08-25/OPER</t>
  </si>
  <si>
    <t>ALEJOS, RODOLFO/BONO COMPLE 14-08-25/OPER</t>
  </si>
  <si>
    <t>REVERON, RAMON/BONO COMPLE 14-08-25/OPER</t>
  </si>
  <si>
    <t>VETANCOURT, BLIXANDER/BONO COMPLE 14-08-25/OPER</t>
  </si>
  <si>
    <t>DAZA, VICTOR/BONO COMPLE 14-08-25/OPER</t>
  </si>
  <si>
    <t>RANGEL GUSTAVO/NOMINA 15-08-25/ADM</t>
  </si>
  <si>
    <t>REVERON, RAMON/NOMINA 15-08-25/OPER</t>
  </si>
  <si>
    <t>GUEDEZ,YIRMER/NOMINA 15-08-25/OPER</t>
  </si>
  <si>
    <t>PEREZ, JOSE ROLANDO/NOMINA 15-08-25/OPER</t>
  </si>
  <si>
    <t>DAZA, VICTOR/NOMINA 15-08-25/OPER</t>
  </si>
  <si>
    <t>LOPEZ ,MANOLO/NOMINA 15-08-25/ADM</t>
  </si>
  <si>
    <t>PEREZ, CARLOS/NOMINA 15-08-25/OPER</t>
  </si>
  <si>
    <t>SEGURA ,WAILEN/NOMINA 15-08-25/OPER</t>
  </si>
  <si>
    <t>MARTINEZ JUAN/NOMINA 15-08-25/OPER</t>
  </si>
  <si>
    <t>GARCIA, JASON/NOMINA 15-08-25/OPER</t>
  </si>
  <si>
    <t>ALVARADO, EDID/NOMINA 15-08-25/OPER</t>
  </si>
  <si>
    <t>GUEDEZ,JOSE/NOMINA 15-08-25/OPER</t>
  </si>
  <si>
    <t>LINAREZ, PEDRO/NOMINA 15-08-25/OPER</t>
  </si>
  <si>
    <t>GUTIERREZ, PRESCILIANO/NOMINA 15-08-25/OPER</t>
  </si>
  <si>
    <t>VIELMA CARLEN/NOMINA 15-08-25/ADM</t>
  </si>
  <si>
    <t>RAGA NELIDO/NOMINA 15-08-25/ADM</t>
  </si>
  <si>
    <t>QUERALES, HERMES/BONO COMPLE 14-08-25/OPER</t>
  </si>
  <si>
    <t>GOMEZ,ARGENIS/NOMINA 15-08-25/OPER</t>
  </si>
  <si>
    <t>NOGUERA, OSCAR/NOMINA 15-08-25/OPER</t>
  </si>
  <si>
    <t>PARADA,KEIBY/NOMINA 15-08-25/OPER</t>
  </si>
  <si>
    <t>SUAREZ, RAFAEL/NOMINA 15-08-25/OPER</t>
  </si>
  <si>
    <t>RIVERO, JORGE/NOMINA 15-08-25/OPER</t>
  </si>
  <si>
    <t>RODRIGUEZ, MIGUEL/NOMINA 15-08-25/OPER</t>
  </si>
  <si>
    <t>RODRIGUEZ ANSONNY/NOMINA 15-08-25/OPER</t>
  </si>
  <si>
    <t>CHIRINOS, RAFAEL/NOMINA 15-08-25/OPER</t>
  </si>
  <si>
    <t>SOTELDO, LUSMAR/NOMINA 15-08-25/OPER</t>
  </si>
  <si>
    <t>MENDOZA,ANTONY/NOMINA 15-08-25/OPER</t>
  </si>
  <si>
    <t>ALMAO,GENESIS/NOMINA 15-08-25/ADM</t>
  </si>
  <si>
    <t>ROJAS MARIA/NOMINA 15-08-25/OPER</t>
  </si>
  <si>
    <t>QUERALES ,EDIXON/NOMINA 15-08-25/OPER</t>
  </si>
  <si>
    <t>VETANCOURT, BLIXANDER/NOMINA 15-08-25/ADM</t>
  </si>
  <si>
    <t>DURAN, MARIA/NOMINA 15-08-25/OPER</t>
  </si>
  <si>
    <t>QUERALES, HERMES/NOMINA 15-08-25/OPER</t>
  </si>
  <si>
    <t>LINAREZ, SANTIAGO/NOMINA 15-08-25/OPER</t>
  </si>
  <si>
    <t>BASTIDA, JOSE/NOMINA 15-08-25/OPER</t>
  </si>
  <si>
    <t>ALEJOS, RODOLFO/NOMINA 15-08-25/OPER</t>
  </si>
  <si>
    <t>Federico Faneite/Eventual Gobernacion 11/08 AL 17/08</t>
  </si>
  <si>
    <t>Delios Adolfo Ferrara/Eventual Agregados 11/08 AL 17/08</t>
  </si>
  <si>
    <t>Eliomar Jesús Escalona/Eventual Agregados 11/08 AL 17/08</t>
  </si>
  <si>
    <t>José Guillermo Cortez/Eventual Agregados 11/08 AL 17/08</t>
  </si>
  <si>
    <t>Darwuin Jesús Bullones/Eventual Agregados 11/08 AL 17/08</t>
  </si>
  <si>
    <t>Frank Armando García/Eventual Agregados 11/08 AL 17/08</t>
  </si>
  <si>
    <t>Alberto Luis Rojas/Eventual Agregados 11/08 AL 17/08</t>
  </si>
  <si>
    <t>Naiker Alexander Jimenez/Eventual Agregados 11/08 AL 17/08</t>
  </si>
  <si>
    <t>José Gregorio Perez/Eventual Agregados 11/08 AL 17/08</t>
  </si>
  <si>
    <t>Carlos Daniel Rodriguez/Eventual Agregados 11/08 AL 17/08</t>
  </si>
  <si>
    <t>Alejandro Morales/Eventual Agregados 11/08 AL 17/08</t>
  </si>
  <si>
    <t>Euber José Juarez/Eventual Agregados 11/08 AL 17/08</t>
  </si>
  <si>
    <t>Ali Alberto Bullones/Eventual Agregados 11/08 AL 17/08</t>
  </si>
  <si>
    <t>Alberto Ali Bullones/Eventual Agregados 11/08 AL 17/08</t>
  </si>
  <si>
    <t>Fareliz Arrieche/Eventual Gobernacion 11/08 AL 17/08</t>
  </si>
  <si>
    <t>Brunito Segundo Cordero/Eventual Agregados 11/08 AL 17/08</t>
  </si>
  <si>
    <t>Fernando José Rodriguez/Eventual Agregados 11/08 AL 17/08</t>
  </si>
  <si>
    <t>Henrry Valera/Eventual Gobernacion 11/08 AL 17/08</t>
  </si>
  <si>
    <t>Justiniano Rodriguez/Eventual Agregados 11/08 AL 17/08</t>
  </si>
  <si>
    <t>Armando Lopez /Eventual Agregados 11/08 AL 17/08</t>
  </si>
  <si>
    <t>Froilan Lopez/Eventual Agregados 11/08 AL 17/08</t>
  </si>
  <si>
    <t>Ramón Quintero/Eventual Agregados 11/08 AL 17/08</t>
  </si>
  <si>
    <t>Juan López/Eventual Agregados 11/08 AL 17/08</t>
  </si>
  <si>
    <t>Exson Rodriguez/Eventual Gobernacion 11/08 AL 17/08</t>
  </si>
  <si>
    <t>Jesus Ramos/Eventual Gobernacion 11/08 AL 17/08</t>
  </si>
  <si>
    <t>Douglas Pimentel/Eventual Gobernacion 11/08 AL 17/08</t>
  </si>
  <si>
    <t>Pedro Castillo/Eventual Gobernacion 11/08 AL 17/08</t>
  </si>
  <si>
    <t>Miguel Torres/Eventual Gobernacion 11/08 AL 17/08</t>
  </si>
  <si>
    <t>Wendy Gimenez/Eventual Gobernacion 11/08 AL 17/08</t>
  </si>
  <si>
    <t>Nicolas Alvarez/Eventual Gobernacion 11/08 AL 17/08</t>
  </si>
  <si>
    <t>Rafael Puertas/Eventual Gobernacion 11/08 AL 17/08</t>
  </si>
  <si>
    <t>Carlos Pacheco/Eventual Gobernacion 11/08 AL 17/08</t>
  </si>
  <si>
    <t>Andrés Armella/Eventual Gobernacion 11/08 AL 17/08</t>
  </si>
  <si>
    <t>Jose Toledo/Eventual Gobernacion 11/08 AL 17/08</t>
  </si>
  <si>
    <t>Carlos Lopez/Eventual Agregados 11/08 AL 17/08</t>
  </si>
  <si>
    <t>Alirio Parra/Eventual Gobernacion 11/08 AL 17/08</t>
  </si>
  <si>
    <t>Angel Caldera/Eventual Gobernacion 11/08 AL 17/08</t>
  </si>
  <si>
    <t>Juan Pinto/Eventual Gobernacion 11/08 AL 17/08</t>
  </si>
  <si>
    <t>Rafael Quiroz/Eventual Gobernacion 11/08 AL 17/08</t>
  </si>
  <si>
    <t>Edwin Rojas/Eventual Gobernacion 11/08 AL 17/08</t>
  </si>
  <si>
    <t>Estebez Maramara/Eventual Agregados 11/08 AL 17/08</t>
  </si>
  <si>
    <t>Argenis Flores/Eventual Megatech 11/08 AL 17/08</t>
  </si>
  <si>
    <t>Walner Oviedo/Eventual Megatech 11/08 AL 17/08</t>
  </si>
  <si>
    <t>Yonny Castillo/Eventual Megatech 11/08 AL 17/08</t>
  </si>
  <si>
    <t>Antonio Castillo/Eventual Megatech 11/08 AL 17/08</t>
  </si>
  <si>
    <t>Jose Guevara/Eventual Megatech 11/08 AL 17/08</t>
  </si>
  <si>
    <t>Jose Castillo/Eventual Megatech 11/08 AL 17/08</t>
  </si>
  <si>
    <t>Francisco Castillo/Eventual Megatech 11/08 AL 17/08</t>
  </si>
  <si>
    <t>Elvis Valles/Eventual Megatech 11/08 AL 17/08</t>
  </si>
  <si>
    <t>Omar Torrealba/Eventual Megatech 11/08 AL 17/08</t>
  </si>
  <si>
    <t>Carlos Castillo/Eventual Megatech 11/08 AL 17/08</t>
  </si>
  <si>
    <t>Julian Guedez/Eventual Megatech 11/08 AL 17/08</t>
  </si>
  <si>
    <t>Yordis Almao/Eventual Megatech 11/08 AL 17/08</t>
  </si>
  <si>
    <t>Victor Mendez/Eventual Megatech 11/08 AL 17/08</t>
  </si>
  <si>
    <t>Carlos Loyo/Eventual Megatech 11/08 AL 17/08</t>
  </si>
  <si>
    <t>Alberto Loyo/Eventual Megatech 11/08 AL 17/08</t>
  </si>
  <si>
    <t>Alexander Castillo/Eventual Megatech 11/08 AL 17/08</t>
  </si>
  <si>
    <t>Edwuard Almeida/Eventual Megatech 11/08 AL 17/08</t>
  </si>
  <si>
    <t>Luis Silveiro Colon Ojeda/Eventual Agregados 11/08 AL 17/08</t>
  </si>
  <si>
    <t>Yerry Rodríguez/Eventual Megatech 11/08 AL 17/08</t>
  </si>
  <si>
    <t>Elio Malpica/Eventual Megatech 11/08 AL 17/08</t>
  </si>
  <si>
    <t>Alirio Parra/Eventual Megatech 11/08 AL 17/08</t>
  </si>
  <si>
    <t>Fareliz Arrieche/Eventual Megatech 11/08 AL 17/08</t>
  </si>
  <si>
    <t>Norys Ramos/Eventual Megatech 11/08 AL 17/08</t>
  </si>
  <si>
    <t>Ruben Rivas/Eventual Megatech 11/08 AL 17/08</t>
  </si>
  <si>
    <t>Fares Arrieche/Eventual Megatech 11/08 AL 17/08</t>
  </si>
  <si>
    <t>Emperatriz Leon/Eventual Megatech 11/08 AL 17/08</t>
  </si>
  <si>
    <t>Ingrid Reyes/Eventual Megatech 11/08 AL 17/08</t>
  </si>
  <si>
    <t>Bruno Ali Cordero Bullones/Eventual Agregados 11/08 AL 17/08</t>
  </si>
  <si>
    <t>CORPOELEC/FACT 5644/MINERALES YARACUY</t>
  </si>
  <si>
    <t>29-190825</t>
  </si>
  <si>
    <t>COMERCIALIZADORA/INVERSION DE CAPITAL/PROV</t>
  </si>
  <si>
    <t>MATERIALES SANTA LUCIA/FACT 5796/CEMENTERA</t>
  </si>
  <si>
    <t>EMBOBINADO EL CATIRE/FACT 6725/MTTO MOTORES TUNELES MATERIA PRIMA P/CEMENTO</t>
  </si>
  <si>
    <t>REPUESTO RODICAR/FACT 2046/KIT P/COMPRESOR AIRE VEHICULO TROMPO MACK</t>
  </si>
  <si>
    <t>VULCANIZADORA YARITAGUA/FACT 1671/SERV MONTAJE CAUCHO -RETROEXCAVADORA</t>
  </si>
  <si>
    <t>COMERCIALIZADORA/INVERSION DE CAPITAL/BDT</t>
  </si>
  <si>
    <t>CORPORACION ERDS/FACT 2052/MTTO GRAL MINERALES YARACUY</t>
  </si>
  <si>
    <t>GLOBAL ACERO/FACT 70/INV P/TECHADO ESTRUCT TANQUE GASOIL</t>
  </si>
  <si>
    <t>JOSE CASTRO/FACT 114/SERV SATELITAL EMPRESARIAL-P/CEMENTO</t>
  </si>
  <si>
    <t>JOSE CASTRO/FACT 115/SERV SATELITAL EMPRESARIAL-MINERA</t>
  </si>
  <si>
    <t>MATERIALES SANTA LUCIA/FACT 5831/CEMENTERA</t>
  </si>
  <si>
    <t>MATERIALES SANTA LUCIA/FACT 5834/CEMENTERA</t>
  </si>
  <si>
    <t>MATERIALES SANTA LUCIA/FACT 5828/MEGATECH</t>
  </si>
  <si>
    <t>Federico Faneite/Eventual Gobernacion 18/08 AL 24/08</t>
  </si>
  <si>
    <t>Delios Adolfo Ferrara/Eventual Agregados 18/08 AL 24/08</t>
  </si>
  <si>
    <t>Eliomar Jesús Escalona/Eventual Agregados 18/08 AL 24/08</t>
  </si>
  <si>
    <t>José Guillermo Cortez/Eventual Agregados 18/08 AL 24/08</t>
  </si>
  <si>
    <t>Darwuin Jesús Bullones/Eventual Agregados 18/08 AL 24/08</t>
  </si>
  <si>
    <t>Frank Armando García/Eventual Agregados 18/08 AL 24/08</t>
  </si>
  <si>
    <t>Alberto Luis Rojas/Eventual Agregados 18/08 AL 24/08</t>
  </si>
  <si>
    <t>Naiker Alexander Jimenez/Eventual Agregados 18/08 AL 24/08</t>
  </si>
  <si>
    <t>José Gregorio Perez/Eventual Agregados 18/08 AL 24/08</t>
  </si>
  <si>
    <t>Carlos Daniel Rodriguez/Eventual Agregados 18/08 AL 24/08</t>
  </si>
  <si>
    <t>Alejandro Morales/Eventual Agregados 18/08 AL 24/08</t>
  </si>
  <si>
    <t>Euber José Juarez/Eventual Agregados 18/08 AL 24/08</t>
  </si>
  <si>
    <t>Ali Alberto Bullones/Eventual Agregados 18/08 AL 24/08</t>
  </si>
  <si>
    <t>Alberto Ali Bullones/Eventual Agregados 18/08 AL 24/08</t>
  </si>
  <si>
    <t>Fernando José Rodriguez/Eventual Agregados 18/08 AL 24/08</t>
  </si>
  <si>
    <t>Bruno Ali Cordero Bullones/Eventual Agregados 18/08 AL 24/08</t>
  </si>
  <si>
    <t>Fareliz Arrieche/Eventual Gobernacion 18/08 AL 24/08</t>
  </si>
  <si>
    <t>Brunito Segundo Cordero/Eventual Agregados 18/08 AL 24/08</t>
  </si>
  <si>
    <t>Henrry Valera/Eventual Gobernacion 18/08 AL 24/08</t>
  </si>
  <si>
    <t>Justiniano Rodriguez/Eventual Agregados 18/08 AL 24/08</t>
  </si>
  <si>
    <t>Armando Lopez /Eventual Agregados 18/08 AL 24/08</t>
  </si>
  <si>
    <t>Froilan Lopez/Eventual Agregados 18/08 AL 24/08</t>
  </si>
  <si>
    <t>Ramón Quintero/Eventual Agregados 18/08 AL 24/08</t>
  </si>
  <si>
    <t>Juan López/Eventual Agregados 18/08 AL 24/08</t>
  </si>
  <si>
    <t>Jesus Ramos/Eventual Gobernacion 18/08 AL 24/08</t>
  </si>
  <si>
    <t>Exson Rodriguez/Eventual Gobernacion 18/08 AL 24/08</t>
  </si>
  <si>
    <t>Douglas Pimentel/Eventual Gobernacion 18/08 AL 24/08</t>
  </si>
  <si>
    <t>Miguel Torres/Eventual Gobernacion 18/08 AL 24/08</t>
  </si>
  <si>
    <t>Wendy Gimenez/Eventual Gobernacion 18/08 AL 24/08</t>
  </si>
  <si>
    <t>Pedro Castillo/Eventual Gobernacion 18/08 AL 24/08</t>
  </si>
  <si>
    <t>Nicolas Alvarez/Eventual Gobernacion 18/08 AL 24/08</t>
  </si>
  <si>
    <t>Rafael Puertas/Eventual Gobernacion 18/08 AL 24/08</t>
  </si>
  <si>
    <t>Carlos Pacheco/Eventual Gobernacion 18/08 AL 24/08</t>
  </si>
  <si>
    <t>Andrés Armella/Eventual Gobernacion 18/08 AL 24/08</t>
  </si>
  <si>
    <t>Jose Toledo/Eventual Gobernacion 18/08 AL 24/08</t>
  </si>
  <si>
    <t>Juan Pinto/Eventual Gobernacion 18/08 AL 24/08</t>
  </si>
  <si>
    <t>Edwin Rojas/Eventual Gobernacion 18/08 AL 24/08</t>
  </si>
  <si>
    <t>Alirio Parra/Eventual Gobernacion 18/08 AL 24/08</t>
  </si>
  <si>
    <t>Carlos Lopez/Eventual Agregados 18/08 AL 24/08</t>
  </si>
  <si>
    <t>Angel Caldera/Eventual Gobernacion 18/08 AL 24/08</t>
  </si>
  <si>
    <t>Estebez Maramara/Eventual Agregados 18/08 AL 24/08</t>
  </si>
  <si>
    <t>Luis Silveiro Colon Ojeda/Eventual Agregados 18/08 AL 24/08</t>
  </si>
  <si>
    <t>Rafael Quiroz/Eventual Gobernacion 18/08 AL 24/08</t>
  </si>
  <si>
    <t>Argenis Flores/Eventual Megatech 18/08 AL 24/08</t>
  </si>
  <si>
    <t>Walner Oviedo/Eventual Megatech 18/08 AL 24/08</t>
  </si>
  <si>
    <t>Yonny Castillo/Eventual Megatech 18/08 AL 24/08</t>
  </si>
  <si>
    <t>Antonio Castillo/Eventual Megatech 18/08 AL 24/08</t>
  </si>
  <si>
    <t>Jose Guevara/Eventual Megatech 18/08 AL 24/08</t>
  </si>
  <si>
    <t>Francisco Castillo/Eventual Megatech 18/08 AL 24/08</t>
  </si>
  <si>
    <t>Jose Castillo/Eventual Megatech 18/08 AL 24/08</t>
  </si>
  <si>
    <t>Elvis Valles/Eventual Megatech 18/08 AL 24/08</t>
  </si>
  <si>
    <t>Omar Torrealba/Eventual Megatech 18/08 AL 24/08</t>
  </si>
  <si>
    <t>Carlos Castillo/Eventual Megatech 18/08 AL 24/08</t>
  </si>
  <si>
    <t>Julian Guedez/Eventual Megatech 18/08 AL 24/08</t>
  </si>
  <si>
    <t>Yordis Almao/Eventual Megatech 18/08 AL 24/08</t>
  </si>
  <si>
    <t>Victor Mendez/Eventual Megatech 18/08 AL 24/08</t>
  </si>
  <si>
    <t>Carlos Loyo/Eventual Megatech 18/08 AL 24/08</t>
  </si>
  <si>
    <t>Alberto Loyo/Eventual Megatech 18/08 AL 24/08</t>
  </si>
  <si>
    <t>Edwuard Almeida/Eventual Megatech 18/08 AL 24/08</t>
  </si>
  <si>
    <t>Yerry Rodríguez/Eventual Megatech 18/08 AL 24/08</t>
  </si>
  <si>
    <t>Alexander Castillo/Eventual Megatech 18/08 AL 24/08</t>
  </si>
  <si>
    <t>Elio Malpica/Eventual Megatech 18/08 AL 24/08</t>
  </si>
  <si>
    <t>Fareliz Arrieche/Eventual Megatech 18/08 AL 24/08</t>
  </si>
  <si>
    <t>Ruben Rivas/Eventual Megatech 18/08 AL 24/08</t>
  </si>
  <si>
    <t>Alirio Parra/Eventual Megatech 18/08 AL 24/08</t>
  </si>
  <si>
    <t>Fares Arrieche/Eventual Megatech 18/08 AL 24/08</t>
  </si>
  <si>
    <t>Norys Ramos/Eventual Megatech 18/08 AL 24/08</t>
  </si>
  <si>
    <t>Emperatriz Leon/Eventual Megatech 18/08 AL 24/08</t>
  </si>
  <si>
    <t>Ingrid Reyes/Eventual Megatech 18/08 AL 24/08</t>
  </si>
  <si>
    <t>DIAR/FACT839/FILTRO P/COMPRESOR</t>
  </si>
  <si>
    <t>EDWIN SILVA/FACT 136/SERV M/O REVISION LIZOF-INSTAL INYECTORES Y CHEQUEO P/DIAGNOSTICO</t>
  </si>
  <si>
    <t>GLOBAL ACERO/FACT 78/ARRIOSTRAMIENTO ESTRUCTURA P/CERRAMIENTO</t>
  </si>
  <si>
    <t>LUIS ENRIQUE/FACT 05/INVER TANQUE GASOIL/MINERALES</t>
  </si>
  <si>
    <t xml:space="preserve">ALIMENTOS/FACT 34794-34779-34778-34792-3493/BENEFICIOS </t>
  </si>
  <si>
    <t>EL MIO CARRO/FACT 5235/COMPRA 2 CAUCHOS P/CAMIONEA FARELIZ</t>
  </si>
  <si>
    <t>TIMBRE DE PAPEL SELLADO</t>
  </si>
  <si>
    <t>CARLEN VIELMA/VACACIONES</t>
  </si>
  <si>
    <t>TIENDA DAKA/FACT 35328/MICROODAS P/CEMENTO</t>
  </si>
  <si>
    <t>EWID SILVA/FACT 136/SERV M/O REVISION LIZOF 72435/ISNTA INYECTORES-MINERALES-VOLVO</t>
  </si>
  <si>
    <t>RESGUARDO/FACT 253/2DA QUINC MINERALES</t>
  </si>
  <si>
    <t>DAZA, VICTOR/BONO SUBSIDIO 30-08-25/OPER</t>
  </si>
  <si>
    <t>RANGEL GUSTAVO/BONO SUBSIDIO 30-08-25/ADM</t>
  </si>
  <si>
    <t>SEGURA ,WAILEN/BONO SUBSIDIO 30-08-25/OPER</t>
  </si>
  <si>
    <t>REVERON, RAMON/BONO SUBSIDIO 30-08-25/OPER</t>
  </si>
  <si>
    <t>MARTINEZ JUAN/BONO SUBSIDIO 30-08-25/OPER</t>
  </si>
  <si>
    <t>GARCIA, JASON/BONO SUBSIDIO 30-08-25/OPER</t>
  </si>
  <si>
    <t>PEREZ, CARLOS/BONO SUBSIDIO 30-08-25/OPER</t>
  </si>
  <si>
    <t>VIELMA CARLEN/BONO SUBSIDIO 30-08-25/ADM</t>
  </si>
  <si>
    <t>LINAREZ, PEDRO/BONO SUBSIDIO 30-08-25/OPER</t>
  </si>
  <si>
    <t>GUTIERREZ, PRESCILIANO/BONO SUBSIDIO 30-08-25/OPER</t>
  </si>
  <si>
    <t>RAGA NELIDO/BONO SUBSIDIO 30-08-25/ADM</t>
  </si>
  <si>
    <t>SUAREZ, RAFAEL/BONO SUBSIDIO 30-08-25/OPER</t>
  </si>
  <si>
    <t>RIVERO, JORGE/BONO SUBSIDIO 30-08-25/OPER</t>
  </si>
  <si>
    <t>RODRIGUEZ, MIGUEL/BONO SUBSIDIO 30-08-25/OPER</t>
  </si>
  <si>
    <t>VETANCOURT, BLIXANDER/BONO SUBSIDIO 30-08-25/ADM</t>
  </si>
  <si>
    <t>LINAREZ, SANTIAGO/BONO SUBSIDIO 30-08-25/OPER</t>
  </si>
  <si>
    <t>BASTIDA, JOSE/BONO SUBSIDIO 30-08-25/OPER</t>
  </si>
  <si>
    <t>CHIRINOS, RAFAEL/BONO SUBSIDIO 30-08-25/OPER</t>
  </si>
  <si>
    <t>ALEJOS, RODOLFO/BONO SUBSIDIO 30-08-25/OPER</t>
  </si>
  <si>
    <t>JOSE ARRIETA/BONIF GOBERN 2DA QUINC</t>
  </si>
  <si>
    <t>GREGORIO CASTILLO/BONIF GOBERN 2DA QUINC</t>
  </si>
  <si>
    <t>ARMNADO VILLEGA/BONIF GOBERN 2DA QUINC</t>
  </si>
  <si>
    <t>PEREZ, JOSE ROLANDO/BONO COMPLE 30-08-25/OPER</t>
  </si>
  <si>
    <t>GUEDEZ,YIRMER/BONO COMPLE 30-08-25/OPER</t>
  </si>
  <si>
    <t>BASTIDA, JOSE/BONO COMPLE 30-08-25/OPER</t>
  </si>
  <si>
    <t>RANGEL GUSTAVO/BONO COMPLE 30-08-25/ADM</t>
  </si>
  <si>
    <t>SEGURA ,WAILEN/BONO COMPLE 30-08-25/OPER</t>
  </si>
  <si>
    <t>LOPEZ ,MANOLO/BONO COMPLE 30-08-25/OPER</t>
  </si>
  <si>
    <t>MARTINEZ JUAN/BONO COMPLE 30-08-25/OPER</t>
  </si>
  <si>
    <t>GARCIA, JASON/BONO COMPLE 30-08-25/OPER</t>
  </si>
  <si>
    <t>PEREZ, CARLOS/BONO COMPLE 30-08-25/OPER</t>
  </si>
  <si>
    <t>LINAREZ, PEDRO/BONO COMPLE 30-08-25/OPER</t>
  </si>
  <si>
    <t>ALVARADO, EDID/BONO COMPLE 30-08-25/OPER</t>
  </si>
  <si>
    <t>VIELMA CARLEN/BONO COMPLE 30-08-25/ADM</t>
  </si>
  <si>
    <t>GUEDEZ,JOSE/BONO COMPLE 30-08-25/OPER</t>
  </si>
  <si>
    <t>GUTIERREZ, PRESCILIANO/BONO COMPLE 30-08-25/OPER</t>
  </si>
  <si>
    <t>RAGA NELIDO/BONO COMPLE 30-08-25/OPER</t>
  </si>
  <si>
    <t>NOGUERA, OSCAR/BONO COMPLE 30-08-25/OPER</t>
  </si>
  <si>
    <t>GOMEZ,ARGENIS/BONO COMPLE 30-08-25/OPER</t>
  </si>
  <si>
    <t>PARADA,KEIBY/BONO COMPLE 30-08-25/OPER</t>
  </si>
  <si>
    <t>RIVERO, JORGE/BONO COMPLE 30-08-25/OPER</t>
  </si>
  <si>
    <t>SUAREZ, RAFAEL/BONO COMPLE 30-08-25/OPER</t>
  </si>
  <si>
    <t>RODRIGUEZ, MIGUEL/BONO COMPLE 30-08-25/OPER</t>
  </si>
  <si>
    <t>ALMAO,GENESIS/BONO COMPLE 30-08-25/ADM</t>
  </si>
  <si>
    <t>MENDOZA,ANTONY/BONO COMPLE 30-08-25/OPER</t>
  </si>
  <si>
    <t>SOTELDO, LUSMAR/BONO COMPLE 30-08-25/OPER</t>
  </si>
  <si>
    <t>RODRIGUEZ ANSONNY/BONO COMPLE 30-08-25/OPER</t>
  </si>
  <si>
    <t>ROJAS MARIA/BONO COMPLE 30-08-25/ADM</t>
  </si>
  <si>
    <t>QUERALES ,EDIXON/BONO COMPLE 30-08-25/OPER</t>
  </si>
  <si>
    <t>VETANCOURT, BLIXANDER/BONO COMPLE 30-08-25/OPER</t>
  </si>
  <si>
    <t>LINAREZ, SANTIAGO/BONO COMPLE 30-08-25/OPER</t>
  </si>
  <si>
    <t>DURAN, MARIA/BONO COMPLE 30-08-25/OPER</t>
  </si>
  <si>
    <t>CHIRINOS, RAFAEL/BONO COMPLE 30-08-25/OPER</t>
  </si>
  <si>
    <t>QUERALES, HERMES/BONO COMPLE 30-08-25/OPER</t>
  </si>
  <si>
    <t>ALEJOS, RODOLFO/BONO COMPLE 30-08-25/OPER</t>
  </si>
  <si>
    <t>REVERON, RAMON/BONO COMPLE 30-08-25/OPER</t>
  </si>
  <si>
    <t>RANGEL GUSTAVO/BONO ADICIONAL 30-08-25/ADM</t>
  </si>
  <si>
    <t>DAZA, VICTOR/BONO COMPLE 30-08-25/OPER</t>
  </si>
  <si>
    <t>VIELMA CARLEN/BONO ADICIONAL 30-08-25/ADM</t>
  </si>
  <si>
    <t>NOGUERA, OSCAR/CESTA TICKET AGOSTO/OPER</t>
  </si>
  <si>
    <t>RODRIGUEZ, MIGUEL/CESTA TICKET AGOSTO/OPER</t>
  </si>
  <si>
    <t>RANGEL GUSTAVO/CESTA TICKET AGOSTO/ADM</t>
  </si>
  <si>
    <t>GALEANO, FRANCISCO/CESTA TICKET AGOSTO/OPER</t>
  </si>
  <si>
    <t>GUEDEZ,YIRMER/CESTA TICKET AGOSTO/OPER</t>
  </si>
  <si>
    <t>REVERON, RAMON/CESTA TICKET AGOSTO/OPER</t>
  </si>
  <si>
    <t>PEREZ, JOSE ROLANDO/CESTA TICKET AGOSTO/OPER</t>
  </si>
  <si>
    <t>LOPEZ ,MANOLO/CESTA TICKET AGOSTO/ADM</t>
  </si>
  <si>
    <t>SEGURA ,WAILEN/CESTA TICKET AGOSTO/OPER</t>
  </si>
  <si>
    <t>MARTINEZ JUAN/CESTA TICKET AGOSTO/OPER</t>
  </si>
  <si>
    <t>GARCIA, JASON/CESTA TICKET AGOSTO/OPER</t>
  </si>
  <si>
    <t>PEREZ, CARLOS/CESTA TICKET AGOSTO/OPER</t>
  </si>
  <si>
    <t>ALVARADO, EDID/CESTA TICKET AGOSTO/OPER</t>
  </si>
  <si>
    <t>LINAREZ, PEDRO/CESTA TICKET AGOSTO/OPER</t>
  </si>
  <si>
    <t>GUTIERREZ, PRESCILIANO/CESTA TICKET AGOSTO/OPER</t>
  </si>
  <si>
    <t>VIELMA CARLEN/CESTA TICKET AGOSTO/ADM</t>
  </si>
  <si>
    <t>GUEDEZ,JOSE/CESTA TICKET AGOSTO/OPER</t>
  </si>
  <si>
    <t>RAGA NELIDO/CESTA TICKET AGOSTO/ADM</t>
  </si>
  <si>
    <t>NOGUERA, OSCAR/BONO ADICIONAL 30-08-25/OPER</t>
  </si>
  <si>
    <t>GOMEZ,ARGENIS/CESTA TICKET AGOSTO/OPER</t>
  </si>
  <si>
    <t>PARADA,KEIBY/CESTA TICKET AGOSTO/OPER</t>
  </si>
  <si>
    <t>SUAREZ, RAFAEL/CESTA TICKET AGOSTO/OPER</t>
  </si>
  <si>
    <t>RIVERO, JORGE/CESTA TICKET AGOSTO/OPER</t>
  </si>
  <si>
    <t>RODRIGUEZ, MIGUEL/BONO ADICIONAL 30-08-25/OPER</t>
  </si>
  <si>
    <t>RODRIGUEZ ANSONNY/CESTA TICKET AGOSTO/OPER</t>
  </si>
  <si>
    <t>SOTELDO, LUSMAR/CESTA TICKET AGOSTO/OPER</t>
  </si>
  <si>
    <t>MENDOZA,ANTONY/CESTA TICKET AGOSTO/OPER</t>
  </si>
  <si>
    <t>ALMAO,GENESIS/CESTA TICKET AGOSTO/ADM</t>
  </si>
  <si>
    <t>ROJAS MARIA/CESTA TICKET AGOSTO/OPER</t>
  </si>
  <si>
    <t>QUERALES ,EDIXON/CESTA TICKET AGOSTO/OPER</t>
  </si>
  <si>
    <t>VETANCOURT, BLIXANDER/CESTA TICKET AGOSTO/ADM</t>
  </si>
  <si>
    <t>DURAN, MARIA/CESTA TICKET AGOSTO/OPER</t>
  </si>
  <si>
    <t>QUERALES, HERMES/CESTA TICKET AGOSTO/OPER</t>
  </si>
  <si>
    <t>LINAREZ, SANTIAGO/CESTA TICKET AGOSTO/OPER</t>
  </si>
  <si>
    <t>BASTIDA, JOSE/CESTA TICKET AGOSTO/OPER</t>
  </si>
  <si>
    <t>CHIRINOS, RAFAEL/CESTA TICKET AGOSTO/OPER</t>
  </si>
  <si>
    <t>ALEJOS, RODOLFO/CESTA TICKET AGOSTO/OPER</t>
  </si>
  <si>
    <t>RANGEL GUSTAVO/NOMINA 30-08-25/ADM</t>
  </si>
  <si>
    <t>DAZA, VICTOR/CESTA TICKET AGOSTO/OPER</t>
  </si>
  <si>
    <t>GUEDEZ,YIRMER/NOMINA 30-08-25/OPER</t>
  </si>
  <si>
    <t>REVERON, RAMON/NOMINA 30-08-25/OPER</t>
  </si>
  <si>
    <t>PEREZ, JOSE ROLANDO/NOMINA 30-08-25/OPER</t>
  </si>
  <si>
    <t>DAZA, VICTOR/NOMINA 30-08-25/OPER</t>
  </si>
  <si>
    <t>GUEDEZ,JOSE/NOMINA 30-08-25/OPER</t>
  </si>
  <si>
    <t>LOPEZ ,MANOLO/NOMINA 30-08-25/ADM</t>
  </si>
  <si>
    <t>SEGURA ,WAILEN/NOMINA 30-08-25/OPER</t>
  </si>
  <si>
    <t>PEREZ, CARLOS/NOMINA 30-08-25/OPER</t>
  </si>
  <si>
    <t>RAGA NELIDO/NOMINA 30-08-25/ADM</t>
  </si>
  <si>
    <t>ALVARADO, EDID/NOMINA 30-08-25/OPER</t>
  </si>
  <si>
    <t>LINAREZ, PEDRO/NOMINA 30-08-25/OPER</t>
  </si>
  <si>
    <t>ROJAS MARIA/NOMINA 30-08-25/OPER</t>
  </si>
  <si>
    <t>GUTIERREZ, PRESCILIANO/NOMINA 30-08-25/OPER</t>
  </si>
  <si>
    <t>VIELMA CARLEN/NOMINA 30-08-25/ADM</t>
  </si>
  <si>
    <t>NOGUERA, OSCAR/NOMINA 30-08-25/OPER</t>
  </si>
  <si>
    <t>MARTINEZ JUAN/NOMINA 30-08-25/OPER</t>
  </si>
  <si>
    <t>GOMEZ,ARGENIS/NOMINA 30-08-25/OPER</t>
  </si>
  <si>
    <t>PARADA,KEIBY/NOMINA 30-08-25/OPER</t>
  </si>
  <si>
    <t>SUAREZ, RAFAEL/NOMINA 30-08-25/OPER</t>
  </si>
  <si>
    <t>RIVERO, JORGE/NOMINA 30-08-25/OPER</t>
  </si>
  <si>
    <t>RODRIGUEZ, MIGUEL/NOMINA 30-08-25/OPER</t>
  </si>
  <si>
    <t>RODRIGUEZ ANSONNY/NOMINA 30-08-25/OPER</t>
  </si>
  <si>
    <t>SOTELDO, LUSMAR/NOMINA 30-08-25/OPER</t>
  </si>
  <si>
    <t>MENDOZA,ANTONY/NOMINA 30-08-25/OPER</t>
  </si>
  <si>
    <t>GARCIA, JASON/NOMINA 30-08-25/OPER</t>
  </si>
  <si>
    <t>ALMAO,GENESIS/NOMINA 30-08-25/ADM</t>
  </si>
  <si>
    <t>QUERALES ,EDIXON/NOMINA 30-08-25/OPER</t>
  </si>
  <si>
    <t>VETANCOURT, BLIXANDER/NOMINA 30-08-25/ADM</t>
  </si>
  <si>
    <t>DURAN, MARIA/NOMINA 30-08-25/OPER</t>
  </si>
  <si>
    <t>QUERALES, HERMES/NOMINA 30-08-25/OPER</t>
  </si>
  <si>
    <t>LINAREZ, SANTIAGO/NOMINA 30-08-25/OPER</t>
  </si>
  <si>
    <t>BASTIDA, JOSE/NOMINA 30-08-25/OPER</t>
  </si>
  <si>
    <t>CHIRINOS, RAFAEL/NOMINA 30-08-25/OPER</t>
  </si>
  <si>
    <t>ALEJOS, RODOLFO/NOMINA 30-08-25/OPER</t>
  </si>
  <si>
    <t>12-290825</t>
  </si>
  <si>
    <t xml:space="preserve">FARELIZ/MTTO VEHICULOS GERENTE </t>
  </si>
  <si>
    <t>17-290825</t>
  </si>
  <si>
    <t>DANNY URRUTIA/CAMPAÑA D/YESO CALIZA  25/08 AL 29/08</t>
  </si>
  <si>
    <t>RAFAEL MORILLO/CAMPAÑA D/YESO CALIZA  25/08 AL 29/08</t>
  </si>
  <si>
    <t>LINO FLORES/CAMPAÑA D/YESO CALIZA  25/08 AL 29/08</t>
  </si>
  <si>
    <t>JEFERSON DAVILA/CAMPAÑA D/YESO CALIZA  25/08 AL 29/08</t>
  </si>
  <si>
    <t>ROBERT ARIAS/CAMPAÑA D/YESO CALIZA  25/08 AL 29/08</t>
  </si>
  <si>
    <t>RAFAEL QUIROGAS/CAMPAÑA D/YESO CALIZA  25/08 AL 29/08</t>
  </si>
  <si>
    <t>YOHAN GUANIPA/COMIDA-CAMPAÑA D/YESO CALIZA  25/08 AL 29/08</t>
  </si>
  <si>
    <t>13-290825</t>
  </si>
  <si>
    <t>OLGA OROZCO/HOSPEDAJE CAMPAÑA YESO-CALIZA 25/08 AL 29/08</t>
  </si>
  <si>
    <t>45-290825</t>
  </si>
  <si>
    <t>BEATRIZ CASTILLO/CAMPAÑA D/YESO CALIZA  25/08 AL 29/08</t>
  </si>
  <si>
    <t>INVERSIONES HAACK/FACT 117/VIAJE CEMENTO-MINERALES</t>
  </si>
  <si>
    <t>MANUEL HERNANDEZ/FACT10971/REPA ARRANQUE-MINERALES</t>
  </si>
  <si>
    <t>Federico Faneite/Eventual Gobernacion 25/08 AL 31/08</t>
  </si>
  <si>
    <t>Henrry Valera/Eventual Gobernacion 25/08 AL 31/08</t>
  </si>
  <si>
    <t>Delios Adolfo Ferrara/Eventual Agregados 25/08 AL 31/08</t>
  </si>
  <si>
    <t>Eliomar Jesús Escalona/Eventual Agregados 25/08 AL 31/08</t>
  </si>
  <si>
    <t>José Guillermo Cortez/Eventual Agregados 25/08 AL 31/08</t>
  </si>
  <si>
    <t>Darwuin Jesús Bullones/Eventual Agregados 25/08 AL 31/08</t>
  </si>
  <si>
    <t>Frank Armando García/Eventual Agregados 25/08 AL 31/08</t>
  </si>
  <si>
    <t>Alberto Luis Rojas/Eventual Agregados 25/08 AL 31/08</t>
  </si>
  <si>
    <t>Naiker Alexander Jimenez/Eventual Agregados 25/08 AL 31/08</t>
  </si>
  <si>
    <t>José Gregorio Perez/Eventual Agregados 25/08 AL 31/08</t>
  </si>
  <si>
    <t>Carlos Daniel Rodriguez/Eventual Agregados 25/08 AL 31/08</t>
  </si>
  <si>
    <t>Alejandro Morales/Eventual Agregados 25/08 AL 31/08</t>
  </si>
  <si>
    <t>Euber José Juarez/Eventual Agregados 25/08 AL 31/08</t>
  </si>
  <si>
    <t>Ali Alberto Bullones/Eventual Agregados 25/08 AL 31/08</t>
  </si>
  <si>
    <t>Alberto Ali Bullones/Eventual Agregados 25/08 AL 31/08</t>
  </si>
  <si>
    <t>Fernando José Rodriguez/Eventual Agregados 25/08 AL 31/08</t>
  </si>
  <si>
    <t>Brunito Segundo Cordero/Eventual Agregados 25/08 AL 31/08</t>
  </si>
  <si>
    <t>Justiniano Rodriguez/Eventual Agregados 25/08 AL 31/08</t>
  </si>
  <si>
    <t>Armando Lopez /Eventual Agregados 25/08 AL 31/08</t>
  </si>
  <si>
    <t>Fareliz Arrieche/Eventual Gobernacion 25/08 AL 31/08</t>
  </si>
  <si>
    <t>Froilan Lopez/Eventual Agregados 25/08 AL 31/08</t>
  </si>
  <si>
    <t>Ramón Quintero/Eventual Agregados 25/08 AL 31/08</t>
  </si>
  <si>
    <t>Alirio Parra/Eventual Gobernacion 25/08 AL 31/08</t>
  </si>
  <si>
    <t>Juan López/Eventual Agregados 25/08 AL 31/08</t>
  </si>
  <si>
    <t>Jesus Ramos/Eventual Gobernacion 25/08 AL 31/08</t>
  </si>
  <si>
    <t>Douglas Pimentel/Eventual Gobernacion 25/08 AL 31/08</t>
  </si>
  <si>
    <t>Pedro Castillo/Eventual Gobernacion 25/08 AL 31/08</t>
  </si>
  <si>
    <t>Miguel Torres/Eventual Gobernacion 25/08 AL 31/08</t>
  </si>
  <si>
    <t>Wendy Gimenez/Eventual Gobernacion 25/08 AL 31/08</t>
  </si>
  <si>
    <t>Nicolas Alvarez/Eventual Gobernacion 25/08 AL 31/08</t>
  </si>
  <si>
    <t>Rafael Puertas/Eventual Gobernacion 25/08 AL 31/08</t>
  </si>
  <si>
    <t>Exson Rodriguez/Eventual Gobernacion 25/08 AL 31/08</t>
  </si>
  <si>
    <t>Carlos Pacheco/Eventual Gobernacion 25/08 AL 31/08</t>
  </si>
  <si>
    <t>Andrés Armella/Eventual Gobernacion 25/08 AL 31/08</t>
  </si>
  <si>
    <t>Jose Toledo/Eventual Gobernacion 25/08 AL 31/08</t>
  </si>
  <si>
    <t>Juan Pinto/Eventual Gobernacion 25/08 AL 31/08</t>
  </si>
  <si>
    <t>Angel Caldera/Eventual Gobernacion 25/08 AL 31/08</t>
  </si>
  <si>
    <t>Edwin Rojas/Eventual Gobernacion 25/08 AL 31/08</t>
  </si>
  <si>
    <t>Carlos Lopez/Eventual Agregados 25/08 AL 31/08</t>
  </si>
  <si>
    <t>Bruno Ali Cordero Bullones/Eventual Agregados 25/08 AL 31/08</t>
  </si>
  <si>
    <t>Estebez Maramara/Eventual Agregados 25/08 AL 31/08</t>
  </si>
  <si>
    <t>Rafael Quiroz/Eventual Gobernacion 25/08 AL 31/08</t>
  </si>
  <si>
    <t>Luis Silveiro Colon Ojeda/Eventual Agregados 25/08 AL 31/08</t>
  </si>
  <si>
    <t>Argenis Flores/Eventual Megatech 25/08 AL 31/08</t>
  </si>
  <si>
    <t>Walner Oviedo/Eventual Megatech 25/08 AL 31/08</t>
  </si>
  <si>
    <t>Yonny Castillo/Eventual Megatech 25/08 AL 31/08</t>
  </si>
  <si>
    <t>Antonio Castillo/Eventual Megatech 25/08 AL 31/08</t>
  </si>
  <si>
    <t>Jose Guevara/Eventual Megatech 25/08 AL 31/08</t>
  </si>
  <si>
    <t>Jose Castillo/Eventual Megatech 25/08 AL 31/08</t>
  </si>
  <si>
    <t>Elvis Valles/Eventual Megatech 25/08 AL 31/08</t>
  </si>
  <si>
    <t>Francisco Castillo/Eventual Megatech 25/08 AL 31/08</t>
  </si>
  <si>
    <t>Omar Torrealba/Eventual Megatech 25/08 AL 31/08</t>
  </si>
  <si>
    <t>Carlos Castillo/Eventual Megatech 25/08 AL 31/08</t>
  </si>
  <si>
    <t>Julian Guedez/Eventual Megatech 25/08 AL 31/08</t>
  </si>
  <si>
    <t>Yordis Almao/Eventual Megatech 25/08 AL 31/08</t>
  </si>
  <si>
    <t>Victor Mendez/Eventual Megatech 25/08 AL 31/08</t>
  </si>
  <si>
    <t>Carlos Loyo/Eventual Megatech 25/08 AL 31/08</t>
  </si>
  <si>
    <t>Alberto Loyo/Eventual Megatech 25/08 AL 31/08</t>
  </si>
  <si>
    <t>Edwuard Almeida/Eventual Megatech 25/08 AL 31/08</t>
  </si>
  <si>
    <t>Yerry Rodríguez/Eventual Megatech 25/08 AL 31/08</t>
  </si>
  <si>
    <t>Fareliz Arrieche/Eventual Megatech 25/08 AL 31/08</t>
  </si>
  <si>
    <t>Elio Malpica/Eventual Megatech 25/08 AL 31/08</t>
  </si>
  <si>
    <t>Alirio Parra/Eventual Megatech 25/08 AL 31/08</t>
  </si>
  <si>
    <t>Ruben Rivas/Eventual Megatech 25/08 AL 31/08</t>
  </si>
  <si>
    <t>Norys Ramos/Eventual Megatech 25/08 AL 31/08</t>
  </si>
  <si>
    <t>Emperatriz Leon/Eventual Megatech 25/08 AL 31/08</t>
  </si>
  <si>
    <t>Fares Arrieche/Eventual Megatech 25/08 AL 31/08</t>
  </si>
  <si>
    <t>Alexander Castillo/Eventual Megatech 25/08 AL 31/08</t>
  </si>
  <si>
    <t>Ingrid Reyes/Eventual Megatech 25/08 AL 31/08</t>
  </si>
  <si>
    <t>AGROTENDENCIAS/FACT 86/VENTA CONCRETO PREMEZCLADO</t>
  </si>
  <si>
    <t>VENTA CONCRETO PREMEZCLADO</t>
  </si>
  <si>
    <t>AGROPECUARIA/FACT 85/VENTA DE GRANZON MT3</t>
  </si>
  <si>
    <t>VENTA DE GRANZON MT3</t>
  </si>
  <si>
    <t>TRANSPORTE TDC/FACT 87/VENTA MATERIALES</t>
  </si>
  <si>
    <t>VENTA MATERIALES</t>
  </si>
  <si>
    <t>INVERSIONES AB/FACT 39/ARENA-CANTO-GRANZO-RIPIO-PIEDRA GAVION-CEMENTO GRANEL</t>
  </si>
  <si>
    <t>INVERSIONES AB/FACT 84/VENTA DE MATERIALES</t>
  </si>
  <si>
    <t>VENTA DE MATERIALES</t>
  </si>
  <si>
    <t>MATERIALES SANTA LUCIA/FACT 5866/ CEMENTERA</t>
  </si>
  <si>
    <t>0120200002726</t>
  </si>
  <si>
    <t>0329274372372</t>
  </si>
  <si>
    <t>1.070.000,00</t>
  </si>
  <si>
    <t>0329276803001</t>
  </si>
  <si>
    <t>CSC CPP CUMAREBO/45SACO CEMENTO GRIS GRANEL P/MINERALES</t>
  </si>
  <si>
    <t>-1.056.796,00</t>
  </si>
  <si>
    <t>EN ESPERAR DE CREAR CUENTAS</t>
  </si>
  <si>
    <t>0676276803001</t>
  </si>
  <si>
    <t>-2.641,99</t>
  </si>
  <si>
    <t>0329205772772</t>
  </si>
  <si>
    <t>2.800.000,00</t>
  </si>
  <si>
    <t>0329216562005</t>
  </si>
  <si>
    <t>INVERGRAF/FACT 2705/TOPPER CUMLE COLAB</t>
  </si>
  <si>
    <t>-1.390,80</t>
  </si>
  <si>
    <t>0676216562005</t>
  </si>
  <si>
    <t>-3,47</t>
  </si>
  <si>
    <t>0676216559002</t>
  </si>
  <si>
    <t>-2.500,00</t>
  </si>
  <si>
    <t>0329216559002</t>
  </si>
  <si>
    <t>HENCARD/ADELANT FACT/SUMINISTRO FABRIC CELDAS SINCRONICO-CEMENTERA</t>
  </si>
  <si>
    <t>0676216557001</t>
  </si>
  <si>
    <t>0329216557001</t>
  </si>
  <si>
    <t>0676216560003</t>
  </si>
  <si>
    <t>0329216560003</t>
  </si>
  <si>
    <t>0676216561004</t>
  </si>
  <si>
    <t>-236,47</t>
  </si>
  <si>
    <t>0329216561004</t>
  </si>
  <si>
    <t>-94.589,62</t>
  </si>
  <si>
    <t>0828688636812</t>
  </si>
  <si>
    <t xml:space="preserve">BANAVIH/PERIODO JULIO 2025               </t>
  </si>
  <si>
    <t>-176,72</t>
  </si>
  <si>
    <t>03-040825</t>
  </si>
  <si>
    <t>0329247586586</t>
  </si>
  <si>
    <t>410.000,00</t>
  </si>
  <si>
    <t>0676248054001</t>
  </si>
  <si>
    <t>-12,67</t>
  </si>
  <si>
    <t>0329248054001</t>
  </si>
  <si>
    <t>VULCANIZADORA YARITAGUA/FACT 1668/REPAR CAUCHO VOLTEO-KAMAZ</t>
  </si>
  <si>
    <t>-5.071,69</t>
  </si>
  <si>
    <t>0676248055002</t>
  </si>
  <si>
    <t>-1.125,99</t>
  </si>
  <si>
    <t>0329248055002</t>
  </si>
  <si>
    <t>FERRE REMI/FACT 316/REQUER HINDU-CEMENTERA</t>
  </si>
  <si>
    <t>-450.399,32</t>
  </si>
  <si>
    <t>0329286794794</t>
  </si>
  <si>
    <t>900.000,00</t>
  </si>
  <si>
    <t>0329287246004</t>
  </si>
  <si>
    <t>PANAD TULIPAN/FACT 45782/ATENCION PROVEE CARBON</t>
  </si>
  <si>
    <t>-2.099,21</t>
  </si>
  <si>
    <t>0676287246004</t>
  </si>
  <si>
    <t>-5,24</t>
  </si>
  <si>
    <t>0676287243001</t>
  </si>
  <si>
    <t>-2.094,25</t>
  </si>
  <si>
    <t>EL PROVE REALIZO REINTEGRO 19/08/2025 SE CANCELO 909305,89BS DEMAS</t>
  </si>
  <si>
    <t>0329287243001</t>
  </si>
  <si>
    <t>MULTISERVICIOS GARQUIS/FACT54/BARANDAS-PLATAFORMA-ESCALERA SEGURIDAD TOLVAS CALIZA-P/CEMENTO</t>
  </si>
  <si>
    <t>-837.702,15</t>
  </si>
  <si>
    <t>0676287245003</t>
  </si>
  <si>
    <t>-38,47</t>
  </si>
  <si>
    <t>0329287245003</t>
  </si>
  <si>
    <t>OLGA OROZCO/HOSPEDAJE-CAMPAÑA YESO-CALIZA 28/07 AL 01/08</t>
  </si>
  <si>
    <t>45-060825</t>
  </si>
  <si>
    <t>0676287244002</t>
  </si>
  <si>
    <t>0329287244002</t>
  </si>
  <si>
    <t>ARIEDDY GARRIDO/FACT 43/ANALISIS INSTRUMENTAL</t>
  </si>
  <si>
    <t>0676287247005</t>
  </si>
  <si>
    <t>0329287247005</t>
  </si>
  <si>
    <t>MANGOCENTER/FACT 46075/RAMPLUG EXPANSIV P/FIJACION BANDEJA-PORTACABLE REGENERADORES</t>
  </si>
  <si>
    <t>0329271100100</t>
  </si>
  <si>
    <t>0676273083002</t>
  </si>
  <si>
    <t>0329273083002</t>
  </si>
  <si>
    <t>LUZBARDO/FACT 121/INSTALA ELECTRICA VENTILACION TUNELES/REFUERZ-TRITURACION MTRIA PRIMA</t>
  </si>
  <si>
    <t>0676273082001</t>
  </si>
  <si>
    <t>0329273082001</t>
  </si>
  <si>
    <t>0676295580002</t>
  </si>
  <si>
    <t>0329295580002</t>
  </si>
  <si>
    <t>MI BROWNIEN/FACT 3461/CAKE COLABORADORES</t>
  </si>
  <si>
    <t>0676295579001</t>
  </si>
  <si>
    <t>0329295579001</t>
  </si>
  <si>
    <t>MI BROWNIEN/FACT 3460/CAKE COLABORADORES</t>
  </si>
  <si>
    <t>0329288905905</t>
  </si>
  <si>
    <t>0329289509001</t>
  </si>
  <si>
    <t>RAFAEL MORILLO/CAMPAÑA D/YESO CALIZA  04/08 al 08/08</t>
  </si>
  <si>
    <t>0676289509001</t>
  </si>
  <si>
    <t>0329289513005</t>
  </si>
  <si>
    <t>JEFERSON DAVILA/CAMPAÑA D/YESO CALIZA  04/08 al 08/08</t>
  </si>
  <si>
    <t>0676289513005</t>
  </si>
  <si>
    <t>0329289521013</t>
  </si>
  <si>
    <t>R&amp;A CONSTRUCC/FACT 45/CERRAMIENTO LAMINA SILO-GALPON EMPAQUE</t>
  </si>
  <si>
    <t>0676289521013</t>
  </si>
  <si>
    <t>0329289517009</t>
  </si>
  <si>
    <t>YOHAN GUANIPA/COMIDA-CAMPAÑA D/YESO CALIZA  04/08 al 08/08</t>
  </si>
  <si>
    <t>13-080825</t>
  </si>
  <si>
    <t>0676289517009</t>
  </si>
  <si>
    <t>0329289512004</t>
  </si>
  <si>
    <t>ROBERT ARIAS/CAMPAÑA D/YESO CALIZA  04/08 al 08/08</t>
  </si>
  <si>
    <t>0676289512004</t>
  </si>
  <si>
    <t>0329289515007</t>
  </si>
  <si>
    <t>RAMON QUIROGAS/CAMPAÑA D/YESO CALIZA  04/08 al 08/08</t>
  </si>
  <si>
    <t>0676289515007</t>
  </si>
  <si>
    <t>0329289510002</t>
  </si>
  <si>
    <t>LINO FLORES/CAMPAÑA D/YESO CALIZA  04/08 al 08/08</t>
  </si>
  <si>
    <t>0676289510002</t>
  </si>
  <si>
    <t>0329289516008</t>
  </si>
  <si>
    <t>BEATRIZ CASTILLO/CAMPAÑA D/YESO CALIZA  04/08 al 08/08</t>
  </si>
  <si>
    <t>0676289516008</t>
  </si>
  <si>
    <t>0676289520012</t>
  </si>
  <si>
    <t>0329289520012</t>
  </si>
  <si>
    <t>LISO/FACT 627/CONFEC INSTAL ESTRUCTURA METALICA CERRAMIENT</t>
  </si>
  <si>
    <t>0676289511003</t>
  </si>
  <si>
    <t>0329289511003</t>
  </si>
  <si>
    <t>DANNY URRUTIA/CAMPAÑA D/YESO CALIZA  04/08 al 08/08</t>
  </si>
  <si>
    <t>0676289514006</t>
  </si>
  <si>
    <t>0329289514006</t>
  </si>
  <si>
    <t>RAFAEL QUIROZ/CAMPAÑA D/YESO CALIZA  04/08 al 08/08-OPERADOR</t>
  </si>
  <si>
    <t>0676289518010</t>
  </si>
  <si>
    <t>0329289518010</t>
  </si>
  <si>
    <t>OLGA OROZCO/HOSPEDAJE-CAMPAÑA D/YESO CALIZA  04/08 al 08/08</t>
  </si>
  <si>
    <t>45-080825</t>
  </si>
  <si>
    <t>0676289522014</t>
  </si>
  <si>
    <t>0329289522014</t>
  </si>
  <si>
    <t>RESPUESTO VALENZUELA/FACT2369/CORREA UNICA RETROEXCAVADORA CEMENTERA</t>
  </si>
  <si>
    <t>0676289519011</t>
  </si>
  <si>
    <t>0329289519011</t>
  </si>
  <si>
    <t>12-080825</t>
  </si>
  <si>
    <t>0429632337191</t>
  </si>
  <si>
    <t>INVER TRANSPORTE/FACT A-08/REINTEGRO</t>
  </si>
  <si>
    <t>REINTEGRO FACT A-08</t>
  </si>
  <si>
    <t>0590540859984</t>
  </si>
  <si>
    <t>GANDOLA CEMENTO/SR ISRAEL</t>
  </si>
  <si>
    <t>EN ESPERA DE PREGUNTAR SOBRE LA CUENTA</t>
  </si>
  <si>
    <t>0100701230879</t>
  </si>
  <si>
    <t xml:space="preserve">IVSS/PERIODO JULIO 2025             </t>
  </si>
  <si>
    <t>03-110825</t>
  </si>
  <si>
    <t>0329263622622</t>
  </si>
  <si>
    <t>0676200713003</t>
  </si>
  <si>
    <t>0329200713003</t>
  </si>
  <si>
    <t>RODA MANGUERA/FACT 2476/SUMINISTRO MANGUERA P/BOMBEADORA DE CEMENTO</t>
  </si>
  <si>
    <t>0676200714001</t>
  </si>
  <si>
    <t>0329200714001</t>
  </si>
  <si>
    <t>MATERIALES SANTA LUCIA/FACT5772/CABILLAS ESTRIADA (TRITURACION PRIMARIA MURO MC-1)</t>
  </si>
  <si>
    <t>0676200711001</t>
  </si>
  <si>
    <t>0329200711001</t>
  </si>
  <si>
    <t>0676200715001</t>
  </si>
  <si>
    <t>0329200715001</t>
  </si>
  <si>
    <t>0676200712002</t>
  </si>
  <si>
    <t>0329200712002</t>
  </si>
  <si>
    <t>FERRETERIA CASA RECORD/FACT 16917/MANGUERA Y ABRAZADERA P/SISTEMA COMBUSTIBLE GENERADORES</t>
  </si>
  <si>
    <t>0329279908908</t>
  </si>
  <si>
    <t>0329282561002</t>
  </si>
  <si>
    <t>REPUEST LOS CAMACAROS/FACT 5915/INVER MINERALES-SILVERADO</t>
  </si>
  <si>
    <t>0676282561002</t>
  </si>
  <si>
    <t>0676282564001</t>
  </si>
  <si>
    <t>0329282564001</t>
  </si>
  <si>
    <t>DURANGO/ADELANT FACT/BOBINA MINIMA TENSION-P/CEMENTO</t>
  </si>
  <si>
    <t>0676282566001</t>
  </si>
  <si>
    <t>0329282566001</t>
  </si>
  <si>
    <t>SVF/FACT 6044/UNIDAD INTERRUPTOR ABB-CEMENTERA</t>
  </si>
  <si>
    <t>0676282563001</t>
  </si>
  <si>
    <t>0329282563001</t>
  </si>
  <si>
    <t>ARIEDDY GARRIDO/FACT 43/ANALISIS INSTRUMENTRAL</t>
  </si>
  <si>
    <t>0676282565006</t>
  </si>
  <si>
    <t>0329282565006</t>
  </si>
  <si>
    <t>INVER HAACK/FACT 113/VIAJE CEMENTO-MINERALES</t>
  </si>
  <si>
    <t>0676282560001</t>
  </si>
  <si>
    <t>0329282560001</t>
  </si>
  <si>
    <t>0676282562003</t>
  </si>
  <si>
    <t>0329282562003</t>
  </si>
  <si>
    <t>TRACTOR AUTO/FACT7839/BORNES P/3CAMIONES KAMAZ-INYECTORES P/VOLVO-MINERALES</t>
  </si>
  <si>
    <t>0329286844844</t>
  </si>
  <si>
    <t>0329287443443</t>
  </si>
  <si>
    <t>INVECEM/COMPRA 45 SACOS CEMENTO-34TN CEMEN GRIS-GRANEL-MINERALES</t>
  </si>
  <si>
    <t>EN ESPERA P/DEFINIR CUENTA</t>
  </si>
  <si>
    <t>45 SACOS CEMENTO GRIS ENSACADO x PALETA -34 TONELADASCEMENTO GRIS A GRANEL x GANDOLA - carga de cemento para planta de minerales chivacoa</t>
  </si>
  <si>
    <t>0676287443443</t>
  </si>
  <si>
    <t>0329299879879</t>
  </si>
  <si>
    <t>0676210311006</t>
  </si>
  <si>
    <t>0329210311006</t>
  </si>
  <si>
    <t>JEFERSON DAVILA/CAMPAÑA D/YESO CALIZA  11/08 AL 15/08</t>
  </si>
  <si>
    <t>0676210324013</t>
  </si>
  <si>
    <t>0329210324013</t>
  </si>
  <si>
    <t>OLGA OROZCO/HOSPEDAJE-CAMPAÑA D/YESO CALIZA  11/08 AL 15/08</t>
  </si>
  <si>
    <t>45-150825</t>
  </si>
  <si>
    <t>0329210303002</t>
  </si>
  <si>
    <t>LINO FLORES/CAMPAÑA D/YESO CALIZA  11/08 AL 15/08</t>
  </si>
  <si>
    <t>0676210303002</t>
  </si>
  <si>
    <t>0329210321011</t>
  </si>
  <si>
    <t>0676210321011</t>
  </si>
  <si>
    <t>0329210308001</t>
  </si>
  <si>
    <t>ROBERT ARIAS/CAMPAÑA D/YESO CALIZA  11/08 AL 15/08</t>
  </si>
  <si>
    <t>0676210308001</t>
  </si>
  <si>
    <t>0329210329015</t>
  </si>
  <si>
    <t>RAMON QUIROGAS/CAMPAÑA D/YESO CALIZA  11/08 AL 15/08</t>
  </si>
  <si>
    <t>0676210329015</t>
  </si>
  <si>
    <t>0329210306001</t>
  </si>
  <si>
    <t>BEATRIZ CASTILLO/CAMPAÑA D/YESO CALIZA  11/08 AL 15/08</t>
  </si>
  <si>
    <t>0676210306001</t>
  </si>
  <si>
    <t>0329210316009</t>
  </si>
  <si>
    <t>YOHAN GUANIPA/COMIDA-CAMPAÑA D/YESO CALIZA  11/08 AL 15/08</t>
  </si>
  <si>
    <t>13-150825</t>
  </si>
  <si>
    <t>0676210316009</t>
  </si>
  <si>
    <t>0676210323012</t>
  </si>
  <si>
    <t>0329210323012</t>
  </si>
  <si>
    <t>0329210314007</t>
  </si>
  <si>
    <t>RAFAEL QUIROZ/CAMPAÑA D/YESO CALIZA  11/08 AL 15/08-OPERADOR</t>
  </si>
  <si>
    <t>0676210314007</t>
  </si>
  <si>
    <t>0329210301001</t>
  </si>
  <si>
    <t>RAFAEL MORILLO/CAMPAÑA D/YESO CALIZA  11/08 AL 15/08</t>
  </si>
  <si>
    <t>0676210301001</t>
  </si>
  <si>
    <t>0329210313001</t>
  </si>
  <si>
    <t>HONORARIOS PROFESIONALES/FABR SINELEC P/CEMENTO</t>
  </si>
  <si>
    <t>SERVA007E</t>
  </si>
  <si>
    <t>38-150825</t>
  </si>
  <si>
    <t>0676210313001</t>
  </si>
  <si>
    <t>0676210318010</t>
  </si>
  <si>
    <t>0329210318010</t>
  </si>
  <si>
    <t>12-150825</t>
  </si>
  <si>
    <t>0676210305003</t>
  </si>
  <si>
    <t>0329210305003</t>
  </si>
  <si>
    <t>DANNY URRUTIA/CAMPAÑA D/YESO CALIZA  11/08 AL 15/08</t>
  </si>
  <si>
    <t>0676210326014</t>
  </si>
  <si>
    <t>0329210326014</t>
  </si>
  <si>
    <t>REPOSICION DE CAJA CHICA-</t>
  </si>
  <si>
    <t>0329277430430</t>
  </si>
  <si>
    <t>0676277536002</t>
  </si>
  <si>
    <t>0329277536002</t>
  </si>
  <si>
    <t>0676277535001</t>
  </si>
  <si>
    <t>0329277535001</t>
  </si>
  <si>
    <t>0429685299168</t>
  </si>
  <si>
    <t>MULTISERVICIOS GARQUIS/FACT54/REINTEGRO DE CANCELO DEMAS</t>
  </si>
  <si>
    <t xml:space="preserve">REINTEGRO/COMPRAS ERROR </t>
  </si>
  <si>
    <t>0329224415415</t>
  </si>
  <si>
    <t>0676225119001</t>
  </si>
  <si>
    <t>0329225119001</t>
  </si>
  <si>
    <t>DM ASEIN/FACT 17/TANQUE P/SEDE MINERALES</t>
  </si>
  <si>
    <t>ADQUISION DE MAQUINARIAS</t>
  </si>
  <si>
    <t>0676225122004</t>
  </si>
  <si>
    <t>0329225122004</t>
  </si>
  <si>
    <t>FERRENOVA/FACT 2023/TUBERIA P/ TANQUE GASOIL-MINERALES</t>
  </si>
  <si>
    <t>0676225120002</t>
  </si>
  <si>
    <t>0329225120002</t>
  </si>
  <si>
    <t>0676225123005</t>
  </si>
  <si>
    <t>0329225123005</t>
  </si>
  <si>
    <t>MI TIENDA VENEZUELA/FACT 1816/INV PINTURA CERCA PERIMETRAL</t>
  </si>
  <si>
    <t>0676225124006</t>
  </si>
  <si>
    <t>0329225124006</t>
  </si>
  <si>
    <t>MATERIALES PARRA/FACT 776/MATERIALES P/BARANDA-ESCALERA-PLATAFORMA D/SEGURIDAD CEMENTO</t>
  </si>
  <si>
    <t>0676225121003</t>
  </si>
  <si>
    <t>0329225121003</t>
  </si>
  <si>
    <t>DIGASMALAR/FACT 56819/OXIGENOS P/EQUIPOS OXICORTES-TRABAJ FABRI-ENSAMBLE-FARELIZ</t>
  </si>
  <si>
    <t>0598122728240</t>
  </si>
  <si>
    <t xml:space="preserve">SAPI/MARCA MINERALES-DERECHO+FORMULARIO        </t>
  </si>
  <si>
    <t>08-190825</t>
  </si>
  <si>
    <t>9884819082025</t>
  </si>
  <si>
    <t>0766885390227</t>
  </si>
  <si>
    <t>REINTEGRO/ERROR COMPRAS</t>
  </si>
  <si>
    <t>0766885390800</t>
  </si>
  <si>
    <t>0766885400970</t>
  </si>
  <si>
    <t>MULTISERVICIOS GARQUIS/FACT54/REINTEGRO-SE CANCELO DEMAS</t>
  </si>
  <si>
    <t>0329225970970</t>
  </si>
  <si>
    <t xml:space="preserve"> COMERCIALIZADORA/INVERSION DE CAPITAL/VZLA</t>
  </si>
  <si>
    <t>0676226072003</t>
  </si>
  <si>
    <t>0329226072003</t>
  </si>
  <si>
    <t>JOSE CASTRO/FACT 82/ACTIVACION REMOTA SOFWARE P/CEMENTO</t>
  </si>
  <si>
    <t>0676226071002</t>
  </si>
  <si>
    <t>0329226071002</t>
  </si>
  <si>
    <t>EL MIO CARRO/FACT 5234/CAICHOS P/VOLVO-COMPRESOR AIRE-CISTERNA</t>
  </si>
  <si>
    <t>0676226070001</t>
  </si>
  <si>
    <t>0329226070001</t>
  </si>
  <si>
    <t>0329288395395</t>
  </si>
  <si>
    <t>0676289488001</t>
  </si>
  <si>
    <t>0329289488001</t>
  </si>
  <si>
    <t>HENCARD CONSTRUCCIONES/ADELANT FACT/SUMINSTR FABR CELDA</t>
  </si>
  <si>
    <t>0676289490003</t>
  </si>
  <si>
    <t>0329289490003</t>
  </si>
  <si>
    <t>AMERICA TORNILLO/FACT 10973/FIJACION  PDESTAL Nº8 P/ESTRUCTURA</t>
  </si>
  <si>
    <t>0676289491001</t>
  </si>
  <si>
    <t>0329289491001</t>
  </si>
  <si>
    <t>TRACTO AUTO/FACT 7861/REPUEST P/EQUIP CARGADOIR FRONTAL MINERALES</t>
  </si>
  <si>
    <t>0676289489002</t>
  </si>
  <si>
    <t>0329289489002</t>
  </si>
  <si>
    <t>0329268708708</t>
  </si>
  <si>
    <t>0329269205004</t>
  </si>
  <si>
    <t>RAFAEL MORILLO/CAMPAÑA D/YESO CALIZA  18/08 AL 22/08</t>
  </si>
  <si>
    <t>0676269205004</t>
  </si>
  <si>
    <t>0676269207006</t>
  </si>
  <si>
    <t>0329269206005</t>
  </si>
  <si>
    <t>LINO FLORES/CAMPAÑA D/YESO CALIZA  18/08 AL 22/08</t>
  </si>
  <si>
    <t>0676269206005</t>
  </si>
  <si>
    <t>0329269211010</t>
  </si>
  <si>
    <t>JEFERSON DAVILA/CAMPAÑA D/YESO CALIZA  18/08 AL 22/08</t>
  </si>
  <si>
    <t>0676269211010</t>
  </si>
  <si>
    <t>0329269207006</t>
  </si>
  <si>
    <t>DANNY URRUTIA/CAMPAÑA D/YESO CALIZA  18/08 AL 22/08</t>
  </si>
  <si>
    <t>0676269217016</t>
  </si>
  <si>
    <t>0329269217016</t>
  </si>
  <si>
    <t>INVER GRAL SERVIC/FACT 359/RESGUARDO MAQUINA CERCA DEL SAQUE GRANZO-ING MIGUEL</t>
  </si>
  <si>
    <t>0329269209008</t>
  </si>
  <si>
    <t>ROBERT ARIAS/CAMPAÑA D/YESO CALIZA  18/08 AL 22/08</t>
  </si>
  <si>
    <t>0676269209008</t>
  </si>
  <si>
    <t>0329269212011</t>
  </si>
  <si>
    <t>YOHAN GUANIPA/COMIDA-CAMPAÑA D/YESO CALIZA  18/08 AL 22/08</t>
  </si>
  <si>
    <t>13-220825</t>
  </si>
  <si>
    <t>0676269212011</t>
  </si>
  <si>
    <t>0329269214013</t>
  </si>
  <si>
    <t>TORO GALLO/FACT 12281/COMPRA HIELO</t>
  </si>
  <si>
    <t>0676269214013</t>
  </si>
  <si>
    <t>0329269208007</t>
  </si>
  <si>
    <t>BEATRIZ CASTILLO/CAMPAÑA D/YESO CALIZA  18/08 AL 22/08</t>
  </si>
  <si>
    <t>0676269208007</t>
  </si>
  <si>
    <t>0329269210009</t>
  </si>
  <si>
    <t>RAFAEL QUIROZ/CAMPAÑA D/YESO CALIZA  18/08 AL 22/08-OPERADOR</t>
  </si>
  <si>
    <t>0676269210009</t>
  </si>
  <si>
    <t>0676269204003</t>
  </si>
  <si>
    <t>0329269204003</t>
  </si>
  <si>
    <t>OLGA OROZCO/HOSPEDAJE-CAMPAÑA D/YESO CALIZA  18/08 AL 22/08</t>
  </si>
  <si>
    <t>45-220825</t>
  </si>
  <si>
    <t>0676269202001</t>
  </si>
  <si>
    <t>0329269202001</t>
  </si>
  <si>
    <t>0676269215014</t>
  </si>
  <si>
    <t>0329269215014</t>
  </si>
  <si>
    <t>DISTRIBUIDOR DIAR/FACT 834/ACEITE P/TRACTOR-EXCAVADOR P/CEMENTO</t>
  </si>
  <si>
    <t>0676269216015</t>
  </si>
  <si>
    <t>0329269216015</t>
  </si>
  <si>
    <t>JULIO IGLESIA/FACT 514/REPUEST CAMIONETA SILVERADO</t>
  </si>
  <si>
    <t>0676269203002</t>
  </si>
  <si>
    <t>0329269203002</t>
  </si>
  <si>
    <t>0676269213012</t>
  </si>
  <si>
    <t>0329269213012</t>
  </si>
  <si>
    <t>12-220825</t>
  </si>
  <si>
    <t>0329230754754</t>
  </si>
  <si>
    <t>0329238035002</t>
  </si>
  <si>
    <t xml:space="preserve">RYA/FACT 60/CERRAMIENTO LAMINAS/MOLINO  CRUDO </t>
  </si>
  <si>
    <t>0676238035002</t>
  </si>
  <si>
    <t>0676238036003</t>
  </si>
  <si>
    <t>0329238036003</t>
  </si>
  <si>
    <t xml:space="preserve">GLOBAL ACERO/FACT 0079/INV P/ARRIOSTRAMIENTO ESTRUCTURA-TRANSPORTADORA </t>
  </si>
  <si>
    <t>0676238034001</t>
  </si>
  <si>
    <t>0329238034001</t>
  </si>
  <si>
    <t>AMPLIACIONES/FACT 6863/SERV GRUA TELESCOPICA-TANQUE GASOIL</t>
  </si>
  <si>
    <t>0329202852852</t>
  </si>
  <si>
    <t>0329222246246</t>
  </si>
  <si>
    <t>0676223888001</t>
  </si>
  <si>
    <t>0329223888001</t>
  </si>
  <si>
    <t>TRANSPORTE NJG/FACT 989/JABON-BOLSA BASURA P/ORDEN LIMPIEZA P/CEMENTO</t>
  </si>
  <si>
    <t>0676223886003</t>
  </si>
  <si>
    <t>0329223886003</t>
  </si>
  <si>
    <t xml:space="preserve">SUMINISTROS INDUSTR/FACT 114-113/INSTA ELECTRICA-MINERALES </t>
  </si>
  <si>
    <t>0676223885002</t>
  </si>
  <si>
    <t>0329223885002</t>
  </si>
  <si>
    <t>GLOBAL ACERO/FACT 80/ARRIOSTRAMIENTOS EESTRUCTURA P/CERRAMIENTO BANDAS</t>
  </si>
  <si>
    <t>0676223887001</t>
  </si>
  <si>
    <t>0329223887001</t>
  </si>
  <si>
    <t>SUMINISTRO INDUSTRIALES/FACT 115/INSTALACION ELECTRICA-MINERALES YARACUY</t>
  </si>
  <si>
    <t>0676223889006</t>
  </si>
  <si>
    <t>0329223889006</t>
  </si>
  <si>
    <t xml:space="preserve">ELIGIO GONZALEZ/FACT 260/ANALISIS MUETRA YESO-YACIMIENTO PERMUTE </t>
  </si>
  <si>
    <t>0329223884001</t>
  </si>
  <si>
    <t>HONORARIOS PROFESIONALES/CORRESP INSPECCION SINELEC-ELEVADOR-P/CEMENTO</t>
  </si>
  <si>
    <t>38-270825</t>
  </si>
  <si>
    <t>0676223884001</t>
  </si>
  <si>
    <t>-7,21</t>
  </si>
  <si>
    <t>0329274645645</t>
  </si>
  <si>
    <t>250.000,00</t>
  </si>
  <si>
    <t>0676275847001</t>
  </si>
  <si>
    <t>-274,73</t>
  </si>
  <si>
    <t>0329275847001</t>
  </si>
  <si>
    <t>GLOBAL ACERO/FACT 82/ARRIOSTRAMIENTO ESTRUCTURA P/CERRAMIENTO  BANDAS TRANSPORTADORA</t>
  </si>
  <si>
    <t>-109.895,50</t>
  </si>
  <si>
    <t>PROCESAD EN SEPTIEMBRE</t>
  </si>
  <si>
    <t>0676275848002</t>
  </si>
  <si>
    <t>-194,43</t>
  </si>
  <si>
    <t>0329275848002</t>
  </si>
  <si>
    <t>GLOBAL ACERO/FACT 81/ARRIOSTRAMIENTO ESTRUCTURA P/CERRAMIENTO  BANDAS TRANSPORTADORA</t>
  </si>
  <si>
    <t>-77.772,20</t>
  </si>
  <si>
    <t>0676275849003</t>
  </si>
  <si>
    <t>-131,25</t>
  </si>
  <si>
    <t>0329275849003</t>
  </si>
  <si>
    <t>HANLEY/FACT 0717/BATERIA CICLO PROFUNDO-MINERALES</t>
  </si>
  <si>
    <t>-52.501,60</t>
  </si>
  <si>
    <t>0676208742001</t>
  </si>
  <si>
    <t>-37,19</t>
  </si>
  <si>
    <t>0329208742001</t>
  </si>
  <si>
    <t xml:space="preserve">DISTRIBUIDORA DIAR/FACT 0833/EQUIPO CAMPO EXCAVADORA/TRACTOR </t>
  </si>
  <si>
    <t>-14.877,00</t>
  </si>
  <si>
    <t>MANUEL HERNANDEZ/FACT 10971/DIF RETENCION</t>
  </si>
  <si>
    <t>INVERSIONES LASKOWKI/FACT 2728/SERV COMPRESOR (ALQUILER) DESCARG CEMENTO-MINERALES</t>
  </si>
  <si>
    <t>ACOMULADORES YEPE/FACT 577/MTTO BATERIA JUMBO</t>
  </si>
  <si>
    <t>04-300925</t>
  </si>
  <si>
    <t>GLOBAL ACERO/FACT 77/VIGAS DE CARGAS/CERRAMIENTOS BANDAS TRANSPORTADORA P/CEMENTO</t>
  </si>
  <si>
    <t>AGREGADOS/TRASPAO/VZLA</t>
  </si>
  <si>
    <t>Federico Faneite/Eventual Gobernacion 01/09 AL 07/09</t>
  </si>
  <si>
    <t>Delios Adolfo Ferrara/Eventual Agregados 01/09 AL 07/09</t>
  </si>
  <si>
    <t>Eliomar Jesús Escalona/Eventual Agregados 01/09 AL 07/09</t>
  </si>
  <si>
    <t>José Guillermo Cortez/Eventual Agregados 01/09 AL 07/09</t>
  </si>
  <si>
    <t>Darwuin Jesús Bullones/Eventual Agregados 01/09 AL 07/09</t>
  </si>
  <si>
    <t>Frank Armando García/Eventual Agregados 01/09 AL 07/09</t>
  </si>
  <si>
    <t>Alberto Luis Rojas/Eventual Agregados 01/09 AL 07/09</t>
  </si>
  <si>
    <t>Naiker Alexander Jimenez/Eventual Agregados 01/09 AL 07/09</t>
  </si>
  <si>
    <t>José Gregorio Perez/Eventual Agregados 01/09 AL 07/09</t>
  </si>
  <si>
    <t>Carlos Daniel Rodriguez/Eventual Agregados 01/09 AL 07/09</t>
  </si>
  <si>
    <t>Alejandro Morales/Eventual Agregados 01/09 AL 07/09</t>
  </si>
  <si>
    <t>Euber José Juarez/Eventual Agregados 01/09 AL 07/09</t>
  </si>
  <si>
    <t>Ali Alberto Bullones/Eventual Agregados 01/09 AL 07/09</t>
  </si>
  <si>
    <t>Alberto Ali Bullones/Eventual Agregados 01/09 AL 07/09</t>
  </si>
  <si>
    <t>Fernando José Rodriguez/Eventual Agregados 01/09 AL 07/09</t>
  </si>
  <si>
    <t>Brunito Segundo Cordero/Eventual Agregados 01/09 AL 07/09</t>
  </si>
  <si>
    <t>Justiniano Rodriguez/Eventual Agregados 01/09 AL 07/09</t>
  </si>
  <si>
    <t>Armando Lopez /Eventual Agregados 01/09 AL 07/09</t>
  </si>
  <si>
    <t>Froilan Lopez/Eventual Agregados 01/09 AL 07/09</t>
  </si>
  <si>
    <t>Fareliz Arrieche/Eventual Gobernacion 01/09 AL 07/09</t>
  </si>
  <si>
    <t>Bruno Ali Cordero Bullones/Eventual Agregados 01/09 AL 07/09</t>
  </si>
  <si>
    <t>Ramón Quintero/Eventual Agregados 01/09 AL 07/09</t>
  </si>
  <si>
    <t>Henrry Valera/Eventual Gobernacion 01/09 AL 07/09</t>
  </si>
  <si>
    <t>Juan López/Eventual Agregados 01/09 AL 07/09</t>
  </si>
  <si>
    <t>Exson Rodriguez/Eventual Gobernacion 01/09 AL 07/09</t>
  </si>
  <si>
    <t>Douglas Pimentel/Eventual Gobernacion 01/09 AL 07/09</t>
  </si>
  <si>
    <t>Pedro Castillo/Eventual Gobernacion 01/09 AL 07/09</t>
  </si>
  <si>
    <t>Jesus Ramos/Eventual Gobernacion 01/09 AL 07/09</t>
  </si>
  <si>
    <t>Nicolas Alvarez/Eventual Gobernacion 01/09 AL 07/09</t>
  </si>
  <si>
    <t>Miguel Torres/Eventual Gobernacion 01/09 AL 07/09</t>
  </si>
  <si>
    <t>Wendy Gimenez/Eventual Gobernacion 01/09 AL 07/09</t>
  </si>
  <si>
    <t>Rafael Puertas/Eventual Gobernacion 01/09 AL 07/09</t>
  </si>
  <si>
    <t>Carlos Pacheco/Eventual Gobernacion 01/09 AL 07/09</t>
  </si>
  <si>
    <t>Andrés Armella/Eventual Gobernacion 01/09 AL 07/09</t>
  </si>
  <si>
    <t>Jose Toledo/Eventual Gobernacion 01/09 AL 07/09</t>
  </si>
  <si>
    <t>Juan Pinto/Eventual Gobernacion 01/09 AL 07/09</t>
  </si>
  <si>
    <t>Alirio Parra/Eventual Gobernacion 01/09 AL 07/09</t>
  </si>
  <si>
    <t>Edwin Rojas/Eventual Gobernacion 01/09 AL 07/09</t>
  </si>
  <si>
    <t>Rafael Quiroz/Eventual Gobernacion 01/09 AL 07/09</t>
  </si>
  <si>
    <t>Angel Caldera/Eventual Gobernacion 01/09 AL 07/09</t>
  </si>
  <si>
    <t>Carlos Lopez/Eventual Agregados 01/09 AL 07/09</t>
  </si>
  <si>
    <t>Estebez Maramara/Eventual Agregados 01/09 AL 07/09</t>
  </si>
  <si>
    <t>Luis Silveiro Colon Ojeda/Eventual Agregados 01/09 AL 07/09</t>
  </si>
  <si>
    <t>Walner Oviedo/Eventual Megatech 01/09 AL 07/09</t>
  </si>
  <si>
    <t>Argenis Flores/Eventual Megatech 01/09 AL 07/09</t>
  </si>
  <si>
    <t>Yonny Castillo/Eventual Megatech 01/09 AL 07/09</t>
  </si>
  <si>
    <t>Antonio Castillo/Eventual Megatech 01/09 AL 07/09</t>
  </si>
  <si>
    <t>Francisco Castillo/Eventual Megatech 01/09 AL 07/09</t>
  </si>
  <si>
    <t>Jose Guevara/Eventual Megatech 01/09 AL 07/09</t>
  </si>
  <si>
    <t>Jose Castillo/Eventual Megatech 01/09 AL 07/09</t>
  </si>
  <si>
    <t>Elvis Valles/Eventual Megatech 01/09 AL 07/09</t>
  </si>
  <si>
    <t>Omar Torrealba/Eventual Megatech 01/09 AL 07/09</t>
  </si>
  <si>
    <t>Carlos Castillo/Eventual Megatech 01/09 AL 07/09</t>
  </si>
  <si>
    <t>Julian Guedez/Eventual Megatech 01/09 AL 07/09</t>
  </si>
  <si>
    <t>Yordis Almao/Eventual Megatech 01/09 AL 07/09</t>
  </si>
  <si>
    <t>Victor Mendez/Eventual Megatech 01/09 AL 07/09</t>
  </si>
  <si>
    <t>Carlos Loyo/Eventual Megatech 01/09 AL 07/09</t>
  </si>
  <si>
    <t>Alberto Loyo/Eventual Megatech 01/09 AL 07/09</t>
  </si>
  <si>
    <t>Edwuard Almeida/Eventual Megatech 01/09 AL 07/09</t>
  </si>
  <si>
    <t>Yerry Rodríguez/Eventual Megatech 01/09 AL 07/09</t>
  </si>
  <si>
    <t>Elio Malpica/Eventual Megatech 01/09 AL 07/09</t>
  </si>
  <si>
    <t>Alirio Parra/Eventual Megatech 01/09 AL 07/09</t>
  </si>
  <si>
    <t>Ruben Rivas/Eventual Megatech 01/09 AL 07/09</t>
  </si>
  <si>
    <t>Fares Arrieche/Eventual Megatech 01/09 AL 07/09</t>
  </si>
  <si>
    <t>Norys Ramos/Eventual Megatech 01/09 AL 07/09</t>
  </si>
  <si>
    <t>Emperatriz Leon/Eventual Megatech 01/09 AL 07/09</t>
  </si>
  <si>
    <t>Fareliz Arrieche/Eventual Megatech 01/09 AL 07/09</t>
  </si>
  <si>
    <t>Ingrid Reyes/Eventual Megatech 22/09 AL 28/09</t>
  </si>
  <si>
    <t>DECLARACION PENSIONES/PERIODO AGOSTO 2025</t>
  </si>
  <si>
    <t>02-050925</t>
  </si>
  <si>
    <t>INVERSIONES NISSI/FACT 2248/ ENVIO FACTURAS EXTRACTORES</t>
  </si>
  <si>
    <t>REPUESTO H.R.N/FACT 1744/COMPRESON PORTATIL GARDNER DEMBER</t>
  </si>
  <si>
    <t>ITAL-BOMBA/FACT 21931/BOMBA P/INYECCION MOTOR CUMMINS-MINERALES</t>
  </si>
  <si>
    <t>REPUESTO H.R.N/FACT 1749/COMPRESOR PORTATIL GARDNER DEMBER-P/CEMENTO</t>
  </si>
  <si>
    <t xml:space="preserve">DISTRIBUIDORA DIAR/FACT 862/ACEITE P/EQUIPO MOVIL TRACTOR SHANTUI/EXCAVADOR </t>
  </si>
  <si>
    <t>ISLR/PERIODO AGOSTO 2025</t>
  </si>
  <si>
    <t>02-100925</t>
  </si>
  <si>
    <t>HENCARD/FACT0637/SUMINISTRO FABRIC CELDAS SINCRONICO-CEMENTERA</t>
  </si>
  <si>
    <t>ODP 99590875</t>
  </si>
  <si>
    <t>GUILLERMO BONILLA/FACT 776/ANALISIS MUESTRA YESO P/UCAB</t>
  </si>
  <si>
    <t>MATERIALES STA LUCIA/FACT 5960/CEMENTERA</t>
  </si>
  <si>
    <t>MATERIALES SANTA LUCIA/FACT 5961/MEGATECH</t>
  </si>
  <si>
    <t xml:space="preserve">DIOSANNY ALVAREZ/FACT 460/VIATICOS </t>
  </si>
  <si>
    <t>12-120925</t>
  </si>
  <si>
    <t>SIMECA/ANTI FACT/TIMBRES FISCALES TRAMITE OCUP TERRITORIO P/CEMENTO</t>
  </si>
  <si>
    <t>JOSE CASTILLO/CAMPAÑA D/YESO CALIZA  08/09 AL 12/09</t>
  </si>
  <si>
    <t>RAFAEL MORILLO/CAMPAÑA D/YESO CALIZA  08/09 AL 12/09</t>
  </si>
  <si>
    <t>DANNY URRUTIA/CAMPAÑA D/YESO CALIZA  08/09 AL 12/09</t>
  </si>
  <si>
    <t>LINO FLORES/CAMPAÑA D/YESO CALIZA  08/09 AL 12/09</t>
  </si>
  <si>
    <t>DOMICIO VIRGUEZ/CAMPAÑA D/YESO CALIZA  08/09 AL 12/09</t>
  </si>
  <si>
    <t>JEFERSON DAVILA/CAMPAÑA D/YESO CALIZA  08/09 AL 12/09</t>
  </si>
  <si>
    <t>ROBERT ARIAS/CAMPAÑA D/YESO CALIZA  08/09 AL 12/09</t>
  </si>
  <si>
    <t>BEATRIZ CASTILLO/CAMPAÑA D/YESO CALIZA  08/09 AL 12/09</t>
  </si>
  <si>
    <t>RAFAEL QUIROZ/CAMPAÑA D/YESO CALIZA  08/09 AL 12/09-OPERADOR</t>
  </si>
  <si>
    <t>OLGA OROZCO/HOSPEDAJE-CAMPAÑA D/YESO CALIZA  08/09 AL 12/09</t>
  </si>
  <si>
    <t>YOHAN GUANIPA/COMIDA-CAMPAÑA D/YESO CALIZA  08/09 AL 12/09</t>
  </si>
  <si>
    <t>TRANSPORTE/FACT 92/SERV TRASLAD NIVEL NACIONAL P/CEMENTO</t>
  </si>
  <si>
    <t>RESGUARDO/FACT 260/1RA QUINC SEPTIEMBRE</t>
  </si>
  <si>
    <t>PEREZ,JOSE/BONO COMPL 15-09-25/OPE MINER</t>
  </si>
  <si>
    <t>MINERALES</t>
  </si>
  <si>
    <t>REVERON,RAMON/BONO COMPL 15-09-25/OPE MINER</t>
  </si>
  <si>
    <t>RANGEL,GUSTAVO/BONO COMPL 15-09-25/ADM P-C</t>
  </si>
  <si>
    <t>CEMENTO</t>
  </si>
  <si>
    <t>LOPEZ,MANOLO/BONO COMPL 15-09-25/OPE MINER</t>
  </si>
  <si>
    <t>GUEDEZ,YIRMER/BONO COMPL 15-09-25/OPE MINER</t>
  </si>
  <si>
    <t>SEGURA,WAILEN/BONO COMPL 15-09-25/OPE MINER</t>
  </si>
  <si>
    <t>GARCIA,JASON /BONO COMPL 15-09-25/OPE MINER</t>
  </si>
  <si>
    <t>GOMEZ,ARGENIS/BONO COMPL 15-09-25/OPE MINER</t>
  </si>
  <si>
    <t>ALVARADO,EDID/BONO COMPL 15-09-25/OPE MINER</t>
  </si>
  <si>
    <t>NOGUERA,OSCAR/BONO COMPL 15-09-2025/ADM MINER</t>
  </si>
  <si>
    <t>SUAREZ,LEONARDO/BONO COMPL 15-09-25/OPE MINER</t>
  </si>
  <si>
    <t>GUEDEZ,JOSE/BONO COMPL 15-09-25/OPE MINER</t>
  </si>
  <si>
    <t>RODRIGUEZ,MIGUEL/BONO COMPL 15-09-25/OPE MINER</t>
  </si>
  <si>
    <t>PARADA,KEIBY/BONO COMPL 15-09-25/OPE MINER</t>
  </si>
  <si>
    <t>RIVERO,JORGE LUIS/BONO COMPL 15-09-2025/ADM MINER</t>
  </si>
  <si>
    <t>RODRIGUEZ,ANSONNY/BONO COMPL 15-09-2025/ADM MINER</t>
  </si>
  <si>
    <t>LINAREZ,PEDRO/BONO COMPL 15-09-25/OPE MINER</t>
  </si>
  <si>
    <t>SOTELDO,LUSMAR/BONO COMPL 15-09-25/OPE MINER</t>
  </si>
  <si>
    <t>ALMAO,GENESIS/BONO COMPL 15-09-2025/ADM MINER</t>
  </si>
  <si>
    <t>QUERALES,HERMES/BONO COMPL 15-09-25/OPE MINER</t>
  </si>
  <si>
    <t>VETANCOURT,BLIXANDER/BONO COMPL 15-09-2025/ADM MINER</t>
  </si>
  <si>
    <t>ROJAS,MARIA/BONO COMPL 15-09-25/OPE MINER</t>
  </si>
  <si>
    <t>MENDOZA,ANTONY/BONO COMPL 15-09-2025/ADM MINER</t>
  </si>
  <si>
    <t>QUERALES,EDIXON/BONO COMPL 15-09-25/OPE MINER</t>
  </si>
  <si>
    <t>DURAN,MARIA/BONO COMPL 15-09-2025/ADM MINER</t>
  </si>
  <si>
    <t>LINAREZ,SANTIAGO/BONO COMPL 15-09-25/OPE MINER</t>
  </si>
  <si>
    <t>RANGEL,GUSTAVO/NOMINA 15-09-25/ADM P-C</t>
  </si>
  <si>
    <t>GUEDEZ,YIRMER/NOMINA 15-09-25/OPE MINER</t>
  </si>
  <si>
    <t>BASTIDAS,JOSE/BONO COMPL 15-09-25/OPE MINER</t>
  </si>
  <si>
    <t>CHIRINOS,RAFAEL/BONO COMPL 15-09-25/OPE MINER</t>
  </si>
  <si>
    <t>REVERON,RAMON/NOMINA 15-09-25/OPE MINER</t>
  </si>
  <si>
    <t>PEREZ,JOSE/NOMINA 15-09-25/OPE MINER</t>
  </si>
  <si>
    <t>GUTIERREZ,PRESCILIANO/BONO COMPL 15-09-25/OPE MINER</t>
  </si>
  <si>
    <t>LOPEZ,MANOLO/NOMINA 15-09-25/OPE MINER</t>
  </si>
  <si>
    <t>SEGURA,WAILEN/NOMINA 15-09-25/OPE MINER</t>
  </si>
  <si>
    <t>PEREZ,CARLOS/NOMINA 15-09-25/OPE MINER</t>
  </si>
  <si>
    <t>MARTINEZ,JUAN RAMON/NOMINA 15-09-25/OPE MINER</t>
  </si>
  <si>
    <t>VIELMA,CARLEN/BONO COMPL 15-09-25/ADM CEMENT</t>
  </si>
  <si>
    <t>GARCIA,JASON /NOMINA 15-09-25/OPE MINER</t>
  </si>
  <si>
    <t>PEREZ,CARLOS/BONO COMPL 15-09-25/OPE MINER</t>
  </si>
  <si>
    <t>ALEJOS,RODOLFO /BONO COMPL 15-09-25/OPE MINER</t>
  </si>
  <si>
    <t>MARTINEZ,JUAN RAMON/BONO COMPL 15-09-25/OPE MINER</t>
  </si>
  <si>
    <t>ALVARADO,EDID/NOMINA 15-09-25/OPE MINER</t>
  </si>
  <si>
    <t>LINAREZ,PEDRO/NOMINA 15-09-25/OPE MINER</t>
  </si>
  <si>
    <t>GUTIERREZ,PRESCILIANO/NOMINA 15-09-25/OPE MINER</t>
  </si>
  <si>
    <t>VIELMA,CARLEN/NOMINA 15-09-25/ADM CEMENT</t>
  </si>
  <si>
    <t>RAGA,NELIDO/NOMINA 15-09-2025/ADM MINER</t>
  </si>
  <si>
    <t>NOGUERA,OSCAR/NOMINA 15-09-2025/ADM MINER</t>
  </si>
  <si>
    <t>DAZA,VICTOR /BONO COMPL 15-09-25/OPE MINER</t>
  </si>
  <si>
    <t>RAGA,NELIDO/BONO COMPL 15-09-2025/ADM MINER</t>
  </si>
  <si>
    <t>GOMEZ,ARGENIS/NOMINA 15-09-25/OPE MINER</t>
  </si>
  <si>
    <t>PARADA,KEIBY/NOMINA 15-09-25/OPE MINER</t>
  </si>
  <si>
    <t>GUEDEZ,JOSE/NOMINA 15-09-25/OPE MINER</t>
  </si>
  <si>
    <t>RIVERO,JORGE LUIS/NOMINA 15-09-2025/ADM MINER</t>
  </si>
  <si>
    <t>RODRIGUEZ,MIGUEL/NOMINA 15-09-25/OPE MINER</t>
  </si>
  <si>
    <t>RODRIGUEZ,ANSONNY/NOMINA 15-09-2025/ADM MINER</t>
  </si>
  <si>
    <t>SOTELDO,LUSMAR/NOMINA 15-09-25/OPE MINER</t>
  </si>
  <si>
    <t>MENDOZA,ANTONY/NOMINA 15-09-2025/ADM MINER</t>
  </si>
  <si>
    <t>SUAREZ,LEONARDO/NOMINA 15-09-25/OPE MINER</t>
  </si>
  <si>
    <t>ALMAO,GENESIS/NOMINA 15-09-2025/ADM MINER</t>
  </si>
  <si>
    <t>ROJAS,MARIA/NOMINA 15-09-25/OPE MINER</t>
  </si>
  <si>
    <t>QUERALES,EDIXON/NOMINA 15-09-25/OPE MINER</t>
  </si>
  <si>
    <t>VETANCOURT,BLIXANDER/NOMINA 15-09-2025/ADM MINER</t>
  </si>
  <si>
    <t>DURAN,MARIA/NOMINA 15-09-2025/ADM MINER</t>
  </si>
  <si>
    <t>QUERALES,HERMES/NOMINA 15-09-25/OPE MINER</t>
  </si>
  <si>
    <t>LINAREZ,SANTIAGO/NOMINA 15-09-25/OPE MINER</t>
  </si>
  <si>
    <t>BASTIDAS,JOSE/NOMINA 15-09-25/OPE MINER</t>
  </si>
  <si>
    <t>CHIRINOS,RAFAEL/NOMINA 15-09-25/OPE MINER</t>
  </si>
  <si>
    <t>ALEJOS,RODOLFO /NOMINA 15-09-25/OPE MINER</t>
  </si>
  <si>
    <t>DAZA,VICTOR /NOMINA 15-09-25/OPE MINER</t>
  </si>
  <si>
    <t>LISO/FACT 629/COFECC/INSTALACION ESTRUCTURA METALICA</t>
  </si>
  <si>
    <t>SIMECA/ADELANT FACT/PERMISO BOMBEROS-MINERALES</t>
  </si>
  <si>
    <t>R&amp;A/FACT 60/CIERR D/PANTALLA/FABRICACION BANDEJA</t>
  </si>
  <si>
    <t>Federico Faneite/Eventual Gobernacion 15/09 AL 21/09</t>
  </si>
  <si>
    <t>Delios Adolfo Ferrara/Eventual Agregados 15/09 AL 21/09</t>
  </si>
  <si>
    <t>Eliomar Jesús Escalona/Eventual Agregados 15/09 AL 21/09</t>
  </si>
  <si>
    <t>José Guillermo Cortez/Eventual Agregados 15/09 AL 21/09</t>
  </si>
  <si>
    <t>Darwuin Jesús Bullones/Eventual Agregados 15/09 AL 21/09</t>
  </si>
  <si>
    <t>Frank Armando García/Eventual Agregados 15/09 AL 21/09</t>
  </si>
  <si>
    <t>Alberto Luis Rojas/Eventual Agregados 15/09 AL 21/09</t>
  </si>
  <si>
    <t>Naiker Alexander Jimenez/Eventual Agregados 15/09 AL 21/09</t>
  </si>
  <si>
    <t>José Gregorio Perez/Eventual Agregados 15/09 AL 21/09</t>
  </si>
  <si>
    <t>Carlos Daniel Rodriguez/Eventual Agregados 15/09 AL 21/09</t>
  </si>
  <si>
    <t>Alejandro Morales/Eventual Agregados 15/09 AL 21/09</t>
  </si>
  <si>
    <t>Euber José Juarez/Eventual Agregados 15/09 AL 21/09</t>
  </si>
  <si>
    <t>Ali Alberto Bullones/Eventual Agregados 15/09 AL 21/09</t>
  </si>
  <si>
    <t>Alberto Ali Bullones/Eventual Agregados 15/09 AL 21/09</t>
  </si>
  <si>
    <t>Fernando José Rodriguez/Eventual Agregados 15/09 AL 21/09</t>
  </si>
  <si>
    <t>Bruno Ali Cordero Bullones/Eventual Agregados 15/09 AL 21/09</t>
  </si>
  <si>
    <t>Brunito Segundo Cordero/Eventual Agregados 15/09 AL 21/09</t>
  </si>
  <si>
    <t>Fareliz Arrieche/Eventual Gobernacion 15/09 AL 21/09</t>
  </si>
  <si>
    <t>Justiniano Rodriguez/Eventual Agregados 15/09 AL 21/09</t>
  </si>
  <si>
    <t>Armando Lopez /Eventual Agregados 15/09 AL 21/09</t>
  </si>
  <si>
    <t>Froilan Lopez/Eventual Agregados 15/09 AL 21/09</t>
  </si>
  <si>
    <t>Jesus Ramos/Eventual Gobernacion 15/09 AL 21/09</t>
  </si>
  <si>
    <t>Ramón Quintero/Eventual Agregados 15/09 AL 21/09</t>
  </si>
  <si>
    <t>Henrry Valera/Eventual Gobernacion 15/09 AL 21/09</t>
  </si>
  <si>
    <t>Juan López/Eventual Agregados 15/09 AL 21/09</t>
  </si>
  <si>
    <t>Exson Rodriguez/Eventual Gobernacion 15/09 AL 21/09</t>
  </si>
  <si>
    <t>Douglas Pimentel/Eventual Gobernacion 15/09 AL 21/09</t>
  </si>
  <si>
    <t>Pedro Castillo/Eventual Gobernacion 15/09 AL 21/09</t>
  </si>
  <si>
    <t>Miguel Torres/Eventual Gobernacion 15/09 AL 21/09</t>
  </si>
  <si>
    <t>Wendy Gimenez/Eventual Gobernacion 15/09 AL 21/09</t>
  </si>
  <si>
    <t>Nicolas Alvarez/Eventual Gobernacion 15/09 AL 21/09</t>
  </si>
  <si>
    <t>Rafael Puertas/Eventual Gobernacion 15/09 AL 21/09</t>
  </si>
  <si>
    <t>Carlos Pacheco/Eventual Gobernacion 15/09 AL 21/09</t>
  </si>
  <si>
    <t>Andrés Armella/Eventual Gobernacion 15/09 AL 21/09</t>
  </si>
  <si>
    <t>Jose Toledo/Eventual Gobernacion 15/09 AL 21/09</t>
  </si>
  <si>
    <t>Juan Pinto/Eventual Gobernacion 15/09 AL 21/09</t>
  </si>
  <si>
    <t>Edwin Rojas/Eventual Gobernacion 15/09 AL 21/09</t>
  </si>
  <si>
    <t>Argenis Flores/Eventual Megatech 15/09 AL 21/09</t>
  </si>
  <si>
    <t>Walner Oviedo/Eventual Megatech 15/09 AL 21/09</t>
  </si>
  <si>
    <t>Alirio Parra/Eventual Gobernacion 15/09 AL 21/09</t>
  </si>
  <si>
    <t>Yonny Castillo/Eventual Megatech 15/09 AL 21/09</t>
  </si>
  <si>
    <t>Francisco Castillo/Eventual Megatech 15/09 AL 21/09</t>
  </si>
  <si>
    <t>Antonio Castillo/Eventual Megatech 15/09 AL 21/09</t>
  </si>
  <si>
    <t>Jose Guevara/Eventual Megatech 15/09 AL 21/09</t>
  </si>
  <si>
    <t>Edwuard Almeida/Eventual Megatech 15/09 AL 21/09</t>
  </si>
  <si>
    <t>Angel Caldera/Eventual Gobernacion 15/09 AL 21/09</t>
  </si>
  <si>
    <t>Jose Castillo/Eventual Megatech 15/09 AL 21/09</t>
  </si>
  <si>
    <t>Fares Arrieche/Eventual Megatech 15/09 AL 21/09</t>
  </si>
  <si>
    <t>Carlos Lopez/Eventual Agregados 15/09 AL 21/09</t>
  </si>
  <si>
    <t>Elvis Valles/Eventual Megatech 15/09 AL 21/09</t>
  </si>
  <si>
    <t>Estebez Maramara/Eventual Agregados 15/09 AL 21/09</t>
  </si>
  <si>
    <t>Rafael Quiroz/Eventual Gobernacion 15/09 AL 21/09</t>
  </si>
  <si>
    <t>Luis Silveiro Colon Ojeda/Eventual Agregados 15/09 AL 21/09</t>
  </si>
  <si>
    <t>Emperatriz Leon/Eventual Megatech 15/09 AL 21/09</t>
  </si>
  <si>
    <t>Omar Torrealba/Eventual Megatech 15/09 AL 21/09</t>
  </si>
  <si>
    <t>Carlos Castillo/Eventual Megatech 15/09 AL 21/09</t>
  </si>
  <si>
    <t>Julian Guedez/Eventual Megatech 15/09 AL 21/09</t>
  </si>
  <si>
    <t>Norys Ramos/Eventual Megatech 15/09 AL 21/09</t>
  </si>
  <si>
    <t>Yordis Almao/Eventual Megatech 15/09 AL 21/09</t>
  </si>
  <si>
    <t>Alirio Parra/Eventual Megatech 15/09 AL 21/09</t>
  </si>
  <si>
    <t>Victor Mendez/Eventual Megatech 15/09 AL 21/09</t>
  </si>
  <si>
    <t>Carlos Loyo/Eventual Megatech 15/09 AL 21/09</t>
  </si>
  <si>
    <t>Yerry Rodríguez/Eventual Megatech 15/09 AL 21/09</t>
  </si>
  <si>
    <t>Fareliz Arrieche/Eventual Megatech 15/09 AL 21/09</t>
  </si>
  <si>
    <t>Alberto Loyo/Eventual Megatech 15/09 AL 21/09</t>
  </si>
  <si>
    <t>Elio Malpica/Eventual Megatech 15/09 AL 21/09</t>
  </si>
  <si>
    <t>Ruben Rivas/Eventual Megatech 15/09 AL 21/09</t>
  </si>
  <si>
    <t>Alexander Castillo/Eventual Megatech 15/09 AL 21/09</t>
  </si>
  <si>
    <t>Ingrid Reyes/Eventual Megatech 15/09 AL 21/09</t>
  </si>
  <si>
    <t>MATERIALES STA LUCIA/FACT 6009/CEMENTERO-PISO DE CONCRETO</t>
  </si>
  <si>
    <t>FARELIS/GASOLINA VEHICULO GERENTE</t>
  </si>
  <si>
    <t>12-190925</t>
  </si>
  <si>
    <t>RAFAEL MORILLO/CAMPAÑA D/YESO CALIZA  15/09 AL 19/09</t>
  </si>
  <si>
    <t>LINO FLORES/CAMPAÑA D/YESO CALIZA  15/09 AL 19/09</t>
  </si>
  <si>
    <t>JEFERSON DAVILA/CAMPAÑA D/YESO CALIZA  15/09 AL 19/09</t>
  </si>
  <si>
    <t>DANNY URRUTIA/CAMPAÑA D/YESO CALIZA  15/09 AL 19/09</t>
  </si>
  <si>
    <t>ROBERT ARIAS/CAMPAÑA D/YESO CALIZA  15/09 AL 19/09</t>
  </si>
  <si>
    <t>BEATRIZ CASTILLO/CAMPAÑA D/YESO CALIZA  15/09 AL 19/09</t>
  </si>
  <si>
    <t>RAFAEL QUIROZ/CAMPAÑA D/YESO CALIZA  15/09 AL 19/09-OPERADOR</t>
  </si>
  <si>
    <t>YOHAN GUANIPA/COMIDA-CAMPAÑA D/YESO CALIZA  15/09 AL 19/09</t>
  </si>
  <si>
    <t>OLGA OROZCO/HOSPEDAJE-CAMPAÑA D/YESO CALIZA  15/09 AL 19/09</t>
  </si>
  <si>
    <t>VULCANIZADORA/FACT 1689/REP CAUCHO CAMION KAMAZ-P/CEMENTO</t>
  </si>
  <si>
    <t xml:space="preserve">COMERCIALIZADORA/INVERSION DE CAPITAL/TESORO </t>
  </si>
  <si>
    <t>FERRENOVA/FACT 2174/INSTALAC TANQUE GASOIL-MINERALES YARACUY</t>
  </si>
  <si>
    <t>PROCESADA EN OCTUBRE</t>
  </si>
  <si>
    <t>CORPORACION DIGIPRO/FACT 330/IMPRESORA MULRIFUNCIONAL -MINERALES</t>
  </si>
  <si>
    <t xml:space="preserve">SIMECA/ADELANT FACT/MANO OBRA IMPUESTO </t>
  </si>
  <si>
    <t>REMI/FACT 324/MATERIALES P/TANQUE GASOIL MINERALES</t>
  </si>
  <si>
    <t>FERRETORNILLO/FACT 8957/TORNILLO LUBRICACION</t>
  </si>
  <si>
    <t>REMI/FACT 321/MATERIALES P/TANQUE GASOIL-MINERALES</t>
  </si>
  <si>
    <t>FACT 143/MENSUALIDAD SATELITAL</t>
  </si>
  <si>
    <t>FACT 142/MENSUALIDAD SATELITAL</t>
  </si>
  <si>
    <t>GLOBAL ACERO/FACT 85/ARRIOSTRAMIENTO ESCTRUCT P/CERRAMIENTO BANDA</t>
  </si>
  <si>
    <t>PROCESADA EN OCTRUBRE</t>
  </si>
  <si>
    <t>AIR SYSTEM/FACT 91/VENTA DE BLOQUES/ARENA CERNIDA</t>
  </si>
  <si>
    <t>VENTA DE BLOQUES CONCRETO/ARENA CERNIDA</t>
  </si>
  <si>
    <t>Delios Adolfo Ferrara/Eventual Agregados 22/09 AL 28/09</t>
  </si>
  <si>
    <t>Eliomar Jesús Escalona/Eventual Agregados 22/09 AL 28/09</t>
  </si>
  <si>
    <t>Federico Faneite/Eventual Gobernacion 22/09 AL 28/09</t>
  </si>
  <si>
    <t>José Guillermo Cortez/Eventual Agregados 22/09 AL 28/09</t>
  </si>
  <si>
    <t>Darwuin Jesús Bullones/Eventual Agregados 22/09 AL 28/09</t>
  </si>
  <si>
    <t>Frank Armando García/Eventual Agregados 22/09 AL 28/09</t>
  </si>
  <si>
    <t>Alberto Luis Rojas/Eventual Agregados 22/09 AL 28/09</t>
  </si>
  <si>
    <t>Naiker Alexander Jimenez/Eventual Agregados 22/09 AL 28/09</t>
  </si>
  <si>
    <t>José Gregorio Perez/Eventual Agregados 22/09 AL 28/09</t>
  </si>
  <si>
    <t>Carlos Daniel Rodriguez/Eventual Agregados 22/09 AL 28/09</t>
  </si>
  <si>
    <t>Alejandro Morales/Eventual Agregados 22/09 AL 28/09</t>
  </si>
  <si>
    <t>Euber José Juarez/Eventual Agregados 22/09 AL 28/09</t>
  </si>
  <si>
    <t>Ali Alberto Bullones/Eventual Agregados 22/09 AL 28/09</t>
  </si>
  <si>
    <t>Alberto Ali Bullones/Eventual Agregados 22/09 AL 28/09</t>
  </si>
  <si>
    <t>Fernando José Rodriguez/Eventual Agregados 22/09 AL 28/09</t>
  </si>
  <si>
    <t>Bruno Ali Cordero Bullones/Eventual Agregados 22/09 AL 28/09</t>
  </si>
  <si>
    <t>Brunito Segundo Cordero/Eventual Agregados 22/09 AL 28/09</t>
  </si>
  <si>
    <t>Fareliz Arrieche/Eventual Gobernacion 22/09 AL 28/09</t>
  </si>
  <si>
    <t>Justiniano Rodriguez/Eventual Agregados 22/09 AL 28/09</t>
  </si>
  <si>
    <t>Armando Lopez /Eventual Agregados 22/09 AL 28/09</t>
  </si>
  <si>
    <t>Froilan Lopez/Eventual Agregados 22/09 AL 28/09</t>
  </si>
  <si>
    <t>Ramón Quintero/Eventual Agregados 22/09 AL 28/09</t>
  </si>
  <si>
    <t>Jesus Ramos/Eventual Gobernacion 22/09 AL 28/09</t>
  </si>
  <si>
    <t>Exson Rodriguez/Eventual Gobernacion 22/09 AL 28/09</t>
  </si>
  <si>
    <t>Henrry Valera/Eventual Gobernacion 22/09 AL 28/09</t>
  </si>
  <si>
    <t>Juan López/Eventual Agregados 22/09 AL 28/09</t>
  </si>
  <si>
    <t>Nicolas Alvarez/Eventual Gobernacion 22/09 AL 28/09</t>
  </si>
  <si>
    <t>Douglas Pimentel/Eventual Gobernacion 22/09 AL 28/09</t>
  </si>
  <si>
    <t>Rafael Puertas/Eventual Gobernacion 22/09 AL 28/09</t>
  </si>
  <si>
    <t>Carlos Pacheco/Eventual Gobernacion 22/09 AL 28/09</t>
  </si>
  <si>
    <t>Andrés Armella/Eventual Gobernacion 22/09 AL 28/09</t>
  </si>
  <si>
    <t>Alirio Parra/Eventual Gobernacion 22/09 AL 28/09</t>
  </si>
  <si>
    <t>Argenis Flores/Eventual Megatech 22/09 AL 28/09</t>
  </si>
  <si>
    <t>Angel Caldera/Eventual Gobernacion 22/09 AL 28/09</t>
  </si>
  <si>
    <t>Luis Silveiro Colon Ojeda/Eventual Agregados 22/09 AL 28/09</t>
  </si>
  <si>
    <t>Jose Toledo/Eventual Gobernacion 22/09 AL 28/09</t>
  </si>
  <si>
    <t>Estebez Maramara/Eventual Agregados 22/09 AL 28/09</t>
  </si>
  <si>
    <t>Rafael Quiroz/Eventual Gobernacion 22/09 AL 28/09</t>
  </si>
  <si>
    <t>Walner Oviedo/Eventual Megatech 22/09 AL 28/09</t>
  </si>
  <si>
    <t>Pedro Castillo/Eventual Gobernacion 22/09 AL 28/09</t>
  </si>
  <si>
    <t>Juan Pinto/Eventual Gobernacion 22/09 AL 28/09</t>
  </si>
  <si>
    <t>Miguel Torres/Eventual Gobernacion 22/09 AL 28/09</t>
  </si>
  <si>
    <t>Wendy Gimenez/Eventual Gobernacion 22/09 AL 28/09</t>
  </si>
  <si>
    <t>Yonny Castillo/Eventual Megatech 22/09 AL 28/09</t>
  </si>
  <si>
    <t>Antonio Castillo/Eventual Megatech 22/09 AL 28/09</t>
  </si>
  <si>
    <t>Jose Guevara/Eventual Megatech 22/09 AL 28/09</t>
  </si>
  <si>
    <t>Jose Castillo/Eventual Megatech 22/09 AL 28/09</t>
  </si>
  <si>
    <t>Francisco Castillo/Eventual Megatech 22/09 AL 28/09</t>
  </si>
  <si>
    <t>Elvis Valles/Eventual Megatech 22/09 AL 28/09</t>
  </si>
  <si>
    <t>Edwin Rojas/Eventual Gobernacion 22/09 AL 28/09</t>
  </si>
  <si>
    <t>Omar Torrealba/Eventual Megatech 22/09 AL 28/09</t>
  </si>
  <si>
    <t>Edwuard Almeida/Eventual Megatech 22/09 AL 28/09</t>
  </si>
  <si>
    <t>Norys Ramos/Eventual Megatech 22/09 AL 28/09</t>
  </si>
  <si>
    <t>Yerry Rodríguez/Eventual Megatech 22/09 AL 28/09</t>
  </si>
  <si>
    <t>Elio Malpica/Eventual Megatech 22/09 AL 28/09</t>
  </si>
  <si>
    <t>Alirio Parra/Eventual Megatech 22/09 AL 28/09</t>
  </si>
  <si>
    <t>Ruben Rivas/Eventual Megatech 22/09 AL 28/09</t>
  </si>
  <si>
    <t>Fareliz Arrieche/Eventual Megatech 22/09 AL 28/09</t>
  </si>
  <si>
    <t>Carlos Lopez/Eventual Agregados 22/09 AL 28/09</t>
  </si>
  <si>
    <t>Emperatriz Leon/Eventual Megatech 22/09 AL 28/09</t>
  </si>
  <si>
    <t>Julian Guedez/Eventual Megatech 22/09 AL 28/09</t>
  </si>
  <si>
    <t>Fares Arrieche/Eventual Megatech 22/09 AL 28/09</t>
  </si>
  <si>
    <t>Yordis Almao/Eventual Megatech 22/09 AL 28/09</t>
  </si>
  <si>
    <t>Victor Mendez/Eventual Megatech 22/09 AL 28/09</t>
  </si>
  <si>
    <t>Carlos Loyo/Eventual Megatech 22/09 AL 28/09</t>
  </si>
  <si>
    <t>Alberto Loyo/Eventual Megatech 22/09 AL 28/09</t>
  </si>
  <si>
    <t>Carlos Castillo/Eventual Megatech 22/09 AL 28/09</t>
  </si>
  <si>
    <t>Alexander Castillo/Eventual Megatech 22/09 AL 28/09</t>
  </si>
  <si>
    <t>SUMINISTRO INDUSTR OESTE/FACT 125/INVERS CABLE 20AWG INSTAL CAMARA SEGURIDAD -MINERALES</t>
  </si>
  <si>
    <t>JOSE GONZALEZ/FACT 92/VENTA DE ARENA CERNIDA</t>
  </si>
  <si>
    <t>MATERIALES OBRA GRIS/FACT 93/VENTA DE ARENA CERNIDA</t>
  </si>
  <si>
    <t>COM.PAT WEB-0163 4125907628</t>
  </si>
  <si>
    <t>RESGUARDO/FACT 266/SERV VIGILANCIA 2QUINCENA-MINERALES</t>
  </si>
  <si>
    <t>AGRO TENDENCIAS/FACT 96/VENTA RIPIO P/LEGUMINOSA</t>
  </si>
  <si>
    <t xml:space="preserve">VENTA DE RIPIO </t>
  </si>
  <si>
    <t>TRANSPORTE/FACT 97/VENTA CEMENTO GRANEL/CANTO RODADO/ARENA CERNIDAD/BLOQUES</t>
  </si>
  <si>
    <t>VENTA CEMENTO GRANEL/CNTO RODADO/ARENA CERNIDA/BLOQUES CONCRETO</t>
  </si>
  <si>
    <t>AGROPECUARIA/FACT 94/VENTA DE ARENA CERNIDA/CANTO RODADO</t>
  </si>
  <si>
    <t>VENTA DE ARENA CERNIDA/CANTO RODADO</t>
  </si>
  <si>
    <t>LUZBARDO/FACT 0123/REPA MAQUINA P/SOLDAR-MEGATECH</t>
  </si>
  <si>
    <t>FERRETERIA REMI/FACT 334/VIGAS P/REPARACION TECHO SILO 1 MATERIA PRIMA P/CEMENTO</t>
  </si>
  <si>
    <t>REVERON,RAMON/BONO SUBSIDIO 30-09-25/OPE MINER</t>
  </si>
  <si>
    <t>SEGURA,WAILEN/BONO SUBSIDIO 30-09-25/OPE MINER</t>
  </si>
  <si>
    <t>RANGEL,GUSTAVO/BONO SUBSIDIO 30-09-25/ADM CEMENT</t>
  </si>
  <si>
    <t>MARTINEZ,JUAN RAMON/BONO SUBSIDIO 30-09-25/OPE MINER</t>
  </si>
  <si>
    <t>GARCIA,JASON /BONO SUBSIDIO 30-09-25/OPE MINER</t>
  </si>
  <si>
    <t>PEREZ,CARLOS/BONO SUBSIDIO 30-09-25/OPE MINER</t>
  </si>
  <si>
    <t>LINAREZ,PEDRO/BONO SUBSIDIO 30-09-25/OPE MINER</t>
  </si>
  <si>
    <t>GUTIERREZ,PRESCILIANO/BONO SUBSIDIO 30-09-25/OPE MINER</t>
  </si>
  <si>
    <t>RAGA,NELIDO/BONO SUBSIDIO 15-09-2025/ADM MINER</t>
  </si>
  <si>
    <t>VIELMA,CARLEN/BONO SUBSIDIO 30-09-25/ADM CEMENT</t>
  </si>
  <si>
    <t>SUAREZ,LEONARDO/BONO SUBSIDIO 30-09-25/OPE MINER</t>
  </si>
  <si>
    <t>RIVERO,JORGE LUIS/BONO SUBSIDIO 30-09-25/ADM MINER</t>
  </si>
  <si>
    <t>VETANCOURT,BLIXANDER/BONO SUBSIDIO 30-09-25/ADM MINER</t>
  </si>
  <si>
    <t>RODRIGUEZ,MIGUEL/BONO SUBSIDIO 30-09-25/OPE MINER</t>
  </si>
  <si>
    <t>LINAREZ,SANTIAGO/BONO SUBSIDIO 30-09-25/OPE MINER</t>
  </si>
  <si>
    <t>BASTIDAS,JOSE/BONO SUBSIDIO 30-09-25/OPE MINER</t>
  </si>
  <si>
    <t>CHIRINOS,RAFAEL/BONO SUBSIDIO 30-09-25/OPE MINER</t>
  </si>
  <si>
    <t>ALEJOS,RODOLFO /BONO SUBSIDIO 30-09-25/OPE MINER</t>
  </si>
  <si>
    <t>DAZA,VICTOR /BONO SUBSIDIO 30-09-25/OPE MINER</t>
  </si>
  <si>
    <t>RANGEL,GUSTAVO/BONO COMPL 30-09-25/ADM CEMENT</t>
  </si>
  <si>
    <t>JOSE ARRIETA/BONIFICACION GOBER 30-09-25</t>
  </si>
  <si>
    <t>REVERON,RAMON/BONO COMPL 30-09-25/OPE MINER</t>
  </si>
  <si>
    <t>GREGORIO CASTILLO/BONIFICACION GOBER 30-09-25</t>
  </si>
  <si>
    <t>ARMANDO VILLEGAS/BONIFICACION GOBER 30-09-25</t>
  </si>
  <si>
    <t>PEREZ,JOSE/BONO COMPL 30-09-25/OPE MINER</t>
  </si>
  <si>
    <t>GUEDEZ,YIRMER/BONO COMPL 30-09-25/OPE MINER</t>
  </si>
  <si>
    <t>LOPEZ,MANOLO/BONO COMPL 30-09-25/OPE MINER</t>
  </si>
  <si>
    <t>GARCIA,JASON /BONO COMPL 30-09-25/OPE MINER</t>
  </si>
  <si>
    <t>MARTINEZ,JUAN RAMON/BONO COMPL 30-09-25/OPE MINER</t>
  </si>
  <si>
    <t>PEREZ,CARLOS/BONO COMPL 30-09-25/OPE MINER</t>
  </si>
  <si>
    <t>SEGURA,WAILEN/BONO COMPL 30-09-25/OPE MINER</t>
  </si>
  <si>
    <t>LINAREZ,PEDRO/BONO COMPL 30-09-25/OPE MINER</t>
  </si>
  <si>
    <t>ALVARADO,EDID/BONO COMPL 30-09-25/OPE MINER</t>
  </si>
  <si>
    <t>GUTIERREZ,PRESCILIANO/BONO COMPL 30-09-25/OPE MINER</t>
  </si>
  <si>
    <t>VIELMA,CARLEN/BONO COMPL 30-09-25/ADM CEMENT</t>
  </si>
  <si>
    <t>GUEDEZ,JOSE/BONO COMPL 30-09-25/OPE MINER</t>
  </si>
  <si>
    <t>GOMEZ,ARGENIS/BONO COMPL 30-09-25/OPE MINER</t>
  </si>
  <si>
    <t>NOGUERA,OSCAR/BONO COMPL 30-09-25/ADM MINER</t>
  </si>
  <si>
    <t>SUAREZ,LEONARDO/BONO COMPL 30-09-25/OPE MINER</t>
  </si>
  <si>
    <t>RIVERO,JORGE LUIS/BONO COMPL 30-09-25/ADM MINER</t>
  </si>
  <si>
    <t>PARADA,KEIBY/BONO COMPL 30-09-25/OPE MINER</t>
  </si>
  <si>
    <t>RODRIGUEZ,MIGUEL/BONO COMPL 30-09-25/OPE MINER</t>
  </si>
  <si>
    <t>ALMAO,GENESIS/BONO COMPL 30-09-25/ADM MINER</t>
  </si>
  <si>
    <t>RODRIGUEZ,ANSONNY/BONO COMPL 30-09-25/ADM MINER</t>
  </si>
  <si>
    <t>ROJAS,MARIA/BONO COMPL 30-09-25/OPE MINER</t>
  </si>
  <si>
    <t>MENDOZA,ANTONY/BONO COMPL 30-09-25/ADM MINER</t>
  </si>
  <si>
    <t>SOTELDO,LUSMAR/BONO COMPL 30-09-25/OPE MINER</t>
  </si>
  <si>
    <t>QUERALES,EDIXON/BONO COMPL 30-09-25/OPE MINER</t>
  </si>
  <si>
    <t>VETANCOURT,BLIXANDER/BONO COMPL 30-09-25/ADM MINER</t>
  </si>
  <si>
    <t>QUERALES,HERMES/BONO COMPL 30-09-25/OPE MINER</t>
  </si>
  <si>
    <t>LINAREZ,SANTIAGO/BONO COMPL 30-09-25/OPE MINER</t>
  </si>
  <si>
    <t>DURAN,MARIA/BONO COMPL 30-09-25/ADM MINER</t>
  </si>
  <si>
    <t>CHIRINOS,RAFAEL/BONO COMPL 30-09-25/OPE MINER</t>
  </si>
  <si>
    <t>ALEJOS,RODOLFO /BONO COMPL 30-09-25/OPE MINER</t>
  </si>
  <si>
    <t>BASTIDAS,JOSE/BONO COMPL 30-09-25/OPE MINER</t>
  </si>
  <si>
    <t>RANGEL,GUSTAVO/BONO ADICIONAL 30-09-25/ADM CEMENT</t>
  </si>
  <si>
    <t>VIELMA,CARLEN/BONO ADICIONAL 30-09-25/ADM CEMENT</t>
  </si>
  <si>
    <t>DAZA,VICTOR /BONO COMPL 30-09-25/OPE MINER</t>
  </si>
  <si>
    <t>NOGUERA,OSCAR/BONO ADICIONAL 30-09-25/ADM MINER</t>
  </si>
  <si>
    <t>RODRIGUEZ,MIGUEL/BONO ADICIONAL 30-09-25/OPE MINER</t>
  </si>
  <si>
    <t>RANGEL,GUSTAVO/CESTA TICKET SEPTI/ADM CEMENT</t>
  </si>
  <si>
    <t>GUEDEZ,YIRMER/CESTA TICKET SEPTI/OPE MINER</t>
  </si>
  <si>
    <t>REVERON,RAMON/CESTA TICKET SEPTI/OPE MINER</t>
  </si>
  <si>
    <t>PEREZ,JOSE/CESTA TICKET SEPTI/OPE MINER</t>
  </si>
  <si>
    <t>LOPEZ,MANOLO/CESTA TICKET SEPTI/OPE MINER</t>
  </si>
  <si>
    <t>SEGURA,WAILEN/CESTA TICKET SEPTI/OPE MINER</t>
  </si>
  <si>
    <t>MARTINEZ,JUAN RAMON/CESTA TICKET SEPTI/OPE MINER</t>
  </si>
  <si>
    <t>GARCIA,JASON /CESTA TICKET SEPTI/OPE MINER</t>
  </si>
  <si>
    <t>PEREZ,CARLOS/CESTA TICKET SEPTI/OPE MINER</t>
  </si>
  <si>
    <t>ALVARADO,EDID/CESTA TICKET SEPTI/OPE MINER</t>
  </si>
  <si>
    <t>LINAREZ,PEDRO/CESTA TICKET SEPTI/OPE MINER</t>
  </si>
  <si>
    <t>GUTIERREZ,PRESCILIANO/CESTA TICKET SEPTI/OPE MINER</t>
  </si>
  <si>
    <t>VIELMA,CARLEN/CESTA TICKET SEPTI/ADM CEMENT</t>
  </si>
  <si>
    <t>GUEDEZ,JOSE/CESTA TICKET SEPTI/OPE MINER</t>
  </si>
  <si>
    <t>RAGA,NELIDO/CESTA TICKET SEPTI/ADM MINER</t>
  </si>
  <si>
    <t>NOGUERA,OSCAR/CESTA TICKET SEPTI/ADM MINER</t>
  </si>
  <si>
    <t>GOMEZ,ARGENIS/CESTA TICKET SEPTI/OPE MINER</t>
  </si>
  <si>
    <t>PARADA,KEIBY/CESTA TICKET SEPTI/OPE MINER</t>
  </si>
  <si>
    <t>SUAREZ,LEONARDO/CESTA TICKET SEPTI/OPE MINER</t>
  </si>
  <si>
    <t>RIVERO,JORGE LUIS/CESTA TICKET SEPTI/ADM MINER</t>
  </si>
  <si>
    <t>RODRIGUEZ,MIGUEL/CESTA TICKET SEPTI/OPE MINER</t>
  </si>
  <si>
    <t>RODRIGUEZ,ANSONNY/CESTA TICKET SEPTI/ADM MINER</t>
  </si>
  <si>
    <t>SOTELDO,LUSMAR/CESTA TICKET SEPTI/OPE MINER</t>
  </si>
  <si>
    <t>MENDOZA,ANTONY/CESTA TICKET SEPTI/ADM MINER</t>
  </si>
  <si>
    <t>ALMAO,GENESIS/CESTA TICKET SEPTI/ADM MINER</t>
  </si>
  <si>
    <t>ROJAS,MARIA/CESTA TICKET SEPTI/OPE MINER</t>
  </si>
  <si>
    <t>QUERALES,EDIXON/CESTA TICKET SEPTI/OPE MINER</t>
  </si>
  <si>
    <t>VETANCOURT,BLIXANDER/CESTA TICKET SEPTI/ADM MINER</t>
  </si>
  <si>
    <t>DURAN,MARIA/CESTA TICKET SEPTI/ADM MINER</t>
  </si>
  <si>
    <t>QUERALES,HERMES/CESTA TICKET SEPTI/OPE MINER</t>
  </si>
  <si>
    <t>LINAREZ,SANTIAGO/CESTA TICKET SEPTI/OPE MINER</t>
  </si>
  <si>
    <t>BASTIDAS,JOSE/CESTA TICKET SEPTI/OPE MINER</t>
  </si>
  <si>
    <t>CHIRINOS,RAFAEL/CESTA TICKET SEPTI/OPE MINER</t>
  </si>
  <si>
    <t>ALEJOS,RODOLFO /CESTA TICKET SEPTI/OPE MINER</t>
  </si>
  <si>
    <t>DAZA,VICTOR /CESTA TICKET SEPTI/OPE MINER</t>
  </si>
  <si>
    <t>RANGEL,GUSTAVO/NOMINA 30-09-25/ADM P-C</t>
  </si>
  <si>
    <t>GUEDEZ,YIRMER/NOMINA 30-09-25/OPE MINER</t>
  </si>
  <si>
    <t>GALEANO,FRANCISCO/CESTA TICKET SEPTI/OPE MINER</t>
  </si>
  <si>
    <t>REVERON,RAMON/NOMINA 30-09-25/OPE MINER</t>
  </si>
  <si>
    <t>PEREZ,JOSE/NOMINA 30-09-25/OPE MINER</t>
  </si>
  <si>
    <t>SEGURA,WAILEN/NOMINA 30-09-25/OPE MINER</t>
  </si>
  <si>
    <t>MARTINEZ,JUAN RAMON/NOMINA 30-09-25/OPE MINER</t>
  </si>
  <si>
    <t>LOPEZ,MANOLO/NOMINA 30-09-25/OPE MINER</t>
  </si>
  <si>
    <t>GARCIA,JASON /NOMINA 30-09-25/OPE MINER</t>
  </si>
  <si>
    <t>PEREZ,CARLOS/NOMINA 30-09-25/OPE MINER</t>
  </si>
  <si>
    <t>ALVARADO,EDID/NOMINA 30-09-25/OPE MINER</t>
  </si>
  <si>
    <t>LINAREZ,PEDRO/NOMINA 30-09-25/OPE MINER</t>
  </si>
  <si>
    <t>GUTIERREZ,PRESCILIANO/NOMINA 30-09-25/OPE MINER</t>
  </si>
  <si>
    <t>VIELMA,CARLEN/NOMINA 30-09-25/ADM CEMENT</t>
  </si>
  <si>
    <t>GUEDEZ,JOSE/NOMINA  30-09-25/OPE MINER</t>
  </si>
  <si>
    <t>NOGUERA,OSCAR/NOMINA 30-09-25/ADM MINER</t>
  </si>
  <si>
    <t>GOMEZ,ARGENIS/NOMINA 30-09-25/OPE MINER</t>
  </si>
  <si>
    <t>PARADA,KEIBY/NOMINA 30-09-25/OPE MINER</t>
  </si>
  <si>
    <t>SUAREZ,LEONARDO/NOMINA 30-09-25/OPE MINER</t>
  </si>
  <si>
    <t>RODRIGUEZ,MIGUEL/NOMINA 30-09-25/OPE MINER</t>
  </si>
  <si>
    <t>RODRIGUEZ,ANSONNY/NOMINA 30-09-25/ADM MINER</t>
  </si>
  <si>
    <t>SOTELDO,LUSMAR/NOMINA 30-09-25/OPE MINER</t>
  </si>
  <si>
    <t>ALMAO,GENESIS/NOMINA 30-09-25/ADM MINER</t>
  </si>
  <si>
    <t>RIVERO,JORGE LUIS/NOMINA  30-09-25/ADM MINER</t>
  </si>
  <si>
    <t>ROJAS,MARIA/NOMINA 30-09-25/OPE MINER</t>
  </si>
  <si>
    <t>MENDOZA,ANTONY/NOMINA 30-09-25/ADM MINER</t>
  </si>
  <si>
    <t>QUERALES,EDIXON/NOMINA 30-09-25/OPE MINER</t>
  </si>
  <si>
    <t>VETANCOURT,BLIXANDER/NOMINA 30-09-25/ADM MINER</t>
  </si>
  <si>
    <t>DURAN,MARIA/NOMINA 30-09-25/ADM MINER</t>
  </si>
  <si>
    <t>QUERALES,HERMES/NOMINA 30-09-25/OPE MINER</t>
  </si>
  <si>
    <t>LINAREZ,SANTIAGO/NOMINA 30-09-25/OPE MINER</t>
  </si>
  <si>
    <t>BASTIDAS,JOSE/NOMINA 30-09-25/OPE MINER</t>
  </si>
  <si>
    <t>CHIRINOS,RAFAEL/NOMINA 30-09-25/OPE MINER</t>
  </si>
  <si>
    <t>ALEJOS,RODOLFO /NOMINA 30-09-25/OPE MINER</t>
  </si>
  <si>
    <t>DAZA,VICTOR /NOMINA 30-09-25/OPE MINER</t>
  </si>
  <si>
    <t>0120200002962</t>
  </si>
  <si>
    <t>0329291308308</t>
  </si>
  <si>
    <t xml:space="preserve">PAGO A PROVEEDORES J40558384  TSUKAMI C A      </t>
  </si>
  <si>
    <t>756.579,38</t>
  </si>
  <si>
    <t>PREGUNTAR A DESIREE SI ES DE LA VENTA DE CEMENTO</t>
  </si>
  <si>
    <t>0329250936001</t>
  </si>
  <si>
    <t>MULTISERVICIOS YARITAGUA/FACT 14734/REP MANGUERA P/EXCAVADOR</t>
  </si>
  <si>
    <t>-1.377,52</t>
  </si>
  <si>
    <t>0676250936001</t>
  </si>
  <si>
    <t>-3,44</t>
  </si>
  <si>
    <t>0676250934002</t>
  </si>
  <si>
    <t>-38,85</t>
  </si>
  <si>
    <t>0329250934002</t>
  </si>
  <si>
    <t>DISTRIBUIDORA DIAR/FACT 852/ACEITE P/TRACTOR CEMENTERA</t>
  </si>
  <si>
    <t>-15.543,27</t>
  </si>
  <si>
    <t>0676250933001</t>
  </si>
  <si>
    <t>-195,95</t>
  </si>
  <si>
    <t>0329250933001</t>
  </si>
  <si>
    <t>VENFA/FACT 97/SERV CORTES PIEZA P/FABRICACION ESTRUCTURA GASOIL-MINERALES</t>
  </si>
  <si>
    <t>-78.380,86</t>
  </si>
  <si>
    <t>0676250935003</t>
  </si>
  <si>
    <t>-803,82</t>
  </si>
  <si>
    <t>0329250935003</t>
  </si>
  <si>
    <t>-321.529,71</t>
  </si>
  <si>
    <t>9500474169169</t>
  </si>
  <si>
    <t>-875,00</t>
  </si>
  <si>
    <t>0328774169169</t>
  </si>
  <si>
    <t>-350.000,00</t>
  </si>
  <si>
    <t>0329212277277</t>
  </si>
  <si>
    <t>1.500.000,00</t>
  </si>
  <si>
    <t>0429617978994</t>
  </si>
  <si>
    <t>130.000,00</t>
  </si>
  <si>
    <t>0329214818001</t>
  </si>
  <si>
    <t>RAFAEL MORILLO/CAMPAÑA D/YESO CALIZA  01/09 AL 05/09</t>
  </si>
  <si>
    <t>0676214818001</t>
  </si>
  <si>
    <t>0329214823010</t>
  </si>
  <si>
    <t>MARIA PEREZ/CAMPAÑA D/YESO CALIZA  01/09 AL 05/09</t>
  </si>
  <si>
    <t>0676214823010</t>
  </si>
  <si>
    <t>0329214824011</t>
  </si>
  <si>
    <t>JEFERSON DAVILA/CAMPAÑA D/YESO CALIZA  01/09 AL 05/09</t>
  </si>
  <si>
    <t>0676214824011</t>
  </si>
  <si>
    <t>0329214825012</t>
  </si>
  <si>
    <t>ROBERT ARIAS/CAMPAÑA D/YESO CALIZA  01/09 AL 05/09</t>
  </si>
  <si>
    <t>0676214825012</t>
  </si>
  <si>
    <t>0329214827014</t>
  </si>
  <si>
    <t>YOHAN GUANIPA/COMIDA-CAMPAÑA D/YESO CALIZA  01/09 AL 05/09</t>
  </si>
  <si>
    <t>13-050925</t>
  </si>
  <si>
    <t>0676214827014</t>
  </si>
  <si>
    <t>0329214829016</t>
  </si>
  <si>
    <t>HRN/FACT 1742/EXCAVADOR P/CEMENTO</t>
  </si>
  <si>
    <t>0676214829016</t>
  </si>
  <si>
    <t>0329214822009</t>
  </si>
  <si>
    <t>BEATRIZ CASTILLO/CAMPAÑA D/YESO CALIZA  01/09 AL 05/09</t>
  </si>
  <si>
    <t>0676214822009</t>
  </si>
  <si>
    <t>0329214817001</t>
  </si>
  <si>
    <t>JOSE CASTILLO/CAMPAÑA D/YESO CALIZA  01/09 AL 05/09</t>
  </si>
  <si>
    <t>0676214817001</t>
  </si>
  <si>
    <t>0329214819006</t>
  </si>
  <si>
    <t>LINO FLORES/CAMPAÑA D/YESO CALIZA  01/09 AL 05/09</t>
  </si>
  <si>
    <t>0676214819006</t>
  </si>
  <si>
    <t>0329214826013</t>
  </si>
  <si>
    <t>RAFAEL QUIROZ/CAMPAÑA D/YESO CALIZA  01/09 AL 05/09-OPERADOR</t>
  </si>
  <si>
    <t>0676214826013</t>
  </si>
  <si>
    <t>0676214816003</t>
  </si>
  <si>
    <t>0329214816003</t>
  </si>
  <si>
    <t xml:space="preserve">MULTISERVICIOS GARQUIS/FACT 0055/BARANDA PLATAFORMA SEGUR/+4SILOS CEMENTO </t>
  </si>
  <si>
    <t>0676214830017</t>
  </si>
  <si>
    <t>0329214830017</t>
  </si>
  <si>
    <t>MI BROWNIE/FACT 3822-3823/CAKE CUMPL COLABORADORES</t>
  </si>
  <si>
    <t>0676214820001</t>
  </si>
  <si>
    <t>0329214820001</t>
  </si>
  <si>
    <t>DANNY URRUTIA/CAMPAÑA D/YESO CALIZA  01/09 AL 05/09</t>
  </si>
  <si>
    <t>0676214814001</t>
  </si>
  <si>
    <t>0329214814001</t>
  </si>
  <si>
    <t>12-050925</t>
  </si>
  <si>
    <t>0676214815002</t>
  </si>
  <si>
    <t>0329214815002</t>
  </si>
  <si>
    <t>0676214828015</t>
  </si>
  <si>
    <t>0329214828015</t>
  </si>
  <si>
    <t>OLGA OROZCO/HOSPEDAJE-CAMPAÑA D/YESO CALIZA  01/09 AL 05/09</t>
  </si>
  <si>
    <t>45-050925</t>
  </si>
  <si>
    <t>0676214831018</t>
  </si>
  <si>
    <t>0329214831018</t>
  </si>
  <si>
    <t>LUIS MONTE/ADELANT FACT/BOMBA INYECCION HYUNDAI P/MINERALES</t>
  </si>
  <si>
    <t>0676214832019</t>
  </si>
  <si>
    <t>0329214832019</t>
  </si>
  <si>
    <t>MATERIALES STA LUCIA/FACT 5917/P/CEMENTO</t>
  </si>
  <si>
    <t>0676214821007</t>
  </si>
  <si>
    <t>0329214821007</t>
  </si>
  <si>
    <t>DOMICIO VIRGUEZ/CAMPAÑA D/YESO CALIZA  01/09 AL 05/09</t>
  </si>
  <si>
    <t>0828647370337</t>
  </si>
  <si>
    <t xml:space="preserve">BANAVIH/PERIODO AGOSTO 2025                </t>
  </si>
  <si>
    <t>03-050925</t>
  </si>
  <si>
    <t>0100747372171</t>
  </si>
  <si>
    <t xml:space="preserve">IVSS/PERIODO AGOSTO 2025                         </t>
  </si>
  <si>
    <t>0329269192192</t>
  </si>
  <si>
    <t>COLEGIO SANTA MARIA/FACT 088/CONCRETO PREMEZCLADO</t>
  </si>
  <si>
    <t>0676255748748</t>
  </si>
  <si>
    <t>0329255748748</t>
  </si>
  <si>
    <t>LISO/FACT 628/ALQUILER MARTILLO P/DEMOLICION D/PISO-P/CEMENTO</t>
  </si>
  <si>
    <t>0329215977977</t>
  </si>
  <si>
    <t xml:space="preserve">COLEGIO SANTA MARIA/FACT 89/VENTA CONCRETO PREMEZCLADO </t>
  </si>
  <si>
    <t>VENTA DE CONCRETO PREMEZCLADO</t>
  </si>
  <si>
    <t>0598123631865</t>
  </si>
  <si>
    <t>REGISTRO D/MARCA/FONETICA-MINERALES AB</t>
  </si>
  <si>
    <t>08-120925</t>
  </si>
  <si>
    <t>9884812092025</t>
  </si>
  <si>
    <t>0598123631907</t>
  </si>
  <si>
    <t>REGISTRO D/MARCA/GRAFICA-MINERALES AB</t>
  </si>
  <si>
    <t>0329213923923</t>
  </si>
  <si>
    <t>0329216298002</t>
  </si>
  <si>
    <t>Delios Adolfo Ferrara/Eventual Agregados 08/09 AL 14/09</t>
  </si>
  <si>
    <t>0676216298002</t>
  </si>
  <si>
    <t>0329216382038</t>
  </si>
  <si>
    <t>Henrry Valera/Eventual Gobernacion 08/09 AL 14/09</t>
  </si>
  <si>
    <t>0676216382038</t>
  </si>
  <si>
    <t>0329216407046</t>
  </si>
  <si>
    <t>Jesus Ramos/Eventual Gobernacion 08/09 AL 14/09</t>
  </si>
  <si>
    <t>0676216407046</t>
  </si>
  <si>
    <t>0329216413048</t>
  </si>
  <si>
    <t>Exson Rodriguez/Eventual Gobernacion 08/09 AL 14/09</t>
  </si>
  <si>
    <t>0676216413048</t>
  </si>
  <si>
    <t>0329216416049</t>
  </si>
  <si>
    <t>Douglas Pimentel/Eventual Gobernacion 08/09 AL 14/09</t>
  </si>
  <si>
    <t>0676216416049</t>
  </si>
  <si>
    <t>0329216438058</t>
  </si>
  <si>
    <t>Pedro Castillo/Eventual Gobernacion 08/09 AL 14/09</t>
  </si>
  <si>
    <t>0676216438058</t>
  </si>
  <si>
    <t>0329216319015</t>
  </si>
  <si>
    <t>Eliomar Jesús Escalona/Eventual Agregados 08/09 AL 14/09</t>
  </si>
  <si>
    <t>0676216319015</t>
  </si>
  <si>
    <t>0329216362031</t>
  </si>
  <si>
    <t>Nicolas Alvarez/Eventual Gobernacion 08/09 AL 14/09</t>
  </si>
  <si>
    <t>0676216362031</t>
  </si>
  <si>
    <t>0329216374035</t>
  </si>
  <si>
    <t>Rafael Puertas/Eventual Gobernacion 08/09 AL 14/09</t>
  </si>
  <si>
    <t>0676216374035</t>
  </si>
  <si>
    <t>0329216377036</t>
  </si>
  <si>
    <t>Carlos Pacheco/Eventual Gobernacion 08/09 AL 14/09</t>
  </si>
  <si>
    <t>0676216377036</t>
  </si>
  <si>
    <t>0329216392041</t>
  </si>
  <si>
    <t>Rafael Quiroz/Eventual Gobernacion 08/09 AL 14/09</t>
  </si>
  <si>
    <t>0676216392041</t>
  </si>
  <si>
    <t>0329216401044</t>
  </si>
  <si>
    <t>Argenis Flores/Eventual Megatech 08/09 AL 14/09</t>
  </si>
  <si>
    <t>0676216401044</t>
  </si>
  <si>
    <t>0329216303005</t>
  </si>
  <si>
    <t>José Guillermo Cortez/Eventual Agregados 08/09 AL 14/09</t>
  </si>
  <si>
    <t>0676216303005</t>
  </si>
  <si>
    <t>0329216314012</t>
  </si>
  <si>
    <t>Darwuin Jesús Bullones/Eventual Agregados 08/09 AL 14/09</t>
  </si>
  <si>
    <t>0676216314012</t>
  </si>
  <si>
    <t>0329216365032</t>
  </si>
  <si>
    <t>Andrés Armella/Eventual Gobernacion 08/09 AL 14/09</t>
  </si>
  <si>
    <t>0676216365032</t>
  </si>
  <si>
    <t>0329216379037</t>
  </si>
  <si>
    <t>Jose Toledo/Eventual Gobernacion 08/09 AL 14/09</t>
  </si>
  <si>
    <t>0676216379037</t>
  </si>
  <si>
    <t>0329216395042</t>
  </si>
  <si>
    <t>Federico Faneite/Eventual Gobernacion 08/09 AL 14/09</t>
  </si>
  <si>
    <t>0676216395042</t>
  </si>
  <si>
    <t>0329216422051</t>
  </si>
  <si>
    <t>Miguel Torres/Eventual Gobernacion 08/09 AL 14/09</t>
  </si>
  <si>
    <t>0676216422051</t>
  </si>
  <si>
    <t>0329216305006</t>
  </si>
  <si>
    <t>Frank Armando García/Eventual Agregados 08/09 AL 14/09</t>
  </si>
  <si>
    <t>0676216305006</t>
  </si>
  <si>
    <t>0329216348027</t>
  </si>
  <si>
    <t>Wendy Gimenez/Eventual Gobernacion 08/09 AL 14/09</t>
  </si>
  <si>
    <t>0676216348027</t>
  </si>
  <si>
    <t>0329216434056</t>
  </si>
  <si>
    <t>Yonny Castillo/Eventual Megatech 08/09 AL 14/09</t>
  </si>
  <si>
    <t>0676216434056</t>
  </si>
  <si>
    <t>0329216306007</t>
  </si>
  <si>
    <t>Alberto Luis Rojas/Eventual Agregados 08/09 AL 14/09</t>
  </si>
  <si>
    <t>0676216306007</t>
  </si>
  <si>
    <t>0329216370034</t>
  </si>
  <si>
    <t>Juan Pinto/Eventual Gobernacion 08/09 AL 14/09</t>
  </si>
  <si>
    <t>0676216370034</t>
  </si>
  <si>
    <t>0329216404045</t>
  </si>
  <si>
    <t>Walner Oviedo/Eventual Megatech 08/09 AL 14/09</t>
  </si>
  <si>
    <t>0676216404045</t>
  </si>
  <si>
    <t>0329216425052</t>
  </si>
  <si>
    <t>Antonio Castillo/Eventual Megatech 08/09 AL 14/09</t>
  </si>
  <si>
    <t>0676216425052</t>
  </si>
  <si>
    <t>0329216311010</t>
  </si>
  <si>
    <t>Naiker Alexander Jimenez/Eventual Agregados 08/09 AL 14/09</t>
  </si>
  <si>
    <t>0676216311010</t>
  </si>
  <si>
    <t>0329216331021</t>
  </si>
  <si>
    <t>Brunito Segundo Cordero/Eventual Agregados 08/09 AL 14/09</t>
  </si>
  <si>
    <t>0676216331021</t>
  </si>
  <si>
    <t>0329216431054</t>
  </si>
  <si>
    <t>Jose Guevara/Eventual Megatech 08/09 AL 14/09</t>
  </si>
  <si>
    <t>0676216431054</t>
  </si>
  <si>
    <t>0329216446063</t>
  </si>
  <si>
    <t>Edwuard Almeida/Eventual Megatech 08/09 AL 14/09</t>
  </si>
  <si>
    <t>0676216446063</t>
  </si>
  <si>
    <t>0329216310009</t>
  </si>
  <si>
    <t>José Gregorio Perez/Eventual Agregados 08/09 AL 14/09</t>
  </si>
  <si>
    <t>0676216310009</t>
  </si>
  <si>
    <t>0329216313011</t>
  </si>
  <si>
    <t>Carlos Daniel Rodriguez/Eventual Agregados 08/09 AL 14/09</t>
  </si>
  <si>
    <t>0676216313011</t>
  </si>
  <si>
    <t>0329216343025</t>
  </si>
  <si>
    <t>Jose Castillo/Eventual Megatech 08/09 AL 14/09</t>
  </si>
  <si>
    <t>0676216343025</t>
  </si>
  <si>
    <t>0329216353028</t>
  </si>
  <si>
    <t>Elvis Valles/Eventual Megatech 08/09 AL 14/09</t>
  </si>
  <si>
    <t>0676216353028</t>
  </si>
  <si>
    <t>0329216433055</t>
  </si>
  <si>
    <t>Francisco Castillo/Eventual Megatech 08/09 AL 14/09</t>
  </si>
  <si>
    <t>0676216433055</t>
  </si>
  <si>
    <t>0329216443061</t>
  </si>
  <si>
    <t>Yerry Rodríguez/Eventual Megatech 08/09 AL 14/09</t>
  </si>
  <si>
    <t>0676216443061</t>
  </si>
  <si>
    <t>0329216445062</t>
  </si>
  <si>
    <t>Elio Malpica/Eventual Megatech 08/09 AL 14/09</t>
  </si>
  <si>
    <t>0676216445062</t>
  </si>
  <si>
    <t>0676216329020</t>
  </si>
  <si>
    <t>0329216329020</t>
  </si>
  <si>
    <t>Justiniano Rodriguez/Eventual Agregados 08/09 AL 14/09</t>
  </si>
  <si>
    <t>0676216336022</t>
  </si>
  <si>
    <t>0329216336022</t>
  </si>
  <si>
    <t>Armando Lopez /Eventual Agregados 08/09 AL 14/09</t>
  </si>
  <si>
    <t>0676216345026</t>
  </si>
  <si>
    <t>0329216345026</t>
  </si>
  <si>
    <t>Omar Torrealba/Eventual Megatech 08/09 AL 14/09</t>
  </si>
  <si>
    <t>0676216359030</t>
  </si>
  <si>
    <t>0329216359030</t>
  </si>
  <si>
    <t>Carlos Castillo/Eventual Megatech 08/09 AL 14/09</t>
  </si>
  <si>
    <t>0676216428053</t>
  </si>
  <si>
    <t>0329216428053</t>
  </si>
  <si>
    <t>Julian Guedez/Eventual Megatech 08/09 AL 14/09</t>
  </si>
  <si>
    <t>0676216458068</t>
  </si>
  <si>
    <t>0329216458068</t>
  </si>
  <si>
    <t>Norys Ramos/Eventual Megatech 08/09 AL 14/09</t>
  </si>
  <si>
    <t>0676216461069</t>
  </si>
  <si>
    <t>0329216461069</t>
  </si>
  <si>
    <t>Fares Arrieche/Eventual Megatech 08/09 AL 14/09</t>
  </si>
  <si>
    <t>0676216463070</t>
  </si>
  <si>
    <t>0329216463070</t>
  </si>
  <si>
    <t>Edwin Rojas/Eventual Gobernacion 08/09 AL 14/09</t>
  </si>
  <si>
    <t>0676216321016</t>
  </si>
  <si>
    <t>0329216321016</t>
  </si>
  <si>
    <t>Alejandro Morales/Eventual Agregados 08/09 AL 14/09</t>
  </si>
  <si>
    <t>0676216322017</t>
  </si>
  <si>
    <t>0329216322017</t>
  </si>
  <si>
    <t>Fareliz Arrieche/Eventual Gobernacion 08/09 AL 14/09</t>
  </si>
  <si>
    <t>0676216324018</t>
  </si>
  <si>
    <t>0329216324018</t>
  </si>
  <si>
    <t>Alirio Parra/Eventual Gobernacion 08/09 AL 14/09</t>
  </si>
  <si>
    <t>0676216420050</t>
  </si>
  <si>
    <t>0329216420050</t>
  </si>
  <si>
    <t>Yordis Almao/Eventual Megatech 08/09 AL 14/09</t>
  </si>
  <si>
    <t>0676216302004</t>
  </si>
  <si>
    <t>0329216302004</t>
  </si>
  <si>
    <t>Euber José Juarez/Eventual Agregados 08/09 AL 14/09</t>
  </si>
  <si>
    <t>0676216316013</t>
  </si>
  <si>
    <t>0329216316013</t>
  </si>
  <si>
    <t>Ali Alberto Bullones/Eventual Agregados 08/09 AL 14/09</t>
  </si>
  <si>
    <t>0676216326019</t>
  </si>
  <si>
    <t>0329216326019</t>
  </si>
  <si>
    <t>Froilan Lopez/Eventual Agregados 08/09 AL 14/09</t>
  </si>
  <si>
    <t>0676216340024</t>
  </si>
  <si>
    <t>0329216340024</t>
  </si>
  <si>
    <t>Ramón Quintero/Eventual Agregados 08/09 AL 14/09</t>
  </si>
  <si>
    <t>0676216388040</t>
  </si>
  <si>
    <t>0329216388040</t>
  </si>
  <si>
    <t>Carlos Lopez/Eventual Agregados 08/09 AL 14/09</t>
  </si>
  <si>
    <t>0676216410047</t>
  </si>
  <si>
    <t>0329216410047</t>
  </si>
  <si>
    <t>0676216296001</t>
  </si>
  <si>
    <t>0329216296001</t>
  </si>
  <si>
    <t>Juan López/Eventual Agregados 08/09 AL 14/09</t>
  </si>
  <si>
    <t>0676216385039</t>
  </si>
  <si>
    <t>0329216385039</t>
  </si>
  <si>
    <t>Angel Caldera/Eventual Gobernacion 08/09 AL 14/09</t>
  </si>
  <si>
    <t>0676216436057</t>
  </si>
  <si>
    <t>0329216436057</t>
  </si>
  <si>
    <t>Victor Mendez/Eventual Megatech 08/09 AL 14/09</t>
  </si>
  <si>
    <t>0676216441060</t>
  </si>
  <si>
    <t>0329216441060</t>
  </si>
  <si>
    <t>Carlos Loyo/Eventual Megatech 08/09 AL 14/09</t>
  </si>
  <si>
    <t>0676216300003</t>
  </si>
  <si>
    <t>0329216300003</t>
  </si>
  <si>
    <t>Alberto Ali Bullones/Eventual Agregados 08/09 AL 14/09</t>
  </si>
  <si>
    <t>0676216357029</t>
  </si>
  <si>
    <t>0329216357029</t>
  </si>
  <si>
    <t>Alberto Loyo/Eventual Megatech 08/09 AL 14/09</t>
  </si>
  <si>
    <t>0676216453065</t>
  </si>
  <si>
    <t>0329216453065</t>
  </si>
  <si>
    <t>Ingrid Reyes/Eventual Megatech 08/09 AL 14/09</t>
  </si>
  <si>
    <t>0676216308008</t>
  </si>
  <si>
    <t>0329216308008</t>
  </si>
  <si>
    <t>Fernando José Rodriguez/Eventual Agregados 08/09 AL 14/09</t>
  </si>
  <si>
    <t>0676216318014</t>
  </si>
  <si>
    <t>0329216318014</t>
  </si>
  <si>
    <t>Bruno Ali Cordero Bullones/Eventual Agregados 08/09 AL 14/09</t>
  </si>
  <si>
    <t>0676216440059</t>
  </si>
  <si>
    <t>0329216440059</t>
  </si>
  <si>
    <t>Alexander Castillo/Eventual Megatech 08/09 AL 14/09</t>
  </si>
  <si>
    <t>0676216449064</t>
  </si>
  <si>
    <t>0329216449064</t>
  </si>
  <si>
    <t>Ruben Rivas/Eventual Megatech 08/09 AL 14/09</t>
  </si>
  <si>
    <t>0676216456067</t>
  </si>
  <si>
    <t>0329216456067</t>
  </si>
  <si>
    <t>Fareliz Arrieche/Eventual Megatech 08/09 AL 14/09</t>
  </si>
  <si>
    <t>0676216338023</t>
  </si>
  <si>
    <t>0329216338023</t>
  </si>
  <si>
    <t>Luis Silveiro Colon Ojeda/Eventual Agregados 08/09 AL 14/09</t>
  </si>
  <si>
    <t>0676216367033</t>
  </si>
  <si>
    <t>0329216367033</t>
  </si>
  <si>
    <t>Emperatriz Leon/Eventual Megatech 08/09 AL 14/09</t>
  </si>
  <si>
    <t>0676216398043</t>
  </si>
  <si>
    <t>0329216398043</t>
  </si>
  <si>
    <t>Estebez Maramara/Eventual Agregados 08/09 AL 14/09</t>
  </si>
  <si>
    <t>0676216455066</t>
  </si>
  <si>
    <t>0329216455066</t>
  </si>
  <si>
    <t>Alirio Parra/Eventual Megatech 08/09 AL 14/09</t>
  </si>
  <si>
    <t>0598124057252</t>
  </si>
  <si>
    <t>SAPI/PUBLICIDAD PRENSA</t>
  </si>
  <si>
    <t>08-230925</t>
  </si>
  <si>
    <t>9884823092025</t>
  </si>
  <si>
    <t xml:space="preserve">672861861341 </t>
  </si>
  <si>
    <t>JOSE GONZALEZ/FACT 90/VENTA CANTO RODADO/ARENA CERNIDA</t>
  </si>
  <si>
    <t>VENTA DE CANTO RODADO/ARENA CERNIDA</t>
  </si>
  <si>
    <t>0329260985238</t>
  </si>
  <si>
    <t>0676268606002</t>
  </si>
  <si>
    <t>0329268606002</t>
  </si>
  <si>
    <t>SIMECA/ADELANT FACT/ACTUALIZACION RUDDAE</t>
  </si>
  <si>
    <t>0676268607003</t>
  </si>
  <si>
    <t>0329268607003</t>
  </si>
  <si>
    <t>FERRE REMI/FACT 329/REQUI P/PERSONAL HINDU  P/CEMENTO</t>
  </si>
  <si>
    <t>0676268605001</t>
  </si>
  <si>
    <t>0329268605001</t>
  </si>
  <si>
    <t>0676268608001</t>
  </si>
  <si>
    <t>0329268608001</t>
  </si>
  <si>
    <t>0676268609001</t>
  </si>
  <si>
    <t>0329268609001</t>
  </si>
  <si>
    <t>0329264213773</t>
  </si>
  <si>
    <t>0329214715001</t>
  </si>
  <si>
    <t>CSCCPP CUMAREBO/1P GADOLA CEMENTO(720SACOS)/P/CEMENTO</t>
  </si>
  <si>
    <t>GANDOLA/CEMENTO</t>
  </si>
  <si>
    <t>0676214715001</t>
  </si>
  <si>
    <t>0329214716002</t>
  </si>
  <si>
    <t>CSCCPP CUMAREBO/2P GADOLA CEMENTO(720SACOS)/P/CEMENTO</t>
  </si>
  <si>
    <t>0676214716002</t>
  </si>
  <si>
    <t>0329264233367</t>
  </si>
  <si>
    <t>0329235884011</t>
  </si>
  <si>
    <t>0676235884011</t>
  </si>
  <si>
    <t>0329235885012</t>
  </si>
  <si>
    <t>13-260925</t>
  </si>
  <si>
    <t>0676235885012</t>
  </si>
  <si>
    <t>0329235878006</t>
  </si>
  <si>
    <t>0676235878006</t>
  </si>
  <si>
    <t>0329235888015</t>
  </si>
  <si>
    <t>ALEXI/FACT 2533/ESPIGA BRONCE P/CAMION KAMAZ</t>
  </si>
  <si>
    <t>0676235888015</t>
  </si>
  <si>
    <t>0329235877001</t>
  </si>
  <si>
    <t>0676235877001</t>
  </si>
  <si>
    <t>0329235881009</t>
  </si>
  <si>
    <t>0676235881009</t>
  </si>
  <si>
    <t>0329235880007</t>
  </si>
  <si>
    <t>0676235880007</t>
  </si>
  <si>
    <t>0329235883010</t>
  </si>
  <si>
    <t>0676235883010</t>
  </si>
  <si>
    <t>0329235887014</t>
  </si>
  <si>
    <t>HILDA LANZAROTI//COMIDA-CAMPAÑA D/YESO CALIZA  01/09 AL 05/09</t>
  </si>
  <si>
    <t>0676235887014</t>
  </si>
  <si>
    <t>0676235889016</t>
  </si>
  <si>
    <t>0676235873001</t>
  </si>
  <si>
    <t>0329235889016</t>
  </si>
  <si>
    <t xml:space="preserve">CARLOS AGUILAR/FACT32/ESTUDIO GEOLOGIA P/YESO QUEBRADA SECA </t>
  </si>
  <si>
    <t>0329235873001</t>
  </si>
  <si>
    <t xml:space="preserve">REPOSICION CAJA CHICA </t>
  </si>
  <si>
    <t>0676235891018</t>
  </si>
  <si>
    <t>0676235876001</t>
  </si>
  <si>
    <t>0329235891018</t>
  </si>
  <si>
    <t>INTERELECTRONIC/PAGO ERRADO P/PROVEEDOR</t>
  </si>
  <si>
    <t>0329235876001</t>
  </si>
  <si>
    <t xml:space="preserve">JJEDC/FACT 2209/POLEAS P/EQUIPOS PRODUCCION (HINDU) </t>
  </si>
  <si>
    <t>0676235893020</t>
  </si>
  <si>
    <t>0329235893020</t>
  </si>
  <si>
    <t>TRACTO AUTO/FACT 7931/FILTRO P/HYUNDAI-VOLVO-TROMPO MACK-MINERALES</t>
  </si>
  <si>
    <t>0676235892019</t>
  </si>
  <si>
    <t>0329235892019</t>
  </si>
  <si>
    <t>PARRA/FACT 788/ARRIOSTRAMIENTO ESTRUCTURA P/CERRAMIENTO BANDAS  P/CEMENTO</t>
  </si>
  <si>
    <t>0676235875003</t>
  </si>
  <si>
    <t>0329235875003</t>
  </si>
  <si>
    <t>HANLEY/FACT 0727/LIMPIEZA SISTEMA</t>
  </si>
  <si>
    <t>0676235890017</t>
  </si>
  <si>
    <t>0329235890017</t>
  </si>
  <si>
    <t>MATERIALES SATA LUCIA/FACT 6059/MC-1-TRITURACION PRIMARIA</t>
  </si>
  <si>
    <t>0676235874002</t>
  </si>
  <si>
    <t>0329235874002</t>
  </si>
  <si>
    <t>12-260925</t>
  </si>
  <si>
    <t>0676235879001</t>
  </si>
  <si>
    <t>0329235879001</t>
  </si>
  <si>
    <t>0676235886013</t>
  </si>
  <si>
    <t>0329235886013</t>
  </si>
  <si>
    <t>45-260925</t>
  </si>
  <si>
    <t>0429645249646</t>
  </si>
  <si>
    <t>0329264416027</t>
  </si>
  <si>
    <t>0329264481388</t>
  </si>
  <si>
    <t>0676281629001</t>
  </si>
  <si>
    <t>0329281629001</t>
  </si>
  <si>
    <t xml:space="preserve">SULGAR/FACT 1797/SUMINIST INSTAL DUCTERIA LAMINAS GALVANIZADA CALIBRE 20-22-ANCLAJE-SISTEMA VENTILACION TUNEL MP TUNELCLINKER </t>
  </si>
  <si>
    <t>0676281630002</t>
  </si>
  <si>
    <t>0329281630002</t>
  </si>
  <si>
    <t>0676281632004</t>
  </si>
  <si>
    <t>0329281632004</t>
  </si>
  <si>
    <t>REMI/FACT 332/VIGAS UPN REQUERIMIENTO P/PNAL HINDU REP TECHO P/CEMENTO</t>
  </si>
  <si>
    <t>0676281631003</t>
  </si>
  <si>
    <t>0329281631003</t>
  </si>
  <si>
    <t>17-290925</t>
  </si>
  <si>
    <t>0329264488356</t>
  </si>
  <si>
    <t>0329288572001</t>
  </si>
  <si>
    <t>ALIMENTOS/FACT 36640/BENEFICIIOS FIJOS</t>
  </si>
  <si>
    <t>0676288572001</t>
  </si>
  <si>
    <t>0329288573002</t>
  </si>
  <si>
    <t>ALIMENTOS/FACT 36641/BENEFICIOS FIJOS-MINERALES</t>
  </si>
  <si>
    <t>0676288573002</t>
  </si>
  <si>
    <t>0329288574003</t>
  </si>
  <si>
    <t>ALIMENTOS/FACT 36656/BENEFICIOS EVENTUALES-MEGATECH</t>
  </si>
  <si>
    <t>0676288574003</t>
  </si>
  <si>
    <t>0329288575004</t>
  </si>
  <si>
    <t>ALIMENTO/FACT 36657/BENEFICIOS-EVENTUALES P/CEMENTO</t>
  </si>
  <si>
    <t>0676288575004</t>
  </si>
  <si>
    <t>0329288576005</t>
  </si>
  <si>
    <t xml:space="preserve">ALIMENTOS/FACT 36655/HARINA-CAFÉ-CARAOTA BENEFICIOS </t>
  </si>
  <si>
    <t>0676288576005</t>
  </si>
  <si>
    <t>ANYBETH LEON/BONFI ESPEC AGREGADOS 15/09</t>
  </si>
  <si>
    <t>JOSE MORALES/BONFI ESPEC AGREGADOS 15/09</t>
  </si>
  <si>
    <t>CodProv</t>
  </si>
  <si>
    <t>Descrip</t>
  </si>
  <si>
    <t>66</t>
  </si>
  <si>
    <t>HANLEY MARTIN BORGE BALTODANO</t>
  </si>
  <si>
    <t>48</t>
  </si>
  <si>
    <t>001</t>
  </si>
  <si>
    <t>SEGURIDAD</t>
  </si>
  <si>
    <t>PROVEEDORES VARIOS</t>
  </si>
  <si>
    <t>003</t>
  </si>
  <si>
    <t>PROVEEDOR INTERNACIONAL</t>
  </si>
  <si>
    <t>02</t>
  </si>
  <si>
    <t>SENIAT</t>
  </si>
  <si>
    <t>03</t>
  </si>
  <si>
    <t>PARAFISCALES</t>
  </si>
  <si>
    <t>04</t>
  </si>
  <si>
    <t>05</t>
  </si>
  <si>
    <t>IMPUESTOS</t>
  </si>
  <si>
    <t>06</t>
  </si>
  <si>
    <t>07</t>
  </si>
  <si>
    <t>NOTARIAS</t>
  </si>
  <si>
    <t>08</t>
  </si>
  <si>
    <t>PERMISOS</t>
  </si>
  <si>
    <t>09</t>
  </si>
  <si>
    <t>ALCALDIA</t>
  </si>
  <si>
    <t>10</t>
  </si>
  <si>
    <t>SUNAGRO</t>
  </si>
  <si>
    <t>11</t>
  </si>
  <si>
    <t>VIATICO</t>
  </si>
  <si>
    <t>12</t>
  </si>
  <si>
    <t>COMBUSTIBLE</t>
  </si>
  <si>
    <t>13</t>
  </si>
  <si>
    <t>REFRIGERIOS</t>
  </si>
  <si>
    <t>14</t>
  </si>
  <si>
    <t>GASTOS PERSONALES</t>
  </si>
  <si>
    <t>15</t>
  </si>
  <si>
    <t>MAQUINARIAS</t>
  </si>
  <si>
    <t>16</t>
  </si>
  <si>
    <t>CAMIONES</t>
  </si>
  <si>
    <t>17</t>
  </si>
  <si>
    <t>VEHICULOS</t>
  </si>
  <si>
    <t>18</t>
  </si>
  <si>
    <t>19</t>
  </si>
  <si>
    <t>RUEDA DE NEGOCIOS</t>
  </si>
  <si>
    <t>20</t>
  </si>
  <si>
    <t>CONSTRUCCION</t>
  </si>
  <si>
    <t>21</t>
  </si>
  <si>
    <t>LANZAMIENTOS DE CAMPAÑA</t>
  </si>
  <si>
    <t>22</t>
  </si>
  <si>
    <t>PRODUCCION</t>
  </si>
  <si>
    <t>23</t>
  </si>
  <si>
    <t>TELECOMUNICACIONES</t>
  </si>
  <si>
    <t>24</t>
  </si>
  <si>
    <t>EQUIPOS DE TECNOLOGIAS U OFICINA</t>
  </si>
  <si>
    <t>25</t>
  </si>
  <si>
    <t>ARTICULOS DE OFICINA</t>
  </si>
  <si>
    <t>26</t>
  </si>
  <si>
    <t>INFORMATICA</t>
  </si>
  <si>
    <t>27</t>
  </si>
  <si>
    <t>CONTADOR</t>
  </si>
  <si>
    <t>28</t>
  </si>
  <si>
    <t>DAFNE</t>
  </si>
  <si>
    <t>29</t>
  </si>
  <si>
    <t>CORPOELEC</t>
  </si>
  <si>
    <t>30</t>
  </si>
  <si>
    <t>PUBLICIDAD</t>
  </si>
  <si>
    <t>31</t>
  </si>
  <si>
    <t>CONTAINER</t>
  </si>
  <si>
    <t>32</t>
  </si>
  <si>
    <t>TARJETA DE CREDITO</t>
  </si>
  <si>
    <t>33</t>
  </si>
  <si>
    <t>CAJA CHICA</t>
  </si>
  <si>
    <t>34</t>
  </si>
  <si>
    <t>PAGO EFECTIVO</t>
  </si>
  <si>
    <t>35</t>
  </si>
  <si>
    <t>DONACIONES</t>
  </si>
  <si>
    <t>36</t>
  </si>
  <si>
    <t>SUELDOS Y SALARIOS</t>
  </si>
  <si>
    <t>37</t>
  </si>
  <si>
    <t>ARTCULO DE LIMPIEZA</t>
  </si>
  <si>
    <t>38</t>
  </si>
  <si>
    <t>39</t>
  </si>
  <si>
    <t>FLETES</t>
  </si>
  <si>
    <t>40</t>
  </si>
  <si>
    <t>ORGANISMOS GUBERNAMENTALES</t>
  </si>
  <si>
    <t>41</t>
  </si>
  <si>
    <t>42</t>
  </si>
  <si>
    <t>GASTOS MEDCOS /EMPLEADOS</t>
  </si>
  <si>
    <t>43</t>
  </si>
  <si>
    <t>GASTOS MEDCOS /PERSONALES</t>
  </si>
  <si>
    <t>44</t>
  </si>
  <si>
    <t>BANCOS</t>
  </si>
  <si>
    <t>45</t>
  </si>
  <si>
    <t>CONDOMINIOS</t>
  </si>
  <si>
    <t>46</t>
  </si>
  <si>
    <t>PRESTAMOS</t>
  </si>
  <si>
    <t>47</t>
  </si>
  <si>
    <t>ADQUISION</t>
  </si>
  <si>
    <t>SISTEMA TMT</t>
  </si>
  <si>
    <t>49</t>
  </si>
  <si>
    <t>CXC TENDECIAS AB</t>
  </si>
  <si>
    <t>50</t>
  </si>
  <si>
    <t>CXC AGROTENDECIAS</t>
  </si>
  <si>
    <t>51</t>
  </si>
  <si>
    <t>CXC ALIMENTOS AGROTENDECIAS</t>
  </si>
  <si>
    <t>52</t>
  </si>
  <si>
    <t>CXC INDUSTRIAS AGROTENDECIAS</t>
  </si>
  <si>
    <t>53</t>
  </si>
  <si>
    <t>CXC AGUTI</t>
  </si>
  <si>
    <t>54</t>
  </si>
  <si>
    <t>CXC UTILISIMO AB</t>
  </si>
  <si>
    <t>55</t>
  </si>
  <si>
    <t>CUENTA POR COBRAR INVERSIONES AB 2000</t>
  </si>
  <si>
    <t>56</t>
  </si>
  <si>
    <t>CUENTAS XCOBRAR AB REPRESENTCIONES</t>
  </si>
  <si>
    <t>57</t>
  </si>
  <si>
    <t>CUENTA POR COBRAR RESGUARDO</t>
  </si>
  <si>
    <t>58</t>
  </si>
  <si>
    <t>CXC TRANSPORTE Y SERVCI</t>
  </si>
  <si>
    <t>59</t>
  </si>
  <si>
    <t>CXC AGREGADOS TENDECIAS</t>
  </si>
  <si>
    <t>60</t>
  </si>
  <si>
    <t>CXC HERAS NEW FASHION</t>
  </si>
  <si>
    <t>61</t>
  </si>
  <si>
    <t>CXC DIST &amp; IMPORT HJ</t>
  </si>
  <si>
    <t>62</t>
  </si>
  <si>
    <t>CXC SILOS AGROTENDECIAS</t>
  </si>
  <si>
    <t>63</t>
  </si>
  <si>
    <t>CXC AGROPCUARIA TENDENCIAS</t>
  </si>
  <si>
    <t>64</t>
  </si>
  <si>
    <t>CXC FARMATENDECIAS 1</t>
  </si>
  <si>
    <t>65</t>
  </si>
  <si>
    <t>CXC DROGUERIA TENDENCIAS</t>
  </si>
  <si>
    <t>CXC COMEC AGROTENDENCIA</t>
  </si>
  <si>
    <t>67</t>
  </si>
  <si>
    <t>CXC ASC.COOP. INETAR</t>
  </si>
  <si>
    <t>68</t>
  </si>
  <si>
    <t>CXC COMECIAL GLOBAL IMPORT</t>
  </si>
  <si>
    <t>69</t>
  </si>
  <si>
    <t>CXC TENDECIAS VENDE REALIDADES</t>
  </si>
  <si>
    <t>70</t>
  </si>
  <si>
    <t>DOTACION DE UNIFORME</t>
  </si>
  <si>
    <t>71</t>
  </si>
  <si>
    <t>ARACAL/CIARA</t>
  </si>
  <si>
    <t>72</t>
  </si>
  <si>
    <t>CAPACITACIONES</t>
  </si>
  <si>
    <t>73</t>
  </si>
  <si>
    <t>ANGEL SILVA/AGROTENDENCIAS</t>
  </si>
  <si>
    <t>E-819428100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</si>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</sst>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/m/yyyy;@"/>
    <numFmt numFmtId="165" formatCode="dd/mm/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/>
      <top style="medium">
        <color rgb="FF284E3F"/>
      </top>
      <bottom style="medium">
        <color rgb="FF284E3F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/>
    <xf numFmtId="43" fontId="0" fillId="0" borderId="0" xfId="1" applyFont="1" applyBorder="1"/>
    <xf numFmtId="0" fontId="3" fillId="0" borderId="1" xfId="0" applyFont="1" applyBorder="1" applyAlignment="1">
      <alignment vertical="center"/>
    </xf>
    <xf numFmtId="1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2" borderId="0" xfId="0" applyFill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3" borderId="2" xfId="0" applyFont="1" applyFill="1" applyBorder="1" applyAlignment="1">
      <alignment wrapText="1"/>
    </xf>
    <xf numFmtId="0" fontId="5" fillId="3" borderId="3" xfId="0" applyFont="1" applyFill="1" applyBorder="1" applyAlignment="1">
      <alignment horizontal="right" wrapText="1"/>
    </xf>
    <xf numFmtId="0" fontId="5" fillId="3" borderId="3" xfId="0" applyFont="1" applyFill="1" applyBorder="1" applyAlignment="1">
      <alignment wrapText="1"/>
    </xf>
    <xf numFmtId="0" fontId="5" fillId="3" borderId="3" xfId="0" applyFont="1" applyFill="1" applyBorder="1" applyAlignment="1">
      <alignment horizontal="left" wrapText="1"/>
    </xf>
    <xf numFmtId="0" fontId="5" fillId="3" borderId="4" xfId="0" applyFont="1" applyFill="1" applyBorder="1" applyAlignment="1">
      <alignment wrapText="1"/>
    </xf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horizontal="center" wrapText="1"/>
    </xf>
    <xf numFmtId="43" fontId="5" fillId="3" borderId="0" xfId="1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14" fontId="0" fillId="0" borderId="0" xfId="1" applyNumberFormat="1" applyFont="1"/>
    <xf numFmtId="14" fontId="1" fillId="0" borderId="0" xfId="1" applyNumberFormat="1" applyFont="1"/>
    <xf numFmtId="0" fontId="1" fillId="0" borderId="0" xfId="0" applyFont="1" applyAlignment="1">
      <alignment horizontal="right"/>
    </xf>
    <xf numFmtId="0" fontId="1" fillId="0" borderId="0" xfId="0" applyFont="1"/>
    <xf numFmtId="4" fontId="1" fillId="2" borderId="0" xfId="0" applyNumberFormat="1" applyFont="1" applyFill="1"/>
    <xf numFmtId="0" fontId="1" fillId="0" borderId="0" xfId="0" applyFont="1" applyAlignment="1">
      <alignment horizontal="left"/>
    </xf>
    <xf numFmtId="4" fontId="0" fillId="2" borderId="0" xfId="0" applyNumberFormat="1" applyFill="1"/>
    <xf numFmtId="0" fontId="1" fillId="2" borderId="0" xfId="0" applyFont="1" applyFill="1"/>
    <xf numFmtId="14" fontId="1" fillId="0" borderId="0" xfId="0" applyNumberFormat="1" applyFont="1"/>
    <xf numFmtId="0" fontId="2" fillId="2" borderId="0" xfId="0" applyFont="1" applyFill="1"/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/>
    <xf numFmtId="164" fontId="0" fillId="0" borderId="0" xfId="0" applyNumberFormat="1"/>
    <xf numFmtId="0" fontId="6" fillId="2" borderId="0" xfId="0" applyFont="1" applyFill="1" applyAlignment="1">
      <alignment horizontal="left" vertical="center" wrapText="1"/>
    </xf>
    <xf numFmtId="164" fontId="1" fillId="0" borderId="0" xfId="0" applyNumberFormat="1" applyFont="1"/>
    <xf numFmtId="0" fontId="6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/>
    </xf>
    <xf numFmtId="165" fontId="0" fillId="0" borderId="0" xfId="0" applyNumberFormat="1"/>
    <xf numFmtId="4" fontId="0" fillId="0" borderId="0" xfId="0" applyNumberFormat="1" applyAlignment="1">
      <alignment horizontal="right"/>
    </xf>
    <xf numFmtId="4" fontId="0" fillId="0" borderId="0" xfId="1" applyNumberFormat="1" applyFont="1" applyFill="1" applyAlignment="1">
      <alignment horizontal="right"/>
    </xf>
    <xf numFmtId="165" fontId="1" fillId="0" borderId="0" xfId="0" applyNumberFormat="1" applyFont="1"/>
    <xf numFmtId="4" fontId="1" fillId="2" borderId="0" xfId="0" applyNumberFormat="1" applyFont="1" applyFill="1" applyAlignment="1">
      <alignment horizontal="right"/>
    </xf>
    <xf numFmtId="4" fontId="1" fillId="0" borderId="0" xfId="0" applyNumberFormat="1" applyFont="1"/>
    <xf numFmtId="0" fontId="0" fillId="0" borderId="0" xfId="0" applyAlignment="1">
      <alignment horizontal="center"/>
    </xf>
    <xf numFmtId="0" fontId="8" fillId="0" borderId="7" xfId="0" applyFont="1" applyBorder="1"/>
    <xf numFmtId="0" fontId="8" fillId="0" borderId="0" xfId="0" applyFont="1"/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4" fontId="0" fillId="0" borderId="0" xfId="1" applyNumberFormat="1" applyFont="1" applyFill="1"/>
    <xf numFmtId="4" fontId="0" fillId="0" borderId="0" xfId="1" applyNumberFormat="1" applyFont="1"/>
    <xf numFmtId="0" fontId="11" fillId="0" borderId="0" xfId="0" applyFont="1"/>
    <xf numFmtId="14" fontId="0" fillId="4" borderId="0" xfId="0" applyNumberFormat="1" applyFill="1"/>
    <xf numFmtId="0" fontId="0" fillId="4" borderId="0" xfId="0" applyFill="1" applyAlignment="1">
      <alignment horizontal="right"/>
    </xf>
    <xf numFmtId="4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5" borderId="0" xfId="0" applyFill="1"/>
    <xf numFmtId="0" fontId="1" fillId="6" borderId="9" xfId="0" applyFont="1" applyFill="1" applyBorder="1"/>
    <xf numFmtId="0" fontId="0" fillId="7" borderId="0" xfId="0" applyFill="1"/>
    <xf numFmtId="16" fontId="0" fillId="2" borderId="0" xfId="0" applyNumberFormat="1" applyFill="1"/>
    <xf numFmtId="0" fontId="12" fillId="0" borderId="0" xfId="0" applyFont="1"/>
    <xf numFmtId="0" fontId="8" fillId="0" borderId="10" xfId="0" applyFont="1" applyBorder="1"/>
    <xf numFmtId="0" fontId="8" fillId="0" borderId="11" xfId="0" applyFont="1" applyBorder="1"/>
    <xf numFmtId="0" fontId="7" fillId="0" borderId="0" xfId="0" applyFont="1"/>
    <xf numFmtId="4" fontId="1" fillId="0" borderId="0" xfId="1" applyNumberFormat="1" applyFont="1" applyFill="1" applyBorder="1" applyAlignment="1">
      <alignment wrapText="1"/>
    </xf>
    <xf numFmtId="4" fontId="0" fillId="0" borderId="0" xfId="1" applyNumberFormat="1" applyFont="1" applyAlignment="1">
      <alignment horizontal="right"/>
    </xf>
    <xf numFmtId="0" fontId="0" fillId="8" borderId="0" xfId="0" applyFill="1" applyAlignment="1">
      <alignment wrapText="1"/>
    </xf>
    <xf numFmtId="0" fontId="8" fillId="0" borderId="12" xfId="0" applyFont="1" applyBorder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/>
    <xf numFmtId="0" fontId="0" fillId="5" borderId="0" xfId="0" applyFill="1" applyAlignment="1">
      <alignment horizontal="left"/>
    </xf>
    <xf numFmtId="43" fontId="0" fillId="0" borderId="0" xfId="1" applyFont="1" applyAlignment="1">
      <alignment horizontal="left"/>
    </xf>
    <xf numFmtId="4" fontId="0" fillId="2" borderId="0" xfId="0" applyNumberFormat="1" applyFill="1" applyAlignment="1">
      <alignment horizontal="right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right"/>
    </xf>
    <xf numFmtId="14" fontId="2" fillId="0" borderId="0" xfId="0" applyNumberFormat="1" applyFont="1"/>
    <xf numFmtId="4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applyBorder="1"/>
    <xf numFmtId="0" fontId="0" fillId="2" borderId="8" xfId="0" applyFill="1" applyBorder="1"/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/>
    </xf>
    <xf numFmtId="49" fontId="5" fillId="3" borderId="3" xfId="0" applyNumberFormat="1" applyFont="1" applyFill="1" applyBorder="1" applyAlignment="1">
      <alignment horizontal="left" wrapText="1"/>
    </xf>
    <xf numFmtId="49" fontId="1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12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4141770</xdr:colOff>
      <xdr:row>0</xdr:row>
      <xdr:rowOff>155966</xdr:rowOff>
    </xdr:from>
    <xdr:to>
      <xdr:col>9</xdr:col>
      <xdr:colOff>378154</xdr:colOff>
      <xdr:row>6</xdr:row>
      <xdr:rowOff>79453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C658E3-EB55-450B-929B-3296EA2B8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8370" y="155966"/>
          <a:ext cx="5159404" cy="102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nley\Downloads\TABLA%20DINAMICA%20AGREGAD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%20ESCRITORIO\2025\11%20AGREGADOS%20TENDENCIAS\01-BANCO\07%20JULIO\07%20TESOR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%20ESCRITORIO\2025\11%20AGREGADOS%20TENDENCIAS\01-BANCO\09%20SEPTIEMBRE\09%20MERCANTIL%20(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BANCARIOS"/>
      <sheetName val="EFECTIVO"/>
      <sheetName val="INTERNACIONALES 2024-2025"/>
      <sheetName val="VEHICULOS"/>
      <sheetName val="Hoja1"/>
      <sheetName val="TABLA DINAMICA AGREGADOS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s 0107202501072025 (7"/>
      <sheetName val="Hoja1"/>
    </sheetNames>
    <sheetDataSet>
      <sheetData sheetId="0" refreshError="1"/>
      <sheetData sheetId="1" refreshError="1">
        <row r="3">
          <cell r="A3">
            <v>110101001</v>
          </cell>
          <cell r="B3" t="str">
            <v>CAJA PUENTE TRANSITORIA</v>
          </cell>
          <cell r="D3" t="str">
            <v>SERVL012</v>
          </cell>
          <cell r="E3" t="str">
            <v>ADQUISICION DE HERRAMIENTAS</v>
          </cell>
        </row>
        <row r="4">
          <cell r="A4">
            <v>110101002</v>
          </cell>
          <cell r="B4" t="str">
            <v>CAJA PRINCIPAL</v>
          </cell>
          <cell r="D4" t="str">
            <v>SERVL012E</v>
          </cell>
          <cell r="E4" t="str">
            <v>ADQUISICION DE HERRAMIENTAS</v>
          </cell>
        </row>
        <row r="5">
          <cell r="A5">
            <v>110102001</v>
          </cell>
          <cell r="B5" t="str">
            <v>BANCO</v>
          </cell>
          <cell r="D5" t="str">
            <v>SERVL016</v>
          </cell>
          <cell r="E5" t="str">
            <v>ADQUISION DE MAQUINARIAS</v>
          </cell>
        </row>
        <row r="6">
          <cell r="A6">
            <v>110102002</v>
          </cell>
          <cell r="B6" t="str">
            <v>BANCO BOD AB</v>
          </cell>
          <cell r="D6" t="str">
            <v>SERVL016E</v>
          </cell>
          <cell r="E6" t="str">
            <v>ADQUISION DE MAQUINARIAS</v>
          </cell>
        </row>
        <row r="7">
          <cell r="A7">
            <v>110102003</v>
          </cell>
          <cell r="B7" t="str">
            <v>BANCO 100% BANCO AB</v>
          </cell>
          <cell r="D7" t="str">
            <v>SERVA047</v>
          </cell>
          <cell r="E7" t="str">
            <v>ALQUILER DE EQUIPOS/HERRAMIENTAS</v>
          </cell>
        </row>
        <row r="8">
          <cell r="A8">
            <v>110102004</v>
          </cell>
          <cell r="B8" t="str">
            <v>BANCO VENEZUELA AB</v>
          </cell>
          <cell r="D8" t="str">
            <v>SERVA047E</v>
          </cell>
          <cell r="E8" t="str">
            <v>ALQUILER DE EQUIPOS/HERRAMIENTAS</v>
          </cell>
        </row>
        <row r="9">
          <cell r="A9">
            <v>110102005</v>
          </cell>
          <cell r="B9" t="str">
            <v>PROVINCIAL AB</v>
          </cell>
          <cell r="D9" t="str">
            <v>SERVB001</v>
          </cell>
          <cell r="E9" t="str">
            <v>COMISIONES BANCARIAS</v>
          </cell>
        </row>
        <row r="10">
          <cell r="A10">
            <v>110102006</v>
          </cell>
          <cell r="B10" t="str">
            <v>BANCO BICENTENARIO AB</v>
          </cell>
          <cell r="D10" t="str">
            <v>SERVB001E</v>
          </cell>
          <cell r="E10" t="str">
            <v>COMISIONES BANCARIAS</v>
          </cell>
        </row>
        <row r="11">
          <cell r="A11">
            <v>110102007</v>
          </cell>
          <cell r="B11" t="str">
            <v>BANCO FONDO COMUN BFC AB</v>
          </cell>
          <cell r="D11" t="str">
            <v>SERVB001</v>
          </cell>
          <cell r="E11" t="str">
            <v>COMISIONES BANCARIAS</v>
          </cell>
        </row>
        <row r="12">
          <cell r="A12">
            <v>110102008</v>
          </cell>
          <cell r="B12" t="str">
            <v>BANESCO AB</v>
          </cell>
          <cell r="D12" t="str">
            <v>SERVB001E</v>
          </cell>
          <cell r="E12" t="str">
            <v>COMISIONES BANCARIAS</v>
          </cell>
        </row>
        <row r="13">
          <cell r="A13">
            <v>110102009</v>
          </cell>
          <cell r="B13" t="str">
            <v>BANCO SOFITASA AB</v>
          </cell>
          <cell r="D13" t="str">
            <v>SERVL009E</v>
          </cell>
          <cell r="E13" t="str">
            <v>COMPONENTES QUIMICOS</v>
          </cell>
        </row>
        <row r="14">
          <cell r="A14">
            <v>110102010</v>
          </cell>
          <cell r="B14" t="str">
            <v>BANCO MERCANTIL AB</v>
          </cell>
          <cell r="D14">
            <v>720101002</v>
          </cell>
          <cell r="E14" t="str">
            <v>COMPRAS DIVISAS</v>
          </cell>
        </row>
        <row r="15">
          <cell r="A15">
            <v>110102011</v>
          </cell>
          <cell r="B15" t="str">
            <v>BANESCO 084 AB</v>
          </cell>
          <cell r="D15" t="str">
            <v>SERVA046</v>
          </cell>
          <cell r="E15" t="str">
            <v>CONSTRUCCION/MANO DE OBRA</v>
          </cell>
        </row>
        <row r="16">
          <cell r="A16">
            <v>110102012</v>
          </cell>
          <cell r="B16" t="str">
            <v>BANESCO TE</v>
          </cell>
          <cell r="D16" t="str">
            <v>SERVA046E</v>
          </cell>
          <cell r="E16" t="str">
            <v>CONSTRUCCION/MANO DE OBRA</v>
          </cell>
        </row>
        <row r="17">
          <cell r="A17">
            <v>110102013</v>
          </cell>
          <cell r="B17" t="str">
            <v>BANCO BNC AB</v>
          </cell>
          <cell r="D17" t="str">
            <v>SERVA045</v>
          </cell>
          <cell r="E17" t="str">
            <v>CONSTRUCCION/MATERIALES</v>
          </cell>
        </row>
        <row r="18">
          <cell r="A18">
            <v>110102014</v>
          </cell>
          <cell r="B18" t="str">
            <v>BANCO CARONI AB</v>
          </cell>
          <cell r="D18" t="str">
            <v>SERVA045E</v>
          </cell>
          <cell r="E18" t="str">
            <v>CONSTRUCCION/MATERIALES</v>
          </cell>
        </row>
        <row r="19">
          <cell r="A19">
            <v>110102015</v>
          </cell>
          <cell r="B19" t="str">
            <v>BANCO ACTIVO AB</v>
          </cell>
          <cell r="D19" t="str">
            <v>SERVE001</v>
          </cell>
          <cell r="E19" t="str">
            <v>CUENTAS POR COBRAR EMPLEADOS</v>
          </cell>
        </row>
        <row r="20">
          <cell r="A20">
            <v>110102016</v>
          </cell>
          <cell r="B20" t="str">
            <v>BANCO EXTERIOR AB</v>
          </cell>
          <cell r="D20" t="str">
            <v>SERVE001E</v>
          </cell>
          <cell r="E20" t="str">
            <v>CUENTAS POR COBRAR EMPLEADOS</v>
          </cell>
        </row>
        <row r="21">
          <cell r="A21">
            <v>110102017</v>
          </cell>
          <cell r="B21" t="str">
            <v>BANCO TESORO AB</v>
          </cell>
          <cell r="D21">
            <v>720101098</v>
          </cell>
          <cell r="E21" t="str">
            <v>CUENTAS X COBRAR COMERCIALIZADORA E IMPORT AB VZLA</v>
          </cell>
        </row>
        <row r="22">
          <cell r="A22">
            <v>110102018</v>
          </cell>
          <cell r="B22" t="str">
            <v>BANCO CARIBE AB</v>
          </cell>
          <cell r="D22" t="str">
            <v>Código</v>
          </cell>
          <cell r="E22" t="str">
            <v>Descripción</v>
          </cell>
        </row>
        <row r="23">
          <cell r="A23">
            <v>110102019</v>
          </cell>
          <cell r="B23" t="str">
            <v>BANCAMIGA AB</v>
          </cell>
          <cell r="D23" t="str">
            <v>SERVL010</v>
          </cell>
          <cell r="E23" t="str">
            <v>EQUIPOS DE LABORATORIO</v>
          </cell>
        </row>
        <row r="24">
          <cell r="A24">
            <v>110102020</v>
          </cell>
          <cell r="B24" t="str">
            <v>BANCO BANPLUS AB</v>
          </cell>
          <cell r="D24" t="str">
            <v>SERVL010E</v>
          </cell>
          <cell r="E24" t="str">
            <v>EQUIPOS DE LABORATORIO</v>
          </cell>
        </row>
        <row r="25">
          <cell r="A25">
            <v>110102021</v>
          </cell>
          <cell r="B25" t="str">
            <v>BANCO DELSUR AB</v>
          </cell>
          <cell r="D25" t="str">
            <v>SERVA022</v>
          </cell>
          <cell r="E25" t="str">
            <v>GASTOS ADQUISICION EQUIPOS INFORMATICOS</v>
          </cell>
        </row>
        <row r="26">
          <cell r="A26">
            <v>110102022</v>
          </cell>
          <cell r="B26" t="str">
            <v>BANCO AGRICOLA AB</v>
          </cell>
          <cell r="D26" t="str">
            <v>SERVA023</v>
          </cell>
          <cell r="E26" t="str">
            <v>GASTOS ADQUISICION EQUIPOS/MOBILIARIO</v>
          </cell>
        </row>
        <row r="27">
          <cell r="A27">
            <v>110102023</v>
          </cell>
          <cell r="B27" t="str">
            <v>BANCO PLAZA AB</v>
          </cell>
          <cell r="D27" t="str">
            <v>SERVA001</v>
          </cell>
          <cell r="E27" t="str">
            <v>GASTOS ASESORIA INFORMATICA/MANTENIMIEN</v>
          </cell>
        </row>
        <row r="28">
          <cell r="A28">
            <v>110102024</v>
          </cell>
          <cell r="B28" t="str">
            <v>CAJA EFECTIVO</v>
          </cell>
          <cell r="D28" t="str">
            <v>SERVA041</v>
          </cell>
          <cell r="E28" t="str">
            <v>GASTOS COMBUSTIBLES PERSONAL</v>
          </cell>
        </row>
        <row r="29">
          <cell r="A29">
            <v>110102025</v>
          </cell>
          <cell r="B29" t="str">
            <v>EFECTIVO SABANA DE PARRA</v>
          </cell>
          <cell r="D29" t="str">
            <v>SERVA041E</v>
          </cell>
          <cell r="E29" t="str">
            <v>GASTOS COMBUSTIBLES PERSONAL</v>
          </cell>
        </row>
        <row r="30">
          <cell r="A30">
            <v>110102026</v>
          </cell>
          <cell r="B30" t="str">
            <v>BANESCO PANAMA AB</v>
          </cell>
          <cell r="D30" t="str">
            <v>SERVA048E</v>
          </cell>
          <cell r="E30" t="str">
            <v>GASTOS CONDOMINIO</v>
          </cell>
        </row>
        <row r="31">
          <cell r="A31">
            <v>110102027</v>
          </cell>
          <cell r="B31" t="str">
            <v>BANK OF AMERICA AB</v>
          </cell>
          <cell r="D31" t="str">
            <v>SERVA002</v>
          </cell>
          <cell r="E31" t="str">
            <v>GASTOS CONSUMIBLES/IMPRESORAS</v>
          </cell>
        </row>
        <row r="32">
          <cell r="A32">
            <v>110102028</v>
          </cell>
          <cell r="B32" t="str">
            <v>BANK OF AMERICA TE</v>
          </cell>
          <cell r="D32" t="str">
            <v>SERVA004</v>
          </cell>
          <cell r="E32" t="str">
            <v>GASTOS CONTADOR</v>
          </cell>
        </row>
        <row r="33">
          <cell r="A33">
            <v>110102029</v>
          </cell>
          <cell r="B33" t="str">
            <v>AMERANT BANK AB</v>
          </cell>
          <cell r="D33" t="str">
            <v>SERVA049</v>
          </cell>
          <cell r="E33" t="str">
            <v>GASTOS DE VEHICULOS/INSUMO</v>
          </cell>
        </row>
        <row r="34">
          <cell r="A34">
            <v>110102030</v>
          </cell>
          <cell r="B34" t="str">
            <v>AMERANT BANK WILIANS</v>
          </cell>
          <cell r="D34" t="str">
            <v>SERVA040</v>
          </cell>
          <cell r="E34" t="str">
            <v>GASTOS DESINFECCION</v>
          </cell>
        </row>
        <row r="35">
          <cell r="A35">
            <v>110102031</v>
          </cell>
          <cell r="B35" t="str">
            <v>MERCANTIL PANAMA AB</v>
          </cell>
          <cell r="D35" t="str">
            <v>SERVA005</v>
          </cell>
          <cell r="E35" t="str">
            <v>GASTOS FLETES Y ENCOMIENDA</v>
          </cell>
        </row>
        <row r="36">
          <cell r="A36">
            <v>110102032</v>
          </cell>
          <cell r="B36" t="str">
            <v>CITI BANK AB</v>
          </cell>
          <cell r="D36" t="str">
            <v>SERVA005E</v>
          </cell>
          <cell r="E36" t="str">
            <v>GASTOS FLETES Y ENCOMIENDA</v>
          </cell>
        </row>
        <row r="37">
          <cell r="A37">
            <v>110102033</v>
          </cell>
          <cell r="B37" t="str">
            <v>CHASE BANK TE</v>
          </cell>
          <cell r="D37" t="str">
            <v>SERVA006</v>
          </cell>
          <cell r="E37" t="str">
            <v>GASTOS FUMIGACION</v>
          </cell>
        </row>
        <row r="38">
          <cell r="A38">
            <v>110102034</v>
          </cell>
          <cell r="B38" t="str">
            <v>BANESCO USA AB</v>
          </cell>
          <cell r="D38" t="str">
            <v>SERVA006E</v>
          </cell>
          <cell r="E38" t="str">
            <v>GASTOS FUMIGACION</v>
          </cell>
        </row>
        <row r="39">
          <cell r="A39">
            <v>110102035</v>
          </cell>
          <cell r="B39" t="str">
            <v>BNCI AB</v>
          </cell>
          <cell r="D39" t="str">
            <v>SERVA007</v>
          </cell>
          <cell r="E39" t="str">
            <v>GASTOS HONORARIO PROFESIONALES</v>
          </cell>
        </row>
        <row r="40">
          <cell r="A40">
            <v>110102036</v>
          </cell>
          <cell r="B40" t="str">
            <v>PAYPAL AB</v>
          </cell>
          <cell r="D40" t="str">
            <v>SERVA019</v>
          </cell>
          <cell r="E40" t="str">
            <v>GASTOS IMPLEMENTOS DE SEGURIDAD</v>
          </cell>
        </row>
        <row r="41">
          <cell r="A41">
            <v>110102037</v>
          </cell>
          <cell r="B41" t="str">
            <v>AIRTM AB</v>
          </cell>
          <cell r="D41" t="str">
            <v>SERVA019E</v>
          </cell>
          <cell r="E41" t="str">
            <v>GASTOS IMPLEMENTOS DE SEGURIDAD</v>
          </cell>
        </row>
        <row r="42">
          <cell r="A42">
            <v>110102038</v>
          </cell>
          <cell r="B42" t="str">
            <v>AIRTM WILIANS</v>
          </cell>
          <cell r="D42" t="str">
            <v>SERVA008</v>
          </cell>
          <cell r="E42" t="str">
            <v>GASTOS INSUMOS LIMPIEZA</v>
          </cell>
        </row>
        <row r="43">
          <cell r="A43">
            <v>110102039</v>
          </cell>
          <cell r="B43" t="str">
            <v>BANCOLOMBIA ANA</v>
          </cell>
          <cell r="D43" t="str">
            <v>SERVA009</v>
          </cell>
          <cell r="E43" t="str">
            <v>GASTOS INVESTIGACION Y DESARROLLO</v>
          </cell>
        </row>
        <row r="44">
          <cell r="A44">
            <v>110102040</v>
          </cell>
          <cell r="B44" t="str">
            <v>UPHOLD WILIANS</v>
          </cell>
          <cell r="D44" t="str">
            <v>SERVA010</v>
          </cell>
          <cell r="E44" t="str">
            <v>GASTOS MANT. EQUIPOS/MOBILIARIO OFICINA</v>
          </cell>
        </row>
        <row r="45">
          <cell r="A45">
            <v>110102041</v>
          </cell>
          <cell r="B45" t="str">
            <v>BOFA XIMENA</v>
          </cell>
          <cell r="D45" t="str">
            <v>SERVL002</v>
          </cell>
          <cell r="E45" t="str">
            <v>GASTOS MANTENIENTO MAQUINARIA</v>
          </cell>
        </row>
        <row r="46">
          <cell r="A46">
            <v>110102042</v>
          </cell>
          <cell r="B46" t="str">
            <v>BOFA XIMENA</v>
          </cell>
          <cell r="D46" t="str">
            <v>SERVL019</v>
          </cell>
          <cell r="E46" t="str">
            <v>GASTOS MANTENIMIENTO CAMIONES/MANO DE O</v>
          </cell>
        </row>
        <row r="47">
          <cell r="A47">
            <v>110102043</v>
          </cell>
          <cell r="B47" t="str">
            <v>BANESCO MM</v>
          </cell>
          <cell r="D47" t="str">
            <v>SERVL019E</v>
          </cell>
          <cell r="E47" t="str">
            <v>GASTOS MANTENIMIENTO CAMIONES/MANO DE O</v>
          </cell>
        </row>
        <row r="48">
          <cell r="A48">
            <v>110102044</v>
          </cell>
          <cell r="B48" t="str">
            <v>BANCO ACTIVO MM</v>
          </cell>
          <cell r="D48" t="str">
            <v>SERVL019</v>
          </cell>
          <cell r="E48" t="str">
            <v>GASTOS MANTENIMIENTO CAMIONES/MANO DE OBRA</v>
          </cell>
        </row>
        <row r="49">
          <cell r="A49">
            <v>110102045</v>
          </cell>
          <cell r="B49" t="str">
            <v>BNC MM</v>
          </cell>
          <cell r="D49" t="str">
            <v>SERVA011</v>
          </cell>
          <cell r="E49" t="str">
            <v>GASTOS MANTENIMIENTO INFORMATICOS</v>
          </cell>
        </row>
        <row r="50">
          <cell r="A50">
            <v>110102046</v>
          </cell>
          <cell r="B50" t="str">
            <v>BANCO DEL TESORO MM</v>
          </cell>
          <cell r="D50" t="str">
            <v>SERVA012E</v>
          </cell>
          <cell r="E50" t="str">
            <v>GASTOS MANTENIMIENTO VEHICULOS</v>
          </cell>
        </row>
        <row r="51">
          <cell r="A51">
            <v>110102047</v>
          </cell>
          <cell r="B51" t="str">
            <v>BANESCO F5</v>
          </cell>
          <cell r="D51" t="str">
            <v>SERVA012</v>
          </cell>
          <cell r="E51" t="str">
            <v>GASTOS MANTENIMIENTO VEHICULOS</v>
          </cell>
        </row>
        <row r="52">
          <cell r="A52">
            <v>110102048</v>
          </cell>
          <cell r="B52" t="str">
            <v>BNC RE</v>
          </cell>
          <cell r="D52" t="str">
            <v>SERVA012E</v>
          </cell>
          <cell r="E52" t="str">
            <v>GASTOS MANTENIMIENTO VEHICULOS</v>
          </cell>
        </row>
        <row r="53">
          <cell r="A53">
            <v>110102049</v>
          </cell>
          <cell r="B53" t="str">
            <v>MERCANTIL VE AB</v>
          </cell>
          <cell r="D53" t="str">
            <v>SERVA013</v>
          </cell>
          <cell r="E53" t="str">
            <v>GASTOS MEDICINA LABORAL</v>
          </cell>
        </row>
        <row r="54">
          <cell r="A54">
            <v>110102050</v>
          </cell>
          <cell r="B54" t="str">
            <v>BANESCO VE AB</v>
          </cell>
          <cell r="D54" t="str">
            <v>SERVA013E</v>
          </cell>
          <cell r="E54" t="str">
            <v>GASTOS MEDICINA LABORAL(E)</v>
          </cell>
        </row>
        <row r="55">
          <cell r="A55">
            <v>110102051</v>
          </cell>
          <cell r="B55" t="str">
            <v>PROVINCIAL VE AB</v>
          </cell>
          <cell r="D55" t="str">
            <v>SERVL014</v>
          </cell>
          <cell r="E55" t="str">
            <v>GASTOS MEJORAS CASA DE LA TORREFACTORA</v>
          </cell>
        </row>
        <row r="56">
          <cell r="A56">
            <v>110102052</v>
          </cell>
          <cell r="B56" t="str">
            <v>BNC VE AB</v>
          </cell>
          <cell r="D56" t="str">
            <v>SERVL014E</v>
          </cell>
          <cell r="E56" t="str">
            <v>GASTOS MEJORAS CASA DE LA TORREFACTORA</v>
          </cell>
        </row>
        <row r="57">
          <cell r="A57">
            <v>110102053</v>
          </cell>
          <cell r="B57" t="str">
            <v>BFC VE AB</v>
          </cell>
          <cell r="D57" t="str">
            <v>SERVL005</v>
          </cell>
          <cell r="E57" t="str">
            <v>GASTOS MEJORAS DE LA PLANTA</v>
          </cell>
        </row>
        <row r="58">
          <cell r="A58">
            <v>110102054</v>
          </cell>
          <cell r="B58" t="str">
            <v>VENEZUELA VE AB</v>
          </cell>
          <cell r="D58" t="str">
            <v>SERVL005E</v>
          </cell>
          <cell r="E58" t="str">
            <v>GASTOS MEJORAS DE LA PLANTA</v>
          </cell>
        </row>
        <row r="59">
          <cell r="A59">
            <v>110102055</v>
          </cell>
          <cell r="B59" t="str">
            <v>BNC VE AB EURO</v>
          </cell>
          <cell r="D59" t="str">
            <v>SERVA015</v>
          </cell>
          <cell r="E59" t="str">
            <v>GASTOS PAPELERIA</v>
          </cell>
        </row>
        <row r="60">
          <cell r="A60">
            <v>110102056</v>
          </cell>
          <cell r="B60" t="str">
            <v>BFC VE AB EURO</v>
          </cell>
          <cell r="D60" t="str">
            <v>SERVA015E</v>
          </cell>
          <cell r="E60" t="str">
            <v>GASTOS PAPELERIA</v>
          </cell>
        </row>
        <row r="61">
          <cell r="A61">
            <v>110102057</v>
          </cell>
          <cell r="B61" t="str">
            <v>MERCANTIL VE AB EURO</v>
          </cell>
          <cell r="D61" t="str">
            <v>SERVC007E</v>
          </cell>
          <cell r="E61" t="str">
            <v>GASTOS PARAFISCALES FAOV</v>
          </cell>
        </row>
        <row r="62">
          <cell r="A62">
            <v>110102058</v>
          </cell>
          <cell r="B62" t="str">
            <v>PROVINCIAL VE AB EURO</v>
          </cell>
          <cell r="D62" t="str">
            <v>SERVC010E</v>
          </cell>
          <cell r="E62" t="str">
            <v>GASTOS PARAFISCALES INCES</v>
          </cell>
        </row>
        <row r="63">
          <cell r="A63">
            <v>110102059</v>
          </cell>
          <cell r="B63" t="str">
            <v>VENEZUELA VE AB EURO</v>
          </cell>
          <cell r="D63" t="str">
            <v>SERVC009E</v>
          </cell>
          <cell r="E63" t="str">
            <v>GASTOS PARAFISCALES MINTRA</v>
          </cell>
        </row>
        <row r="64">
          <cell r="A64">
            <v>110102110</v>
          </cell>
          <cell r="B64" t="str">
            <v>TESORO RESGUARDO</v>
          </cell>
          <cell r="D64" t="str">
            <v>SERVC008E</v>
          </cell>
          <cell r="E64" t="str">
            <v>GASTOS PARAFISCALES SSO</v>
          </cell>
        </row>
        <row r="65">
          <cell r="A65">
            <v>110106001</v>
          </cell>
          <cell r="B65" t="str">
            <v>CUENTAS POR COBRAR CLIENTES</v>
          </cell>
          <cell r="D65" t="str">
            <v>SERVA032</v>
          </cell>
          <cell r="E65" t="str">
            <v>GASTOS PERMISOS MINEC</v>
          </cell>
        </row>
        <row r="66">
          <cell r="A66">
            <v>110106002</v>
          </cell>
          <cell r="B66" t="str">
            <v>CUENTAS POR COBRAR AGUTI</v>
          </cell>
          <cell r="D66" t="str">
            <v>SERVA032E</v>
          </cell>
          <cell r="E66" t="str">
            <v>GASTOS PERMISOS MINEC</v>
          </cell>
        </row>
        <row r="67">
          <cell r="A67">
            <v>110106003</v>
          </cell>
          <cell r="B67" t="str">
            <v>CUENTAS POR COBRAR TENDENCIAS</v>
          </cell>
          <cell r="D67" t="str">
            <v>SERVA031</v>
          </cell>
          <cell r="E67" t="str">
            <v>GASTOS PERMISOS SAPI</v>
          </cell>
        </row>
        <row r="68">
          <cell r="A68">
            <v>110106004</v>
          </cell>
          <cell r="B68" t="str">
            <v>CUENTAS POR COBRAR AGROTENDENCIAS</v>
          </cell>
          <cell r="D68" t="str">
            <v>SERVA031E</v>
          </cell>
          <cell r="E68" t="str">
            <v>GASTOS PERMISOS SAPI</v>
          </cell>
        </row>
        <row r="69">
          <cell r="A69">
            <v>110106005</v>
          </cell>
          <cell r="B69" t="str">
            <v>CUENTAS POR COBRAR MUEBLES</v>
          </cell>
          <cell r="D69" t="str">
            <v>SERVA016</v>
          </cell>
          <cell r="E69" t="str">
            <v>GASTOS PUBLICIDAD</v>
          </cell>
        </row>
        <row r="70">
          <cell r="A70">
            <v>110106006</v>
          </cell>
          <cell r="B70" t="str">
            <v>CUENTAS POR COBRAR F5</v>
          </cell>
          <cell r="D70" t="str">
            <v>SERVA017</v>
          </cell>
          <cell r="E70" t="str">
            <v>GASTOS REFRIGERIOS</v>
          </cell>
        </row>
        <row r="71">
          <cell r="A71">
            <v>110106007</v>
          </cell>
          <cell r="B71" t="str">
            <v>CUENTAS POR COBRAR INVERSIONES AB</v>
          </cell>
          <cell r="D71" t="str">
            <v>SERVA017E</v>
          </cell>
          <cell r="E71" t="str">
            <v>GASTOS REFRIGERIOS</v>
          </cell>
        </row>
        <row r="72">
          <cell r="A72">
            <v>110106008</v>
          </cell>
          <cell r="B72" t="str">
            <v>CUENTAS POR COBRAR RESGUARDO</v>
          </cell>
          <cell r="D72" t="str">
            <v>SERVA018</v>
          </cell>
          <cell r="E72" t="str">
            <v>GASTOS REPRESENTACION</v>
          </cell>
        </row>
        <row r="73">
          <cell r="A73">
            <v>110106009</v>
          </cell>
          <cell r="B73" t="str">
            <v>CUENTAS POR COBRAR COMERCIALIZADORA AB</v>
          </cell>
          <cell r="D73" t="str">
            <v>SERVA018E</v>
          </cell>
          <cell r="E73" t="str">
            <v>GASTOS REPRESENTACION (E)</v>
          </cell>
        </row>
        <row r="74">
          <cell r="A74">
            <v>110106010</v>
          </cell>
          <cell r="B74" t="str">
            <v>CUENTAS POR COBRAR PERSONAL DE SEGURIDAD</v>
          </cell>
          <cell r="D74" t="str">
            <v>SERVA026</v>
          </cell>
          <cell r="E74" t="str">
            <v>GASTOS SEGURIDAD /RESGUARDO</v>
          </cell>
        </row>
        <row r="75">
          <cell r="A75">
            <v>110106099</v>
          </cell>
          <cell r="B75" t="str">
            <v>CUENTAS X COBRAR CLIENTES</v>
          </cell>
          <cell r="D75" t="str">
            <v>SERVA026E</v>
          </cell>
          <cell r="E75" t="str">
            <v>GASTOS SEGURIDAD /RESGUARDO</v>
          </cell>
        </row>
        <row r="76">
          <cell r="A76">
            <v>110107001</v>
          </cell>
          <cell r="B76" t="str">
            <v>CUENTAS POR COBRAR PROVEEDORES</v>
          </cell>
          <cell r="D76" t="str">
            <v>SERVC001E</v>
          </cell>
          <cell r="E76" t="str">
            <v>GASTOS SENIAT</v>
          </cell>
        </row>
        <row r="77">
          <cell r="A77">
            <v>110110001</v>
          </cell>
          <cell r="B77" t="str">
            <v>EFECTOS POR COBRAR</v>
          </cell>
          <cell r="D77" t="str">
            <v>SERVA030</v>
          </cell>
          <cell r="E77" t="str">
            <v>GASTOS TELECOMUNICACIONES/INTERNET</v>
          </cell>
        </row>
        <row r="78">
          <cell r="A78">
            <v>110113001</v>
          </cell>
          <cell r="B78" t="str">
            <v>CUENTAS POR COBRAR EMPLEADOS</v>
          </cell>
          <cell r="D78" t="str">
            <v>SERVA030E</v>
          </cell>
          <cell r="E78" t="str">
            <v>GASTOS TELECOMUNICACIONES/INTERNET</v>
          </cell>
        </row>
        <row r="79">
          <cell r="A79">
            <v>110113002</v>
          </cell>
          <cell r="B79" t="str">
            <v>CUENTAS POR COBRAR GUILLERMO</v>
          </cell>
          <cell r="D79" t="str">
            <v>SERVA020</v>
          </cell>
          <cell r="E79" t="str">
            <v>GASTOS UNIFORME Y DOTACIONES</v>
          </cell>
        </row>
        <row r="80">
          <cell r="A80">
            <v>110114001</v>
          </cell>
          <cell r="B80" t="str">
            <v>ANTICIPO PROVEDORES</v>
          </cell>
          <cell r="D80" t="str">
            <v>SERVA021E</v>
          </cell>
          <cell r="E80" t="str">
            <v>GASTOS VIATICOS</v>
          </cell>
        </row>
        <row r="81">
          <cell r="A81">
            <v>110120001</v>
          </cell>
          <cell r="B81" t="str">
            <v>INVENTARIO DE MERCANCIA</v>
          </cell>
          <cell r="D81" t="str">
            <v>SERVA021</v>
          </cell>
          <cell r="E81" t="str">
            <v>GASTOS VIATICOS</v>
          </cell>
        </row>
        <row r="82">
          <cell r="A82">
            <v>110125001</v>
          </cell>
          <cell r="B82" t="str">
            <v>DECLARACION ESTIMADA I.S.L.R</v>
          </cell>
          <cell r="D82" t="str">
            <v>SERVB002</v>
          </cell>
          <cell r="E82" t="str">
            <v>IMPUESTO A LAS GRANDES TRANSACCIONES FI</v>
          </cell>
        </row>
        <row r="83">
          <cell r="A83">
            <v>110125002</v>
          </cell>
          <cell r="B83" t="str">
            <v>ANTCIPO DE I.S.L.R</v>
          </cell>
          <cell r="D83" t="str">
            <v>SERVB002E</v>
          </cell>
          <cell r="E83" t="str">
            <v>IMPUESTO A LAS GRANDES TRANSACCIONES FI</v>
          </cell>
        </row>
        <row r="84">
          <cell r="A84">
            <v>110127001</v>
          </cell>
          <cell r="B84" t="str">
            <v>ADELANTO HANLEY MARTIN BORGE</v>
          </cell>
          <cell r="D84" t="str">
            <v>SERVB002</v>
          </cell>
          <cell r="E84" t="str">
            <v>IMPUESTO A LAS GRANDES TRANSACCIONES FINANCIERAS</v>
          </cell>
        </row>
        <row r="85">
          <cell r="A85">
            <v>110127002</v>
          </cell>
          <cell r="B85" t="str">
            <v>TELECOMUNICACIONES CABLENET</v>
          </cell>
          <cell r="D85" t="str">
            <v>SERVB002E</v>
          </cell>
          <cell r="E85" t="str">
            <v>IMPUESTO A LAS GRANDES TRANSACCIONES FINANCIERAS</v>
          </cell>
        </row>
        <row r="86">
          <cell r="A86">
            <v>120101001</v>
          </cell>
          <cell r="B86" t="str">
            <v>MOBILIARIO Y EQUIPOS DE OFICINA</v>
          </cell>
          <cell r="D86" t="str">
            <v>SERVA24</v>
          </cell>
          <cell r="E86" t="str">
            <v>IMPUESTO IGTF (pago divisas)</v>
          </cell>
        </row>
        <row r="87">
          <cell r="A87">
            <v>120101002</v>
          </cell>
          <cell r="B87" t="str">
            <v>DEPRECIACION ACUMULADA MOBILIARIOS Y EQUIPOS</v>
          </cell>
          <cell r="D87" t="str">
            <v>SERVA028</v>
          </cell>
          <cell r="E87" t="str">
            <v>INSUMO MEDICINA LABORAL</v>
          </cell>
        </row>
        <row r="88">
          <cell r="A88">
            <v>120104001</v>
          </cell>
          <cell r="B88" t="str">
            <v>VEHICULO</v>
          </cell>
          <cell r="D88" t="str">
            <v>SERVA028E</v>
          </cell>
          <cell r="E88" t="str">
            <v>INSUMO MEDICINA LABORAL</v>
          </cell>
        </row>
        <row r="89">
          <cell r="A89">
            <v>120104002</v>
          </cell>
          <cell r="B89" t="str">
            <v>DEPRECIACION ACUMULADA VEHICULO</v>
          </cell>
          <cell r="D89" t="str">
            <v>SERVP006</v>
          </cell>
          <cell r="E89" t="str">
            <v>INSUMOS DE EXPLOTACION DE MATERIA PRIMA</v>
          </cell>
        </row>
        <row r="90">
          <cell r="A90">
            <v>120105001</v>
          </cell>
          <cell r="B90" t="str">
            <v>INMUEBLE</v>
          </cell>
          <cell r="D90" t="str">
            <v>SERVL013</v>
          </cell>
          <cell r="E90" t="str">
            <v>INSUMOS MANTENIMIENTOS</v>
          </cell>
        </row>
        <row r="91">
          <cell r="A91">
            <v>120105002</v>
          </cell>
          <cell r="B91" t="str">
            <v>DEPRECIACION ACUMULADA INMUEBLE</v>
          </cell>
          <cell r="D91" t="str">
            <v>SERVL017</v>
          </cell>
          <cell r="E91" t="str">
            <v>INSUMOS MAQUINARIAS</v>
          </cell>
        </row>
        <row r="92">
          <cell r="A92">
            <v>130101001</v>
          </cell>
          <cell r="B92" t="str">
            <v>AJUSTE DE RECONVERSION MONETARIA</v>
          </cell>
          <cell r="D92" t="str">
            <v>SERVB003</v>
          </cell>
          <cell r="E92" t="str">
            <v>INTERESES POR CREDITO BANCARIO</v>
          </cell>
        </row>
        <row r="93">
          <cell r="A93">
            <v>210101001</v>
          </cell>
          <cell r="B93" t="str">
            <v>CUENTAS POR PAGAR PROVEEDORES</v>
          </cell>
          <cell r="D93" t="str">
            <v>SERVB003E</v>
          </cell>
          <cell r="E93" t="str">
            <v>INTERESES POR CREDITO BANCARIO</v>
          </cell>
        </row>
        <row r="94">
          <cell r="A94">
            <v>210115001</v>
          </cell>
          <cell r="B94" t="str">
            <v>CUENTA POR PAGAR ASOC COOP TENDENCIAS</v>
          </cell>
          <cell r="D94" t="str">
            <v>SERVB003</v>
          </cell>
          <cell r="E94" t="str">
            <v>INTERESES POR CREDITO BANCARIO</v>
          </cell>
        </row>
        <row r="95">
          <cell r="A95">
            <v>210115002</v>
          </cell>
          <cell r="B95" t="str">
            <v>CUENTAS POR PAGAR INTERCOMPAÑIAS</v>
          </cell>
          <cell r="D95" t="str">
            <v>SERVB003E</v>
          </cell>
          <cell r="E95" t="str">
            <v>INTERESES POR CREDITO BANCARIO</v>
          </cell>
        </row>
        <row r="96">
          <cell r="A96">
            <v>210115003</v>
          </cell>
          <cell r="B96" t="str">
            <v>CUENTA POR PAGAR TENDENCIAS AB</v>
          </cell>
          <cell r="D96" t="str">
            <v>SERVB004</v>
          </cell>
          <cell r="E96" t="str">
            <v>INTERESES POR TITULO DE COBERTURA</v>
          </cell>
        </row>
        <row r="97">
          <cell r="A97">
            <v>210201001</v>
          </cell>
          <cell r="B97" t="str">
            <v>CUENTAS POR PAGAR BANCOS BANESCO</v>
          </cell>
          <cell r="D97" t="str">
            <v>SERVB004E</v>
          </cell>
          <cell r="E97" t="str">
            <v>INTERESES POR TITULO DE COBERTURA</v>
          </cell>
        </row>
        <row r="98">
          <cell r="A98">
            <v>210201002</v>
          </cell>
          <cell r="B98" t="str">
            <v>CUENTAS POR PAGAR BANCOS PROVINCIAL</v>
          </cell>
          <cell r="D98" t="str">
            <v>SERVB004</v>
          </cell>
          <cell r="E98" t="str">
            <v>INTERESES POR TITULO DE COBERTURA</v>
          </cell>
        </row>
        <row r="99">
          <cell r="A99">
            <v>210201003</v>
          </cell>
          <cell r="B99" t="str">
            <v>CUENTAS POR PAGAR BANCOS VNZLA</v>
          </cell>
          <cell r="D99" t="str">
            <v>SERVB004E</v>
          </cell>
          <cell r="E99" t="str">
            <v>INTERESES POR TITULO DE COBERTURA</v>
          </cell>
        </row>
        <row r="100">
          <cell r="A100">
            <v>210201004</v>
          </cell>
          <cell r="B100" t="str">
            <v>CUENTAS POR PAGAR BANCO MERCANTIL</v>
          </cell>
          <cell r="D100" t="str">
            <v>SERVC004E</v>
          </cell>
          <cell r="E100" t="str">
            <v>PAGO ISLR/ ADELANTOS</v>
          </cell>
        </row>
        <row r="101">
          <cell r="A101">
            <v>210201005</v>
          </cell>
          <cell r="B101" t="str">
            <v>CUENTAS POR PAGAR BANCO BOD</v>
          </cell>
          <cell r="D101" t="str">
            <v>SERVC005E</v>
          </cell>
          <cell r="E101" t="str">
            <v>PAGO IVA/ ADELANTOS</v>
          </cell>
        </row>
        <row r="102">
          <cell r="A102">
            <v>210201006</v>
          </cell>
          <cell r="B102" t="str">
            <v>CUENTAS POR PAGAR BANCO BFC</v>
          </cell>
          <cell r="D102" t="str">
            <v>SERVB006</v>
          </cell>
          <cell r="E102" t="str">
            <v>PRESTAMOS BANCARIOS</v>
          </cell>
        </row>
        <row r="103">
          <cell r="A103">
            <v>210201007</v>
          </cell>
          <cell r="B103" t="str">
            <v>CUENTAS POR PAGAR BANCO CARONI</v>
          </cell>
          <cell r="D103" t="str">
            <v>SERVB006E</v>
          </cell>
          <cell r="E103" t="str">
            <v>PRESTAMOS BANCARIOS</v>
          </cell>
        </row>
        <row r="104">
          <cell r="A104">
            <v>210201008</v>
          </cell>
          <cell r="B104" t="str">
            <v>CUENTAS POR PAGAR BANCO SOFITASA</v>
          </cell>
          <cell r="D104" t="str">
            <v>SERVB006</v>
          </cell>
          <cell r="E104" t="str">
            <v>PRESTAMOS BANCARIOS</v>
          </cell>
        </row>
        <row r="105">
          <cell r="A105">
            <v>210201009</v>
          </cell>
          <cell r="B105" t="str">
            <v>CUENTAS POR PAGAR BANCO BNC</v>
          </cell>
          <cell r="D105" t="str">
            <v>SERVB006E</v>
          </cell>
          <cell r="E105" t="str">
            <v>PRESTAMOS BANCARIOS</v>
          </cell>
        </row>
        <row r="106">
          <cell r="A106">
            <v>210201010</v>
          </cell>
          <cell r="B106" t="str">
            <v>CUENTAS POR PAGAR BANCO BANESCO 084</v>
          </cell>
          <cell r="D106" t="str">
            <v>SERVC011</v>
          </cell>
          <cell r="E106" t="str">
            <v>PROTECCION A LAS PENSIONES</v>
          </cell>
        </row>
        <row r="107">
          <cell r="A107">
            <v>210201011</v>
          </cell>
          <cell r="B107" t="str">
            <v>CUENTAS POR PAGAR BANCO TESORO</v>
          </cell>
          <cell r="D107" t="str">
            <v>SERVC011E</v>
          </cell>
          <cell r="E107" t="str">
            <v>PROTECCION A LAS PENSIONES</v>
          </cell>
        </row>
        <row r="108">
          <cell r="A108">
            <v>210301001</v>
          </cell>
          <cell r="B108" t="str">
            <v>15 DIAS DE ANTIGUEDAD POR PAGAR</v>
          </cell>
          <cell r="D108" t="str">
            <v>SERVC003E</v>
          </cell>
          <cell r="E108" t="str">
            <v>RETENCIONES ISLR</v>
          </cell>
        </row>
        <row r="109">
          <cell r="A109">
            <v>210401001</v>
          </cell>
          <cell r="B109" t="str">
            <v>I.G.V. POR PAGAR (DEBITO FISCAL)</v>
          </cell>
          <cell r="D109" t="str">
            <v>SERVC002E</v>
          </cell>
          <cell r="E109" t="str">
            <v>RETENCIONES IVA</v>
          </cell>
        </row>
        <row r="110">
          <cell r="A110">
            <v>210402001</v>
          </cell>
          <cell r="B110" t="str">
            <v>I.G.V. POR PAGAR (CREDITO FISCAL)</v>
          </cell>
          <cell r="D110" t="str">
            <v>SERVA027</v>
          </cell>
          <cell r="E110" t="str">
            <v>SENCAMER</v>
          </cell>
        </row>
        <row r="111">
          <cell r="A111">
            <v>210403001</v>
          </cell>
          <cell r="B111" t="str">
            <v>RETENCIONES IVA ACUMULADAS POR DESCONTAR</v>
          </cell>
          <cell r="D111" t="str">
            <v>SERVA027E</v>
          </cell>
          <cell r="E111" t="str">
            <v>SENCAMER</v>
          </cell>
        </row>
        <row r="112">
          <cell r="A112">
            <v>210403002</v>
          </cell>
          <cell r="B112" t="str">
            <v>EXCEDENTES</v>
          </cell>
          <cell r="D112" t="str">
            <v>SERVC006E</v>
          </cell>
          <cell r="E112" t="str">
            <v>SUELDOS Y SALARIOS/BONO ALIMENTACION</v>
          </cell>
        </row>
        <row r="113">
          <cell r="A113">
            <v>210404001</v>
          </cell>
          <cell r="B113" t="str">
            <v>RETENCIONES IVA DEL PERIODO</v>
          </cell>
          <cell r="D113" t="str">
            <v>SERVB005</v>
          </cell>
          <cell r="E113" t="str">
            <v>TITULO DE COBERTURA</v>
          </cell>
        </row>
        <row r="114">
          <cell r="A114">
            <v>210405001</v>
          </cell>
          <cell r="B114" t="str">
            <v>EXCEDENTE DE CREDITO FISCAL</v>
          </cell>
          <cell r="D114" t="str">
            <v>SERVB005E</v>
          </cell>
          <cell r="E114" t="str">
            <v>TITULO DE COBERTURA</v>
          </cell>
        </row>
        <row r="115">
          <cell r="A115">
            <v>210406001</v>
          </cell>
          <cell r="B115" t="str">
            <v>I.V.A. POR PAGAR</v>
          </cell>
          <cell r="D115" t="str">
            <v>SERVB005</v>
          </cell>
          <cell r="E115" t="str">
            <v>TITULO DE COBERTURA</v>
          </cell>
        </row>
        <row r="116">
          <cell r="A116">
            <v>210501001</v>
          </cell>
          <cell r="B116" t="str">
            <v>I.S.L.R. DEL EJERCICIO POR PAGAR</v>
          </cell>
          <cell r="D116" t="str">
            <v>SERVB005E</v>
          </cell>
          <cell r="E116" t="str">
            <v>TITULO DE COBERTURA</v>
          </cell>
        </row>
        <row r="117">
          <cell r="A117">
            <v>210501002</v>
          </cell>
          <cell r="B117" t="str">
            <v>DECLARACION ESTIMADA</v>
          </cell>
          <cell r="D117" t="str">
            <v>SERVL018</v>
          </cell>
          <cell r="E117" t="str">
            <v>GASTOS CAMIONES/INSUMOS</v>
          </cell>
        </row>
        <row r="118">
          <cell r="A118">
            <v>210601001</v>
          </cell>
          <cell r="B118" t="str">
            <v>RETENCION ISLR POR PAGAR</v>
          </cell>
          <cell r="D118" t="str">
            <v>SERVC012E</v>
          </cell>
          <cell r="E118" t="str">
            <v>BENEFICIO ALIMENTICIO</v>
          </cell>
        </row>
        <row r="119">
          <cell r="A119">
            <v>210701001</v>
          </cell>
          <cell r="B119" t="str">
            <v>RETENCIONES LPH POR PAGAR EMPLEADOS</v>
          </cell>
          <cell r="D119" t="str">
            <v>SERVA044E</v>
          </cell>
          <cell r="E119" t="str">
            <v>GASTOS CONTAINER</v>
          </cell>
        </row>
        <row r="120">
          <cell r="A120">
            <v>210701002</v>
          </cell>
          <cell r="B120" t="str">
            <v>RETENCION LPH POR PAGAR PATRONAL</v>
          </cell>
          <cell r="D120" t="str">
            <v>SERVL004E</v>
          </cell>
          <cell r="E120" t="str">
            <v xml:space="preserve">VIAJE DE AGUA CISTERNA </v>
          </cell>
        </row>
        <row r="121">
          <cell r="A121">
            <v>210801001</v>
          </cell>
          <cell r="B121" t="str">
            <v>RETENCIONES IVSS POR PAGAR EMPLEADOS</v>
          </cell>
          <cell r="D121" t="str">
            <v>SERVA043</v>
          </cell>
          <cell r="E121" t="str">
            <v>DONACION</v>
          </cell>
        </row>
        <row r="122">
          <cell r="A122">
            <v>210801002</v>
          </cell>
          <cell r="B122" t="str">
            <v>RETENCIONES SPF POR PAGAR EMPLEADOS</v>
          </cell>
          <cell r="D122" t="str">
            <v>SERVA051E</v>
          </cell>
          <cell r="E122" t="str">
            <v>POLIZA DE SEGURO AMBIENTAL</v>
          </cell>
        </row>
        <row r="123">
          <cell r="A123">
            <v>210801003</v>
          </cell>
          <cell r="B123" t="str">
            <v>RETENCIONES IVSS POR PAGAR PATRONAL</v>
          </cell>
        </row>
        <row r="124">
          <cell r="A124">
            <v>210801004</v>
          </cell>
          <cell r="B124" t="str">
            <v>RETENCIONES SPF POR PAGAR PATRONAL</v>
          </cell>
        </row>
        <row r="125">
          <cell r="A125">
            <v>210901001</v>
          </cell>
          <cell r="B125" t="str">
            <v>BONO ALIMENTACION POR PAGAR</v>
          </cell>
        </row>
        <row r="126">
          <cell r="A126">
            <v>210901099</v>
          </cell>
          <cell r="B126" t="str">
            <v>BONO ALIMENTACION COMPLEMENTARIA</v>
          </cell>
        </row>
        <row r="127">
          <cell r="A127">
            <v>211001001</v>
          </cell>
          <cell r="B127" t="str">
            <v>RETENCION INCE</v>
          </cell>
        </row>
        <row r="128">
          <cell r="A128">
            <v>211001002</v>
          </cell>
          <cell r="B128" t="str">
            <v>INCES 1/2 % TRABAJADOR</v>
          </cell>
        </row>
        <row r="129">
          <cell r="A129">
            <v>211001003</v>
          </cell>
          <cell r="B129" t="str">
            <v>INCES INTERESES</v>
          </cell>
        </row>
        <row r="130">
          <cell r="A130">
            <v>211101001</v>
          </cell>
          <cell r="B130" t="str">
            <v>VACACIONES POR PAGAR</v>
          </cell>
        </row>
        <row r="131">
          <cell r="A131">
            <v>211201001</v>
          </cell>
          <cell r="B131" t="str">
            <v>BENEFICIO ANUAL POR PAGAR</v>
          </cell>
        </row>
        <row r="132">
          <cell r="A132">
            <v>211501001</v>
          </cell>
          <cell r="B132" t="str">
            <v>DIAS ADICIONALES DE ANTIGUEDAD POR PAGAR</v>
          </cell>
        </row>
        <row r="133">
          <cell r="A133">
            <v>212601001</v>
          </cell>
          <cell r="B133" t="str">
            <v>RETENCION COMPRAS 75%</v>
          </cell>
        </row>
        <row r="134">
          <cell r="A134">
            <v>212901001</v>
          </cell>
          <cell r="B134" t="str">
            <v>SUELDOS Y SALARIOS POR PAGAR</v>
          </cell>
        </row>
        <row r="135">
          <cell r="A135">
            <v>213001001</v>
          </cell>
          <cell r="B135" t="str">
            <v>SUELDOS A DIRECTORES POR PAGAR</v>
          </cell>
        </row>
        <row r="136">
          <cell r="A136">
            <v>213101001</v>
          </cell>
          <cell r="B136" t="str">
            <v>SEGURO SOCIAL POR PAGAR</v>
          </cell>
        </row>
        <row r="137">
          <cell r="A137">
            <v>213201001</v>
          </cell>
          <cell r="B137" t="str">
            <v>BANAVIH POR PAGAR</v>
          </cell>
        </row>
        <row r="138">
          <cell r="A138">
            <v>213401001</v>
          </cell>
          <cell r="B138" t="str">
            <v>PROTECCION A LA PENSIONES POR PAGAR</v>
          </cell>
        </row>
        <row r="139">
          <cell r="A139">
            <v>310101001</v>
          </cell>
          <cell r="B139" t="str">
            <v>CAPITAL SUSCRITO Y PAGADO</v>
          </cell>
        </row>
        <row r="140">
          <cell r="A140">
            <v>310101002</v>
          </cell>
          <cell r="B140" t="str">
            <v>AUMENTO DE CAPITAL</v>
          </cell>
        </row>
        <row r="141">
          <cell r="A141">
            <v>310201001</v>
          </cell>
          <cell r="B141" t="str">
            <v>UTILIDAD DEL EJERCICIO</v>
          </cell>
        </row>
        <row r="142">
          <cell r="A142">
            <v>310202001</v>
          </cell>
          <cell r="B142" t="str">
            <v>UTILIDAD DEL EJERCICIO POR INFLACION</v>
          </cell>
        </row>
        <row r="143">
          <cell r="A143">
            <v>310301001</v>
          </cell>
          <cell r="B143" t="str">
            <v>PERDIDA DEL EJERCICIO</v>
          </cell>
        </row>
        <row r="144">
          <cell r="A144">
            <v>310302001</v>
          </cell>
          <cell r="B144" t="str">
            <v>PERDIDA ACUMULADA POR INFLACION</v>
          </cell>
        </row>
        <row r="145">
          <cell r="A145">
            <v>310303001</v>
          </cell>
          <cell r="B145" t="str">
            <v>PERDIDA DEL EJERCICIO POR INFLACION</v>
          </cell>
        </row>
        <row r="146">
          <cell r="A146">
            <v>310401001</v>
          </cell>
          <cell r="B146" t="str">
            <v>UTILIDADES ACUMULADAS</v>
          </cell>
        </row>
        <row r="147">
          <cell r="A147">
            <v>310402001</v>
          </cell>
          <cell r="B147" t="str">
            <v>PERDIDAS ACUMULADAS</v>
          </cell>
        </row>
        <row r="148">
          <cell r="A148">
            <v>310403001</v>
          </cell>
          <cell r="B148" t="str">
            <v>UTILIDAD ACUMULADA POR INFLACION</v>
          </cell>
        </row>
        <row r="149">
          <cell r="A149">
            <v>310601001</v>
          </cell>
          <cell r="B149" t="str">
            <v>PERDIDAS ACUMULADAS</v>
          </cell>
        </row>
        <row r="150">
          <cell r="A150">
            <v>310801001</v>
          </cell>
          <cell r="B150" t="str">
            <v>RESERVA LEGAL</v>
          </cell>
        </row>
        <row r="151">
          <cell r="A151">
            <v>312001001</v>
          </cell>
          <cell r="B151" t="str">
            <v>APORTE POR CAPITALIZAR</v>
          </cell>
        </row>
        <row r="152">
          <cell r="A152">
            <v>410101001</v>
          </cell>
          <cell r="B152" t="str">
            <v>INGRESOS POR VENTAS</v>
          </cell>
        </row>
        <row r="153">
          <cell r="A153">
            <v>410202001</v>
          </cell>
          <cell r="B153" t="str">
            <v>DEVOLUCIONES EN VENTAS CON IVA</v>
          </cell>
        </row>
        <row r="154">
          <cell r="A154">
            <v>420101001</v>
          </cell>
          <cell r="B154" t="str">
            <v>INGRESOS POR INTERESES BANCARIOS</v>
          </cell>
        </row>
        <row r="155">
          <cell r="A155">
            <v>510101001</v>
          </cell>
          <cell r="B155" t="str">
            <v>COMPRAS CON IVA</v>
          </cell>
        </row>
        <row r="156">
          <cell r="A156">
            <v>510101002</v>
          </cell>
          <cell r="B156" t="str">
            <v>INVENTARIO INICIAL</v>
          </cell>
        </row>
        <row r="157">
          <cell r="A157">
            <v>510101003</v>
          </cell>
          <cell r="B157" t="str">
            <v>INVENTARIO FINAL</v>
          </cell>
        </row>
        <row r="158">
          <cell r="A158">
            <v>510101004</v>
          </cell>
          <cell r="B158" t="str">
            <v>COMPRAS EXENTAS</v>
          </cell>
        </row>
        <row r="159">
          <cell r="A159">
            <v>510101005</v>
          </cell>
          <cell r="B159" t="str">
            <v>MATERIA PRIMA</v>
          </cell>
        </row>
        <row r="160">
          <cell r="A160">
            <v>510101006</v>
          </cell>
          <cell r="B160" t="str">
            <v>INVENTARIO DE PRODUCTOS TERMINADOS</v>
          </cell>
        </row>
        <row r="161">
          <cell r="A161">
            <v>510101007</v>
          </cell>
          <cell r="B161" t="str">
            <v>COMPRAS IMPORTADAS</v>
          </cell>
        </row>
        <row r="162">
          <cell r="A162">
            <v>510101008</v>
          </cell>
          <cell r="B162" t="str">
            <v>GASTOS DE ADUANA</v>
          </cell>
        </row>
        <row r="163">
          <cell r="A163">
            <v>510202001</v>
          </cell>
          <cell r="B163" t="str">
            <v>DESCUENTOS Y DEVOLUCIONES EN COMPRAS</v>
          </cell>
        </row>
        <row r="164">
          <cell r="A164">
            <v>510202002</v>
          </cell>
          <cell r="B164" t="str">
            <v>DESCUENTO POR PRONTO PAGO</v>
          </cell>
        </row>
        <row r="165">
          <cell r="A165">
            <v>520101001</v>
          </cell>
          <cell r="B165" t="str">
            <v>ANALISTA</v>
          </cell>
        </row>
        <row r="166">
          <cell r="A166">
            <v>520102001</v>
          </cell>
          <cell r="B166" t="str">
            <v>CHOFERES</v>
          </cell>
        </row>
        <row r="167">
          <cell r="A167">
            <v>520103001</v>
          </cell>
          <cell r="B167" t="str">
            <v>AYUDANTES</v>
          </cell>
        </row>
        <row r="168">
          <cell r="A168">
            <v>520104001</v>
          </cell>
          <cell r="B168" t="str">
            <v>ALMACENISTAS</v>
          </cell>
        </row>
        <row r="169">
          <cell r="A169">
            <v>520105001</v>
          </cell>
          <cell r="B169" t="str">
            <v>AYUDANTE DE ALMACEN</v>
          </cell>
        </row>
        <row r="170">
          <cell r="A170">
            <v>520106001</v>
          </cell>
          <cell r="B170" t="str">
            <v>MANTENIMIENTO</v>
          </cell>
        </row>
        <row r="171">
          <cell r="A171">
            <v>610101001</v>
          </cell>
          <cell r="B171" t="str">
            <v>SUELDOS Y SALARIOS</v>
          </cell>
        </row>
        <row r="172">
          <cell r="A172">
            <v>610101002</v>
          </cell>
          <cell r="B172" t="str">
            <v>SUELDOS Y SALARIOS DIRECTORES</v>
          </cell>
        </row>
        <row r="173">
          <cell r="A173">
            <v>610101003</v>
          </cell>
          <cell r="B173" t="str">
            <v>VACACIONES</v>
          </cell>
        </row>
        <row r="174">
          <cell r="A174">
            <v>610101004</v>
          </cell>
          <cell r="B174" t="str">
            <v>UTILIDADES</v>
          </cell>
        </row>
        <row r="175">
          <cell r="A175">
            <v>610101005</v>
          </cell>
          <cell r="B175" t="str">
            <v>PRESTACIONES Y LIQUIDACIONES</v>
          </cell>
        </row>
        <row r="176">
          <cell r="A176">
            <v>610101006</v>
          </cell>
          <cell r="B176" t="str">
            <v>BONO LIBERALIDAD PATRONAL</v>
          </cell>
        </row>
        <row r="177">
          <cell r="A177">
            <v>610101007</v>
          </cell>
          <cell r="B177" t="str">
            <v>BONO ALIMENTACION</v>
          </cell>
        </row>
        <row r="178">
          <cell r="A178">
            <v>610102001</v>
          </cell>
          <cell r="B178" t="str">
            <v>APORTE PATRONAL SSO</v>
          </cell>
        </row>
        <row r="179">
          <cell r="A179">
            <v>610102002</v>
          </cell>
          <cell r="B179" t="str">
            <v>APORTE PATRONAL SPF</v>
          </cell>
        </row>
        <row r="180">
          <cell r="A180">
            <v>610102003</v>
          </cell>
          <cell r="B180" t="str">
            <v>APORTE PATRONAL FAOV</v>
          </cell>
        </row>
        <row r="181">
          <cell r="A181">
            <v>610102004</v>
          </cell>
          <cell r="B181" t="str">
            <v>APORTE PATRONAL INCES</v>
          </cell>
        </row>
        <row r="182">
          <cell r="A182">
            <v>610102005</v>
          </cell>
          <cell r="B182" t="str">
            <v>APORTE PATRONAL INCES INTERESES</v>
          </cell>
        </row>
        <row r="183">
          <cell r="A183">
            <v>610103001</v>
          </cell>
          <cell r="B183" t="str">
            <v>DIA DE DESCANSO LABORADO</v>
          </cell>
        </row>
        <row r="184">
          <cell r="A184">
            <v>610103002</v>
          </cell>
          <cell r="B184" t="str">
            <v>DIA DE DESCANSO LABORADO</v>
          </cell>
        </row>
        <row r="185">
          <cell r="A185">
            <v>610104001</v>
          </cell>
          <cell r="B185" t="str">
            <v>BONO DE GUERRA ECONOMICA</v>
          </cell>
        </row>
        <row r="186">
          <cell r="A186">
            <v>610105001</v>
          </cell>
          <cell r="B186" t="str">
            <v>ARTICULO DE OFICINA</v>
          </cell>
        </row>
        <row r="187">
          <cell r="A187">
            <v>610106001</v>
          </cell>
          <cell r="B187" t="str">
            <v>FLETES Y ENCOMIENDAS</v>
          </cell>
        </row>
        <row r="188">
          <cell r="A188">
            <v>610107001</v>
          </cell>
          <cell r="B188" t="str">
            <v>GASTOS DE IMPORTACION</v>
          </cell>
        </row>
        <row r="189">
          <cell r="A189">
            <v>610108001</v>
          </cell>
          <cell r="B189" t="str">
            <v>GASTOS TELECOMUNICACIONES/INTERNET</v>
          </cell>
        </row>
        <row r="190">
          <cell r="A190">
            <v>610109001</v>
          </cell>
          <cell r="B190" t="str">
            <v>REPARACION Y MANTENIMIENTO DE EQUIPOS</v>
          </cell>
        </row>
        <row r="191">
          <cell r="A191">
            <v>610113001</v>
          </cell>
          <cell r="B191" t="str">
            <v>PATENTE DE INDUSTRIA Y COMERCIO</v>
          </cell>
        </row>
        <row r="192">
          <cell r="A192">
            <v>610114001</v>
          </cell>
          <cell r="B192" t="str">
            <v>GASTOS DE PUBLICIDAD</v>
          </cell>
        </row>
        <row r="193">
          <cell r="A193">
            <v>610116001</v>
          </cell>
          <cell r="B193" t="str">
            <v>MANTENIMIENTO DE INFRAESTRUCTURA</v>
          </cell>
        </row>
        <row r="194">
          <cell r="A194">
            <v>610116002</v>
          </cell>
          <cell r="B194" t="str">
            <v>MANO DE OBRA DE MANTENIMIENTO INFRAESTRUCTURA</v>
          </cell>
        </row>
        <row r="195">
          <cell r="A195">
            <v>610117001</v>
          </cell>
          <cell r="B195" t="str">
            <v>MEJORA A INSTALACIONES</v>
          </cell>
        </row>
        <row r="196">
          <cell r="A196">
            <v>610118001</v>
          </cell>
          <cell r="B196" t="str">
            <v>AJUSTE I.G.V.</v>
          </cell>
        </row>
        <row r="197">
          <cell r="A197">
            <v>610120001</v>
          </cell>
          <cell r="B197" t="str">
            <v>ARTICULOS DE LIMPIEZA</v>
          </cell>
        </row>
        <row r="198">
          <cell r="A198">
            <v>610121001</v>
          </cell>
          <cell r="B198" t="str">
            <v>VIATICOS</v>
          </cell>
        </row>
        <row r="199">
          <cell r="A199">
            <v>610122001</v>
          </cell>
          <cell r="B199" t="str">
            <v>SERVICIO DE AGUA POTABLE</v>
          </cell>
        </row>
        <row r="200">
          <cell r="A200">
            <v>610122002</v>
          </cell>
          <cell r="B200" t="str">
            <v>SERVICIO DE ASEO</v>
          </cell>
        </row>
        <row r="201">
          <cell r="A201">
            <v>610122003</v>
          </cell>
          <cell r="B201" t="str">
            <v>SERVICIO DE ENERGIA ELECTRICA</v>
          </cell>
        </row>
        <row r="202">
          <cell r="A202">
            <v>610122004</v>
          </cell>
          <cell r="B202" t="str">
            <v>GASTOS TRAMITES IMPUESTO ALCALDIA</v>
          </cell>
        </row>
        <row r="203">
          <cell r="A203">
            <v>610122005</v>
          </cell>
          <cell r="B203" t="str">
            <v>GASTOS TRAMITES PERMISOS SANIDAD/SAPI</v>
          </cell>
        </row>
        <row r="204">
          <cell r="A204">
            <v>610123001</v>
          </cell>
          <cell r="B204" t="str">
            <v>GASTOS DE REPRESENTACION</v>
          </cell>
        </row>
        <row r="205">
          <cell r="A205">
            <v>610123002</v>
          </cell>
          <cell r="B205" t="str">
            <v>ALIMENTOS Y BEBIDAS</v>
          </cell>
        </row>
        <row r="206">
          <cell r="A206">
            <v>610124001</v>
          </cell>
          <cell r="B206" t="str">
            <v>MANTENIMIENTO DE CAMIONES INSUMOS</v>
          </cell>
        </row>
        <row r="207">
          <cell r="A207">
            <v>610124002</v>
          </cell>
          <cell r="B207" t="str">
            <v>MANTENIMIENTO CAMIONES MANO DE OBRA</v>
          </cell>
        </row>
        <row r="208">
          <cell r="A208">
            <v>610124003</v>
          </cell>
          <cell r="B208" t="str">
            <v>MANTENIMIENTO VEHICULOS PERS. M/O</v>
          </cell>
        </row>
        <row r="209">
          <cell r="A209">
            <v>610124004</v>
          </cell>
          <cell r="B209" t="str">
            <v>MANTENIMIENTO VEHICULOS INSUMOS</v>
          </cell>
        </row>
        <row r="210">
          <cell r="A210">
            <v>610124005</v>
          </cell>
          <cell r="B210" t="str">
            <v>MANTENIMIENTO VEHICULO TRANSPORTE M/O</v>
          </cell>
        </row>
        <row r="211">
          <cell r="A211">
            <v>610124006</v>
          </cell>
          <cell r="B211" t="str">
            <v>MANTENIMIENTO VEHICULO TRANSPORTE INSUMOS</v>
          </cell>
        </row>
        <row r="212">
          <cell r="A212">
            <v>610125001</v>
          </cell>
          <cell r="B212" t="str">
            <v>HONORARIOS PROFESIONALES</v>
          </cell>
        </row>
        <row r="213">
          <cell r="A213">
            <v>610125002</v>
          </cell>
          <cell r="B213" t="str">
            <v>GASTOS CONTADOR</v>
          </cell>
        </row>
        <row r="214">
          <cell r="A214">
            <v>610126001</v>
          </cell>
          <cell r="B214" t="str">
            <v>GASTOS SERVICIOS MEDICOS</v>
          </cell>
        </row>
        <row r="215">
          <cell r="A215">
            <v>610127001</v>
          </cell>
          <cell r="B215" t="str">
            <v>BONIFICACION POR VENTAS</v>
          </cell>
        </row>
        <row r="216">
          <cell r="A216">
            <v>610128001</v>
          </cell>
          <cell r="B216" t="str">
            <v>COLABORACIONES</v>
          </cell>
        </row>
        <row r="217">
          <cell r="A217">
            <v>610129001</v>
          </cell>
          <cell r="B217" t="str">
            <v>GASTO COMBUSTIBLE GASOLINA</v>
          </cell>
        </row>
        <row r="218">
          <cell r="A218">
            <v>610129002</v>
          </cell>
          <cell r="B218" t="str">
            <v>GASTO COMBUSTIBLE GASOIL</v>
          </cell>
        </row>
        <row r="219">
          <cell r="A219">
            <v>610130001</v>
          </cell>
          <cell r="B219" t="str">
            <v>PROTECCION A LA PENSIONES</v>
          </cell>
        </row>
        <row r="220">
          <cell r="A220">
            <v>610132001</v>
          </cell>
          <cell r="B220" t="str">
            <v>GASTOS DE SEGURIDAD</v>
          </cell>
        </row>
        <row r="221">
          <cell r="A221">
            <v>610133001</v>
          </cell>
          <cell r="B221" t="str">
            <v>SEGURO DE VEHICULO</v>
          </cell>
        </row>
        <row r="222">
          <cell r="A222">
            <v>610133002</v>
          </cell>
          <cell r="B222" t="str">
            <v>SEGURO INFRAESTRUCTURA</v>
          </cell>
        </row>
        <row r="223">
          <cell r="A223">
            <v>610146001</v>
          </cell>
          <cell r="B223" t="str">
            <v>GASTOS POLIZA DE SEGURO</v>
          </cell>
        </row>
        <row r="224">
          <cell r="A224">
            <v>610147000</v>
          </cell>
          <cell r="B224" t="str">
            <v>INTERESES POR PRESTAMOS BANCARIOS</v>
          </cell>
        </row>
        <row r="225">
          <cell r="A225">
            <v>610148001</v>
          </cell>
          <cell r="B225" t="str">
            <v>COMISIONES BANCARIAS</v>
          </cell>
        </row>
        <row r="226">
          <cell r="A226">
            <v>610149001</v>
          </cell>
          <cell r="B226" t="str">
            <v>EQUIPOS CONTRA INCENDIO</v>
          </cell>
        </row>
        <row r="227">
          <cell r="A227">
            <v>610151001</v>
          </cell>
          <cell r="B227" t="str">
            <v>REPARACIONES SISTEMA DE COMPUTACION</v>
          </cell>
        </row>
        <row r="228">
          <cell r="A228">
            <v>610151002</v>
          </cell>
          <cell r="B228" t="str">
            <v>SISTEMAS ADMINISTRATIVO</v>
          </cell>
        </row>
        <row r="229">
          <cell r="A229">
            <v>610151003</v>
          </cell>
          <cell r="B229" t="str">
            <v>SISTEMAS TENDENCIAS</v>
          </cell>
        </row>
        <row r="230">
          <cell r="A230">
            <v>610153001</v>
          </cell>
          <cell r="B230" t="str">
            <v>S.A. TECNICA DE CONSERVACION AMBIENTAL</v>
          </cell>
        </row>
        <row r="231">
          <cell r="A231">
            <v>610156001</v>
          </cell>
          <cell r="B231" t="str">
            <v>CAPACITACION Y DESARROLLO</v>
          </cell>
        </row>
        <row r="232">
          <cell r="A232">
            <v>610157001</v>
          </cell>
          <cell r="B232" t="str">
            <v>FUMIGACION</v>
          </cell>
        </row>
        <row r="233">
          <cell r="A233">
            <v>610166001</v>
          </cell>
          <cell r="B233" t="str">
            <v>IMPLEMENTOS BIOSEGURIDAD</v>
          </cell>
        </row>
        <row r="234">
          <cell r="A234">
            <v>610168001</v>
          </cell>
          <cell r="B234" t="str">
            <v>SOLUCIONES DE LOCALIZACION TRAKER GPS</v>
          </cell>
        </row>
        <row r="235">
          <cell r="A235">
            <v>610180001</v>
          </cell>
          <cell r="B235" t="str">
            <v>GASTOS NO DEDUCIBLES</v>
          </cell>
        </row>
        <row r="236">
          <cell r="A236">
            <v>610180002</v>
          </cell>
          <cell r="B236" t="str">
            <v>FONDO NACIONAL CIENCIA Y TECNOLOGIA (FONACIT)</v>
          </cell>
        </row>
        <row r="237">
          <cell r="A237">
            <v>610180003</v>
          </cell>
          <cell r="B237" t="str">
            <v>FONDO NACIONAL DEL DEPORTE</v>
          </cell>
        </row>
        <row r="238">
          <cell r="A238">
            <v>610182001</v>
          </cell>
          <cell r="B238" t="str">
            <v>GASTOS DE SERVICIOS</v>
          </cell>
        </row>
        <row r="239">
          <cell r="A239">
            <v>610190001</v>
          </cell>
          <cell r="B239" t="str">
            <v>GASTOS DE UNIFORME</v>
          </cell>
        </row>
        <row r="240">
          <cell r="A240">
            <v>610198001</v>
          </cell>
          <cell r="B240" t="str">
            <v>AJUSTES CONTABILIDAD</v>
          </cell>
        </row>
        <row r="241">
          <cell r="A241">
            <v>610201001</v>
          </cell>
          <cell r="B241" t="str">
            <v>BONO ADICIONAL DE PRODUCCION</v>
          </cell>
        </row>
        <row r="242">
          <cell r="A242">
            <v>610201002</v>
          </cell>
          <cell r="B242" t="str">
            <v>BONO ADICIONAL ASESORES MARKETING</v>
          </cell>
        </row>
        <row r="243">
          <cell r="A243">
            <v>610202001</v>
          </cell>
          <cell r="B243" t="str">
            <v>GASTOS EQUIPOS MARKETING</v>
          </cell>
        </row>
        <row r="244">
          <cell r="A244">
            <v>610202002</v>
          </cell>
          <cell r="B244" t="str">
            <v>GASTOS LANZAMIENTOS/CAMPAÑAS</v>
          </cell>
        </row>
        <row r="245">
          <cell r="A245">
            <v>610202003</v>
          </cell>
          <cell r="B245" t="str">
            <v>GASTOS RUEDA DE NEGOCIOS</v>
          </cell>
        </row>
        <row r="246">
          <cell r="A246">
            <v>610202004</v>
          </cell>
          <cell r="B246" t="str">
            <v>GASTOS ENTREGA DE RETOS/LIDERES</v>
          </cell>
        </row>
        <row r="247">
          <cell r="A247">
            <v>610202005</v>
          </cell>
          <cell r="B247" t="str">
            <v>RETOS MOVILIDAD/ AVEOS REPARACIONES</v>
          </cell>
        </row>
        <row r="248">
          <cell r="A248">
            <v>610202006</v>
          </cell>
          <cell r="B248" t="str">
            <v>RETOS MOVILIDAD/ AVEOS COMPRA</v>
          </cell>
        </row>
        <row r="249">
          <cell r="A249">
            <v>610202007</v>
          </cell>
          <cell r="B249" t="str">
            <v>RETOS MOVILIDAD/ MOTOS COMPRA</v>
          </cell>
        </row>
        <row r="250">
          <cell r="A250">
            <v>610202008</v>
          </cell>
          <cell r="B250" t="str">
            <v>RETOS CAMPAÑAS/LIDERES</v>
          </cell>
        </row>
        <row r="251">
          <cell r="A251">
            <v>610202009</v>
          </cell>
          <cell r="B251" t="str">
            <v>PREMIOS LIDERES/CAMPAÑA</v>
          </cell>
        </row>
        <row r="252">
          <cell r="A252">
            <v>610202010</v>
          </cell>
          <cell r="B252" t="str">
            <v>REGALOS LIDERES/CAMPAÑA</v>
          </cell>
        </row>
        <row r="253">
          <cell r="A253">
            <v>610202011</v>
          </cell>
          <cell r="B253" t="str">
            <v>GASTOS VIATICOS DESPACHO MERCANCIA</v>
          </cell>
        </row>
        <row r="254">
          <cell r="A254">
            <v>610203001</v>
          </cell>
          <cell r="B254" t="str">
            <v>GASTOS CONTAINER</v>
          </cell>
        </row>
        <row r="255">
          <cell r="A255">
            <v>610203002</v>
          </cell>
          <cell r="B255" t="str">
            <v>PLANILLAS SIDUNEA</v>
          </cell>
        </row>
        <row r="256">
          <cell r="A256">
            <v>610203003</v>
          </cell>
          <cell r="B256" t="str">
            <v>GASTOS FLETES</v>
          </cell>
        </row>
        <row r="257">
          <cell r="A257">
            <v>610203004</v>
          </cell>
          <cell r="B257" t="str">
            <v>GASTOS SENIAT</v>
          </cell>
        </row>
        <row r="258">
          <cell r="A258">
            <v>610203005</v>
          </cell>
          <cell r="B258" t="str">
            <v>GASTOS SENCAMER</v>
          </cell>
        </row>
        <row r="259">
          <cell r="A259">
            <v>610301001</v>
          </cell>
          <cell r="B259" t="str">
            <v>GASTOS PERSONALES CASA</v>
          </cell>
        </row>
        <row r="260">
          <cell r="A260">
            <v>610301002</v>
          </cell>
          <cell r="B260" t="str">
            <v>GASTOS PERSONALES MEDICO</v>
          </cell>
        </row>
        <row r="261">
          <cell r="A261">
            <v>710101001</v>
          </cell>
          <cell r="B261" t="str">
            <v>IMPUESTO A LAS GRANDES TRANSACCIONES FINANCIERAS</v>
          </cell>
        </row>
        <row r="262">
          <cell r="A262">
            <v>720101001</v>
          </cell>
          <cell r="B262" t="str">
            <v>CUENTA MATRIZ</v>
          </cell>
        </row>
        <row r="263">
          <cell r="A263">
            <v>720101002</v>
          </cell>
          <cell r="B263" t="str">
            <v>COMPRAS DIVISAS</v>
          </cell>
        </row>
        <row r="264">
          <cell r="A264">
            <v>720101017</v>
          </cell>
          <cell r="B264" t="str">
            <v>CUENTAS POR COBRAR TENDENCIAS AB</v>
          </cell>
        </row>
        <row r="265">
          <cell r="A265">
            <v>720101098</v>
          </cell>
          <cell r="B265" t="str">
            <v>CUENTAS X COBRAR COMERCIALIZADORA E IMPORT AB VZLA</v>
          </cell>
        </row>
        <row r="266">
          <cell r="A266">
            <v>730101001</v>
          </cell>
          <cell r="B266" t="str">
            <v>GASTOS TELECOMUNICACIONES/INTERNET</v>
          </cell>
        </row>
        <row r="267">
          <cell r="A267">
            <v>730101002</v>
          </cell>
          <cell r="B267" t="str">
            <v>ALIMENTOS Y BEBIDAS</v>
          </cell>
        </row>
        <row r="268">
          <cell r="A268">
            <v>740101001</v>
          </cell>
          <cell r="B268" t="str">
            <v>BONO ADICIONAL MENTARIO</v>
          </cell>
        </row>
        <row r="269">
          <cell r="A269">
            <v>820101001</v>
          </cell>
          <cell r="B269" t="str">
            <v>CUENTA MATRIZ</v>
          </cell>
        </row>
        <row r="270">
          <cell r="A270">
            <v>840101001</v>
          </cell>
          <cell r="B270" t="str">
            <v>BONO ADICIONAL MENTARIO POR PAGAR</v>
          </cell>
        </row>
        <row r="271">
          <cell r="A271">
            <v>110101003</v>
          </cell>
          <cell r="B271" t="str">
            <v>CARGOS TRANSITORIOS TRASPASOS</v>
          </cell>
        </row>
        <row r="272">
          <cell r="A272">
            <v>610122006</v>
          </cell>
          <cell r="B272" t="str">
            <v>GASTO CONDOMINIO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iembre"/>
      <sheetName val="Hoja1"/>
    </sheetNames>
    <sheetDataSet>
      <sheetData sheetId="0" refreshError="1"/>
      <sheetData sheetId="1" refreshError="1">
        <row r="3">
          <cell r="G3">
            <v>45901</v>
          </cell>
          <cell r="H3">
            <v>148.44</v>
          </cell>
        </row>
        <row r="4">
          <cell r="G4">
            <v>45902</v>
          </cell>
          <cell r="H4">
            <v>149.47</v>
          </cell>
        </row>
        <row r="5">
          <cell r="G5">
            <v>45903</v>
          </cell>
          <cell r="H5">
            <v>150.80000000000001</v>
          </cell>
        </row>
        <row r="6">
          <cell r="G6">
            <v>45904</v>
          </cell>
          <cell r="H6">
            <v>151.76</v>
          </cell>
        </row>
        <row r="7">
          <cell r="G7">
            <v>45905</v>
          </cell>
          <cell r="H7">
            <v>152.82</v>
          </cell>
        </row>
        <row r="8">
          <cell r="G8">
            <v>45906</v>
          </cell>
          <cell r="H8">
            <v>154.01</v>
          </cell>
        </row>
        <row r="9">
          <cell r="G9">
            <v>45907</v>
          </cell>
          <cell r="H9">
            <v>154.01</v>
          </cell>
        </row>
        <row r="10">
          <cell r="G10">
            <v>45908</v>
          </cell>
          <cell r="H10">
            <v>154.01</v>
          </cell>
        </row>
        <row r="11">
          <cell r="G11">
            <v>45909</v>
          </cell>
          <cell r="H11">
            <v>154.97999999999999</v>
          </cell>
        </row>
        <row r="12">
          <cell r="G12">
            <v>45910</v>
          </cell>
          <cell r="H12">
            <v>156.37</v>
          </cell>
        </row>
        <row r="13">
          <cell r="G13">
            <v>45911</v>
          </cell>
          <cell r="H13">
            <v>157.72999999999999</v>
          </cell>
        </row>
        <row r="14">
          <cell r="G14">
            <v>45912</v>
          </cell>
          <cell r="H14">
            <v>158.93</v>
          </cell>
        </row>
        <row r="15">
          <cell r="G15">
            <v>45913</v>
          </cell>
          <cell r="H15">
            <v>160.44999999999999</v>
          </cell>
        </row>
        <row r="16">
          <cell r="G16">
            <v>45914</v>
          </cell>
          <cell r="H16">
            <v>160.44999999999999</v>
          </cell>
        </row>
        <row r="17">
          <cell r="G17">
            <v>45915</v>
          </cell>
          <cell r="H17">
            <v>160.44999999999999</v>
          </cell>
        </row>
        <row r="18">
          <cell r="G18">
            <v>45916</v>
          </cell>
          <cell r="H18">
            <v>160.44999999999999</v>
          </cell>
        </row>
        <row r="19">
          <cell r="G19">
            <v>45917</v>
          </cell>
          <cell r="H19">
            <v>161.88999999999999</v>
          </cell>
        </row>
        <row r="20">
          <cell r="G20">
            <v>45918</v>
          </cell>
          <cell r="H20">
            <v>163.65</v>
          </cell>
        </row>
        <row r="21">
          <cell r="G21">
            <v>45919</v>
          </cell>
          <cell r="H21">
            <v>165.41</v>
          </cell>
        </row>
        <row r="22">
          <cell r="G22">
            <v>45920</v>
          </cell>
          <cell r="H22">
            <v>166.58</v>
          </cell>
        </row>
        <row r="23">
          <cell r="G23">
            <v>45921</v>
          </cell>
          <cell r="H23">
            <v>166.58</v>
          </cell>
        </row>
        <row r="24">
          <cell r="G24">
            <v>45922</v>
          </cell>
          <cell r="H24">
            <v>166.58</v>
          </cell>
        </row>
        <row r="25">
          <cell r="G25">
            <v>45923</v>
          </cell>
          <cell r="H25">
            <v>168.42</v>
          </cell>
        </row>
        <row r="26">
          <cell r="G26">
            <v>45924</v>
          </cell>
          <cell r="H26">
            <v>169.98</v>
          </cell>
        </row>
        <row r="27">
          <cell r="G27">
            <v>45925</v>
          </cell>
          <cell r="H27">
            <v>169.98</v>
          </cell>
        </row>
        <row r="28">
          <cell r="G28">
            <v>45926</v>
          </cell>
          <cell r="H28">
            <v>173.74</v>
          </cell>
        </row>
        <row r="29">
          <cell r="G29">
            <v>45927</v>
          </cell>
          <cell r="H29">
            <v>175.65</v>
          </cell>
        </row>
        <row r="30">
          <cell r="G30">
            <v>45928</v>
          </cell>
          <cell r="H30">
            <v>175.65</v>
          </cell>
        </row>
        <row r="31">
          <cell r="G31">
            <v>45929</v>
          </cell>
          <cell r="H31">
            <v>175.65</v>
          </cell>
        </row>
        <row r="32">
          <cell r="G32">
            <v>45930</v>
          </cell>
          <cell r="H32">
            <v>177.61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100-000000000000}" autoFormatId="16" applyNumberFormats="0" applyBorderFormats="0" applyFontFormats="0" applyPatternFormats="0" applyAlignmentFormats="0" applyWidthHeightFormats="0">
  <queryTableRefresh nextId="3">
    <queryTableFields count="2">
      <queryTableField id="1" name="CodProv" tableColumnId="1"/>
      <queryTableField id="2" name="Descrip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3" displayName="Tabla3" ref="A10:T8717" totalsRowShown="0" headerRowDxfId="11">
  <autoFilter ref="A10:T8717" xr:uid="{00000000-0009-0000-0100-000001000000}"/>
  <tableColumns count="20">
    <tableColumn id="1" xr3:uid="{00000000-0010-0000-0000-000001000000}" name="FECHA" dataDxfId="10"/>
    <tableColumn id="2" xr3:uid="{00000000-0010-0000-0000-000002000000}" name="REFERENCIA" dataDxfId="9"/>
    <tableColumn id="3" xr3:uid="{00000000-0010-0000-0000-000003000000}" name="DESCRIPCIÓN"/>
    <tableColumn id="4" xr3:uid="{00000000-0010-0000-0000-000004000000}" name="MONTO BS" dataDxfId="8"/>
    <tableColumn id="5" xr3:uid="{00000000-0010-0000-0000-000005000000}" name="D/C"/>
    <tableColumn id="6" xr3:uid="{00000000-0010-0000-0000-000006000000}" name="COD/CONT" dataDxfId="7"/>
    <tableColumn id="7" xr3:uid="{00000000-0010-0000-0000-000007000000}" name="CONTABLE" dataDxfId="6"/>
    <tableColumn id="20" xr3:uid="{00000000-0010-0000-0000-000014000000}" name="Columna3" dataDxfId="5"/>
    <tableColumn id="19" xr3:uid="{00000000-0010-0000-0000-000013000000}" name="Columna2" dataDxfId="4"/>
    <tableColumn id="8" xr3:uid="{00000000-0010-0000-0000-000008000000}" name="COD/SER"/>
    <tableColumn id="9" xr3:uid="{00000000-0010-0000-0000-000009000000}" name="SERVICIO"/>
    <tableColumn id="18" xr3:uid="{00000000-0010-0000-0000-000012000000}" name="Columna1"/>
    <tableColumn id="10" xr3:uid="{00000000-0010-0000-0000-00000A000000}" name="TASA"/>
    <tableColumn id="11" xr3:uid="{00000000-0010-0000-0000-00000B000000}" name="MONTO EN $" dataDxfId="3" dataCellStyle="Millares">
      <calculatedColumnFormula>D11/M11</calculatedColumnFormula>
    </tableColumn>
    <tableColumn id="12" xr3:uid="{00000000-0010-0000-0000-00000C000000}" name="BANCO" dataDxfId="2"/>
    <tableColumn id="13" xr3:uid="{00000000-0010-0000-0000-00000D000000}" name="OBSERVACIONES"/>
    <tableColumn id="14" xr3:uid="{00000000-0010-0000-0000-00000E000000}" name="NªGASTO"/>
    <tableColumn id="15" xr3:uid="{00000000-0010-0000-0000-00000F000000}" name="Nº"/>
    <tableColumn id="16" xr3:uid="{00000000-0010-0000-0000-000010000000}" name="CLASIFICACION"/>
    <tableColumn id="17" xr3:uid="{00000000-0010-0000-0000-000011000000}" name="SEDE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APROV__2" displayName="SAPROV__2" ref="A1:B76" tableType="queryTable" totalsRowShown="0">
  <autoFilter ref="A1:B76" xr:uid="{00000000-0009-0000-0100-000003000000}"/>
  <tableColumns count="2">
    <tableColumn id="1" xr3:uid="{00000000-0010-0000-0100-000001000000}" uniqueName="1" name="CodProv" queryTableFieldId="1" dataDxfId="1"/>
    <tableColumn id="2" xr3:uid="{00000000-0010-0000-0100-000002000000}" uniqueName="2" name="Descrip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T8719"/>
  <sheetViews>
    <sheetView tabSelected="1" topLeftCell="A124" workbookViewId="0">
      <selection activeCell="I14" sqref="I14"/>
    </sheetView>
  </sheetViews>
  <sheetFormatPr baseColWidth="10" defaultRowHeight="15" x14ac:dyDescent="0.25"/>
  <cols>
    <col min="1" max="1" width="11.140625" customWidth="1"/>
    <col min="2" max="2" width="13.7109375" style="1" customWidth="1"/>
    <col min="3" max="3" width="27.85546875" customWidth="1"/>
    <col min="4" max="4" width="12.140625" style="1" customWidth="1"/>
    <col min="5" max="5" width="6.5703125" customWidth="1"/>
    <col min="6" max="6" width="13" style="2" customWidth="1"/>
    <col min="7" max="8" width="12.7109375" style="2" customWidth="1"/>
    <col min="9" max="9" width="12.7109375" style="95" customWidth="1"/>
    <col min="10" max="10" width="29.5703125" customWidth="1"/>
    <col min="11" max="11" width="46.5703125" customWidth="1"/>
    <col min="12" max="12" width="15.42578125" customWidth="1"/>
    <col min="13" max="13" width="11.42578125" customWidth="1"/>
    <col min="14" max="14" width="10.42578125" style="4" customWidth="1"/>
    <col min="16" max="16" width="30.5703125" customWidth="1"/>
    <col min="17" max="17" width="11.42578125" customWidth="1"/>
    <col min="18" max="18" width="5.85546875" customWidth="1"/>
    <col min="19" max="19" width="28" customWidth="1"/>
    <col min="20" max="20" width="28.42578125" customWidth="1"/>
  </cols>
  <sheetData>
    <row r="4" spans="1:20" ht="15.75" thickBot="1" x14ac:dyDescent="0.3">
      <c r="J4" s="3" t="s">
        <v>0</v>
      </c>
    </row>
    <row r="5" spans="1:20" ht="30.75" thickBot="1" x14ac:dyDescent="0.3">
      <c r="A5" s="5"/>
      <c r="G5" s="6" t="s">
        <v>1</v>
      </c>
      <c r="H5" s="6"/>
      <c r="I5" s="96"/>
      <c r="J5" s="7" t="s">
        <v>2</v>
      </c>
      <c r="K5" s="8" t="s">
        <v>3</v>
      </c>
      <c r="L5" s="8"/>
    </row>
    <row r="6" spans="1:20" ht="15.75" thickBot="1" x14ac:dyDescent="0.3">
      <c r="A6" s="5"/>
      <c r="G6" s="1" t="s">
        <v>4</v>
      </c>
      <c r="H6" s="1"/>
      <c r="I6" s="96"/>
    </row>
    <row r="7" spans="1:20" ht="15.75" thickBot="1" x14ac:dyDescent="0.3">
      <c r="A7" s="5"/>
    </row>
    <row r="8" spans="1:20" ht="28.5" thickBot="1" x14ac:dyDescent="0.45">
      <c r="A8" s="9"/>
      <c r="C8" s="100" t="s">
        <v>5</v>
      </c>
      <c r="D8" s="100"/>
      <c r="E8" s="100"/>
      <c r="F8" s="100"/>
      <c r="G8" s="100"/>
      <c r="H8" s="10"/>
      <c r="I8" s="97"/>
      <c r="J8" s="11"/>
      <c r="K8" s="11"/>
      <c r="L8" s="11"/>
    </row>
    <row r="9" spans="1:20" ht="15.75" thickBot="1" x14ac:dyDescent="0.3">
      <c r="A9" t="s">
        <v>6</v>
      </c>
      <c r="B9" s="1" t="s">
        <v>7</v>
      </c>
      <c r="C9" t="s">
        <v>8</v>
      </c>
      <c r="D9" s="1" t="s">
        <v>9</v>
      </c>
      <c r="I9" s="95" t="s">
        <v>10</v>
      </c>
      <c r="J9" t="s">
        <v>11</v>
      </c>
      <c r="M9" t="s">
        <v>12</v>
      </c>
      <c r="N9" s="4" t="s">
        <v>13</v>
      </c>
      <c r="O9" t="s">
        <v>14</v>
      </c>
    </row>
    <row r="10" spans="1:20" ht="26.25" customHeight="1" thickBot="1" x14ac:dyDescent="0.3">
      <c r="A10" s="12" t="s">
        <v>15</v>
      </c>
      <c r="B10" s="13" t="s">
        <v>16</v>
      </c>
      <c r="C10" s="14" t="s">
        <v>17</v>
      </c>
      <c r="D10" s="13" t="s">
        <v>18</v>
      </c>
      <c r="E10" s="14" t="s">
        <v>19</v>
      </c>
      <c r="F10" s="15" t="s">
        <v>20</v>
      </c>
      <c r="G10" s="15" t="s">
        <v>21</v>
      </c>
      <c r="H10" s="15" t="s">
        <v>7362</v>
      </c>
      <c r="I10" s="98" t="s">
        <v>22</v>
      </c>
      <c r="J10" s="14" t="s">
        <v>23</v>
      </c>
      <c r="K10" s="16" t="s">
        <v>24</v>
      </c>
      <c r="L10" s="17" t="s">
        <v>25</v>
      </c>
      <c r="M10" s="18" t="s">
        <v>26</v>
      </c>
      <c r="N10" s="19" t="s">
        <v>27</v>
      </c>
      <c r="O10" s="17" t="s">
        <v>28</v>
      </c>
      <c r="P10" s="17" t="s">
        <v>29</v>
      </c>
      <c r="Q10" s="17" t="s">
        <v>30</v>
      </c>
      <c r="R10" s="20" t="s">
        <v>31</v>
      </c>
      <c r="S10" s="20" t="s">
        <v>32</v>
      </c>
      <c r="T10" s="21" t="s">
        <v>33</v>
      </c>
    </row>
    <row r="11" spans="1:20" x14ac:dyDescent="0.25">
      <c r="A11" s="22">
        <v>45659</v>
      </c>
      <c r="B11" s="1">
        <v>47900072798</v>
      </c>
      <c r="C11" t="s">
        <v>34</v>
      </c>
      <c r="D11" s="23">
        <v>-329484.69</v>
      </c>
      <c r="E11" t="s">
        <v>35</v>
      </c>
      <c r="F11" s="2">
        <v>210101001</v>
      </c>
      <c r="G11" s="2" t="s">
        <v>36</v>
      </c>
      <c r="H11" s="2" t="s">
        <v>7221</v>
      </c>
      <c r="I11" s="95" t="s">
        <v>7219</v>
      </c>
      <c r="J11" t="s">
        <v>37</v>
      </c>
      <c r="K11" t="s">
        <v>38</v>
      </c>
      <c r="M11">
        <v>52.03</v>
      </c>
      <c r="N11" s="4">
        <f>D11/M11</f>
        <v>-6332.590620795695</v>
      </c>
      <c r="O11" t="s">
        <v>39</v>
      </c>
    </row>
    <row r="12" spans="1:20" x14ac:dyDescent="0.25">
      <c r="A12" s="22">
        <v>45659</v>
      </c>
      <c r="B12" s="1">
        <v>43700072798</v>
      </c>
      <c r="C12" t="s">
        <v>40</v>
      </c>
      <c r="D12" s="23">
        <v>-0.67</v>
      </c>
      <c r="E12" t="s">
        <v>35</v>
      </c>
      <c r="F12" s="2">
        <v>610148001</v>
      </c>
      <c r="G12" s="2" t="s">
        <v>41</v>
      </c>
      <c r="I12" s="95" t="s">
        <v>7219</v>
      </c>
      <c r="J12" t="s">
        <v>42</v>
      </c>
      <c r="K12" t="s">
        <v>41</v>
      </c>
      <c r="M12">
        <v>52.03</v>
      </c>
      <c r="N12" s="4">
        <f t="shared" ref="N12:N75" si="0">D12/M12</f>
        <v>-1.2877186238708437E-2</v>
      </c>
      <c r="O12" t="s">
        <v>39</v>
      </c>
      <c r="Q12" s="24" t="s">
        <v>43</v>
      </c>
    </row>
    <row r="13" spans="1:20" x14ac:dyDescent="0.25">
      <c r="A13" s="22">
        <v>45659</v>
      </c>
      <c r="B13" s="1">
        <v>47900062237</v>
      </c>
      <c r="C13" t="s">
        <v>44</v>
      </c>
      <c r="D13" s="23">
        <v>330000</v>
      </c>
      <c r="E13" t="s">
        <v>45</v>
      </c>
      <c r="F13" s="2">
        <v>210115002</v>
      </c>
      <c r="G13" s="2" t="s">
        <v>46</v>
      </c>
      <c r="I13" s="95" t="s">
        <v>7219</v>
      </c>
      <c r="K13" t="s">
        <v>44</v>
      </c>
      <c r="M13">
        <v>52.03</v>
      </c>
      <c r="N13" s="4">
        <f t="shared" si="0"/>
        <v>6342.4947145877377</v>
      </c>
      <c r="O13" t="s">
        <v>39</v>
      </c>
    </row>
    <row r="14" spans="1:20" x14ac:dyDescent="0.25">
      <c r="A14" s="22">
        <v>45687</v>
      </c>
      <c r="B14" s="1">
        <v>67698535289</v>
      </c>
      <c r="C14" t="s">
        <v>47</v>
      </c>
      <c r="D14" s="23">
        <v>-0.5</v>
      </c>
      <c r="E14" t="s">
        <v>35</v>
      </c>
      <c r="F14" s="2">
        <v>610148001</v>
      </c>
      <c r="G14" s="2" t="s">
        <v>41</v>
      </c>
      <c r="I14" s="95" t="s">
        <v>7224</v>
      </c>
      <c r="J14" t="s">
        <v>42</v>
      </c>
      <c r="K14" t="s">
        <v>41</v>
      </c>
      <c r="M14">
        <v>57.39</v>
      </c>
      <c r="N14" s="4">
        <f t="shared" si="0"/>
        <v>-8.7123192193761974E-3</v>
      </c>
      <c r="O14" t="s">
        <v>39</v>
      </c>
      <c r="Q14" s="24" t="s">
        <v>43</v>
      </c>
    </row>
    <row r="15" spans="1:20" x14ac:dyDescent="0.25">
      <c r="A15" s="22">
        <v>45688</v>
      </c>
      <c r="B15" s="1">
        <v>71600000000</v>
      </c>
      <c r="C15" t="s">
        <v>48</v>
      </c>
      <c r="D15" s="23">
        <v>-0.5</v>
      </c>
      <c r="E15" t="s">
        <v>35</v>
      </c>
      <c r="F15" s="2">
        <v>610148001</v>
      </c>
      <c r="G15" s="2" t="s">
        <v>41</v>
      </c>
      <c r="I15" s="95" t="s">
        <v>7224</v>
      </c>
      <c r="J15" t="s">
        <v>42</v>
      </c>
      <c r="K15" t="s">
        <v>41</v>
      </c>
      <c r="M15">
        <v>57.97</v>
      </c>
      <c r="N15" s="4">
        <f t="shared" si="0"/>
        <v>-8.6251509401414524E-3</v>
      </c>
      <c r="O15" t="s">
        <v>39</v>
      </c>
      <c r="Q15" s="24" t="s">
        <v>43</v>
      </c>
    </row>
    <row r="16" spans="1:20" x14ac:dyDescent="0.25">
      <c r="A16" s="22">
        <v>45688</v>
      </c>
      <c r="B16" s="1">
        <v>91577700000</v>
      </c>
      <c r="C16" t="s">
        <v>49</v>
      </c>
      <c r="D16" s="23">
        <v>-0.5</v>
      </c>
      <c r="E16" t="s">
        <v>35</v>
      </c>
      <c r="F16" s="2">
        <v>610148001</v>
      </c>
      <c r="G16" s="2" t="s">
        <v>41</v>
      </c>
      <c r="I16" s="95" t="s">
        <v>7224</v>
      </c>
      <c r="J16" t="s">
        <v>42</v>
      </c>
      <c r="K16" t="s">
        <v>41</v>
      </c>
      <c r="M16">
        <v>57.97</v>
      </c>
      <c r="N16" s="4">
        <f t="shared" si="0"/>
        <v>-8.6251509401414524E-3</v>
      </c>
      <c r="O16" t="s">
        <v>39</v>
      </c>
      <c r="Q16" s="24" t="s">
        <v>43</v>
      </c>
    </row>
    <row r="17" spans="1:17" x14ac:dyDescent="0.25">
      <c r="A17" s="22">
        <v>45688</v>
      </c>
      <c r="B17" s="1">
        <v>67698535332</v>
      </c>
      <c r="C17" t="s">
        <v>47</v>
      </c>
      <c r="D17" s="23">
        <v>-0.5</v>
      </c>
      <c r="E17" t="s">
        <v>35</v>
      </c>
      <c r="F17" s="2">
        <v>610148001</v>
      </c>
      <c r="G17" s="2" t="s">
        <v>41</v>
      </c>
      <c r="I17" s="95" t="s">
        <v>7224</v>
      </c>
      <c r="J17" t="s">
        <v>42</v>
      </c>
      <c r="K17" t="s">
        <v>41</v>
      </c>
      <c r="M17">
        <v>57.97</v>
      </c>
      <c r="N17" s="4">
        <f t="shared" si="0"/>
        <v>-8.6251509401414524E-3</v>
      </c>
      <c r="O17" t="s">
        <v>39</v>
      </c>
      <c r="Q17" s="24" t="s">
        <v>43</v>
      </c>
    </row>
    <row r="18" spans="1:17" x14ac:dyDescent="0.25">
      <c r="A18" s="25">
        <v>45667</v>
      </c>
      <c r="B18" s="1">
        <v>39</v>
      </c>
      <c r="C18" t="s">
        <v>50</v>
      </c>
      <c r="D18" s="23">
        <v>-19.38</v>
      </c>
      <c r="E18" t="s">
        <v>35</v>
      </c>
      <c r="F18" s="2">
        <v>610148001</v>
      </c>
      <c r="G18" s="2" t="s">
        <v>41</v>
      </c>
      <c r="I18" s="95" t="s">
        <v>7224</v>
      </c>
      <c r="J18" t="s">
        <v>42</v>
      </c>
      <c r="K18" t="s">
        <v>41</v>
      </c>
      <c r="M18">
        <v>53.85</v>
      </c>
      <c r="N18" s="4">
        <f t="shared" si="0"/>
        <v>-0.3598885793871866</v>
      </c>
      <c r="O18" t="s">
        <v>51</v>
      </c>
      <c r="Q18" s="24" t="s">
        <v>43</v>
      </c>
    </row>
    <row r="19" spans="1:17" x14ac:dyDescent="0.25">
      <c r="A19" s="26">
        <v>45667</v>
      </c>
      <c r="B19" s="27">
        <v>38</v>
      </c>
      <c r="C19" s="28" t="s">
        <v>52</v>
      </c>
      <c r="D19" s="29">
        <v>-6462</v>
      </c>
      <c r="E19" s="28" t="s">
        <v>35</v>
      </c>
      <c r="F19" s="30">
        <v>610129001</v>
      </c>
      <c r="G19" s="30" t="s">
        <v>53</v>
      </c>
      <c r="H19" s="30"/>
      <c r="I19" s="95" t="s">
        <v>7229</v>
      </c>
      <c r="J19" s="28" t="s">
        <v>54</v>
      </c>
      <c r="K19" s="28" t="s">
        <v>55</v>
      </c>
      <c r="L19" s="28" t="s">
        <v>56</v>
      </c>
      <c r="M19" s="28">
        <v>53.85</v>
      </c>
      <c r="N19" s="4">
        <f t="shared" si="0"/>
        <v>-120</v>
      </c>
      <c r="O19" t="s">
        <v>51</v>
      </c>
      <c r="Q19" s="24" t="s">
        <v>57</v>
      </c>
    </row>
    <row r="20" spans="1:17" x14ac:dyDescent="0.25">
      <c r="A20" s="25">
        <v>45667</v>
      </c>
      <c r="B20" s="1">
        <v>37</v>
      </c>
      <c r="C20" t="s">
        <v>58</v>
      </c>
      <c r="D20" s="23">
        <v>10000</v>
      </c>
      <c r="E20" t="s">
        <v>45</v>
      </c>
      <c r="F20" s="2">
        <v>210115002</v>
      </c>
      <c r="G20" s="2" t="s">
        <v>46</v>
      </c>
      <c r="I20" s="95" t="s">
        <v>7229</v>
      </c>
      <c r="K20" t="s">
        <v>58</v>
      </c>
      <c r="M20">
        <v>53.85</v>
      </c>
      <c r="N20" s="4">
        <f t="shared" si="0"/>
        <v>185.70102135561746</v>
      </c>
      <c r="O20" t="s">
        <v>51</v>
      </c>
    </row>
    <row r="21" spans="1:17" x14ac:dyDescent="0.25">
      <c r="A21" s="25">
        <v>45671</v>
      </c>
      <c r="B21" s="1">
        <v>42</v>
      </c>
      <c r="C21" t="s">
        <v>50</v>
      </c>
      <c r="D21" s="23">
        <v>-40.409999999999997</v>
      </c>
      <c r="E21" t="s">
        <v>35</v>
      </c>
      <c r="F21" s="2">
        <v>610148001</v>
      </c>
      <c r="G21" s="2" t="s">
        <v>41</v>
      </c>
      <c r="I21" s="95" t="s">
        <v>7229</v>
      </c>
      <c r="J21" t="s">
        <v>42</v>
      </c>
      <c r="K21" t="s">
        <v>41</v>
      </c>
      <c r="M21">
        <v>53.88</v>
      </c>
      <c r="N21" s="4">
        <f t="shared" si="0"/>
        <v>-0.74999999999999989</v>
      </c>
      <c r="O21" t="s">
        <v>51</v>
      </c>
      <c r="Q21" s="24" t="s">
        <v>43</v>
      </c>
    </row>
    <row r="22" spans="1:17" x14ac:dyDescent="0.25">
      <c r="A22" s="25">
        <v>45671</v>
      </c>
      <c r="B22" s="1">
        <v>41</v>
      </c>
      <c r="C22" t="s">
        <v>59</v>
      </c>
      <c r="D22" s="23">
        <v>-13470</v>
      </c>
      <c r="E22" t="s">
        <v>35</v>
      </c>
      <c r="F22" s="2">
        <v>840101001</v>
      </c>
      <c r="G22" s="2" t="s">
        <v>60</v>
      </c>
      <c r="I22" s="95" t="s">
        <v>7229</v>
      </c>
      <c r="J22" t="s">
        <v>61</v>
      </c>
      <c r="K22" t="s">
        <v>62</v>
      </c>
      <c r="M22">
        <v>53.88</v>
      </c>
      <c r="N22" s="4">
        <f t="shared" si="0"/>
        <v>-250</v>
      </c>
      <c r="O22" t="s">
        <v>51</v>
      </c>
    </row>
    <row r="23" spans="1:17" x14ac:dyDescent="0.25">
      <c r="A23" s="25">
        <v>45671</v>
      </c>
      <c r="B23" s="1">
        <v>40</v>
      </c>
      <c r="C23" t="s">
        <v>63</v>
      </c>
      <c r="D23" s="23">
        <v>15000</v>
      </c>
      <c r="E23" t="s">
        <v>45</v>
      </c>
      <c r="F23" s="2">
        <v>210115002</v>
      </c>
      <c r="G23" s="2" t="s">
        <v>46</v>
      </c>
      <c r="I23" s="95" t="s">
        <v>7231</v>
      </c>
      <c r="K23" t="s">
        <v>63</v>
      </c>
      <c r="M23">
        <v>53.88</v>
      </c>
      <c r="N23" s="4">
        <f t="shared" si="0"/>
        <v>278.39643652561244</v>
      </c>
      <c r="O23" t="s">
        <v>51</v>
      </c>
    </row>
    <row r="24" spans="1:17" x14ac:dyDescent="0.25">
      <c r="A24" s="25">
        <v>45674</v>
      </c>
      <c r="B24" s="1">
        <v>45</v>
      </c>
      <c r="C24" t="s">
        <v>50</v>
      </c>
      <c r="D24" s="23">
        <v>-19.71</v>
      </c>
      <c r="E24" t="s">
        <v>35</v>
      </c>
      <c r="F24" s="2">
        <v>610148001</v>
      </c>
      <c r="G24" s="2" t="s">
        <v>41</v>
      </c>
      <c r="I24" s="95" t="s">
        <v>7231</v>
      </c>
      <c r="J24" t="s">
        <v>42</v>
      </c>
      <c r="K24" t="s">
        <v>41</v>
      </c>
      <c r="M24">
        <v>54.76</v>
      </c>
      <c r="N24" s="4">
        <f t="shared" si="0"/>
        <v>-0.35993425858290728</v>
      </c>
      <c r="O24" t="s">
        <v>51</v>
      </c>
      <c r="Q24" s="24" t="s">
        <v>43</v>
      </c>
    </row>
    <row r="25" spans="1:17" x14ac:dyDescent="0.25">
      <c r="A25" s="26">
        <v>45674</v>
      </c>
      <c r="B25" s="27">
        <v>44</v>
      </c>
      <c r="C25" s="28" t="s">
        <v>52</v>
      </c>
      <c r="D25" s="29">
        <v>-6571.2</v>
      </c>
      <c r="E25" s="28" t="s">
        <v>35</v>
      </c>
      <c r="F25" s="30">
        <v>610129001</v>
      </c>
      <c r="G25" s="30" t="s">
        <v>53</v>
      </c>
      <c r="H25" s="30"/>
      <c r="I25" s="95" t="s">
        <v>7231</v>
      </c>
      <c r="J25" s="28" t="s">
        <v>54</v>
      </c>
      <c r="K25" s="28" t="s">
        <v>55</v>
      </c>
      <c r="L25" s="28" t="s">
        <v>56</v>
      </c>
      <c r="M25" s="28">
        <v>54.76</v>
      </c>
      <c r="N25" s="4">
        <f t="shared" si="0"/>
        <v>-120</v>
      </c>
      <c r="O25" t="s">
        <v>51</v>
      </c>
      <c r="Q25" s="24" t="s">
        <v>64</v>
      </c>
    </row>
    <row r="26" spans="1:17" x14ac:dyDescent="0.25">
      <c r="A26" s="25">
        <v>45674</v>
      </c>
      <c r="B26" s="1">
        <v>43</v>
      </c>
      <c r="C26" t="s">
        <v>65</v>
      </c>
      <c r="D26" s="23">
        <v>5000</v>
      </c>
      <c r="E26" t="s">
        <v>45</v>
      </c>
      <c r="F26" s="2">
        <v>210115002</v>
      </c>
      <c r="G26" s="2" t="s">
        <v>46</v>
      </c>
      <c r="I26" s="95" t="s">
        <v>7231</v>
      </c>
      <c r="K26" t="s">
        <v>65</v>
      </c>
      <c r="M26">
        <v>54.76</v>
      </c>
      <c r="N26" s="4">
        <f t="shared" si="0"/>
        <v>91.307523739956181</v>
      </c>
      <c r="O26" t="s">
        <v>51</v>
      </c>
    </row>
    <row r="27" spans="1:17" x14ac:dyDescent="0.25">
      <c r="A27" s="25">
        <v>45681</v>
      </c>
      <c r="B27" s="1">
        <v>48</v>
      </c>
      <c r="C27" t="s">
        <v>50</v>
      </c>
      <c r="D27" s="23">
        <v>-20.260000000000002</v>
      </c>
      <c r="E27" t="s">
        <v>35</v>
      </c>
      <c r="F27" s="2">
        <v>610148001</v>
      </c>
      <c r="G27" s="2" t="s">
        <v>41</v>
      </c>
      <c r="I27" s="95" t="s">
        <v>7231</v>
      </c>
      <c r="J27" t="s">
        <v>42</v>
      </c>
      <c r="K27" t="s">
        <v>41</v>
      </c>
      <c r="M27">
        <v>56.28</v>
      </c>
      <c r="N27" s="4">
        <f t="shared" si="0"/>
        <v>-0.35998578535891973</v>
      </c>
      <c r="O27" t="s">
        <v>51</v>
      </c>
      <c r="Q27" s="24" t="s">
        <v>43</v>
      </c>
    </row>
    <row r="28" spans="1:17" x14ac:dyDescent="0.25">
      <c r="A28" s="26">
        <v>45681</v>
      </c>
      <c r="B28" s="27">
        <v>47</v>
      </c>
      <c r="C28" s="28" t="s">
        <v>52</v>
      </c>
      <c r="D28" s="29">
        <v>-6753.6</v>
      </c>
      <c r="E28" s="28" t="s">
        <v>35</v>
      </c>
      <c r="F28" s="30">
        <v>610129001</v>
      </c>
      <c r="G28" s="30" t="s">
        <v>53</v>
      </c>
      <c r="H28" s="30"/>
      <c r="I28" s="95" t="s">
        <v>7231</v>
      </c>
      <c r="J28" s="28" t="s">
        <v>54</v>
      </c>
      <c r="K28" s="28" t="s">
        <v>55</v>
      </c>
      <c r="L28" s="28" t="s">
        <v>56</v>
      </c>
      <c r="M28" s="28">
        <v>56.28</v>
      </c>
      <c r="N28" s="4">
        <f t="shared" si="0"/>
        <v>-120</v>
      </c>
      <c r="O28" t="s">
        <v>51</v>
      </c>
      <c r="Q28" s="24" t="s">
        <v>66</v>
      </c>
    </row>
    <row r="29" spans="1:17" x14ac:dyDescent="0.25">
      <c r="A29" s="25">
        <v>45681</v>
      </c>
      <c r="B29" s="1">
        <v>46</v>
      </c>
      <c r="C29" t="s">
        <v>58</v>
      </c>
      <c r="D29" s="23">
        <v>10000</v>
      </c>
      <c r="E29" t="s">
        <v>45</v>
      </c>
      <c r="F29" s="2">
        <v>210115002</v>
      </c>
      <c r="G29" s="2" t="s">
        <v>46</v>
      </c>
      <c r="I29" s="95" t="s">
        <v>7231</v>
      </c>
      <c r="K29" t="s">
        <v>58</v>
      </c>
      <c r="M29">
        <v>56.28</v>
      </c>
      <c r="N29" s="4">
        <f t="shared" si="0"/>
        <v>177.68301350390902</v>
      </c>
      <c r="O29" t="s">
        <v>51</v>
      </c>
    </row>
    <row r="30" spans="1:17" x14ac:dyDescent="0.25">
      <c r="A30" s="25">
        <v>45686</v>
      </c>
      <c r="B30" s="1">
        <v>51</v>
      </c>
      <c r="C30" t="s">
        <v>50</v>
      </c>
      <c r="D30" s="23">
        <v>-42.64</v>
      </c>
      <c r="E30" t="s">
        <v>35</v>
      </c>
      <c r="F30" s="2">
        <v>610148001</v>
      </c>
      <c r="G30" s="2" t="s">
        <v>41</v>
      </c>
      <c r="I30" s="95" t="s">
        <v>7231</v>
      </c>
      <c r="J30" t="s">
        <v>42</v>
      </c>
      <c r="K30" t="s">
        <v>41</v>
      </c>
      <c r="M30">
        <v>57.3</v>
      </c>
      <c r="N30" s="4">
        <f t="shared" si="0"/>
        <v>-0.74415357766143109</v>
      </c>
      <c r="O30" t="s">
        <v>51</v>
      </c>
      <c r="Q30" s="24" t="s">
        <v>43</v>
      </c>
    </row>
    <row r="31" spans="1:17" x14ac:dyDescent="0.25">
      <c r="A31" s="25">
        <v>45686</v>
      </c>
      <c r="B31" s="1">
        <v>50</v>
      </c>
      <c r="C31" t="s">
        <v>67</v>
      </c>
      <c r="D31" s="23">
        <v>-14215</v>
      </c>
      <c r="E31" t="s">
        <v>35</v>
      </c>
      <c r="F31" s="2">
        <v>840101001</v>
      </c>
      <c r="G31" s="2" t="s">
        <v>60</v>
      </c>
      <c r="I31" s="95" t="s">
        <v>7231</v>
      </c>
      <c r="J31" t="s">
        <v>61</v>
      </c>
      <c r="K31" t="s">
        <v>62</v>
      </c>
      <c r="M31">
        <v>57.3</v>
      </c>
      <c r="N31" s="4">
        <f t="shared" si="0"/>
        <v>-248.08027923211171</v>
      </c>
      <c r="O31" t="s">
        <v>51</v>
      </c>
    </row>
    <row r="32" spans="1:17" x14ac:dyDescent="0.25">
      <c r="A32" s="25">
        <v>45686</v>
      </c>
      <c r="B32" s="1">
        <v>49</v>
      </c>
      <c r="C32" t="s">
        <v>65</v>
      </c>
      <c r="D32" s="23">
        <v>15000</v>
      </c>
      <c r="E32" t="s">
        <v>45</v>
      </c>
      <c r="F32" s="2">
        <v>210115002</v>
      </c>
      <c r="G32" s="2" t="s">
        <v>46</v>
      </c>
      <c r="I32" s="95" t="s">
        <v>7231</v>
      </c>
      <c r="K32" t="s">
        <v>65</v>
      </c>
      <c r="M32">
        <v>57.3</v>
      </c>
      <c r="N32" s="4">
        <f t="shared" si="0"/>
        <v>261.78010471204192</v>
      </c>
      <c r="O32" t="s">
        <v>51</v>
      </c>
    </row>
    <row r="33" spans="1:17" x14ac:dyDescent="0.25">
      <c r="A33" s="25">
        <v>45688</v>
      </c>
      <c r="B33" s="1">
        <v>60</v>
      </c>
      <c r="C33" t="s">
        <v>68</v>
      </c>
      <c r="D33" s="23">
        <v>-0.5</v>
      </c>
      <c r="E33" t="s">
        <v>35</v>
      </c>
      <c r="F33" s="2">
        <v>610148001</v>
      </c>
      <c r="G33" s="2" t="s">
        <v>41</v>
      </c>
      <c r="I33" s="95" t="s">
        <v>7231</v>
      </c>
      <c r="J33" t="s">
        <v>42</v>
      </c>
      <c r="K33" t="s">
        <v>41</v>
      </c>
      <c r="M33">
        <v>57.97</v>
      </c>
      <c r="N33" s="4">
        <f t="shared" si="0"/>
        <v>-8.6251509401414524E-3</v>
      </c>
      <c r="O33" t="s">
        <v>51</v>
      </c>
      <c r="Q33" s="24" t="s">
        <v>43</v>
      </c>
    </row>
    <row r="34" spans="1:17" x14ac:dyDescent="0.25">
      <c r="A34" s="25">
        <v>45688</v>
      </c>
      <c r="B34" s="1">
        <v>59</v>
      </c>
      <c r="C34" t="s">
        <v>69</v>
      </c>
      <c r="D34" s="23">
        <v>-0.5</v>
      </c>
      <c r="E34" t="s">
        <v>35</v>
      </c>
      <c r="F34" s="2">
        <v>610148001</v>
      </c>
      <c r="G34" s="2" t="s">
        <v>41</v>
      </c>
      <c r="I34" s="95" t="s">
        <v>7231</v>
      </c>
      <c r="J34" t="s">
        <v>42</v>
      </c>
      <c r="K34" t="s">
        <v>41</v>
      </c>
      <c r="M34">
        <v>57.97</v>
      </c>
      <c r="N34" s="4">
        <f t="shared" si="0"/>
        <v>-8.6251509401414524E-3</v>
      </c>
      <c r="O34" t="s">
        <v>51</v>
      </c>
      <c r="Q34" s="24" t="s">
        <v>43</v>
      </c>
    </row>
    <row r="35" spans="1:17" x14ac:dyDescent="0.25">
      <c r="A35" s="25">
        <v>45688</v>
      </c>
      <c r="B35" s="1">
        <v>58</v>
      </c>
      <c r="C35" t="s">
        <v>70</v>
      </c>
      <c r="D35" s="23">
        <v>-0.67</v>
      </c>
      <c r="E35" t="s">
        <v>35</v>
      </c>
      <c r="F35" s="2">
        <v>610148001</v>
      </c>
      <c r="G35" s="2" t="s">
        <v>41</v>
      </c>
      <c r="I35" s="95" t="s">
        <v>7231</v>
      </c>
      <c r="J35" t="s">
        <v>42</v>
      </c>
      <c r="K35" t="s">
        <v>41</v>
      </c>
      <c r="M35">
        <v>57.97</v>
      </c>
      <c r="N35" s="4">
        <f t="shared" si="0"/>
        <v>-1.1557702259789547E-2</v>
      </c>
      <c r="O35" t="s">
        <v>51</v>
      </c>
      <c r="Q35" s="24" t="s">
        <v>43</v>
      </c>
    </row>
    <row r="36" spans="1:17" x14ac:dyDescent="0.25">
      <c r="A36" s="26">
        <v>45688</v>
      </c>
      <c r="B36" s="27">
        <v>57</v>
      </c>
      <c r="C36" s="28" t="s">
        <v>71</v>
      </c>
      <c r="D36" s="29">
        <v>-6956.4</v>
      </c>
      <c r="E36" s="28" t="s">
        <v>35</v>
      </c>
      <c r="F36" s="30">
        <v>610156001</v>
      </c>
      <c r="G36" s="30" t="s">
        <v>72</v>
      </c>
      <c r="H36" s="30"/>
      <c r="I36" s="95" t="s">
        <v>7231</v>
      </c>
      <c r="J36" s="28" t="s">
        <v>73</v>
      </c>
      <c r="K36" s="28" t="s">
        <v>74</v>
      </c>
      <c r="L36" s="28" t="s">
        <v>56</v>
      </c>
      <c r="M36" s="28">
        <v>57.97</v>
      </c>
      <c r="N36" s="4">
        <f t="shared" si="0"/>
        <v>-120</v>
      </c>
      <c r="O36" t="s">
        <v>51</v>
      </c>
      <c r="Q36" s="24" t="s">
        <v>75</v>
      </c>
    </row>
    <row r="37" spans="1:17" x14ac:dyDescent="0.25">
      <c r="A37" s="25">
        <v>45688</v>
      </c>
      <c r="B37" s="1">
        <v>56</v>
      </c>
      <c r="C37" t="s">
        <v>50</v>
      </c>
      <c r="D37" s="23">
        <v>-20.86</v>
      </c>
      <c r="E37" t="s">
        <v>35</v>
      </c>
      <c r="F37" s="2">
        <v>610148001</v>
      </c>
      <c r="G37" s="2" t="s">
        <v>41</v>
      </c>
      <c r="I37" s="95" t="s">
        <v>7231</v>
      </c>
      <c r="J37" t="s">
        <v>42</v>
      </c>
      <c r="K37" t="s">
        <v>41</v>
      </c>
      <c r="M37">
        <v>57.97</v>
      </c>
      <c r="N37" s="4">
        <f t="shared" si="0"/>
        <v>-0.35984129722270142</v>
      </c>
      <c r="O37" t="s">
        <v>51</v>
      </c>
      <c r="Q37" s="24" t="s">
        <v>43</v>
      </c>
    </row>
    <row r="38" spans="1:17" x14ac:dyDescent="0.25">
      <c r="A38" s="26">
        <v>45688</v>
      </c>
      <c r="B38" s="27">
        <v>55</v>
      </c>
      <c r="C38" s="28" t="s">
        <v>52</v>
      </c>
      <c r="D38" s="29">
        <v>-6956.4</v>
      </c>
      <c r="E38" s="28" t="s">
        <v>35</v>
      </c>
      <c r="F38" s="30">
        <v>610129001</v>
      </c>
      <c r="G38" s="30" t="s">
        <v>53</v>
      </c>
      <c r="H38" s="30"/>
      <c r="I38" s="95" t="s">
        <v>7231</v>
      </c>
      <c r="J38" s="28" t="s">
        <v>54</v>
      </c>
      <c r="K38" s="28" t="s">
        <v>55</v>
      </c>
      <c r="L38" s="28" t="s">
        <v>56</v>
      </c>
      <c r="M38" s="28">
        <v>57.97</v>
      </c>
      <c r="N38" s="4">
        <f t="shared" si="0"/>
        <v>-120</v>
      </c>
      <c r="O38" t="s">
        <v>51</v>
      </c>
      <c r="Q38" s="24" t="s">
        <v>76</v>
      </c>
    </row>
    <row r="39" spans="1:17" x14ac:dyDescent="0.25">
      <c r="A39" s="25">
        <v>45688</v>
      </c>
      <c r="B39" s="1">
        <v>54</v>
      </c>
      <c r="C39" t="s">
        <v>50</v>
      </c>
      <c r="D39" s="23">
        <v>-17.39</v>
      </c>
      <c r="E39" t="s">
        <v>35</v>
      </c>
      <c r="F39" s="2">
        <v>610148001</v>
      </c>
      <c r="G39" s="2" t="s">
        <v>41</v>
      </c>
      <c r="I39" s="95" t="s">
        <v>7231</v>
      </c>
      <c r="J39" t="s">
        <v>42</v>
      </c>
      <c r="K39" t="s">
        <v>41</v>
      </c>
      <c r="M39">
        <v>57.97</v>
      </c>
      <c r="N39" s="4">
        <f t="shared" si="0"/>
        <v>-0.29998274969811972</v>
      </c>
      <c r="O39" t="s">
        <v>51</v>
      </c>
      <c r="Q39" s="24" t="s">
        <v>43</v>
      </c>
    </row>
    <row r="40" spans="1:17" x14ac:dyDescent="0.25">
      <c r="A40" s="25">
        <v>45688</v>
      </c>
      <c r="B40" s="1">
        <v>53</v>
      </c>
      <c r="C40" t="s">
        <v>77</v>
      </c>
      <c r="D40" s="31">
        <v>-5797</v>
      </c>
      <c r="E40" t="s">
        <v>35</v>
      </c>
      <c r="F40" s="2">
        <v>610124003</v>
      </c>
      <c r="G40" s="2" t="s">
        <v>78</v>
      </c>
      <c r="I40" s="95" t="s">
        <v>7231</v>
      </c>
      <c r="J40" t="s">
        <v>79</v>
      </c>
      <c r="K40" t="s">
        <v>80</v>
      </c>
      <c r="L40" s="28" t="s">
        <v>56</v>
      </c>
      <c r="M40">
        <v>57.97</v>
      </c>
      <c r="N40" s="4">
        <f t="shared" si="0"/>
        <v>-100</v>
      </c>
      <c r="O40" t="s">
        <v>51</v>
      </c>
      <c r="Q40" s="24" t="s">
        <v>81</v>
      </c>
    </row>
    <row r="41" spans="1:17" x14ac:dyDescent="0.25">
      <c r="A41" s="25">
        <v>45688</v>
      </c>
      <c r="B41" s="1">
        <v>52</v>
      </c>
      <c r="C41" t="s">
        <v>63</v>
      </c>
      <c r="D41" s="23">
        <v>20000</v>
      </c>
      <c r="E41" t="s">
        <v>45</v>
      </c>
      <c r="F41" s="2">
        <v>210115002</v>
      </c>
      <c r="G41" s="2" t="s">
        <v>46</v>
      </c>
      <c r="I41" s="95" t="s">
        <v>7231</v>
      </c>
      <c r="K41" t="s">
        <v>63</v>
      </c>
      <c r="M41">
        <v>57.97</v>
      </c>
      <c r="N41" s="4">
        <f t="shared" si="0"/>
        <v>345.00603760565809</v>
      </c>
      <c r="O41" t="s">
        <v>51</v>
      </c>
    </row>
    <row r="42" spans="1:17" x14ac:dyDescent="0.25">
      <c r="A42" s="22">
        <v>45659</v>
      </c>
      <c r="B42" s="1">
        <v>121319250</v>
      </c>
      <c r="C42" t="s">
        <v>82</v>
      </c>
      <c r="D42" s="23">
        <v>790000</v>
      </c>
      <c r="E42" t="s">
        <v>45</v>
      </c>
      <c r="F42" s="2">
        <v>210115002</v>
      </c>
      <c r="G42" s="2" t="s">
        <v>46</v>
      </c>
      <c r="I42" s="95" t="s">
        <v>7231</v>
      </c>
      <c r="K42" t="s">
        <v>82</v>
      </c>
      <c r="M42">
        <v>52.03</v>
      </c>
      <c r="N42" s="4">
        <f t="shared" si="0"/>
        <v>15183.547953103978</v>
      </c>
      <c r="O42" t="s">
        <v>83</v>
      </c>
    </row>
    <row r="43" spans="1:17" x14ac:dyDescent="0.25">
      <c r="A43" s="22">
        <v>45659</v>
      </c>
      <c r="B43" s="1">
        <v>116496073</v>
      </c>
      <c r="C43" t="s">
        <v>84</v>
      </c>
      <c r="D43" s="23">
        <v>-148141.85999999999</v>
      </c>
      <c r="E43" t="s">
        <v>35</v>
      </c>
      <c r="F43" s="2">
        <v>210101001</v>
      </c>
      <c r="G43" s="2" t="s">
        <v>36</v>
      </c>
      <c r="I43" s="95" t="s">
        <v>7231</v>
      </c>
      <c r="J43" t="s">
        <v>37</v>
      </c>
      <c r="K43" t="s">
        <v>38</v>
      </c>
      <c r="M43">
        <v>52.03</v>
      </c>
      <c r="N43" s="4">
        <f t="shared" si="0"/>
        <v>-2847.2392850278684</v>
      </c>
      <c r="O43" t="s">
        <v>83</v>
      </c>
    </row>
    <row r="44" spans="1:17" x14ac:dyDescent="0.25">
      <c r="A44" s="22">
        <v>45659</v>
      </c>
      <c r="B44" s="1">
        <v>116496072</v>
      </c>
      <c r="C44" t="s">
        <v>85</v>
      </c>
      <c r="D44" s="23">
        <v>-1960.4</v>
      </c>
      <c r="E44" t="s">
        <v>35</v>
      </c>
      <c r="F44" s="2">
        <v>210101001</v>
      </c>
      <c r="G44" s="2" t="s">
        <v>36</v>
      </c>
      <c r="I44" s="95" t="s">
        <v>7231</v>
      </c>
      <c r="J44" t="s">
        <v>86</v>
      </c>
      <c r="K44" t="s">
        <v>87</v>
      </c>
      <c r="M44">
        <v>52.03</v>
      </c>
      <c r="N44" s="4">
        <f t="shared" si="0"/>
        <v>-37.678262540841821</v>
      </c>
      <c r="O44" t="s">
        <v>83</v>
      </c>
    </row>
    <row r="45" spans="1:17" x14ac:dyDescent="0.25">
      <c r="A45" s="22">
        <v>45659</v>
      </c>
      <c r="B45" s="1">
        <v>50166479</v>
      </c>
      <c r="C45" t="s">
        <v>88</v>
      </c>
      <c r="D45" s="23">
        <v>-636319.04</v>
      </c>
      <c r="E45" t="s">
        <v>35</v>
      </c>
      <c r="F45" s="2">
        <v>210101001</v>
      </c>
      <c r="G45" s="2" t="s">
        <v>36</v>
      </c>
      <c r="I45" s="95" t="s">
        <v>7231</v>
      </c>
      <c r="J45" t="s">
        <v>37</v>
      </c>
      <c r="K45" t="s">
        <v>38</v>
      </c>
      <c r="M45">
        <v>52.03</v>
      </c>
      <c r="N45" s="4">
        <f t="shared" si="0"/>
        <v>-12229.848933307707</v>
      </c>
      <c r="O45" t="s">
        <v>83</v>
      </c>
    </row>
    <row r="46" spans="1:17" x14ac:dyDescent="0.25">
      <c r="A46" s="22">
        <v>45659</v>
      </c>
      <c r="B46" s="1">
        <v>50166480</v>
      </c>
      <c r="C46" t="s">
        <v>89</v>
      </c>
      <c r="D46" s="23">
        <v>-1966.05</v>
      </c>
      <c r="E46" t="s">
        <v>35</v>
      </c>
      <c r="F46" s="2">
        <v>610148001</v>
      </c>
      <c r="G46" s="2" t="s">
        <v>41</v>
      </c>
      <c r="I46" s="95" t="s">
        <v>7231</v>
      </c>
      <c r="J46" t="s">
        <v>42</v>
      </c>
      <c r="K46" t="s">
        <v>41</v>
      </c>
      <c r="M46">
        <v>52.03</v>
      </c>
      <c r="N46" s="4">
        <f t="shared" si="0"/>
        <v>-37.786853738227947</v>
      </c>
      <c r="O46" t="s">
        <v>83</v>
      </c>
      <c r="Q46" s="24" t="s">
        <v>43</v>
      </c>
    </row>
    <row r="47" spans="1:17" x14ac:dyDescent="0.25">
      <c r="A47" s="22">
        <v>45659</v>
      </c>
      <c r="B47" s="1">
        <v>0</v>
      </c>
      <c r="C47" t="s">
        <v>90</v>
      </c>
      <c r="D47" s="23">
        <v>-1553.1</v>
      </c>
      <c r="E47" t="s">
        <v>35</v>
      </c>
      <c r="F47" s="2">
        <v>212901001</v>
      </c>
      <c r="G47" s="2" t="s">
        <v>91</v>
      </c>
      <c r="I47" s="95" t="s">
        <v>7231</v>
      </c>
      <c r="J47" t="s">
        <v>61</v>
      </c>
      <c r="K47" t="s">
        <v>62</v>
      </c>
      <c r="M47">
        <v>52.03</v>
      </c>
      <c r="N47" s="4">
        <f t="shared" si="0"/>
        <v>-29.850086488564287</v>
      </c>
      <c r="O47" t="s">
        <v>83</v>
      </c>
    </row>
    <row r="48" spans="1:17" x14ac:dyDescent="0.25">
      <c r="A48" s="22">
        <v>45660</v>
      </c>
      <c r="B48" s="1">
        <v>0</v>
      </c>
      <c r="C48" t="s">
        <v>92</v>
      </c>
      <c r="D48" s="23">
        <v>-47.73</v>
      </c>
      <c r="E48" t="s">
        <v>35</v>
      </c>
      <c r="F48" s="2">
        <v>610148001</v>
      </c>
      <c r="G48" s="2" t="s">
        <v>41</v>
      </c>
      <c r="I48" s="95" t="s">
        <v>7231</v>
      </c>
      <c r="J48" t="s">
        <v>42</v>
      </c>
      <c r="K48" t="s">
        <v>41</v>
      </c>
      <c r="M48">
        <v>52.57</v>
      </c>
      <c r="N48" s="4">
        <f t="shared" si="0"/>
        <v>-0.90793228076849908</v>
      </c>
      <c r="O48" t="s">
        <v>83</v>
      </c>
      <c r="Q48" s="24" t="s">
        <v>43</v>
      </c>
    </row>
    <row r="49" spans="1:17" x14ac:dyDescent="0.25">
      <c r="A49" s="22">
        <v>45660</v>
      </c>
      <c r="B49" s="1">
        <v>558114</v>
      </c>
      <c r="C49" t="s">
        <v>93</v>
      </c>
      <c r="D49" s="23">
        <v>-8803.48</v>
      </c>
      <c r="E49" t="s">
        <v>35</v>
      </c>
      <c r="F49" s="2">
        <v>213401001</v>
      </c>
      <c r="G49" s="2" t="s">
        <v>94</v>
      </c>
      <c r="I49" s="95" t="s">
        <v>7231</v>
      </c>
      <c r="J49" t="s">
        <v>95</v>
      </c>
      <c r="K49" t="s">
        <v>96</v>
      </c>
      <c r="M49">
        <v>52.57</v>
      </c>
      <c r="N49" s="4">
        <f t="shared" si="0"/>
        <v>-167.46205059920106</v>
      </c>
      <c r="O49" t="s">
        <v>83</v>
      </c>
      <c r="Q49" s="32" t="s">
        <v>97</v>
      </c>
    </row>
    <row r="50" spans="1:17" x14ac:dyDescent="0.25">
      <c r="A50" s="22">
        <v>45660</v>
      </c>
      <c r="B50" s="1">
        <v>671562954</v>
      </c>
      <c r="C50" t="s">
        <v>98</v>
      </c>
      <c r="D50" s="23">
        <v>20000</v>
      </c>
      <c r="E50" t="s">
        <v>45</v>
      </c>
      <c r="F50" s="2">
        <v>210115002</v>
      </c>
      <c r="G50" s="2" t="s">
        <v>46</v>
      </c>
      <c r="I50" s="95" t="s">
        <v>7231</v>
      </c>
      <c r="K50" t="s">
        <v>98</v>
      </c>
      <c r="M50">
        <v>52.57</v>
      </c>
      <c r="N50" s="4">
        <f t="shared" si="0"/>
        <v>380.44512079132585</v>
      </c>
      <c r="O50" t="s">
        <v>83</v>
      </c>
    </row>
    <row r="51" spans="1:17" x14ac:dyDescent="0.25">
      <c r="A51" s="33">
        <v>45660</v>
      </c>
      <c r="B51" s="27">
        <v>216531574</v>
      </c>
      <c r="C51" s="28" t="s">
        <v>52</v>
      </c>
      <c r="D51" s="29">
        <v>-6308.4</v>
      </c>
      <c r="E51" s="28" t="s">
        <v>35</v>
      </c>
      <c r="F51" s="30">
        <v>610129001</v>
      </c>
      <c r="G51" s="30" t="s">
        <v>53</v>
      </c>
      <c r="H51" s="30"/>
      <c r="I51" s="95" t="s">
        <v>7231</v>
      </c>
      <c r="J51" s="28" t="s">
        <v>54</v>
      </c>
      <c r="K51" s="28" t="s">
        <v>55</v>
      </c>
      <c r="L51" s="28" t="s">
        <v>56</v>
      </c>
      <c r="M51" s="28">
        <v>52.57</v>
      </c>
      <c r="N51" s="4">
        <f t="shared" si="0"/>
        <v>-119.99999999999999</v>
      </c>
      <c r="O51" t="s">
        <v>83</v>
      </c>
      <c r="Q51" s="24" t="s">
        <v>99</v>
      </c>
    </row>
    <row r="52" spans="1:17" x14ac:dyDescent="0.25">
      <c r="A52" s="22">
        <v>45660</v>
      </c>
      <c r="B52" s="1">
        <v>216531575</v>
      </c>
      <c r="C52" t="s">
        <v>100</v>
      </c>
      <c r="D52" s="23">
        <v>-1576.81</v>
      </c>
      <c r="E52" t="s">
        <v>35</v>
      </c>
      <c r="F52" s="2">
        <v>210101001</v>
      </c>
      <c r="G52" s="2" t="s">
        <v>36</v>
      </c>
      <c r="I52" s="95" t="s">
        <v>7231</v>
      </c>
      <c r="J52" t="s">
        <v>86</v>
      </c>
      <c r="K52" t="s">
        <v>87</v>
      </c>
      <c r="M52">
        <v>52.57</v>
      </c>
      <c r="N52" s="4">
        <f t="shared" si="0"/>
        <v>-29.994483545748526</v>
      </c>
      <c r="O52" t="s">
        <v>83</v>
      </c>
    </row>
    <row r="53" spans="1:17" x14ac:dyDescent="0.25">
      <c r="A53" s="22">
        <v>45660</v>
      </c>
      <c r="B53" s="1">
        <v>216531577</v>
      </c>
      <c r="C53" t="s">
        <v>101</v>
      </c>
      <c r="D53" s="23">
        <v>-3679.9</v>
      </c>
      <c r="E53" t="s">
        <v>35</v>
      </c>
      <c r="F53" s="2">
        <v>212901001</v>
      </c>
      <c r="G53" s="2" t="s">
        <v>91</v>
      </c>
      <c r="I53" s="95" t="s">
        <v>7231</v>
      </c>
      <c r="J53" t="s">
        <v>61</v>
      </c>
      <c r="K53" t="s">
        <v>62</v>
      </c>
      <c r="M53">
        <v>52.57</v>
      </c>
      <c r="N53" s="4">
        <f t="shared" si="0"/>
        <v>-70</v>
      </c>
      <c r="O53" t="s">
        <v>83</v>
      </c>
    </row>
    <row r="54" spans="1:17" x14ac:dyDescent="0.25">
      <c r="A54" s="22">
        <v>45660</v>
      </c>
      <c r="B54" s="1">
        <v>216531576</v>
      </c>
      <c r="C54" t="s">
        <v>102</v>
      </c>
      <c r="D54" s="23">
        <v>-1261.68</v>
      </c>
      <c r="E54" t="s">
        <v>35</v>
      </c>
      <c r="F54" s="2">
        <v>212901001</v>
      </c>
      <c r="G54" s="2" t="s">
        <v>91</v>
      </c>
      <c r="I54" s="95" t="s">
        <v>7231</v>
      </c>
      <c r="J54" t="s">
        <v>61</v>
      </c>
      <c r="K54" t="s">
        <v>62</v>
      </c>
      <c r="M54">
        <v>52.57</v>
      </c>
      <c r="N54" s="4">
        <f t="shared" si="0"/>
        <v>-24</v>
      </c>
      <c r="O54" t="s">
        <v>83</v>
      </c>
    </row>
    <row r="55" spans="1:17" x14ac:dyDescent="0.25">
      <c r="A55" s="22">
        <v>45660</v>
      </c>
      <c r="B55" s="1">
        <v>216531579</v>
      </c>
      <c r="C55" t="s">
        <v>103</v>
      </c>
      <c r="D55" s="23">
        <v>-1577.1</v>
      </c>
      <c r="E55" t="s">
        <v>35</v>
      </c>
      <c r="F55" s="2">
        <v>212901001</v>
      </c>
      <c r="G55" s="2" t="s">
        <v>91</v>
      </c>
      <c r="I55" s="95" t="s">
        <v>7231</v>
      </c>
      <c r="J55" t="s">
        <v>61</v>
      </c>
      <c r="K55" t="s">
        <v>62</v>
      </c>
      <c r="M55">
        <v>52.57</v>
      </c>
      <c r="N55" s="4">
        <f t="shared" si="0"/>
        <v>-29.999999999999996</v>
      </c>
      <c r="O55" t="s">
        <v>83</v>
      </c>
    </row>
    <row r="56" spans="1:17" x14ac:dyDescent="0.25">
      <c r="A56" s="22">
        <v>45660</v>
      </c>
      <c r="B56" s="1">
        <v>216531578</v>
      </c>
      <c r="C56" t="s">
        <v>104</v>
      </c>
      <c r="D56" s="23">
        <v>-2628.5</v>
      </c>
      <c r="E56" t="s">
        <v>35</v>
      </c>
      <c r="F56" s="2">
        <v>212901001</v>
      </c>
      <c r="G56" s="2" t="s">
        <v>91</v>
      </c>
      <c r="I56" s="95" t="s">
        <v>7231</v>
      </c>
      <c r="J56" t="s">
        <v>61</v>
      </c>
      <c r="K56" t="s">
        <v>62</v>
      </c>
      <c r="M56">
        <v>52.57</v>
      </c>
      <c r="N56" s="4">
        <f t="shared" si="0"/>
        <v>-50</v>
      </c>
      <c r="O56" t="s">
        <v>83</v>
      </c>
    </row>
    <row r="57" spans="1:17" x14ac:dyDescent="0.25">
      <c r="A57" s="22">
        <v>45660</v>
      </c>
      <c r="B57" s="1">
        <v>216531581</v>
      </c>
      <c r="C57" t="s">
        <v>105</v>
      </c>
      <c r="D57" s="23">
        <v>-1051.4000000000001</v>
      </c>
      <c r="E57" t="s">
        <v>35</v>
      </c>
      <c r="F57" s="2">
        <v>212901001</v>
      </c>
      <c r="G57" s="2" t="s">
        <v>91</v>
      </c>
      <c r="I57" s="95" t="s">
        <v>7231</v>
      </c>
      <c r="J57" t="s">
        <v>61</v>
      </c>
      <c r="K57" t="s">
        <v>62</v>
      </c>
      <c r="M57">
        <v>52.57</v>
      </c>
      <c r="N57" s="4">
        <f t="shared" si="0"/>
        <v>-20</v>
      </c>
      <c r="O57" t="s">
        <v>83</v>
      </c>
    </row>
    <row r="58" spans="1:17" x14ac:dyDescent="0.25">
      <c r="A58" s="22">
        <v>45660</v>
      </c>
      <c r="B58" s="1">
        <v>216531582</v>
      </c>
      <c r="C58" t="s">
        <v>106</v>
      </c>
      <c r="D58" s="23">
        <v>-1051.4000000000001</v>
      </c>
      <c r="E58" t="s">
        <v>35</v>
      </c>
      <c r="F58" s="2">
        <v>212901001</v>
      </c>
      <c r="G58" s="2" t="s">
        <v>91</v>
      </c>
      <c r="I58" s="95" t="s">
        <v>7231</v>
      </c>
      <c r="J58" t="s">
        <v>61</v>
      </c>
      <c r="K58" t="s">
        <v>62</v>
      </c>
      <c r="M58">
        <v>52.57</v>
      </c>
      <c r="N58" s="4">
        <f t="shared" si="0"/>
        <v>-20</v>
      </c>
      <c r="O58" t="s">
        <v>83</v>
      </c>
    </row>
    <row r="59" spans="1:17" x14ac:dyDescent="0.25">
      <c r="A59" s="22">
        <v>45660</v>
      </c>
      <c r="B59" s="1">
        <v>216531580</v>
      </c>
      <c r="C59" t="s">
        <v>107</v>
      </c>
      <c r="D59" s="23">
        <v>-1051.4000000000001</v>
      </c>
      <c r="E59" t="s">
        <v>35</v>
      </c>
      <c r="F59" s="2">
        <v>212901001</v>
      </c>
      <c r="G59" s="2" t="s">
        <v>91</v>
      </c>
      <c r="I59" s="95" t="s">
        <v>7231</v>
      </c>
      <c r="J59" t="s">
        <v>61</v>
      </c>
      <c r="K59" t="s">
        <v>62</v>
      </c>
      <c r="M59">
        <v>52.57</v>
      </c>
      <c r="N59" s="4">
        <f t="shared" si="0"/>
        <v>-20</v>
      </c>
      <c r="O59" t="s">
        <v>83</v>
      </c>
    </row>
    <row r="60" spans="1:17" x14ac:dyDescent="0.25">
      <c r="A60" s="22">
        <v>45660</v>
      </c>
      <c r="B60" s="1">
        <v>50157887</v>
      </c>
      <c r="C60" t="s">
        <v>89</v>
      </c>
      <c r="D60" s="23">
        <v>-50.46</v>
      </c>
      <c r="E60" t="s">
        <v>35</v>
      </c>
      <c r="F60" s="2">
        <v>610148001</v>
      </c>
      <c r="G60" s="2" t="s">
        <v>41</v>
      </c>
      <c r="I60" s="95" t="s">
        <v>7231</v>
      </c>
      <c r="J60" t="s">
        <v>42</v>
      </c>
      <c r="K60" t="s">
        <v>41</v>
      </c>
      <c r="M60">
        <v>52.57</v>
      </c>
      <c r="N60" s="4">
        <f t="shared" si="0"/>
        <v>-0.9598630397565151</v>
      </c>
      <c r="O60" t="s">
        <v>83</v>
      </c>
      <c r="Q60" s="24" t="s">
        <v>43</v>
      </c>
    </row>
    <row r="61" spans="1:17" x14ac:dyDescent="0.25">
      <c r="A61" s="22">
        <v>45660</v>
      </c>
      <c r="B61" s="1">
        <v>153223178</v>
      </c>
      <c r="C61" t="s">
        <v>82</v>
      </c>
      <c r="D61" s="23">
        <v>240000</v>
      </c>
      <c r="E61" t="s">
        <v>45</v>
      </c>
      <c r="F61" s="2">
        <v>210115002</v>
      </c>
      <c r="G61" s="2" t="s">
        <v>46</v>
      </c>
      <c r="I61" s="95" t="s">
        <v>7231</v>
      </c>
      <c r="K61" t="s">
        <v>82</v>
      </c>
      <c r="M61">
        <v>52.57</v>
      </c>
      <c r="N61" s="4">
        <f t="shared" si="0"/>
        <v>4565.3414494959106</v>
      </c>
      <c r="O61" t="s">
        <v>83</v>
      </c>
    </row>
    <row r="62" spans="1:17" x14ac:dyDescent="0.25">
      <c r="A62" s="22">
        <v>45660</v>
      </c>
      <c r="B62" s="1">
        <v>916540936</v>
      </c>
      <c r="C62" t="s">
        <v>108</v>
      </c>
      <c r="D62" s="23">
        <v>-3154.2</v>
      </c>
      <c r="E62" t="s">
        <v>35</v>
      </c>
      <c r="F62" s="2">
        <v>212901001</v>
      </c>
      <c r="G62" s="2" t="s">
        <v>91</v>
      </c>
      <c r="I62" s="95" t="s">
        <v>7231</v>
      </c>
      <c r="J62" t="s">
        <v>61</v>
      </c>
      <c r="K62" t="s">
        <v>62</v>
      </c>
      <c r="M62">
        <v>52.57</v>
      </c>
      <c r="N62" s="4">
        <f t="shared" si="0"/>
        <v>-59.999999999999993</v>
      </c>
      <c r="O62" t="s">
        <v>83</v>
      </c>
    </row>
    <row r="63" spans="1:17" x14ac:dyDescent="0.25">
      <c r="A63" s="22">
        <v>45660</v>
      </c>
      <c r="B63" s="1">
        <v>816540934</v>
      </c>
      <c r="C63" t="s">
        <v>109</v>
      </c>
      <c r="D63" s="23">
        <v>-3154.2</v>
      </c>
      <c r="E63" t="s">
        <v>35</v>
      </c>
      <c r="F63" s="2">
        <v>212901001</v>
      </c>
      <c r="G63" s="2" t="s">
        <v>91</v>
      </c>
      <c r="I63" s="95" t="s">
        <v>7231</v>
      </c>
      <c r="J63" t="s">
        <v>61</v>
      </c>
      <c r="K63" t="s">
        <v>62</v>
      </c>
      <c r="M63">
        <v>52.57</v>
      </c>
      <c r="N63" s="4">
        <f t="shared" si="0"/>
        <v>-59.999999999999993</v>
      </c>
      <c r="O63" t="s">
        <v>83</v>
      </c>
    </row>
    <row r="64" spans="1:17" x14ac:dyDescent="0.25">
      <c r="A64" s="22">
        <v>45660</v>
      </c>
      <c r="B64" s="1">
        <v>816540932</v>
      </c>
      <c r="C64" t="s">
        <v>110</v>
      </c>
      <c r="D64" s="23">
        <v>-3154.2</v>
      </c>
      <c r="E64" t="s">
        <v>35</v>
      </c>
      <c r="F64" s="2">
        <v>212901001</v>
      </c>
      <c r="G64" s="2" t="s">
        <v>91</v>
      </c>
      <c r="I64" s="95" t="s">
        <v>7231</v>
      </c>
      <c r="J64" t="s">
        <v>61</v>
      </c>
      <c r="K64" t="s">
        <v>62</v>
      </c>
      <c r="M64">
        <v>52.57</v>
      </c>
      <c r="N64" s="4">
        <f t="shared" si="0"/>
        <v>-59.999999999999993</v>
      </c>
      <c r="O64" t="s">
        <v>83</v>
      </c>
    </row>
    <row r="65" spans="1:15" x14ac:dyDescent="0.25">
      <c r="A65" s="22">
        <v>45660</v>
      </c>
      <c r="B65" s="1">
        <v>916540935</v>
      </c>
      <c r="C65" t="s">
        <v>111</v>
      </c>
      <c r="D65" s="23">
        <v>-3154.2</v>
      </c>
      <c r="E65" t="s">
        <v>35</v>
      </c>
      <c r="F65" s="2">
        <v>212901001</v>
      </c>
      <c r="G65" s="2" t="s">
        <v>91</v>
      </c>
      <c r="I65" s="95" t="s">
        <v>7231</v>
      </c>
      <c r="J65" t="s">
        <v>61</v>
      </c>
      <c r="K65" t="s">
        <v>62</v>
      </c>
      <c r="M65">
        <v>52.57</v>
      </c>
      <c r="N65" s="4">
        <f t="shared" si="0"/>
        <v>-59.999999999999993</v>
      </c>
      <c r="O65" t="s">
        <v>83</v>
      </c>
    </row>
    <row r="66" spans="1:15" x14ac:dyDescent="0.25">
      <c r="A66" s="22">
        <v>45660</v>
      </c>
      <c r="B66" s="1">
        <v>916540937</v>
      </c>
      <c r="C66" t="s">
        <v>112</v>
      </c>
      <c r="D66" s="23">
        <v>-3154.2</v>
      </c>
      <c r="E66" t="s">
        <v>35</v>
      </c>
      <c r="F66" s="2">
        <v>212901001</v>
      </c>
      <c r="G66" s="2" t="s">
        <v>91</v>
      </c>
      <c r="I66" s="95" t="s">
        <v>7231</v>
      </c>
      <c r="J66" t="s">
        <v>61</v>
      </c>
      <c r="K66" t="s">
        <v>62</v>
      </c>
      <c r="M66">
        <v>52.57</v>
      </c>
      <c r="N66" s="4">
        <f t="shared" si="0"/>
        <v>-59.999999999999993</v>
      </c>
      <c r="O66" t="s">
        <v>83</v>
      </c>
    </row>
    <row r="67" spans="1:15" x14ac:dyDescent="0.25">
      <c r="A67" s="22">
        <v>45660</v>
      </c>
      <c r="B67" s="1">
        <v>916540940</v>
      </c>
      <c r="C67" t="s">
        <v>113</v>
      </c>
      <c r="D67" s="23">
        <v>-3154.2</v>
      </c>
      <c r="E67" t="s">
        <v>35</v>
      </c>
      <c r="F67" s="2">
        <v>212901001</v>
      </c>
      <c r="G67" s="2" t="s">
        <v>91</v>
      </c>
      <c r="I67" s="95" t="s">
        <v>7231</v>
      </c>
      <c r="J67" t="s">
        <v>61</v>
      </c>
      <c r="K67" t="s">
        <v>62</v>
      </c>
      <c r="M67">
        <v>52.57</v>
      </c>
      <c r="N67" s="4">
        <f t="shared" si="0"/>
        <v>-59.999999999999993</v>
      </c>
      <c r="O67" t="s">
        <v>83</v>
      </c>
    </row>
    <row r="68" spans="1:15" x14ac:dyDescent="0.25">
      <c r="A68" s="22">
        <v>45660</v>
      </c>
      <c r="B68" s="1">
        <v>916540939</v>
      </c>
      <c r="C68" t="s">
        <v>114</v>
      </c>
      <c r="D68" s="23">
        <v>-3154.2</v>
      </c>
      <c r="E68" t="s">
        <v>35</v>
      </c>
      <c r="F68" s="2">
        <v>212901001</v>
      </c>
      <c r="G68" s="2" t="s">
        <v>91</v>
      </c>
      <c r="I68" s="95" t="s">
        <v>7231</v>
      </c>
      <c r="J68" t="s">
        <v>61</v>
      </c>
      <c r="K68" t="s">
        <v>62</v>
      </c>
      <c r="M68">
        <v>52.57</v>
      </c>
      <c r="N68" s="4">
        <f t="shared" si="0"/>
        <v>-59.999999999999993</v>
      </c>
      <c r="O68" t="s">
        <v>83</v>
      </c>
    </row>
    <row r="69" spans="1:15" x14ac:dyDescent="0.25">
      <c r="A69" s="22">
        <v>45660</v>
      </c>
      <c r="B69" s="1">
        <v>916540938</v>
      </c>
      <c r="C69" t="s">
        <v>115</v>
      </c>
      <c r="D69" s="23">
        <v>-3154.2</v>
      </c>
      <c r="E69" t="s">
        <v>35</v>
      </c>
      <c r="F69" s="2">
        <v>212901001</v>
      </c>
      <c r="G69" s="2" t="s">
        <v>91</v>
      </c>
      <c r="I69" s="95" t="s">
        <v>7231</v>
      </c>
      <c r="J69" t="s">
        <v>61</v>
      </c>
      <c r="K69" t="s">
        <v>62</v>
      </c>
      <c r="M69">
        <v>52.57</v>
      </c>
      <c r="N69" s="4">
        <f t="shared" si="0"/>
        <v>-59.999999999999993</v>
      </c>
      <c r="O69" t="s">
        <v>83</v>
      </c>
    </row>
    <row r="70" spans="1:15" x14ac:dyDescent="0.25">
      <c r="A70" s="22">
        <v>45660</v>
      </c>
      <c r="B70" s="1">
        <v>916540941</v>
      </c>
      <c r="C70" t="s">
        <v>116</v>
      </c>
      <c r="D70" s="23">
        <v>-3154.2</v>
      </c>
      <c r="E70" t="s">
        <v>35</v>
      </c>
      <c r="F70" s="2">
        <v>212901001</v>
      </c>
      <c r="G70" s="2" t="s">
        <v>91</v>
      </c>
      <c r="I70" s="95" t="s">
        <v>7231</v>
      </c>
      <c r="J70" t="s">
        <v>61</v>
      </c>
      <c r="K70" t="s">
        <v>62</v>
      </c>
      <c r="M70">
        <v>52.57</v>
      </c>
      <c r="N70" s="4">
        <f t="shared" si="0"/>
        <v>-59.999999999999993</v>
      </c>
      <c r="O70" t="s">
        <v>83</v>
      </c>
    </row>
    <row r="71" spans="1:15" x14ac:dyDescent="0.25">
      <c r="A71" s="22">
        <v>45660</v>
      </c>
      <c r="B71" s="1">
        <v>916540943</v>
      </c>
      <c r="C71" t="s">
        <v>117</v>
      </c>
      <c r="D71" s="23">
        <v>-3154.2</v>
      </c>
      <c r="E71" t="s">
        <v>35</v>
      </c>
      <c r="F71" s="2">
        <v>212901001</v>
      </c>
      <c r="G71" s="2" t="s">
        <v>91</v>
      </c>
      <c r="I71" s="95" t="s">
        <v>7231</v>
      </c>
      <c r="J71" t="s">
        <v>61</v>
      </c>
      <c r="K71" t="s">
        <v>62</v>
      </c>
      <c r="M71">
        <v>52.57</v>
      </c>
      <c r="N71" s="4">
        <f t="shared" si="0"/>
        <v>-59.999999999999993</v>
      </c>
      <c r="O71" t="s">
        <v>83</v>
      </c>
    </row>
    <row r="72" spans="1:15" x14ac:dyDescent="0.25">
      <c r="A72" s="22">
        <v>45660</v>
      </c>
      <c r="B72" s="1">
        <v>916540942</v>
      </c>
      <c r="C72" t="s">
        <v>118</v>
      </c>
      <c r="D72" s="23">
        <v>-3154.2</v>
      </c>
      <c r="E72" t="s">
        <v>35</v>
      </c>
      <c r="F72" s="2">
        <v>212901001</v>
      </c>
      <c r="G72" s="2" t="s">
        <v>91</v>
      </c>
      <c r="I72" s="95" t="s">
        <v>7231</v>
      </c>
      <c r="J72" t="s">
        <v>61</v>
      </c>
      <c r="K72" t="s">
        <v>62</v>
      </c>
      <c r="M72">
        <v>52.57</v>
      </c>
      <c r="N72" s="4">
        <f t="shared" si="0"/>
        <v>-59.999999999999993</v>
      </c>
      <c r="O72" t="s">
        <v>83</v>
      </c>
    </row>
    <row r="73" spans="1:15" x14ac:dyDescent="0.25">
      <c r="A73" s="22">
        <v>45660</v>
      </c>
      <c r="B73" s="1">
        <v>916540946</v>
      </c>
      <c r="C73" t="s">
        <v>119</v>
      </c>
      <c r="D73" s="23">
        <v>-3154.2</v>
      </c>
      <c r="E73" t="s">
        <v>35</v>
      </c>
      <c r="F73" s="2">
        <v>212901001</v>
      </c>
      <c r="G73" s="2" t="s">
        <v>91</v>
      </c>
      <c r="I73" s="95" t="s">
        <v>7231</v>
      </c>
      <c r="J73" t="s">
        <v>61</v>
      </c>
      <c r="K73" t="s">
        <v>62</v>
      </c>
      <c r="M73">
        <v>52.57</v>
      </c>
      <c r="N73" s="4">
        <f t="shared" si="0"/>
        <v>-59.999999999999993</v>
      </c>
      <c r="O73" t="s">
        <v>83</v>
      </c>
    </row>
    <row r="74" spans="1:15" x14ac:dyDescent="0.25">
      <c r="A74" s="22">
        <v>45660</v>
      </c>
      <c r="B74" s="1">
        <v>916540944</v>
      </c>
      <c r="C74" t="s">
        <v>120</v>
      </c>
      <c r="D74" s="23">
        <v>-3154.2</v>
      </c>
      <c r="E74" t="s">
        <v>35</v>
      </c>
      <c r="F74" s="2">
        <v>212901001</v>
      </c>
      <c r="G74" s="2" t="s">
        <v>91</v>
      </c>
      <c r="I74" s="95" t="s">
        <v>7231</v>
      </c>
      <c r="J74" t="s">
        <v>61</v>
      </c>
      <c r="K74" t="s">
        <v>62</v>
      </c>
      <c r="M74">
        <v>52.57</v>
      </c>
      <c r="N74" s="4">
        <f t="shared" si="0"/>
        <v>-59.999999999999993</v>
      </c>
      <c r="O74" t="s">
        <v>83</v>
      </c>
    </row>
    <row r="75" spans="1:15" x14ac:dyDescent="0.25">
      <c r="A75" s="22">
        <v>45660</v>
      </c>
      <c r="B75" s="1">
        <v>916540947</v>
      </c>
      <c r="C75" t="s">
        <v>121</v>
      </c>
      <c r="D75" s="23">
        <v>-3154.2</v>
      </c>
      <c r="E75" t="s">
        <v>35</v>
      </c>
      <c r="F75" s="2">
        <v>212901001</v>
      </c>
      <c r="G75" s="2" t="s">
        <v>91</v>
      </c>
      <c r="I75" s="95" t="s">
        <v>7231</v>
      </c>
      <c r="J75" t="s">
        <v>61</v>
      </c>
      <c r="K75" t="s">
        <v>62</v>
      </c>
      <c r="M75">
        <v>52.57</v>
      </c>
      <c r="N75" s="4">
        <f t="shared" si="0"/>
        <v>-59.999999999999993</v>
      </c>
      <c r="O75" t="s">
        <v>83</v>
      </c>
    </row>
    <row r="76" spans="1:15" x14ac:dyDescent="0.25">
      <c r="A76" s="22">
        <v>45660</v>
      </c>
      <c r="B76" s="1">
        <v>16540948</v>
      </c>
      <c r="C76" t="s">
        <v>122</v>
      </c>
      <c r="D76" s="23">
        <v>-3154.2</v>
      </c>
      <c r="E76" t="s">
        <v>35</v>
      </c>
      <c r="F76" s="2">
        <v>212901001</v>
      </c>
      <c r="G76" s="2" t="s">
        <v>91</v>
      </c>
      <c r="I76" s="95" t="s">
        <v>7231</v>
      </c>
      <c r="J76" t="s">
        <v>61</v>
      </c>
      <c r="K76" t="s">
        <v>62</v>
      </c>
      <c r="M76">
        <v>52.57</v>
      </c>
      <c r="N76" s="4">
        <f t="shared" ref="N76:N139" si="1">D76/M76</f>
        <v>-59.999999999999993</v>
      </c>
      <c r="O76" t="s">
        <v>83</v>
      </c>
    </row>
    <row r="77" spans="1:15" x14ac:dyDescent="0.25">
      <c r="A77" s="22">
        <v>45660</v>
      </c>
      <c r="B77" s="1">
        <v>916540945</v>
      </c>
      <c r="C77" t="s">
        <v>123</v>
      </c>
      <c r="D77" s="23">
        <v>-3154.2</v>
      </c>
      <c r="E77" t="s">
        <v>35</v>
      </c>
      <c r="F77" s="2">
        <v>212901001</v>
      </c>
      <c r="G77" s="2" t="s">
        <v>91</v>
      </c>
      <c r="I77" s="95" t="s">
        <v>7231</v>
      </c>
      <c r="J77" t="s">
        <v>61</v>
      </c>
      <c r="K77" t="s">
        <v>62</v>
      </c>
      <c r="M77">
        <v>52.57</v>
      </c>
      <c r="N77" s="4">
        <f t="shared" si="1"/>
        <v>-59.999999999999993</v>
      </c>
      <c r="O77" t="s">
        <v>83</v>
      </c>
    </row>
    <row r="78" spans="1:15" x14ac:dyDescent="0.25">
      <c r="A78" s="22">
        <v>45660</v>
      </c>
      <c r="B78" s="1">
        <v>16540953</v>
      </c>
      <c r="C78" t="s">
        <v>124</v>
      </c>
      <c r="D78" s="23">
        <v>-4205.6000000000004</v>
      </c>
      <c r="E78" t="s">
        <v>35</v>
      </c>
      <c r="F78" s="2">
        <v>212901001</v>
      </c>
      <c r="G78" s="2" t="s">
        <v>91</v>
      </c>
      <c r="I78" s="95" t="s">
        <v>7231</v>
      </c>
      <c r="J78" t="s">
        <v>61</v>
      </c>
      <c r="K78" t="s">
        <v>62</v>
      </c>
      <c r="M78">
        <v>52.57</v>
      </c>
      <c r="N78" s="4">
        <f t="shared" si="1"/>
        <v>-80</v>
      </c>
      <c r="O78" t="s">
        <v>83</v>
      </c>
    </row>
    <row r="79" spans="1:15" x14ac:dyDescent="0.25">
      <c r="A79" s="22">
        <v>45660</v>
      </c>
      <c r="B79" s="1">
        <v>16540949</v>
      </c>
      <c r="C79" t="s">
        <v>125</v>
      </c>
      <c r="D79" s="23">
        <v>-7885.5</v>
      </c>
      <c r="E79" t="s">
        <v>35</v>
      </c>
      <c r="F79" s="2">
        <v>212901001</v>
      </c>
      <c r="G79" s="2" t="s">
        <v>91</v>
      </c>
      <c r="I79" s="95" t="s">
        <v>7231</v>
      </c>
      <c r="J79" t="s">
        <v>61</v>
      </c>
      <c r="K79" t="s">
        <v>62</v>
      </c>
      <c r="M79">
        <v>52.57</v>
      </c>
      <c r="N79" s="4">
        <f t="shared" si="1"/>
        <v>-150</v>
      </c>
      <c r="O79" t="s">
        <v>83</v>
      </c>
    </row>
    <row r="80" spans="1:15" x14ac:dyDescent="0.25">
      <c r="A80" s="22">
        <v>45660</v>
      </c>
      <c r="B80" s="1">
        <v>16540950</v>
      </c>
      <c r="C80" t="s">
        <v>126</v>
      </c>
      <c r="D80" s="23">
        <v>-5257</v>
      </c>
      <c r="E80" t="s">
        <v>35</v>
      </c>
      <c r="F80" s="2">
        <v>212901001</v>
      </c>
      <c r="G80" s="2" t="s">
        <v>91</v>
      </c>
      <c r="I80" s="95" t="s">
        <v>7231</v>
      </c>
      <c r="J80" t="s">
        <v>61</v>
      </c>
      <c r="K80" t="s">
        <v>62</v>
      </c>
      <c r="M80">
        <v>52.57</v>
      </c>
      <c r="N80" s="4">
        <f t="shared" si="1"/>
        <v>-100</v>
      </c>
      <c r="O80" t="s">
        <v>83</v>
      </c>
    </row>
    <row r="81" spans="1:15" x14ac:dyDescent="0.25">
      <c r="A81" s="22">
        <v>45660</v>
      </c>
      <c r="B81" s="1">
        <v>16540955</v>
      </c>
      <c r="C81" t="s">
        <v>127</v>
      </c>
      <c r="D81" s="23">
        <v>-4205.6000000000004</v>
      </c>
      <c r="E81" t="s">
        <v>35</v>
      </c>
      <c r="F81" s="2">
        <v>212901001</v>
      </c>
      <c r="G81" s="2" t="s">
        <v>91</v>
      </c>
      <c r="I81" s="95" t="s">
        <v>7231</v>
      </c>
      <c r="J81" t="s">
        <v>61</v>
      </c>
      <c r="K81" t="s">
        <v>62</v>
      </c>
      <c r="M81">
        <v>52.57</v>
      </c>
      <c r="N81" s="4">
        <f t="shared" si="1"/>
        <v>-80</v>
      </c>
      <c r="O81" t="s">
        <v>83</v>
      </c>
    </row>
    <row r="82" spans="1:15" x14ac:dyDescent="0.25">
      <c r="A82" s="22">
        <v>45660</v>
      </c>
      <c r="B82" s="1">
        <v>16540952</v>
      </c>
      <c r="C82" t="s">
        <v>128</v>
      </c>
      <c r="D82" s="23">
        <v>-4205.6000000000004</v>
      </c>
      <c r="E82" t="s">
        <v>35</v>
      </c>
      <c r="F82" s="2">
        <v>212901001</v>
      </c>
      <c r="G82" s="2" t="s">
        <v>91</v>
      </c>
      <c r="I82" s="95" t="s">
        <v>7231</v>
      </c>
      <c r="J82" t="s">
        <v>61</v>
      </c>
      <c r="K82" t="s">
        <v>62</v>
      </c>
      <c r="M82">
        <v>52.57</v>
      </c>
      <c r="N82" s="4">
        <f t="shared" si="1"/>
        <v>-80</v>
      </c>
      <c r="O82" t="s">
        <v>83</v>
      </c>
    </row>
    <row r="83" spans="1:15" x14ac:dyDescent="0.25">
      <c r="A83" s="22">
        <v>45660</v>
      </c>
      <c r="B83" s="1">
        <v>16540956</v>
      </c>
      <c r="C83" t="s">
        <v>129</v>
      </c>
      <c r="D83" s="23">
        <v>-4205.6000000000004</v>
      </c>
      <c r="E83" t="s">
        <v>35</v>
      </c>
      <c r="F83" s="2">
        <v>212901001</v>
      </c>
      <c r="G83" s="2" t="s">
        <v>91</v>
      </c>
      <c r="I83" s="95" t="s">
        <v>7231</v>
      </c>
      <c r="J83" t="s">
        <v>61</v>
      </c>
      <c r="K83" t="s">
        <v>62</v>
      </c>
      <c r="M83">
        <v>52.57</v>
      </c>
      <c r="N83" s="4">
        <f t="shared" si="1"/>
        <v>-80</v>
      </c>
      <c r="O83" t="s">
        <v>83</v>
      </c>
    </row>
    <row r="84" spans="1:15" x14ac:dyDescent="0.25">
      <c r="A84" s="22">
        <v>45660</v>
      </c>
      <c r="B84" s="1">
        <v>16540957</v>
      </c>
      <c r="C84" t="s">
        <v>130</v>
      </c>
      <c r="D84" s="23">
        <v>-2628.5</v>
      </c>
      <c r="E84" t="s">
        <v>35</v>
      </c>
      <c r="F84" s="2">
        <v>212901001</v>
      </c>
      <c r="G84" s="2" t="s">
        <v>91</v>
      </c>
      <c r="I84" s="95" t="s">
        <v>7231</v>
      </c>
      <c r="J84" t="s">
        <v>61</v>
      </c>
      <c r="K84" t="s">
        <v>62</v>
      </c>
      <c r="M84">
        <v>52.57</v>
      </c>
      <c r="N84" s="4">
        <f t="shared" si="1"/>
        <v>-50</v>
      </c>
      <c r="O84" t="s">
        <v>83</v>
      </c>
    </row>
    <row r="85" spans="1:15" x14ac:dyDescent="0.25">
      <c r="A85" s="22">
        <v>45660</v>
      </c>
      <c r="B85" s="1">
        <v>16540959</v>
      </c>
      <c r="C85" t="s">
        <v>131</v>
      </c>
      <c r="D85" s="23">
        <v>-2628.5</v>
      </c>
      <c r="E85" t="s">
        <v>35</v>
      </c>
      <c r="F85" s="2">
        <v>212901001</v>
      </c>
      <c r="G85" s="2" t="s">
        <v>91</v>
      </c>
      <c r="I85" s="95" t="s">
        <v>7231</v>
      </c>
      <c r="J85" t="s">
        <v>61</v>
      </c>
      <c r="K85" t="s">
        <v>62</v>
      </c>
      <c r="M85">
        <v>52.57</v>
      </c>
      <c r="N85" s="4">
        <f t="shared" si="1"/>
        <v>-50</v>
      </c>
      <c r="O85" t="s">
        <v>83</v>
      </c>
    </row>
    <row r="86" spans="1:15" x14ac:dyDescent="0.25">
      <c r="A86" s="22">
        <v>45660</v>
      </c>
      <c r="B86" s="1">
        <v>116540961</v>
      </c>
      <c r="C86" t="s">
        <v>132</v>
      </c>
      <c r="D86" s="23">
        <v>-2628.5</v>
      </c>
      <c r="E86" t="s">
        <v>35</v>
      </c>
      <c r="F86" s="2">
        <v>212901001</v>
      </c>
      <c r="G86" s="2" t="s">
        <v>91</v>
      </c>
      <c r="I86" s="95" t="s">
        <v>7231</v>
      </c>
      <c r="J86" t="s">
        <v>61</v>
      </c>
      <c r="K86" t="s">
        <v>62</v>
      </c>
      <c r="M86">
        <v>52.57</v>
      </c>
      <c r="N86" s="4">
        <f t="shared" si="1"/>
        <v>-50</v>
      </c>
      <c r="O86" t="s">
        <v>83</v>
      </c>
    </row>
    <row r="87" spans="1:15" x14ac:dyDescent="0.25">
      <c r="A87" s="22">
        <v>45660</v>
      </c>
      <c r="B87" s="1">
        <v>116540962</v>
      </c>
      <c r="C87" t="s">
        <v>133</v>
      </c>
      <c r="D87" s="23">
        <v>-2628.5</v>
      </c>
      <c r="E87" t="s">
        <v>35</v>
      </c>
      <c r="F87" s="2">
        <v>212901001</v>
      </c>
      <c r="G87" s="2" t="s">
        <v>91</v>
      </c>
      <c r="I87" s="95" t="s">
        <v>7231</v>
      </c>
      <c r="J87" t="s">
        <v>61</v>
      </c>
      <c r="K87" t="s">
        <v>62</v>
      </c>
      <c r="M87">
        <v>52.57</v>
      </c>
      <c r="N87" s="4">
        <f t="shared" si="1"/>
        <v>-50</v>
      </c>
      <c r="O87" t="s">
        <v>83</v>
      </c>
    </row>
    <row r="88" spans="1:15" x14ac:dyDescent="0.25">
      <c r="A88" s="22">
        <v>45660</v>
      </c>
      <c r="B88" s="1">
        <v>16540958</v>
      </c>
      <c r="C88" t="s">
        <v>134</v>
      </c>
      <c r="D88" s="23">
        <v>-2628.5</v>
      </c>
      <c r="E88" t="s">
        <v>35</v>
      </c>
      <c r="F88" s="2">
        <v>212901001</v>
      </c>
      <c r="G88" s="2" t="s">
        <v>91</v>
      </c>
      <c r="I88" s="95" t="s">
        <v>7231</v>
      </c>
      <c r="J88" t="s">
        <v>61</v>
      </c>
      <c r="K88" t="s">
        <v>62</v>
      </c>
      <c r="M88">
        <v>52.57</v>
      </c>
      <c r="N88" s="4">
        <f t="shared" si="1"/>
        <v>-50</v>
      </c>
      <c r="O88" t="s">
        <v>83</v>
      </c>
    </row>
    <row r="89" spans="1:15" x14ac:dyDescent="0.25">
      <c r="A89" s="22">
        <v>45660</v>
      </c>
      <c r="B89" s="1">
        <v>116540960</v>
      </c>
      <c r="C89" t="s">
        <v>135</v>
      </c>
      <c r="D89" s="23">
        <v>-2628.5</v>
      </c>
      <c r="E89" t="s">
        <v>35</v>
      </c>
      <c r="F89" s="2">
        <v>212901001</v>
      </c>
      <c r="G89" s="2" t="s">
        <v>91</v>
      </c>
      <c r="I89" s="95" t="s">
        <v>7231</v>
      </c>
      <c r="J89" t="s">
        <v>61</v>
      </c>
      <c r="K89" t="s">
        <v>62</v>
      </c>
      <c r="M89">
        <v>52.57</v>
      </c>
      <c r="N89" s="4">
        <f t="shared" si="1"/>
        <v>-50</v>
      </c>
      <c r="O89" t="s">
        <v>83</v>
      </c>
    </row>
    <row r="90" spans="1:15" x14ac:dyDescent="0.25">
      <c r="A90" s="22">
        <v>45660</v>
      </c>
      <c r="B90" s="1">
        <v>116540963</v>
      </c>
      <c r="C90" t="s">
        <v>136</v>
      </c>
      <c r="D90" s="23">
        <v>-2102.8000000000002</v>
      </c>
      <c r="E90" t="s">
        <v>35</v>
      </c>
      <c r="F90" s="2">
        <v>212901001</v>
      </c>
      <c r="G90" s="2" t="s">
        <v>91</v>
      </c>
      <c r="I90" s="95" t="s">
        <v>7231</v>
      </c>
      <c r="J90" t="s">
        <v>61</v>
      </c>
      <c r="K90" t="s">
        <v>62</v>
      </c>
      <c r="M90">
        <v>52.57</v>
      </c>
      <c r="N90" s="4">
        <f t="shared" si="1"/>
        <v>-40</v>
      </c>
      <c r="O90" t="s">
        <v>83</v>
      </c>
    </row>
    <row r="91" spans="1:15" x14ac:dyDescent="0.25">
      <c r="A91" s="22">
        <v>45660</v>
      </c>
      <c r="B91" s="1">
        <v>116540966</v>
      </c>
      <c r="C91" t="s">
        <v>137</v>
      </c>
      <c r="D91" s="23">
        <v>-2102.8000000000002</v>
      </c>
      <c r="E91" t="s">
        <v>35</v>
      </c>
      <c r="F91" s="2">
        <v>212901001</v>
      </c>
      <c r="G91" s="2" t="s">
        <v>91</v>
      </c>
      <c r="I91" s="95" t="s">
        <v>7231</v>
      </c>
      <c r="J91" t="s">
        <v>61</v>
      </c>
      <c r="K91" t="s">
        <v>62</v>
      </c>
      <c r="M91">
        <v>52.57</v>
      </c>
      <c r="N91" s="4">
        <f t="shared" si="1"/>
        <v>-40</v>
      </c>
      <c r="O91" t="s">
        <v>83</v>
      </c>
    </row>
    <row r="92" spans="1:15" x14ac:dyDescent="0.25">
      <c r="A92" s="22">
        <v>45660</v>
      </c>
      <c r="B92" s="1">
        <v>116540965</v>
      </c>
      <c r="C92" t="s">
        <v>138</v>
      </c>
      <c r="D92" s="23">
        <v>-2102.8000000000002</v>
      </c>
      <c r="E92" t="s">
        <v>35</v>
      </c>
      <c r="F92" s="2">
        <v>212901001</v>
      </c>
      <c r="G92" s="2" t="s">
        <v>91</v>
      </c>
      <c r="I92" s="95" t="s">
        <v>7231</v>
      </c>
      <c r="J92" t="s">
        <v>61</v>
      </c>
      <c r="K92" t="s">
        <v>62</v>
      </c>
      <c r="M92">
        <v>52.57</v>
      </c>
      <c r="N92" s="4">
        <f t="shared" si="1"/>
        <v>-40</v>
      </c>
      <c r="O92" t="s">
        <v>83</v>
      </c>
    </row>
    <row r="93" spans="1:15" x14ac:dyDescent="0.25">
      <c r="A93" s="22">
        <v>45660</v>
      </c>
      <c r="B93" s="1">
        <v>116540964</v>
      </c>
      <c r="C93" t="s">
        <v>139</v>
      </c>
      <c r="D93" s="23">
        <v>-2102.8000000000002</v>
      </c>
      <c r="E93" t="s">
        <v>35</v>
      </c>
      <c r="F93" s="2">
        <v>212901001</v>
      </c>
      <c r="G93" s="2" t="s">
        <v>91</v>
      </c>
      <c r="I93" s="95" t="s">
        <v>7231</v>
      </c>
      <c r="J93" t="s">
        <v>61</v>
      </c>
      <c r="K93" t="s">
        <v>62</v>
      </c>
      <c r="M93">
        <v>52.57</v>
      </c>
      <c r="N93" s="4">
        <f t="shared" si="1"/>
        <v>-40</v>
      </c>
      <c r="O93" t="s">
        <v>83</v>
      </c>
    </row>
    <row r="94" spans="1:15" x14ac:dyDescent="0.25">
      <c r="A94" s="22">
        <v>45660</v>
      </c>
      <c r="B94" s="1">
        <v>16540954</v>
      </c>
      <c r="C94" t="s">
        <v>140</v>
      </c>
      <c r="D94" s="23">
        <v>-4205.6000000000004</v>
      </c>
      <c r="E94" t="s">
        <v>35</v>
      </c>
      <c r="F94" s="2">
        <v>212901001</v>
      </c>
      <c r="G94" s="2" t="s">
        <v>91</v>
      </c>
      <c r="I94" s="95" t="s">
        <v>7231</v>
      </c>
      <c r="J94" t="s">
        <v>61</v>
      </c>
      <c r="K94" t="s">
        <v>62</v>
      </c>
      <c r="M94">
        <v>52.57</v>
      </c>
      <c r="N94" s="4">
        <f t="shared" si="1"/>
        <v>-80</v>
      </c>
      <c r="O94" t="s">
        <v>83</v>
      </c>
    </row>
    <row r="95" spans="1:15" x14ac:dyDescent="0.25">
      <c r="A95" s="22">
        <v>45660</v>
      </c>
      <c r="B95" s="1">
        <v>116540969</v>
      </c>
      <c r="C95" t="s">
        <v>141</v>
      </c>
      <c r="D95" s="23">
        <v>-2102.8000000000002</v>
      </c>
      <c r="E95" t="s">
        <v>35</v>
      </c>
      <c r="F95" s="2">
        <v>212901001</v>
      </c>
      <c r="G95" s="2" t="s">
        <v>91</v>
      </c>
      <c r="I95" s="95" t="s">
        <v>7231</v>
      </c>
      <c r="J95" t="s">
        <v>61</v>
      </c>
      <c r="K95" t="s">
        <v>62</v>
      </c>
      <c r="M95">
        <v>52.57</v>
      </c>
      <c r="N95" s="4">
        <f t="shared" si="1"/>
        <v>-40</v>
      </c>
      <c r="O95" t="s">
        <v>83</v>
      </c>
    </row>
    <row r="96" spans="1:15" x14ac:dyDescent="0.25">
      <c r="A96" s="22">
        <v>45660</v>
      </c>
      <c r="B96" s="1">
        <v>116540967</v>
      </c>
      <c r="C96" t="s">
        <v>142</v>
      </c>
      <c r="D96" s="23">
        <v>-2102.8000000000002</v>
      </c>
      <c r="E96" t="s">
        <v>35</v>
      </c>
      <c r="F96" s="2">
        <v>212901001</v>
      </c>
      <c r="G96" s="2" t="s">
        <v>91</v>
      </c>
      <c r="I96" s="95" t="s">
        <v>7231</v>
      </c>
      <c r="J96" t="s">
        <v>61</v>
      </c>
      <c r="K96" t="s">
        <v>62</v>
      </c>
      <c r="M96">
        <v>52.57</v>
      </c>
      <c r="N96" s="4">
        <f t="shared" si="1"/>
        <v>-40</v>
      </c>
      <c r="O96" t="s">
        <v>83</v>
      </c>
    </row>
    <row r="97" spans="1:15" x14ac:dyDescent="0.25">
      <c r="A97" s="22">
        <v>45660</v>
      </c>
      <c r="B97" s="1">
        <v>116540968</v>
      </c>
      <c r="C97" t="s">
        <v>143</v>
      </c>
      <c r="D97" s="23">
        <v>-2102.8000000000002</v>
      </c>
      <c r="E97" t="s">
        <v>35</v>
      </c>
      <c r="F97" s="2">
        <v>212901001</v>
      </c>
      <c r="G97" s="2" t="s">
        <v>91</v>
      </c>
      <c r="I97" s="95" t="s">
        <v>7231</v>
      </c>
      <c r="J97" t="s">
        <v>61</v>
      </c>
      <c r="K97" t="s">
        <v>62</v>
      </c>
      <c r="M97">
        <v>52.57</v>
      </c>
      <c r="N97" s="4">
        <f t="shared" si="1"/>
        <v>-40</v>
      </c>
      <c r="O97" t="s">
        <v>83</v>
      </c>
    </row>
    <row r="98" spans="1:15" x14ac:dyDescent="0.25">
      <c r="A98" s="22">
        <v>45660</v>
      </c>
      <c r="B98" s="1">
        <v>116540972</v>
      </c>
      <c r="C98" t="s">
        <v>144</v>
      </c>
      <c r="D98" s="23">
        <v>-7885.5</v>
      </c>
      <c r="E98" t="s">
        <v>35</v>
      </c>
      <c r="F98" s="2">
        <v>212901001</v>
      </c>
      <c r="G98" s="2" t="s">
        <v>91</v>
      </c>
      <c r="I98" s="95" t="s">
        <v>7231</v>
      </c>
      <c r="J98" t="s">
        <v>61</v>
      </c>
      <c r="K98" t="s">
        <v>62</v>
      </c>
      <c r="M98">
        <v>52.57</v>
      </c>
      <c r="N98" s="4">
        <f t="shared" si="1"/>
        <v>-150</v>
      </c>
      <c r="O98" t="s">
        <v>83</v>
      </c>
    </row>
    <row r="99" spans="1:15" x14ac:dyDescent="0.25">
      <c r="A99" s="22">
        <v>45660</v>
      </c>
      <c r="B99" s="1">
        <v>116540971</v>
      </c>
      <c r="C99" t="s">
        <v>145</v>
      </c>
      <c r="D99" s="23">
        <v>-5257</v>
      </c>
      <c r="E99" t="s">
        <v>35</v>
      </c>
      <c r="F99" s="2">
        <v>212901001</v>
      </c>
      <c r="G99" s="2" t="s">
        <v>91</v>
      </c>
      <c r="I99" s="95" t="s">
        <v>7231</v>
      </c>
      <c r="J99" t="s">
        <v>61</v>
      </c>
      <c r="K99" t="s">
        <v>62</v>
      </c>
      <c r="M99">
        <v>52.57</v>
      </c>
      <c r="N99" s="4">
        <f t="shared" si="1"/>
        <v>-100</v>
      </c>
      <c r="O99" t="s">
        <v>83</v>
      </c>
    </row>
    <row r="100" spans="1:15" x14ac:dyDescent="0.25">
      <c r="A100" s="22">
        <v>45660</v>
      </c>
      <c r="B100" s="1">
        <v>116540970</v>
      </c>
      <c r="C100" t="s">
        <v>146</v>
      </c>
      <c r="D100" s="23">
        <v>-5257</v>
      </c>
      <c r="E100" t="s">
        <v>35</v>
      </c>
      <c r="F100" s="2">
        <v>212901001</v>
      </c>
      <c r="G100" s="2" t="s">
        <v>91</v>
      </c>
      <c r="I100" s="95" t="s">
        <v>7231</v>
      </c>
      <c r="J100" t="s">
        <v>61</v>
      </c>
      <c r="K100" t="s">
        <v>62</v>
      </c>
      <c r="M100">
        <v>52.57</v>
      </c>
      <c r="N100" s="4">
        <f t="shared" si="1"/>
        <v>-100</v>
      </c>
      <c r="O100" t="s">
        <v>83</v>
      </c>
    </row>
    <row r="101" spans="1:15" x14ac:dyDescent="0.25">
      <c r="A101" s="22">
        <v>45660</v>
      </c>
      <c r="B101" s="1">
        <v>216540975</v>
      </c>
      <c r="C101" t="s">
        <v>147</v>
      </c>
      <c r="D101" s="23">
        <v>-4205.6000000000004</v>
      </c>
      <c r="E101" t="s">
        <v>35</v>
      </c>
      <c r="F101" s="2">
        <v>212901001</v>
      </c>
      <c r="G101" s="2" t="s">
        <v>91</v>
      </c>
      <c r="I101" s="95" t="s">
        <v>7231</v>
      </c>
      <c r="J101" t="s">
        <v>61</v>
      </c>
      <c r="K101" t="s">
        <v>62</v>
      </c>
      <c r="M101">
        <v>52.57</v>
      </c>
      <c r="N101" s="4">
        <f t="shared" si="1"/>
        <v>-80</v>
      </c>
      <c r="O101" t="s">
        <v>83</v>
      </c>
    </row>
    <row r="102" spans="1:15" x14ac:dyDescent="0.25">
      <c r="A102" s="22">
        <v>45660</v>
      </c>
      <c r="B102" s="1">
        <v>216540974</v>
      </c>
      <c r="C102" t="s">
        <v>148</v>
      </c>
      <c r="D102" s="23">
        <v>-5782.7</v>
      </c>
      <c r="E102" t="s">
        <v>35</v>
      </c>
      <c r="F102" s="2">
        <v>212901001</v>
      </c>
      <c r="G102" s="2" t="s">
        <v>91</v>
      </c>
      <c r="I102" s="95" t="s">
        <v>7231</v>
      </c>
      <c r="J102" t="s">
        <v>61</v>
      </c>
      <c r="K102" t="s">
        <v>62</v>
      </c>
      <c r="M102">
        <v>52.57</v>
      </c>
      <c r="N102" s="4">
        <f t="shared" si="1"/>
        <v>-110</v>
      </c>
      <c r="O102" t="s">
        <v>83</v>
      </c>
    </row>
    <row r="103" spans="1:15" x14ac:dyDescent="0.25">
      <c r="A103" s="22">
        <v>45660</v>
      </c>
      <c r="B103" s="1">
        <v>216540973</v>
      </c>
      <c r="C103" t="s">
        <v>149</v>
      </c>
      <c r="D103" s="23">
        <v>-1577.1</v>
      </c>
      <c r="E103" t="s">
        <v>35</v>
      </c>
      <c r="F103" s="2">
        <v>212901001</v>
      </c>
      <c r="G103" s="2" t="s">
        <v>91</v>
      </c>
      <c r="I103" s="95" t="s">
        <v>7231</v>
      </c>
      <c r="J103" t="s">
        <v>61</v>
      </c>
      <c r="K103" t="s">
        <v>62</v>
      </c>
      <c r="M103">
        <v>52.57</v>
      </c>
      <c r="N103" s="4">
        <f t="shared" si="1"/>
        <v>-29.999999999999996</v>
      </c>
      <c r="O103" t="s">
        <v>83</v>
      </c>
    </row>
    <row r="104" spans="1:15" x14ac:dyDescent="0.25">
      <c r="A104" s="22">
        <v>45660</v>
      </c>
      <c r="B104" s="1">
        <v>216540977</v>
      </c>
      <c r="C104" t="s">
        <v>150</v>
      </c>
      <c r="D104" s="23">
        <v>-1156.54</v>
      </c>
      <c r="E104" t="s">
        <v>35</v>
      </c>
      <c r="F104" s="2">
        <v>212901001</v>
      </c>
      <c r="G104" s="2" t="s">
        <v>91</v>
      </c>
      <c r="I104" s="95" t="s">
        <v>7231</v>
      </c>
      <c r="J104" t="s">
        <v>61</v>
      </c>
      <c r="K104" t="s">
        <v>62</v>
      </c>
      <c r="M104">
        <v>52.57</v>
      </c>
      <c r="N104" s="4">
        <f t="shared" si="1"/>
        <v>-22</v>
      </c>
      <c r="O104" t="s">
        <v>83</v>
      </c>
    </row>
    <row r="105" spans="1:15" x14ac:dyDescent="0.25">
      <c r="A105" s="22">
        <v>45660</v>
      </c>
      <c r="B105" s="1">
        <v>216540976</v>
      </c>
      <c r="C105" t="s">
        <v>151</v>
      </c>
      <c r="D105" s="23">
        <v>-5257</v>
      </c>
      <c r="E105" t="s">
        <v>35</v>
      </c>
      <c r="F105" s="2">
        <v>212901001</v>
      </c>
      <c r="G105" s="2" t="s">
        <v>91</v>
      </c>
      <c r="I105" s="95" t="s">
        <v>7231</v>
      </c>
      <c r="J105" t="s">
        <v>61</v>
      </c>
      <c r="K105" t="s">
        <v>62</v>
      </c>
      <c r="M105">
        <v>52.57</v>
      </c>
      <c r="N105" s="4">
        <f t="shared" si="1"/>
        <v>-100</v>
      </c>
      <c r="O105" t="s">
        <v>83</v>
      </c>
    </row>
    <row r="106" spans="1:15" x14ac:dyDescent="0.25">
      <c r="A106" s="22">
        <v>45660</v>
      </c>
      <c r="B106" s="1">
        <v>216540978</v>
      </c>
      <c r="C106" t="s">
        <v>152</v>
      </c>
      <c r="D106" s="23">
        <v>-3679.9</v>
      </c>
      <c r="E106" t="s">
        <v>35</v>
      </c>
      <c r="F106" s="2">
        <v>212901001</v>
      </c>
      <c r="G106" s="2" t="s">
        <v>91</v>
      </c>
      <c r="I106" s="95" t="s">
        <v>7231</v>
      </c>
      <c r="J106" t="s">
        <v>61</v>
      </c>
      <c r="K106" t="s">
        <v>62</v>
      </c>
      <c r="M106">
        <v>52.57</v>
      </c>
      <c r="N106" s="4">
        <f t="shared" si="1"/>
        <v>-70</v>
      </c>
      <c r="O106" t="s">
        <v>83</v>
      </c>
    </row>
    <row r="107" spans="1:15" x14ac:dyDescent="0.25">
      <c r="A107" s="22">
        <v>45660</v>
      </c>
      <c r="B107" s="1">
        <v>216540979</v>
      </c>
      <c r="C107" t="s">
        <v>153</v>
      </c>
      <c r="D107" s="23">
        <v>-3679.9</v>
      </c>
      <c r="E107" t="s">
        <v>35</v>
      </c>
      <c r="F107" s="2">
        <v>212901001</v>
      </c>
      <c r="G107" s="2" t="s">
        <v>91</v>
      </c>
      <c r="I107" s="95" t="s">
        <v>7231</v>
      </c>
      <c r="J107" t="s">
        <v>61</v>
      </c>
      <c r="K107" t="s">
        <v>62</v>
      </c>
      <c r="M107">
        <v>52.57</v>
      </c>
      <c r="N107" s="4">
        <f t="shared" si="1"/>
        <v>-70</v>
      </c>
      <c r="O107" t="s">
        <v>83</v>
      </c>
    </row>
    <row r="108" spans="1:15" x14ac:dyDescent="0.25">
      <c r="A108" s="22">
        <v>45660</v>
      </c>
      <c r="B108" s="1">
        <v>216540980</v>
      </c>
      <c r="C108" t="s">
        <v>154</v>
      </c>
      <c r="D108" s="23">
        <v>-3679.9</v>
      </c>
      <c r="E108" t="s">
        <v>35</v>
      </c>
      <c r="F108" s="2">
        <v>212901001</v>
      </c>
      <c r="G108" s="2" t="s">
        <v>91</v>
      </c>
      <c r="I108" s="95" t="s">
        <v>7231</v>
      </c>
      <c r="J108" t="s">
        <v>61</v>
      </c>
      <c r="K108" t="s">
        <v>62</v>
      </c>
      <c r="M108">
        <v>52.57</v>
      </c>
      <c r="N108" s="4">
        <f t="shared" si="1"/>
        <v>-70</v>
      </c>
      <c r="O108" t="s">
        <v>83</v>
      </c>
    </row>
    <row r="109" spans="1:15" x14ac:dyDescent="0.25">
      <c r="A109" s="22">
        <v>45660</v>
      </c>
      <c r="B109" s="1">
        <v>216540981</v>
      </c>
      <c r="C109" t="s">
        <v>155</v>
      </c>
      <c r="D109" s="23">
        <v>-2628.5</v>
      </c>
      <c r="E109" t="s">
        <v>35</v>
      </c>
      <c r="F109" s="2">
        <v>212901001</v>
      </c>
      <c r="G109" s="2" t="s">
        <v>91</v>
      </c>
      <c r="I109" s="95" t="s">
        <v>7231</v>
      </c>
      <c r="J109" t="s">
        <v>61</v>
      </c>
      <c r="K109" t="s">
        <v>62</v>
      </c>
      <c r="M109">
        <v>52.57</v>
      </c>
      <c r="N109" s="4">
        <f t="shared" si="1"/>
        <v>-50</v>
      </c>
      <c r="O109" t="s">
        <v>83</v>
      </c>
    </row>
    <row r="110" spans="1:15" x14ac:dyDescent="0.25">
      <c r="A110" s="22">
        <v>45660</v>
      </c>
      <c r="B110" s="1">
        <v>316540988</v>
      </c>
      <c r="C110" t="s">
        <v>156</v>
      </c>
      <c r="D110" s="23">
        <v>-2628.5</v>
      </c>
      <c r="E110" t="s">
        <v>35</v>
      </c>
      <c r="F110" s="2">
        <v>212901001</v>
      </c>
      <c r="G110" s="2" t="s">
        <v>91</v>
      </c>
      <c r="I110" s="95" t="s">
        <v>7231</v>
      </c>
      <c r="J110" t="s">
        <v>61</v>
      </c>
      <c r="K110" t="s">
        <v>62</v>
      </c>
      <c r="M110">
        <v>52.57</v>
      </c>
      <c r="N110" s="4">
        <f t="shared" si="1"/>
        <v>-50</v>
      </c>
      <c r="O110" t="s">
        <v>83</v>
      </c>
    </row>
    <row r="111" spans="1:15" x14ac:dyDescent="0.25">
      <c r="A111" s="22">
        <v>45660</v>
      </c>
      <c r="B111" s="1">
        <v>216540982</v>
      </c>
      <c r="C111" t="s">
        <v>157</v>
      </c>
      <c r="D111" s="23">
        <v>-2628.5</v>
      </c>
      <c r="E111" t="s">
        <v>35</v>
      </c>
      <c r="F111" s="2">
        <v>212901001</v>
      </c>
      <c r="G111" s="2" t="s">
        <v>91</v>
      </c>
      <c r="I111" s="95" t="s">
        <v>7231</v>
      </c>
      <c r="J111" t="s">
        <v>61</v>
      </c>
      <c r="K111" t="s">
        <v>62</v>
      </c>
      <c r="M111">
        <v>52.57</v>
      </c>
      <c r="N111" s="4">
        <f t="shared" si="1"/>
        <v>-50</v>
      </c>
      <c r="O111" t="s">
        <v>83</v>
      </c>
    </row>
    <row r="112" spans="1:15" x14ac:dyDescent="0.25">
      <c r="A112" s="22">
        <v>45660</v>
      </c>
      <c r="B112" s="1">
        <v>216540983</v>
      </c>
      <c r="C112" t="s">
        <v>158</v>
      </c>
      <c r="D112" s="23">
        <v>-2628.5</v>
      </c>
      <c r="E112" t="s">
        <v>35</v>
      </c>
      <c r="F112" s="2">
        <v>212901001</v>
      </c>
      <c r="G112" s="2" t="s">
        <v>91</v>
      </c>
      <c r="I112" s="95" t="s">
        <v>7231</v>
      </c>
      <c r="J112" t="s">
        <v>61</v>
      </c>
      <c r="K112" t="s">
        <v>62</v>
      </c>
      <c r="M112">
        <v>52.57</v>
      </c>
      <c r="N112" s="4">
        <f t="shared" si="1"/>
        <v>-50</v>
      </c>
      <c r="O112" t="s">
        <v>83</v>
      </c>
    </row>
    <row r="113" spans="1:15" x14ac:dyDescent="0.25">
      <c r="A113" s="22">
        <v>45660</v>
      </c>
      <c r="B113" s="1">
        <v>316540984</v>
      </c>
      <c r="C113" t="s">
        <v>159</v>
      </c>
      <c r="D113" s="23">
        <v>-2628.5</v>
      </c>
      <c r="E113" t="s">
        <v>35</v>
      </c>
      <c r="F113" s="2">
        <v>212901001</v>
      </c>
      <c r="G113" s="2" t="s">
        <v>91</v>
      </c>
      <c r="I113" s="95" t="s">
        <v>7231</v>
      </c>
      <c r="J113" t="s">
        <v>61</v>
      </c>
      <c r="K113" t="s">
        <v>62</v>
      </c>
      <c r="M113">
        <v>52.57</v>
      </c>
      <c r="N113" s="4">
        <f t="shared" si="1"/>
        <v>-50</v>
      </c>
      <c r="O113" t="s">
        <v>83</v>
      </c>
    </row>
    <row r="114" spans="1:15" x14ac:dyDescent="0.25">
      <c r="A114" s="22">
        <v>45660</v>
      </c>
      <c r="B114" s="1">
        <v>316540987</v>
      </c>
      <c r="C114" t="s">
        <v>160</v>
      </c>
      <c r="D114" s="23">
        <v>-2628.5</v>
      </c>
      <c r="E114" t="s">
        <v>35</v>
      </c>
      <c r="F114" s="2">
        <v>212901001</v>
      </c>
      <c r="G114" s="2" t="s">
        <v>91</v>
      </c>
      <c r="I114" s="95" t="s">
        <v>7231</v>
      </c>
      <c r="J114" t="s">
        <v>61</v>
      </c>
      <c r="K114" t="s">
        <v>62</v>
      </c>
      <c r="M114">
        <v>52.57</v>
      </c>
      <c r="N114" s="4">
        <f t="shared" si="1"/>
        <v>-50</v>
      </c>
      <c r="O114" t="s">
        <v>83</v>
      </c>
    </row>
    <row r="115" spans="1:15" x14ac:dyDescent="0.25">
      <c r="A115" s="22">
        <v>45660</v>
      </c>
      <c r="B115" s="1">
        <v>316540989</v>
      </c>
      <c r="C115" t="s">
        <v>156</v>
      </c>
      <c r="D115" s="23">
        <v>-2628.5</v>
      </c>
      <c r="E115" t="s">
        <v>35</v>
      </c>
      <c r="F115" s="2">
        <v>212901001</v>
      </c>
      <c r="G115" s="2" t="s">
        <v>91</v>
      </c>
      <c r="I115" s="95" t="s">
        <v>7231</v>
      </c>
      <c r="J115" t="s">
        <v>61</v>
      </c>
      <c r="K115" t="s">
        <v>62</v>
      </c>
      <c r="M115">
        <v>52.57</v>
      </c>
      <c r="N115" s="4">
        <f t="shared" si="1"/>
        <v>-50</v>
      </c>
      <c r="O115" t="s">
        <v>83</v>
      </c>
    </row>
    <row r="116" spans="1:15" x14ac:dyDescent="0.25">
      <c r="A116" s="22">
        <v>45660</v>
      </c>
      <c r="B116" s="1">
        <v>316540986</v>
      </c>
      <c r="C116" t="s">
        <v>161</v>
      </c>
      <c r="D116" s="23">
        <v>-2628.5</v>
      </c>
      <c r="E116" t="s">
        <v>35</v>
      </c>
      <c r="F116" s="2">
        <v>212901001</v>
      </c>
      <c r="G116" s="2" t="s">
        <v>91</v>
      </c>
      <c r="I116" s="95" t="s">
        <v>7231</v>
      </c>
      <c r="J116" t="s">
        <v>61</v>
      </c>
      <c r="K116" t="s">
        <v>62</v>
      </c>
      <c r="M116">
        <v>52.57</v>
      </c>
      <c r="N116" s="4">
        <f t="shared" si="1"/>
        <v>-50</v>
      </c>
      <c r="O116" t="s">
        <v>83</v>
      </c>
    </row>
    <row r="117" spans="1:15" x14ac:dyDescent="0.25">
      <c r="A117" s="22">
        <v>45660</v>
      </c>
      <c r="B117" s="1">
        <v>316540994</v>
      </c>
      <c r="C117" t="s">
        <v>162</v>
      </c>
      <c r="D117" s="23">
        <v>-2628.5</v>
      </c>
      <c r="E117" t="s">
        <v>35</v>
      </c>
      <c r="F117" s="2">
        <v>212901001</v>
      </c>
      <c r="G117" s="2" t="s">
        <v>91</v>
      </c>
      <c r="I117" s="95" t="s">
        <v>7231</v>
      </c>
      <c r="J117" t="s">
        <v>61</v>
      </c>
      <c r="K117" t="s">
        <v>62</v>
      </c>
      <c r="M117">
        <v>52.57</v>
      </c>
      <c r="N117" s="4">
        <f t="shared" si="1"/>
        <v>-50</v>
      </c>
      <c r="O117" t="s">
        <v>83</v>
      </c>
    </row>
    <row r="118" spans="1:15" x14ac:dyDescent="0.25">
      <c r="A118" s="22">
        <v>45660</v>
      </c>
      <c r="B118" s="1">
        <v>316540990</v>
      </c>
      <c r="C118" t="s">
        <v>163</v>
      </c>
      <c r="D118" s="23">
        <v>-2628.5</v>
      </c>
      <c r="E118" t="s">
        <v>35</v>
      </c>
      <c r="F118" s="2">
        <v>212901001</v>
      </c>
      <c r="G118" s="2" t="s">
        <v>91</v>
      </c>
      <c r="I118" s="95" t="s">
        <v>7231</v>
      </c>
      <c r="J118" t="s">
        <v>61</v>
      </c>
      <c r="K118" t="s">
        <v>62</v>
      </c>
      <c r="M118">
        <v>52.57</v>
      </c>
      <c r="N118" s="4">
        <f t="shared" si="1"/>
        <v>-50</v>
      </c>
      <c r="O118" t="s">
        <v>83</v>
      </c>
    </row>
    <row r="119" spans="1:15" x14ac:dyDescent="0.25">
      <c r="A119" s="22">
        <v>45660</v>
      </c>
      <c r="B119" s="1">
        <v>316540991</v>
      </c>
      <c r="C119" t="s">
        <v>164</v>
      </c>
      <c r="D119" s="23">
        <v>-2628.5</v>
      </c>
      <c r="E119" t="s">
        <v>35</v>
      </c>
      <c r="F119" s="2">
        <v>212901001</v>
      </c>
      <c r="G119" s="2" t="s">
        <v>91</v>
      </c>
      <c r="I119" s="95" t="s">
        <v>7231</v>
      </c>
      <c r="J119" t="s">
        <v>61</v>
      </c>
      <c r="K119" t="s">
        <v>62</v>
      </c>
      <c r="M119">
        <v>52.57</v>
      </c>
      <c r="N119" s="4">
        <f t="shared" si="1"/>
        <v>-50</v>
      </c>
      <c r="O119" t="s">
        <v>83</v>
      </c>
    </row>
    <row r="120" spans="1:15" x14ac:dyDescent="0.25">
      <c r="A120" s="22">
        <v>45660</v>
      </c>
      <c r="B120" s="1">
        <v>316540985</v>
      </c>
      <c r="C120" t="s">
        <v>165</v>
      </c>
      <c r="D120" s="23">
        <v>-2628.5</v>
      </c>
      <c r="E120" t="s">
        <v>35</v>
      </c>
      <c r="F120" s="2">
        <v>212901001</v>
      </c>
      <c r="G120" s="2" t="s">
        <v>91</v>
      </c>
      <c r="I120" s="95" t="s">
        <v>7231</v>
      </c>
      <c r="J120" t="s">
        <v>61</v>
      </c>
      <c r="K120" t="s">
        <v>62</v>
      </c>
      <c r="M120">
        <v>52.57</v>
      </c>
      <c r="N120" s="4">
        <f t="shared" si="1"/>
        <v>-50</v>
      </c>
      <c r="O120" t="s">
        <v>83</v>
      </c>
    </row>
    <row r="121" spans="1:15" x14ac:dyDescent="0.25">
      <c r="A121" s="22">
        <v>45660</v>
      </c>
      <c r="B121" s="1">
        <v>316540992</v>
      </c>
      <c r="C121" t="s">
        <v>166</v>
      </c>
      <c r="D121" s="23">
        <v>-2628.5</v>
      </c>
      <c r="E121" t="s">
        <v>35</v>
      </c>
      <c r="F121" s="2">
        <v>212901001</v>
      </c>
      <c r="G121" s="2" t="s">
        <v>91</v>
      </c>
      <c r="I121" s="95" t="s">
        <v>7231</v>
      </c>
      <c r="J121" t="s">
        <v>61</v>
      </c>
      <c r="K121" t="s">
        <v>62</v>
      </c>
      <c r="M121">
        <v>52.57</v>
      </c>
      <c r="N121" s="4">
        <f t="shared" si="1"/>
        <v>-50</v>
      </c>
      <c r="O121" t="s">
        <v>83</v>
      </c>
    </row>
    <row r="122" spans="1:15" x14ac:dyDescent="0.25">
      <c r="A122" s="22">
        <v>45660</v>
      </c>
      <c r="B122" s="1">
        <v>316540993</v>
      </c>
      <c r="C122" t="s">
        <v>167</v>
      </c>
      <c r="D122" s="23">
        <v>-2628.5</v>
      </c>
      <c r="E122" t="s">
        <v>35</v>
      </c>
      <c r="F122" s="2">
        <v>212901001</v>
      </c>
      <c r="G122" s="2" t="s">
        <v>91</v>
      </c>
      <c r="I122" s="95" t="s">
        <v>7231</v>
      </c>
      <c r="J122" t="s">
        <v>61</v>
      </c>
      <c r="K122" t="s">
        <v>62</v>
      </c>
      <c r="M122">
        <v>52.57</v>
      </c>
      <c r="N122" s="4">
        <f t="shared" si="1"/>
        <v>-50</v>
      </c>
      <c r="O122" t="s">
        <v>83</v>
      </c>
    </row>
    <row r="123" spans="1:15" x14ac:dyDescent="0.25">
      <c r="A123" s="22">
        <v>45660</v>
      </c>
      <c r="B123" s="1">
        <v>416540996</v>
      </c>
      <c r="C123" t="s">
        <v>168</v>
      </c>
      <c r="D123" s="23">
        <v>-1051.4000000000001</v>
      </c>
      <c r="E123" t="s">
        <v>35</v>
      </c>
      <c r="F123" s="2">
        <v>212901001</v>
      </c>
      <c r="G123" s="2" t="s">
        <v>91</v>
      </c>
      <c r="I123" s="95" t="s">
        <v>7231</v>
      </c>
      <c r="J123" t="s">
        <v>61</v>
      </c>
      <c r="K123" t="s">
        <v>62</v>
      </c>
      <c r="M123">
        <v>52.57</v>
      </c>
      <c r="N123" s="4">
        <f t="shared" si="1"/>
        <v>-20</v>
      </c>
      <c r="O123" t="s">
        <v>83</v>
      </c>
    </row>
    <row r="124" spans="1:15" x14ac:dyDescent="0.25">
      <c r="A124" s="22">
        <v>45660</v>
      </c>
      <c r="B124" s="1">
        <v>416540998</v>
      </c>
      <c r="C124" t="s">
        <v>169</v>
      </c>
      <c r="D124" s="23">
        <v>-1051.4000000000001</v>
      </c>
      <c r="E124" t="s">
        <v>35</v>
      </c>
      <c r="F124" s="2">
        <v>212901001</v>
      </c>
      <c r="G124" s="2" t="s">
        <v>91</v>
      </c>
      <c r="I124" s="95" t="s">
        <v>7231</v>
      </c>
      <c r="J124" t="s">
        <v>61</v>
      </c>
      <c r="K124" t="s">
        <v>62</v>
      </c>
      <c r="M124">
        <v>52.57</v>
      </c>
      <c r="N124" s="4">
        <f t="shared" si="1"/>
        <v>-20</v>
      </c>
      <c r="O124" t="s">
        <v>83</v>
      </c>
    </row>
    <row r="125" spans="1:15" x14ac:dyDescent="0.25">
      <c r="A125" s="22">
        <v>45660</v>
      </c>
      <c r="B125" s="1">
        <v>316540995</v>
      </c>
      <c r="C125" t="s">
        <v>170</v>
      </c>
      <c r="D125" s="23">
        <v>-2628.5</v>
      </c>
      <c r="E125" t="s">
        <v>35</v>
      </c>
      <c r="F125" s="2">
        <v>212901001</v>
      </c>
      <c r="G125" s="2" t="s">
        <v>91</v>
      </c>
      <c r="I125" s="95" t="s">
        <v>7231</v>
      </c>
      <c r="J125" t="s">
        <v>61</v>
      </c>
      <c r="K125" t="s">
        <v>62</v>
      </c>
      <c r="M125">
        <v>52.57</v>
      </c>
      <c r="N125" s="4">
        <f t="shared" si="1"/>
        <v>-50</v>
      </c>
      <c r="O125" t="s">
        <v>83</v>
      </c>
    </row>
    <row r="126" spans="1:15" x14ac:dyDescent="0.25">
      <c r="A126" s="22">
        <v>45660</v>
      </c>
      <c r="B126" s="1">
        <v>416540997</v>
      </c>
      <c r="C126" t="s">
        <v>171</v>
      </c>
      <c r="D126" s="23">
        <v>-1051.4000000000001</v>
      </c>
      <c r="E126" t="s">
        <v>35</v>
      </c>
      <c r="F126" s="2">
        <v>212901001</v>
      </c>
      <c r="G126" s="2" t="s">
        <v>91</v>
      </c>
      <c r="I126" s="95" t="s">
        <v>7231</v>
      </c>
      <c r="J126" t="s">
        <v>61</v>
      </c>
      <c r="K126" t="s">
        <v>62</v>
      </c>
      <c r="M126">
        <v>52.57</v>
      </c>
      <c r="N126" s="4">
        <f t="shared" si="1"/>
        <v>-20</v>
      </c>
      <c r="O126" t="s">
        <v>83</v>
      </c>
    </row>
    <row r="127" spans="1:15" x14ac:dyDescent="0.25">
      <c r="A127" s="22">
        <v>45660</v>
      </c>
      <c r="B127" s="1">
        <v>416541000</v>
      </c>
      <c r="C127" t="s">
        <v>172</v>
      </c>
      <c r="D127" s="23">
        <v>-5257</v>
      </c>
      <c r="E127" t="s">
        <v>35</v>
      </c>
      <c r="F127" s="2">
        <v>212901001</v>
      </c>
      <c r="G127" s="2" t="s">
        <v>91</v>
      </c>
      <c r="I127" s="95" t="s">
        <v>7231</v>
      </c>
      <c r="J127" t="s">
        <v>61</v>
      </c>
      <c r="K127" t="s">
        <v>62</v>
      </c>
      <c r="M127">
        <v>52.57</v>
      </c>
      <c r="N127" s="4">
        <f t="shared" si="1"/>
        <v>-100</v>
      </c>
      <c r="O127" t="s">
        <v>83</v>
      </c>
    </row>
    <row r="128" spans="1:15" x14ac:dyDescent="0.25">
      <c r="A128" s="22">
        <v>45660</v>
      </c>
      <c r="B128" s="1">
        <v>416541005</v>
      </c>
      <c r="C128" t="s">
        <v>173</v>
      </c>
      <c r="D128" s="23">
        <v>-2102.8000000000002</v>
      </c>
      <c r="E128" t="s">
        <v>35</v>
      </c>
      <c r="F128" s="2">
        <v>212901001</v>
      </c>
      <c r="G128" s="2" t="s">
        <v>91</v>
      </c>
      <c r="I128" s="95" t="s">
        <v>7231</v>
      </c>
      <c r="J128" t="s">
        <v>61</v>
      </c>
      <c r="K128" t="s">
        <v>62</v>
      </c>
      <c r="M128">
        <v>52.57</v>
      </c>
      <c r="N128" s="4">
        <f t="shared" si="1"/>
        <v>-40</v>
      </c>
      <c r="O128" t="s">
        <v>83</v>
      </c>
    </row>
    <row r="129" spans="1:18" x14ac:dyDescent="0.25">
      <c r="A129" s="22">
        <v>45660</v>
      </c>
      <c r="B129" s="1">
        <v>416541002</v>
      </c>
      <c r="C129" t="s">
        <v>174</v>
      </c>
      <c r="D129" s="23">
        <v>-5572.42</v>
      </c>
      <c r="E129" t="s">
        <v>35</v>
      </c>
      <c r="F129" s="2">
        <v>212901001</v>
      </c>
      <c r="G129" s="2" t="s">
        <v>91</v>
      </c>
      <c r="I129" s="95" t="s">
        <v>7231</v>
      </c>
      <c r="J129" t="s">
        <v>61</v>
      </c>
      <c r="K129" t="s">
        <v>62</v>
      </c>
      <c r="M129">
        <v>52.57</v>
      </c>
      <c r="N129" s="4">
        <f t="shared" si="1"/>
        <v>-106</v>
      </c>
      <c r="O129" t="s">
        <v>83</v>
      </c>
    </row>
    <row r="130" spans="1:18" x14ac:dyDescent="0.25">
      <c r="A130" s="22">
        <v>45660</v>
      </c>
      <c r="B130" s="1">
        <v>416541001</v>
      </c>
      <c r="C130" t="s">
        <v>175</v>
      </c>
      <c r="D130" s="23">
        <v>-10514</v>
      </c>
      <c r="E130" t="s">
        <v>35</v>
      </c>
      <c r="F130" s="2">
        <v>212901001</v>
      </c>
      <c r="G130" s="2" t="s">
        <v>91</v>
      </c>
      <c r="I130" s="95" t="s">
        <v>7231</v>
      </c>
      <c r="J130" t="s">
        <v>61</v>
      </c>
      <c r="K130" t="s">
        <v>62</v>
      </c>
      <c r="M130">
        <v>52.57</v>
      </c>
      <c r="N130" s="4">
        <f t="shared" si="1"/>
        <v>-200</v>
      </c>
      <c r="O130" t="s">
        <v>83</v>
      </c>
    </row>
    <row r="131" spans="1:18" x14ac:dyDescent="0.25">
      <c r="A131" s="22">
        <v>45660</v>
      </c>
      <c r="B131" s="1">
        <v>416540999</v>
      </c>
      <c r="C131" t="s">
        <v>176</v>
      </c>
      <c r="D131" s="23">
        <v>-1051.4000000000001</v>
      </c>
      <c r="E131" t="s">
        <v>35</v>
      </c>
      <c r="F131" s="2">
        <v>212901001</v>
      </c>
      <c r="G131" s="2" t="s">
        <v>91</v>
      </c>
      <c r="I131" s="95" t="s">
        <v>7231</v>
      </c>
      <c r="J131" t="s">
        <v>61</v>
      </c>
      <c r="K131" t="s">
        <v>62</v>
      </c>
      <c r="M131">
        <v>52.57</v>
      </c>
      <c r="N131" s="4">
        <f t="shared" si="1"/>
        <v>-20</v>
      </c>
      <c r="O131" t="s">
        <v>83</v>
      </c>
    </row>
    <row r="132" spans="1:18" x14ac:dyDescent="0.25">
      <c r="A132" s="22">
        <v>45660</v>
      </c>
      <c r="B132" s="1">
        <v>416541003</v>
      </c>
      <c r="C132" t="s">
        <v>177</v>
      </c>
      <c r="D132" s="23">
        <v>-1577.1</v>
      </c>
      <c r="E132" t="s">
        <v>35</v>
      </c>
      <c r="F132" s="2">
        <v>212901001</v>
      </c>
      <c r="G132" s="2" t="s">
        <v>91</v>
      </c>
      <c r="I132" s="95" t="s">
        <v>7231</v>
      </c>
      <c r="J132" t="s">
        <v>61</v>
      </c>
      <c r="K132" t="s">
        <v>62</v>
      </c>
      <c r="M132">
        <v>52.57</v>
      </c>
      <c r="N132" s="4">
        <f t="shared" si="1"/>
        <v>-29.999999999999996</v>
      </c>
      <c r="O132" t="s">
        <v>83</v>
      </c>
    </row>
    <row r="133" spans="1:18" x14ac:dyDescent="0.25">
      <c r="A133" s="22">
        <v>45660</v>
      </c>
      <c r="B133" s="1">
        <v>50125354</v>
      </c>
      <c r="C133" t="s">
        <v>178</v>
      </c>
      <c r="D133" s="23">
        <v>-7359.8</v>
      </c>
      <c r="E133" t="s">
        <v>35</v>
      </c>
      <c r="F133" s="2">
        <v>212901001</v>
      </c>
      <c r="G133" s="2" t="s">
        <v>91</v>
      </c>
      <c r="I133" s="95" t="s">
        <v>7231</v>
      </c>
      <c r="J133" t="s">
        <v>61</v>
      </c>
      <c r="K133" t="s">
        <v>62</v>
      </c>
      <c r="M133">
        <v>52.57</v>
      </c>
      <c r="N133" s="4">
        <f t="shared" si="1"/>
        <v>-140</v>
      </c>
      <c r="O133" t="s">
        <v>83</v>
      </c>
    </row>
    <row r="134" spans="1:18" x14ac:dyDescent="0.25">
      <c r="A134" s="22">
        <v>45660</v>
      </c>
      <c r="B134" s="1">
        <v>50125354</v>
      </c>
      <c r="C134" t="s">
        <v>179</v>
      </c>
      <c r="D134" s="23">
        <v>-11.03</v>
      </c>
      <c r="E134" t="s">
        <v>35</v>
      </c>
      <c r="F134" s="2">
        <v>610148001</v>
      </c>
      <c r="G134" s="2" t="s">
        <v>41</v>
      </c>
      <c r="I134" s="95" t="s">
        <v>7231</v>
      </c>
      <c r="J134" t="s">
        <v>42</v>
      </c>
      <c r="K134" t="s">
        <v>41</v>
      </c>
      <c r="M134">
        <v>52.57</v>
      </c>
      <c r="N134" s="4">
        <f t="shared" si="1"/>
        <v>-0.20981548411641621</v>
      </c>
      <c r="O134" t="s">
        <v>83</v>
      </c>
      <c r="Q134" s="24" t="s">
        <v>43</v>
      </c>
    </row>
    <row r="135" spans="1:18" x14ac:dyDescent="0.25">
      <c r="A135" s="22">
        <v>45660</v>
      </c>
      <c r="B135" s="1">
        <v>50125354</v>
      </c>
      <c r="C135" t="s">
        <v>89</v>
      </c>
      <c r="D135" s="23">
        <v>-578</v>
      </c>
      <c r="E135" t="s">
        <v>35</v>
      </c>
      <c r="F135" s="2">
        <v>610148001</v>
      </c>
      <c r="G135" s="2" t="s">
        <v>41</v>
      </c>
      <c r="I135" s="95" t="s">
        <v>7231</v>
      </c>
      <c r="J135" t="s">
        <v>42</v>
      </c>
      <c r="K135" t="s">
        <v>41</v>
      </c>
      <c r="M135">
        <v>52.57</v>
      </c>
      <c r="N135" s="4">
        <f t="shared" si="1"/>
        <v>-10.994863990869318</v>
      </c>
      <c r="O135" t="s">
        <v>83</v>
      </c>
      <c r="Q135" s="24" t="s">
        <v>43</v>
      </c>
    </row>
    <row r="136" spans="1:18" x14ac:dyDescent="0.25">
      <c r="A136" s="22">
        <v>45660</v>
      </c>
      <c r="B136" s="1">
        <v>155117729</v>
      </c>
      <c r="C136" t="s">
        <v>82</v>
      </c>
      <c r="D136" s="23">
        <v>335000</v>
      </c>
      <c r="E136" t="s">
        <v>45</v>
      </c>
      <c r="F136" s="2">
        <v>210115002</v>
      </c>
      <c r="G136" s="2" t="s">
        <v>46</v>
      </c>
      <c r="I136" s="95" t="s">
        <v>7231</v>
      </c>
      <c r="K136" t="s">
        <v>82</v>
      </c>
      <c r="M136">
        <v>52.57</v>
      </c>
      <c r="N136" s="4">
        <f t="shared" si="1"/>
        <v>6372.4557732547082</v>
      </c>
      <c r="O136" t="s">
        <v>83</v>
      </c>
    </row>
    <row r="137" spans="1:18" x14ac:dyDescent="0.25">
      <c r="A137" s="22">
        <v>45660</v>
      </c>
      <c r="B137" s="1">
        <v>216542112</v>
      </c>
      <c r="C137" t="s">
        <v>180</v>
      </c>
      <c r="D137" s="23">
        <v>-200000</v>
      </c>
      <c r="E137" t="s">
        <v>35</v>
      </c>
      <c r="F137" s="2">
        <v>110114001</v>
      </c>
      <c r="G137" s="2" t="s">
        <v>181</v>
      </c>
      <c r="I137" s="95" t="s">
        <v>7231</v>
      </c>
      <c r="J137" t="s">
        <v>182</v>
      </c>
      <c r="K137" t="s">
        <v>183</v>
      </c>
      <c r="M137">
        <v>52.57</v>
      </c>
      <c r="N137" s="4">
        <f t="shared" si="1"/>
        <v>-3804.4512079132587</v>
      </c>
      <c r="O137" t="s">
        <v>83</v>
      </c>
      <c r="P137" s="34" t="s">
        <v>184</v>
      </c>
      <c r="R137" t="s">
        <v>28</v>
      </c>
    </row>
    <row r="138" spans="1:18" x14ac:dyDescent="0.25">
      <c r="A138" s="22">
        <v>45660</v>
      </c>
      <c r="B138" s="1">
        <v>216542112</v>
      </c>
      <c r="C138" t="s">
        <v>185</v>
      </c>
      <c r="D138" s="23">
        <v>-600</v>
      </c>
      <c r="E138" t="s">
        <v>35</v>
      </c>
      <c r="F138" s="2">
        <v>610148001</v>
      </c>
      <c r="G138" s="2" t="s">
        <v>41</v>
      </c>
      <c r="I138" s="95" t="s">
        <v>7231</v>
      </c>
      <c r="J138" t="s">
        <v>42</v>
      </c>
      <c r="K138" t="s">
        <v>41</v>
      </c>
      <c r="M138">
        <v>52.57</v>
      </c>
      <c r="N138" s="4">
        <f t="shared" si="1"/>
        <v>-11.413353623739775</v>
      </c>
      <c r="O138" t="s">
        <v>83</v>
      </c>
      <c r="Q138" s="24" t="s">
        <v>43</v>
      </c>
    </row>
    <row r="139" spans="1:18" x14ac:dyDescent="0.25">
      <c r="A139" s="22">
        <v>45660</v>
      </c>
      <c r="B139" s="1">
        <v>716542151</v>
      </c>
      <c r="C139" t="s">
        <v>180</v>
      </c>
      <c r="D139" s="23">
        <v>-135083.4</v>
      </c>
      <c r="E139" t="s">
        <v>35</v>
      </c>
      <c r="F139" s="2">
        <v>110114001</v>
      </c>
      <c r="G139" s="2" t="s">
        <v>181</v>
      </c>
      <c r="I139" s="95" t="s">
        <v>7231</v>
      </c>
      <c r="J139" t="s">
        <v>182</v>
      </c>
      <c r="K139" t="s">
        <v>183</v>
      </c>
      <c r="M139">
        <v>52.57</v>
      </c>
      <c r="N139" s="4">
        <f t="shared" si="1"/>
        <v>-2569.5910214951491</v>
      </c>
      <c r="O139" t="s">
        <v>83</v>
      </c>
      <c r="P139" s="34" t="s">
        <v>184</v>
      </c>
      <c r="R139" t="s">
        <v>28</v>
      </c>
    </row>
    <row r="140" spans="1:18" x14ac:dyDescent="0.25">
      <c r="A140" s="22">
        <v>45660</v>
      </c>
      <c r="B140" s="1">
        <v>716542151</v>
      </c>
      <c r="C140" t="s">
        <v>185</v>
      </c>
      <c r="D140" s="23">
        <v>-405.25</v>
      </c>
      <c r="E140" t="s">
        <v>35</v>
      </c>
      <c r="F140" s="2">
        <v>610148001</v>
      </c>
      <c r="G140" s="2" t="s">
        <v>41</v>
      </c>
      <c r="I140" s="95" t="s">
        <v>7231</v>
      </c>
      <c r="J140" t="s">
        <v>42</v>
      </c>
      <c r="K140" t="s">
        <v>41</v>
      </c>
      <c r="M140">
        <v>52.57</v>
      </c>
      <c r="N140" s="4">
        <f t="shared" ref="N140:N203" si="2">D140/M140</f>
        <v>-7.7087692600342397</v>
      </c>
      <c r="O140" t="s">
        <v>83</v>
      </c>
      <c r="Q140" s="24" t="s">
        <v>43</v>
      </c>
    </row>
    <row r="141" spans="1:18" x14ac:dyDescent="0.25">
      <c r="A141" s="22">
        <v>45660</v>
      </c>
      <c r="B141" s="1">
        <v>0</v>
      </c>
      <c r="C141" t="s">
        <v>186</v>
      </c>
      <c r="D141" s="23">
        <v>1553.1</v>
      </c>
      <c r="E141" t="s">
        <v>45</v>
      </c>
      <c r="F141" s="2">
        <v>212901001</v>
      </c>
      <c r="G141" s="2" t="s">
        <v>91</v>
      </c>
      <c r="I141" s="95" t="s">
        <v>7231</v>
      </c>
      <c r="J141" t="s">
        <v>61</v>
      </c>
      <c r="K141" t="s">
        <v>62</v>
      </c>
      <c r="M141">
        <v>52.57</v>
      </c>
      <c r="N141" s="4">
        <f t="shared" si="2"/>
        <v>29.543465855050407</v>
      </c>
      <c r="O141" t="s">
        <v>83</v>
      </c>
    </row>
    <row r="142" spans="1:18" x14ac:dyDescent="0.25">
      <c r="A142" s="22">
        <v>45664</v>
      </c>
      <c r="B142" s="1">
        <v>144351762</v>
      </c>
      <c r="C142" t="s">
        <v>82</v>
      </c>
      <c r="D142" s="23">
        <v>35000</v>
      </c>
      <c r="E142" t="s">
        <v>45</v>
      </c>
      <c r="F142" s="2">
        <v>210115002</v>
      </c>
      <c r="G142" s="2" t="s">
        <v>46</v>
      </c>
      <c r="I142" s="95" t="s">
        <v>7231</v>
      </c>
      <c r="K142" t="s">
        <v>82</v>
      </c>
      <c r="M142">
        <v>53.01</v>
      </c>
      <c r="N142" s="4">
        <f t="shared" si="2"/>
        <v>660.25278249386906</v>
      </c>
      <c r="O142" t="s">
        <v>83</v>
      </c>
    </row>
    <row r="143" spans="1:18" x14ac:dyDescent="0.25">
      <c r="A143" s="22">
        <v>45664</v>
      </c>
      <c r="B143" s="1">
        <v>144417148</v>
      </c>
      <c r="C143" t="s">
        <v>82</v>
      </c>
      <c r="D143" s="23">
        <v>80000</v>
      </c>
      <c r="E143" t="s">
        <v>45</v>
      </c>
      <c r="F143" s="2">
        <v>210115002</v>
      </c>
      <c r="G143" s="2" t="s">
        <v>46</v>
      </c>
      <c r="I143" s="95" t="s">
        <v>7231</v>
      </c>
      <c r="K143" t="s">
        <v>82</v>
      </c>
      <c r="M143">
        <v>53.01</v>
      </c>
      <c r="N143" s="4">
        <f t="shared" si="2"/>
        <v>1509.1492171288437</v>
      </c>
      <c r="O143" t="s">
        <v>83</v>
      </c>
    </row>
    <row r="144" spans="1:18" x14ac:dyDescent="0.25">
      <c r="A144" s="22">
        <v>45664</v>
      </c>
      <c r="B144" s="1">
        <v>816661537</v>
      </c>
      <c r="C144" t="s">
        <v>187</v>
      </c>
      <c r="D144" s="23">
        <v>-22062.39</v>
      </c>
      <c r="E144" t="s">
        <v>35</v>
      </c>
      <c r="F144" s="2">
        <v>210101001</v>
      </c>
      <c r="G144" s="2" t="s">
        <v>36</v>
      </c>
      <c r="I144" s="95" t="s">
        <v>7231</v>
      </c>
      <c r="J144" t="s">
        <v>37</v>
      </c>
      <c r="K144" t="s">
        <v>38</v>
      </c>
      <c r="M144">
        <v>53.01</v>
      </c>
      <c r="N144" s="4">
        <f t="shared" si="2"/>
        <v>-416.19298245614033</v>
      </c>
      <c r="O144" t="s">
        <v>83</v>
      </c>
    </row>
    <row r="145" spans="1:17" x14ac:dyDescent="0.25">
      <c r="A145" s="22">
        <v>45664</v>
      </c>
      <c r="B145" s="1">
        <v>816661537</v>
      </c>
      <c r="C145" t="s">
        <v>185</v>
      </c>
      <c r="D145" s="23">
        <v>-66.19</v>
      </c>
      <c r="E145" t="s">
        <v>35</v>
      </c>
      <c r="F145" s="2">
        <v>610148001</v>
      </c>
      <c r="G145" s="2" t="s">
        <v>41</v>
      </c>
      <c r="I145" s="95" t="s">
        <v>7231</v>
      </c>
      <c r="J145" t="s">
        <v>42</v>
      </c>
      <c r="K145" t="s">
        <v>41</v>
      </c>
      <c r="M145">
        <v>53.01</v>
      </c>
      <c r="N145" s="4">
        <f t="shared" si="2"/>
        <v>-1.2486323335219769</v>
      </c>
      <c r="O145" t="s">
        <v>83</v>
      </c>
      <c r="Q145" s="24" t="s">
        <v>43</v>
      </c>
    </row>
    <row r="146" spans="1:17" x14ac:dyDescent="0.25">
      <c r="A146" s="22">
        <v>45664</v>
      </c>
      <c r="B146" s="1">
        <v>816631100</v>
      </c>
      <c r="C146" t="s">
        <v>188</v>
      </c>
      <c r="D146" s="23">
        <v>-82444.13</v>
      </c>
      <c r="E146" t="s">
        <v>35</v>
      </c>
      <c r="F146" s="2">
        <v>210101001</v>
      </c>
      <c r="G146" s="2" t="s">
        <v>36</v>
      </c>
      <c r="I146" s="95" t="s">
        <v>7231</v>
      </c>
      <c r="J146" t="s">
        <v>37</v>
      </c>
      <c r="K146" t="s">
        <v>38</v>
      </c>
      <c r="M146">
        <v>53.01</v>
      </c>
      <c r="N146" s="4">
        <f t="shared" si="2"/>
        <v>-1555.2561780796077</v>
      </c>
      <c r="O146" t="s">
        <v>83</v>
      </c>
    </row>
    <row r="147" spans="1:17" x14ac:dyDescent="0.25">
      <c r="A147" s="22">
        <v>45664</v>
      </c>
      <c r="B147" s="1">
        <v>816631100</v>
      </c>
      <c r="C147" t="s">
        <v>185</v>
      </c>
      <c r="D147" s="23">
        <v>-247.33</v>
      </c>
      <c r="E147" t="s">
        <v>35</v>
      </c>
      <c r="F147" s="2">
        <v>610148001</v>
      </c>
      <c r="G147" s="2" t="s">
        <v>41</v>
      </c>
      <c r="I147" s="95" t="s">
        <v>7231</v>
      </c>
      <c r="J147" t="s">
        <v>42</v>
      </c>
      <c r="K147" t="s">
        <v>41</v>
      </c>
      <c r="M147">
        <v>53.01</v>
      </c>
      <c r="N147" s="4">
        <f t="shared" si="2"/>
        <v>-4.665723448405962</v>
      </c>
      <c r="O147" t="s">
        <v>83</v>
      </c>
      <c r="Q147" s="24" t="s">
        <v>43</v>
      </c>
    </row>
    <row r="148" spans="1:17" x14ac:dyDescent="0.25">
      <c r="A148" s="22">
        <v>45664</v>
      </c>
      <c r="B148" s="1">
        <v>16665919</v>
      </c>
      <c r="C148" t="s">
        <v>189</v>
      </c>
      <c r="D148" s="23">
        <v>-3623.9</v>
      </c>
      <c r="E148" t="s">
        <v>35</v>
      </c>
      <c r="F148" s="2">
        <v>212901001</v>
      </c>
      <c r="G148" s="2" t="s">
        <v>91</v>
      </c>
      <c r="I148" s="95" t="s">
        <v>7231</v>
      </c>
      <c r="J148" t="s">
        <v>61</v>
      </c>
      <c r="K148" t="s">
        <v>62</v>
      </c>
      <c r="M148">
        <v>53.01</v>
      </c>
      <c r="N148" s="4">
        <f t="shared" si="2"/>
        <v>-68.362573099415215</v>
      </c>
      <c r="O148" t="s">
        <v>83</v>
      </c>
    </row>
    <row r="149" spans="1:17" x14ac:dyDescent="0.25">
      <c r="A149" s="22">
        <v>45664</v>
      </c>
      <c r="B149" s="1">
        <v>16665920</v>
      </c>
      <c r="C149" t="s">
        <v>190</v>
      </c>
      <c r="D149" s="23">
        <v>-2588.5</v>
      </c>
      <c r="E149" t="s">
        <v>35</v>
      </c>
      <c r="F149" s="2">
        <v>212901001</v>
      </c>
      <c r="G149" s="2" t="s">
        <v>91</v>
      </c>
      <c r="I149" s="95" t="s">
        <v>7231</v>
      </c>
      <c r="J149" t="s">
        <v>61</v>
      </c>
      <c r="K149" t="s">
        <v>62</v>
      </c>
      <c r="M149">
        <v>53.01</v>
      </c>
      <c r="N149" s="4">
        <f t="shared" si="2"/>
        <v>-48.830409356725148</v>
      </c>
      <c r="O149" t="s">
        <v>83</v>
      </c>
    </row>
    <row r="150" spans="1:17" x14ac:dyDescent="0.25">
      <c r="A150" s="22">
        <v>45664</v>
      </c>
      <c r="B150" s="1">
        <v>16665921</v>
      </c>
      <c r="C150" t="s">
        <v>191</v>
      </c>
      <c r="D150" s="23">
        <v>-2588.5</v>
      </c>
      <c r="E150" t="s">
        <v>35</v>
      </c>
      <c r="F150" s="2">
        <v>212901001</v>
      </c>
      <c r="G150" s="2" t="s">
        <v>91</v>
      </c>
      <c r="I150" s="95" t="s">
        <v>7231</v>
      </c>
      <c r="J150" t="s">
        <v>61</v>
      </c>
      <c r="K150" t="s">
        <v>62</v>
      </c>
      <c r="M150">
        <v>53.01</v>
      </c>
      <c r="N150" s="4">
        <f t="shared" si="2"/>
        <v>-48.830409356725148</v>
      </c>
      <c r="O150" t="s">
        <v>83</v>
      </c>
    </row>
    <row r="151" spans="1:17" x14ac:dyDescent="0.25">
      <c r="A151" s="22">
        <v>45664</v>
      </c>
      <c r="B151" s="1">
        <v>50197749</v>
      </c>
      <c r="C151" t="s">
        <v>89</v>
      </c>
      <c r="D151" s="23">
        <v>-22</v>
      </c>
      <c r="E151" t="s">
        <v>35</v>
      </c>
      <c r="F151" s="2">
        <v>610148001</v>
      </c>
      <c r="G151" s="2" t="s">
        <v>41</v>
      </c>
      <c r="I151" s="95" t="s">
        <v>7231</v>
      </c>
      <c r="J151" t="s">
        <v>42</v>
      </c>
      <c r="K151" t="s">
        <v>41</v>
      </c>
      <c r="M151">
        <v>53.01</v>
      </c>
      <c r="N151" s="4">
        <f t="shared" si="2"/>
        <v>-0.41501603471043202</v>
      </c>
      <c r="O151" t="s">
        <v>83</v>
      </c>
      <c r="Q151" s="24" t="s">
        <v>43</v>
      </c>
    </row>
    <row r="152" spans="1:17" x14ac:dyDescent="0.25">
      <c r="A152" s="22">
        <v>45666</v>
      </c>
      <c r="B152" s="1">
        <v>105745045</v>
      </c>
      <c r="C152" t="s">
        <v>82</v>
      </c>
      <c r="D152" s="23">
        <v>10000</v>
      </c>
      <c r="E152" t="s">
        <v>45</v>
      </c>
      <c r="F152" s="2">
        <v>210115002</v>
      </c>
      <c r="G152" s="2" t="s">
        <v>46</v>
      </c>
      <c r="I152" s="95" t="s">
        <v>7231</v>
      </c>
      <c r="K152" t="s">
        <v>82</v>
      </c>
      <c r="M152">
        <v>53.28</v>
      </c>
      <c r="N152" s="4">
        <f t="shared" si="2"/>
        <v>187.68768768768768</v>
      </c>
      <c r="O152" t="s">
        <v>83</v>
      </c>
    </row>
    <row r="153" spans="1:17" x14ac:dyDescent="0.25">
      <c r="A153" s="22">
        <v>45666</v>
      </c>
      <c r="B153" s="1">
        <v>316724690</v>
      </c>
      <c r="C153" t="s">
        <v>192</v>
      </c>
      <c r="D153" s="23">
        <v>-2664</v>
      </c>
      <c r="E153" t="s">
        <v>35</v>
      </c>
      <c r="F153" s="2">
        <v>212901001</v>
      </c>
      <c r="G153" s="2" t="s">
        <v>91</v>
      </c>
      <c r="I153" s="95" t="s">
        <v>7231</v>
      </c>
      <c r="J153" t="s">
        <v>61</v>
      </c>
      <c r="K153" t="s">
        <v>62</v>
      </c>
      <c r="M153">
        <v>53.28</v>
      </c>
      <c r="N153" s="4">
        <f t="shared" si="2"/>
        <v>-50</v>
      </c>
      <c r="O153" t="s">
        <v>83</v>
      </c>
    </row>
    <row r="154" spans="1:17" x14ac:dyDescent="0.25">
      <c r="A154" s="22">
        <v>45666</v>
      </c>
      <c r="B154" s="1">
        <v>316724691</v>
      </c>
      <c r="C154" t="s">
        <v>193</v>
      </c>
      <c r="D154" s="23">
        <v>-3729.6</v>
      </c>
      <c r="E154" t="s">
        <v>35</v>
      </c>
      <c r="F154" s="2">
        <v>212901001</v>
      </c>
      <c r="G154" s="2" t="s">
        <v>91</v>
      </c>
      <c r="I154" s="95" t="s">
        <v>7231</v>
      </c>
      <c r="J154" t="s">
        <v>61</v>
      </c>
      <c r="K154" t="s">
        <v>62</v>
      </c>
      <c r="M154">
        <v>53.28</v>
      </c>
      <c r="N154" s="4">
        <f t="shared" si="2"/>
        <v>-70</v>
      </c>
      <c r="O154" t="s">
        <v>83</v>
      </c>
    </row>
    <row r="155" spans="1:17" x14ac:dyDescent="0.25">
      <c r="A155" s="22">
        <v>45666</v>
      </c>
      <c r="B155" s="1">
        <v>316724689</v>
      </c>
      <c r="C155" t="s">
        <v>194</v>
      </c>
      <c r="D155" s="23">
        <v>-2557.44</v>
      </c>
      <c r="E155" t="s">
        <v>35</v>
      </c>
      <c r="F155" s="2">
        <v>212901001</v>
      </c>
      <c r="G155" s="2" t="s">
        <v>91</v>
      </c>
      <c r="I155" s="95" t="s">
        <v>7231</v>
      </c>
      <c r="J155" t="s">
        <v>61</v>
      </c>
      <c r="K155" t="s">
        <v>62</v>
      </c>
      <c r="M155">
        <v>53.28</v>
      </c>
      <c r="N155" s="4">
        <f t="shared" si="2"/>
        <v>-48</v>
      </c>
      <c r="O155" t="s">
        <v>83</v>
      </c>
    </row>
    <row r="156" spans="1:17" x14ac:dyDescent="0.25">
      <c r="A156" s="22">
        <v>45666</v>
      </c>
      <c r="B156" s="1">
        <v>316724695</v>
      </c>
      <c r="C156" t="s">
        <v>195</v>
      </c>
      <c r="D156" s="23">
        <v>-1065.5999999999999</v>
      </c>
      <c r="E156" t="s">
        <v>35</v>
      </c>
      <c r="F156" s="2">
        <v>212901001</v>
      </c>
      <c r="G156" s="2" t="s">
        <v>91</v>
      </c>
      <c r="I156" s="95" t="s">
        <v>7231</v>
      </c>
      <c r="J156" t="s">
        <v>61</v>
      </c>
      <c r="K156" t="s">
        <v>62</v>
      </c>
      <c r="M156">
        <v>53.28</v>
      </c>
      <c r="N156" s="4">
        <f t="shared" si="2"/>
        <v>-19.999999999999996</v>
      </c>
      <c r="O156" t="s">
        <v>83</v>
      </c>
    </row>
    <row r="157" spans="1:17" x14ac:dyDescent="0.25">
      <c r="A157" s="22">
        <v>45666</v>
      </c>
      <c r="B157" s="1">
        <v>316724694</v>
      </c>
      <c r="C157" t="s">
        <v>196</v>
      </c>
      <c r="D157" s="23">
        <v>-1065.5999999999999</v>
      </c>
      <c r="E157" t="s">
        <v>35</v>
      </c>
      <c r="F157" s="2">
        <v>212901001</v>
      </c>
      <c r="G157" s="2" t="s">
        <v>91</v>
      </c>
      <c r="I157" s="95" t="s">
        <v>7231</v>
      </c>
      <c r="J157" t="s">
        <v>61</v>
      </c>
      <c r="K157" t="s">
        <v>62</v>
      </c>
      <c r="M157">
        <v>53.28</v>
      </c>
      <c r="N157" s="4">
        <f t="shared" si="2"/>
        <v>-19.999999999999996</v>
      </c>
      <c r="O157" t="s">
        <v>83</v>
      </c>
    </row>
    <row r="158" spans="1:17" x14ac:dyDescent="0.25">
      <c r="A158" s="22">
        <v>45666</v>
      </c>
      <c r="B158" s="1">
        <v>316724692</v>
      </c>
      <c r="C158" t="s">
        <v>197</v>
      </c>
      <c r="D158" s="23">
        <v>-1864.8</v>
      </c>
      <c r="E158" t="s">
        <v>35</v>
      </c>
      <c r="F158" s="2">
        <v>212901001</v>
      </c>
      <c r="G158" s="2" t="s">
        <v>91</v>
      </c>
      <c r="I158" s="95" t="s">
        <v>7231</v>
      </c>
      <c r="J158" t="s">
        <v>61</v>
      </c>
      <c r="K158" t="s">
        <v>62</v>
      </c>
      <c r="M158">
        <v>53.28</v>
      </c>
      <c r="N158" s="4">
        <f t="shared" si="2"/>
        <v>-35</v>
      </c>
      <c r="O158" t="s">
        <v>83</v>
      </c>
    </row>
    <row r="159" spans="1:17" x14ac:dyDescent="0.25">
      <c r="A159" s="22">
        <v>45666</v>
      </c>
      <c r="B159" s="1">
        <v>316724693</v>
      </c>
      <c r="C159" t="s">
        <v>198</v>
      </c>
      <c r="D159" s="23">
        <v>-1065.5999999999999</v>
      </c>
      <c r="E159" t="s">
        <v>35</v>
      </c>
      <c r="F159" s="2">
        <v>212901001</v>
      </c>
      <c r="G159" s="2" t="s">
        <v>91</v>
      </c>
      <c r="I159" s="95" t="s">
        <v>7231</v>
      </c>
      <c r="J159" t="s">
        <v>61</v>
      </c>
      <c r="K159" t="s">
        <v>62</v>
      </c>
      <c r="M159">
        <v>53.28</v>
      </c>
      <c r="N159" s="4">
        <f t="shared" si="2"/>
        <v>-19.999999999999996</v>
      </c>
      <c r="O159" t="s">
        <v>83</v>
      </c>
    </row>
    <row r="160" spans="1:17" x14ac:dyDescent="0.25">
      <c r="A160" s="22">
        <v>45666</v>
      </c>
      <c r="B160" s="1">
        <v>50111967</v>
      </c>
      <c r="C160" t="s">
        <v>89</v>
      </c>
      <c r="D160" s="23">
        <v>-35.03</v>
      </c>
      <c r="E160" t="s">
        <v>35</v>
      </c>
      <c r="F160" s="2">
        <v>610148001</v>
      </c>
      <c r="G160" s="2" t="s">
        <v>41</v>
      </c>
      <c r="I160" s="95" t="s">
        <v>7231</v>
      </c>
      <c r="J160" t="s">
        <v>42</v>
      </c>
      <c r="K160" t="s">
        <v>41</v>
      </c>
      <c r="M160">
        <v>53.28</v>
      </c>
      <c r="N160" s="4">
        <f t="shared" si="2"/>
        <v>-0.65746996996996998</v>
      </c>
      <c r="O160" t="s">
        <v>83</v>
      </c>
      <c r="Q160" s="24" t="s">
        <v>43</v>
      </c>
    </row>
    <row r="161" spans="1:15" x14ac:dyDescent="0.25">
      <c r="A161" s="22">
        <v>45667</v>
      </c>
      <c r="B161" s="1">
        <v>95559402</v>
      </c>
      <c r="C161" t="s">
        <v>82</v>
      </c>
      <c r="D161" s="23">
        <v>245000</v>
      </c>
      <c r="E161" t="s">
        <v>45</v>
      </c>
      <c r="F161" s="2">
        <v>210115002</v>
      </c>
      <c r="G161" s="2" t="s">
        <v>46</v>
      </c>
      <c r="I161" s="95" t="s">
        <v>7231</v>
      </c>
      <c r="K161" t="s">
        <v>82</v>
      </c>
      <c r="M161">
        <v>53.85</v>
      </c>
      <c r="N161" s="4">
        <f t="shared" si="2"/>
        <v>4549.6750232126278</v>
      </c>
      <c r="O161" t="s">
        <v>83</v>
      </c>
    </row>
    <row r="162" spans="1:15" x14ac:dyDescent="0.25">
      <c r="A162" s="22">
        <v>45667</v>
      </c>
      <c r="B162" s="1">
        <v>716752901</v>
      </c>
      <c r="C162" t="s">
        <v>199</v>
      </c>
      <c r="D162" s="23">
        <v>-3231</v>
      </c>
      <c r="E162" t="s">
        <v>35</v>
      </c>
      <c r="F162" s="2">
        <v>212901001</v>
      </c>
      <c r="G162" s="2" t="s">
        <v>91</v>
      </c>
      <c r="I162" s="95" t="s">
        <v>7231</v>
      </c>
      <c r="J162" t="s">
        <v>61</v>
      </c>
      <c r="K162" t="s">
        <v>62</v>
      </c>
      <c r="M162">
        <v>53.85</v>
      </c>
      <c r="N162" s="4">
        <f t="shared" si="2"/>
        <v>-60</v>
      </c>
      <c r="O162" t="s">
        <v>83</v>
      </c>
    </row>
    <row r="163" spans="1:15" x14ac:dyDescent="0.25">
      <c r="A163" s="22">
        <v>45667</v>
      </c>
      <c r="B163" s="1">
        <v>716752899</v>
      </c>
      <c r="C163" t="s">
        <v>200</v>
      </c>
      <c r="D163" s="23">
        <v>-3231</v>
      </c>
      <c r="E163" t="s">
        <v>35</v>
      </c>
      <c r="F163" s="2">
        <v>212901001</v>
      </c>
      <c r="G163" s="2" t="s">
        <v>91</v>
      </c>
      <c r="I163" s="95" t="s">
        <v>7231</v>
      </c>
      <c r="J163" t="s">
        <v>61</v>
      </c>
      <c r="K163" t="s">
        <v>62</v>
      </c>
      <c r="M163">
        <v>53.85</v>
      </c>
      <c r="N163" s="4">
        <f t="shared" si="2"/>
        <v>-60</v>
      </c>
      <c r="O163" t="s">
        <v>83</v>
      </c>
    </row>
    <row r="164" spans="1:15" x14ac:dyDescent="0.25">
      <c r="A164" s="22">
        <v>45667</v>
      </c>
      <c r="B164" s="1">
        <v>716752898</v>
      </c>
      <c r="C164" t="s">
        <v>201</v>
      </c>
      <c r="D164" s="23">
        <v>-3231</v>
      </c>
      <c r="E164" t="s">
        <v>35</v>
      </c>
      <c r="F164" s="2">
        <v>212901001</v>
      </c>
      <c r="G164" s="2" t="s">
        <v>91</v>
      </c>
      <c r="I164" s="95" t="s">
        <v>7231</v>
      </c>
      <c r="J164" t="s">
        <v>61</v>
      </c>
      <c r="K164" t="s">
        <v>62</v>
      </c>
      <c r="M164">
        <v>53.85</v>
      </c>
      <c r="N164" s="4">
        <f t="shared" si="2"/>
        <v>-60</v>
      </c>
      <c r="O164" t="s">
        <v>83</v>
      </c>
    </row>
    <row r="165" spans="1:15" x14ac:dyDescent="0.25">
      <c r="A165" s="22">
        <v>45667</v>
      </c>
      <c r="B165" s="1">
        <v>816752905</v>
      </c>
      <c r="C165" t="s">
        <v>202</v>
      </c>
      <c r="D165" s="23">
        <v>-3231</v>
      </c>
      <c r="E165" t="s">
        <v>35</v>
      </c>
      <c r="F165" s="2">
        <v>212901001</v>
      </c>
      <c r="G165" s="2" t="s">
        <v>91</v>
      </c>
      <c r="I165" s="95" t="s">
        <v>7231</v>
      </c>
      <c r="J165" t="s">
        <v>61</v>
      </c>
      <c r="K165" t="s">
        <v>62</v>
      </c>
      <c r="M165">
        <v>53.85</v>
      </c>
      <c r="N165" s="4">
        <f t="shared" si="2"/>
        <v>-60</v>
      </c>
      <c r="O165" t="s">
        <v>83</v>
      </c>
    </row>
    <row r="166" spans="1:15" x14ac:dyDescent="0.25">
      <c r="A166" s="22">
        <v>45667</v>
      </c>
      <c r="B166" s="1">
        <v>716752902</v>
      </c>
      <c r="C166" t="s">
        <v>203</v>
      </c>
      <c r="D166" s="23">
        <v>-3231</v>
      </c>
      <c r="E166" t="s">
        <v>35</v>
      </c>
      <c r="F166" s="2">
        <v>212901001</v>
      </c>
      <c r="G166" s="2" t="s">
        <v>91</v>
      </c>
      <c r="I166" s="95" t="s">
        <v>7231</v>
      </c>
      <c r="J166" t="s">
        <v>61</v>
      </c>
      <c r="K166" t="s">
        <v>62</v>
      </c>
      <c r="M166">
        <v>53.85</v>
      </c>
      <c r="N166" s="4">
        <f t="shared" si="2"/>
        <v>-60</v>
      </c>
      <c r="O166" t="s">
        <v>83</v>
      </c>
    </row>
    <row r="167" spans="1:15" x14ac:dyDescent="0.25">
      <c r="A167" s="22">
        <v>45667</v>
      </c>
      <c r="B167" s="1">
        <v>716752903</v>
      </c>
      <c r="C167" t="s">
        <v>204</v>
      </c>
      <c r="D167" s="23">
        <v>-3231</v>
      </c>
      <c r="E167" t="s">
        <v>35</v>
      </c>
      <c r="F167" s="2">
        <v>212901001</v>
      </c>
      <c r="G167" s="2" t="s">
        <v>91</v>
      </c>
      <c r="I167" s="95" t="s">
        <v>7231</v>
      </c>
      <c r="J167" t="s">
        <v>61</v>
      </c>
      <c r="K167" t="s">
        <v>62</v>
      </c>
      <c r="M167">
        <v>53.85</v>
      </c>
      <c r="N167" s="4">
        <f t="shared" si="2"/>
        <v>-60</v>
      </c>
      <c r="O167" t="s">
        <v>83</v>
      </c>
    </row>
    <row r="168" spans="1:15" x14ac:dyDescent="0.25">
      <c r="A168" s="22">
        <v>45667</v>
      </c>
      <c r="B168" s="1">
        <v>816752904</v>
      </c>
      <c r="C168" t="s">
        <v>205</v>
      </c>
      <c r="D168" s="23">
        <v>-3231</v>
      </c>
      <c r="E168" t="s">
        <v>35</v>
      </c>
      <c r="F168" s="2">
        <v>212901001</v>
      </c>
      <c r="G168" s="2" t="s">
        <v>91</v>
      </c>
      <c r="I168" s="95" t="s">
        <v>7231</v>
      </c>
      <c r="J168" t="s">
        <v>61</v>
      </c>
      <c r="K168" t="s">
        <v>62</v>
      </c>
      <c r="M168">
        <v>53.85</v>
      </c>
      <c r="N168" s="4">
        <f t="shared" si="2"/>
        <v>-60</v>
      </c>
      <c r="O168" t="s">
        <v>83</v>
      </c>
    </row>
    <row r="169" spans="1:15" x14ac:dyDescent="0.25">
      <c r="A169" s="22">
        <v>45667</v>
      </c>
      <c r="B169" s="1">
        <v>716752900</v>
      </c>
      <c r="C169" t="s">
        <v>206</v>
      </c>
      <c r="D169" s="23">
        <v>-3231</v>
      </c>
      <c r="E169" t="s">
        <v>35</v>
      </c>
      <c r="F169" s="2">
        <v>212901001</v>
      </c>
      <c r="G169" s="2" t="s">
        <v>91</v>
      </c>
      <c r="I169" s="95" t="s">
        <v>7231</v>
      </c>
      <c r="J169" t="s">
        <v>61</v>
      </c>
      <c r="K169" t="s">
        <v>62</v>
      </c>
      <c r="M169">
        <v>53.85</v>
      </c>
      <c r="N169" s="4">
        <f t="shared" si="2"/>
        <v>-60</v>
      </c>
      <c r="O169" t="s">
        <v>83</v>
      </c>
    </row>
    <row r="170" spans="1:15" x14ac:dyDescent="0.25">
      <c r="A170" s="22">
        <v>45667</v>
      </c>
      <c r="B170" s="1">
        <v>816752906</v>
      </c>
      <c r="C170" t="s">
        <v>207</v>
      </c>
      <c r="D170" s="23">
        <v>-3231</v>
      </c>
      <c r="E170" t="s">
        <v>35</v>
      </c>
      <c r="F170" s="2">
        <v>212901001</v>
      </c>
      <c r="G170" s="2" t="s">
        <v>91</v>
      </c>
      <c r="I170" s="95" t="s">
        <v>7231</v>
      </c>
      <c r="J170" t="s">
        <v>61</v>
      </c>
      <c r="K170" t="s">
        <v>62</v>
      </c>
      <c r="M170">
        <v>53.85</v>
      </c>
      <c r="N170" s="4">
        <f t="shared" si="2"/>
        <v>-60</v>
      </c>
      <c r="O170" t="s">
        <v>83</v>
      </c>
    </row>
    <row r="171" spans="1:15" x14ac:dyDescent="0.25">
      <c r="A171" s="22">
        <v>45667</v>
      </c>
      <c r="B171" s="1">
        <v>816752907</v>
      </c>
      <c r="C171" t="s">
        <v>208</v>
      </c>
      <c r="D171" s="23">
        <v>-3231</v>
      </c>
      <c r="E171" t="s">
        <v>35</v>
      </c>
      <c r="F171" s="2">
        <v>212901001</v>
      </c>
      <c r="G171" s="2" t="s">
        <v>91</v>
      </c>
      <c r="I171" s="95" t="s">
        <v>7231</v>
      </c>
      <c r="J171" t="s">
        <v>61</v>
      </c>
      <c r="K171" t="s">
        <v>62</v>
      </c>
      <c r="M171">
        <v>53.85</v>
      </c>
      <c r="N171" s="4">
        <f t="shared" si="2"/>
        <v>-60</v>
      </c>
      <c r="O171" t="s">
        <v>83</v>
      </c>
    </row>
    <row r="172" spans="1:15" x14ac:dyDescent="0.25">
      <c r="A172" s="22">
        <v>45667</v>
      </c>
      <c r="B172" s="1">
        <v>816752908</v>
      </c>
      <c r="C172" t="s">
        <v>209</v>
      </c>
      <c r="D172" s="23">
        <v>-3231</v>
      </c>
      <c r="E172" t="s">
        <v>35</v>
      </c>
      <c r="F172" s="2">
        <v>212901001</v>
      </c>
      <c r="G172" s="2" t="s">
        <v>91</v>
      </c>
      <c r="I172" s="95" t="s">
        <v>7219</v>
      </c>
      <c r="J172" t="s">
        <v>61</v>
      </c>
      <c r="K172" t="s">
        <v>62</v>
      </c>
      <c r="M172">
        <v>53.85</v>
      </c>
      <c r="N172" s="4">
        <f t="shared" si="2"/>
        <v>-60</v>
      </c>
      <c r="O172" t="s">
        <v>83</v>
      </c>
    </row>
    <row r="173" spans="1:15" x14ac:dyDescent="0.25">
      <c r="A173" s="22">
        <v>45667</v>
      </c>
      <c r="B173" s="1">
        <v>816752909</v>
      </c>
      <c r="C173" t="s">
        <v>210</v>
      </c>
      <c r="D173" s="23">
        <v>-3231</v>
      </c>
      <c r="E173" t="s">
        <v>35</v>
      </c>
      <c r="F173" s="2">
        <v>212901001</v>
      </c>
      <c r="G173" s="2" t="s">
        <v>91</v>
      </c>
      <c r="I173" s="95" t="s">
        <v>7231</v>
      </c>
      <c r="J173" t="s">
        <v>61</v>
      </c>
      <c r="K173" t="s">
        <v>62</v>
      </c>
      <c r="M173">
        <v>53.85</v>
      </c>
      <c r="N173" s="4">
        <f t="shared" si="2"/>
        <v>-60</v>
      </c>
      <c r="O173" t="s">
        <v>83</v>
      </c>
    </row>
    <row r="174" spans="1:15" x14ac:dyDescent="0.25">
      <c r="A174" s="22">
        <v>45667</v>
      </c>
      <c r="B174" s="1">
        <v>816752912</v>
      </c>
      <c r="C174" t="s">
        <v>211</v>
      </c>
      <c r="D174" s="23">
        <v>-3231</v>
      </c>
      <c r="E174" t="s">
        <v>35</v>
      </c>
      <c r="F174" s="2">
        <v>212901001</v>
      </c>
      <c r="G174" s="2" t="s">
        <v>91</v>
      </c>
      <c r="I174" s="95" t="s">
        <v>7231</v>
      </c>
      <c r="J174" t="s">
        <v>61</v>
      </c>
      <c r="K174" t="s">
        <v>62</v>
      </c>
      <c r="M174">
        <v>53.85</v>
      </c>
      <c r="N174" s="4">
        <f t="shared" si="2"/>
        <v>-60</v>
      </c>
      <c r="O174" t="s">
        <v>83</v>
      </c>
    </row>
    <row r="175" spans="1:15" x14ac:dyDescent="0.25">
      <c r="A175" s="22">
        <v>45667</v>
      </c>
      <c r="B175" s="1">
        <v>816752911</v>
      </c>
      <c r="C175" t="s">
        <v>212</v>
      </c>
      <c r="D175" s="23">
        <v>-3231</v>
      </c>
      <c r="E175" t="s">
        <v>35</v>
      </c>
      <c r="F175" s="2">
        <v>212901001</v>
      </c>
      <c r="G175" s="2" t="s">
        <v>91</v>
      </c>
      <c r="I175" s="95" t="s">
        <v>7231</v>
      </c>
      <c r="J175" t="s">
        <v>61</v>
      </c>
      <c r="K175" t="s">
        <v>62</v>
      </c>
      <c r="M175">
        <v>53.85</v>
      </c>
      <c r="N175" s="4">
        <f t="shared" si="2"/>
        <v>-60</v>
      </c>
      <c r="O175" t="s">
        <v>83</v>
      </c>
    </row>
    <row r="176" spans="1:15" x14ac:dyDescent="0.25">
      <c r="A176" s="22">
        <v>45667</v>
      </c>
      <c r="B176" s="1">
        <v>816752914</v>
      </c>
      <c r="C176" t="s">
        <v>213</v>
      </c>
      <c r="D176" s="23">
        <v>-3231</v>
      </c>
      <c r="E176" t="s">
        <v>35</v>
      </c>
      <c r="F176" s="2">
        <v>212901001</v>
      </c>
      <c r="G176" s="2" t="s">
        <v>91</v>
      </c>
      <c r="I176" s="95" t="s">
        <v>7231</v>
      </c>
      <c r="J176" t="s">
        <v>61</v>
      </c>
      <c r="K176" t="s">
        <v>62</v>
      </c>
      <c r="M176">
        <v>53.85</v>
      </c>
      <c r="N176" s="4">
        <f t="shared" si="2"/>
        <v>-60</v>
      </c>
      <c r="O176" t="s">
        <v>83</v>
      </c>
    </row>
    <row r="177" spans="1:15" x14ac:dyDescent="0.25">
      <c r="A177" s="22">
        <v>45667</v>
      </c>
      <c r="B177" s="1">
        <v>816752913</v>
      </c>
      <c r="C177" t="s">
        <v>214</v>
      </c>
      <c r="D177" s="23">
        <v>-3231</v>
      </c>
      <c r="E177" t="s">
        <v>35</v>
      </c>
      <c r="F177" s="2">
        <v>212901001</v>
      </c>
      <c r="G177" s="2" t="s">
        <v>91</v>
      </c>
      <c r="I177" s="95" t="s">
        <v>7231</v>
      </c>
      <c r="J177" t="s">
        <v>61</v>
      </c>
      <c r="K177" t="s">
        <v>62</v>
      </c>
      <c r="M177">
        <v>53.85</v>
      </c>
      <c r="N177" s="4">
        <f t="shared" si="2"/>
        <v>-60</v>
      </c>
      <c r="O177" t="s">
        <v>83</v>
      </c>
    </row>
    <row r="178" spans="1:15" x14ac:dyDescent="0.25">
      <c r="A178" s="22">
        <v>45667</v>
      </c>
      <c r="B178" s="1">
        <v>816752915</v>
      </c>
      <c r="C178" t="s">
        <v>215</v>
      </c>
      <c r="D178" s="23">
        <v>-8077.5</v>
      </c>
      <c r="E178" t="s">
        <v>35</v>
      </c>
      <c r="F178" s="2">
        <v>212901001</v>
      </c>
      <c r="G178" s="2" t="s">
        <v>91</v>
      </c>
      <c r="I178" s="95" t="s">
        <v>7231</v>
      </c>
      <c r="J178" t="s">
        <v>61</v>
      </c>
      <c r="K178" t="s">
        <v>62</v>
      </c>
      <c r="M178">
        <v>53.85</v>
      </c>
      <c r="N178" s="4">
        <f t="shared" si="2"/>
        <v>-150</v>
      </c>
      <c r="O178" t="s">
        <v>83</v>
      </c>
    </row>
    <row r="179" spans="1:15" x14ac:dyDescent="0.25">
      <c r="A179" s="22">
        <v>45667</v>
      </c>
      <c r="B179" s="1">
        <v>916752920</v>
      </c>
      <c r="C179" t="s">
        <v>216</v>
      </c>
      <c r="D179" s="23">
        <v>-4308</v>
      </c>
      <c r="E179" t="s">
        <v>35</v>
      </c>
      <c r="F179" s="2">
        <v>212901001</v>
      </c>
      <c r="G179" s="2" t="s">
        <v>91</v>
      </c>
      <c r="I179" s="95" t="s">
        <v>7231</v>
      </c>
      <c r="J179" t="s">
        <v>61</v>
      </c>
      <c r="K179" t="s">
        <v>62</v>
      </c>
      <c r="M179">
        <v>53.85</v>
      </c>
      <c r="N179" s="4">
        <f t="shared" si="2"/>
        <v>-80</v>
      </c>
      <c r="O179" t="s">
        <v>83</v>
      </c>
    </row>
    <row r="180" spans="1:15" x14ac:dyDescent="0.25">
      <c r="A180" s="22">
        <v>45667</v>
      </c>
      <c r="B180" s="1">
        <v>916752918</v>
      </c>
      <c r="C180" t="s">
        <v>217</v>
      </c>
      <c r="D180" s="23">
        <v>-4308</v>
      </c>
      <c r="E180" t="s">
        <v>35</v>
      </c>
      <c r="F180" s="2">
        <v>212901001</v>
      </c>
      <c r="G180" s="2" t="s">
        <v>91</v>
      </c>
      <c r="I180" s="95" t="s">
        <v>7231</v>
      </c>
      <c r="J180" t="s">
        <v>61</v>
      </c>
      <c r="K180" t="s">
        <v>62</v>
      </c>
      <c r="M180">
        <v>53.85</v>
      </c>
      <c r="N180" s="4">
        <f t="shared" si="2"/>
        <v>-80</v>
      </c>
      <c r="O180" t="s">
        <v>83</v>
      </c>
    </row>
    <row r="181" spans="1:15" x14ac:dyDescent="0.25">
      <c r="A181" s="22">
        <v>45667</v>
      </c>
      <c r="B181" s="1">
        <v>916752917</v>
      </c>
      <c r="C181" t="s">
        <v>218</v>
      </c>
      <c r="D181" s="23">
        <v>-4308</v>
      </c>
      <c r="E181" t="s">
        <v>35</v>
      </c>
      <c r="F181" s="2">
        <v>212901001</v>
      </c>
      <c r="G181" s="2" t="s">
        <v>91</v>
      </c>
      <c r="I181" s="95" t="s">
        <v>7231</v>
      </c>
      <c r="J181" t="s">
        <v>61</v>
      </c>
      <c r="K181" t="s">
        <v>62</v>
      </c>
      <c r="M181">
        <v>53.85</v>
      </c>
      <c r="N181" s="4">
        <f t="shared" si="2"/>
        <v>-80</v>
      </c>
      <c r="O181" t="s">
        <v>83</v>
      </c>
    </row>
    <row r="182" spans="1:15" x14ac:dyDescent="0.25">
      <c r="A182" s="22">
        <v>45667</v>
      </c>
      <c r="B182" s="1">
        <v>916752922</v>
      </c>
      <c r="C182" t="s">
        <v>219</v>
      </c>
      <c r="D182" s="23">
        <v>-4308</v>
      </c>
      <c r="E182" t="s">
        <v>35</v>
      </c>
      <c r="F182" s="2">
        <v>212901001</v>
      </c>
      <c r="G182" s="2" t="s">
        <v>91</v>
      </c>
      <c r="I182" s="95" t="s">
        <v>7231</v>
      </c>
      <c r="J182" t="s">
        <v>61</v>
      </c>
      <c r="K182" t="s">
        <v>62</v>
      </c>
      <c r="M182">
        <v>53.85</v>
      </c>
      <c r="N182" s="4">
        <f t="shared" si="2"/>
        <v>-80</v>
      </c>
      <c r="O182" t="s">
        <v>83</v>
      </c>
    </row>
    <row r="183" spans="1:15" x14ac:dyDescent="0.25">
      <c r="A183" s="22">
        <v>45667</v>
      </c>
      <c r="B183" s="1">
        <v>816752916</v>
      </c>
      <c r="C183" t="s">
        <v>220</v>
      </c>
      <c r="D183" s="23">
        <v>-5385</v>
      </c>
      <c r="E183" t="s">
        <v>35</v>
      </c>
      <c r="F183" s="2">
        <v>212901001</v>
      </c>
      <c r="G183" s="2" t="s">
        <v>91</v>
      </c>
      <c r="I183" s="95" t="s">
        <v>7231</v>
      </c>
      <c r="J183" t="s">
        <v>61</v>
      </c>
      <c r="K183" t="s">
        <v>62</v>
      </c>
      <c r="M183">
        <v>53.85</v>
      </c>
      <c r="N183" s="4">
        <f t="shared" si="2"/>
        <v>-100</v>
      </c>
      <c r="O183" t="s">
        <v>83</v>
      </c>
    </row>
    <row r="184" spans="1:15" x14ac:dyDescent="0.25">
      <c r="A184" s="22">
        <v>45667</v>
      </c>
      <c r="B184" s="1">
        <v>916752921</v>
      </c>
      <c r="C184" t="s">
        <v>221</v>
      </c>
      <c r="D184" s="23">
        <v>-4308</v>
      </c>
      <c r="E184" t="s">
        <v>35</v>
      </c>
      <c r="F184" s="2">
        <v>212901001</v>
      </c>
      <c r="G184" s="2" t="s">
        <v>91</v>
      </c>
      <c r="I184" s="95" t="s">
        <v>7231</v>
      </c>
      <c r="J184" t="s">
        <v>61</v>
      </c>
      <c r="K184" t="s">
        <v>62</v>
      </c>
      <c r="M184">
        <v>53.85</v>
      </c>
      <c r="N184" s="4">
        <f t="shared" si="2"/>
        <v>-80</v>
      </c>
      <c r="O184" t="s">
        <v>83</v>
      </c>
    </row>
    <row r="185" spans="1:15" x14ac:dyDescent="0.25">
      <c r="A185" s="22">
        <v>45667</v>
      </c>
      <c r="B185" s="1">
        <v>916752925</v>
      </c>
      <c r="C185" t="s">
        <v>222</v>
      </c>
      <c r="D185" s="23">
        <v>-2692.5</v>
      </c>
      <c r="E185" t="s">
        <v>35</v>
      </c>
      <c r="F185" s="2">
        <v>212901001</v>
      </c>
      <c r="G185" s="2" t="s">
        <v>91</v>
      </c>
      <c r="I185" s="95" t="s">
        <v>7231</v>
      </c>
      <c r="J185" t="s">
        <v>61</v>
      </c>
      <c r="K185" t="s">
        <v>62</v>
      </c>
      <c r="M185">
        <v>53.85</v>
      </c>
      <c r="N185" s="4">
        <f t="shared" si="2"/>
        <v>-50</v>
      </c>
      <c r="O185" t="s">
        <v>83</v>
      </c>
    </row>
    <row r="186" spans="1:15" x14ac:dyDescent="0.25">
      <c r="A186" s="22">
        <v>45667</v>
      </c>
      <c r="B186" s="1">
        <v>916752923</v>
      </c>
      <c r="C186" t="s">
        <v>223</v>
      </c>
      <c r="D186" s="23">
        <v>-2692.5</v>
      </c>
      <c r="E186" t="s">
        <v>35</v>
      </c>
      <c r="F186" s="2">
        <v>212901001</v>
      </c>
      <c r="G186" s="2" t="s">
        <v>91</v>
      </c>
      <c r="I186" s="95" t="s">
        <v>7231</v>
      </c>
      <c r="J186" t="s">
        <v>61</v>
      </c>
      <c r="K186" t="s">
        <v>62</v>
      </c>
      <c r="M186">
        <v>53.85</v>
      </c>
      <c r="N186" s="4">
        <f t="shared" si="2"/>
        <v>-50</v>
      </c>
      <c r="O186" t="s">
        <v>83</v>
      </c>
    </row>
    <row r="187" spans="1:15" x14ac:dyDescent="0.25">
      <c r="A187" s="22">
        <v>45667</v>
      </c>
      <c r="B187" s="1">
        <v>16752926</v>
      </c>
      <c r="C187" t="s">
        <v>224</v>
      </c>
      <c r="D187" s="23">
        <v>-2692.5</v>
      </c>
      <c r="E187" t="s">
        <v>35</v>
      </c>
      <c r="F187" s="2">
        <v>212901001</v>
      </c>
      <c r="G187" s="2" t="s">
        <v>91</v>
      </c>
      <c r="I187" s="95" t="s">
        <v>7231</v>
      </c>
      <c r="J187" t="s">
        <v>61</v>
      </c>
      <c r="K187" t="s">
        <v>62</v>
      </c>
      <c r="M187">
        <v>53.85</v>
      </c>
      <c r="N187" s="4">
        <f t="shared" si="2"/>
        <v>-50</v>
      </c>
      <c r="O187" t="s">
        <v>83</v>
      </c>
    </row>
    <row r="188" spans="1:15" x14ac:dyDescent="0.25">
      <c r="A188" s="22">
        <v>45667</v>
      </c>
      <c r="B188" s="1">
        <v>916752924</v>
      </c>
      <c r="C188" t="s">
        <v>225</v>
      </c>
      <c r="D188" s="23">
        <v>-2261.6999999999998</v>
      </c>
      <c r="E188" t="s">
        <v>35</v>
      </c>
      <c r="F188" s="2">
        <v>212901001</v>
      </c>
      <c r="G188" s="2" t="s">
        <v>91</v>
      </c>
      <c r="I188" s="95" t="s">
        <v>7231</v>
      </c>
      <c r="J188" t="s">
        <v>61</v>
      </c>
      <c r="K188" t="s">
        <v>62</v>
      </c>
      <c r="M188">
        <v>53.85</v>
      </c>
      <c r="N188" s="4">
        <f t="shared" si="2"/>
        <v>-41.999999999999993</v>
      </c>
      <c r="O188" t="s">
        <v>83</v>
      </c>
    </row>
    <row r="189" spans="1:15" x14ac:dyDescent="0.25">
      <c r="A189" s="22">
        <v>45667</v>
      </c>
      <c r="B189" s="1">
        <v>16752928</v>
      </c>
      <c r="C189" t="s">
        <v>226</v>
      </c>
      <c r="D189" s="23">
        <v>-2692.5</v>
      </c>
      <c r="E189" t="s">
        <v>35</v>
      </c>
      <c r="F189" s="2">
        <v>212901001</v>
      </c>
      <c r="G189" s="2" t="s">
        <v>91</v>
      </c>
      <c r="I189" s="95" t="s">
        <v>7231</v>
      </c>
      <c r="J189" t="s">
        <v>61</v>
      </c>
      <c r="K189" t="s">
        <v>62</v>
      </c>
      <c r="M189">
        <v>53.85</v>
      </c>
      <c r="N189" s="4">
        <f t="shared" si="2"/>
        <v>-50</v>
      </c>
      <c r="O189" t="s">
        <v>83</v>
      </c>
    </row>
    <row r="190" spans="1:15" x14ac:dyDescent="0.25">
      <c r="A190" s="22">
        <v>45667</v>
      </c>
      <c r="B190" s="1">
        <v>916752919</v>
      </c>
      <c r="C190" t="s">
        <v>227</v>
      </c>
      <c r="D190" s="23">
        <v>-4308</v>
      </c>
      <c r="E190" t="s">
        <v>35</v>
      </c>
      <c r="F190" s="2">
        <v>212901001</v>
      </c>
      <c r="G190" s="2" t="s">
        <v>91</v>
      </c>
      <c r="I190" s="95" t="s">
        <v>7231</v>
      </c>
      <c r="J190" t="s">
        <v>61</v>
      </c>
      <c r="K190" t="s">
        <v>62</v>
      </c>
      <c r="M190">
        <v>53.85</v>
      </c>
      <c r="N190" s="4">
        <f t="shared" si="2"/>
        <v>-80</v>
      </c>
      <c r="O190" t="s">
        <v>83</v>
      </c>
    </row>
    <row r="191" spans="1:15" x14ac:dyDescent="0.25">
      <c r="A191" s="22">
        <v>45667</v>
      </c>
      <c r="B191" s="1">
        <v>16752927</v>
      </c>
      <c r="C191" t="s">
        <v>228</v>
      </c>
      <c r="D191" s="23">
        <v>-2692.5</v>
      </c>
      <c r="E191" t="s">
        <v>35</v>
      </c>
      <c r="F191" s="2">
        <v>212901001</v>
      </c>
      <c r="G191" s="2" t="s">
        <v>91</v>
      </c>
      <c r="I191" s="95" t="s">
        <v>7231</v>
      </c>
      <c r="J191" t="s">
        <v>61</v>
      </c>
      <c r="K191" t="s">
        <v>62</v>
      </c>
      <c r="M191">
        <v>53.85</v>
      </c>
      <c r="N191" s="4">
        <f t="shared" si="2"/>
        <v>-50</v>
      </c>
      <c r="O191" t="s">
        <v>83</v>
      </c>
    </row>
    <row r="192" spans="1:15" x14ac:dyDescent="0.25">
      <c r="A192" s="22">
        <v>45667</v>
      </c>
      <c r="B192" s="1">
        <v>16752930</v>
      </c>
      <c r="C192" t="s">
        <v>229</v>
      </c>
      <c r="D192" s="23">
        <v>-2154</v>
      </c>
      <c r="E192" t="s">
        <v>35</v>
      </c>
      <c r="F192" s="2">
        <v>212901001</v>
      </c>
      <c r="G192" s="2" t="s">
        <v>91</v>
      </c>
      <c r="I192" s="95" t="s">
        <v>7231</v>
      </c>
      <c r="J192" t="s">
        <v>61</v>
      </c>
      <c r="K192" t="s">
        <v>62</v>
      </c>
      <c r="M192">
        <v>53.85</v>
      </c>
      <c r="N192" s="4">
        <f t="shared" si="2"/>
        <v>-40</v>
      </c>
      <c r="O192" t="s">
        <v>83</v>
      </c>
    </row>
    <row r="193" spans="1:15" x14ac:dyDescent="0.25">
      <c r="A193" s="22">
        <v>45667</v>
      </c>
      <c r="B193" s="1">
        <v>16752929</v>
      </c>
      <c r="C193" t="s">
        <v>230</v>
      </c>
      <c r="D193" s="23">
        <v>-2154</v>
      </c>
      <c r="E193" t="s">
        <v>35</v>
      </c>
      <c r="F193" s="2">
        <v>212901001</v>
      </c>
      <c r="G193" s="2" t="s">
        <v>91</v>
      </c>
      <c r="I193" s="95" t="s">
        <v>7231</v>
      </c>
      <c r="J193" t="s">
        <v>61</v>
      </c>
      <c r="K193" t="s">
        <v>62</v>
      </c>
      <c r="M193">
        <v>53.85</v>
      </c>
      <c r="N193" s="4">
        <f t="shared" si="2"/>
        <v>-40</v>
      </c>
      <c r="O193" t="s">
        <v>83</v>
      </c>
    </row>
    <row r="194" spans="1:15" x14ac:dyDescent="0.25">
      <c r="A194" s="22">
        <v>45667</v>
      </c>
      <c r="B194" s="1">
        <v>16752931</v>
      </c>
      <c r="C194" t="s">
        <v>231</v>
      </c>
      <c r="D194" s="23">
        <v>-2154</v>
      </c>
      <c r="E194" t="s">
        <v>35</v>
      </c>
      <c r="F194" s="2">
        <v>212901001</v>
      </c>
      <c r="G194" s="2" t="s">
        <v>91</v>
      </c>
      <c r="I194" s="95" t="s">
        <v>7231</v>
      </c>
      <c r="J194" t="s">
        <v>61</v>
      </c>
      <c r="K194" t="s">
        <v>62</v>
      </c>
      <c r="M194">
        <v>53.85</v>
      </c>
      <c r="N194" s="4">
        <f t="shared" si="2"/>
        <v>-40</v>
      </c>
      <c r="O194" t="s">
        <v>83</v>
      </c>
    </row>
    <row r="195" spans="1:15" x14ac:dyDescent="0.25">
      <c r="A195" s="22">
        <v>45667</v>
      </c>
      <c r="B195" s="1">
        <v>16752935</v>
      </c>
      <c r="C195" t="s">
        <v>232</v>
      </c>
      <c r="D195" s="23">
        <v>-2154</v>
      </c>
      <c r="E195" t="s">
        <v>35</v>
      </c>
      <c r="F195" s="2">
        <v>212901001</v>
      </c>
      <c r="G195" s="2" t="s">
        <v>91</v>
      </c>
      <c r="I195" s="95" t="s">
        <v>7231</v>
      </c>
      <c r="J195" t="s">
        <v>61</v>
      </c>
      <c r="K195" t="s">
        <v>62</v>
      </c>
      <c r="M195">
        <v>53.85</v>
      </c>
      <c r="N195" s="4">
        <f t="shared" si="2"/>
        <v>-40</v>
      </c>
      <c r="O195" t="s">
        <v>83</v>
      </c>
    </row>
    <row r="196" spans="1:15" x14ac:dyDescent="0.25">
      <c r="A196" s="22">
        <v>45667</v>
      </c>
      <c r="B196" s="1">
        <v>16752934</v>
      </c>
      <c r="C196" t="s">
        <v>233</v>
      </c>
      <c r="D196" s="23">
        <v>-2154</v>
      </c>
      <c r="E196" t="s">
        <v>35</v>
      </c>
      <c r="F196" s="2">
        <v>212901001</v>
      </c>
      <c r="G196" s="2" t="s">
        <v>91</v>
      </c>
      <c r="I196" s="95" t="s">
        <v>7231</v>
      </c>
      <c r="J196" t="s">
        <v>61</v>
      </c>
      <c r="K196" t="s">
        <v>62</v>
      </c>
      <c r="M196">
        <v>53.85</v>
      </c>
      <c r="N196" s="4">
        <f t="shared" si="2"/>
        <v>-40</v>
      </c>
      <c r="O196" t="s">
        <v>83</v>
      </c>
    </row>
    <row r="197" spans="1:15" x14ac:dyDescent="0.25">
      <c r="A197" s="22">
        <v>45667</v>
      </c>
      <c r="B197" s="1">
        <v>16752933</v>
      </c>
      <c r="C197" t="s">
        <v>234</v>
      </c>
      <c r="D197" s="23">
        <v>-2154</v>
      </c>
      <c r="E197" t="s">
        <v>35</v>
      </c>
      <c r="F197" s="2">
        <v>212901001</v>
      </c>
      <c r="G197" s="2" t="s">
        <v>91</v>
      </c>
      <c r="I197" s="95" t="s">
        <v>7231</v>
      </c>
      <c r="J197" t="s">
        <v>61</v>
      </c>
      <c r="K197" t="s">
        <v>62</v>
      </c>
      <c r="M197">
        <v>53.85</v>
      </c>
      <c r="N197" s="4">
        <f t="shared" si="2"/>
        <v>-40</v>
      </c>
      <c r="O197" t="s">
        <v>83</v>
      </c>
    </row>
    <row r="198" spans="1:15" x14ac:dyDescent="0.25">
      <c r="A198" s="22">
        <v>45667</v>
      </c>
      <c r="B198" s="1">
        <v>16752932</v>
      </c>
      <c r="C198" t="s">
        <v>235</v>
      </c>
      <c r="D198" s="23">
        <v>-2154</v>
      </c>
      <c r="E198" t="s">
        <v>35</v>
      </c>
      <c r="F198" s="2">
        <v>212901001</v>
      </c>
      <c r="G198" s="2" t="s">
        <v>91</v>
      </c>
      <c r="I198" s="95" t="s">
        <v>7231</v>
      </c>
      <c r="J198" t="s">
        <v>61</v>
      </c>
      <c r="K198" t="s">
        <v>62</v>
      </c>
      <c r="M198">
        <v>53.85</v>
      </c>
      <c r="N198" s="4">
        <f t="shared" si="2"/>
        <v>-40</v>
      </c>
      <c r="O198" t="s">
        <v>83</v>
      </c>
    </row>
    <row r="199" spans="1:15" x14ac:dyDescent="0.25">
      <c r="A199" s="22">
        <v>45667</v>
      </c>
      <c r="B199" s="1">
        <v>16752936</v>
      </c>
      <c r="C199" t="s">
        <v>236</v>
      </c>
      <c r="D199" s="23">
        <v>-5385</v>
      </c>
      <c r="E199" t="s">
        <v>35</v>
      </c>
      <c r="F199" s="2">
        <v>212901001</v>
      </c>
      <c r="G199" s="2" t="s">
        <v>91</v>
      </c>
      <c r="I199" s="95" t="s">
        <v>7231</v>
      </c>
      <c r="J199" t="s">
        <v>61</v>
      </c>
      <c r="K199" t="s">
        <v>62</v>
      </c>
      <c r="M199">
        <v>53.85</v>
      </c>
      <c r="N199" s="4">
        <f t="shared" si="2"/>
        <v>-100</v>
      </c>
      <c r="O199" t="s">
        <v>83</v>
      </c>
    </row>
    <row r="200" spans="1:15" x14ac:dyDescent="0.25">
      <c r="A200" s="22">
        <v>45667</v>
      </c>
      <c r="B200" s="1">
        <v>116752938</v>
      </c>
      <c r="C200" t="s">
        <v>237</v>
      </c>
      <c r="D200" s="23">
        <v>-8077.5</v>
      </c>
      <c r="E200" t="s">
        <v>35</v>
      </c>
      <c r="F200" s="2">
        <v>212901001</v>
      </c>
      <c r="G200" s="2" t="s">
        <v>91</v>
      </c>
      <c r="I200" s="95" t="s">
        <v>7231</v>
      </c>
      <c r="J200" t="s">
        <v>61</v>
      </c>
      <c r="K200" t="s">
        <v>62</v>
      </c>
      <c r="M200">
        <v>53.85</v>
      </c>
      <c r="N200" s="4">
        <f t="shared" si="2"/>
        <v>-150</v>
      </c>
      <c r="O200" t="s">
        <v>83</v>
      </c>
    </row>
    <row r="201" spans="1:15" x14ac:dyDescent="0.25">
      <c r="A201" s="22">
        <v>45667</v>
      </c>
      <c r="B201" s="1">
        <v>116752940</v>
      </c>
      <c r="C201" t="s">
        <v>238</v>
      </c>
      <c r="D201" s="23">
        <v>-5923.5</v>
      </c>
      <c r="E201" t="s">
        <v>35</v>
      </c>
      <c r="F201" s="2">
        <v>212901001</v>
      </c>
      <c r="G201" s="2" t="s">
        <v>91</v>
      </c>
      <c r="I201" s="95" t="s">
        <v>7231</v>
      </c>
      <c r="J201" t="s">
        <v>61</v>
      </c>
      <c r="K201" t="s">
        <v>62</v>
      </c>
      <c r="M201">
        <v>53.85</v>
      </c>
      <c r="N201" s="4">
        <f t="shared" si="2"/>
        <v>-110</v>
      </c>
      <c r="O201" t="s">
        <v>83</v>
      </c>
    </row>
    <row r="202" spans="1:15" x14ac:dyDescent="0.25">
      <c r="A202" s="22">
        <v>45667</v>
      </c>
      <c r="B202" s="1">
        <v>116752942</v>
      </c>
      <c r="C202" t="s">
        <v>239</v>
      </c>
      <c r="D202" s="23">
        <v>-4308</v>
      </c>
      <c r="E202" t="s">
        <v>35</v>
      </c>
      <c r="F202" s="2">
        <v>212901001</v>
      </c>
      <c r="G202" s="2" t="s">
        <v>91</v>
      </c>
      <c r="I202" s="95" t="s">
        <v>7231</v>
      </c>
      <c r="J202" t="s">
        <v>61</v>
      </c>
      <c r="K202" t="s">
        <v>62</v>
      </c>
      <c r="M202">
        <v>53.85</v>
      </c>
      <c r="N202" s="4">
        <f t="shared" si="2"/>
        <v>-80</v>
      </c>
      <c r="O202" t="s">
        <v>83</v>
      </c>
    </row>
    <row r="203" spans="1:15" x14ac:dyDescent="0.25">
      <c r="A203" s="22">
        <v>45667</v>
      </c>
      <c r="B203" s="1">
        <v>116752944</v>
      </c>
      <c r="C203" t="s">
        <v>240</v>
      </c>
      <c r="D203" s="23">
        <v>-2100.15</v>
      </c>
      <c r="E203" t="s">
        <v>35</v>
      </c>
      <c r="F203" s="2">
        <v>212901001</v>
      </c>
      <c r="G203" s="2" t="s">
        <v>91</v>
      </c>
      <c r="I203" s="95" t="s">
        <v>7231</v>
      </c>
      <c r="J203" t="s">
        <v>61</v>
      </c>
      <c r="K203" t="s">
        <v>62</v>
      </c>
      <c r="M203">
        <v>53.85</v>
      </c>
      <c r="N203" s="4">
        <f t="shared" si="2"/>
        <v>-39</v>
      </c>
      <c r="O203" t="s">
        <v>83</v>
      </c>
    </row>
    <row r="204" spans="1:15" x14ac:dyDescent="0.25">
      <c r="A204" s="22">
        <v>45667</v>
      </c>
      <c r="B204" s="1">
        <v>116752937</v>
      </c>
      <c r="C204" t="s">
        <v>241</v>
      </c>
      <c r="D204" s="23">
        <v>-5385</v>
      </c>
      <c r="E204" t="s">
        <v>35</v>
      </c>
      <c r="F204" s="2">
        <v>212901001</v>
      </c>
      <c r="G204" s="2" t="s">
        <v>91</v>
      </c>
      <c r="I204" s="95" t="s">
        <v>7231</v>
      </c>
      <c r="J204" t="s">
        <v>61</v>
      </c>
      <c r="K204" t="s">
        <v>62</v>
      </c>
      <c r="M204">
        <v>53.85</v>
      </c>
      <c r="N204" s="4">
        <f t="shared" ref="N204:N267" si="3">D204/M204</f>
        <v>-100</v>
      </c>
      <c r="O204" t="s">
        <v>83</v>
      </c>
    </row>
    <row r="205" spans="1:15" x14ac:dyDescent="0.25">
      <c r="A205" s="22">
        <v>45667</v>
      </c>
      <c r="B205" s="1">
        <v>116752939</v>
      </c>
      <c r="C205" t="s">
        <v>242</v>
      </c>
      <c r="D205" s="23">
        <v>-1615.5</v>
      </c>
      <c r="E205" t="s">
        <v>35</v>
      </c>
      <c r="F205" s="2">
        <v>212901001</v>
      </c>
      <c r="G205" s="2" t="s">
        <v>91</v>
      </c>
      <c r="I205" s="95" t="s">
        <v>7231</v>
      </c>
      <c r="J205" t="s">
        <v>61</v>
      </c>
      <c r="K205" t="s">
        <v>62</v>
      </c>
      <c r="M205">
        <v>53.85</v>
      </c>
      <c r="N205" s="4">
        <f t="shared" si="3"/>
        <v>-30</v>
      </c>
      <c r="O205" t="s">
        <v>83</v>
      </c>
    </row>
    <row r="206" spans="1:15" x14ac:dyDescent="0.25">
      <c r="A206" s="22">
        <v>45667</v>
      </c>
      <c r="B206" s="1">
        <v>116752946</v>
      </c>
      <c r="C206" t="s">
        <v>243</v>
      </c>
      <c r="D206" s="23">
        <v>-3769.5</v>
      </c>
      <c r="E206" t="s">
        <v>35</v>
      </c>
      <c r="F206" s="2">
        <v>212901001</v>
      </c>
      <c r="G206" s="2" t="s">
        <v>91</v>
      </c>
      <c r="I206" s="95" t="s">
        <v>7231</v>
      </c>
      <c r="J206" t="s">
        <v>61</v>
      </c>
      <c r="K206" t="s">
        <v>62</v>
      </c>
      <c r="M206">
        <v>53.85</v>
      </c>
      <c r="N206" s="4">
        <f t="shared" si="3"/>
        <v>-70</v>
      </c>
      <c r="O206" t="s">
        <v>83</v>
      </c>
    </row>
    <row r="207" spans="1:15" x14ac:dyDescent="0.25">
      <c r="A207" s="22">
        <v>45667</v>
      </c>
      <c r="B207" s="1">
        <v>116752943</v>
      </c>
      <c r="C207" t="s">
        <v>244</v>
      </c>
      <c r="D207" s="23">
        <v>-5385</v>
      </c>
      <c r="E207" t="s">
        <v>35</v>
      </c>
      <c r="F207" s="2">
        <v>212901001</v>
      </c>
      <c r="G207" s="2" t="s">
        <v>91</v>
      </c>
      <c r="I207" s="95" t="s">
        <v>7231</v>
      </c>
      <c r="J207" t="s">
        <v>61</v>
      </c>
      <c r="K207" t="s">
        <v>62</v>
      </c>
      <c r="M207">
        <v>53.85</v>
      </c>
      <c r="N207" s="4">
        <f t="shared" si="3"/>
        <v>-100</v>
      </c>
      <c r="O207" t="s">
        <v>83</v>
      </c>
    </row>
    <row r="208" spans="1:15" x14ac:dyDescent="0.25">
      <c r="A208" s="22">
        <v>45667</v>
      </c>
      <c r="B208" s="1">
        <v>116752945</v>
      </c>
      <c r="C208" t="s">
        <v>245</v>
      </c>
      <c r="D208" s="23">
        <v>-3769.5</v>
      </c>
      <c r="E208" t="s">
        <v>35</v>
      </c>
      <c r="F208" s="2">
        <v>212901001</v>
      </c>
      <c r="G208" s="2" t="s">
        <v>91</v>
      </c>
      <c r="I208" s="95" t="s">
        <v>7231</v>
      </c>
      <c r="J208" t="s">
        <v>61</v>
      </c>
      <c r="K208" t="s">
        <v>62</v>
      </c>
      <c r="M208">
        <v>53.85</v>
      </c>
      <c r="N208" s="4">
        <f t="shared" si="3"/>
        <v>-70</v>
      </c>
      <c r="O208" t="s">
        <v>83</v>
      </c>
    </row>
    <row r="209" spans="1:15" x14ac:dyDescent="0.25">
      <c r="A209" s="22">
        <v>45667</v>
      </c>
      <c r="B209" s="1">
        <v>216752950</v>
      </c>
      <c r="C209" t="s">
        <v>246</v>
      </c>
      <c r="D209" s="23">
        <v>-1830.9</v>
      </c>
      <c r="E209" t="s">
        <v>35</v>
      </c>
      <c r="F209" s="2">
        <v>212901001</v>
      </c>
      <c r="G209" s="2" t="s">
        <v>91</v>
      </c>
      <c r="I209" s="95" t="s">
        <v>7231</v>
      </c>
      <c r="J209" t="s">
        <v>61</v>
      </c>
      <c r="K209" t="s">
        <v>62</v>
      </c>
      <c r="M209">
        <v>53.85</v>
      </c>
      <c r="N209" s="4">
        <f t="shared" si="3"/>
        <v>-34</v>
      </c>
      <c r="O209" t="s">
        <v>83</v>
      </c>
    </row>
    <row r="210" spans="1:15" x14ac:dyDescent="0.25">
      <c r="A210" s="22">
        <v>45667</v>
      </c>
      <c r="B210" s="1">
        <v>116752947</v>
      </c>
      <c r="C210" t="s">
        <v>247</v>
      </c>
      <c r="D210" s="23">
        <v>-3177.15</v>
      </c>
      <c r="E210" t="s">
        <v>35</v>
      </c>
      <c r="F210" s="2">
        <v>212901001</v>
      </c>
      <c r="G210" s="2" t="s">
        <v>91</v>
      </c>
      <c r="I210" s="95" t="s">
        <v>7231</v>
      </c>
      <c r="J210" t="s">
        <v>61</v>
      </c>
      <c r="K210" t="s">
        <v>62</v>
      </c>
      <c r="M210">
        <v>53.85</v>
      </c>
      <c r="N210" s="4">
        <f t="shared" si="3"/>
        <v>-59</v>
      </c>
      <c r="O210" t="s">
        <v>83</v>
      </c>
    </row>
    <row r="211" spans="1:15" x14ac:dyDescent="0.25">
      <c r="A211" s="22">
        <v>45667</v>
      </c>
      <c r="B211" s="1">
        <v>216752948</v>
      </c>
      <c r="C211" t="s">
        <v>248</v>
      </c>
      <c r="D211" s="23">
        <v>-2692.5</v>
      </c>
      <c r="E211" t="s">
        <v>35</v>
      </c>
      <c r="F211" s="2">
        <v>212901001</v>
      </c>
      <c r="G211" s="2" t="s">
        <v>91</v>
      </c>
      <c r="I211" s="95" t="s">
        <v>7231</v>
      </c>
      <c r="J211" t="s">
        <v>61</v>
      </c>
      <c r="K211" t="s">
        <v>62</v>
      </c>
      <c r="M211">
        <v>53.85</v>
      </c>
      <c r="N211" s="4">
        <f t="shared" si="3"/>
        <v>-50</v>
      </c>
      <c r="O211" t="s">
        <v>83</v>
      </c>
    </row>
    <row r="212" spans="1:15" x14ac:dyDescent="0.25">
      <c r="A212" s="22">
        <v>45667</v>
      </c>
      <c r="B212" s="1">
        <v>216752951</v>
      </c>
      <c r="C212" t="s">
        <v>249</v>
      </c>
      <c r="D212" s="23">
        <v>-2692.5</v>
      </c>
      <c r="E212" t="s">
        <v>35</v>
      </c>
      <c r="F212" s="2">
        <v>212901001</v>
      </c>
      <c r="G212" s="2" t="s">
        <v>91</v>
      </c>
      <c r="I212" s="95" t="s">
        <v>7231</v>
      </c>
      <c r="J212" t="s">
        <v>61</v>
      </c>
      <c r="K212" t="s">
        <v>62</v>
      </c>
      <c r="M212">
        <v>53.85</v>
      </c>
      <c r="N212" s="4">
        <f t="shared" si="3"/>
        <v>-50</v>
      </c>
      <c r="O212" t="s">
        <v>83</v>
      </c>
    </row>
    <row r="213" spans="1:15" x14ac:dyDescent="0.25">
      <c r="A213" s="22">
        <v>45667</v>
      </c>
      <c r="B213" s="1">
        <v>216752953</v>
      </c>
      <c r="C213" t="s">
        <v>250</v>
      </c>
      <c r="D213" s="23">
        <v>-2692.5</v>
      </c>
      <c r="E213" t="s">
        <v>35</v>
      </c>
      <c r="F213" s="2">
        <v>212901001</v>
      </c>
      <c r="G213" s="2" t="s">
        <v>91</v>
      </c>
      <c r="I213" s="95" t="s">
        <v>7231</v>
      </c>
      <c r="J213" t="s">
        <v>61</v>
      </c>
      <c r="K213" t="s">
        <v>62</v>
      </c>
      <c r="M213">
        <v>53.85</v>
      </c>
      <c r="N213" s="4">
        <f t="shared" si="3"/>
        <v>-50</v>
      </c>
      <c r="O213" t="s">
        <v>83</v>
      </c>
    </row>
    <row r="214" spans="1:15" x14ac:dyDescent="0.25">
      <c r="A214" s="22">
        <v>45667</v>
      </c>
      <c r="B214" s="1">
        <v>216752949</v>
      </c>
      <c r="C214" t="s">
        <v>251</v>
      </c>
      <c r="D214" s="23">
        <v>-2692.5</v>
      </c>
      <c r="E214" t="s">
        <v>35</v>
      </c>
      <c r="F214" s="2">
        <v>212901001</v>
      </c>
      <c r="G214" s="2" t="s">
        <v>91</v>
      </c>
      <c r="I214" s="95" t="s">
        <v>7231</v>
      </c>
      <c r="J214" t="s">
        <v>61</v>
      </c>
      <c r="K214" t="s">
        <v>62</v>
      </c>
      <c r="M214">
        <v>53.85</v>
      </c>
      <c r="N214" s="4">
        <f t="shared" si="3"/>
        <v>-50</v>
      </c>
      <c r="O214" t="s">
        <v>83</v>
      </c>
    </row>
    <row r="215" spans="1:15" x14ac:dyDescent="0.25">
      <c r="A215" s="22">
        <v>45667</v>
      </c>
      <c r="B215" s="1">
        <v>316752959</v>
      </c>
      <c r="C215" t="s">
        <v>252</v>
      </c>
      <c r="D215" s="23">
        <v>-2692.5</v>
      </c>
      <c r="E215" t="s">
        <v>35</v>
      </c>
      <c r="F215" s="2">
        <v>212901001</v>
      </c>
      <c r="G215" s="2" t="s">
        <v>91</v>
      </c>
      <c r="I215" s="95" t="s">
        <v>7231</v>
      </c>
      <c r="J215" t="s">
        <v>61</v>
      </c>
      <c r="K215" t="s">
        <v>62</v>
      </c>
      <c r="M215">
        <v>53.85</v>
      </c>
      <c r="N215" s="4">
        <f t="shared" si="3"/>
        <v>-50</v>
      </c>
      <c r="O215" t="s">
        <v>83</v>
      </c>
    </row>
    <row r="216" spans="1:15" x14ac:dyDescent="0.25">
      <c r="A216" s="22">
        <v>45667</v>
      </c>
      <c r="B216" s="1">
        <v>216752955</v>
      </c>
      <c r="C216" t="s">
        <v>249</v>
      </c>
      <c r="D216" s="23">
        <v>-2692.5</v>
      </c>
      <c r="E216" t="s">
        <v>35</v>
      </c>
      <c r="F216" s="2">
        <v>212901001</v>
      </c>
      <c r="G216" s="2" t="s">
        <v>91</v>
      </c>
      <c r="I216" s="95" t="s">
        <v>7231</v>
      </c>
      <c r="J216" t="s">
        <v>61</v>
      </c>
      <c r="K216" t="s">
        <v>62</v>
      </c>
      <c r="M216">
        <v>53.85</v>
      </c>
      <c r="N216" s="4">
        <f t="shared" si="3"/>
        <v>-50</v>
      </c>
      <c r="O216" t="s">
        <v>83</v>
      </c>
    </row>
    <row r="217" spans="1:15" x14ac:dyDescent="0.25">
      <c r="A217" s="22">
        <v>45667</v>
      </c>
      <c r="B217" s="1">
        <v>216752952</v>
      </c>
      <c r="C217" t="s">
        <v>253</v>
      </c>
      <c r="D217" s="23">
        <v>-2692.5</v>
      </c>
      <c r="E217" t="s">
        <v>35</v>
      </c>
      <c r="F217" s="2">
        <v>212901001</v>
      </c>
      <c r="G217" s="2" t="s">
        <v>91</v>
      </c>
      <c r="I217" s="95" t="s">
        <v>7231</v>
      </c>
      <c r="J217" t="s">
        <v>61</v>
      </c>
      <c r="K217" t="s">
        <v>62</v>
      </c>
      <c r="M217">
        <v>53.85</v>
      </c>
      <c r="N217" s="4">
        <f t="shared" si="3"/>
        <v>-50</v>
      </c>
      <c r="O217" t="s">
        <v>83</v>
      </c>
    </row>
    <row r="218" spans="1:15" x14ac:dyDescent="0.25">
      <c r="A218" s="22">
        <v>45667</v>
      </c>
      <c r="B218" s="1">
        <v>216752956</v>
      </c>
      <c r="C218" t="s">
        <v>254</v>
      </c>
      <c r="D218" s="23">
        <v>-2692.5</v>
      </c>
      <c r="E218" t="s">
        <v>35</v>
      </c>
      <c r="F218" s="2">
        <v>212901001</v>
      </c>
      <c r="G218" s="2" t="s">
        <v>91</v>
      </c>
      <c r="I218" s="95" t="s">
        <v>7231</v>
      </c>
      <c r="J218" t="s">
        <v>61</v>
      </c>
      <c r="K218" t="s">
        <v>62</v>
      </c>
      <c r="M218">
        <v>53.85</v>
      </c>
      <c r="N218" s="4">
        <f t="shared" si="3"/>
        <v>-50</v>
      </c>
      <c r="O218" t="s">
        <v>83</v>
      </c>
    </row>
    <row r="219" spans="1:15" x14ac:dyDescent="0.25">
      <c r="A219" s="22">
        <v>45667</v>
      </c>
      <c r="B219" s="1">
        <v>216752954</v>
      </c>
      <c r="C219" t="s">
        <v>255</v>
      </c>
      <c r="D219" s="23">
        <v>-2692.5</v>
      </c>
      <c r="E219" t="s">
        <v>35</v>
      </c>
      <c r="F219" s="2">
        <v>212901001</v>
      </c>
      <c r="G219" s="2" t="s">
        <v>91</v>
      </c>
      <c r="I219" s="95" t="s">
        <v>7231</v>
      </c>
      <c r="J219" t="s">
        <v>61</v>
      </c>
      <c r="K219" t="s">
        <v>62</v>
      </c>
      <c r="M219">
        <v>53.85</v>
      </c>
      <c r="N219" s="4">
        <f t="shared" si="3"/>
        <v>-50</v>
      </c>
      <c r="O219" t="s">
        <v>83</v>
      </c>
    </row>
    <row r="220" spans="1:15" x14ac:dyDescent="0.25">
      <c r="A220" s="22">
        <v>45667</v>
      </c>
      <c r="B220" s="1">
        <v>316752958</v>
      </c>
      <c r="C220" t="s">
        <v>256</v>
      </c>
      <c r="D220" s="23">
        <v>-2692.5</v>
      </c>
      <c r="E220" t="s">
        <v>35</v>
      </c>
      <c r="F220" s="2">
        <v>212901001</v>
      </c>
      <c r="G220" s="2" t="s">
        <v>91</v>
      </c>
      <c r="I220" s="95" t="s">
        <v>7231</v>
      </c>
      <c r="J220" t="s">
        <v>61</v>
      </c>
      <c r="K220" t="s">
        <v>62</v>
      </c>
      <c r="M220">
        <v>53.85</v>
      </c>
      <c r="N220" s="4">
        <f t="shared" si="3"/>
        <v>-50</v>
      </c>
      <c r="O220" t="s">
        <v>83</v>
      </c>
    </row>
    <row r="221" spans="1:15" x14ac:dyDescent="0.25">
      <c r="A221" s="22">
        <v>45667</v>
      </c>
      <c r="B221" s="1">
        <v>216752957</v>
      </c>
      <c r="C221" t="s">
        <v>257</v>
      </c>
      <c r="D221" s="23">
        <v>-2692.5</v>
      </c>
      <c r="E221" t="s">
        <v>35</v>
      </c>
      <c r="F221" s="2">
        <v>212901001</v>
      </c>
      <c r="G221" s="2" t="s">
        <v>91</v>
      </c>
      <c r="I221" s="95" t="s">
        <v>7231</v>
      </c>
      <c r="J221" t="s">
        <v>61</v>
      </c>
      <c r="K221" t="s">
        <v>62</v>
      </c>
      <c r="M221">
        <v>53.85</v>
      </c>
      <c r="N221" s="4">
        <f t="shared" si="3"/>
        <v>-50</v>
      </c>
      <c r="O221" t="s">
        <v>83</v>
      </c>
    </row>
    <row r="222" spans="1:15" x14ac:dyDescent="0.25">
      <c r="A222" s="22">
        <v>45667</v>
      </c>
      <c r="B222" s="1">
        <v>316752960</v>
      </c>
      <c r="C222" t="s">
        <v>258</v>
      </c>
      <c r="D222" s="23">
        <v>-2692.5</v>
      </c>
      <c r="E222" t="s">
        <v>35</v>
      </c>
      <c r="F222" s="2">
        <v>212901001</v>
      </c>
      <c r="G222" s="2" t="s">
        <v>91</v>
      </c>
      <c r="I222" s="95" t="s">
        <v>7231</v>
      </c>
      <c r="J222" t="s">
        <v>61</v>
      </c>
      <c r="K222" t="s">
        <v>62</v>
      </c>
      <c r="M222">
        <v>53.85</v>
      </c>
      <c r="N222" s="4">
        <f t="shared" si="3"/>
        <v>-50</v>
      </c>
      <c r="O222" t="s">
        <v>83</v>
      </c>
    </row>
    <row r="223" spans="1:15" x14ac:dyDescent="0.25">
      <c r="A223" s="22">
        <v>45667</v>
      </c>
      <c r="B223" s="1">
        <v>316752963</v>
      </c>
      <c r="C223" t="s">
        <v>259</v>
      </c>
      <c r="D223" s="23">
        <v>-1077</v>
      </c>
      <c r="E223" t="s">
        <v>35</v>
      </c>
      <c r="F223" s="2">
        <v>212901001</v>
      </c>
      <c r="G223" s="2" t="s">
        <v>91</v>
      </c>
      <c r="I223" s="95" t="s">
        <v>7231</v>
      </c>
      <c r="J223" t="s">
        <v>61</v>
      </c>
      <c r="K223" t="s">
        <v>62</v>
      </c>
      <c r="M223">
        <v>53.85</v>
      </c>
      <c r="N223" s="4">
        <f t="shared" si="3"/>
        <v>-20</v>
      </c>
      <c r="O223" t="s">
        <v>83</v>
      </c>
    </row>
    <row r="224" spans="1:15" x14ac:dyDescent="0.25">
      <c r="A224" s="22">
        <v>45667</v>
      </c>
      <c r="B224" s="1">
        <v>316752965</v>
      </c>
      <c r="C224" t="s">
        <v>260</v>
      </c>
      <c r="D224" s="23">
        <v>-1077</v>
      </c>
      <c r="E224" t="s">
        <v>35</v>
      </c>
      <c r="F224" s="2">
        <v>212901001</v>
      </c>
      <c r="G224" s="2" t="s">
        <v>91</v>
      </c>
      <c r="I224" s="95" t="s">
        <v>7231</v>
      </c>
      <c r="J224" t="s">
        <v>61</v>
      </c>
      <c r="K224" t="s">
        <v>62</v>
      </c>
      <c r="M224">
        <v>53.85</v>
      </c>
      <c r="N224" s="4">
        <f t="shared" si="3"/>
        <v>-20</v>
      </c>
      <c r="O224" t="s">
        <v>83</v>
      </c>
    </row>
    <row r="225" spans="1:17" x14ac:dyDescent="0.25">
      <c r="A225" s="22">
        <v>45667</v>
      </c>
      <c r="B225" s="1">
        <v>316752964</v>
      </c>
      <c r="C225" t="s">
        <v>261</v>
      </c>
      <c r="D225" s="23">
        <v>-1077</v>
      </c>
      <c r="E225" t="s">
        <v>35</v>
      </c>
      <c r="F225" s="2">
        <v>212901001</v>
      </c>
      <c r="G225" s="2" t="s">
        <v>91</v>
      </c>
      <c r="I225" s="95" t="s">
        <v>7231</v>
      </c>
      <c r="J225" t="s">
        <v>61</v>
      </c>
      <c r="K225" t="s">
        <v>62</v>
      </c>
      <c r="M225">
        <v>53.85</v>
      </c>
      <c r="N225" s="4">
        <f t="shared" si="3"/>
        <v>-20</v>
      </c>
      <c r="O225" t="s">
        <v>83</v>
      </c>
    </row>
    <row r="226" spans="1:17" x14ac:dyDescent="0.25">
      <c r="A226" s="22">
        <v>45667</v>
      </c>
      <c r="B226" s="1">
        <v>316752961</v>
      </c>
      <c r="C226" t="s">
        <v>262</v>
      </c>
      <c r="D226" s="23">
        <v>-2692.5</v>
      </c>
      <c r="E226" t="s">
        <v>35</v>
      </c>
      <c r="F226" s="2">
        <v>212901001</v>
      </c>
      <c r="G226" s="2" t="s">
        <v>91</v>
      </c>
      <c r="I226" s="95" t="s">
        <v>7231</v>
      </c>
      <c r="J226" t="s">
        <v>61</v>
      </c>
      <c r="K226" t="s">
        <v>62</v>
      </c>
      <c r="M226">
        <v>53.85</v>
      </c>
      <c r="N226" s="4">
        <f t="shared" si="3"/>
        <v>-50</v>
      </c>
      <c r="O226" t="s">
        <v>83</v>
      </c>
    </row>
    <row r="227" spans="1:17" x14ac:dyDescent="0.25">
      <c r="A227" s="22">
        <v>45667</v>
      </c>
      <c r="B227" s="1">
        <v>316752966</v>
      </c>
      <c r="C227" t="s">
        <v>263</v>
      </c>
      <c r="D227" s="23">
        <v>-1077</v>
      </c>
      <c r="E227" t="s">
        <v>35</v>
      </c>
      <c r="F227" s="2">
        <v>212901001</v>
      </c>
      <c r="G227" s="2" t="s">
        <v>91</v>
      </c>
      <c r="I227" s="95" t="s">
        <v>7231</v>
      </c>
      <c r="J227" t="s">
        <v>61</v>
      </c>
      <c r="K227" t="s">
        <v>62</v>
      </c>
      <c r="M227">
        <v>53.85</v>
      </c>
      <c r="N227" s="4">
        <f t="shared" si="3"/>
        <v>-20</v>
      </c>
      <c r="O227" t="s">
        <v>83</v>
      </c>
    </row>
    <row r="228" spans="1:17" x14ac:dyDescent="0.25">
      <c r="A228" s="22">
        <v>45667</v>
      </c>
      <c r="B228" s="1">
        <v>316752968</v>
      </c>
      <c r="C228" t="s">
        <v>264</v>
      </c>
      <c r="D228" s="23">
        <v>-5385</v>
      </c>
      <c r="E228" t="s">
        <v>35</v>
      </c>
      <c r="F228" s="2">
        <v>212901001</v>
      </c>
      <c r="G228" s="2" t="s">
        <v>91</v>
      </c>
      <c r="I228" s="95" t="s">
        <v>7231</v>
      </c>
      <c r="J228" t="s">
        <v>61</v>
      </c>
      <c r="K228" t="s">
        <v>62</v>
      </c>
      <c r="M228">
        <v>53.85</v>
      </c>
      <c r="N228" s="4">
        <f t="shared" si="3"/>
        <v>-100</v>
      </c>
      <c r="O228" t="s">
        <v>83</v>
      </c>
    </row>
    <row r="229" spans="1:17" x14ac:dyDescent="0.25">
      <c r="A229" s="22">
        <v>45667</v>
      </c>
      <c r="B229" s="1">
        <v>316752969</v>
      </c>
      <c r="C229" t="s">
        <v>265</v>
      </c>
      <c r="D229" s="23">
        <v>-10770</v>
      </c>
      <c r="E229" t="s">
        <v>35</v>
      </c>
      <c r="F229" s="2">
        <v>212901001</v>
      </c>
      <c r="G229" s="2" t="s">
        <v>91</v>
      </c>
      <c r="I229" s="95" t="s">
        <v>7231</v>
      </c>
      <c r="J229" t="s">
        <v>61</v>
      </c>
      <c r="K229" t="s">
        <v>62</v>
      </c>
      <c r="M229">
        <v>53.85</v>
      </c>
      <c r="N229" s="4">
        <f t="shared" si="3"/>
        <v>-200</v>
      </c>
      <c r="O229" t="s">
        <v>83</v>
      </c>
    </row>
    <row r="230" spans="1:17" x14ac:dyDescent="0.25">
      <c r="A230" s="22">
        <v>45667</v>
      </c>
      <c r="B230" s="1">
        <v>316752962</v>
      </c>
      <c r="C230" t="s">
        <v>266</v>
      </c>
      <c r="D230" s="23">
        <v>-2692.5</v>
      </c>
      <c r="E230" t="s">
        <v>35</v>
      </c>
      <c r="F230" s="2">
        <v>212901001</v>
      </c>
      <c r="G230" s="2" t="s">
        <v>91</v>
      </c>
      <c r="I230" s="95" t="s">
        <v>7231</v>
      </c>
      <c r="J230" t="s">
        <v>61</v>
      </c>
      <c r="K230" t="s">
        <v>62</v>
      </c>
      <c r="M230">
        <v>53.85</v>
      </c>
      <c r="N230" s="4">
        <f t="shared" si="3"/>
        <v>-50</v>
      </c>
      <c r="O230" t="s">
        <v>83</v>
      </c>
    </row>
    <row r="231" spans="1:17" x14ac:dyDescent="0.25">
      <c r="A231" s="22">
        <v>45667</v>
      </c>
      <c r="B231" s="1">
        <v>416752970</v>
      </c>
      <c r="C231" t="s">
        <v>267</v>
      </c>
      <c r="D231" s="23">
        <v>-6569.7</v>
      </c>
      <c r="E231" t="s">
        <v>35</v>
      </c>
      <c r="F231" s="2">
        <v>212901001</v>
      </c>
      <c r="G231" s="2" t="s">
        <v>91</v>
      </c>
      <c r="I231" s="95" t="s">
        <v>7231</v>
      </c>
      <c r="J231" t="s">
        <v>61</v>
      </c>
      <c r="K231" t="s">
        <v>62</v>
      </c>
      <c r="M231">
        <v>53.85</v>
      </c>
      <c r="N231" s="4">
        <f t="shared" si="3"/>
        <v>-122</v>
      </c>
      <c r="O231" t="s">
        <v>83</v>
      </c>
    </row>
    <row r="232" spans="1:17" x14ac:dyDescent="0.25">
      <c r="A232" s="22">
        <v>45667</v>
      </c>
      <c r="B232" s="1">
        <v>416752971</v>
      </c>
      <c r="C232" t="s">
        <v>268</v>
      </c>
      <c r="D232" s="23">
        <v>-1615.5</v>
      </c>
      <c r="E232" t="s">
        <v>35</v>
      </c>
      <c r="F232" s="2">
        <v>212901001</v>
      </c>
      <c r="G232" s="2" t="s">
        <v>91</v>
      </c>
      <c r="I232" s="95" t="s">
        <v>7231</v>
      </c>
      <c r="J232" t="s">
        <v>61</v>
      </c>
      <c r="K232" t="s">
        <v>62</v>
      </c>
      <c r="M232">
        <v>53.85</v>
      </c>
      <c r="N232" s="4">
        <f t="shared" si="3"/>
        <v>-30</v>
      </c>
      <c r="O232" t="s">
        <v>83</v>
      </c>
    </row>
    <row r="233" spans="1:17" x14ac:dyDescent="0.25">
      <c r="A233" s="22">
        <v>45667</v>
      </c>
      <c r="B233" s="1">
        <v>416752972</v>
      </c>
      <c r="C233" t="s">
        <v>269</v>
      </c>
      <c r="D233" s="23">
        <v>-2154</v>
      </c>
      <c r="E233" t="s">
        <v>35</v>
      </c>
      <c r="F233" s="2">
        <v>212901001</v>
      </c>
      <c r="G233" s="2" t="s">
        <v>91</v>
      </c>
      <c r="I233" s="95" t="s">
        <v>7231</v>
      </c>
      <c r="J233" t="s">
        <v>61</v>
      </c>
      <c r="K233" t="s">
        <v>62</v>
      </c>
      <c r="M233">
        <v>53.85</v>
      </c>
      <c r="N233" s="4">
        <f t="shared" si="3"/>
        <v>-40</v>
      </c>
      <c r="O233" t="s">
        <v>83</v>
      </c>
    </row>
    <row r="234" spans="1:17" x14ac:dyDescent="0.25">
      <c r="A234" s="22">
        <v>45667</v>
      </c>
      <c r="B234" s="1">
        <v>50145739</v>
      </c>
      <c r="C234" t="s">
        <v>270</v>
      </c>
      <c r="D234" s="23">
        <v>-7539</v>
      </c>
      <c r="E234" t="s">
        <v>35</v>
      </c>
      <c r="F234" s="2">
        <v>212901001</v>
      </c>
      <c r="G234" s="2" t="s">
        <v>91</v>
      </c>
      <c r="I234" s="95" t="s">
        <v>7231</v>
      </c>
      <c r="J234" t="s">
        <v>61</v>
      </c>
      <c r="K234" t="s">
        <v>62</v>
      </c>
      <c r="M234">
        <v>53.85</v>
      </c>
      <c r="N234" s="4">
        <f t="shared" si="3"/>
        <v>-140</v>
      </c>
      <c r="O234" t="s">
        <v>83</v>
      </c>
    </row>
    <row r="235" spans="1:17" x14ac:dyDescent="0.25">
      <c r="A235" s="22">
        <v>45667</v>
      </c>
      <c r="B235" s="1">
        <v>50145739</v>
      </c>
      <c r="C235" t="s">
        <v>179</v>
      </c>
      <c r="D235" s="23">
        <v>-11.3</v>
      </c>
      <c r="E235" t="s">
        <v>35</v>
      </c>
      <c r="F235" s="2">
        <v>610148001</v>
      </c>
      <c r="G235" s="2" t="s">
        <v>41</v>
      </c>
      <c r="I235" s="95" t="s">
        <v>7231</v>
      </c>
      <c r="J235" t="s">
        <v>42</v>
      </c>
      <c r="K235" t="s">
        <v>41</v>
      </c>
      <c r="M235">
        <v>53.85</v>
      </c>
      <c r="N235" s="4">
        <f t="shared" si="3"/>
        <v>-0.20984215413184773</v>
      </c>
      <c r="O235" t="s">
        <v>83</v>
      </c>
      <c r="Q235" s="24" t="s">
        <v>43</v>
      </c>
    </row>
    <row r="236" spans="1:17" x14ac:dyDescent="0.25">
      <c r="A236" s="22">
        <v>45667</v>
      </c>
      <c r="B236" s="1">
        <v>50145739</v>
      </c>
      <c r="C236" t="s">
        <v>89</v>
      </c>
      <c r="D236" s="23">
        <v>-602.58000000000004</v>
      </c>
      <c r="E236" t="s">
        <v>35</v>
      </c>
      <c r="F236" s="2">
        <v>610148001</v>
      </c>
      <c r="G236" s="2" t="s">
        <v>41</v>
      </c>
      <c r="I236" s="95" t="s">
        <v>7231</v>
      </c>
      <c r="J236" t="s">
        <v>42</v>
      </c>
      <c r="K236" t="s">
        <v>41</v>
      </c>
      <c r="M236">
        <v>53.85</v>
      </c>
      <c r="N236" s="4">
        <f t="shared" si="3"/>
        <v>-11.189972144846797</v>
      </c>
      <c r="O236" t="s">
        <v>83</v>
      </c>
      <c r="Q236" s="24" t="s">
        <v>43</v>
      </c>
    </row>
    <row r="237" spans="1:17" x14ac:dyDescent="0.25">
      <c r="A237" s="22">
        <v>45667</v>
      </c>
      <c r="B237" s="1">
        <v>100050818</v>
      </c>
      <c r="C237" t="s">
        <v>82</v>
      </c>
      <c r="D237" s="23">
        <v>30000</v>
      </c>
      <c r="E237" t="s">
        <v>45</v>
      </c>
      <c r="F237" s="2">
        <v>210115002</v>
      </c>
      <c r="G237" s="2" t="s">
        <v>46</v>
      </c>
      <c r="I237" s="95" t="s">
        <v>7231</v>
      </c>
      <c r="K237" t="s">
        <v>82</v>
      </c>
      <c r="M237">
        <v>53.85</v>
      </c>
      <c r="N237" s="4">
        <f t="shared" si="3"/>
        <v>557.10306406685231</v>
      </c>
      <c r="O237" t="s">
        <v>83</v>
      </c>
    </row>
    <row r="238" spans="1:17" x14ac:dyDescent="0.25">
      <c r="A238" s="22">
        <v>45667</v>
      </c>
      <c r="B238" s="1">
        <v>0</v>
      </c>
      <c r="C238" t="s">
        <v>92</v>
      </c>
      <c r="D238" s="23">
        <v>-53.28</v>
      </c>
      <c r="E238" t="s">
        <v>35</v>
      </c>
      <c r="F238" s="2">
        <v>610148001</v>
      </c>
      <c r="G238" s="2" t="s">
        <v>41</v>
      </c>
      <c r="I238" s="95" t="s">
        <v>7231</v>
      </c>
      <c r="J238" t="s">
        <v>42</v>
      </c>
      <c r="K238" t="s">
        <v>41</v>
      </c>
      <c r="M238">
        <v>53.85</v>
      </c>
      <c r="N238" s="4">
        <f t="shared" si="3"/>
        <v>-0.98941504178272976</v>
      </c>
      <c r="O238" t="s">
        <v>83</v>
      </c>
      <c r="Q238" s="24" t="s">
        <v>43</v>
      </c>
    </row>
    <row r="239" spans="1:17" x14ac:dyDescent="0.25">
      <c r="A239" s="22">
        <v>45667</v>
      </c>
      <c r="B239" s="1">
        <v>30449</v>
      </c>
      <c r="C239" t="s">
        <v>271</v>
      </c>
      <c r="D239" s="23">
        <v>-28866.04</v>
      </c>
      <c r="E239" t="s">
        <v>35</v>
      </c>
      <c r="F239" s="2">
        <v>210601001</v>
      </c>
      <c r="G239" s="2" t="s">
        <v>272</v>
      </c>
      <c r="I239" s="95" t="s">
        <v>7231</v>
      </c>
      <c r="J239" t="s">
        <v>273</v>
      </c>
      <c r="K239" t="s">
        <v>274</v>
      </c>
      <c r="M239">
        <v>53.85</v>
      </c>
      <c r="N239" s="4">
        <f t="shared" si="3"/>
        <v>-536.0453110492108</v>
      </c>
      <c r="O239" t="s">
        <v>83</v>
      </c>
      <c r="Q239" s="32" t="s">
        <v>275</v>
      </c>
    </row>
    <row r="240" spans="1:17" x14ac:dyDescent="0.25">
      <c r="A240" s="22">
        <v>45667</v>
      </c>
      <c r="B240" s="1">
        <v>103253090</v>
      </c>
      <c r="C240" t="s">
        <v>82</v>
      </c>
      <c r="D240" s="23">
        <v>270000</v>
      </c>
      <c r="E240" t="s">
        <v>45</v>
      </c>
      <c r="F240" s="2">
        <v>210115002</v>
      </c>
      <c r="G240" s="2" t="s">
        <v>46</v>
      </c>
      <c r="I240" s="95" t="s">
        <v>7231</v>
      </c>
      <c r="K240" t="s">
        <v>82</v>
      </c>
      <c r="M240">
        <v>53.85</v>
      </c>
      <c r="N240" s="4">
        <f t="shared" si="3"/>
        <v>5013.9275766016708</v>
      </c>
      <c r="O240" t="s">
        <v>83</v>
      </c>
    </row>
    <row r="241" spans="1:17" x14ac:dyDescent="0.25">
      <c r="A241" s="22">
        <v>45667</v>
      </c>
      <c r="B241" s="1">
        <v>16755162</v>
      </c>
      <c r="C241" t="s">
        <v>276</v>
      </c>
      <c r="D241" s="23">
        <v>-8436</v>
      </c>
      <c r="E241" t="s">
        <v>35</v>
      </c>
      <c r="F241" s="2">
        <v>210101001</v>
      </c>
      <c r="G241" s="2" t="s">
        <v>36</v>
      </c>
      <c r="I241" s="95" t="s">
        <v>7231</v>
      </c>
      <c r="J241" t="s">
        <v>86</v>
      </c>
      <c r="K241" t="s">
        <v>87</v>
      </c>
      <c r="M241">
        <v>53.85</v>
      </c>
      <c r="N241" s="4">
        <f t="shared" si="3"/>
        <v>-156.65738161559889</v>
      </c>
      <c r="O241" t="s">
        <v>83</v>
      </c>
    </row>
    <row r="242" spans="1:17" x14ac:dyDescent="0.25">
      <c r="A242" s="22">
        <v>45667</v>
      </c>
      <c r="B242" s="1">
        <v>116755163</v>
      </c>
      <c r="C242" t="s">
        <v>277</v>
      </c>
      <c r="D242" s="23">
        <v>-954.36</v>
      </c>
      <c r="E242" t="s">
        <v>35</v>
      </c>
      <c r="F242" s="2">
        <v>210101001</v>
      </c>
      <c r="G242" s="2" t="s">
        <v>36</v>
      </c>
      <c r="I242" s="95" t="s">
        <v>7231</v>
      </c>
      <c r="J242" t="s">
        <v>86</v>
      </c>
      <c r="K242" t="s">
        <v>87</v>
      </c>
      <c r="M242">
        <v>53.85</v>
      </c>
      <c r="N242" s="4">
        <f t="shared" si="3"/>
        <v>-17.722562674094707</v>
      </c>
      <c r="O242" t="s">
        <v>83</v>
      </c>
    </row>
    <row r="243" spans="1:17" x14ac:dyDescent="0.25">
      <c r="A243" s="22">
        <v>45667</v>
      </c>
      <c r="B243" s="1">
        <v>116755164</v>
      </c>
      <c r="C243" t="s">
        <v>278</v>
      </c>
      <c r="D243" s="23">
        <v>-2615.8000000000002</v>
      </c>
      <c r="E243" t="s">
        <v>35</v>
      </c>
      <c r="F243" s="2">
        <v>210101001</v>
      </c>
      <c r="G243" s="2" t="s">
        <v>36</v>
      </c>
      <c r="I243" s="95" t="s">
        <v>7231</v>
      </c>
      <c r="J243" t="s">
        <v>86</v>
      </c>
      <c r="K243" t="s">
        <v>87</v>
      </c>
      <c r="M243">
        <v>53.85</v>
      </c>
      <c r="N243" s="4">
        <f t="shared" si="3"/>
        <v>-48.575673166202414</v>
      </c>
      <c r="O243" t="s">
        <v>83</v>
      </c>
    </row>
    <row r="244" spans="1:17" x14ac:dyDescent="0.25">
      <c r="A244" s="22">
        <v>45667</v>
      </c>
      <c r="B244" s="1">
        <v>50130153</v>
      </c>
      <c r="C244" t="s">
        <v>279</v>
      </c>
      <c r="D244" s="23">
        <v>-254333.36</v>
      </c>
      <c r="E244" t="s">
        <v>35</v>
      </c>
      <c r="F244" s="2">
        <v>210101001</v>
      </c>
      <c r="G244" s="2" t="s">
        <v>36</v>
      </c>
      <c r="I244" s="95" t="s">
        <v>7231</v>
      </c>
      <c r="J244" t="s">
        <v>37</v>
      </c>
      <c r="K244" t="s">
        <v>38</v>
      </c>
      <c r="M244">
        <v>53.85</v>
      </c>
      <c r="N244" s="4">
        <f t="shared" si="3"/>
        <v>-4722.9964716805935</v>
      </c>
      <c r="O244" t="s">
        <v>83</v>
      </c>
    </row>
    <row r="245" spans="1:17" x14ac:dyDescent="0.25">
      <c r="A245" s="22">
        <v>45667</v>
      </c>
      <c r="B245" s="1">
        <v>50130154</v>
      </c>
      <c r="C245" t="s">
        <v>89</v>
      </c>
      <c r="D245" s="23">
        <v>-665.84</v>
      </c>
      <c r="E245" t="s">
        <v>35</v>
      </c>
      <c r="F245" s="2">
        <v>610148001</v>
      </c>
      <c r="G245" s="2" t="s">
        <v>41</v>
      </c>
      <c r="I245" s="95" t="s">
        <v>7231</v>
      </c>
      <c r="J245" t="s">
        <v>42</v>
      </c>
      <c r="K245" t="s">
        <v>41</v>
      </c>
      <c r="M245">
        <v>53.85</v>
      </c>
      <c r="N245" s="4">
        <f t="shared" si="3"/>
        <v>-12.364716805942432</v>
      </c>
      <c r="O245" t="s">
        <v>83</v>
      </c>
      <c r="Q245" s="24" t="s">
        <v>43</v>
      </c>
    </row>
    <row r="246" spans="1:17" x14ac:dyDescent="0.25">
      <c r="A246" s="22">
        <v>45671</v>
      </c>
      <c r="B246" s="1">
        <v>616840401</v>
      </c>
      <c r="C246" t="s">
        <v>280</v>
      </c>
      <c r="D246" s="23">
        <v>-2694</v>
      </c>
      <c r="E246" t="s">
        <v>35</v>
      </c>
      <c r="F246" s="2">
        <v>210101001</v>
      </c>
      <c r="G246" s="2" t="s">
        <v>36</v>
      </c>
      <c r="I246" s="95" t="s">
        <v>7231</v>
      </c>
      <c r="J246" t="s">
        <v>86</v>
      </c>
      <c r="K246" t="s">
        <v>87</v>
      </c>
      <c r="M246">
        <v>53.88</v>
      </c>
      <c r="N246" s="4">
        <f t="shared" si="3"/>
        <v>-50</v>
      </c>
      <c r="O246" t="s">
        <v>83</v>
      </c>
    </row>
    <row r="247" spans="1:17" x14ac:dyDescent="0.25">
      <c r="A247" s="22">
        <v>45671</v>
      </c>
      <c r="B247" s="1">
        <v>616840401</v>
      </c>
      <c r="C247" t="s">
        <v>185</v>
      </c>
      <c r="D247" s="23">
        <v>-8.08</v>
      </c>
      <c r="E247" t="s">
        <v>35</v>
      </c>
      <c r="F247" s="2">
        <v>610148001</v>
      </c>
      <c r="G247" s="2" t="s">
        <v>41</v>
      </c>
      <c r="I247" s="95" t="s">
        <v>7231</v>
      </c>
      <c r="J247" t="s">
        <v>42</v>
      </c>
      <c r="K247" t="s">
        <v>41</v>
      </c>
      <c r="M247">
        <v>53.88</v>
      </c>
      <c r="N247" s="4">
        <f t="shared" si="3"/>
        <v>-0.1499628804751299</v>
      </c>
      <c r="O247" t="s">
        <v>83</v>
      </c>
      <c r="Q247" s="24" t="s">
        <v>43</v>
      </c>
    </row>
    <row r="248" spans="1:17" x14ac:dyDescent="0.25">
      <c r="A248" s="22">
        <v>45671</v>
      </c>
      <c r="B248" s="1">
        <v>133759305</v>
      </c>
      <c r="C248" t="s">
        <v>82</v>
      </c>
      <c r="D248" s="23">
        <v>220000</v>
      </c>
      <c r="E248" t="s">
        <v>45</v>
      </c>
      <c r="F248" s="2">
        <v>210115002</v>
      </c>
      <c r="G248" s="2" t="s">
        <v>46</v>
      </c>
      <c r="I248" s="95" t="s">
        <v>7231</v>
      </c>
      <c r="K248" t="s">
        <v>82</v>
      </c>
      <c r="M248">
        <v>53.88</v>
      </c>
      <c r="N248" s="4">
        <f t="shared" si="3"/>
        <v>4083.1477357089825</v>
      </c>
      <c r="O248" t="s">
        <v>83</v>
      </c>
    </row>
    <row r="249" spans="1:17" x14ac:dyDescent="0.25">
      <c r="A249" s="22">
        <v>45671</v>
      </c>
      <c r="B249" s="1">
        <v>316846710</v>
      </c>
      <c r="C249" t="s">
        <v>281</v>
      </c>
      <c r="D249" s="23">
        <v>-200000</v>
      </c>
      <c r="E249" t="s">
        <v>35</v>
      </c>
      <c r="F249" s="2">
        <v>210101001</v>
      </c>
      <c r="G249" s="2" t="s">
        <v>36</v>
      </c>
      <c r="I249" s="95" t="s">
        <v>7231</v>
      </c>
      <c r="J249" t="s">
        <v>37</v>
      </c>
      <c r="K249" t="s">
        <v>38</v>
      </c>
      <c r="M249">
        <v>53.88</v>
      </c>
      <c r="N249" s="4">
        <f t="shared" si="3"/>
        <v>-3711.9524870081659</v>
      </c>
      <c r="O249" t="s">
        <v>83</v>
      </c>
    </row>
    <row r="250" spans="1:17" x14ac:dyDescent="0.25">
      <c r="A250" s="22">
        <v>45671</v>
      </c>
      <c r="B250" s="1">
        <v>316846710</v>
      </c>
      <c r="C250" t="s">
        <v>185</v>
      </c>
      <c r="D250" s="23">
        <v>-600</v>
      </c>
      <c r="E250" t="s">
        <v>35</v>
      </c>
      <c r="F250" s="2">
        <v>610148001</v>
      </c>
      <c r="G250" s="2" t="s">
        <v>41</v>
      </c>
      <c r="I250" s="95" t="s">
        <v>7231</v>
      </c>
      <c r="J250" t="s">
        <v>42</v>
      </c>
      <c r="K250" t="s">
        <v>41</v>
      </c>
      <c r="M250">
        <v>53.88</v>
      </c>
      <c r="N250" s="4">
        <f t="shared" si="3"/>
        <v>-11.135857461024498</v>
      </c>
      <c r="O250" t="s">
        <v>83</v>
      </c>
      <c r="Q250" s="24" t="s">
        <v>43</v>
      </c>
    </row>
    <row r="251" spans="1:17" x14ac:dyDescent="0.25">
      <c r="A251" s="22">
        <v>45671</v>
      </c>
      <c r="B251" s="1">
        <v>216846789</v>
      </c>
      <c r="C251" t="s">
        <v>281</v>
      </c>
      <c r="D251" s="23">
        <v>-21266.75</v>
      </c>
      <c r="E251" t="s">
        <v>35</v>
      </c>
      <c r="F251" s="2">
        <v>210101001</v>
      </c>
      <c r="G251" s="2" t="s">
        <v>36</v>
      </c>
      <c r="I251" s="95" t="s">
        <v>7231</v>
      </c>
      <c r="J251" t="s">
        <v>37</v>
      </c>
      <c r="K251" t="s">
        <v>38</v>
      </c>
      <c r="M251">
        <v>53.88</v>
      </c>
      <c r="N251" s="4">
        <f t="shared" si="3"/>
        <v>-394.70582776540459</v>
      </c>
      <c r="O251" t="s">
        <v>83</v>
      </c>
    </row>
    <row r="252" spans="1:17" x14ac:dyDescent="0.25">
      <c r="A252" s="22">
        <v>45671</v>
      </c>
      <c r="B252" s="1">
        <v>216846789</v>
      </c>
      <c r="C252" t="s">
        <v>185</v>
      </c>
      <c r="D252" s="23">
        <v>-63.8</v>
      </c>
      <c r="E252" t="s">
        <v>35</v>
      </c>
      <c r="F252" s="2">
        <v>610148001</v>
      </c>
      <c r="G252" s="2" t="s">
        <v>41</v>
      </c>
      <c r="I252" s="95" t="s">
        <v>7231</v>
      </c>
      <c r="J252" t="s">
        <v>42</v>
      </c>
      <c r="K252" t="s">
        <v>41</v>
      </c>
      <c r="M252">
        <v>53.88</v>
      </c>
      <c r="N252" s="4">
        <f t="shared" si="3"/>
        <v>-1.184112843355605</v>
      </c>
      <c r="O252" t="s">
        <v>83</v>
      </c>
      <c r="Q252" s="24" t="s">
        <v>43</v>
      </c>
    </row>
    <row r="253" spans="1:17" x14ac:dyDescent="0.25">
      <c r="A253" s="22">
        <v>45672</v>
      </c>
      <c r="B253" s="1">
        <v>90156795</v>
      </c>
      <c r="C253" t="s">
        <v>82</v>
      </c>
      <c r="D253" s="23">
        <v>10000</v>
      </c>
      <c r="E253" t="s">
        <v>45</v>
      </c>
      <c r="F253" s="2">
        <v>210115002</v>
      </c>
      <c r="G253" s="2" t="s">
        <v>46</v>
      </c>
      <c r="I253" s="95" t="s">
        <v>7231</v>
      </c>
      <c r="K253" t="s">
        <v>82</v>
      </c>
      <c r="M253">
        <v>53.96</v>
      </c>
      <c r="N253" s="4">
        <f t="shared" si="3"/>
        <v>185.32246108228318</v>
      </c>
      <c r="O253" t="s">
        <v>83</v>
      </c>
    </row>
    <row r="254" spans="1:17" x14ac:dyDescent="0.25">
      <c r="A254" s="22">
        <v>45672</v>
      </c>
      <c r="B254" s="1">
        <v>516906012</v>
      </c>
      <c r="C254" t="s">
        <v>282</v>
      </c>
      <c r="D254" s="23">
        <v>-5220.96</v>
      </c>
      <c r="E254" t="s">
        <v>35</v>
      </c>
      <c r="F254" s="2">
        <v>210101001</v>
      </c>
      <c r="G254" s="2" t="s">
        <v>36</v>
      </c>
      <c r="I254" s="95" t="s">
        <v>7231</v>
      </c>
      <c r="J254" t="s">
        <v>283</v>
      </c>
      <c r="K254" t="s">
        <v>284</v>
      </c>
      <c r="M254">
        <v>53.96</v>
      </c>
      <c r="N254" s="4">
        <f t="shared" si="3"/>
        <v>-96.756115641215715</v>
      </c>
      <c r="O254" t="s">
        <v>83</v>
      </c>
    </row>
    <row r="255" spans="1:17" x14ac:dyDescent="0.25">
      <c r="A255" s="22">
        <v>45672</v>
      </c>
      <c r="B255" s="1">
        <v>516906012</v>
      </c>
      <c r="C255" t="s">
        <v>185</v>
      </c>
      <c r="D255" s="23">
        <v>-15.66</v>
      </c>
      <c r="E255" t="s">
        <v>35</v>
      </c>
      <c r="F255" s="2">
        <v>610148001</v>
      </c>
      <c r="G255" s="2" t="s">
        <v>41</v>
      </c>
      <c r="I255" s="95" t="s">
        <v>7231</v>
      </c>
      <c r="J255" t="s">
        <v>42</v>
      </c>
      <c r="K255" t="s">
        <v>41</v>
      </c>
      <c r="M255">
        <v>53.96</v>
      </c>
      <c r="N255" s="4">
        <f t="shared" si="3"/>
        <v>-0.29021497405485547</v>
      </c>
      <c r="O255" t="s">
        <v>83</v>
      </c>
      <c r="Q255" s="24" t="s">
        <v>43</v>
      </c>
    </row>
    <row r="256" spans="1:17" x14ac:dyDescent="0.25">
      <c r="A256" s="22">
        <v>45672</v>
      </c>
      <c r="B256" s="1">
        <v>115743632</v>
      </c>
      <c r="C256" t="s">
        <v>82</v>
      </c>
      <c r="D256" s="23">
        <v>185000</v>
      </c>
      <c r="E256" t="s">
        <v>45</v>
      </c>
      <c r="F256" s="2">
        <v>210115002</v>
      </c>
      <c r="G256" s="2" t="s">
        <v>46</v>
      </c>
      <c r="I256" s="95" t="s">
        <v>7231</v>
      </c>
      <c r="K256" t="s">
        <v>82</v>
      </c>
      <c r="M256">
        <v>53.96</v>
      </c>
      <c r="N256" s="4">
        <f t="shared" si="3"/>
        <v>3428.4655300222385</v>
      </c>
      <c r="O256" t="s">
        <v>83</v>
      </c>
    </row>
    <row r="257" spans="1:17" x14ac:dyDescent="0.25">
      <c r="A257" s="22">
        <v>45672</v>
      </c>
      <c r="B257" s="1">
        <v>16914614</v>
      </c>
      <c r="C257" t="s">
        <v>285</v>
      </c>
      <c r="D257" s="23">
        <v>-184242.8</v>
      </c>
      <c r="E257" t="s">
        <v>35</v>
      </c>
      <c r="F257" s="2">
        <v>210101001</v>
      </c>
      <c r="G257" s="2" t="s">
        <v>36</v>
      </c>
      <c r="I257" s="95" t="s">
        <v>7231</v>
      </c>
      <c r="J257" t="s">
        <v>37</v>
      </c>
      <c r="K257" t="s">
        <v>38</v>
      </c>
      <c r="M257">
        <v>53.96</v>
      </c>
      <c r="N257" s="4">
        <f t="shared" si="3"/>
        <v>-3414.4329132690877</v>
      </c>
      <c r="O257" t="s">
        <v>83</v>
      </c>
    </row>
    <row r="258" spans="1:17" x14ac:dyDescent="0.25">
      <c r="A258" s="22">
        <v>45672</v>
      </c>
      <c r="B258" s="1">
        <v>16914614</v>
      </c>
      <c r="C258" t="s">
        <v>185</v>
      </c>
      <c r="D258" s="23">
        <v>-552.73</v>
      </c>
      <c r="E258" t="s">
        <v>35</v>
      </c>
      <c r="F258" s="2">
        <v>610148001</v>
      </c>
      <c r="G258" s="2" t="s">
        <v>41</v>
      </c>
      <c r="I258" s="95" t="s">
        <v>7231</v>
      </c>
      <c r="J258" t="s">
        <v>42</v>
      </c>
      <c r="K258" t="s">
        <v>41</v>
      </c>
      <c r="M258">
        <v>53.96</v>
      </c>
      <c r="N258" s="4">
        <f t="shared" si="3"/>
        <v>-10.243328391401038</v>
      </c>
      <c r="O258" t="s">
        <v>83</v>
      </c>
      <c r="Q258" s="24" t="s">
        <v>43</v>
      </c>
    </row>
    <row r="259" spans="1:17" x14ac:dyDescent="0.25">
      <c r="A259" s="22">
        <v>45673</v>
      </c>
      <c r="B259" s="1">
        <v>102641781</v>
      </c>
      <c r="C259" t="s">
        <v>82</v>
      </c>
      <c r="D259" s="23">
        <v>20000</v>
      </c>
      <c r="E259" t="s">
        <v>45</v>
      </c>
      <c r="F259" s="2">
        <v>210115002</v>
      </c>
      <c r="G259" s="2" t="s">
        <v>46</v>
      </c>
      <c r="I259" s="95" t="s">
        <v>7231</v>
      </c>
      <c r="K259" t="s">
        <v>82</v>
      </c>
      <c r="M259">
        <v>54.37</v>
      </c>
      <c r="N259" s="4">
        <f t="shared" si="3"/>
        <v>367.84991723376862</v>
      </c>
      <c r="O259" t="s">
        <v>83</v>
      </c>
    </row>
    <row r="260" spans="1:17" x14ac:dyDescent="0.25">
      <c r="A260" s="22">
        <v>45673</v>
      </c>
      <c r="B260" s="1">
        <v>416964711</v>
      </c>
      <c r="C260" t="s">
        <v>286</v>
      </c>
      <c r="D260" s="23">
        <v>-17659.38</v>
      </c>
      <c r="E260" t="s">
        <v>35</v>
      </c>
      <c r="F260" s="2">
        <v>210101001</v>
      </c>
      <c r="G260" s="2" t="s">
        <v>36</v>
      </c>
      <c r="I260" s="95" t="s">
        <v>7231</v>
      </c>
      <c r="J260" t="s">
        <v>182</v>
      </c>
      <c r="K260" t="s">
        <v>183</v>
      </c>
      <c r="M260">
        <v>54.37</v>
      </c>
      <c r="N260" s="4">
        <f t="shared" si="3"/>
        <v>-324.80007356998345</v>
      </c>
      <c r="O260" t="s">
        <v>83</v>
      </c>
    </row>
    <row r="261" spans="1:17" x14ac:dyDescent="0.25">
      <c r="A261" s="22">
        <v>45673</v>
      </c>
      <c r="B261" s="1">
        <v>416964711</v>
      </c>
      <c r="C261" t="s">
        <v>185</v>
      </c>
      <c r="D261" s="23">
        <v>-52.98</v>
      </c>
      <c r="E261" t="s">
        <v>35</v>
      </c>
      <c r="F261" s="2">
        <v>610148001</v>
      </c>
      <c r="G261" s="2" t="s">
        <v>41</v>
      </c>
      <c r="I261" s="95" t="s">
        <v>7231</v>
      </c>
      <c r="J261" t="s">
        <v>42</v>
      </c>
      <c r="K261" t="s">
        <v>41</v>
      </c>
      <c r="M261">
        <v>54.37</v>
      </c>
      <c r="N261" s="4">
        <f t="shared" si="3"/>
        <v>-0.97443443075225311</v>
      </c>
      <c r="O261" t="s">
        <v>83</v>
      </c>
      <c r="Q261" s="24" t="s">
        <v>43</v>
      </c>
    </row>
    <row r="262" spans="1:17" x14ac:dyDescent="0.25">
      <c r="A262" s="22">
        <v>45673</v>
      </c>
      <c r="B262" s="1">
        <v>516983488</v>
      </c>
      <c r="C262" t="s">
        <v>287</v>
      </c>
      <c r="D262" s="23">
        <v>-6622.27</v>
      </c>
      <c r="E262" t="s">
        <v>35</v>
      </c>
      <c r="F262" s="2">
        <v>210101001</v>
      </c>
      <c r="G262" s="2" t="s">
        <v>36</v>
      </c>
      <c r="I262" s="95" t="s">
        <v>7231</v>
      </c>
      <c r="J262" t="s">
        <v>288</v>
      </c>
      <c r="K262" t="s">
        <v>289</v>
      </c>
      <c r="M262">
        <v>54.37</v>
      </c>
      <c r="N262" s="4">
        <f t="shared" si="3"/>
        <v>-121.80007356998345</v>
      </c>
      <c r="O262" t="s">
        <v>83</v>
      </c>
    </row>
    <row r="263" spans="1:17" x14ac:dyDescent="0.25">
      <c r="A263" s="22">
        <v>45673</v>
      </c>
      <c r="B263" s="1">
        <v>516983488</v>
      </c>
      <c r="C263" t="s">
        <v>185</v>
      </c>
      <c r="D263" s="23">
        <v>-19.87</v>
      </c>
      <c r="E263" t="s">
        <v>35</v>
      </c>
      <c r="F263" s="2">
        <v>610148001</v>
      </c>
      <c r="G263" s="2" t="s">
        <v>41</v>
      </c>
      <c r="I263" s="95" t="s">
        <v>7231</v>
      </c>
      <c r="J263" t="s">
        <v>42</v>
      </c>
      <c r="K263" t="s">
        <v>41</v>
      </c>
      <c r="M263">
        <v>54.37</v>
      </c>
      <c r="N263" s="4">
        <f t="shared" si="3"/>
        <v>-0.36545889277174914</v>
      </c>
      <c r="O263" t="s">
        <v>83</v>
      </c>
      <c r="Q263" s="24" t="s">
        <v>43</v>
      </c>
    </row>
    <row r="264" spans="1:17" x14ac:dyDescent="0.25">
      <c r="A264" s="22">
        <v>45673</v>
      </c>
      <c r="B264" s="1">
        <v>145601218</v>
      </c>
      <c r="C264" t="s">
        <v>82</v>
      </c>
      <c r="D264" s="23">
        <v>140000</v>
      </c>
      <c r="E264" t="s">
        <v>45</v>
      </c>
      <c r="F264" s="2">
        <v>210115002</v>
      </c>
      <c r="G264" s="2" t="s">
        <v>46</v>
      </c>
      <c r="I264" s="95" t="s">
        <v>7231</v>
      </c>
      <c r="K264" t="s">
        <v>82</v>
      </c>
      <c r="M264">
        <v>54.37</v>
      </c>
      <c r="N264" s="4">
        <f t="shared" si="3"/>
        <v>2574.9494206363806</v>
      </c>
      <c r="O264" t="s">
        <v>83</v>
      </c>
    </row>
    <row r="265" spans="1:17" x14ac:dyDescent="0.25">
      <c r="A265" s="22">
        <v>45673</v>
      </c>
      <c r="B265" s="1">
        <v>116986168</v>
      </c>
      <c r="C265" t="s">
        <v>290</v>
      </c>
      <c r="D265" s="23">
        <v>-5676.23</v>
      </c>
      <c r="E265" t="s">
        <v>35</v>
      </c>
      <c r="F265" s="2">
        <v>110114001</v>
      </c>
      <c r="G265" s="2" t="s">
        <v>181</v>
      </c>
      <c r="I265" s="95" t="s">
        <v>7231</v>
      </c>
      <c r="K265" t="s">
        <v>291</v>
      </c>
      <c r="M265">
        <v>54.37</v>
      </c>
      <c r="N265" s="4">
        <f t="shared" si="3"/>
        <v>-104.40003678499173</v>
      </c>
      <c r="O265" t="s">
        <v>83</v>
      </c>
      <c r="P265" s="3"/>
    </row>
    <row r="266" spans="1:17" x14ac:dyDescent="0.25">
      <c r="A266" s="22">
        <v>45673</v>
      </c>
      <c r="B266" s="1">
        <v>216986169</v>
      </c>
      <c r="C266" t="s">
        <v>292</v>
      </c>
      <c r="D266" s="23">
        <v>-124808.11</v>
      </c>
      <c r="E266" t="s">
        <v>35</v>
      </c>
      <c r="F266" s="2">
        <v>210101001</v>
      </c>
      <c r="G266" s="2" t="s">
        <v>36</v>
      </c>
      <c r="I266" s="95" t="s">
        <v>7231</v>
      </c>
      <c r="J266" t="s">
        <v>37</v>
      </c>
      <c r="K266" t="s">
        <v>38</v>
      </c>
      <c r="M266">
        <v>54.37</v>
      </c>
      <c r="N266" s="4">
        <f t="shared" si="3"/>
        <v>-2295.5326466801548</v>
      </c>
      <c r="O266" t="s">
        <v>83</v>
      </c>
    </row>
    <row r="267" spans="1:17" x14ac:dyDescent="0.25">
      <c r="A267" s="22">
        <v>45673</v>
      </c>
      <c r="B267" s="1">
        <v>50124453</v>
      </c>
      <c r="C267" t="s">
        <v>89</v>
      </c>
      <c r="D267" s="23">
        <v>-326.20999999999998</v>
      </c>
      <c r="E267" t="s">
        <v>35</v>
      </c>
      <c r="F267" s="2">
        <v>610148001</v>
      </c>
      <c r="G267" s="2" t="s">
        <v>41</v>
      </c>
      <c r="I267" s="95" t="s">
        <v>7231</v>
      </c>
      <c r="J267" t="s">
        <v>42</v>
      </c>
      <c r="K267" t="s">
        <v>41</v>
      </c>
      <c r="M267">
        <v>54.37</v>
      </c>
      <c r="N267" s="4">
        <f t="shared" si="3"/>
        <v>-5.9998160750413829</v>
      </c>
      <c r="O267" t="s">
        <v>83</v>
      </c>
      <c r="Q267" s="24" t="s">
        <v>43</v>
      </c>
    </row>
    <row r="268" spans="1:17" x14ac:dyDescent="0.25">
      <c r="A268" s="22">
        <v>45674</v>
      </c>
      <c r="B268" s="1">
        <v>41512029</v>
      </c>
      <c r="C268" t="s">
        <v>293</v>
      </c>
      <c r="D268" s="23">
        <v>250000</v>
      </c>
      <c r="E268" t="s">
        <v>45</v>
      </c>
      <c r="F268" s="2">
        <v>210115002</v>
      </c>
      <c r="G268" s="2" t="s">
        <v>46</v>
      </c>
      <c r="I268" s="95" t="s">
        <v>7231</v>
      </c>
      <c r="K268" t="s">
        <v>293</v>
      </c>
      <c r="M268">
        <v>54.76</v>
      </c>
      <c r="N268" s="4">
        <f t="shared" ref="N268:N331" si="4">D268/M268</f>
        <v>4565.3761869978089</v>
      </c>
      <c r="O268" t="s">
        <v>83</v>
      </c>
    </row>
    <row r="269" spans="1:17" x14ac:dyDescent="0.25">
      <c r="A269" s="22">
        <v>45674</v>
      </c>
      <c r="B269" s="1">
        <v>917041567</v>
      </c>
      <c r="C269" t="s">
        <v>294</v>
      </c>
      <c r="D269" s="23">
        <v>-3262.2</v>
      </c>
      <c r="E269" t="s">
        <v>35</v>
      </c>
      <c r="F269" s="2">
        <v>212901001</v>
      </c>
      <c r="G269" s="2" t="s">
        <v>91</v>
      </c>
      <c r="I269" s="95" t="s">
        <v>7231</v>
      </c>
      <c r="J269" t="s">
        <v>61</v>
      </c>
      <c r="K269" t="s">
        <v>62</v>
      </c>
      <c r="M269">
        <v>54.76</v>
      </c>
      <c r="N269" s="4">
        <f t="shared" si="4"/>
        <v>-59.572680788897003</v>
      </c>
      <c r="O269" t="s">
        <v>83</v>
      </c>
    </row>
    <row r="270" spans="1:17" x14ac:dyDescent="0.25">
      <c r="A270" s="22">
        <v>45674</v>
      </c>
      <c r="B270" s="1">
        <v>917041564</v>
      </c>
      <c r="C270" t="s">
        <v>295</v>
      </c>
      <c r="D270" s="23">
        <v>-3262.2</v>
      </c>
      <c r="E270" t="s">
        <v>35</v>
      </c>
      <c r="F270" s="2">
        <v>212901001</v>
      </c>
      <c r="G270" s="2" t="s">
        <v>91</v>
      </c>
      <c r="I270" s="95" t="s">
        <v>7231</v>
      </c>
      <c r="J270" t="s">
        <v>61</v>
      </c>
      <c r="K270" t="s">
        <v>62</v>
      </c>
      <c r="M270">
        <v>54.76</v>
      </c>
      <c r="N270" s="4">
        <f t="shared" si="4"/>
        <v>-59.572680788897003</v>
      </c>
      <c r="O270" t="s">
        <v>83</v>
      </c>
    </row>
    <row r="271" spans="1:17" x14ac:dyDescent="0.25">
      <c r="A271" s="22">
        <v>45674</v>
      </c>
      <c r="B271" s="1">
        <v>917041565</v>
      </c>
      <c r="C271" t="s">
        <v>296</v>
      </c>
      <c r="D271" s="23">
        <v>-3262.2</v>
      </c>
      <c r="E271" t="s">
        <v>35</v>
      </c>
      <c r="F271" s="2">
        <v>212901001</v>
      </c>
      <c r="G271" s="2" t="s">
        <v>91</v>
      </c>
      <c r="I271" s="95" t="s">
        <v>7231</v>
      </c>
      <c r="J271" t="s">
        <v>61</v>
      </c>
      <c r="K271" t="s">
        <v>62</v>
      </c>
      <c r="M271">
        <v>54.76</v>
      </c>
      <c r="N271" s="4">
        <f t="shared" si="4"/>
        <v>-59.572680788897003</v>
      </c>
      <c r="O271" t="s">
        <v>83</v>
      </c>
    </row>
    <row r="272" spans="1:17" x14ac:dyDescent="0.25">
      <c r="A272" s="22">
        <v>45674</v>
      </c>
      <c r="B272" s="1">
        <v>17041571</v>
      </c>
      <c r="C272" t="s">
        <v>297</v>
      </c>
      <c r="D272" s="23">
        <v>-3262.2</v>
      </c>
      <c r="E272" t="s">
        <v>35</v>
      </c>
      <c r="F272" s="2">
        <v>212901001</v>
      </c>
      <c r="G272" s="2" t="s">
        <v>91</v>
      </c>
      <c r="I272" s="95" t="s">
        <v>7231</v>
      </c>
      <c r="J272" t="s">
        <v>61</v>
      </c>
      <c r="K272" t="s">
        <v>62</v>
      </c>
      <c r="M272">
        <v>54.76</v>
      </c>
      <c r="N272" s="4">
        <f t="shared" si="4"/>
        <v>-59.572680788897003</v>
      </c>
      <c r="O272" t="s">
        <v>83</v>
      </c>
    </row>
    <row r="273" spans="1:15" x14ac:dyDescent="0.25">
      <c r="A273" s="22">
        <v>45674</v>
      </c>
      <c r="B273" s="1">
        <v>917041566</v>
      </c>
      <c r="C273" t="s">
        <v>298</v>
      </c>
      <c r="D273" s="23">
        <v>-3262.2</v>
      </c>
      <c r="E273" t="s">
        <v>35</v>
      </c>
      <c r="F273" s="2">
        <v>212901001</v>
      </c>
      <c r="G273" s="2" t="s">
        <v>91</v>
      </c>
      <c r="I273" s="95" t="s">
        <v>7231</v>
      </c>
      <c r="J273" t="s">
        <v>61</v>
      </c>
      <c r="K273" t="s">
        <v>62</v>
      </c>
      <c r="M273">
        <v>54.76</v>
      </c>
      <c r="N273" s="4">
        <f t="shared" si="4"/>
        <v>-59.572680788897003</v>
      </c>
      <c r="O273" t="s">
        <v>83</v>
      </c>
    </row>
    <row r="274" spans="1:15" x14ac:dyDescent="0.25">
      <c r="A274" s="22">
        <v>45674</v>
      </c>
      <c r="B274" s="1">
        <v>917041569</v>
      </c>
      <c r="C274" t="s">
        <v>299</v>
      </c>
      <c r="D274" s="23">
        <v>-3262.2</v>
      </c>
      <c r="E274" t="s">
        <v>35</v>
      </c>
      <c r="F274" s="2">
        <v>212901001</v>
      </c>
      <c r="G274" s="2" t="s">
        <v>91</v>
      </c>
      <c r="I274" s="95" t="s">
        <v>7231</v>
      </c>
      <c r="J274" t="s">
        <v>61</v>
      </c>
      <c r="K274" t="s">
        <v>62</v>
      </c>
      <c r="M274">
        <v>54.76</v>
      </c>
      <c r="N274" s="4">
        <f t="shared" si="4"/>
        <v>-59.572680788897003</v>
      </c>
      <c r="O274" t="s">
        <v>83</v>
      </c>
    </row>
    <row r="275" spans="1:15" x14ac:dyDescent="0.25">
      <c r="A275" s="22">
        <v>45674</v>
      </c>
      <c r="B275" s="1">
        <v>917041570</v>
      </c>
      <c r="C275" t="s">
        <v>300</v>
      </c>
      <c r="D275" s="23">
        <v>-3262.2</v>
      </c>
      <c r="E275" t="s">
        <v>35</v>
      </c>
      <c r="F275" s="2">
        <v>212901001</v>
      </c>
      <c r="G275" s="2" t="s">
        <v>91</v>
      </c>
      <c r="I275" s="95" t="s">
        <v>7231</v>
      </c>
      <c r="J275" t="s">
        <v>61</v>
      </c>
      <c r="K275" t="s">
        <v>62</v>
      </c>
      <c r="M275">
        <v>54.76</v>
      </c>
      <c r="N275" s="4">
        <f t="shared" si="4"/>
        <v>-59.572680788897003</v>
      </c>
      <c r="O275" t="s">
        <v>83</v>
      </c>
    </row>
    <row r="276" spans="1:15" x14ac:dyDescent="0.25">
      <c r="A276" s="22">
        <v>45674</v>
      </c>
      <c r="B276" s="1">
        <v>917041568</v>
      </c>
      <c r="C276" t="s">
        <v>301</v>
      </c>
      <c r="D276" s="23">
        <v>-3262.2</v>
      </c>
      <c r="E276" t="s">
        <v>35</v>
      </c>
      <c r="F276" s="2">
        <v>212901001</v>
      </c>
      <c r="G276" s="2" t="s">
        <v>91</v>
      </c>
      <c r="I276" s="95" t="s">
        <v>7231</v>
      </c>
      <c r="J276" t="s">
        <v>61</v>
      </c>
      <c r="K276" t="s">
        <v>62</v>
      </c>
      <c r="M276">
        <v>54.76</v>
      </c>
      <c r="N276" s="4">
        <f t="shared" si="4"/>
        <v>-59.572680788897003</v>
      </c>
      <c r="O276" t="s">
        <v>83</v>
      </c>
    </row>
    <row r="277" spans="1:15" x14ac:dyDescent="0.25">
      <c r="A277" s="22">
        <v>45674</v>
      </c>
      <c r="B277" s="1">
        <v>17041572</v>
      </c>
      <c r="C277" t="s">
        <v>302</v>
      </c>
      <c r="D277" s="23">
        <v>-3262.2</v>
      </c>
      <c r="E277" t="s">
        <v>35</v>
      </c>
      <c r="F277" s="2">
        <v>212901001</v>
      </c>
      <c r="G277" s="2" t="s">
        <v>91</v>
      </c>
      <c r="I277" s="95" t="s">
        <v>7231</v>
      </c>
      <c r="J277" t="s">
        <v>61</v>
      </c>
      <c r="K277" t="s">
        <v>62</v>
      </c>
      <c r="M277">
        <v>54.76</v>
      </c>
      <c r="N277" s="4">
        <f t="shared" si="4"/>
        <v>-59.572680788897003</v>
      </c>
      <c r="O277" t="s">
        <v>83</v>
      </c>
    </row>
    <row r="278" spans="1:15" x14ac:dyDescent="0.25">
      <c r="A278" s="22">
        <v>45674</v>
      </c>
      <c r="B278" s="1">
        <v>17041573</v>
      </c>
      <c r="C278" t="s">
        <v>303</v>
      </c>
      <c r="D278" s="23">
        <v>-3262.2</v>
      </c>
      <c r="E278" t="s">
        <v>35</v>
      </c>
      <c r="F278" s="2">
        <v>212901001</v>
      </c>
      <c r="G278" s="2" t="s">
        <v>91</v>
      </c>
      <c r="I278" s="95" t="s">
        <v>7231</v>
      </c>
      <c r="J278" t="s">
        <v>61</v>
      </c>
      <c r="K278" t="s">
        <v>62</v>
      </c>
      <c r="M278">
        <v>54.76</v>
      </c>
      <c r="N278" s="4">
        <f t="shared" si="4"/>
        <v>-59.572680788897003</v>
      </c>
      <c r="O278" t="s">
        <v>83</v>
      </c>
    </row>
    <row r="279" spans="1:15" x14ac:dyDescent="0.25">
      <c r="A279" s="22">
        <v>45674</v>
      </c>
      <c r="B279" s="1">
        <v>17041575</v>
      </c>
      <c r="C279" t="s">
        <v>304</v>
      </c>
      <c r="D279" s="23">
        <v>-3262.2</v>
      </c>
      <c r="E279" t="s">
        <v>35</v>
      </c>
      <c r="F279" s="2">
        <v>212901001</v>
      </c>
      <c r="G279" s="2" t="s">
        <v>91</v>
      </c>
      <c r="I279" s="95" t="s">
        <v>7231</v>
      </c>
      <c r="J279" t="s">
        <v>61</v>
      </c>
      <c r="K279" t="s">
        <v>62</v>
      </c>
      <c r="M279">
        <v>54.76</v>
      </c>
      <c r="N279" s="4">
        <f t="shared" si="4"/>
        <v>-59.572680788897003</v>
      </c>
      <c r="O279" t="s">
        <v>83</v>
      </c>
    </row>
    <row r="280" spans="1:15" x14ac:dyDescent="0.25">
      <c r="A280" s="22">
        <v>45674</v>
      </c>
      <c r="B280" s="1">
        <v>17041578</v>
      </c>
      <c r="C280" t="s">
        <v>305</v>
      </c>
      <c r="D280" s="23">
        <v>-3262.2</v>
      </c>
      <c r="E280" t="s">
        <v>35</v>
      </c>
      <c r="F280" s="2">
        <v>212901001</v>
      </c>
      <c r="G280" s="2" t="s">
        <v>91</v>
      </c>
      <c r="I280" s="95" t="s">
        <v>7231</v>
      </c>
      <c r="J280" t="s">
        <v>61</v>
      </c>
      <c r="K280" t="s">
        <v>62</v>
      </c>
      <c r="M280">
        <v>54.76</v>
      </c>
      <c r="N280" s="4">
        <f t="shared" si="4"/>
        <v>-59.572680788897003</v>
      </c>
      <c r="O280" t="s">
        <v>83</v>
      </c>
    </row>
    <row r="281" spans="1:15" x14ac:dyDescent="0.25">
      <c r="A281" s="22">
        <v>45674</v>
      </c>
      <c r="B281" s="1">
        <v>17041576</v>
      </c>
      <c r="C281" t="s">
        <v>306</v>
      </c>
      <c r="D281" s="23">
        <v>-3262.2</v>
      </c>
      <c r="E281" t="s">
        <v>35</v>
      </c>
      <c r="F281" s="2">
        <v>212901001</v>
      </c>
      <c r="G281" s="2" t="s">
        <v>91</v>
      </c>
      <c r="I281" s="95" t="s">
        <v>7231</v>
      </c>
      <c r="J281" t="s">
        <v>61</v>
      </c>
      <c r="K281" t="s">
        <v>62</v>
      </c>
      <c r="M281">
        <v>54.76</v>
      </c>
      <c r="N281" s="4">
        <f t="shared" si="4"/>
        <v>-59.572680788897003</v>
      </c>
      <c r="O281" t="s">
        <v>83</v>
      </c>
    </row>
    <row r="282" spans="1:15" x14ac:dyDescent="0.25">
      <c r="A282" s="22">
        <v>45674</v>
      </c>
      <c r="B282" s="1">
        <v>17041580</v>
      </c>
      <c r="C282" t="s">
        <v>307</v>
      </c>
      <c r="D282" s="23">
        <v>-3262.2</v>
      </c>
      <c r="E282" t="s">
        <v>35</v>
      </c>
      <c r="F282" s="2">
        <v>212901001</v>
      </c>
      <c r="G282" s="2" t="s">
        <v>91</v>
      </c>
      <c r="I282" s="95" t="s">
        <v>7231</v>
      </c>
      <c r="J282" t="s">
        <v>61</v>
      </c>
      <c r="K282" t="s">
        <v>62</v>
      </c>
      <c r="M282">
        <v>54.76</v>
      </c>
      <c r="N282" s="4">
        <f t="shared" si="4"/>
        <v>-59.572680788897003</v>
      </c>
      <c r="O282" t="s">
        <v>83</v>
      </c>
    </row>
    <row r="283" spans="1:15" x14ac:dyDescent="0.25">
      <c r="A283" s="22">
        <v>45674</v>
      </c>
      <c r="B283" s="1">
        <v>17041579</v>
      </c>
      <c r="C283" t="s">
        <v>308</v>
      </c>
      <c r="D283" s="23">
        <v>-3262.2</v>
      </c>
      <c r="E283" t="s">
        <v>35</v>
      </c>
      <c r="F283" s="2">
        <v>212901001</v>
      </c>
      <c r="G283" s="2" t="s">
        <v>91</v>
      </c>
      <c r="I283" s="95" t="s">
        <v>7231</v>
      </c>
      <c r="J283" t="s">
        <v>61</v>
      </c>
      <c r="K283" t="s">
        <v>62</v>
      </c>
      <c r="M283">
        <v>54.76</v>
      </c>
      <c r="N283" s="4">
        <f t="shared" si="4"/>
        <v>-59.572680788897003</v>
      </c>
      <c r="O283" t="s">
        <v>83</v>
      </c>
    </row>
    <row r="284" spans="1:15" x14ac:dyDescent="0.25">
      <c r="A284" s="22">
        <v>45674</v>
      </c>
      <c r="B284" s="1">
        <v>17041577</v>
      </c>
      <c r="C284" t="s">
        <v>309</v>
      </c>
      <c r="D284" s="23">
        <v>-3262.2</v>
      </c>
      <c r="E284" t="s">
        <v>35</v>
      </c>
      <c r="F284" s="2">
        <v>212901001</v>
      </c>
      <c r="G284" s="2" t="s">
        <v>91</v>
      </c>
      <c r="I284" s="95" t="s">
        <v>7231</v>
      </c>
      <c r="J284" t="s">
        <v>61</v>
      </c>
      <c r="K284" t="s">
        <v>62</v>
      </c>
      <c r="M284">
        <v>54.76</v>
      </c>
      <c r="N284" s="4">
        <f t="shared" si="4"/>
        <v>-59.572680788897003</v>
      </c>
      <c r="O284" t="s">
        <v>83</v>
      </c>
    </row>
    <row r="285" spans="1:15" x14ac:dyDescent="0.25">
      <c r="A285" s="22">
        <v>45674</v>
      </c>
      <c r="B285" s="1">
        <v>117041586</v>
      </c>
      <c r="C285" t="s">
        <v>310</v>
      </c>
      <c r="D285" s="23">
        <v>-4349.6000000000004</v>
      </c>
      <c r="E285" t="s">
        <v>35</v>
      </c>
      <c r="F285" s="2">
        <v>212901001</v>
      </c>
      <c r="G285" s="2" t="s">
        <v>91</v>
      </c>
      <c r="I285" s="95" t="s">
        <v>7231</v>
      </c>
      <c r="J285" t="s">
        <v>61</v>
      </c>
      <c r="K285" t="s">
        <v>62</v>
      </c>
      <c r="M285">
        <v>54.76</v>
      </c>
      <c r="N285" s="4">
        <f t="shared" si="4"/>
        <v>-79.43024105186268</v>
      </c>
      <c r="O285" t="s">
        <v>83</v>
      </c>
    </row>
    <row r="286" spans="1:15" x14ac:dyDescent="0.25">
      <c r="A286" s="22">
        <v>45674</v>
      </c>
      <c r="B286" s="1">
        <v>117041582</v>
      </c>
      <c r="C286" t="s">
        <v>311</v>
      </c>
      <c r="D286" s="23">
        <v>-5437</v>
      </c>
      <c r="E286" t="s">
        <v>35</v>
      </c>
      <c r="F286" s="2">
        <v>212901001</v>
      </c>
      <c r="G286" s="2" t="s">
        <v>91</v>
      </c>
      <c r="I286" s="95" t="s">
        <v>7231</v>
      </c>
      <c r="J286" t="s">
        <v>61</v>
      </c>
      <c r="K286" t="s">
        <v>62</v>
      </c>
      <c r="M286">
        <v>54.76</v>
      </c>
      <c r="N286" s="4">
        <f t="shared" si="4"/>
        <v>-99.287801314828343</v>
      </c>
      <c r="O286" t="s">
        <v>83</v>
      </c>
    </row>
    <row r="287" spans="1:15" x14ac:dyDescent="0.25">
      <c r="A287" s="22">
        <v>45674</v>
      </c>
      <c r="B287" s="1">
        <v>117041585</v>
      </c>
      <c r="C287" t="s">
        <v>312</v>
      </c>
      <c r="D287" s="23">
        <v>-4349.6000000000004</v>
      </c>
      <c r="E287" t="s">
        <v>35</v>
      </c>
      <c r="F287" s="2">
        <v>212901001</v>
      </c>
      <c r="G287" s="2" t="s">
        <v>91</v>
      </c>
      <c r="I287" s="95" t="s">
        <v>7231</v>
      </c>
      <c r="J287" t="s">
        <v>61</v>
      </c>
      <c r="K287" t="s">
        <v>62</v>
      </c>
      <c r="M287">
        <v>54.76</v>
      </c>
      <c r="N287" s="4">
        <f t="shared" si="4"/>
        <v>-79.43024105186268</v>
      </c>
      <c r="O287" t="s">
        <v>83</v>
      </c>
    </row>
    <row r="288" spans="1:15" x14ac:dyDescent="0.25">
      <c r="A288" s="22">
        <v>45674</v>
      </c>
      <c r="B288" s="1">
        <v>17041581</v>
      </c>
      <c r="C288" t="s">
        <v>313</v>
      </c>
      <c r="D288" s="23">
        <v>-8155.5</v>
      </c>
      <c r="E288" t="s">
        <v>35</v>
      </c>
      <c r="F288" s="2">
        <v>212901001</v>
      </c>
      <c r="G288" s="2" t="s">
        <v>91</v>
      </c>
      <c r="I288" s="95" t="s">
        <v>7231</v>
      </c>
      <c r="J288" t="s">
        <v>61</v>
      </c>
      <c r="K288" t="s">
        <v>62</v>
      </c>
      <c r="M288">
        <v>54.76</v>
      </c>
      <c r="N288" s="4">
        <f t="shared" si="4"/>
        <v>-148.93170197224251</v>
      </c>
      <c r="O288" t="s">
        <v>83</v>
      </c>
    </row>
    <row r="289" spans="1:15" x14ac:dyDescent="0.25">
      <c r="A289" s="22">
        <v>45674</v>
      </c>
      <c r="B289" s="1">
        <v>117041588</v>
      </c>
      <c r="C289" t="s">
        <v>314</v>
      </c>
      <c r="D289" s="23">
        <v>-4349.6000000000004</v>
      </c>
      <c r="E289" t="s">
        <v>35</v>
      </c>
      <c r="F289" s="2">
        <v>212901001</v>
      </c>
      <c r="G289" s="2" t="s">
        <v>91</v>
      </c>
      <c r="I289" s="95" t="s">
        <v>7231</v>
      </c>
      <c r="J289" t="s">
        <v>61</v>
      </c>
      <c r="K289" t="s">
        <v>62</v>
      </c>
      <c r="M289">
        <v>54.76</v>
      </c>
      <c r="N289" s="4">
        <f t="shared" si="4"/>
        <v>-79.43024105186268</v>
      </c>
      <c r="O289" t="s">
        <v>83</v>
      </c>
    </row>
    <row r="290" spans="1:15" x14ac:dyDescent="0.25">
      <c r="A290" s="22">
        <v>45674</v>
      </c>
      <c r="B290" s="1">
        <v>217041596</v>
      </c>
      <c r="C290" t="s">
        <v>315</v>
      </c>
      <c r="D290" s="23">
        <v>-2283.54</v>
      </c>
      <c r="E290" t="s">
        <v>35</v>
      </c>
      <c r="F290" s="2">
        <v>212901001</v>
      </c>
      <c r="G290" s="2" t="s">
        <v>91</v>
      </c>
      <c r="I290" s="95" t="s">
        <v>7231</v>
      </c>
      <c r="J290" t="s">
        <v>61</v>
      </c>
      <c r="K290" t="s">
        <v>62</v>
      </c>
      <c r="M290">
        <v>54.76</v>
      </c>
      <c r="N290" s="4">
        <f t="shared" si="4"/>
        <v>-41.700876552227903</v>
      </c>
      <c r="O290" t="s">
        <v>83</v>
      </c>
    </row>
    <row r="291" spans="1:15" x14ac:dyDescent="0.25">
      <c r="A291" s="22">
        <v>45674</v>
      </c>
      <c r="B291" s="1">
        <v>117041589</v>
      </c>
      <c r="C291" t="s">
        <v>316</v>
      </c>
      <c r="D291" s="23">
        <v>-4349.6000000000004</v>
      </c>
      <c r="E291" t="s">
        <v>35</v>
      </c>
      <c r="F291" s="2">
        <v>212901001</v>
      </c>
      <c r="G291" s="2" t="s">
        <v>91</v>
      </c>
      <c r="I291" s="95" t="s">
        <v>7231</v>
      </c>
      <c r="J291" t="s">
        <v>61</v>
      </c>
      <c r="K291" t="s">
        <v>62</v>
      </c>
      <c r="M291">
        <v>54.76</v>
      </c>
      <c r="N291" s="4">
        <f t="shared" si="4"/>
        <v>-79.43024105186268</v>
      </c>
      <c r="O291" t="s">
        <v>83</v>
      </c>
    </row>
    <row r="292" spans="1:15" x14ac:dyDescent="0.25">
      <c r="A292" s="22">
        <v>45674</v>
      </c>
      <c r="B292" s="1">
        <v>117041590</v>
      </c>
      <c r="C292" t="s">
        <v>317</v>
      </c>
      <c r="D292" s="23">
        <v>-4349.6000000000004</v>
      </c>
      <c r="E292" t="s">
        <v>35</v>
      </c>
      <c r="F292" s="2">
        <v>212901001</v>
      </c>
      <c r="G292" s="2" t="s">
        <v>91</v>
      </c>
      <c r="I292" s="95" t="s">
        <v>7231</v>
      </c>
      <c r="J292" t="s">
        <v>61</v>
      </c>
      <c r="K292" t="s">
        <v>62</v>
      </c>
      <c r="M292">
        <v>54.76</v>
      </c>
      <c r="N292" s="4">
        <f t="shared" si="4"/>
        <v>-79.43024105186268</v>
      </c>
      <c r="O292" t="s">
        <v>83</v>
      </c>
    </row>
    <row r="293" spans="1:15" x14ac:dyDescent="0.25">
      <c r="A293" s="22">
        <v>45674</v>
      </c>
      <c r="B293" s="1">
        <v>117041592</v>
      </c>
      <c r="C293" t="s">
        <v>318</v>
      </c>
      <c r="D293" s="23">
        <v>-2283.54</v>
      </c>
      <c r="E293" t="s">
        <v>35</v>
      </c>
      <c r="F293" s="2">
        <v>212901001</v>
      </c>
      <c r="G293" s="2" t="s">
        <v>91</v>
      </c>
      <c r="I293" s="95" t="s">
        <v>7231</v>
      </c>
      <c r="J293" t="s">
        <v>61</v>
      </c>
      <c r="K293" t="s">
        <v>62</v>
      </c>
      <c r="M293">
        <v>54.76</v>
      </c>
      <c r="N293" s="4">
        <f t="shared" si="4"/>
        <v>-41.700876552227903</v>
      </c>
      <c r="O293" t="s">
        <v>83</v>
      </c>
    </row>
    <row r="294" spans="1:15" x14ac:dyDescent="0.25">
      <c r="A294" s="22">
        <v>45674</v>
      </c>
      <c r="B294" s="1">
        <v>117041595</v>
      </c>
      <c r="C294" t="s">
        <v>319</v>
      </c>
      <c r="D294" s="23">
        <v>-2718.5</v>
      </c>
      <c r="E294" t="s">
        <v>35</v>
      </c>
      <c r="F294" s="2">
        <v>212901001</v>
      </c>
      <c r="G294" s="2" t="s">
        <v>91</v>
      </c>
      <c r="I294" s="95" t="s">
        <v>7231</v>
      </c>
      <c r="J294" t="s">
        <v>61</v>
      </c>
      <c r="K294" t="s">
        <v>62</v>
      </c>
      <c r="M294">
        <v>54.76</v>
      </c>
      <c r="N294" s="4">
        <f t="shared" si="4"/>
        <v>-49.643900657414171</v>
      </c>
      <c r="O294" t="s">
        <v>83</v>
      </c>
    </row>
    <row r="295" spans="1:15" x14ac:dyDescent="0.25">
      <c r="A295" s="22">
        <v>45674</v>
      </c>
      <c r="B295" s="1">
        <v>117041593</v>
      </c>
      <c r="C295" t="s">
        <v>320</v>
      </c>
      <c r="D295" s="23">
        <v>-2718.5</v>
      </c>
      <c r="E295" t="s">
        <v>35</v>
      </c>
      <c r="F295" s="2">
        <v>212901001</v>
      </c>
      <c r="G295" s="2" t="s">
        <v>91</v>
      </c>
      <c r="I295" s="95" t="s">
        <v>7231</v>
      </c>
      <c r="J295" t="s">
        <v>61</v>
      </c>
      <c r="K295" t="s">
        <v>62</v>
      </c>
      <c r="M295">
        <v>54.76</v>
      </c>
      <c r="N295" s="4">
        <f t="shared" si="4"/>
        <v>-49.643900657414171</v>
      </c>
      <c r="O295" t="s">
        <v>83</v>
      </c>
    </row>
    <row r="296" spans="1:15" x14ac:dyDescent="0.25">
      <c r="A296" s="22">
        <v>45674</v>
      </c>
      <c r="B296" s="1">
        <v>117041587</v>
      </c>
      <c r="C296" t="s">
        <v>321</v>
      </c>
      <c r="D296" s="23">
        <v>-4349.6000000000004</v>
      </c>
      <c r="E296" t="s">
        <v>35</v>
      </c>
      <c r="F296" s="2">
        <v>212901001</v>
      </c>
      <c r="G296" s="2" t="s">
        <v>91</v>
      </c>
      <c r="I296" s="95" t="s">
        <v>7231</v>
      </c>
      <c r="J296" t="s">
        <v>61</v>
      </c>
      <c r="K296" t="s">
        <v>62</v>
      </c>
      <c r="M296">
        <v>54.76</v>
      </c>
      <c r="N296" s="4">
        <f t="shared" si="4"/>
        <v>-79.43024105186268</v>
      </c>
      <c r="O296" t="s">
        <v>83</v>
      </c>
    </row>
    <row r="297" spans="1:15" x14ac:dyDescent="0.25">
      <c r="A297" s="22">
        <v>45674</v>
      </c>
      <c r="B297" s="1">
        <v>217041602</v>
      </c>
      <c r="C297" t="s">
        <v>322</v>
      </c>
      <c r="D297" s="23">
        <v>-2174.8000000000002</v>
      </c>
      <c r="E297" t="s">
        <v>35</v>
      </c>
      <c r="F297" s="2">
        <v>212901001</v>
      </c>
      <c r="G297" s="2" t="s">
        <v>91</v>
      </c>
      <c r="I297" s="95" t="s">
        <v>7231</v>
      </c>
      <c r="J297" t="s">
        <v>61</v>
      </c>
      <c r="K297" t="s">
        <v>62</v>
      </c>
      <c r="M297">
        <v>54.76</v>
      </c>
      <c r="N297" s="4">
        <f t="shared" si="4"/>
        <v>-39.71512052593134</v>
      </c>
      <c r="O297" t="s">
        <v>83</v>
      </c>
    </row>
    <row r="298" spans="1:15" x14ac:dyDescent="0.25">
      <c r="A298" s="22">
        <v>45674</v>
      </c>
      <c r="B298" s="1">
        <v>217041601</v>
      </c>
      <c r="C298" t="s">
        <v>323</v>
      </c>
      <c r="D298" s="23">
        <v>-2174.8000000000002</v>
      </c>
      <c r="E298" t="s">
        <v>35</v>
      </c>
      <c r="F298" s="2">
        <v>212901001</v>
      </c>
      <c r="G298" s="2" t="s">
        <v>91</v>
      </c>
      <c r="I298" s="95" t="s">
        <v>7231</v>
      </c>
      <c r="J298" t="s">
        <v>61</v>
      </c>
      <c r="K298" t="s">
        <v>62</v>
      </c>
      <c r="M298">
        <v>54.76</v>
      </c>
      <c r="N298" s="4">
        <f t="shared" si="4"/>
        <v>-39.71512052593134</v>
      </c>
      <c r="O298" t="s">
        <v>83</v>
      </c>
    </row>
    <row r="299" spans="1:15" x14ac:dyDescent="0.25">
      <c r="A299" s="22">
        <v>45674</v>
      </c>
      <c r="B299" s="1">
        <v>217041605</v>
      </c>
      <c r="C299" t="s">
        <v>324</v>
      </c>
      <c r="D299" s="23">
        <v>-2174.8000000000002</v>
      </c>
      <c r="E299" t="s">
        <v>35</v>
      </c>
      <c r="F299" s="2">
        <v>212901001</v>
      </c>
      <c r="G299" s="2" t="s">
        <v>91</v>
      </c>
      <c r="I299" s="95" t="s">
        <v>7231</v>
      </c>
      <c r="J299" t="s">
        <v>61</v>
      </c>
      <c r="K299" t="s">
        <v>62</v>
      </c>
      <c r="M299">
        <v>54.76</v>
      </c>
      <c r="N299" s="4">
        <f t="shared" si="4"/>
        <v>-39.71512052593134</v>
      </c>
      <c r="O299" t="s">
        <v>83</v>
      </c>
    </row>
    <row r="300" spans="1:15" x14ac:dyDescent="0.25">
      <c r="A300" s="22">
        <v>45674</v>
      </c>
      <c r="B300" s="1">
        <v>217041607</v>
      </c>
      <c r="C300" t="s">
        <v>325</v>
      </c>
      <c r="D300" s="23">
        <v>-2174.8000000000002</v>
      </c>
      <c r="E300" t="s">
        <v>35</v>
      </c>
      <c r="F300" s="2">
        <v>212901001</v>
      </c>
      <c r="G300" s="2" t="s">
        <v>91</v>
      </c>
      <c r="I300" s="95" t="s">
        <v>7231</v>
      </c>
      <c r="J300" t="s">
        <v>61</v>
      </c>
      <c r="K300" t="s">
        <v>62</v>
      </c>
      <c r="M300">
        <v>54.76</v>
      </c>
      <c r="N300" s="4">
        <f t="shared" si="4"/>
        <v>-39.71512052593134</v>
      </c>
      <c r="O300" t="s">
        <v>83</v>
      </c>
    </row>
    <row r="301" spans="1:15" x14ac:dyDescent="0.25">
      <c r="A301" s="22">
        <v>45674</v>
      </c>
      <c r="B301" s="1">
        <v>217041598</v>
      </c>
      <c r="C301" t="s">
        <v>326</v>
      </c>
      <c r="D301" s="23">
        <v>-2718.5</v>
      </c>
      <c r="E301" t="s">
        <v>35</v>
      </c>
      <c r="F301" s="2">
        <v>212901001</v>
      </c>
      <c r="G301" s="2" t="s">
        <v>91</v>
      </c>
      <c r="I301" s="95" t="s">
        <v>7231</v>
      </c>
      <c r="J301" t="s">
        <v>61</v>
      </c>
      <c r="K301" t="s">
        <v>62</v>
      </c>
      <c r="M301">
        <v>54.76</v>
      </c>
      <c r="N301" s="4">
        <f t="shared" si="4"/>
        <v>-49.643900657414171</v>
      </c>
      <c r="O301" t="s">
        <v>83</v>
      </c>
    </row>
    <row r="302" spans="1:15" x14ac:dyDescent="0.25">
      <c r="A302" s="22">
        <v>45674</v>
      </c>
      <c r="B302" s="1">
        <v>217041604</v>
      </c>
      <c r="C302" t="s">
        <v>327</v>
      </c>
      <c r="D302" s="23">
        <v>-2174.8000000000002</v>
      </c>
      <c r="E302" t="s">
        <v>35</v>
      </c>
      <c r="F302" s="2">
        <v>212901001</v>
      </c>
      <c r="G302" s="2" t="s">
        <v>91</v>
      </c>
      <c r="I302" s="95" t="s">
        <v>7231</v>
      </c>
      <c r="J302" t="s">
        <v>61</v>
      </c>
      <c r="K302" t="s">
        <v>62</v>
      </c>
      <c r="M302">
        <v>54.76</v>
      </c>
      <c r="N302" s="4">
        <f t="shared" si="4"/>
        <v>-39.71512052593134</v>
      </c>
      <c r="O302" t="s">
        <v>83</v>
      </c>
    </row>
    <row r="303" spans="1:15" x14ac:dyDescent="0.25">
      <c r="A303" s="22">
        <v>45674</v>
      </c>
      <c r="B303" s="1">
        <v>217041606</v>
      </c>
      <c r="C303" t="s">
        <v>328</v>
      </c>
      <c r="D303" s="23">
        <v>-2174.8000000000002</v>
      </c>
      <c r="E303" t="s">
        <v>35</v>
      </c>
      <c r="F303" s="2">
        <v>212901001</v>
      </c>
      <c r="G303" s="2" t="s">
        <v>91</v>
      </c>
      <c r="I303" s="95" t="s">
        <v>7231</v>
      </c>
      <c r="J303" t="s">
        <v>61</v>
      </c>
      <c r="K303" t="s">
        <v>62</v>
      </c>
      <c r="M303">
        <v>54.76</v>
      </c>
      <c r="N303" s="4">
        <f t="shared" si="4"/>
        <v>-39.71512052593134</v>
      </c>
      <c r="O303" t="s">
        <v>83</v>
      </c>
    </row>
    <row r="304" spans="1:15" x14ac:dyDescent="0.25">
      <c r="A304" s="22">
        <v>45674</v>
      </c>
      <c r="B304" s="1">
        <v>317041608</v>
      </c>
      <c r="C304" t="s">
        <v>329</v>
      </c>
      <c r="D304" s="23">
        <v>-5437</v>
      </c>
      <c r="E304" t="s">
        <v>35</v>
      </c>
      <c r="F304" s="2">
        <v>212901001</v>
      </c>
      <c r="G304" s="2" t="s">
        <v>91</v>
      </c>
      <c r="I304" s="95" t="s">
        <v>7231</v>
      </c>
      <c r="J304" t="s">
        <v>61</v>
      </c>
      <c r="K304" t="s">
        <v>62</v>
      </c>
      <c r="M304">
        <v>54.76</v>
      </c>
      <c r="N304" s="4">
        <f t="shared" si="4"/>
        <v>-99.287801314828343</v>
      </c>
      <c r="O304" t="s">
        <v>83</v>
      </c>
    </row>
    <row r="305" spans="1:15" x14ac:dyDescent="0.25">
      <c r="A305" s="22">
        <v>45674</v>
      </c>
      <c r="B305" s="1">
        <v>317041609</v>
      </c>
      <c r="C305" t="s">
        <v>330</v>
      </c>
      <c r="D305" s="23">
        <v>-5437</v>
      </c>
      <c r="E305" t="s">
        <v>35</v>
      </c>
      <c r="F305" s="2">
        <v>212901001</v>
      </c>
      <c r="G305" s="2" t="s">
        <v>91</v>
      </c>
      <c r="I305" s="95" t="s">
        <v>7231</v>
      </c>
      <c r="J305" t="s">
        <v>61</v>
      </c>
      <c r="K305" t="s">
        <v>62</v>
      </c>
      <c r="M305">
        <v>54.76</v>
      </c>
      <c r="N305" s="4">
        <f t="shared" si="4"/>
        <v>-99.287801314828343</v>
      </c>
      <c r="O305" t="s">
        <v>83</v>
      </c>
    </row>
    <row r="306" spans="1:15" x14ac:dyDescent="0.25">
      <c r="A306" s="22">
        <v>45674</v>
      </c>
      <c r="B306" s="1">
        <v>217041603</v>
      </c>
      <c r="C306" t="s">
        <v>331</v>
      </c>
      <c r="D306" s="23">
        <v>-2174.8000000000002</v>
      </c>
      <c r="E306" t="s">
        <v>35</v>
      </c>
      <c r="F306" s="2">
        <v>212901001</v>
      </c>
      <c r="G306" s="2" t="s">
        <v>91</v>
      </c>
      <c r="I306" s="95" t="s">
        <v>7231</v>
      </c>
      <c r="J306" t="s">
        <v>61</v>
      </c>
      <c r="K306" t="s">
        <v>62</v>
      </c>
      <c r="M306">
        <v>54.76</v>
      </c>
      <c r="N306" s="4">
        <f t="shared" si="4"/>
        <v>-39.71512052593134</v>
      </c>
      <c r="O306" t="s">
        <v>83</v>
      </c>
    </row>
    <row r="307" spans="1:15" x14ac:dyDescent="0.25">
      <c r="A307" s="22">
        <v>45674</v>
      </c>
      <c r="B307" s="1">
        <v>217041599</v>
      </c>
      <c r="C307" t="s">
        <v>332</v>
      </c>
      <c r="D307" s="23">
        <v>-2718.5</v>
      </c>
      <c r="E307" t="s">
        <v>35</v>
      </c>
      <c r="F307" s="2">
        <v>212901001</v>
      </c>
      <c r="G307" s="2" t="s">
        <v>91</v>
      </c>
      <c r="I307" s="95" t="s">
        <v>7231</v>
      </c>
      <c r="J307" t="s">
        <v>61</v>
      </c>
      <c r="K307" t="s">
        <v>62</v>
      </c>
      <c r="M307">
        <v>54.76</v>
      </c>
      <c r="N307" s="4">
        <f t="shared" si="4"/>
        <v>-49.643900657414171</v>
      </c>
      <c r="O307" t="s">
        <v>83</v>
      </c>
    </row>
    <row r="308" spans="1:15" x14ac:dyDescent="0.25">
      <c r="A308" s="22">
        <v>45674</v>
      </c>
      <c r="B308" s="1">
        <v>317041616</v>
      </c>
      <c r="C308" t="s">
        <v>333</v>
      </c>
      <c r="D308" s="23">
        <v>-2664.13</v>
      </c>
      <c r="E308" t="s">
        <v>35</v>
      </c>
      <c r="F308" s="2">
        <v>212901001</v>
      </c>
      <c r="G308" s="2" t="s">
        <v>91</v>
      </c>
      <c r="I308" s="95" t="s">
        <v>7231</v>
      </c>
      <c r="J308" t="s">
        <v>61</v>
      </c>
      <c r="K308" t="s">
        <v>62</v>
      </c>
      <c r="M308">
        <v>54.76</v>
      </c>
      <c r="N308" s="4">
        <f t="shared" si="4"/>
        <v>-48.651022644265893</v>
      </c>
      <c r="O308" t="s">
        <v>83</v>
      </c>
    </row>
    <row r="309" spans="1:15" x14ac:dyDescent="0.25">
      <c r="A309" s="22">
        <v>45674</v>
      </c>
      <c r="B309" s="1">
        <v>317041610</v>
      </c>
      <c r="C309" t="s">
        <v>334</v>
      </c>
      <c r="D309" s="23">
        <v>-8155.5</v>
      </c>
      <c r="E309" t="s">
        <v>35</v>
      </c>
      <c r="F309" s="2">
        <v>212901001</v>
      </c>
      <c r="G309" s="2" t="s">
        <v>91</v>
      </c>
      <c r="I309" s="95" t="s">
        <v>7231</v>
      </c>
      <c r="J309" t="s">
        <v>61</v>
      </c>
      <c r="K309" t="s">
        <v>62</v>
      </c>
      <c r="M309">
        <v>54.76</v>
      </c>
      <c r="N309" s="4">
        <f t="shared" si="4"/>
        <v>-148.93170197224251</v>
      </c>
      <c r="O309" t="s">
        <v>83</v>
      </c>
    </row>
    <row r="310" spans="1:15" x14ac:dyDescent="0.25">
      <c r="A310" s="22">
        <v>45674</v>
      </c>
      <c r="B310" s="1">
        <v>317041611</v>
      </c>
      <c r="C310" t="s">
        <v>335</v>
      </c>
      <c r="D310" s="23">
        <v>-1631.1</v>
      </c>
      <c r="E310" t="s">
        <v>35</v>
      </c>
      <c r="F310" s="2">
        <v>212901001</v>
      </c>
      <c r="G310" s="2" t="s">
        <v>91</v>
      </c>
      <c r="I310" s="95" t="s">
        <v>7231</v>
      </c>
      <c r="J310" t="s">
        <v>61</v>
      </c>
      <c r="K310" t="s">
        <v>62</v>
      </c>
      <c r="M310">
        <v>54.76</v>
      </c>
      <c r="N310" s="4">
        <f t="shared" si="4"/>
        <v>-29.786340394448501</v>
      </c>
      <c r="O310" t="s">
        <v>83</v>
      </c>
    </row>
    <row r="311" spans="1:15" x14ac:dyDescent="0.25">
      <c r="A311" s="22">
        <v>45674</v>
      </c>
      <c r="B311" s="1">
        <v>317041613</v>
      </c>
      <c r="C311" t="s">
        <v>336</v>
      </c>
      <c r="D311" s="23">
        <v>-4349.6000000000004</v>
      </c>
      <c r="E311" t="s">
        <v>35</v>
      </c>
      <c r="F311" s="2">
        <v>212901001</v>
      </c>
      <c r="G311" s="2" t="s">
        <v>91</v>
      </c>
      <c r="I311" s="95" t="s">
        <v>7231</v>
      </c>
      <c r="J311" t="s">
        <v>61</v>
      </c>
      <c r="K311" t="s">
        <v>62</v>
      </c>
      <c r="M311">
        <v>54.76</v>
      </c>
      <c r="N311" s="4">
        <f t="shared" si="4"/>
        <v>-79.43024105186268</v>
      </c>
      <c r="O311" t="s">
        <v>83</v>
      </c>
    </row>
    <row r="312" spans="1:15" x14ac:dyDescent="0.25">
      <c r="A312" s="22">
        <v>45674</v>
      </c>
      <c r="B312" s="1">
        <v>317041617</v>
      </c>
      <c r="C312" t="s">
        <v>337</v>
      </c>
      <c r="D312" s="23">
        <v>-3805.9</v>
      </c>
      <c r="E312" t="s">
        <v>35</v>
      </c>
      <c r="F312" s="2">
        <v>212901001</v>
      </c>
      <c r="G312" s="2" t="s">
        <v>91</v>
      </c>
      <c r="I312" s="95" t="s">
        <v>7231</v>
      </c>
      <c r="J312" t="s">
        <v>61</v>
      </c>
      <c r="K312" t="s">
        <v>62</v>
      </c>
      <c r="M312">
        <v>54.76</v>
      </c>
      <c r="N312" s="4">
        <f t="shared" si="4"/>
        <v>-69.501460920379841</v>
      </c>
      <c r="O312" t="s">
        <v>83</v>
      </c>
    </row>
    <row r="313" spans="1:15" x14ac:dyDescent="0.25">
      <c r="A313" s="22">
        <v>45674</v>
      </c>
      <c r="B313" s="1">
        <v>317041615</v>
      </c>
      <c r="C313" t="s">
        <v>338</v>
      </c>
      <c r="D313" s="23">
        <v>-5437</v>
      </c>
      <c r="E313" t="s">
        <v>35</v>
      </c>
      <c r="F313" s="2">
        <v>212901001</v>
      </c>
      <c r="G313" s="2" t="s">
        <v>91</v>
      </c>
      <c r="I313" s="95" t="s">
        <v>7231</v>
      </c>
      <c r="J313" t="s">
        <v>61</v>
      </c>
      <c r="K313" t="s">
        <v>62</v>
      </c>
      <c r="M313">
        <v>54.76</v>
      </c>
      <c r="N313" s="4">
        <f t="shared" si="4"/>
        <v>-99.287801314828343</v>
      </c>
      <c r="O313" t="s">
        <v>83</v>
      </c>
    </row>
    <row r="314" spans="1:15" x14ac:dyDescent="0.25">
      <c r="A314" s="22">
        <v>45674</v>
      </c>
      <c r="B314" s="1">
        <v>317041612</v>
      </c>
      <c r="C314" t="s">
        <v>339</v>
      </c>
      <c r="D314" s="23">
        <v>-5980.7</v>
      </c>
      <c r="E314" t="s">
        <v>35</v>
      </c>
      <c r="F314" s="2">
        <v>212901001</v>
      </c>
      <c r="G314" s="2" t="s">
        <v>91</v>
      </c>
      <c r="I314" s="95" t="s">
        <v>7231</v>
      </c>
      <c r="J314" t="s">
        <v>61</v>
      </c>
      <c r="K314" t="s">
        <v>62</v>
      </c>
      <c r="M314">
        <v>54.76</v>
      </c>
      <c r="N314" s="4">
        <f t="shared" si="4"/>
        <v>-109.21658144631118</v>
      </c>
      <c r="O314" t="s">
        <v>83</v>
      </c>
    </row>
    <row r="315" spans="1:15" x14ac:dyDescent="0.25">
      <c r="A315" s="22">
        <v>45674</v>
      </c>
      <c r="B315" s="1">
        <v>417041618</v>
      </c>
      <c r="C315" t="s">
        <v>340</v>
      </c>
      <c r="D315" s="23">
        <v>-3207.83</v>
      </c>
      <c r="E315" t="s">
        <v>35</v>
      </c>
      <c r="F315" s="2">
        <v>212901001</v>
      </c>
      <c r="G315" s="2" t="s">
        <v>91</v>
      </c>
      <c r="I315" s="95" t="s">
        <v>7231</v>
      </c>
      <c r="J315" t="s">
        <v>61</v>
      </c>
      <c r="K315" t="s">
        <v>62</v>
      </c>
      <c r="M315">
        <v>54.76</v>
      </c>
      <c r="N315" s="4">
        <f t="shared" si="4"/>
        <v>-58.579802775748725</v>
      </c>
      <c r="O315" t="s">
        <v>83</v>
      </c>
    </row>
    <row r="316" spans="1:15" x14ac:dyDescent="0.25">
      <c r="A316" s="22">
        <v>45674</v>
      </c>
      <c r="B316" s="1">
        <v>417041619</v>
      </c>
      <c r="C316" t="s">
        <v>341</v>
      </c>
      <c r="D316" s="23">
        <v>-3805.9</v>
      </c>
      <c r="E316" t="s">
        <v>35</v>
      </c>
      <c r="F316" s="2">
        <v>212901001</v>
      </c>
      <c r="G316" s="2" t="s">
        <v>91</v>
      </c>
      <c r="I316" s="95" t="s">
        <v>7231</v>
      </c>
      <c r="J316" t="s">
        <v>61</v>
      </c>
      <c r="K316" t="s">
        <v>62</v>
      </c>
      <c r="M316">
        <v>54.76</v>
      </c>
      <c r="N316" s="4">
        <f t="shared" si="4"/>
        <v>-69.501460920379841</v>
      </c>
      <c r="O316" t="s">
        <v>83</v>
      </c>
    </row>
    <row r="317" spans="1:15" x14ac:dyDescent="0.25">
      <c r="A317" s="22">
        <v>45674</v>
      </c>
      <c r="B317" s="1">
        <v>417041620</v>
      </c>
      <c r="C317" t="s">
        <v>342</v>
      </c>
      <c r="D317" s="23">
        <v>-2718.5</v>
      </c>
      <c r="E317" t="s">
        <v>35</v>
      </c>
      <c r="F317" s="2">
        <v>212901001</v>
      </c>
      <c r="G317" s="2" t="s">
        <v>91</v>
      </c>
      <c r="I317" s="95" t="s">
        <v>7231</v>
      </c>
      <c r="J317" t="s">
        <v>61</v>
      </c>
      <c r="K317" t="s">
        <v>62</v>
      </c>
      <c r="M317">
        <v>54.76</v>
      </c>
      <c r="N317" s="4">
        <f t="shared" si="4"/>
        <v>-49.643900657414171</v>
      </c>
      <c r="O317" t="s">
        <v>83</v>
      </c>
    </row>
    <row r="318" spans="1:15" x14ac:dyDescent="0.25">
      <c r="A318" s="22">
        <v>45674</v>
      </c>
      <c r="B318" s="1">
        <v>417041622</v>
      </c>
      <c r="C318" t="s">
        <v>343</v>
      </c>
      <c r="D318" s="23">
        <v>-2718.5</v>
      </c>
      <c r="E318" t="s">
        <v>35</v>
      </c>
      <c r="F318" s="2">
        <v>212901001</v>
      </c>
      <c r="G318" s="2" t="s">
        <v>91</v>
      </c>
      <c r="I318" s="95" t="s">
        <v>7231</v>
      </c>
      <c r="J318" t="s">
        <v>61</v>
      </c>
      <c r="K318" t="s">
        <v>62</v>
      </c>
      <c r="M318">
        <v>54.76</v>
      </c>
      <c r="N318" s="4">
        <f t="shared" si="4"/>
        <v>-49.643900657414171</v>
      </c>
      <c r="O318" t="s">
        <v>83</v>
      </c>
    </row>
    <row r="319" spans="1:15" x14ac:dyDescent="0.25">
      <c r="A319" s="22">
        <v>45674</v>
      </c>
      <c r="B319" s="1">
        <v>417041623</v>
      </c>
      <c r="C319" t="s">
        <v>344</v>
      </c>
      <c r="D319" s="23">
        <v>-2718.5</v>
      </c>
      <c r="E319" t="s">
        <v>35</v>
      </c>
      <c r="F319" s="2">
        <v>212901001</v>
      </c>
      <c r="G319" s="2" t="s">
        <v>91</v>
      </c>
      <c r="I319" s="95" t="s">
        <v>7231</v>
      </c>
      <c r="J319" t="s">
        <v>61</v>
      </c>
      <c r="K319" t="s">
        <v>62</v>
      </c>
      <c r="M319">
        <v>54.76</v>
      </c>
      <c r="N319" s="4">
        <f t="shared" si="4"/>
        <v>-49.643900657414171</v>
      </c>
      <c r="O319" t="s">
        <v>83</v>
      </c>
    </row>
    <row r="320" spans="1:15" x14ac:dyDescent="0.25">
      <c r="A320" s="22">
        <v>45674</v>
      </c>
      <c r="B320" s="1">
        <v>417041627</v>
      </c>
      <c r="C320" t="s">
        <v>345</v>
      </c>
      <c r="D320" s="23">
        <v>-2718.5</v>
      </c>
      <c r="E320" t="s">
        <v>35</v>
      </c>
      <c r="F320" s="2">
        <v>212901001</v>
      </c>
      <c r="G320" s="2" t="s">
        <v>91</v>
      </c>
      <c r="I320" s="95" t="s">
        <v>7231</v>
      </c>
      <c r="J320" t="s">
        <v>61</v>
      </c>
      <c r="K320" t="s">
        <v>62</v>
      </c>
      <c r="M320">
        <v>54.76</v>
      </c>
      <c r="N320" s="4">
        <f t="shared" si="4"/>
        <v>-49.643900657414171</v>
      </c>
      <c r="O320" t="s">
        <v>83</v>
      </c>
    </row>
    <row r="321" spans="1:15" x14ac:dyDescent="0.25">
      <c r="A321" s="22">
        <v>45674</v>
      </c>
      <c r="B321" s="1">
        <v>417041625</v>
      </c>
      <c r="C321" t="s">
        <v>346</v>
      </c>
      <c r="D321" s="23">
        <v>-2718.5</v>
      </c>
      <c r="E321" t="s">
        <v>35</v>
      </c>
      <c r="F321" s="2">
        <v>212901001</v>
      </c>
      <c r="G321" s="2" t="s">
        <v>91</v>
      </c>
      <c r="I321" s="95" t="s">
        <v>7231</v>
      </c>
      <c r="J321" t="s">
        <v>61</v>
      </c>
      <c r="K321" t="s">
        <v>62</v>
      </c>
      <c r="M321">
        <v>54.76</v>
      </c>
      <c r="N321" s="4">
        <f t="shared" si="4"/>
        <v>-49.643900657414171</v>
      </c>
      <c r="O321" t="s">
        <v>83</v>
      </c>
    </row>
    <row r="322" spans="1:15" x14ac:dyDescent="0.25">
      <c r="A322" s="22">
        <v>45674</v>
      </c>
      <c r="B322" s="1">
        <v>417041626</v>
      </c>
      <c r="C322" t="s">
        <v>347</v>
      </c>
      <c r="D322" s="23">
        <v>-2718.5</v>
      </c>
      <c r="E322" t="s">
        <v>35</v>
      </c>
      <c r="F322" s="2">
        <v>212901001</v>
      </c>
      <c r="G322" s="2" t="s">
        <v>91</v>
      </c>
      <c r="I322" s="95" t="s">
        <v>7231</v>
      </c>
      <c r="J322" t="s">
        <v>61</v>
      </c>
      <c r="K322" t="s">
        <v>62</v>
      </c>
      <c r="M322">
        <v>54.76</v>
      </c>
      <c r="N322" s="4">
        <f t="shared" si="4"/>
        <v>-49.643900657414171</v>
      </c>
      <c r="O322" t="s">
        <v>83</v>
      </c>
    </row>
    <row r="323" spans="1:15" x14ac:dyDescent="0.25">
      <c r="A323" s="22">
        <v>45674</v>
      </c>
      <c r="B323" s="1">
        <v>517041630</v>
      </c>
      <c r="C323" t="s">
        <v>348</v>
      </c>
      <c r="D323" s="23">
        <v>-2283.54</v>
      </c>
      <c r="E323" t="s">
        <v>35</v>
      </c>
      <c r="F323" s="2">
        <v>212901001</v>
      </c>
      <c r="G323" s="2" t="s">
        <v>91</v>
      </c>
      <c r="I323" s="95" t="s">
        <v>7231</v>
      </c>
      <c r="J323" t="s">
        <v>61</v>
      </c>
      <c r="K323" t="s">
        <v>62</v>
      </c>
      <c r="M323">
        <v>54.76</v>
      </c>
      <c r="N323" s="4">
        <f t="shared" si="4"/>
        <v>-41.700876552227903</v>
      </c>
      <c r="O323" t="s">
        <v>83</v>
      </c>
    </row>
    <row r="324" spans="1:15" x14ac:dyDescent="0.25">
      <c r="A324" s="22">
        <v>45674</v>
      </c>
      <c r="B324" s="1">
        <v>517041628</v>
      </c>
      <c r="C324" t="s">
        <v>343</v>
      </c>
      <c r="D324" s="23">
        <v>-2718.5</v>
      </c>
      <c r="E324" t="s">
        <v>35</v>
      </c>
      <c r="F324" s="2">
        <v>212901001</v>
      </c>
      <c r="G324" s="2" t="s">
        <v>91</v>
      </c>
      <c r="I324" s="95" t="s">
        <v>7231</v>
      </c>
      <c r="J324" t="s">
        <v>61</v>
      </c>
      <c r="K324" t="s">
        <v>62</v>
      </c>
      <c r="M324">
        <v>54.76</v>
      </c>
      <c r="N324" s="4">
        <f t="shared" si="4"/>
        <v>-49.643900657414171</v>
      </c>
      <c r="O324" t="s">
        <v>83</v>
      </c>
    </row>
    <row r="325" spans="1:15" x14ac:dyDescent="0.25">
      <c r="A325" s="22">
        <v>45674</v>
      </c>
      <c r="B325" s="1">
        <v>517041631</v>
      </c>
      <c r="C325" t="s">
        <v>349</v>
      </c>
      <c r="D325" s="23">
        <v>-2283.54</v>
      </c>
      <c r="E325" t="s">
        <v>35</v>
      </c>
      <c r="F325" s="2">
        <v>212901001</v>
      </c>
      <c r="G325" s="2" t="s">
        <v>91</v>
      </c>
      <c r="I325" s="95" t="s">
        <v>7231</v>
      </c>
      <c r="J325" t="s">
        <v>61</v>
      </c>
      <c r="K325" t="s">
        <v>62</v>
      </c>
      <c r="M325">
        <v>54.76</v>
      </c>
      <c r="N325" s="4">
        <f t="shared" si="4"/>
        <v>-41.700876552227903</v>
      </c>
      <c r="O325" t="s">
        <v>83</v>
      </c>
    </row>
    <row r="326" spans="1:15" x14ac:dyDescent="0.25">
      <c r="A326" s="22">
        <v>45674</v>
      </c>
      <c r="B326" s="1">
        <v>517041632</v>
      </c>
      <c r="C326" t="s">
        <v>350</v>
      </c>
      <c r="D326" s="23">
        <v>-2718.5</v>
      </c>
      <c r="E326" t="s">
        <v>35</v>
      </c>
      <c r="F326" s="2">
        <v>212901001</v>
      </c>
      <c r="G326" s="2" t="s">
        <v>91</v>
      </c>
      <c r="I326" s="95" t="s">
        <v>7231</v>
      </c>
      <c r="J326" t="s">
        <v>61</v>
      </c>
      <c r="K326" t="s">
        <v>62</v>
      </c>
      <c r="M326">
        <v>54.76</v>
      </c>
      <c r="N326" s="4">
        <f t="shared" si="4"/>
        <v>-49.643900657414171</v>
      </c>
      <c r="O326" t="s">
        <v>83</v>
      </c>
    </row>
    <row r="327" spans="1:15" x14ac:dyDescent="0.25">
      <c r="A327" s="22">
        <v>45674</v>
      </c>
      <c r="B327" s="1">
        <v>517041634</v>
      </c>
      <c r="C327" t="s">
        <v>351</v>
      </c>
      <c r="D327" s="23">
        <v>-2718.5</v>
      </c>
      <c r="E327" t="s">
        <v>35</v>
      </c>
      <c r="F327" s="2">
        <v>212901001</v>
      </c>
      <c r="G327" s="2" t="s">
        <v>91</v>
      </c>
      <c r="I327" s="95" t="s">
        <v>7231</v>
      </c>
      <c r="J327" t="s">
        <v>61</v>
      </c>
      <c r="K327" t="s">
        <v>62</v>
      </c>
      <c r="M327">
        <v>54.76</v>
      </c>
      <c r="N327" s="4">
        <f t="shared" si="4"/>
        <v>-49.643900657414171</v>
      </c>
      <c r="O327" t="s">
        <v>83</v>
      </c>
    </row>
    <row r="328" spans="1:15" x14ac:dyDescent="0.25">
      <c r="A328" s="22">
        <v>45674</v>
      </c>
      <c r="B328" s="1">
        <v>517041633</v>
      </c>
      <c r="C328" t="s">
        <v>352</v>
      </c>
      <c r="D328" s="23">
        <v>-2718.5</v>
      </c>
      <c r="E328" t="s">
        <v>35</v>
      </c>
      <c r="F328" s="2">
        <v>212901001</v>
      </c>
      <c r="G328" s="2" t="s">
        <v>91</v>
      </c>
      <c r="I328" s="95" t="s">
        <v>7231</v>
      </c>
      <c r="J328" t="s">
        <v>61</v>
      </c>
      <c r="K328" t="s">
        <v>62</v>
      </c>
      <c r="M328">
        <v>54.76</v>
      </c>
      <c r="N328" s="4">
        <f t="shared" si="4"/>
        <v>-49.643900657414171</v>
      </c>
      <c r="O328" t="s">
        <v>83</v>
      </c>
    </row>
    <row r="329" spans="1:15" x14ac:dyDescent="0.25">
      <c r="A329" s="22">
        <v>45674</v>
      </c>
      <c r="B329" s="1">
        <v>517041636</v>
      </c>
      <c r="C329" t="s">
        <v>353</v>
      </c>
      <c r="D329" s="23">
        <v>-1087.4000000000001</v>
      </c>
      <c r="E329" t="s">
        <v>35</v>
      </c>
      <c r="F329" s="2">
        <v>212901001</v>
      </c>
      <c r="G329" s="2" t="s">
        <v>91</v>
      </c>
      <c r="I329" s="95" t="s">
        <v>7231</v>
      </c>
      <c r="J329" t="s">
        <v>61</v>
      </c>
      <c r="K329" t="s">
        <v>62</v>
      </c>
      <c r="M329">
        <v>54.76</v>
      </c>
      <c r="N329" s="4">
        <f t="shared" si="4"/>
        <v>-19.85756026296567</v>
      </c>
      <c r="O329" t="s">
        <v>83</v>
      </c>
    </row>
    <row r="330" spans="1:15" x14ac:dyDescent="0.25">
      <c r="A330" s="22">
        <v>45674</v>
      </c>
      <c r="B330" s="1">
        <v>517041639</v>
      </c>
      <c r="C330" t="s">
        <v>354</v>
      </c>
      <c r="D330" s="23">
        <v>-1087.4000000000001</v>
      </c>
      <c r="E330" t="s">
        <v>35</v>
      </c>
      <c r="F330" s="2">
        <v>212901001</v>
      </c>
      <c r="G330" s="2" t="s">
        <v>91</v>
      </c>
      <c r="I330" s="95" t="s">
        <v>7231</v>
      </c>
      <c r="J330" t="s">
        <v>61</v>
      </c>
      <c r="K330" t="s">
        <v>62</v>
      </c>
      <c r="M330">
        <v>54.76</v>
      </c>
      <c r="N330" s="4">
        <f t="shared" si="4"/>
        <v>-19.85756026296567</v>
      </c>
      <c r="O330" t="s">
        <v>83</v>
      </c>
    </row>
    <row r="331" spans="1:15" x14ac:dyDescent="0.25">
      <c r="A331" s="22">
        <v>45674</v>
      </c>
      <c r="B331" s="1">
        <v>517041638</v>
      </c>
      <c r="C331" t="s">
        <v>355</v>
      </c>
      <c r="D331" s="23">
        <v>-1087.4000000000001</v>
      </c>
      <c r="E331" t="s">
        <v>35</v>
      </c>
      <c r="F331" s="2">
        <v>212901001</v>
      </c>
      <c r="G331" s="2" t="s">
        <v>91</v>
      </c>
      <c r="I331" s="95" t="s">
        <v>7231</v>
      </c>
      <c r="J331" t="s">
        <v>61</v>
      </c>
      <c r="K331" t="s">
        <v>62</v>
      </c>
      <c r="M331">
        <v>54.76</v>
      </c>
      <c r="N331" s="4">
        <f t="shared" si="4"/>
        <v>-19.85756026296567</v>
      </c>
      <c r="O331" t="s">
        <v>83</v>
      </c>
    </row>
    <row r="332" spans="1:15" x14ac:dyDescent="0.25">
      <c r="A332" s="22">
        <v>45674</v>
      </c>
      <c r="B332" s="1">
        <v>417041621</v>
      </c>
      <c r="C332" t="s">
        <v>356</v>
      </c>
      <c r="D332" s="23">
        <v>-2718.5</v>
      </c>
      <c r="E332" t="s">
        <v>35</v>
      </c>
      <c r="F332" s="2">
        <v>212901001</v>
      </c>
      <c r="G332" s="2" t="s">
        <v>91</v>
      </c>
      <c r="I332" s="95" t="s">
        <v>7231</v>
      </c>
      <c r="J332" t="s">
        <v>61</v>
      </c>
      <c r="K332" t="s">
        <v>62</v>
      </c>
      <c r="M332">
        <v>54.76</v>
      </c>
      <c r="N332" s="4">
        <f t="shared" ref="N332:N395" si="5">D332/M332</f>
        <v>-49.643900657414171</v>
      </c>
      <c r="O332" t="s">
        <v>83</v>
      </c>
    </row>
    <row r="333" spans="1:15" x14ac:dyDescent="0.25">
      <c r="A333" s="22">
        <v>45674</v>
      </c>
      <c r="B333" s="1">
        <v>417041624</v>
      </c>
      <c r="C333" t="s">
        <v>357</v>
      </c>
      <c r="D333" s="23">
        <v>-2718.5</v>
      </c>
      <c r="E333" t="s">
        <v>35</v>
      </c>
      <c r="F333" s="2">
        <v>212901001</v>
      </c>
      <c r="G333" s="2" t="s">
        <v>91</v>
      </c>
      <c r="I333" s="95" t="s">
        <v>7231</v>
      </c>
      <c r="J333" t="s">
        <v>61</v>
      </c>
      <c r="K333" t="s">
        <v>62</v>
      </c>
      <c r="M333">
        <v>54.76</v>
      </c>
      <c r="N333" s="4">
        <f t="shared" si="5"/>
        <v>-49.643900657414171</v>
      </c>
      <c r="O333" t="s">
        <v>83</v>
      </c>
    </row>
    <row r="334" spans="1:15" x14ac:dyDescent="0.25">
      <c r="A334" s="22">
        <v>45674</v>
      </c>
      <c r="B334" s="1">
        <v>617041641</v>
      </c>
      <c r="C334" t="s">
        <v>358</v>
      </c>
      <c r="D334" s="23">
        <v>-5437</v>
      </c>
      <c r="E334" t="s">
        <v>35</v>
      </c>
      <c r="F334" s="2">
        <v>212901001</v>
      </c>
      <c r="G334" s="2" t="s">
        <v>91</v>
      </c>
      <c r="I334" s="95" t="s">
        <v>7231</v>
      </c>
      <c r="J334" t="s">
        <v>61</v>
      </c>
      <c r="K334" t="s">
        <v>62</v>
      </c>
      <c r="M334">
        <v>54.76</v>
      </c>
      <c r="N334" s="4">
        <f t="shared" si="5"/>
        <v>-99.287801314828343</v>
      </c>
      <c r="O334" t="s">
        <v>83</v>
      </c>
    </row>
    <row r="335" spans="1:15" x14ac:dyDescent="0.25">
      <c r="A335" s="22">
        <v>45674</v>
      </c>
      <c r="B335" s="1">
        <v>617041642</v>
      </c>
      <c r="C335" t="s">
        <v>359</v>
      </c>
      <c r="D335" s="23">
        <v>-10874</v>
      </c>
      <c r="E335" t="s">
        <v>35</v>
      </c>
      <c r="F335" s="2">
        <v>212901001</v>
      </c>
      <c r="G335" s="2" t="s">
        <v>91</v>
      </c>
      <c r="I335" s="95" t="s">
        <v>7231</v>
      </c>
      <c r="J335" t="s">
        <v>61</v>
      </c>
      <c r="K335" t="s">
        <v>62</v>
      </c>
      <c r="M335">
        <v>54.76</v>
      </c>
      <c r="N335" s="4">
        <f t="shared" si="5"/>
        <v>-198.57560262965669</v>
      </c>
      <c r="O335" t="s">
        <v>83</v>
      </c>
    </row>
    <row r="336" spans="1:15" x14ac:dyDescent="0.25">
      <c r="A336" s="22">
        <v>45674</v>
      </c>
      <c r="B336" s="1">
        <v>617041643</v>
      </c>
      <c r="C336" t="s">
        <v>360</v>
      </c>
      <c r="D336" s="23">
        <v>-6306.92</v>
      </c>
      <c r="E336" t="s">
        <v>35</v>
      </c>
      <c r="F336" s="2">
        <v>212901001</v>
      </c>
      <c r="G336" s="2" t="s">
        <v>91</v>
      </c>
      <c r="I336" s="95" t="s">
        <v>7231</v>
      </c>
      <c r="J336" t="s">
        <v>61</v>
      </c>
      <c r="K336" t="s">
        <v>62</v>
      </c>
      <c r="M336">
        <v>54.76</v>
      </c>
      <c r="N336" s="4">
        <f t="shared" si="5"/>
        <v>-115.17384952520088</v>
      </c>
      <c r="O336" t="s">
        <v>83</v>
      </c>
    </row>
    <row r="337" spans="1:17" x14ac:dyDescent="0.25">
      <c r="A337" s="22">
        <v>45674</v>
      </c>
      <c r="B337" s="1">
        <v>517041635</v>
      </c>
      <c r="C337" t="s">
        <v>361</v>
      </c>
      <c r="D337" s="23">
        <v>-2718.5</v>
      </c>
      <c r="E337" t="s">
        <v>35</v>
      </c>
      <c r="F337" s="2">
        <v>212901001</v>
      </c>
      <c r="G337" s="2" t="s">
        <v>91</v>
      </c>
      <c r="I337" s="95" t="s">
        <v>7231</v>
      </c>
      <c r="J337" t="s">
        <v>61</v>
      </c>
      <c r="K337" t="s">
        <v>62</v>
      </c>
      <c r="M337">
        <v>54.76</v>
      </c>
      <c r="N337" s="4">
        <f t="shared" si="5"/>
        <v>-49.643900657414171</v>
      </c>
      <c r="O337" t="s">
        <v>83</v>
      </c>
    </row>
    <row r="338" spans="1:17" x14ac:dyDescent="0.25">
      <c r="A338" s="22">
        <v>45674</v>
      </c>
      <c r="B338" s="1">
        <v>617041640</v>
      </c>
      <c r="C338" t="s">
        <v>362</v>
      </c>
      <c r="D338" s="23">
        <v>-1087.4000000000001</v>
      </c>
      <c r="E338" t="s">
        <v>35</v>
      </c>
      <c r="F338" s="2">
        <v>212901001</v>
      </c>
      <c r="G338" s="2" t="s">
        <v>91</v>
      </c>
      <c r="I338" s="95" t="s">
        <v>7231</v>
      </c>
      <c r="J338" t="s">
        <v>61</v>
      </c>
      <c r="K338" t="s">
        <v>62</v>
      </c>
      <c r="M338">
        <v>54.76</v>
      </c>
      <c r="N338" s="4">
        <f t="shared" si="5"/>
        <v>-19.85756026296567</v>
      </c>
      <c r="O338" t="s">
        <v>83</v>
      </c>
    </row>
    <row r="339" spans="1:17" x14ac:dyDescent="0.25">
      <c r="A339" s="22">
        <v>45674</v>
      </c>
      <c r="B339" s="1">
        <v>617041645</v>
      </c>
      <c r="C339" t="s">
        <v>363</v>
      </c>
      <c r="D339" s="23">
        <v>-1631.1</v>
      </c>
      <c r="E339" t="s">
        <v>35</v>
      </c>
      <c r="F339" s="2">
        <v>212901001</v>
      </c>
      <c r="G339" s="2" t="s">
        <v>91</v>
      </c>
      <c r="I339" s="95" t="s">
        <v>7231</v>
      </c>
      <c r="J339" t="s">
        <v>61</v>
      </c>
      <c r="K339" t="s">
        <v>62</v>
      </c>
      <c r="M339">
        <v>54.76</v>
      </c>
      <c r="N339" s="4">
        <f t="shared" si="5"/>
        <v>-29.786340394448501</v>
      </c>
      <c r="O339" t="s">
        <v>83</v>
      </c>
    </row>
    <row r="340" spans="1:17" x14ac:dyDescent="0.25">
      <c r="A340" s="22">
        <v>45674</v>
      </c>
      <c r="B340" s="1">
        <v>617041646</v>
      </c>
      <c r="C340" t="s">
        <v>364</v>
      </c>
      <c r="D340" s="23">
        <v>-2174.8000000000002</v>
      </c>
      <c r="E340" t="s">
        <v>35</v>
      </c>
      <c r="F340" s="2">
        <v>212901001</v>
      </c>
      <c r="G340" s="2" t="s">
        <v>91</v>
      </c>
      <c r="I340" s="95" t="s">
        <v>7231</v>
      </c>
      <c r="J340" t="s">
        <v>61</v>
      </c>
      <c r="K340" t="s">
        <v>62</v>
      </c>
      <c r="M340">
        <v>54.76</v>
      </c>
      <c r="N340" s="4">
        <f t="shared" si="5"/>
        <v>-39.71512052593134</v>
      </c>
      <c r="O340" t="s">
        <v>83</v>
      </c>
    </row>
    <row r="341" spans="1:17" x14ac:dyDescent="0.25">
      <c r="A341" s="22">
        <v>45674</v>
      </c>
      <c r="B341" s="1">
        <v>50141637</v>
      </c>
      <c r="C341" t="s">
        <v>365</v>
      </c>
      <c r="D341" s="23">
        <v>-7611.8</v>
      </c>
      <c r="E341" t="s">
        <v>35</v>
      </c>
      <c r="F341" s="2">
        <v>212901001</v>
      </c>
      <c r="G341" s="2" t="s">
        <v>91</v>
      </c>
      <c r="I341" s="95" t="s">
        <v>7231</v>
      </c>
      <c r="J341" t="s">
        <v>61</v>
      </c>
      <c r="K341" t="s">
        <v>62</v>
      </c>
      <c r="M341">
        <v>54.76</v>
      </c>
      <c r="N341" s="4">
        <f t="shared" si="5"/>
        <v>-139.00292184075968</v>
      </c>
      <c r="O341" t="s">
        <v>83</v>
      </c>
    </row>
    <row r="342" spans="1:17" x14ac:dyDescent="0.25">
      <c r="A342" s="22">
        <v>45674</v>
      </c>
      <c r="B342" s="1">
        <v>50141637</v>
      </c>
      <c r="C342" t="s">
        <v>179</v>
      </c>
      <c r="D342" s="23">
        <v>-11.41</v>
      </c>
      <c r="E342" t="s">
        <v>35</v>
      </c>
      <c r="F342" s="2">
        <v>610148001</v>
      </c>
      <c r="G342" s="2" t="s">
        <v>41</v>
      </c>
      <c r="I342" s="95" t="s">
        <v>7231</v>
      </c>
      <c r="J342" t="s">
        <v>42</v>
      </c>
      <c r="K342" t="s">
        <v>41</v>
      </c>
      <c r="M342">
        <v>54.76</v>
      </c>
      <c r="N342" s="4">
        <f t="shared" si="5"/>
        <v>-0.20836376917457999</v>
      </c>
      <c r="O342" t="s">
        <v>83</v>
      </c>
      <c r="Q342" s="24" t="s">
        <v>43</v>
      </c>
    </row>
    <row r="343" spans="1:17" x14ac:dyDescent="0.25">
      <c r="A343" s="22">
        <v>45674</v>
      </c>
      <c r="B343" s="1">
        <v>50141637</v>
      </c>
      <c r="C343" t="s">
        <v>89</v>
      </c>
      <c r="D343" s="23">
        <v>-607.85</v>
      </c>
      <c r="E343" t="s">
        <v>35</v>
      </c>
      <c r="F343" s="2">
        <v>610148001</v>
      </c>
      <c r="G343" s="2" t="s">
        <v>41</v>
      </c>
      <c r="I343" s="95" t="s">
        <v>7231</v>
      </c>
      <c r="J343" t="s">
        <v>42</v>
      </c>
      <c r="K343" t="s">
        <v>41</v>
      </c>
      <c r="M343">
        <v>54.76</v>
      </c>
      <c r="N343" s="4">
        <f t="shared" si="5"/>
        <v>-11.100255661066473</v>
      </c>
      <c r="O343" t="s">
        <v>83</v>
      </c>
      <c r="Q343" s="24" t="s">
        <v>43</v>
      </c>
    </row>
    <row r="344" spans="1:17" x14ac:dyDescent="0.25">
      <c r="A344" s="22">
        <v>45674</v>
      </c>
      <c r="B344" s="1">
        <v>170341026</v>
      </c>
      <c r="C344" t="s">
        <v>366</v>
      </c>
      <c r="D344" s="23">
        <v>200000</v>
      </c>
      <c r="E344" t="s">
        <v>45</v>
      </c>
      <c r="F344" s="2">
        <v>210115002</v>
      </c>
      <c r="G344" s="2" t="s">
        <v>46</v>
      </c>
      <c r="I344" s="95" t="s">
        <v>7231</v>
      </c>
      <c r="K344" t="s">
        <v>366</v>
      </c>
      <c r="M344">
        <v>54.76</v>
      </c>
      <c r="N344" s="4">
        <f t="shared" si="5"/>
        <v>3652.3009495982469</v>
      </c>
      <c r="O344" t="s">
        <v>83</v>
      </c>
    </row>
    <row r="345" spans="1:17" x14ac:dyDescent="0.25">
      <c r="A345" s="22">
        <v>45674</v>
      </c>
      <c r="B345" s="1">
        <v>270341219</v>
      </c>
      <c r="C345" t="s">
        <v>366</v>
      </c>
      <c r="D345" s="23">
        <v>50000</v>
      </c>
      <c r="E345" t="s">
        <v>45</v>
      </c>
      <c r="F345" s="2">
        <v>210115002</v>
      </c>
      <c r="G345" s="2" t="s">
        <v>46</v>
      </c>
      <c r="I345" s="95" t="s">
        <v>7231</v>
      </c>
      <c r="K345" t="s">
        <v>366</v>
      </c>
      <c r="M345">
        <v>54.76</v>
      </c>
      <c r="N345" s="4">
        <f t="shared" si="5"/>
        <v>913.07523739956173</v>
      </c>
      <c r="O345" t="s">
        <v>83</v>
      </c>
    </row>
    <row r="346" spans="1:17" x14ac:dyDescent="0.25">
      <c r="A346" s="22">
        <v>45674</v>
      </c>
      <c r="B346" s="1">
        <v>717047985</v>
      </c>
      <c r="C346" t="s">
        <v>367</v>
      </c>
      <c r="D346" s="23">
        <v>-15169.32</v>
      </c>
      <c r="E346" t="s">
        <v>35</v>
      </c>
      <c r="F346" s="2">
        <v>210101001</v>
      </c>
      <c r="G346" s="2" t="s">
        <v>36</v>
      </c>
      <c r="I346" s="95" t="s">
        <v>7231</v>
      </c>
      <c r="J346" t="s">
        <v>368</v>
      </c>
      <c r="K346" t="s">
        <v>80</v>
      </c>
      <c r="M346">
        <v>54.76</v>
      </c>
      <c r="N346" s="4">
        <f t="shared" si="5"/>
        <v>-277.01460920379839</v>
      </c>
      <c r="O346" t="s">
        <v>83</v>
      </c>
    </row>
    <row r="347" spans="1:17" x14ac:dyDescent="0.25">
      <c r="A347" s="22">
        <v>45674</v>
      </c>
      <c r="B347" s="1">
        <v>717047984</v>
      </c>
      <c r="C347" t="s">
        <v>369</v>
      </c>
      <c r="D347" s="23">
        <v>-193990.64</v>
      </c>
      <c r="E347" t="s">
        <v>35</v>
      </c>
      <c r="F347" s="2">
        <v>210101001</v>
      </c>
      <c r="G347" s="2" t="s">
        <v>36</v>
      </c>
      <c r="I347" s="95" t="s">
        <v>7231</v>
      </c>
      <c r="J347" t="s">
        <v>37</v>
      </c>
      <c r="K347" t="s">
        <v>38</v>
      </c>
      <c r="M347">
        <v>54.76</v>
      </c>
      <c r="N347" s="4">
        <f t="shared" si="5"/>
        <v>-3542.5609934258587</v>
      </c>
      <c r="O347" t="s">
        <v>83</v>
      </c>
    </row>
    <row r="348" spans="1:17" x14ac:dyDescent="0.25">
      <c r="A348" s="22">
        <v>45674</v>
      </c>
      <c r="B348" s="1">
        <v>717047987</v>
      </c>
      <c r="C348" t="s">
        <v>370</v>
      </c>
      <c r="D348" s="23">
        <v>-3833.2</v>
      </c>
      <c r="E348" t="s">
        <v>35</v>
      </c>
      <c r="F348" s="2">
        <v>212901001</v>
      </c>
      <c r="G348" s="2" t="s">
        <v>91</v>
      </c>
      <c r="I348" s="95" t="s">
        <v>7231</v>
      </c>
      <c r="J348" t="s">
        <v>61</v>
      </c>
      <c r="K348" t="s">
        <v>62</v>
      </c>
      <c r="M348">
        <v>54.76</v>
      </c>
      <c r="N348" s="4">
        <f t="shared" si="5"/>
        <v>-70</v>
      </c>
      <c r="O348" t="s">
        <v>83</v>
      </c>
    </row>
    <row r="349" spans="1:17" x14ac:dyDescent="0.25">
      <c r="A349" s="22">
        <v>45674</v>
      </c>
      <c r="B349" s="1">
        <v>717047986</v>
      </c>
      <c r="C349" t="s">
        <v>371</v>
      </c>
      <c r="D349" s="23">
        <v>-2628.48</v>
      </c>
      <c r="E349" t="s">
        <v>35</v>
      </c>
      <c r="F349" s="2">
        <v>212901001</v>
      </c>
      <c r="G349" s="2" t="s">
        <v>91</v>
      </c>
      <c r="I349" s="95" t="s">
        <v>7231</v>
      </c>
      <c r="J349" t="s">
        <v>61</v>
      </c>
      <c r="K349" t="s">
        <v>62</v>
      </c>
      <c r="M349">
        <v>54.76</v>
      </c>
      <c r="N349" s="4">
        <f t="shared" si="5"/>
        <v>-48</v>
      </c>
      <c r="O349" t="s">
        <v>83</v>
      </c>
    </row>
    <row r="350" spans="1:17" x14ac:dyDescent="0.25">
      <c r="A350" s="22">
        <v>45674</v>
      </c>
      <c r="B350" s="1">
        <v>717047988</v>
      </c>
      <c r="C350" t="s">
        <v>372</v>
      </c>
      <c r="D350" s="23">
        <v>-2738</v>
      </c>
      <c r="E350" t="s">
        <v>35</v>
      </c>
      <c r="F350" s="2">
        <v>212901001</v>
      </c>
      <c r="G350" s="2" t="s">
        <v>91</v>
      </c>
      <c r="I350" s="95" t="s">
        <v>7231</v>
      </c>
      <c r="J350" t="s">
        <v>61</v>
      </c>
      <c r="K350" t="s">
        <v>62</v>
      </c>
      <c r="M350">
        <v>54.76</v>
      </c>
      <c r="N350" s="4">
        <f t="shared" si="5"/>
        <v>-50</v>
      </c>
      <c r="O350" t="s">
        <v>83</v>
      </c>
    </row>
    <row r="351" spans="1:17" x14ac:dyDescent="0.25">
      <c r="A351" s="22">
        <v>45674</v>
      </c>
      <c r="B351" s="1">
        <v>717047992</v>
      </c>
      <c r="C351" t="s">
        <v>105</v>
      </c>
      <c r="D351" s="23">
        <v>-1095.2</v>
      </c>
      <c r="E351" t="s">
        <v>35</v>
      </c>
      <c r="F351" s="2">
        <v>212901001</v>
      </c>
      <c r="G351" s="2" t="s">
        <v>91</v>
      </c>
      <c r="I351" s="95" t="s">
        <v>7231</v>
      </c>
      <c r="J351" t="s">
        <v>61</v>
      </c>
      <c r="K351" t="s">
        <v>62</v>
      </c>
      <c r="M351">
        <v>54.76</v>
      </c>
      <c r="N351" s="4">
        <f t="shared" si="5"/>
        <v>-20</v>
      </c>
      <c r="O351" t="s">
        <v>83</v>
      </c>
    </row>
    <row r="352" spans="1:17" x14ac:dyDescent="0.25">
      <c r="A352" s="22">
        <v>45674</v>
      </c>
      <c r="B352" s="1">
        <v>717047990</v>
      </c>
      <c r="C352" t="s">
        <v>373</v>
      </c>
      <c r="D352" s="23">
        <v>-1642.8</v>
      </c>
      <c r="E352" t="s">
        <v>35</v>
      </c>
      <c r="F352" s="2">
        <v>212901001</v>
      </c>
      <c r="G352" s="2" t="s">
        <v>91</v>
      </c>
      <c r="I352" s="95" t="s">
        <v>7231</v>
      </c>
      <c r="J352" t="s">
        <v>61</v>
      </c>
      <c r="K352" t="s">
        <v>62</v>
      </c>
      <c r="M352">
        <v>54.76</v>
      </c>
      <c r="N352" s="4">
        <f t="shared" si="5"/>
        <v>-30</v>
      </c>
      <c r="O352" t="s">
        <v>83</v>
      </c>
    </row>
    <row r="353" spans="1:18" x14ac:dyDescent="0.25">
      <c r="A353" s="22">
        <v>45674</v>
      </c>
      <c r="B353" s="1">
        <v>717047989</v>
      </c>
      <c r="C353" t="s">
        <v>374</v>
      </c>
      <c r="D353" s="23">
        <v>-547.6</v>
      </c>
      <c r="E353" t="s">
        <v>35</v>
      </c>
      <c r="F353" s="2">
        <v>212901001</v>
      </c>
      <c r="G353" s="2" t="s">
        <v>91</v>
      </c>
      <c r="I353" s="95" t="s">
        <v>7231</v>
      </c>
      <c r="J353" t="s">
        <v>61</v>
      </c>
      <c r="K353" t="s">
        <v>62</v>
      </c>
      <c r="M353">
        <v>54.76</v>
      </c>
      <c r="N353" s="4">
        <f t="shared" si="5"/>
        <v>-10</v>
      </c>
      <c r="O353" t="s">
        <v>83</v>
      </c>
    </row>
    <row r="354" spans="1:18" x14ac:dyDescent="0.25">
      <c r="A354" s="22">
        <v>45674</v>
      </c>
      <c r="B354" s="1">
        <v>817047994</v>
      </c>
      <c r="C354" t="s">
        <v>375</v>
      </c>
      <c r="D354" s="23">
        <v>-1845.43</v>
      </c>
      <c r="E354" t="s">
        <v>35</v>
      </c>
      <c r="F354" s="2">
        <v>210101001</v>
      </c>
      <c r="G354" s="2" t="s">
        <v>36</v>
      </c>
      <c r="I354" s="95" t="s">
        <v>7231</v>
      </c>
      <c r="J354" t="s">
        <v>376</v>
      </c>
      <c r="K354" t="s">
        <v>377</v>
      </c>
      <c r="M354">
        <v>54.76</v>
      </c>
      <c r="N354" s="4">
        <f t="shared" si="5"/>
        <v>-33.700328707085468</v>
      </c>
      <c r="O354" t="s">
        <v>83</v>
      </c>
    </row>
    <row r="355" spans="1:18" x14ac:dyDescent="0.25">
      <c r="A355" s="22">
        <v>45674</v>
      </c>
      <c r="B355" s="1">
        <v>717047991</v>
      </c>
      <c r="C355" t="s">
        <v>106</v>
      </c>
      <c r="D355" s="23">
        <v>-1095.2</v>
      </c>
      <c r="E355" t="s">
        <v>35</v>
      </c>
      <c r="F355" s="2">
        <v>212901001</v>
      </c>
      <c r="G355" s="2" t="s">
        <v>91</v>
      </c>
      <c r="I355" s="95" t="s">
        <v>7231</v>
      </c>
      <c r="J355" t="s">
        <v>61</v>
      </c>
      <c r="K355" t="s">
        <v>62</v>
      </c>
      <c r="M355">
        <v>54.76</v>
      </c>
      <c r="N355" s="4">
        <f t="shared" si="5"/>
        <v>-20</v>
      </c>
      <c r="O355" t="s">
        <v>83</v>
      </c>
    </row>
    <row r="356" spans="1:18" x14ac:dyDescent="0.25">
      <c r="A356" s="22">
        <v>45674</v>
      </c>
      <c r="B356" s="1">
        <v>717047993</v>
      </c>
      <c r="C356" t="s">
        <v>198</v>
      </c>
      <c r="D356" s="23">
        <v>-1095.2</v>
      </c>
      <c r="E356" t="s">
        <v>35</v>
      </c>
      <c r="F356" s="2">
        <v>212901001</v>
      </c>
      <c r="G356" s="2" t="s">
        <v>91</v>
      </c>
      <c r="I356" s="95" t="s">
        <v>7231</v>
      </c>
      <c r="J356" t="s">
        <v>61</v>
      </c>
      <c r="K356" t="s">
        <v>62</v>
      </c>
      <c r="M356">
        <v>54.76</v>
      </c>
      <c r="N356" s="4">
        <f t="shared" si="5"/>
        <v>-20</v>
      </c>
      <c r="O356" t="s">
        <v>83</v>
      </c>
    </row>
    <row r="357" spans="1:18" x14ac:dyDescent="0.25">
      <c r="A357" s="22">
        <v>45674</v>
      </c>
      <c r="B357" s="1">
        <v>50119672</v>
      </c>
      <c r="C357" t="s">
        <v>89</v>
      </c>
      <c r="D357" s="23">
        <v>-564.20000000000005</v>
      </c>
      <c r="E357" t="s">
        <v>35</v>
      </c>
      <c r="F357" s="2">
        <v>610148001</v>
      </c>
      <c r="G357" s="2" t="s">
        <v>41</v>
      </c>
      <c r="I357" s="95" t="s">
        <v>7231</v>
      </c>
      <c r="J357" t="s">
        <v>42</v>
      </c>
      <c r="K357" t="s">
        <v>41</v>
      </c>
      <c r="M357">
        <v>54.76</v>
      </c>
      <c r="N357" s="4">
        <f t="shared" si="5"/>
        <v>-10.303140978816655</v>
      </c>
      <c r="O357" t="s">
        <v>83</v>
      </c>
      <c r="Q357" s="24" t="s">
        <v>43</v>
      </c>
    </row>
    <row r="358" spans="1:18" x14ac:dyDescent="0.25">
      <c r="A358" s="22">
        <v>45674</v>
      </c>
      <c r="B358" s="1">
        <v>970349084</v>
      </c>
      <c r="C358" t="s">
        <v>366</v>
      </c>
      <c r="D358" s="23">
        <v>120000</v>
      </c>
      <c r="E358" t="s">
        <v>45</v>
      </c>
      <c r="F358" s="2">
        <v>210115002</v>
      </c>
      <c r="G358" s="2" t="s">
        <v>46</v>
      </c>
      <c r="I358" s="95" t="s">
        <v>7231</v>
      </c>
      <c r="K358" t="s">
        <v>366</v>
      </c>
      <c r="M358">
        <v>54.76</v>
      </c>
      <c r="N358" s="4">
        <f t="shared" si="5"/>
        <v>2191.3805697589482</v>
      </c>
      <c r="O358" t="s">
        <v>83</v>
      </c>
    </row>
    <row r="359" spans="1:18" x14ac:dyDescent="0.25">
      <c r="A359" s="22">
        <v>45674</v>
      </c>
      <c r="B359" s="1">
        <v>117058531</v>
      </c>
      <c r="C359" t="s">
        <v>378</v>
      </c>
      <c r="D359" s="23">
        <v>-121961.47</v>
      </c>
      <c r="E359" t="s">
        <v>35</v>
      </c>
      <c r="F359" s="2">
        <v>210101001</v>
      </c>
      <c r="G359" s="2" t="s">
        <v>36</v>
      </c>
      <c r="I359" s="95" t="s">
        <v>7231</v>
      </c>
      <c r="J359" t="s">
        <v>37</v>
      </c>
      <c r="K359" t="s">
        <v>38</v>
      </c>
      <c r="M359">
        <v>54.76</v>
      </c>
      <c r="N359" s="4">
        <f t="shared" si="5"/>
        <v>-2227.1999634769904</v>
      </c>
      <c r="O359" t="s">
        <v>83</v>
      </c>
    </row>
    <row r="360" spans="1:18" x14ac:dyDescent="0.25">
      <c r="A360" s="22">
        <v>45674</v>
      </c>
      <c r="B360" s="1">
        <v>117058531</v>
      </c>
      <c r="C360" t="s">
        <v>185</v>
      </c>
      <c r="D360" s="23">
        <v>-365.88</v>
      </c>
      <c r="E360" t="s">
        <v>35</v>
      </c>
      <c r="F360" s="2">
        <v>610148001</v>
      </c>
      <c r="G360" s="2" t="s">
        <v>41</v>
      </c>
      <c r="I360" s="95" t="s">
        <v>7231</v>
      </c>
      <c r="J360" t="s">
        <v>42</v>
      </c>
      <c r="K360" t="s">
        <v>41</v>
      </c>
      <c r="M360">
        <v>54.76</v>
      </c>
      <c r="N360" s="4">
        <f t="shared" si="5"/>
        <v>-6.6815193571950333</v>
      </c>
      <c r="O360" t="s">
        <v>83</v>
      </c>
      <c r="Q360" s="24" t="s">
        <v>43</v>
      </c>
    </row>
    <row r="361" spans="1:18" x14ac:dyDescent="0.25">
      <c r="A361" s="22">
        <v>45674</v>
      </c>
      <c r="B361" s="1">
        <v>217065928</v>
      </c>
      <c r="C361" t="s">
        <v>379</v>
      </c>
      <c r="D361" s="23">
        <v>-457.25</v>
      </c>
      <c r="E361" t="s">
        <v>35</v>
      </c>
      <c r="F361" s="2">
        <v>110114001</v>
      </c>
      <c r="G361" s="2" t="s">
        <v>181</v>
      </c>
      <c r="I361" s="95" t="s">
        <v>7231</v>
      </c>
      <c r="J361" t="s">
        <v>380</v>
      </c>
      <c r="K361" t="s">
        <v>381</v>
      </c>
      <c r="M361">
        <v>54.76</v>
      </c>
      <c r="N361" s="4">
        <f t="shared" si="5"/>
        <v>-8.3500730460189931</v>
      </c>
      <c r="O361" t="s">
        <v>83</v>
      </c>
      <c r="P361" s="34" t="s">
        <v>184</v>
      </c>
      <c r="R361" t="s">
        <v>28</v>
      </c>
    </row>
    <row r="362" spans="1:18" x14ac:dyDescent="0.25">
      <c r="A362" s="22">
        <v>45674</v>
      </c>
      <c r="B362" s="1">
        <v>317065930</v>
      </c>
      <c r="C362" t="s">
        <v>382</v>
      </c>
      <c r="D362" s="23">
        <v>-371.9</v>
      </c>
      <c r="E362" t="s">
        <v>35</v>
      </c>
      <c r="F362" s="2">
        <v>210101001</v>
      </c>
      <c r="G362" s="2" t="s">
        <v>36</v>
      </c>
      <c r="I362" s="95" t="s">
        <v>7231</v>
      </c>
      <c r="J362" t="s">
        <v>383</v>
      </c>
      <c r="K362" t="s">
        <v>384</v>
      </c>
      <c r="M362">
        <v>54.76</v>
      </c>
      <c r="N362" s="4">
        <f t="shared" si="5"/>
        <v>-6.7914536157779395</v>
      </c>
      <c r="O362" t="s">
        <v>83</v>
      </c>
    </row>
    <row r="363" spans="1:18" x14ac:dyDescent="0.25">
      <c r="A363" s="22">
        <v>45674</v>
      </c>
      <c r="B363" s="1">
        <v>317065929</v>
      </c>
      <c r="C363" t="s">
        <v>385</v>
      </c>
      <c r="D363" s="23">
        <v>-7774.8</v>
      </c>
      <c r="E363" t="s">
        <v>35</v>
      </c>
      <c r="F363" s="2">
        <v>210101001</v>
      </c>
      <c r="G363" s="2" t="s">
        <v>36</v>
      </c>
      <c r="I363" s="95" t="s">
        <v>7231</v>
      </c>
      <c r="J363" t="s">
        <v>86</v>
      </c>
      <c r="K363" t="s">
        <v>87</v>
      </c>
      <c r="M363">
        <v>54.76</v>
      </c>
      <c r="N363" s="4">
        <f t="shared" si="5"/>
        <v>-141.97954711468225</v>
      </c>
      <c r="O363" t="s">
        <v>83</v>
      </c>
    </row>
    <row r="364" spans="1:18" x14ac:dyDescent="0.25">
      <c r="A364" s="22">
        <v>45674</v>
      </c>
      <c r="B364" s="1">
        <v>50183552</v>
      </c>
      <c r="C364" t="s">
        <v>89</v>
      </c>
      <c r="D364" s="23">
        <v>-21.5</v>
      </c>
      <c r="E364" t="s">
        <v>35</v>
      </c>
      <c r="F364" s="2">
        <v>610148001</v>
      </c>
      <c r="G364" s="2" t="s">
        <v>41</v>
      </c>
      <c r="I364" s="95" t="s">
        <v>7231</v>
      </c>
      <c r="J364" t="s">
        <v>42</v>
      </c>
      <c r="K364" t="s">
        <v>41</v>
      </c>
      <c r="M364">
        <v>54.76</v>
      </c>
      <c r="N364" s="4">
        <f t="shared" si="5"/>
        <v>-0.39262235208181157</v>
      </c>
      <c r="O364" t="s">
        <v>83</v>
      </c>
      <c r="Q364" s="24" t="s">
        <v>43</v>
      </c>
    </row>
    <row r="365" spans="1:18" x14ac:dyDescent="0.25">
      <c r="A365" s="22">
        <v>45674</v>
      </c>
      <c r="B365" s="1">
        <v>317067777</v>
      </c>
      <c r="C365" t="s">
        <v>386</v>
      </c>
      <c r="D365" s="23">
        <v>-1231.4000000000001</v>
      </c>
      <c r="E365" t="s">
        <v>35</v>
      </c>
      <c r="F365" s="2">
        <v>210101001</v>
      </c>
      <c r="G365" s="2" t="s">
        <v>36</v>
      </c>
      <c r="I365" s="95" t="s">
        <v>7231</v>
      </c>
      <c r="J365" t="s">
        <v>86</v>
      </c>
      <c r="K365" t="s">
        <v>87</v>
      </c>
      <c r="M365">
        <v>54.76</v>
      </c>
      <c r="N365" s="4">
        <f t="shared" si="5"/>
        <v>-22.487216946676408</v>
      </c>
      <c r="O365" t="s">
        <v>83</v>
      </c>
    </row>
    <row r="366" spans="1:18" x14ac:dyDescent="0.25">
      <c r="A366" s="22">
        <v>45674</v>
      </c>
      <c r="B366" s="1">
        <v>317067777</v>
      </c>
      <c r="C366" t="s">
        <v>185</v>
      </c>
      <c r="D366" s="23">
        <v>-3.69</v>
      </c>
      <c r="E366" t="s">
        <v>35</v>
      </c>
      <c r="F366" s="2">
        <v>610148001</v>
      </c>
      <c r="G366" s="2" t="s">
        <v>41</v>
      </c>
      <c r="I366" s="95" t="s">
        <v>7231</v>
      </c>
      <c r="J366" t="s">
        <v>42</v>
      </c>
      <c r="K366" t="s">
        <v>41</v>
      </c>
      <c r="M366">
        <v>54.76</v>
      </c>
      <c r="N366" s="4">
        <f t="shared" si="5"/>
        <v>-6.7384952520087651E-2</v>
      </c>
      <c r="O366" t="s">
        <v>83</v>
      </c>
      <c r="Q366" s="24" t="s">
        <v>43</v>
      </c>
    </row>
    <row r="367" spans="1:18" x14ac:dyDescent="0.25">
      <c r="A367" s="22">
        <v>45677</v>
      </c>
      <c r="B367" s="1">
        <v>317190137</v>
      </c>
      <c r="C367" t="s">
        <v>387</v>
      </c>
      <c r="D367" s="23">
        <v>-2745.5</v>
      </c>
      <c r="E367" t="s">
        <v>35</v>
      </c>
      <c r="F367" s="2">
        <v>210101001</v>
      </c>
      <c r="G367" s="2" t="s">
        <v>36</v>
      </c>
      <c r="I367" s="95" t="s">
        <v>7231</v>
      </c>
      <c r="J367" t="s">
        <v>86</v>
      </c>
      <c r="K367" t="s">
        <v>87</v>
      </c>
      <c r="M367">
        <v>54.91</v>
      </c>
      <c r="N367" s="4">
        <f t="shared" si="5"/>
        <v>-50</v>
      </c>
      <c r="O367" t="s">
        <v>83</v>
      </c>
    </row>
    <row r="368" spans="1:18" x14ac:dyDescent="0.25">
      <c r="A368" s="22">
        <v>45677</v>
      </c>
      <c r="B368" s="1">
        <v>317190137</v>
      </c>
      <c r="C368" t="s">
        <v>185</v>
      </c>
      <c r="D368" s="23">
        <v>-8.24</v>
      </c>
      <c r="E368" t="s">
        <v>35</v>
      </c>
      <c r="F368" s="2">
        <v>610148001</v>
      </c>
      <c r="G368" s="2" t="s">
        <v>41</v>
      </c>
      <c r="I368" s="95" t="s">
        <v>7231</v>
      </c>
      <c r="J368" t="s">
        <v>42</v>
      </c>
      <c r="K368" t="s">
        <v>41</v>
      </c>
      <c r="M368">
        <v>54.91</v>
      </c>
      <c r="N368" s="4">
        <f t="shared" si="5"/>
        <v>-0.15006374066654526</v>
      </c>
      <c r="O368" t="s">
        <v>83</v>
      </c>
      <c r="Q368" s="24" t="s">
        <v>43</v>
      </c>
    </row>
    <row r="369" spans="1:18" x14ac:dyDescent="0.25">
      <c r="A369" s="22">
        <v>45677</v>
      </c>
      <c r="B369" s="1">
        <v>112938266</v>
      </c>
      <c r="C369" t="s">
        <v>388</v>
      </c>
      <c r="D369" s="23">
        <v>-1109.19</v>
      </c>
      <c r="E369" t="s">
        <v>35</v>
      </c>
      <c r="F369" s="2">
        <v>210101001</v>
      </c>
      <c r="G369" s="2" t="s">
        <v>36</v>
      </c>
      <c r="I369" s="95" t="s">
        <v>7231</v>
      </c>
      <c r="J369" t="s">
        <v>389</v>
      </c>
      <c r="K369" t="s">
        <v>390</v>
      </c>
      <c r="M369">
        <v>54.91</v>
      </c>
      <c r="N369" s="4">
        <f t="shared" si="5"/>
        <v>-20.200145692952105</v>
      </c>
      <c r="O369" t="s">
        <v>83</v>
      </c>
    </row>
    <row r="370" spans="1:18" x14ac:dyDescent="0.25">
      <c r="A370" s="22">
        <v>45678</v>
      </c>
      <c r="B370" s="1">
        <v>112610313</v>
      </c>
      <c r="C370" t="s">
        <v>391</v>
      </c>
      <c r="D370" s="23">
        <v>20000</v>
      </c>
      <c r="E370" t="s">
        <v>45</v>
      </c>
      <c r="F370" s="2">
        <v>210115002</v>
      </c>
      <c r="G370" s="2" t="s">
        <v>46</v>
      </c>
      <c r="I370" s="95" t="s">
        <v>7231</v>
      </c>
      <c r="K370" t="s">
        <v>391</v>
      </c>
      <c r="M370">
        <v>54.99</v>
      </c>
      <c r="N370" s="4">
        <f t="shared" si="5"/>
        <v>363.70249136206581</v>
      </c>
      <c r="O370" t="s">
        <v>83</v>
      </c>
    </row>
    <row r="371" spans="1:18" x14ac:dyDescent="0.25">
      <c r="A371" s="22">
        <v>45678</v>
      </c>
      <c r="B371" s="1">
        <v>717240480</v>
      </c>
      <c r="C371" t="s">
        <v>392</v>
      </c>
      <c r="D371" s="23">
        <v>-6890.4</v>
      </c>
      <c r="E371" t="s">
        <v>35</v>
      </c>
      <c r="F371" s="2">
        <v>210101001</v>
      </c>
      <c r="G371" s="2" t="s">
        <v>36</v>
      </c>
      <c r="I371" s="95" t="s">
        <v>7231</v>
      </c>
      <c r="J371" t="s">
        <v>288</v>
      </c>
      <c r="K371" t="s">
        <v>289</v>
      </c>
      <c r="M371">
        <v>54.99</v>
      </c>
      <c r="N371" s="4">
        <f t="shared" si="5"/>
        <v>-125.30278232405891</v>
      </c>
      <c r="O371" t="s">
        <v>83</v>
      </c>
    </row>
    <row r="372" spans="1:18" x14ac:dyDescent="0.25">
      <c r="A372" s="22">
        <v>45678</v>
      </c>
      <c r="B372" s="1">
        <v>717240480</v>
      </c>
      <c r="C372" t="s">
        <v>185</v>
      </c>
      <c r="D372" s="23">
        <v>-20.67</v>
      </c>
      <c r="E372" t="s">
        <v>35</v>
      </c>
      <c r="F372" s="2">
        <v>610148001</v>
      </c>
      <c r="G372" s="2" t="s">
        <v>41</v>
      </c>
      <c r="I372" s="95" t="s">
        <v>7231</v>
      </c>
      <c r="J372" t="s">
        <v>42</v>
      </c>
      <c r="K372" t="s">
        <v>41</v>
      </c>
      <c r="M372">
        <v>54.99</v>
      </c>
      <c r="N372" s="4">
        <f t="shared" si="5"/>
        <v>-0.37588652482269508</v>
      </c>
      <c r="O372" t="s">
        <v>83</v>
      </c>
      <c r="Q372" s="24" t="s">
        <v>43</v>
      </c>
    </row>
    <row r="373" spans="1:18" x14ac:dyDescent="0.25">
      <c r="A373" s="22">
        <v>45678</v>
      </c>
      <c r="B373" s="1">
        <v>417240537</v>
      </c>
      <c r="C373" t="s">
        <v>393</v>
      </c>
      <c r="D373" s="23">
        <v>-21909.09</v>
      </c>
      <c r="E373" t="s">
        <v>35</v>
      </c>
      <c r="F373" s="2">
        <v>210101001</v>
      </c>
      <c r="G373" s="2" t="s">
        <v>36</v>
      </c>
      <c r="I373" s="95" t="s">
        <v>7231</v>
      </c>
      <c r="J373" t="s">
        <v>394</v>
      </c>
      <c r="K373" t="s">
        <v>395</v>
      </c>
      <c r="M373">
        <v>54.99</v>
      </c>
      <c r="N373" s="4">
        <f t="shared" si="5"/>
        <v>-398.41953082378615</v>
      </c>
      <c r="O373" t="s">
        <v>83</v>
      </c>
    </row>
    <row r="374" spans="1:18" x14ac:dyDescent="0.25">
      <c r="A374" s="22">
        <v>45678</v>
      </c>
      <c r="B374" s="1">
        <v>417240537</v>
      </c>
      <c r="C374" t="s">
        <v>185</v>
      </c>
      <c r="D374" s="23">
        <v>-65.73</v>
      </c>
      <c r="E374" t="s">
        <v>35</v>
      </c>
      <c r="F374" s="2">
        <v>610148001</v>
      </c>
      <c r="G374" s="2" t="s">
        <v>41</v>
      </c>
      <c r="I374" s="95" t="s">
        <v>7231</v>
      </c>
      <c r="J374" t="s">
        <v>42</v>
      </c>
      <c r="K374" t="s">
        <v>41</v>
      </c>
      <c r="M374">
        <v>54.99</v>
      </c>
      <c r="N374" s="4">
        <f t="shared" si="5"/>
        <v>-1.1953082378614295</v>
      </c>
      <c r="O374" t="s">
        <v>83</v>
      </c>
      <c r="Q374" s="24" t="s">
        <v>43</v>
      </c>
    </row>
    <row r="375" spans="1:18" x14ac:dyDescent="0.25">
      <c r="A375" s="22">
        <v>45678</v>
      </c>
      <c r="B375" s="1">
        <v>133953217</v>
      </c>
      <c r="C375" t="s">
        <v>391</v>
      </c>
      <c r="D375" s="23">
        <v>40000</v>
      </c>
      <c r="E375" t="s">
        <v>45</v>
      </c>
      <c r="F375" s="2">
        <v>210115002</v>
      </c>
      <c r="G375" s="2" t="s">
        <v>46</v>
      </c>
      <c r="I375" s="95" t="s">
        <v>7231</v>
      </c>
      <c r="K375" t="s">
        <v>391</v>
      </c>
      <c r="M375">
        <v>54.99</v>
      </c>
      <c r="N375" s="4">
        <f t="shared" si="5"/>
        <v>727.40498272413163</v>
      </c>
      <c r="O375" t="s">
        <v>83</v>
      </c>
    </row>
    <row r="376" spans="1:18" x14ac:dyDescent="0.25">
      <c r="A376" s="22">
        <v>45678</v>
      </c>
      <c r="B376" s="1">
        <v>817248402</v>
      </c>
      <c r="C376" t="s">
        <v>396</v>
      </c>
      <c r="D376" s="23">
        <v>-40120.71</v>
      </c>
      <c r="E376" t="s">
        <v>35</v>
      </c>
      <c r="F376" s="2">
        <v>210101001</v>
      </c>
      <c r="G376" s="2" t="s">
        <v>36</v>
      </c>
      <c r="I376" s="95" t="s">
        <v>7231</v>
      </c>
      <c r="J376" t="s">
        <v>376</v>
      </c>
      <c r="K376" t="s">
        <v>377</v>
      </c>
      <c r="M376">
        <v>54.99</v>
      </c>
      <c r="N376" s="4">
        <f t="shared" si="5"/>
        <v>-729.60010911074733</v>
      </c>
      <c r="O376" t="s">
        <v>83</v>
      </c>
    </row>
    <row r="377" spans="1:18" x14ac:dyDescent="0.25">
      <c r="A377" s="22">
        <v>45678</v>
      </c>
      <c r="B377" s="1">
        <v>817248402</v>
      </c>
      <c r="C377" t="s">
        <v>185</v>
      </c>
      <c r="D377" s="23">
        <v>-120.36</v>
      </c>
      <c r="E377" t="s">
        <v>35</v>
      </c>
      <c r="F377" s="2">
        <v>610148001</v>
      </c>
      <c r="G377" s="2" t="s">
        <v>41</v>
      </c>
      <c r="I377" s="95" t="s">
        <v>7231</v>
      </c>
      <c r="J377" t="s">
        <v>42</v>
      </c>
      <c r="K377" t="s">
        <v>41</v>
      </c>
      <c r="M377">
        <v>54.99</v>
      </c>
      <c r="N377" s="4">
        <f t="shared" si="5"/>
        <v>-2.188761593016912</v>
      </c>
      <c r="O377" t="s">
        <v>83</v>
      </c>
      <c r="Q377" s="24" t="s">
        <v>43</v>
      </c>
    </row>
    <row r="378" spans="1:18" x14ac:dyDescent="0.25">
      <c r="A378" s="22">
        <v>45678</v>
      </c>
      <c r="B378" s="1">
        <v>917248469</v>
      </c>
      <c r="C378" t="s">
        <v>397</v>
      </c>
      <c r="D378" s="23">
        <v>-719.46</v>
      </c>
      <c r="E378" t="s">
        <v>35</v>
      </c>
      <c r="F378" s="2">
        <v>110114001</v>
      </c>
      <c r="G378" s="2" t="s">
        <v>181</v>
      </c>
      <c r="I378" s="95" t="s">
        <v>7231</v>
      </c>
      <c r="J378" t="s">
        <v>398</v>
      </c>
      <c r="K378" t="s">
        <v>399</v>
      </c>
      <c r="M378">
        <v>54.99</v>
      </c>
      <c r="N378" s="4">
        <f t="shared" si="5"/>
        <v>-13.083469721767594</v>
      </c>
      <c r="O378" t="s">
        <v>83</v>
      </c>
      <c r="P378" s="34" t="s">
        <v>184</v>
      </c>
      <c r="R378" t="s">
        <v>28</v>
      </c>
    </row>
    <row r="379" spans="1:18" x14ac:dyDescent="0.25">
      <c r="A379" s="22">
        <v>45678</v>
      </c>
      <c r="B379" s="1">
        <v>917248469</v>
      </c>
      <c r="C379" t="s">
        <v>185</v>
      </c>
      <c r="D379" s="23">
        <v>-2.16</v>
      </c>
      <c r="E379" t="s">
        <v>35</v>
      </c>
      <c r="F379" s="2">
        <v>610148001</v>
      </c>
      <c r="G379" s="2" t="s">
        <v>41</v>
      </c>
      <c r="I379" s="95" t="s">
        <v>7231</v>
      </c>
      <c r="J379" t="s">
        <v>42</v>
      </c>
      <c r="K379" t="s">
        <v>41</v>
      </c>
      <c r="M379">
        <v>54.99</v>
      </c>
      <c r="N379" s="4">
        <f t="shared" si="5"/>
        <v>-3.927986906710311E-2</v>
      </c>
      <c r="O379" t="s">
        <v>83</v>
      </c>
      <c r="Q379" s="24" t="s">
        <v>43</v>
      </c>
    </row>
    <row r="380" spans="1:18" x14ac:dyDescent="0.25">
      <c r="A380" s="22">
        <v>45679</v>
      </c>
      <c r="B380" s="1">
        <v>81610495</v>
      </c>
      <c r="C380" t="s">
        <v>82</v>
      </c>
      <c r="D380" s="23">
        <v>215000</v>
      </c>
      <c r="E380" t="s">
        <v>45</v>
      </c>
      <c r="F380" s="2">
        <v>210115002</v>
      </c>
      <c r="G380" s="2" t="s">
        <v>46</v>
      </c>
      <c r="I380" s="95" t="s">
        <v>7231</v>
      </c>
      <c r="K380" t="s">
        <v>82</v>
      </c>
      <c r="M380">
        <v>55.3</v>
      </c>
      <c r="N380" s="4">
        <f t="shared" si="5"/>
        <v>3887.8842676311033</v>
      </c>
      <c r="O380" t="s">
        <v>83</v>
      </c>
    </row>
    <row r="381" spans="1:18" x14ac:dyDescent="0.25">
      <c r="A381" s="22">
        <v>45679</v>
      </c>
      <c r="B381" s="1">
        <v>81734040</v>
      </c>
      <c r="C381" t="s">
        <v>400</v>
      </c>
      <c r="D381" s="31">
        <v>-214200</v>
      </c>
      <c r="E381" t="s">
        <v>35</v>
      </c>
      <c r="F381" s="2">
        <v>610122005</v>
      </c>
      <c r="G381" s="2" t="s">
        <v>401</v>
      </c>
      <c r="I381" s="95" t="s">
        <v>7231</v>
      </c>
      <c r="J381" t="s">
        <v>402</v>
      </c>
      <c r="K381" t="s">
        <v>403</v>
      </c>
      <c r="L381" s="28" t="s">
        <v>56</v>
      </c>
      <c r="M381">
        <v>52.57</v>
      </c>
      <c r="N381" s="4">
        <f t="shared" si="5"/>
        <v>-4074.5672436750997</v>
      </c>
      <c r="O381" t="s">
        <v>83</v>
      </c>
      <c r="Q381" s="24" t="s">
        <v>404</v>
      </c>
    </row>
    <row r="382" spans="1:18" x14ac:dyDescent="0.25">
      <c r="A382" s="22">
        <v>45680</v>
      </c>
      <c r="B382" s="1">
        <v>617348478</v>
      </c>
      <c r="C382" t="s">
        <v>405</v>
      </c>
      <c r="D382" s="23">
        <v>-2230.4</v>
      </c>
      <c r="E382" t="s">
        <v>35</v>
      </c>
      <c r="F382" s="2">
        <v>110114001</v>
      </c>
      <c r="G382" s="2" t="s">
        <v>181</v>
      </c>
      <c r="I382" s="95" t="s">
        <v>7231</v>
      </c>
      <c r="J382" t="s">
        <v>406</v>
      </c>
      <c r="K382" t="s">
        <v>407</v>
      </c>
      <c r="M382">
        <v>55.76</v>
      </c>
      <c r="N382" s="4">
        <f t="shared" si="5"/>
        <v>-40</v>
      </c>
      <c r="O382" t="s">
        <v>83</v>
      </c>
      <c r="P382" s="34" t="s">
        <v>184</v>
      </c>
      <c r="R382" t="s">
        <v>28</v>
      </c>
    </row>
    <row r="383" spans="1:18" x14ac:dyDescent="0.25">
      <c r="A383" s="22">
        <v>45680</v>
      </c>
      <c r="B383" s="1">
        <v>617348478</v>
      </c>
      <c r="C383" t="s">
        <v>185</v>
      </c>
      <c r="D383" s="23">
        <v>-6.69</v>
      </c>
      <c r="E383" t="s">
        <v>35</v>
      </c>
      <c r="F383" s="2">
        <v>610148001</v>
      </c>
      <c r="G383" s="2" t="s">
        <v>41</v>
      </c>
      <c r="I383" s="95" t="s">
        <v>7231</v>
      </c>
      <c r="J383" t="s">
        <v>42</v>
      </c>
      <c r="K383" t="s">
        <v>41</v>
      </c>
      <c r="M383">
        <v>55.76</v>
      </c>
      <c r="N383" s="4">
        <f t="shared" si="5"/>
        <v>-0.11997847919655669</v>
      </c>
      <c r="O383" t="s">
        <v>83</v>
      </c>
      <c r="Q383" s="24" t="s">
        <v>43</v>
      </c>
    </row>
    <row r="384" spans="1:18" x14ac:dyDescent="0.25">
      <c r="A384" s="22">
        <v>45681</v>
      </c>
      <c r="B384" s="1">
        <v>104646241</v>
      </c>
      <c r="C384" t="s">
        <v>82</v>
      </c>
      <c r="D384" s="23">
        <v>50000</v>
      </c>
      <c r="E384" t="s">
        <v>45</v>
      </c>
      <c r="F384" s="2">
        <v>210115002</v>
      </c>
      <c r="G384" s="2" t="s">
        <v>46</v>
      </c>
      <c r="I384" s="95" t="s">
        <v>7231</v>
      </c>
      <c r="K384" t="s">
        <v>82</v>
      </c>
      <c r="M384">
        <v>56.28</v>
      </c>
      <c r="N384" s="4">
        <f t="shared" si="5"/>
        <v>888.41506751954512</v>
      </c>
      <c r="O384" t="s">
        <v>83</v>
      </c>
    </row>
    <row r="385" spans="1:18" x14ac:dyDescent="0.25">
      <c r="A385" s="22">
        <v>45681</v>
      </c>
      <c r="B385" s="1">
        <v>417391614</v>
      </c>
      <c r="C385" t="s">
        <v>408</v>
      </c>
      <c r="D385" s="23">
        <v>-1125.5999999999999</v>
      </c>
      <c r="E385" t="s">
        <v>35</v>
      </c>
      <c r="F385" s="2">
        <v>212901001</v>
      </c>
      <c r="G385" s="2" t="s">
        <v>91</v>
      </c>
      <c r="I385" s="95" t="s">
        <v>7231</v>
      </c>
      <c r="J385" t="s">
        <v>61</v>
      </c>
      <c r="K385" t="s">
        <v>62</v>
      </c>
      <c r="M385">
        <v>56.28</v>
      </c>
      <c r="N385" s="4">
        <f t="shared" si="5"/>
        <v>-19.999999999999996</v>
      </c>
      <c r="O385" t="s">
        <v>83</v>
      </c>
    </row>
    <row r="386" spans="1:18" x14ac:dyDescent="0.25">
      <c r="A386" s="22">
        <v>45681</v>
      </c>
      <c r="B386" s="1">
        <v>517391619</v>
      </c>
      <c r="C386" t="s">
        <v>409</v>
      </c>
      <c r="D386" s="23">
        <v>-308.20999999999998</v>
      </c>
      <c r="E386" t="s">
        <v>35</v>
      </c>
      <c r="F386" s="2">
        <v>110114001</v>
      </c>
      <c r="G386" s="2" t="s">
        <v>181</v>
      </c>
      <c r="I386" s="95" t="s">
        <v>7231</v>
      </c>
      <c r="J386" t="s">
        <v>182</v>
      </c>
      <c r="K386" t="s">
        <v>183</v>
      </c>
      <c r="M386">
        <v>56.28</v>
      </c>
      <c r="N386" s="4">
        <f t="shared" si="5"/>
        <v>-5.4763681592039797</v>
      </c>
      <c r="O386" t="s">
        <v>83</v>
      </c>
      <c r="P386" s="34" t="s">
        <v>184</v>
      </c>
      <c r="R386" t="s">
        <v>28</v>
      </c>
    </row>
    <row r="387" spans="1:18" x14ac:dyDescent="0.25">
      <c r="A387" s="22">
        <v>45681</v>
      </c>
      <c r="B387" s="1">
        <v>417391617</v>
      </c>
      <c r="C387" t="s">
        <v>410</v>
      </c>
      <c r="D387" s="23">
        <v>-9701.4</v>
      </c>
      <c r="E387" t="s">
        <v>35</v>
      </c>
      <c r="F387" s="2">
        <v>210101001</v>
      </c>
      <c r="G387" s="2" t="s">
        <v>36</v>
      </c>
      <c r="I387" s="95" t="s">
        <v>7231</v>
      </c>
      <c r="J387" t="s">
        <v>86</v>
      </c>
      <c r="K387" t="s">
        <v>87</v>
      </c>
      <c r="M387">
        <v>56.28</v>
      </c>
      <c r="N387" s="4">
        <f t="shared" si="5"/>
        <v>-172.37739872068229</v>
      </c>
      <c r="O387" t="s">
        <v>83</v>
      </c>
    </row>
    <row r="388" spans="1:18" x14ac:dyDescent="0.25">
      <c r="A388" s="22">
        <v>45681</v>
      </c>
      <c r="B388" s="1">
        <v>417391609</v>
      </c>
      <c r="C388" t="s">
        <v>411</v>
      </c>
      <c r="D388" s="23">
        <v>-2814</v>
      </c>
      <c r="E388" t="s">
        <v>35</v>
      </c>
      <c r="F388" s="2">
        <v>212901001</v>
      </c>
      <c r="G388" s="2" t="s">
        <v>91</v>
      </c>
      <c r="I388" s="95" t="s">
        <v>7231</v>
      </c>
      <c r="J388" t="s">
        <v>61</v>
      </c>
      <c r="K388" t="s">
        <v>62</v>
      </c>
      <c r="M388">
        <v>56.28</v>
      </c>
      <c r="N388" s="4">
        <f t="shared" si="5"/>
        <v>-50</v>
      </c>
      <c r="O388" t="s">
        <v>83</v>
      </c>
    </row>
    <row r="389" spans="1:18" x14ac:dyDescent="0.25">
      <c r="A389" s="22">
        <v>45681</v>
      </c>
      <c r="B389" s="1">
        <v>417391615</v>
      </c>
      <c r="C389" t="s">
        <v>412</v>
      </c>
      <c r="D389" s="23">
        <v>-1125.5999999999999</v>
      </c>
      <c r="E389" t="s">
        <v>35</v>
      </c>
      <c r="F389" s="2">
        <v>212901001</v>
      </c>
      <c r="G389" s="2" t="s">
        <v>91</v>
      </c>
      <c r="I389" s="95" t="s">
        <v>7231</v>
      </c>
      <c r="J389" t="s">
        <v>61</v>
      </c>
      <c r="K389" t="s">
        <v>62</v>
      </c>
      <c r="M389">
        <v>56.28</v>
      </c>
      <c r="N389" s="4">
        <f t="shared" si="5"/>
        <v>-19.999999999999996</v>
      </c>
      <c r="O389" t="s">
        <v>83</v>
      </c>
    </row>
    <row r="390" spans="1:18" x14ac:dyDescent="0.25">
      <c r="A390" s="22">
        <v>45681</v>
      </c>
      <c r="B390" s="1">
        <v>417391618</v>
      </c>
      <c r="C390" t="s">
        <v>413</v>
      </c>
      <c r="D390" s="23">
        <v>-326.42</v>
      </c>
      <c r="E390" t="s">
        <v>35</v>
      </c>
      <c r="F390" s="2">
        <v>110114001</v>
      </c>
      <c r="G390" s="2" t="s">
        <v>181</v>
      </c>
      <c r="I390" s="95" t="s">
        <v>7231</v>
      </c>
      <c r="J390" t="s">
        <v>414</v>
      </c>
      <c r="K390" t="s">
        <v>415</v>
      </c>
      <c r="M390">
        <v>56.28</v>
      </c>
      <c r="N390" s="4">
        <f t="shared" si="5"/>
        <v>-5.7999289267945988</v>
      </c>
      <c r="O390" t="s">
        <v>83</v>
      </c>
      <c r="P390" s="34" t="s">
        <v>184</v>
      </c>
      <c r="R390" t="s">
        <v>28</v>
      </c>
    </row>
    <row r="391" spans="1:18" x14ac:dyDescent="0.25">
      <c r="A391" s="22">
        <v>45681</v>
      </c>
      <c r="B391" s="1">
        <v>417391612</v>
      </c>
      <c r="C391" t="s">
        <v>416</v>
      </c>
      <c r="D391" s="23">
        <v>-562.79999999999995</v>
      </c>
      <c r="E391" t="s">
        <v>35</v>
      </c>
      <c r="F391" s="2">
        <v>212901001</v>
      </c>
      <c r="G391" s="2" t="s">
        <v>91</v>
      </c>
      <c r="I391" s="95" t="s">
        <v>7231</v>
      </c>
      <c r="J391" t="s">
        <v>61</v>
      </c>
      <c r="K391" t="s">
        <v>62</v>
      </c>
      <c r="M391">
        <v>56.28</v>
      </c>
      <c r="N391" s="4">
        <f t="shared" si="5"/>
        <v>-9.9999999999999982</v>
      </c>
      <c r="O391" t="s">
        <v>83</v>
      </c>
    </row>
    <row r="392" spans="1:18" x14ac:dyDescent="0.25">
      <c r="A392" s="22">
        <v>45681</v>
      </c>
      <c r="B392" s="1">
        <v>417391616</v>
      </c>
      <c r="C392" t="s">
        <v>417</v>
      </c>
      <c r="D392" s="23">
        <v>-1125.5999999999999</v>
      </c>
      <c r="E392" t="s">
        <v>35</v>
      </c>
      <c r="F392" s="2">
        <v>212901001</v>
      </c>
      <c r="G392" s="2" t="s">
        <v>91</v>
      </c>
      <c r="I392" s="95" t="s">
        <v>7231</v>
      </c>
      <c r="J392" t="s">
        <v>61</v>
      </c>
      <c r="K392" t="s">
        <v>62</v>
      </c>
      <c r="M392">
        <v>56.28</v>
      </c>
      <c r="N392" s="4">
        <f t="shared" si="5"/>
        <v>-19.999999999999996</v>
      </c>
      <c r="O392" t="s">
        <v>83</v>
      </c>
    </row>
    <row r="393" spans="1:18" x14ac:dyDescent="0.25">
      <c r="A393" s="22">
        <v>45681</v>
      </c>
      <c r="B393" s="1">
        <v>417391611</v>
      </c>
      <c r="C393" t="s">
        <v>418</v>
      </c>
      <c r="D393" s="23">
        <v>-3939.6</v>
      </c>
      <c r="E393" t="s">
        <v>35</v>
      </c>
      <c r="F393" s="2">
        <v>212901001</v>
      </c>
      <c r="G393" s="2" t="s">
        <v>91</v>
      </c>
      <c r="I393" s="95" t="s">
        <v>7231</v>
      </c>
      <c r="J393" t="s">
        <v>61</v>
      </c>
      <c r="K393" t="s">
        <v>62</v>
      </c>
      <c r="M393">
        <v>56.28</v>
      </c>
      <c r="N393" s="4">
        <f t="shared" si="5"/>
        <v>-70</v>
      </c>
      <c r="O393" t="s">
        <v>83</v>
      </c>
    </row>
    <row r="394" spans="1:18" x14ac:dyDescent="0.25">
      <c r="A394" s="22">
        <v>45681</v>
      </c>
      <c r="B394" s="1">
        <v>317391605</v>
      </c>
      <c r="C394" t="s">
        <v>419</v>
      </c>
      <c r="D394" s="23">
        <v>-3544.93</v>
      </c>
      <c r="E394" t="s">
        <v>35</v>
      </c>
      <c r="F394" s="2">
        <v>210101001</v>
      </c>
      <c r="G394" s="2" t="s">
        <v>36</v>
      </c>
      <c r="I394" s="95" t="s">
        <v>7231</v>
      </c>
      <c r="J394" t="s">
        <v>288</v>
      </c>
      <c r="K394" t="s">
        <v>289</v>
      </c>
      <c r="M394">
        <v>56.28</v>
      </c>
      <c r="N394" s="4">
        <f t="shared" si="5"/>
        <v>-62.987384506041217</v>
      </c>
      <c r="O394" t="s">
        <v>83</v>
      </c>
    </row>
    <row r="395" spans="1:18" x14ac:dyDescent="0.25">
      <c r="A395" s="22">
        <v>45681</v>
      </c>
      <c r="B395" s="1">
        <v>417391606</v>
      </c>
      <c r="C395" t="s">
        <v>420</v>
      </c>
      <c r="D395" s="23">
        <v>-19404.48</v>
      </c>
      <c r="E395" t="s">
        <v>35</v>
      </c>
      <c r="F395" s="2">
        <v>110114001</v>
      </c>
      <c r="G395" s="2" t="s">
        <v>181</v>
      </c>
      <c r="I395" s="95" t="s">
        <v>7231</v>
      </c>
      <c r="J395" t="s">
        <v>182</v>
      </c>
      <c r="K395" t="s">
        <v>183</v>
      </c>
      <c r="M395">
        <v>56.28</v>
      </c>
      <c r="N395" s="4">
        <f t="shared" si="5"/>
        <v>-344.78464818763325</v>
      </c>
      <c r="O395" t="s">
        <v>83</v>
      </c>
      <c r="P395" s="34" t="s">
        <v>184</v>
      </c>
      <c r="R395" t="s">
        <v>28</v>
      </c>
    </row>
    <row r="396" spans="1:18" x14ac:dyDescent="0.25">
      <c r="A396" s="22">
        <v>45681</v>
      </c>
      <c r="B396" s="1">
        <v>417391608</v>
      </c>
      <c r="C396" t="s">
        <v>421</v>
      </c>
      <c r="D396" s="23">
        <v>-3039.12</v>
      </c>
      <c r="E396" t="s">
        <v>35</v>
      </c>
      <c r="F396" s="2">
        <v>212901001</v>
      </c>
      <c r="G396" s="2" t="s">
        <v>91</v>
      </c>
      <c r="I396" s="95" t="s">
        <v>7231</v>
      </c>
      <c r="J396" t="s">
        <v>61</v>
      </c>
      <c r="K396" t="s">
        <v>62</v>
      </c>
      <c r="M396">
        <v>56.28</v>
      </c>
      <c r="N396" s="4">
        <f t="shared" ref="N396:N459" si="6">D396/M396</f>
        <v>-54</v>
      </c>
      <c r="O396" t="s">
        <v>83</v>
      </c>
    </row>
    <row r="397" spans="1:18" x14ac:dyDescent="0.25">
      <c r="A397" s="22">
        <v>45681</v>
      </c>
      <c r="B397" s="1">
        <v>417391613</v>
      </c>
      <c r="C397" t="s">
        <v>422</v>
      </c>
      <c r="D397" s="23">
        <v>-1969.8</v>
      </c>
      <c r="E397" t="s">
        <v>35</v>
      </c>
      <c r="F397" s="2">
        <v>212901001</v>
      </c>
      <c r="G397" s="2" t="s">
        <v>91</v>
      </c>
      <c r="I397" s="95" t="s">
        <v>7231</v>
      </c>
      <c r="J397" t="s">
        <v>61</v>
      </c>
      <c r="K397" t="s">
        <v>62</v>
      </c>
      <c r="M397">
        <v>56.28</v>
      </c>
      <c r="N397" s="4">
        <f t="shared" si="6"/>
        <v>-35</v>
      </c>
      <c r="O397" t="s">
        <v>83</v>
      </c>
    </row>
    <row r="398" spans="1:18" x14ac:dyDescent="0.25">
      <c r="A398" s="22">
        <v>45681</v>
      </c>
      <c r="B398" s="1">
        <v>50131626</v>
      </c>
      <c r="C398" t="s">
        <v>89</v>
      </c>
      <c r="D398" s="23">
        <v>-122.46</v>
      </c>
      <c r="E398" t="s">
        <v>35</v>
      </c>
      <c r="F398" s="2">
        <v>610148001</v>
      </c>
      <c r="G398" s="2" t="s">
        <v>41</v>
      </c>
      <c r="I398" s="95" t="s">
        <v>7231</v>
      </c>
      <c r="J398" t="s">
        <v>42</v>
      </c>
      <c r="K398" t="s">
        <v>41</v>
      </c>
      <c r="M398">
        <v>56.28</v>
      </c>
      <c r="N398" s="4">
        <f t="shared" si="6"/>
        <v>-2.1759061833688698</v>
      </c>
      <c r="O398" t="s">
        <v>83</v>
      </c>
      <c r="Q398" s="24" t="s">
        <v>43</v>
      </c>
    </row>
    <row r="399" spans="1:18" x14ac:dyDescent="0.25">
      <c r="A399" s="22">
        <v>45681</v>
      </c>
      <c r="B399" s="1">
        <v>120218787</v>
      </c>
      <c r="C399" t="s">
        <v>82</v>
      </c>
      <c r="D399" s="23">
        <v>260000</v>
      </c>
      <c r="E399" t="s">
        <v>45</v>
      </c>
      <c r="F399" s="2">
        <v>210115002</v>
      </c>
      <c r="G399" s="2" t="s">
        <v>46</v>
      </c>
      <c r="I399" s="95" t="s">
        <v>7231</v>
      </c>
      <c r="K399" t="s">
        <v>82</v>
      </c>
      <c r="M399">
        <v>56.28</v>
      </c>
      <c r="N399" s="4">
        <f t="shared" si="6"/>
        <v>4619.7583511016346</v>
      </c>
      <c r="O399" t="s">
        <v>83</v>
      </c>
    </row>
    <row r="400" spans="1:18" x14ac:dyDescent="0.25">
      <c r="A400" s="22">
        <v>45681</v>
      </c>
      <c r="B400" s="1">
        <v>617398672</v>
      </c>
      <c r="C400" t="s">
        <v>423</v>
      </c>
      <c r="D400" s="23">
        <v>-3376.8</v>
      </c>
      <c r="E400" t="s">
        <v>35</v>
      </c>
      <c r="F400" s="2">
        <v>212901001</v>
      </c>
      <c r="G400" s="2" t="s">
        <v>91</v>
      </c>
      <c r="I400" s="95" t="s">
        <v>7231</v>
      </c>
      <c r="J400" t="s">
        <v>61</v>
      </c>
      <c r="K400" t="s">
        <v>62</v>
      </c>
      <c r="M400">
        <v>56.28</v>
      </c>
      <c r="N400" s="4">
        <f t="shared" si="6"/>
        <v>-60</v>
      </c>
      <c r="O400" t="s">
        <v>83</v>
      </c>
    </row>
    <row r="401" spans="1:15" x14ac:dyDescent="0.25">
      <c r="A401" s="22">
        <v>45681</v>
      </c>
      <c r="B401" s="1">
        <v>617398675</v>
      </c>
      <c r="C401" t="s">
        <v>424</v>
      </c>
      <c r="D401" s="23">
        <v>-3376.8</v>
      </c>
      <c r="E401" t="s">
        <v>35</v>
      </c>
      <c r="F401" s="2">
        <v>212901001</v>
      </c>
      <c r="G401" s="2" t="s">
        <v>91</v>
      </c>
      <c r="I401" s="95" t="s">
        <v>7231</v>
      </c>
      <c r="J401" t="s">
        <v>61</v>
      </c>
      <c r="K401" t="s">
        <v>62</v>
      </c>
      <c r="M401">
        <v>56.28</v>
      </c>
      <c r="N401" s="4">
        <f t="shared" si="6"/>
        <v>-60</v>
      </c>
      <c r="O401" t="s">
        <v>83</v>
      </c>
    </row>
    <row r="402" spans="1:15" x14ac:dyDescent="0.25">
      <c r="A402" s="22">
        <v>45681</v>
      </c>
      <c r="B402" s="1">
        <v>617398674</v>
      </c>
      <c r="C402" t="s">
        <v>425</v>
      </c>
      <c r="D402" s="23">
        <v>-3376.8</v>
      </c>
      <c r="E402" t="s">
        <v>35</v>
      </c>
      <c r="F402" s="2">
        <v>212901001</v>
      </c>
      <c r="G402" s="2" t="s">
        <v>91</v>
      </c>
      <c r="I402" s="95" t="s">
        <v>7231</v>
      </c>
      <c r="J402" t="s">
        <v>61</v>
      </c>
      <c r="K402" t="s">
        <v>62</v>
      </c>
      <c r="M402">
        <v>56.28</v>
      </c>
      <c r="N402" s="4">
        <f t="shared" si="6"/>
        <v>-60</v>
      </c>
      <c r="O402" t="s">
        <v>83</v>
      </c>
    </row>
    <row r="403" spans="1:15" x14ac:dyDescent="0.25">
      <c r="A403" s="22">
        <v>45681</v>
      </c>
      <c r="B403" s="1">
        <v>617398673</v>
      </c>
      <c r="C403" t="s">
        <v>426</v>
      </c>
      <c r="D403" s="23">
        <v>-3376.8</v>
      </c>
      <c r="E403" t="s">
        <v>35</v>
      </c>
      <c r="F403" s="2">
        <v>212901001</v>
      </c>
      <c r="G403" s="2" t="s">
        <v>91</v>
      </c>
      <c r="I403" s="95" t="s">
        <v>7231</v>
      </c>
      <c r="J403" t="s">
        <v>61</v>
      </c>
      <c r="K403" t="s">
        <v>62</v>
      </c>
      <c r="M403">
        <v>56.28</v>
      </c>
      <c r="N403" s="4">
        <f t="shared" si="6"/>
        <v>-60</v>
      </c>
      <c r="O403" t="s">
        <v>83</v>
      </c>
    </row>
    <row r="404" spans="1:15" x14ac:dyDescent="0.25">
      <c r="A404" s="22">
        <v>45681</v>
      </c>
      <c r="B404" s="1">
        <v>617398677</v>
      </c>
      <c r="C404" t="s">
        <v>427</v>
      </c>
      <c r="D404" s="23">
        <v>-3376.8</v>
      </c>
      <c r="E404" t="s">
        <v>35</v>
      </c>
      <c r="F404" s="2">
        <v>212901001</v>
      </c>
      <c r="G404" s="2" t="s">
        <v>91</v>
      </c>
      <c r="I404" s="95" t="s">
        <v>7231</v>
      </c>
      <c r="J404" t="s">
        <v>61</v>
      </c>
      <c r="K404" t="s">
        <v>62</v>
      </c>
      <c r="M404">
        <v>56.28</v>
      </c>
      <c r="N404" s="4">
        <f t="shared" si="6"/>
        <v>-60</v>
      </c>
      <c r="O404" t="s">
        <v>83</v>
      </c>
    </row>
    <row r="405" spans="1:15" x14ac:dyDescent="0.25">
      <c r="A405" s="22">
        <v>45681</v>
      </c>
      <c r="B405" s="1">
        <v>617398676</v>
      </c>
      <c r="C405" t="s">
        <v>428</v>
      </c>
      <c r="D405" s="23">
        <v>-3376.8</v>
      </c>
      <c r="E405" t="s">
        <v>35</v>
      </c>
      <c r="F405" s="2">
        <v>212901001</v>
      </c>
      <c r="G405" s="2" t="s">
        <v>91</v>
      </c>
      <c r="I405" s="95" t="s">
        <v>7231</v>
      </c>
      <c r="J405" t="s">
        <v>61</v>
      </c>
      <c r="K405" t="s">
        <v>62</v>
      </c>
      <c r="M405">
        <v>56.28</v>
      </c>
      <c r="N405" s="4">
        <f t="shared" si="6"/>
        <v>-60</v>
      </c>
      <c r="O405" t="s">
        <v>83</v>
      </c>
    </row>
    <row r="406" spans="1:15" x14ac:dyDescent="0.25">
      <c r="A406" s="22">
        <v>45681</v>
      </c>
      <c r="B406" s="1">
        <v>617398680</v>
      </c>
      <c r="C406" t="s">
        <v>429</v>
      </c>
      <c r="D406" s="23">
        <v>-3376.8</v>
      </c>
      <c r="E406" t="s">
        <v>35</v>
      </c>
      <c r="F406" s="2">
        <v>212901001</v>
      </c>
      <c r="G406" s="2" t="s">
        <v>91</v>
      </c>
      <c r="I406" s="95" t="s">
        <v>7231</v>
      </c>
      <c r="J406" t="s">
        <v>61</v>
      </c>
      <c r="K406" t="s">
        <v>62</v>
      </c>
      <c r="M406">
        <v>56.28</v>
      </c>
      <c r="N406" s="4">
        <f t="shared" si="6"/>
        <v>-60</v>
      </c>
      <c r="O406" t="s">
        <v>83</v>
      </c>
    </row>
    <row r="407" spans="1:15" x14ac:dyDescent="0.25">
      <c r="A407" s="22">
        <v>45681</v>
      </c>
      <c r="B407" s="1">
        <v>617398678</v>
      </c>
      <c r="C407" t="s">
        <v>430</v>
      </c>
      <c r="D407" s="23">
        <v>-3376.8</v>
      </c>
      <c r="E407" t="s">
        <v>35</v>
      </c>
      <c r="F407" s="2">
        <v>212901001</v>
      </c>
      <c r="G407" s="2" t="s">
        <v>91</v>
      </c>
      <c r="I407" s="95" t="s">
        <v>7231</v>
      </c>
      <c r="J407" t="s">
        <v>61</v>
      </c>
      <c r="K407" t="s">
        <v>62</v>
      </c>
      <c r="M407">
        <v>56.28</v>
      </c>
      <c r="N407" s="4">
        <f t="shared" si="6"/>
        <v>-60</v>
      </c>
      <c r="O407" t="s">
        <v>83</v>
      </c>
    </row>
    <row r="408" spans="1:15" x14ac:dyDescent="0.25">
      <c r="A408" s="22">
        <v>45681</v>
      </c>
      <c r="B408" s="1">
        <v>717398688</v>
      </c>
      <c r="C408" t="s">
        <v>431</v>
      </c>
      <c r="D408" s="23">
        <v>-3376.8</v>
      </c>
      <c r="E408" t="s">
        <v>35</v>
      </c>
      <c r="F408" s="2">
        <v>212901001</v>
      </c>
      <c r="G408" s="2" t="s">
        <v>91</v>
      </c>
      <c r="I408" s="95" t="s">
        <v>7231</v>
      </c>
      <c r="J408" t="s">
        <v>61</v>
      </c>
      <c r="K408" t="s">
        <v>62</v>
      </c>
      <c r="M408">
        <v>56.28</v>
      </c>
      <c r="N408" s="4">
        <f t="shared" si="6"/>
        <v>-60</v>
      </c>
      <c r="O408" t="s">
        <v>83</v>
      </c>
    </row>
    <row r="409" spans="1:15" x14ac:dyDescent="0.25">
      <c r="A409" s="22">
        <v>45681</v>
      </c>
      <c r="B409" s="1">
        <v>717398682</v>
      </c>
      <c r="C409" t="s">
        <v>432</v>
      </c>
      <c r="D409" s="23">
        <v>-3376.8</v>
      </c>
      <c r="E409" t="s">
        <v>35</v>
      </c>
      <c r="F409" s="2">
        <v>212901001</v>
      </c>
      <c r="G409" s="2" t="s">
        <v>91</v>
      </c>
      <c r="I409" s="95" t="s">
        <v>7231</v>
      </c>
      <c r="J409" t="s">
        <v>61</v>
      </c>
      <c r="K409" t="s">
        <v>62</v>
      </c>
      <c r="M409">
        <v>56.28</v>
      </c>
      <c r="N409" s="4">
        <f t="shared" si="6"/>
        <v>-60</v>
      </c>
      <c r="O409" t="s">
        <v>83</v>
      </c>
    </row>
    <row r="410" spans="1:15" x14ac:dyDescent="0.25">
      <c r="A410" s="22">
        <v>45681</v>
      </c>
      <c r="B410" s="1">
        <v>617398681</v>
      </c>
      <c r="C410" t="s">
        <v>433</v>
      </c>
      <c r="D410" s="23">
        <v>-3376.8</v>
      </c>
      <c r="E410" t="s">
        <v>35</v>
      </c>
      <c r="F410" s="2">
        <v>212901001</v>
      </c>
      <c r="G410" s="2" t="s">
        <v>91</v>
      </c>
      <c r="I410" s="95" t="s">
        <v>7231</v>
      </c>
      <c r="J410" t="s">
        <v>61</v>
      </c>
      <c r="K410" t="s">
        <v>62</v>
      </c>
      <c r="M410">
        <v>56.28</v>
      </c>
      <c r="N410" s="4">
        <f t="shared" si="6"/>
        <v>-60</v>
      </c>
      <c r="O410" t="s">
        <v>83</v>
      </c>
    </row>
    <row r="411" spans="1:15" x14ac:dyDescent="0.25">
      <c r="A411" s="22">
        <v>45681</v>
      </c>
      <c r="B411" s="1">
        <v>717398685</v>
      </c>
      <c r="C411" t="s">
        <v>434</v>
      </c>
      <c r="D411" s="23">
        <v>-3376.8</v>
      </c>
      <c r="E411" t="s">
        <v>35</v>
      </c>
      <c r="F411" s="2">
        <v>212901001</v>
      </c>
      <c r="G411" s="2" t="s">
        <v>91</v>
      </c>
      <c r="I411" s="95" t="s">
        <v>7231</v>
      </c>
      <c r="J411" t="s">
        <v>61</v>
      </c>
      <c r="K411" t="s">
        <v>62</v>
      </c>
      <c r="M411">
        <v>56.28</v>
      </c>
      <c r="N411" s="4">
        <f t="shared" si="6"/>
        <v>-60</v>
      </c>
      <c r="O411" t="s">
        <v>83</v>
      </c>
    </row>
    <row r="412" spans="1:15" x14ac:dyDescent="0.25">
      <c r="A412" s="22">
        <v>45681</v>
      </c>
      <c r="B412" s="1">
        <v>717398690</v>
      </c>
      <c r="C412" t="s">
        <v>435</v>
      </c>
      <c r="D412" s="23">
        <v>-3376.8</v>
      </c>
      <c r="E412" t="s">
        <v>35</v>
      </c>
      <c r="F412" s="2">
        <v>212901001</v>
      </c>
      <c r="G412" s="2" t="s">
        <v>91</v>
      </c>
      <c r="I412" s="95" t="s">
        <v>7231</v>
      </c>
      <c r="J412" t="s">
        <v>61</v>
      </c>
      <c r="K412" t="s">
        <v>62</v>
      </c>
      <c r="M412">
        <v>56.28</v>
      </c>
      <c r="N412" s="4">
        <f t="shared" si="6"/>
        <v>-60</v>
      </c>
      <c r="O412" t="s">
        <v>83</v>
      </c>
    </row>
    <row r="413" spans="1:15" x14ac:dyDescent="0.25">
      <c r="A413" s="22">
        <v>45681</v>
      </c>
      <c r="B413" s="1">
        <v>717398683</v>
      </c>
      <c r="C413" t="s">
        <v>436</v>
      </c>
      <c r="D413" s="23">
        <v>-3376.8</v>
      </c>
      <c r="E413" t="s">
        <v>35</v>
      </c>
      <c r="F413" s="2">
        <v>212901001</v>
      </c>
      <c r="G413" s="2" t="s">
        <v>91</v>
      </c>
      <c r="I413" s="95" t="s">
        <v>7231</v>
      </c>
      <c r="J413" t="s">
        <v>61</v>
      </c>
      <c r="K413" t="s">
        <v>62</v>
      </c>
      <c r="M413">
        <v>56.28</v>
      </c>
      <c r="N413" s="4">
        <f t="shared" si="6"/>
        <v>-60</v>
      </c>
      <c r="O413" t="s">
        <v>83</v>
      </c>
    </row>
    <row r="414" spans="1:15" x14ac:dyDescent="0.25">
      <c r="A414" s="22">
        <v>45681</v>
      </c>
      <c r="B414" s="1">
        <v>717398695</v>
      </c>
      <c r="C414" t="s">
        <v>437</v>
      </c>
      <c r="D414" s="23">
        <v>-4502.3999999999996</v>
      </c>
      <c r="E414" t="s">
        <v>35</v>
      </c>
      <c r="F414" s="2">
        <v>212901001</v>
      </c>
      <c r="G414" s="2" t="s">
        <v>91</v>
      </c>
      <c r="I414" s="95" t="s">
        <v>7231</v>
      </c>
      <c r="J414" t="s">
        <v>61</v>
      </c>
      <c r="K414" t="s">
        <v>62</v>
      </c>
      <c r="M414">
        <v>56.28</v>
      </c>
      <c r="N414" s="4">
        <f t="shared" si="6"/>
        <v>-79.999999999999986</v>
      </c>
      <c r="O414" t="s">
        <v>83</v>
      </c>
    </row>
    <row r="415" spans="1:15" x14ac:dyDescent="0.25">
      <c r="A415" s="22">
        <v>45681</v>
      </c>
      <c r="B415" s="1">
        <v>717398689</v>
      </c>
      <c r="C415" t="s">
        <v>438</v>
      </c>
      <c r="D415" s="23">
        <v>-3376.8</v>
      </c>
      <c r="E415" t="s">
        <v>35</v>
      </c>
      <c r="F415" s="2">
        <v>212901001</v>
      </c>
      <c r="G415" s="2" t="s">
        <v>91</v>
      </c>
      <c r="I415" s="95" t="s">
        <v>7231</v>
      </c>
      <c r="J415" t="s">
        <v>61</v>
      </c>
      <c r="K415" t="s">
        <v>62</v>
      </c>
      <c r="M415">
        <v>56.28</v>
      </c>
      <c r="N415" s="4">
        <f t="shared" si="6"/>
        <v>-60</v>
      </c>
      <c r="O415" t="s">
        <v>83</v>
      </c>
    </row>
    <row r="416" spans="1:15" x14ac:dyDescent="0.25">
      <c r="A416" s="22">
        <v>45681</v>
      </c>
      <c r="B416" s="1">
        <v>717398697</v>
      </c>
      <c r="C416" t="s">
        <v>439</v>
      </c>
      <c r="D416" s="23">
        <v>-4502.3999999999996</v>
      </c>
      <c r="E416" t="s">
        <v>35</v>
      </c>
      <c r="F416" s="2">
        <v>212901001</v>
      </c>
      <c r="G416" s="2" t="s">
        <v>91</v>
      </c>
      <c r="I416" s="95" t="s">
        <v>7231</v>
      </c>
      <c r="J416" t="s">
        <v>61</v>
      </c>
      <c r="K416" t="s">
        <v>62</v>
      </c>
      <c r="M416">
        <v>56.28</v>
      </c>
      <c r="N416" s="4">
        <f t="shared" si="6"/>
        <v>-79.999999999999986</v>
      </c>
      <c r="O416" t="s">
        <v>83</v>
      </c>
    </row>
    <row r="417" spans="1:15" x14ac:dyDescent="0.25">
      <c r="A417" s="22">
        <v>45681</v>
      </c>
      <c r="B417" s="1">
        <v>717398691</v>
      </c>
      <c r="C417" t="s">
        <v>440</v>
      </c>
      <c r="D417" s="23">
        <v>-8442</v>
      </c>
      <c r="E417" t="s">
        <v>35</v>
      </c>
      <c r="F417" s="2">
        <v>212901001</v>
      </c>
      <c r="G417" s="2" t="s">
        <v>91</v>
      </c>
      <c r="I417" s="95" t="s">
        <v>7231</v>
      </c>
      <c r="J417" t="s">
        <v>61</v>
      </c>
      <c r="K417" t="s">
        <v>62</v>
      </c>
      <c r="M417">
        <v>56.28</v>
      </c>
      <c r="N417" s="4">
        <f t="shared" si="6"/>
        <v>-150</v>
      </c>
      <c r="O417" t="s">
        <v>83</v>
      </c>
    </row>
    <row r="418" spans="1:15" x14ac:dyDescent="0.25">
      <c r="A418" s="22">
        <v>45681</v>
      </c>
      <c r="B418" s="1">
        <v>817398700</v>
      </c>
      <c r="C418" t="s">
        <v>441</v>
      </c>
      <c r="D418" s="23">
        <v>-4502.3999999999996</v>
      </c>
      <c r="E418" t="s">
        <v>35</v>
      </c>
      <c r="F418" s="2">
        <v>212901001</v>
      </c>
      <c r="G418" s="2" t="s">
        <v>91</v>
      </c>
      <c r="I418" s="95" t="s">
        <v>7231</v>
      </c>
      <c r="J418" t="s">
        <v>61</v>
      </c>
      <c r="K418" t="s">
        <v>62</v>
      </c>
      <c r="M418">
        <v>56.28</v>
      </c>
      <c r="N418" s="4">
        <f t="shared" si="6"/>
        <v>-79.999999999999986</v>
      </c>
      <c r="O418" t="s">
        <v>83</v>
      </c>
    </row>
    <row r="419" spans="1:15" x14ac:dyDescent="0.25">
      <c r="A419" s="22">
        <v>45681</v>
      </c>
      <c r="B419" s="1">
        <v>717398692</v>
      </c>
      <c r="C419" t="s">
        <v>442</v>
      </c>
      <c r="D419" s="23">
        <v>-5628</v>
      </c>
      <c r="E419" t="s">
        <v>35</v>
      </c>
      <c r="F419" s="2">
        <v>212901001</v>
      </c>
      <c r="G419" s="2" t="s">
        <v>91</v>
      </c>
      <c r="I419" s="95" t="s">
        <v>7231</v>
      </c>
      <c r="J419" t="s">
        <v>61</v>
      </c>
      <c r="K419" t="s">
        <v>62</v>
      </c>
      <c r="M419">
        <v>56.28</v>
      </c>
      <c r="N419" s="4">
        <f t="shared" si="6"/>
        <v>-100</v>
      </c>
      <c r="O419" t="s">
        <v>83</v>
      </c>
    </row>
    <row r="420" spans="1:15" x14ac:dyDescent="0.25">
      <c r="A420" s="22">
        <v>45681</v>
      </c>
      <c r="B420" s="1">
        <v>817398699</v>
      </c>
      <c r="C420" t="s">
        <v>443</v>
      </c>
      <c r="D420" s="23">
        <v>-4502.3999999999996</v>
      </c>
      <c r="E420" t="s">
        <v>35</v>
      </c>
      <c r="F420" s="2">
        <v>212901001</v>
      </c>
      <c r="G420" s="2" t="s">
        <v>91</v>
      </c>
      <c r="I420" s="95" t="s">
        <v>7231</v>
      </c>
      <c r="J420" t="s">
        <v>61</v>
      </c>
      <c r="K420" t="s">
        <v>62</v>
      </c>
      <c r="M420">
        <v>56.28</v>
      </c>
      <c r="N420" s="4">
        <f t="shared" si="6"/>
        <v>-79.999999999999986</v>
      </c>
      <c r="O420" t="s">
        <v>83</v>
      </c>
    </row>
    <row r="421" spans="1:15" x14ac:dyDescent="0.25">
      <c r="A421" s="22">
        <v>45681</v>
      </c>
      <c r="B421" s="1">
        <v>717398694</v>
      </c>
      <c r="C421" t="s">
        <v>444</v>
      </c>
      <c r="D421" s="23">
        <v>-4502.3999999999996</v>
      </c>
      <c r="E421" t="s">
        <v>35</v>
      </c>
      <c r="F421" s="2">
        <v>212901001</v>
      </c>
      <c r="G421" s="2" t="s">
        <v>91</v>
      </c>
      <c r="I421" s="95" t="s">
        <v>7231</v>
      </c>
      <c r="J421" t="s">
        <v>61</v>
      </c>
      <c r="K421" t="s">
        <v>62</v>
      </c>
      <c r="M421">
        <v>56.28</v>
      </c>
      <c r="N421" s="4">
        <f t="shared" si="6"/>
        <v>-79.999999999999986</v>
      </c>
      <c r="O421" t="s">
        <v>83</v>
      </c>
    </row>
    <row r="422" spans="1:15" x14ac:dyDescent="0.25">
      <c r="A422" s="22">
        <v>45681</v>
      </c>
      <c r="B422" s="1">
        <v>817398703</v>
      </c>
      <c r="C422" t="s">
        <v>445</v>
      </c>
      <c r="D422" s="23">
        <v>-2814</v>
      </c>
      <c r="E422" t="s">
        <v>35</v>
      </c>
      <c r="F422" s="2">
        <v>212901001</v>
      </c>
      <c r="G422" s="2" t="s">
        <v>91</v>
      </c>
      <c r="I422" s="95" t="s">
        <v>7231</v>
      </c>
      <c r="J422" t="s">
        <v>61</v>
      </c>
      <c r="K422" t="s">
        <v>62</v>
      </c>
      <c r="M422">
        <v>56.28</v>
      </c>
      <c r="N422" s="4">
        <f t="shared" si="6"/>
        <v>-50</v>
      </c>
      <c r="O422" t="s">
        <v>83</v>
      </c>
    </row>
    <row r="423" spans="1:15" x14ac:dyDescent="0.25">
      <c r="A423" s="22">
        <v>45681</v>
      </c>
      <c r="B423" s="1">
        <v>817398701</v>
      </c>
      <c r="C423" t="s">
        <v>446</v>
      </c>
      <c r="D423" s="23">
        <v>-2814</v>
      </c>
      <c r="E423" t="s">
        <v>35</v>
      </c>
      <c r="F423" s="2">
        <v>212901001</v>
      </c>
      <c r="G423" s="2" t="s">
        <v>91</v>
      </c>
      <c r="I423" s="95" t="s">
        <v>7231</v>
      </c>
      <c r="J423" t="s">
        <v>61</v>
      </c>
      <c r="K423" t="s">
        <v>62</v>
      </c>
      <c r="M423">
        <v>56.28</v>
      </c>
      <c r="N423" s="4">
        <f t="shared" si="6"/>
        <v>-50</v>
      </c>
      <c r="O423" t="s">
        <v>83</v>
      </c>
    </row>
    <row r="424" spans="1:15" x14ac:dyDescent="0.25">
      <c r="A424" s="22">
        <v>45681</v>
      </c>
      <c r="B424" s="1">
        <v>817398704</v>
      </c>
      <c r="C424" t="s">
        <v>447</v>
      </c>
      <c r="D424" s="23">
        <v>-2814</v>
      </c>
      <c r="E424" t="s">
        <v>35</v>
      </c>
      <c r="F424" s="2">
        <v>212901001</v>
      </c>
      <c r="G424" s="2" t="s">
        <v>91</v>
      </c>
      <c r="I424" s="95" t="s">
        <v>7231</v>
      </c>
      <c r="J424" t="s">
        <v>61</v>
      </c>
      <c r="K424" t="s">
        <v>62</v>
      </c>
      <c r="M424">
        <v>56.28</v>
      </c>
      <c r="N424" s="4">
        <f t="shared" si="6"/>
        <v>-50</v>
      </c>
      <c r="O424" t="s">
        <v>83</v>
      </c>
    </row>
    <row r="425" spans="1:15" x14ac:dyDescent="0.25">
      <c r="A425" s="22">
        <v>45681</v>
      </c>
      <c r="B425" s="1">
        <v>817398705</v>
      </c>
      <c r="C425" t="s">
        <v>448</v>
      </c>
      <c r="D425" s="23">
        <v>-2814</v>
      </c>
      <c r="E425" t="s">
        <v>35</v>
      </c>
      <c r="F425" s="2">
        <v>212901001</v>
      </c>
      <c r="G425" s="2" t="s">
        <v>91</v>
      </c>
      <c r="I425" s="95" t="s">
        <v>7231</v>
      </c>
      <c r="J425" t="s">
        <v>61</v>
      </c>
      <c r="K425" t="s">
        <v>62</v>
      </c>
      <c r="M425">
        <v>56.28</v>
      </c>
      <c r="N425" s="4">
        <f t="shared" si="6"/>
        <v>-50</v>
      </c>
      <c r="O425" t="s">
        <v>83</v>
      </c>
    </row>
    <row r="426" spans="1:15" x14ac:dyDescent="0.25">
      <c r="A426" s="22">
        <v>45681</v>
      </c>
      <c r="B426" s="1">
        <v>817398706</v>
      </c>
      <c r="C426" t="s">
        <v>449</v>
      </c>
      <c r="D426" s="23">
        <v>-2814</v>
      </c>
      <c r="E426" t="s">
        <v>35</v>
      </c>
      <c r="F426" s="2">
        <v>212901001</v>
      </c>
      <c r="G426" s="2" t="s">
        <v>91</v>
      </c>
      <c r="I426" s="95" t="s">
        <v>7231</v>
      </c>
      <c r="J426" t="s">
        <v>61</v>
      </c>
      <c r="K426" t="s">
        <v>62</v>
      </c>
      <c r="M426">
        <v>56.28</v>
      </c>
      <c r="N426" s="4">
        <f t="shared" si="6"/>
        <v>-50</v>
      </c>
      <c r="O426" t="s">
        <v>83</v>
      </c>
    </row>
    <row r="427" spans="1:15" x14ac:dyDescent="0.25">
      <c r="A427" s="22">
        <v>45681</v>
      </c>
      <c r="B427" s="1">
        <v>817398702</v>
      </c>
      <c r="C427" t="s">
        <v>450</v>
      </c>
      <c r="D427" s="23">
        <v>-2814</v>
      </c>
      <c r="E427" t="s">
        <v>35</v>
      </c>
      <c r="F427" s="2">
        <v>212901001</v>
      </c>
      <c r="G427" s="2" t="s">
        <v>91</v>
      </c>
      <c r="I427" s="95" t="s">
        <v>7231</v>
      </c>
      <c r="J427" t="s">
        <v>61</v>
      </c>
      <c r="K427" t="s">
        <v>62</v>
      </c>
      <c r="M427">
        <v>56.28</v>
      </c>
      <c r="N427" s="4">
        <f t="shared" si="6"/>
        <v>-50</v>
      </c>
      <c r="O427" t="s">
        <v>83</v>
      </c>
    </row>
    <row r="428" spans="1:15" x14ac:dyDescent="0.25">
      <c r="A428" s="22">
        <v>45681</v>
      </c>
      <c r="B428" s="1">
        <v>817398710</v>
      </c>
      <c r="C428" t="s">
        <v>451</v>
      </c>
      <c r="D428" s="23">
        <v>-2251.1999999999998</v>
      </c>
      <c r="E428" t="s">
        <v>35</v>
      </c>
      <c r="F428" s="2">
        <v>212901001</v>
      </c>
      <c r="G428" s="2" t="s">
        <v>91</v>
      </c>
      <c r="I428" s="95" t="s">
        <v>7231</v>
      </c>
      <c r="J428" t="s">
        <v>61</v>
      </c>
      <c r="K428" t="s">
        <v>62</v>
      </c>
      <c r="M428">
        <v>56.28</v>
      </c>
      <c r="N428" s="4">
        <f t="shared" si="6"/>
        <v>-39.999999999999993</v>
      </c>
      <c r="O428" t="s">
        <v>83</v>
      </c>
    </row>
    <row r="429" spans="1:15" x14ac:dyDescent="0.25">
      <c r="A429" s="22">
        <v>45681</v>
      </c>
      <c r="B429" s="1">
        <v>717398696</v>
      </c>
      <c r="C429" t="s">
        <v>452</v>
      </c>
      <c r="D429" s="23">
        <v>-4502.3999999999996</v>
      </c>
      <c r="E429" t="s">
        <v>35</v>
      </c>
      <c r="F429" s="2">
        <v>212901001</v>
      </c>
      <c r="G429" s="2" t="s">
        <v>91</v>
      </c>
      <c r="I429" s="95" t="s">
        <v>7231</v>
      </c>
      <c r="J429" t="s">
        <v>61</v>
      </c>
      <c r="K429" t="s">
        <v>62</v>
      </c>
      <c r="M429">
        <v>56.28</v>
      </c>
      <c r="N429" s="4">
        <f t="shared" si="6"/>
        <v>-79.999999999999986</v>
      </c>
      <c r="O429" t="s">
        <v>83</v>
      </c>
    </row>
    <row r="430" spans="1:15" x14ac:dyDescent="0.25">
      <c r="A430" s="22">
        <v>45681</v>
      </c>
      <c r="B430" s="1">
        <v>817398709</v>
      </c>
      <c r="C430" t="s">
        <v>453</v>
      </c>
      <c r="D430" s="23">
        <v>-2251.1999999999998</v>
      </c>
      <c r="E430" t="s">
        <v>35</v>
      </c>
      <c r="F430" s="2">
        <v>212901001</v>
      </c>
      <c r="G430" s="2" t="s">
        <v>91</v>
      </c>
      <c r="I430" s="95" t="s">
        <v>7231</v>
      </c>
      <c r="J430" t="s">
        <v>61</v>
      </c>
      <c r="K430" t="s">
        <v>62</v>
      </c>
      <c r="M430">
        <v>56.28</v>
      </c>
      <c r="N430" s="4">
        <f t="shared" si="6"/>
        <v>-39.999999999999993</v>
      </c>
      <c r="O430" t="s">
        <v>83</v>
      </c>
    </row>
    <row r="431" spans="1:15" x14ac:dyDescent="0.25">
      <c r="A431" s="22">
        <v>45681</v>
      </c>
      <c r="B431" s="1">
        <v>917398713</v>
      </c>
      <c r="C431" t="s">
        <v>454</v>
      </c>
      <c r="D431" s="23">
        <v>-2251.1999999999998</v>
      </c>
      <c r="E431" t="s">
        <v>35</v>
      </c>
      <c r="F431" s="2">
        <v>212901001</v>
      </c>
      <c r="G431" s="2" t="s">
        <v>91</v>
      </c>
      <c r="I431" s="95" t="s">
        <v>7231</v>
      </c>
      <c r="J431" t="s">
        <v>61</v>
      </c>
      <c r="K431" t="s">
        <v>62</v>
      </c>
      <c r="M431">
        <v>56.28</v>
      </c>
      <c r="N431" s="4">
        <f t="shared" si="6"/>
        <v>-39.999999999999993</v>
      </c>
      <c r="O431" t="s">
        <v>83</v>
      </c>
    </row>
    <row r="432" spans="1:15" x14ac:dyDescent="0.25">
      <c r="A432" s="22">
        <v>45681</v>
      </c>
      <c r="B432" s="1">
        <v>817398708</v>
      </c>
      <c r="C432" t="s">
        <v>455</v>
      </c>
      <c r="D432" s="23">
        <v>-2251.1999999999998</v>
      </c>
      <c r="E432" t="s">
        <v>35</v>
      </c>
      <c r="F432" s="2">
        <v>212901001</v>
      </c>
      <c r="G432" s="2" t="s">
        <v>91</v>
      </c>
      <c r="I432" s="95" t="s">
        <v>7231</v>
      </c>
      <c r="J432" t="s">
        <v>61</v>
      </c>
      <c r="K432" t="s">
        <v>62</v>
      </c>
      <c r="M432">
        <v>56.28</v>
      </c>
      <c r="N432" s="4">
        <f t="shared" si="6"/>
        <v>-39.999999999999993</v>
      </c>
      <c r="O432" t="s">
        <v>83</v>
      </c>
    </row>
    <row r="433" spans="1:15" x14ac:dyDescent="0.25">
      <c r="A433" s="22">
        <v>45681</v>
      </c>
      <c r="B433" s="1">
        <v>817398712</v>
      </c>
      <c r="C433" t="s">
        <v>456</v>
      </c>
      <c r="D433" s="23">
        <v>-2251.1999999999998</v>
      </c>
      <c r="E433" t="s">
        <v>35</v>
      </c>
      <c r="F433" s="2">
        <v>212901001</v>
      </c>
      <c r="G433" s="2" t="s">
        <v>91</v>
      </c>
      <c r="I433" s="95" t="s">
        <v>7231</v>
      </c>
      <c r="J433" t="s">
        <v>61</v>
      </c>
      <c r="K433" t="s">
        <v>62</v>
      </c>
      <c r="M433">
        <v>56.28</v>
      </c>
      <c r="N433" s="4">
        <f t="shared" si="6"/>
        <v>-39.999999999999993</v>
      </c>
      <c r="O433" t="s">
        <v>83</v>
      </c>
    </row>
    <row r="434" spans="1:15" x14ac:dyDescent="0.25">
      <c r="A434" s="22">
        <v>45681</v>
      </c>
      <c r="B434" s="1">
        <v>817398711</v>
      </c>
      <c r="C434" t="s">
        <v>457</v>
      </c>
      <c r="D434" s="23">
        <v>-2251.1999999999998</v>
      </c>
      <c r="E434" t="s">
        <v>35</v>
      </c>
      <c r="F434" s="2">
        <v>212901001</v>
      </c>
      <c r="G434" s="2" t="s">
        <v>91</v>
      </c>
      <c r="I434" s="95" t="s">
        <v>7231</v>
      </c>
      <c r="J434" t="s">
        <v>61</v>
      </c>
      <c r="K434" t="s">
        <v>62</v>
      </c>
      <c r="M434">
        <v>56.28</v>
      </c>
      <c r="N434" s="4">
        <f t="shared" si="6"/>
        <v>-39.999999999999993</v>
      </c>
      <c r="O434" t="s">
        <v>83</v>
      </c>
    </row>
    <row r="435" spans="1:15" x14ac:dyDescent="0.25">
      <c r="A435" s="22">
        <v>45681</v>
      </c>
      <c r="B435" s="1">
        <v>917398716</v>
      </c>
      <c r="C435" t="s">
        <v>458</v>
      </c>
      <c r="D435" s="23">
        <v>-5628</v>
      </c>
      <c r="E435" t="s">
        <v>35</v>
      </c>
      <c r="F435" s="2">
        <v>212901001</v>
      </c>
      <c r="G435" s="2" t="s">
        <v>91</v>
      </c>
      <c r="I435" s="95" t="s">
        <v>7231</v>
      </c>
      <c r="J435" t="s">
        <v>61</v>
      </c>
      <c r="K435" t="s">
        <v>62</v>
      </c>
      <c r="M435">
        <v>56.28</v>
      </c>
      <c r="N435" s="4">
        <f t="shared" si="6"/>
        <v>-100</v>
      </c>
      <c r="O435" t="s">
        <v>83</v>
      </c>
    </row>
    <row r="436" spans="1:15" x14ac:dyDescent="0.25">
      <c r="A436" s="22">
        <v>45681</v>
      </c>
      <c r="B436" s="1">
        <v>917398718</v>
      </c>
      <c r="C436" t="s">
        <v>459</v>
      </c>
      <c r="D436" s="23">
        <v>-1688.4</v>
      </c>
      <c r="E436" t="s">
        <v>35</v>
      </c>
      <c r="F436" s="2">
        <v>212901001</v>
      </c>
      <c r="G436" s="2" t="s">
        <v>91</v>
      </c>
      <c r="I436" s="95" t="s">
        <v>7231</v>
      </c>
      <c r="J436" t="s">
        <v>61</v>
      </c>
      <c r="K436" t="s">
        <v>62</v>
      </c>
      <c r="M436">
        <v>56.28</v>
      </c>
      <c r="N436" s="4">
        <f t="shared" si="6"/>
        <v>-30</v>
      </c>
      <c r="O436" t="s">
        <v>83</v>
      </c>
    </row>
    <row r="437" spans="1:15" x14ac:dyDescent="0.25">
      <c r="A437" s="22">
        <v>45681</v>
      </c>
      <c r="B437" s="1">
        <v>917398719</v>
      </c>
      <c r="C437" t="s">
        <v>460</v>
      </c>
      <c r="D437" s="23">
        <v>-6190.8</v>
      </c>
      <c r="E437" t="s">
        <v>35</v>
      </c>
      <c r="F437" s="2">
        <v>212901001</v>
      </c>
      <c r="G437" s="2" t="s">
        <v>91</v>
      </c>
      <c r="I437" s="95" t="s">
        <v>7231</v>
      </c>
      <c r="J437" t="s">
        <v>61</v>
      </c>
      <c r="K437" t="s">
        <v>62</v>
      </c>
      <c r="M437">
        <v>56.28</v>
      </c>
      <c r="N437" s="4">
        <f t="shared" si="6"/>
        <v>-110</v>
      </c>
      <c r="O437" t="s">
        <v>83</v>
      </c>
    </row>
    <row r="438" spans="1:15" x14ac:dyDescent="0.25">
      <c r="A438" s="22">
        <v>45681</v>
      </c>
      <c r="B438" s="1">
        <v>917398715</v>
      </c>
      <c r="C438" t="s">
        <v>461</v>
      </c>
      <c r="D438" s="23">
        <v>-5628</v>
      </c>
      <c r="E438" t="s">
        <v>35</v>
      </c>
      <c r="F438" s="2">
        <v>212901001</v>
      </c>
      <c r="G438" s="2" t="s">
        <v>91</v>
      </c>
      <c r="I438" s="95" t="s">
        <v>7231</v>
      </c>
      <c r="J438" t="s">
        <v>61</v>
      </c>
      <c r="K438" t="s">
        <v>62</v>
      </c>
      <c r="M438">
        <v>56.28</v>
      </c>
      <c r="N438" s="4">
        <f t="shared" si="6"/>
        <v>-100</v>
      </c>
      <c r="O438" t="s">
        <v>83</v>
      </c>
    </row>
    <row r="439" spans="1:15" x14ac:dyDescent="0.25">
      <c r="A439" s="22">
        <v>45681</v>
      </c>
      <c r="B439" s="1">
        <v>917398723</v>
      </c>
      <c r="C439" t="s">
        <v>462</v>
      </c>
      <c r="D439" s="23">
        <v>-2251.1999999999998</v>
      </c>
      <c r="E439" t="s">
        <v>35</v>
      </c>
      <c r="F439" s="2">
        <v>212901001</v>
      </c>
      <c r="G439" s="2" t="s">
        <v>91</v>
      </c>
      <c r="I439" s="95" t="s">
        <v>7231</v>
      </c>
      <c r="J439" t="s">
        <v>61</v>
      </c>
      <c r="K439" t="s">
        <v>62</v>
      </c>
      <c r="M439">
        <v>56.28</v>
      </c>
      <c r="N439" s="4">
        <f t="shared" si="6"/>
        <v>-39.999999999999993</v>
      </c>
      <c r="O439" t="s">
        <v>83</v>
      </c>
    </row>
    <row r="440" spans="1:15" x14ac:dyDescent="0.25">
      <c r="A440" s="22">
        <v>45681</v>
      </c>
      <c r="B440" s="1">
        <v>917398720</v>
      </c>
      <c r="C440" t="s">
        <v>463</v>
      </c>
      <c r="D440" s="23">
        <v>-4502.3999999999996</v>
      </c>
      <c r="E440" t="s">
        <v>35</v>
      </c>
      <c r="F440" s="2">
        <v>212901001</v>
      </c>
      <c r="G440" s="2" t="s">
        <v>91</v>
      </c>
      <c r="I440" s="95" t="s">
        <v>7231</v>
      </c>
      <c r="J440" t="s">
        <v>61</v>
      </c>
      <c r="K440" t="s">
        <v>62</v>
      </c>
      <c r="M440">
        <v>56.28</v>
      </c>
      <c r="N440" s="4">
        <f t="shared" si="6"/>
        <v>-79.999999999999986</v>
      </c>
      <c r="O440" t="s">
        <v>83</v>
      </c>
    </row>
    <row r="441" spans="1:15" x14ac:dyDescent="0.25">
      <c r="A441" s="22">
        <v>45681</v>
      </c>
      <c r="B441" s="1">
        <v>917398725</v>
      </c>
      <c r="C441" t="s">
        <v>464</v>
      </c>
      <c r="D441" s="23">
        <v>-3939.6</v>
      </c>
      <c r="E441" t="s">
        <v>35</v>
      </c>
      <c r="F441" s="2">
        <v>212901001</v>
      </c>
      <c r="G441" s="2" t="s">
        <v>91</v>
      </c>
      <c r="I441" s="95" t="s">
        <v>7231</v>
      </c>
      <c r="J441" t="s">
        <v>61</v>
      </c>
      <c r="K441" t="s">
        <v>62</v>
      </c>
      <c r="M441">
        <v>56.28</v>
      </c>
      <c r="N441" s="4">
        <f t="shared" si="6"/>
        <v>-70</v>
      </c>
      <c r="O441" t="s">
        <v>83</v>
      </c>
    </row>
    <row r="442" spans="1:15" x14ac:dyDescent="0.25">
      <c r="A442" s="22">
        <v>45681</v>
      </c>
      <c r="B442" s="1">
        <v>917398721</v>
      </c>
      <c r="C442" t="s">
        <v>465</v>
      </c>
      <c r="D442" s="23">
        <v>-5628</v>
      </c>
      <c r="E442" t="s">
        <v>35</v>
      </c>
      <c r="F442" s="2">
        <v>212901001</v>
      </c>
      <c r="G442" s="2" t="s">
        <v>91</v>
      </c>
      <c r="I442" s="95" t="s">
        <v>7231</v>
      </c>
      <c r="J442" t="s">
        <v>61</v>
      </c>
      <c r="K442" t="s">
        <v>62</v>
      </c>
      <c r="M442">
        <v>56.28</v>
      </c>
      <c r="N442" s="4">
        <f t="shared" si="6"/>
        <v>-100</v>
      </c>
      <c r="O442" t="s">
        <v>83</v>
      </c>
    </row>
    <row r="443" spans="1:15" x14ac:dyDescent="0.25">
      <c r="A443" s="22">
        <v>45681</v>
      </c>
      <c r="B443" s="1">
        <v>17398726</v>
      </c>
      <c r="C443" t="s">
        <v>466</v>
      </c>
      <c r="D443" s="23">
        <v>-3939.6</v>
      </c>
      <c r="E443" t="s">
        <v>35</v>
      </c>
      <c r="F443" s="2">
        <v>212901001</v>
      </c>
      <c r="G443" s="2" t="s">
        <v>91</v>
      </c>
      <c r="I443" s="95" t="s">
        <v>7231</v>
      </c>
      <c r="J443" t="s">
        <v>61</v>
      </c>
      <c r="K443" t="s">
        <v>62</v>
      </c>
      <c r="M443">
        <v>56.28</v>
      </c>
      <c r="N443" s="4">
        <f t="shared" si="6"/>
        <v>-70</v>
      </c>
      <c r="O443" t="s">
        <v>83</v>
      </c>
    </row>
    <row r="444" spans="1:15" x14ac:dyDescent="0.25">
      <c r="A444" s="22">
        <v>45681</v>
      </c>
      <c r="B444" s="1">
        <v>917398724</v>
      </c>
      <c r="C444" t="s">
        <v>467</v>
      </c>
      <c r="D444" s="23">
        <v>-3939.6</v>
      </c>
      <c r="E444" t="s">
        <v>35</v>
      </c>
      <c r="F444" s="2">
        <v>212901001</v>
      </c>
      <c r="G444" s="2" t="s">
        <v>91</v>
      </c>
      <c r="I444" s="95" t="s">
        <v>7231</v>
      </c>
      <c r="J444" t="s">
        <v>61</v>
      </c>
      <c r="K444" t="s">
        <v>62</v>
      </c>
      <c r="M444">
        <v>56.28</v>
      </c>
      <c r="N444" s="4">
        <f t="shared" si="6"/>
        <v>-70</v>
      </c>
      <c r="O444" t="s">
        <v>83</v>
      </c>
    </row>
    <row r="445" spans="1:15" x14ac:dyDescent="0.25">
      <c r="A445" s="22">
        <v>45681</v>
      </c>
      <c r="B445" s="1">
        <v>17398727</v>
      </c>
      <c r="C445" t="s">
        <v>468</v>
      </c>
      <c r="D445" s="23">
        <v>-2814</v>
      </c>
      <c r="E445" t="s">
        <v>35</v>
      </c>
      <c r="F445" s="2">
        <v>212901001</v>
      </c>
      <c r="G445" s="2" t="s">
        <v>91</v>
      </c>
      <c r="I445" s="95" t="s">
        <v>7231</v>
      </c>
      <c r="J445" t="s">
        <v>61</v>
      </c>
      <c r="K445" t="s">
        <v>62</v>
      </c>
      <c r="M445">
        <v>56.28</v>
      </c>
      <c r="N445" s="4">
        <f t="shared" si="6"/>
        <v>-50</v>
      </c>
      <c r="O445" t="s">
        <v>83</v>
      </c>
    </row>
    <row r="446" spans="1:15" x14ac:dyDescent="0.25">
      <c r="A446" s="22">
        <v>45681</v>
      </c>
      <c r="B446" s="1">
        <v>17398729</v>
      </c>
      <c r="C446" t="s">
        <v>469</v>
      </c>
      <c r="D446" s="23">
        <v>-2814</v>
      </c>
      <c r="E446" t="s">
        <v>35</v>
      </c>
      <c r="F446" s="2">
        <v>212901001</v>
      </c>
      <c r="G446" s="2" t="s">
        <v>91</v>
      </c>
      <c r="I446" s="95" t="s">
        <v>7231</v>
      </c>
      <c r="J446" t="s">
        <v>61</v>
      </c>
      <c r="K446" t="s">
        <v>62</v>
      </c>
      <c r="M446">
        <v>56.28</v>
      </c>
      <c r="N446" s="4">
        <f t="shared" si="6"/>
        <v>-50</v>
      </c>
      <c r="O446" t="s">
        <v>83</v>
      </c>
    </row>
    <row r="447" spans="1:15" x14ac:dyDescent="0.25">
      <c r="A447" s="22">
        <v>45681</v>
      </c>
      <c r="B447" s="1">
        <v>917398717</v>
      </c>
      <c r="C447" t="s">
        <v>470</v>
      </c>
      <c r="D447" s="23">
        <v>-8442</v>
      </c>
      <c r="E447" t="s">
        <v>35</v>
      </c>
      <c r="F447" s="2">
        <v>212901001</v>
      </c>
      <c r="G447" s="2" t="s">
        <v>91</v>
      </c>
      <c r="I447" s="95" t="s">
        <v>7231</v>
      </c>
      <c r="J447" t="s">
        <v>61</v>
      </c>
      <c r="K447" t="s">
        <v>62</v>
      </c>
      <c r="M447">
        <v>56.28</v>
      </c>
      <c r="N447" s="4">
        <f t="shared" si="6"/>
        <v>-150</v>
      </c>
      <c r="O447" t="s">
        <v>83</v>
      </c>
    </row>
    <row r="448" spans="1:15" x14ac:dyDescent="0.25">
      <c r="A448" s="22">
        <v>45681</v>
      </c>
      <c r="B448" s="1">
        <v>717398687</v>
      </c>
      <c r="C448" t="s">
        <v>471</v>
      </c>
      <c r="D448" s="23">
        <v>-3376.8</v>
      </c>
      <c r="E448" t="s">
        <v>35</v>
      </c>
      <c r="F448" s="2">
        <v>212901001</v>
      </c>
      <c r="G448" s="2" t="s">
        <v>91</v>
      </c>
      <c r="I448" s="95" t="s">
        <v>7231</v>
      </c>
      <c r="J448" t="s">
        <v>61</v>
      </c>
      <c r="K448" t="s">
        <v>62</v>
      </c>
      <c r="M448">
        <v>56.28</v>
      </c>
      <c r="N448" s="4">
        <f t="shared" si="6"/>
        <v>-60</v>
      </c>
      <c r="O448" t="s">
        <v>83</v>
      </c>
    </row>
    <row r="449" spans="1:15" x14ac:dyDescent="0.25">
      <c r="A449" s="22">
        <v>45681</v>
      </c>
      <c r="B449" s="1">
        <v>17398734</v>
      </c>
      <c r="C449" t="s">
        <v>472</v>
      </c>
      <c r="D449" s="23">
        <v>-2814</v>
      </c>
      <c r="E449" t="s">
        <v>35</v>
      </c>
      <c r="F449" s="2">
        <v>212901001</v>
      </c>
      <c r="G449" s="2" t="s">
        <v>91</v>
      </c>
      <c r="I449" s="95" t="s">
        <v>7231</v>
      </c>
      <c r="J449" t="s">
        <v>61</v>
      </c>
      <c r="K449" t="s">
        <v>62</v>
      </c>
      <c r="M449">
        <v>56.28</v>
      </c>
      <c r="N449" s="4">
        <f t="shared" si="6"/>
        <v>-50</v>
      </c>
      <c r="O449" t="s">
        <v>83</v>
      </c>
    </row>
    <row r="450" spans="1:15" x14ac:dyDescent="0.25">
      <c r="A450" s="22">
        <v>45681</v>
      </c>
      <c r="B450" s="1">
        <v>17398732</v>
      </c>
      <c r="C450" t="s">
        <v>473</v>
      </c>
      <c r="D450" s="23">
        <v>-2363.7600000000002</v>
      </c>
      <c r="E450" t="s">
        <v>35</v>
      </c>
      <c r="F450" s="2">
        <v>212901001</v>
      </c>
      <c r="G450" s="2" t="s">
        <v>91</v>
      </c>
      <c r="I450" s="95" t="s">
        <v>7231</v>
      </c>
      <c r="J450" t="s">
        <v>61</v>
      </c>
      <c r="K450" t="s">
        <v>62</v>
      </c>
      <c r="M450">
        <v>56.28</v>
      </c>
      <c r="N450" s="4">
        <f t="shared" si="6"/>
        <v>-42</v>
      </c>
      <c r="O450" t="s">
        <v>83</v>
      </c>
    </row>
    <row r="451" spans="1:15" x14ac:dyDescent="0.25">
      <c r="A451" s="22">
        <v>45681</v>
      </c>
      <c r="B451" s="1">
        <v>17398728</v>
      </c>
      <c r="C451" t="s">
        <v>474</v>
      </c>
      <c r="D451" s="23">
        <v>-2814</v>
      </c>
      <c r="E451" t="s">
        <v>35</v>
      </c>
      <c r="F451" s="2">
        <v>212901001</v>
      </c>
      <c r="G451" s="2" t="s">
        <v>91</v>
      </c>
      <c r="I451" s="95" t="s">
        <v>7231</v>
      </c>
      <c r="J451" t="s">
        <v>61</v>
      </c>
      <c r="K451" t="s">
        <v>62</v>
      </c>
      <c r="M451">
        <v>56.28</v>
      </c>
      <c r="N451" s="4">
        <f t="shared" si="6"/>
        <v>-50</v>
      </c>
      <c r="O451" t="s">
        <v>83</v>
      </c>
    </row>
    <row r="452" spans="1:15" x14ac:dyDescent="0.25">
      <c r="A452" s="22">
        <v>45681</v>
      </c>
      <c r="B452" s="1">
        <v>17398730</v>
      </c>
      <c r="C452" t="s">
        <v>468</v>
      </c>
      <c r="D452" s="23">
        <v>-2814</v>
      </c>
      <c r="E452" t="s">
        <v>35</v>
      </c>
      <c r="F452" s="2">
        <v>212901001</v>
      </c>
      <c r="G452" s="2" t="s">
        <v>91</v>
      </c>
      <c r="I452" s="95" t="s">
        <v>7231</v>
      </c>
      <c r="J452" t="s">
        <v>61</v>
      </c>
      <c r="K452" t="s">
        <v>62</v>
      </c>
      <c r="M452">
        <v>56.28</v>
      </c>
      <c r="N452" s="4">
        <f t="shared" si="6"/>
        <v>-50</v>
      </c>
      <c r="O452" t="s">
        <v>83</v>
      </c>
    </row>
    <row r="453" spans="1:15" x14ac:dyDescent="0.25">
      <c r="A453" s="22">
        <v>45681</v>
      </c>
      <c r="B453" s="1">
        <v>17398733</v>
      </c>
      <c r="C453" t="s">
        <v>475</v>
      </c>
      <c r="D453" s="23">
        <v>-2814</v>
      </c>
      <c r="E453" t="s">
        <v>35</v>
      </c>
      <c r="F453" s="2">
        <v>212901001</v>
      </c>
      <c r="G453" s="2" t="s">
        <v>91</v>
      </c>
      <c r="I453" s="95" t="s">
        <v>7231</v>
      </c>
      <c r="J453" t="s">
        <v>61</v>
      </c>
      <c r="K453" t="s">
        <v>62</v>
      </c>
      <c r="M453">
        <v>56.28</v>
      </c>
      <c r="N453" s="4">
        <f t="shared" si="6"/>
        <v>-50</v>
      </c>
      <c r="O453" t="s">
        <v>83</v>
      </c>
    </row>
    <row r="454" spans="1:15" x14ac:dyDescent="0.25">
      <c r="A454" s="22">
        <v>45681</v>
      </c>
      <c r="B454" s="1">
        <v>17398731</v>
      </c>
      <c r="C454" t="s">
        <v>476</v>
      </c>
      <c r="D454" s="23">
        <v>-2814</v>
      </c>
      <c r="E454" t="s">
        <v>35</v>
      </c>
      <c r="F454" s="2">
        <v>212901001</v>
      </c>
      <c r="G454" s="2" t="s">
        <v>91</v>
      </c>
      <c r="I454" s="95" t="s">
        <v>7231</v>
      </c>
      <c r="J454" t="s">
        <v>61</v>
      </c>
      <c r="K454" t="s">
        <v>62</v>
      </c>
      <c r="M454">
        <v>56.28</v>
      </c>
      <c r="N454" s="4">
        <f t="shared" si="6"/>
        <v>-50</v>
      </c>
      <c r="O454" t="s">
        <v>83</v>
      </c>
    </row>
    <row r="455" spans="1:15" x14ac:dyDescent="0.25">
      <c r="A455" s="22">
        <v>45681</v>
      </c>
      <c r="B455" s="1">
        <v>117398739</v>
      </c>
      <c r="C455" t="s">
        <v>477</v>
      </c>
      <c r="D455" s="23">
        <v>-2814</v>
      </c>
      <c r="E455" t="s">
        <v>35</v>
      </c>
      <c r="F455" s="2">
        <v>212901001</v>
      </c>
      <c r="G455" s="2" t="s">
        <v>91</v>
      </c>
      <c r="I455" s="95" t="s">
        <v>7231</v>
      </c>
      <c r="J455" t="s">
        <v>61</v>
      </c>
      <c r="K455" t="s">
        <v>62</v>
      </c>
      <c r="M455">
        <v>56.28</v>
      </c>
      <c r="N455" s="4">
        <f t="shared" si="6"/>
        <v>-50</v>
      </c>
      <c r="O455" t="s">
        <v>83</v>
      </c>
    </row>
    <row r="456" spans="1:15" x14ac:dyDescent="0.25">
      <c r="A456" s="22">
        <v>45681</v>
      </c>
      <c r="B456" s="1">
        <v>17398735</v>
      </c>
      <c r="C456" t="s">
        <v>478</v>
      </c>
      <c r="D456" s="23">
        <v>-2814</v>
      </c>
      <c r="E456" t="s">
        <v>35</v>
      </c>
      <c r="F456" s="2">
        <v>212901001</v>
      </c>
      <c r="G456" s="2" t="s">
        <v>91</v>
      </c>
      <c r="I456" s="95" t="s">
        <v>7231</v>
      </c>
      <c r="J456" t="s">
        <v>61</v>
      </c>
      <c r="K456" t="s">
        <v>62</v>
      </c>
      <c r="M456">
        <v>56.28</v>
      </c>
      <c r="N456" s="4">
        <f t="shared" si="6"/>
        <v>-50</v>
      </c>
      <c r="O456" t="s">
        <v>83</v>
      </c>
    </row>
    <row r="457" spans="1:15" x14ac:dyDescent="0.25">
      <c r="A457" s="22">
        <v>45681</v>
      </c>
      <c r="B457" s="1">
        <v>117398741</v>
      </c>
      <c r="C457" t="s">
        <v>479</v>
      </c>
      <c r="D457" s="23">
        <v>-2814</v>
      </c>
      <c r="E457" t="s">
        <v>35</v>
      </c>
      <c r="F457" s="2">
        <v>212901001</v>
      </c>
      <c r="G457" s="2" t="s">
        <v>91</v>
      </c>
      <c r="I457" s="95" t="s">
        <v>7231</v>
      </c>
      <c r="J457" t="s">
        <v>61</v>
      </c>
      <c r="K457" t="s">
        <v>62</v>
      </c>
      <c r="M457">
        <v>56.28</v>
      </c>
      <c r="N457" s="4">
        <f t="shared" si="6"/>
        <v>-50</v>
      </c>
      <c r="O457" t="s">
        <v>83</v>
      </c>
    </row>
    <row r="458" spans="1:15" x14ac:dyDescent="0.25">
      <c r="A458" s="22">
        <v>45681</v>
      </c>
      <c r="B458" s="1">
        <v>17398736</v>
      </c>
      <c r="C458" t="s">
        <v>480</v>
      </c>
      <c r="D458" s="23">
        <v>-1913.52</v>
      </c>
      <c r="E458" t="s">
        <v>35</v>
      </c>
      <c r="F458" s="2">
        <v>212901001</v>
      </c>
      <c r="G458" s="2" t="s">
        <v>91</v>
      </c>
      <c r="I458" s="95" t="s">
        <v>7231</v>
      </c>
      <c r="J458" t="s">
        <v>61</v>
      </c>
      <c r="K458" t="s">
        <v>62</v>
      </c>
      <c r="M458">
        <v>56.28</v>
      </c>
      <c r="N458" s="4">
        <f t="shared" si="6"/>
        <v>-34</v>
      </c>
      <c r="O458" t="s">
        <v>83</v>
      </c>
    </row>
    <row r="459" spans="1:15" x14ac:dyDescent="0.25">
      <c r="A459" s="22">
        <v>45681</v>
      </c>
      <c r="B459" s="1">
        <v>117398738</v>
      </c>
      <c r="C459" t="s">
        <v>481</v>
      </c>
      <c r="D459" s="23">
        <v>-2814</v>
      </c>
      <c r="E459" t="s">
        <v>35</v>
      </c>
      <c r="F459" s="2">
        <v>212901001</v>
      </c>
      <c r="G459" s="2" t="s">
        <v>91</v>
      </c>
      <c r="I459" s="95" t="s">
        <v>7231</v>
      </c>
      <c r="J459" t="s">
        <v>61</v>
      </c>
      <c r="K459" t="s">
        <v>62</v>
      </c>
      <c r="M459">
        <v>56.28</v>
      </c>
      <c r="N459" s="4">
        <f t="shared" si="6"/>
        <v>-50</v>
      </c>
      <c r="O459" t="s">
        <v>83</v>
      </c>
    </row>
    <row r="460" spans="1:15" x14ac:dyDescent="0.25">
      <c r="A460" s="22">
        <v>45681</v>
      </c>
      <c r="B460" s="1">
        <v>117398740</v>
      </c>
      <c r="C460" t="s">
        <v>482</v>
      </c>
      <c r="D460" s="23">
        <v>-2814</v>
      </c>
      <c r="E460" t="s">
        <v>35</v>
      </c>
      <c r="F460" s="2">
        <v>212901001</v>
      </c>
      <c r="G460" s="2" t="s">
        <v>91</v>
      </c>
      <c r="I460" s="95" t="s">
        <v>7231</v>
      </c>
      <c r="J460" t="s">
        <v>61</v>
      </c>
      <c r="K460" t="s">
        <v>62</v>
      </c>
      <c r="M460">
        <v>56.28</v>
      </c>
      <c r="N460" s="4">
        <f t="shared" ref="N460:N523" si="7">D460/M460</f>
        <v>-50</v>
      </c>
      <c r="O460" t="s">
        <v>83</v>
      </c>
    </row>
    <row r="461" spans="1:15" x14ac:dyDescent="0.25">
      <c r="A461" s="22">
        <v>45681</v>
      </c>
      <c r="B461" s="1">
        <v>817398707</v>
      </c>
      <c r="C461" t="s">
        <v>483</v>
      </c>
      <c r="D461" s="23">
        <v>-2251.1999999999998</v>
      </c>
      <c r="E461" t="s">
        <v>35</v>
      </c>
      <c r="F461" s="2">
        <v>212901001</v>
      </c>
      <c r="G461" s="2" t="s">
        <v>91</v>
      </c>
      <c r="I461" s="95" t="s">
        <v>7231</v>
      </c>
      <c r="J461" t="s">
        <v>61</v>
      </c>
      <c r="K461" t="s">
        <v>62</v>
      </c>
      <c r="M461">
        <v>56.28</v>
      </c>
      <c r="N461" s="4">
        <f t="shared" si="7"/>
        <v>-39.999999999999993</v>
      </c>
      <c r="O461" t="s">
        <v>83</v>
      </c>
    </row>
    <row r="462" spans="1:15" x14ac:dyDescent="0.25">
      <c r="A462" s="22">
        <v>45681</v>
      </c>
      <c r="B462" s="1">
        <v>117398743</v>
      </c>
      <c r="C462" t="s">
        <v>484</v>
      </c>
      <c r="D462" s="23">
        <v>-1125.5999999999999</v>
      </c>
      <c r="E462" t="s">
        <v>35</v>
      </c>
      <c r="F462" s="2">
        <v>212901001</v>
      </c>
      <c r="G462" s="2" t="s">
        <v>91</v>
      </c>
      <c r="I462" s="95" t="s">
        <v>7231</v>
      </c>
      <c r="J462" t="s">
        <v>61</v>
      </c>
      <c r="K462" t="s">
        <v>62</v>
      </c>
      <c r="M462">
        <v>56.28</v>
      </c>
      <c r="N462" s="4">
        <f t="shared" si="7"/>
        <v>-19.999999999999996</v>
      </c>
      <c r="O462" t="s">
        <v>83</v>
      </c>
    </row>
    <row r="463" spans="1:15" x14ac:dyDescent="0.25">
      <c r="A463" s="22">
        <v>45681</v>
      </c>
      <c r="B463" s="1">
        <v>117398744</v>
      </c>
      <c r="C463" t="s">
        <v>105</v>
      </c>
      <c r="D463" s="23">
        <v>-1125.5999999999999</v>
      </c>
      <c r="E463" t="s">
        <v>35</v>
      </c>
      <c r="F463" s="2">
        <v>212901001</v>
      </c>
      <c r="G463" s="2" t="s">
        <v>91</v>
      </c>
      <c r="I463" s="95" t="s">
        <v>7231</v>
      </c>
      <c r="J463" t="s">
        <v>61</v>
      </c>
      <c r="K463" t="s">
        <v>62</v>
      </c>
      <c r="M463">
        <v>56.28</v>
      </c>
      <c r="N463" s="4">
        <f t="shared" si="7"/>
        <v>-19.999999999999996</v>
      </c>
      <c r="O463" t="s">
        <v>83</v>
      </c>
    </row>
    <row r="464" spans="1:15" x14ac:dyDescent="0.25">
      <c r="A464" s="22">
        <v>45681</v>
      </c>
      <c r="B464" s="1">
        <v>117398745</v>
      </c>
      <c r="C464" t="s">
        <v>106</v>
      </c>
      <c r="D464" s="23">
        <v>-1125.5999999999999</v>
      </c>
      <c r="E464" t="s">
        <v>35</v>
      </c>
      <c r="F464" s="2">
        <v>212901001</v>
      </c>
      <c r="G464" s="2" t="s">
        <v>91</v>
      </c>
      <c r="I464" s="95" t="s">
        <v>7231</v>
      </c>
      <c r="J464" t="s">
        <v>61</v>
      </c>
      <c r="K464" t="s">
        <v>62</v>
      </c>
      <c r="M464">
        <v>56.28</v>
      </c>
      <c r="N464" s="4">
        <f t="shared" si="7"/>
        <v>-19.999999999999996</v>
      </c>
      <c r="O464" t="s">
        <v>83</v>
      </c>
    </row>
    <row r="465" spans="1:18" x14ac:dyDescent="0.25">
      <c r="A465" s="22">
        <v>45681</v>
      </c>
      <c r="B465" s="1">
        <v>117398742</v>
      </c>
      <c r="C465" t="s">
        <v>485</v>
      </c>
      <c r="D465" s="23">
        <v>-2363.7600000000002</v>
      </c>
      <c r="E465" t="s">
        <v>35</v>
      </c>
      <c r="F465" s="2">
        <v>212901001</v>
      </c>
      <c r="G465" s="2" t="s">
        <v>91</v>
      </c>
      <c r="I465" s="95" t="s">
        <v>7231</v>
      </c>
      <c r="J465" t="s">
        <v>61</v>
      </c>
      <c r="K465" t="s">
        <v>62</v>
      </c>
      <c r="M465">
        <v>56.28</v>
      </c>
      <c r="N465" s="4">
        <f t="shared" si="7"/>
        <v>-42</v>
      </c>
      <c r="O465" t="s">
        <v>83</v>
      </c>
    </row>
    <row r="466" spans="1:18" x14ac:dyDescent="0.25">
      <c r="A466" s="22">
        <v>45681</v>
      </c>
      <c r="B466" s="1">
        <v>217398749</v>
      </c>
      <c r="C466" t="s">
        <v>486</v>
      </c>
      <c r="D466" s="23">
        <v>-6528.48</v>
      </c>
      <c r="E466" t="s">
        <v>35</v>
      </c>
      <c r="F466" s="2">
        <v>212901001</v>
      </c>
      <c r="G466" s="2" t="s">
        <v>91</v>
      </c>
      <c r="I466" s="95" t="s">
        <v>7231</v>
      </c>
      <c r="J466" t="s">
        <v>61</v>
      </c>
      <c r="K466" t="s">
        <v>62</v>
      </c>
      <c r="M466">
        <v>56.28</v>
      </c>
      <c r="N466" s="4">
        <f t="shared" si="7"/>
        <v>-115.99999999999999</v>
      </c>
      <c r="O466" t="s">
        <v>83</v>
      </c>
    </row>
    <row r="467" spans="1:18" x14ac:dyDescent="0.25">
      <c r="A467" s="22">
        <v>45681</v>
      </c>
      <c r="B467" s="1">
        <v>217398752</v>
      </c>
      <c r="C467" t="s">
        <v>487</v>
      </c>
      <c r="D467" s="23">
        <v>-2251.1999999999998</v>
      </c>
      <c r="E467" t="s">
        <v>35</v>
      </c>
      <c r="F467" s="2">
        <v>212901001</v>
      </c>
      <c r="G467" s="2" t="s">
        <v>91</v>
      </c>
      <c r="I467" s="95" t="s">
        <v>7231</v>
      </c>
      <c r="J467" t="s">
        <v>61</v>
      </c>
      <c r="K467" t="s">
        <v>62</v>
      </c>
      <c r="M467">
        <v>56.28</v>
      </c>
      <c r="N467" s="4">
        <f t="shared" si="7"/>
        <v>-39.999999999999993</v>
      </c>
      <c r="O467" t="s">
        <v>83</v>
      </c>
    </row>
    <row r="468" spans="1:18" x14ac:dyDescent="0.25">
      <c r="A468" s="22">
        <v>45681</v>
      </c>
      <c r="B468" s="1">
        <v>117398746</v>
      </c>
      <c r="C468" t="s">
        <v>488</v>
      </c>
      <c r="D468" s="23">
        <v>-1125.5999999999999</v>
      </c>
      <c r="E468" t="s">
        <v>35</v>
      </c>
      <c r="F468" s="2">
        <v>212901001</v>
      </c>
      <c r="G468" s="2" t="s">
        <v>91</v>
      </c>
      <c r="I468" s="95" t="s">
        <v>7231</v>
      </c>
      <c r="J468" t="s">
        <v>61</v>
      </c>
      <c r="K468" t="s">
        <v>62</v>
      </c>
      <c r="M468">
        <v>56.28</v>
      </c>
      <c r="N468" s="4">
        <f t="shared" si="7"/>
        <v>-19.999999999999996</v>
      </c>
      <c r="O468" t="s">
        <v>83</v>
      </c>
    </row>
    <row r="469" spans="1:18" x14ac:dyDescent="0.25">
      <c r="A469" s="22">
        <v>45681</v>
      </c>
      <c r="B469" s="1">
        <v>117398747</v>
      </c>
      <c r="C469" t="s">
        <v>489</v>
      </c>
      <c r="D469" s="23">
        <v>-5628</v>
      </c>
      <c r="E469" t="s">
        <v>35</v>
      </c>
      <c r="F469" s="2">
        <v>212901001</v>
      </c>
      <c r="G469" s="2" t="s">
        <v>91</v>
      </c>
      <c r="I469" s="95" t="s">
        <v>7231</v>
      </c>
      <c r="J469" t="s">
        <v>61</v>
      </c>
      <c r="K469" t="s">
        <v>62</v>
      </c>
      <c r="M469">
        <v>56.28</v>
      </c>
      <c r="N469" s="4">
        <f t="shared" si="7"/>
        <v>-100</v>
      </c>
      <c r="O469" t="s">
        <v>83</v>
      </c>
    </row>
    <row r="470" spans="1:18" x14ac:dyDescent="0.25">
      <c r="A470" s="22">
        <v>45681</v>
      </c>
      <c r="B470" s="1">
        <v>117398748</v>
      </c>
      <c r="C470" t="s">
        <v>490</v>
      </c>
      <c r="D470" s="23">
        <v>-11256</v>
      </c>
      <c r="E470" t="s">
        <v>35</v>
      </c>
      <c r="F470" s="2">
        <v>212901001</v>
      </c>
      <c r="G470" s="2" t="s">
        <v>91</v>
      </c>
      <c r="I470" s="95" t="s">
        <v>7231</v>
      </c>
      <c r="J470" t="s">
        <v>61</v>
      </c>
      <c r="K470" t="s">
        <v>62</v>
      </c>
      <c r="M470">
        <v>56.28</v>
      </c>
      <c r="N470" s="4">
        <f t="shared" si="7"/>
        <v>-200</v>
      </c>
      <c r="O470" t="s">
        <v>83</v>
      </c>
    </row>
    <row r="471" spans="1:18" x14ac:dyDescent="0.25">
      <c r="A471" s="22">
        <v>45681</v>
      </c>
      <c r="B471" s="1">
        <v>217398751</v>
      </c>
      <c r="C471" t="s">
        <v>491</v>
      </c>
      <c r="D471" s="23">
        <v>-1688.4</v>
      </c>
      <c r="E471" t="s">
        <v>35</v>
      </c>
      <c r="F471" s="2">
        <v>212901001</v>
      </c>
      <c r="G471" s="2" t="s">
        <v>91</v>
      </c>
      <c r="I471" s="95" t="s">
        <v>7231</v>
      </c>
      <c r="J471" t="s">
        <v>61</v>
      </c>
      <c r="K471" t="s">
        <v>62</v>
      </c>
      <c r="M471">
        <v>56.28</v>
      </c>
      <c r="N471" s="4">
        <f t="shared" si="7"/>
        <v>-30</v>
      </c>
      <c r="O471" t="s">
        <v>83</v>
      </c>
    </row>
    <row r="472" spans="1:18" x14ac:dyDescent="0.25">
      <c r="A472" s="22">
        <v>45681</v>
      </c>
      <c r="B472" s="1">
        <v>50176334</v>
      </c>
      <c r="C472" t="s">
        <v>492</v>
      </c>
      <c r="D472" s="23">
        <v>-7879.2</v>
      </c>
      <c r="E472" t="s">
        <v>35</v>
      </c>
      <c r="F472" s="2">
        <v>212901001</v>
      </c>
      <c r="G472" s="2" t="s">
        <v>91</v>
      </c>
      <c r="I472" s="95" t="s">
        <v>7231</v>
      </c>
      <c r="J472" t="s">
        <v>61</v>
      </c>
      <c r="K472" t="s">
        <v>62</v>
      </c>
      <c r="M472">
        <v>56.28</v>
      </c>
      <c r="N472" s="4">
        <f t="shared" si="7"/>
        <v>-140</v>
      </c>
      <c r="O472" t="s">
        <v>83</v>
      </c>
    </row>
    <row r="473" spans="1:18" x14ac:dyDescent="0.25">
      <c r="A473" s="22">
        <v>45681</v>
      </c>
      <c r="B473" s="1">
        <v>50176334</v>
      </c>
      <c r="C473" t="s">
        <v>179</v>
      </c>
      <c r="D473" s="23">
        <v>-11.81</v>
      </c>
      <c r="E473" t="s">
        <v>35</v>
      </c>
      <c r="F473" s="2">
        <v>610148001</v>
      </c>
      <c r="G473" s="2" t="s">
        <v>41</v>
      </c>
      <c r="I473" s="95" t="s">
        <v>7231</v>
      </c>
      <c r="J473" t="s">
        <v>42</v>
      </c>
      <c r="K473" t="s">
        <v>41</v>
      </c>
      <c r="M473">
        <v>56.28</v>
      </c>
      <c r="N473" s="4">
        <f t="shared" si="7"/>
        <v>-0.20984363894811656</v>
      </c>
      <c r="O473" t="s">
        <v>83</v>
      </c>
      <c r="Q473" s="24" t="s">
        <v>43</v>
      </c>
    </row>
    <row r="474" spans="1:18" x14ac:dyDescent="0.25">
      <c r="A474" s="22">
        <v>45681</v>
      </c>
      <c r="B474" s="1">
        <v>50176334</v>
      </c>
      <c r="C474" t="s">
        <v>89</v>
      </c>
      <c r="D474" s="23">
        <v>-629.49</v>
      </c>
      <c r="E474" t="s">
        <v>35</v>
      </c>
      <c r="F474" s="2">
        <v>610148001</v>
      </c>
      <c r="G474" s="2" t="s">
        <v>41</v>
      </c>
      <c r="I474" s="95" t="s">
        <v>7231</v>
      </c>
      <c r="J474" t="s">
        <v>42</v>
      </c>
      <c r="K474" t="s">
        <v>41</v>
      </c>
      <c r="M474">
        <v>56.28</v>
      </c>
      <c r="N474" s="4">
        <f t="shared" si="7"/>
        <v>-11.184968017057569</v>
      </c>
      <c r="O474" t="s">
        <v>83</v>
      </c>
      <c r="Q474" s="24" t="s">
        <v>43</v>
      </c>
    </row>
    <row r="475" spans="1:18" x14ac:dyDescent="0.25">
      <c r="A475" s="22">
        <v>45681</v>
      </c>
      <c r="B475" s="1">
        <v>152831976</v>
      </c>
      <c r="C475" t="s">
        <v>82</v>
      </c>
      <c r="D475" s="23">
        <v>60000</v>
      </c>
      <c r="E475" t="s">
        <v>45</v>
      </c>
      <c r="F475" s="2">
        <v>210115002</v>
      </c>
      <c r="G475" s="2" t="s">
        <v>46</v>
      </c>
      <c r="I475" s="95" t="s">
        <v>7231</v>
      </c>
      <c r="K475" t="s">
        <v>82</v>
      </c>
      <c r="M475">
        <v>56.28</v>
      </c>
      <c r="N475" s="4">
        <f t="shared" si="7"/>
        <v>1066.0980810234541</v>
      </c>
      <c r="O475" t="s">
        <v>83</v>
      </c>
    </row>
    <row r="476" spans="1:18" x14ac:dyDescent="0.25">
      <c r="A476" s="22">
        <v>45681</v>
      </c>
      <c r="B476" s="1">
        <v>17416754</v>
      </c>
      <c r="C476" t="s">
        <v>493</v>
      </c>
      <c r="D476" s="23">
        <v>-59238.82</v>
      </c>
      <c r="E476" t="s">
        <v>35</v>
      </c>
      <c r="F476" s="2">
        <v>110114001</v>
      </c>
      <c r="G476" s="2" t="s">
        <v>181</v>
      </c>
      <c r="I476" s="95" t="s">
        <v>7231</v>
      </c>
      <c r="J476" t="s">
        <v>37</v>
      </c>
      <c r="K476" t="s">
        <v>38</v>
      </c>
      <c r="M476">
        <v>56.28</v>
      </c>
      <c r="N476" s="4">
        <f t="shared" si="7"/>
        <v>-1052.5732054015637</v>
      </c>
      <c r="O476" t="s">
        <v>83</v>
      </c>
      <c r="P476" s="34" t="s">
        <v>184</v>
      </c>
      <c r="R476" t="s">
        <v>28</v>
      </c>
    </row>
    <row r="477" spans="1:18" x14ac:dyDescent="0.25">
      <c r="A477" s="22">
        <v>45681</v>
      </c>
      <c r="B477" s="1">
        <v>17416754</v>
      </c>
      <c r="C477" t="s">
        <v>185</v>
      </c>
      <c r="D477" s="23">
        <v>-177.72</v>
      </c>
      <c r="E477" t="s">
        <v>35</v>
      </c>
      <c r="F477" s="2">
        <v>610148001</v>
      </c>
      <c r="G477" s="2" t="s">
        <v>41</v>
      </c>
      <c r="I477" s="95" t="s">
        <v>7231</v>
      </c>
      <c r="J477" t="s">
        <v>42</v>
      </c>
      <c r="K477" t="s">
        <v>41</v>
      </c>
      <c r="M477">
        <v>56.28</v>
      </c>
      <c r="N477" s="4">
        <f t="shared" si="7"/>
        <v>-3.157782515991471</v>
      </c>
      <c r="O477" t="s">
        <v>83</v>
      </c>
      <c r="Q477" s="24" t="s">
        <v>43</v>
      </c>
    </row>
    <row r="478" spans="1:18" x14ac:dyDescent="0.25">
      <c r="A478" s="22">
        <v>45684</v>
      </c>
      <c r="B478" s="1">
        <v>93229377</v>
      </c>
      <c r="C478" t="s">
        <v>82</v>
      </c>
      <c r="D478" s="23">
        <v>20000</v>
      </c>
      <c r="E478" t="s">
        <v>45</v>
      </c>
      <c r="F478" s="2">
        <v>210115002</v>
      </c>
      <c r="G478" s="2" t="s">
        <v>46</v>
      </c>
      <c r="I478" s="95" t="s">
        <v>7231</v>
      </c>
      <c r="K478" t="s">
        <v>82</v>
      </c>
      <c r="M478">
        <v>56.65</v>
      </c>
      <c r="N478" s="4">
        <f t="shared" si="7"/>
        <v>353.04501323918799</v>
      </c>
      <c r="O478" t="s">
        <v>83</v>
      </c>
    </row>
    <row r="479" spans="1:18" x14ac:dyDescent="0.25">
      <c r="A479" s="22">
        <v>45684</v>
      </c>
      <c r="B479" s="1">
        <v>617525740</v>
      </c>
      <c r="C479" t="s">
        <v>494</v>
      </c>
      <c r="D479" s="23">
        <v>-13057.66</v>
      </c>
      <c r="E479" t="s">
        <v>35</v>
      </c>
      <c r="F479" s="2">
        <v>110114001</v>
      </c>
      <c r="G479" s="2" t="s">
        <v>181</v>
      </c>
      <c r="I479" s="95" t="s">
        <v>7231</v>
      </c>
      <c r="J479" t="s">
        <v>182</v>
      </c>
      <c r="K479" t="s">
        <v>183</v>
      </c>
      <c r="M479">
        <v>56.65</v>
      </c>
      <c r="N479" s="4">
        <f t="shared" si="7"/>
        <v>-230.49708737864077</v>
      </c>
      <c r="O479" t="s">
        <v>83</v>
      </c>
      <c r="P479" s="34" t="s">
        <v>184</v>
      </c>
      <c r="R479" t="s">
        <v>28</v>
      </c>
    </row>
    <row r="480" spans="1:18" x14ac:dyDescent="0.25">
      <c r="A480" s="22">
        <v>45684</v>
      </c>
      <c r="B480" s="1">
        <v>617525740</v>
      </c>
      <c r="C480" t="s">
        <v>185</v>
      </c>
      <c r="D480" s="23">
        <v>-39.17</v>
      </c>
      <c r="E480" t="s">
        <v>35</v>
      </c>
      <c r="F480" s="2">
        <v>610148001</v>
      </c>
      <c r="G480" s="2" t="s">
        <v>41</v>
      </c>
      <c r="I480" s="95" t="s">
        <v>7231</v>
      </c>
      <c r="J480" t="s">
        <v>42</v>
      </c>
      <c r="K480" t="s">
        <v>41</v>
      </c>
      <c r="M480">
        <v>56.65</v>
      </c>
      <c r="N480" s="4">
        <f t="shared" si="7"/>
        <v>-0.69143865842894969</v>
      </c>
      <c r="O480" t="s">
        <v>83</v>
      </c>
      <c r="Q480" s="24" t="s">
        <v>43</v>
      </c>
    </row>
    <row r="481" spans="1:20" x14ac:dyDescent="0.25">
      <c r="A481" s="22">
        <v>45684</v>
      </c>
      <c r="B481" s="1">
        <v>114238982</v>
      </c>
      <c r="C481" t="s">
        <v>82</v>
      </c>
      <c r="D481" s="23">
        <v>9000</v>
      </c>
      <c r="E481" t="s">
        <v>45</v>
      </c>
      <c r="F481" s="2">
        <v>210115002</v>
      </c>
      <c r="G481" s="2" t="s">
        <v>46</v>
      </c>
      <c r="I481" s="95" t="s">
        <v>7231</v>
      </c>
      <c r="K481" t="s">
        <v>82</v>
      </c>
      <c r="M481">
        <v>56.65</v>
      </c>
      <c r="N481" s="4">
        <f t="shared" si="7"/>
        <v>158.87025595763461</v>
      </c>
      <c r="O481" t="s">
        <v>83</v>
      </c>
    </row>
    <row r="482" spans="1:20" x14ac:dyDescent="0.25">
      <c r="A482" s="22">
        <v>45684</v>
      </c>
      <c r="B482" s="1">
        <v>517534378</v>
      </c>
      <c r="C482" t="s">
        <v>495</v>
      </c>
      <c r="D482" s="23">
        <v>-2832.5</v>
      </c>
      <c r="E482" t="s">
        <v>35</v>
      </c>
      <c r="F482" s="2">
        <v>110114001</v>
      </c>
      <c r="G482" s="2" t="s">
        <v>181</v>
      </c>
      <c r="I482" s="95" t="s">
        <v>7231</v>
      </c>
      <c r="J482" t="s">
        <v>86</v>
      </c>
      <c r="K482" t="s">
        <v>87</v>
      </c>
      <c r="M482">
        <v>56.65</v>
      </c>
      <c r="N482" s="4">
        <f t="shared" si="7"/>
        <v>-50</v>
      </c>
      <c r="O482" t="s">
        <v>83</v>
      </c>
      <c r="P482" s="34" t="s">
        <v>496</v>
      </c>
    </row>
    <row r="483" spans="1:20" x14ac:dyDescent="0.25">
      <c r="A483" s="22">
        <v>45684</v>
      </c>
      <c r="B483" s="1">
        <v>517534378</v>
      </c>
      <c r="C483" t="s">
        <v>185</v>
      </c>
      <c r="D483" s="23">
        <v>-8.5</v>
      </c>
      <c r="E483" t="s">
        <v>35</v>
      </c>
      <c r="F483" s="2">
        <v>610148001</v>
      </c>
      <c r="G483" s="2" t="s">
        <v>41</v>
      </c>
      <c r="I483" s="95" t="s">
        <v>7231</v>
      </c>
      <c r="J483" t="s">
        <v>42</v>
      </c>
      <c r="K483" t="s">
        <v>41</v>
      </c>
      <c r="M483">
        <v>56.65</v>
      </c>
      <c r="N483" s="4">
        <f t="shared" si="7"/>
        <v>-0.15004413062665489</v>
      </c>
      <c r="O483" t="s">
        <v>83</v>
      </c>
      <c r="Q483" s="24" t="s">
        <v>43</v>
      </c>
    </row>
    <row r="484" spans="1:20" x14ac:dyDescent="0.25">
      <c r="A484" s="22">
        <v>45684</v>
      </c>
      <c r="B484" s="1">
        <v>217534442</v>
      </c>
      <c r="C484" t="s">
        <v>497</v>
      </c>
      <c r="D484" s="23">
        <v>-5098.5</v>
      </c>
      <c r="E484" t="s">
        <v>35</v>
      </c>
      <c r="F484" s="2">
        <v>110114001</v>
      </c>
      <c r="G484" s="2" t="s">
        <v>181</v>
      </c>
      <c r="I484" s="95" t="s">
        <v>7231</v>
      </c>
      <c r="J484" t="s">
        <v>182</v>
      </c>
      <c r="K484" t="s">
        <v>183</v>
      </c>
      <c r="M484">
        <v>56.65</v>
      </c>
      <c r="N484" s="4">
        <f t="shared" si="7"/>
        <v>-90</v>
      </c>
      <c r="O484" t="s">
        <v>83</v>
      </c>
      <c r="P484" s="34" t="s">
        <v>184</v>
      </c>
      <c r="R484" t="s">
        <v>28</v>
      </c>
    </row>
    <row r="485" spans="1:20" x14ac:dyDescent="0.25">
      <c r="A485" s="22">
        <v>45684</v>
      </c>
      <c r="B485" s="1">
        <v>217534442</v>
      </c>
      <c r="C485" t="s">
        <v>185</v>
      </c>
      <c r="D485" s="23">
        <v>-15.3</v>
      </c>
      <c r="E485" t="s">
        <v>35</v>
      </c>
      <c r="F485" s="2">
        <v>610148001</v>
      </c>
      <c r="G485" s="2" t="s">
        <v>41</v>
      </c>
      <c r="I485" s="95" t="s">
        <v>7231</v>
      </c>
      <c r="J485" t="s">
        <v>42</v>
      </c>
      <c r="K485" t="s">
        <v>41</v>
      </c>
      <c r="M485">
        <v>56.65</v>
      </c>
      <c r="N485" s="4">
        <f t="shared" si="7"/>
        <v>-0.27007943512797883</v>
      </c>
      <c r="O485" t="s">
        <v>83</v>
      </c>
      <c r="Q485" s="24" t="s">
        <v>43</v>
      </c>
    </row>
    <row r="486" spans="1:20" x14ac:dyDescent="0.25">
      <c r="A486" s="22">
        <v>45685</v>
      </c>
      <c r="B486" s="1">
        <v>60623028</v>
      </c>
      <c r="C486" t="s">
        <v>498</v>
      </c>
      <c r="D486" s="23">
        <v>-84.98</v>
      </c>
      <c r="E486" t="s">
        <v>35</v>
      </c>
      <c r="F486" s="2">
        <v>610148001</v>
      </c>
      <c r="G486" s="2" t="s">
        <v>41</v>
      </c>
      <c r="I486" s="95" t="s">
        <v>7231</v>
      </c>
      <c r="J486" t="s">
        <v>42</v>
      </c>
      <c r="K486" t="s">
        <v>41</v>
      </c>
      <c r="M486">
        <v>56.86</v>
      </c>
      <c r="N486" s="4">
        <f t="shared" si="7"/>
        <v>-1.4945480126626804</v>
      </c>
      <c r="O486" t="s">
        <v>83</v>
      </c>
      <c r="Q486" s="24" t="s">
        <v>43</v>
      </c>
    </row>
    <row r="487" spans="1:20" x14ac:dyDescent="0.25">
      <c r="A487" s="22">
        <v>45685</v>
      </c>
      <c r="B487" s="1">
        <v>882421977</v>
      </c>
      <c r="C487" t="s">
        <v>290</v>
      </c>
      <c r="D487" s="23">
        <v>5676.23</v>
      </c>
      <c r="E487" t="s">
        <v>45</v>
      </c>
      <c r="F487" s="2">
        <v>110114001</v>
      </c>
      <c r="G487" s="2" t="s">
        <v>181</v>
      </c>
      <c r="I487" s="95" t="s">
        <v>7231</v>
      </c>
      <c r="K487" t="s">
        <v>291</v>
      </c>
      <c r="M487">
        <v>56.86</v>
      </c>
      <c r="N487" s="4">
        <f t="shared" si="7"/>
        <v>99.828174463594792</v>
      </c>
      <c r="O487" t="s">
        <v>83</v>
      </c>
    </row>
    <row r="488" spans="1:20" x14ac:dyDescent="0.25">
      <c r="A488" s="22">
        <v>45685</v>
      </c>
      <c r="B488" s="1">
        <v>110624339</v>
      </c>
      <c r="C488" t="s">
        <v>391</v>
      </c>
      <c r="D488" s="23">
        <v>10000</v>
      </c>
      <c r="E488" t="s">
        <v>45</v>
      </c>
      <c r="F488" s="2">
        <v>210115002</v>
      </c>
      <c r="G488" s="2" t="s">
        <v>46</v>
      </c>
      <c r="I488" s="95" t="s">
        <v>7231</v>
      </c>
      <c r="K488" t="s">
        <v>391</v>
      </c>
      <c r="M488">
        <v>56.86</v>
      </c>
      <c r="N488" s="4">
        <f t="shared" si="7"/>
        <v>175.87055926837849</v>
      </c>
      <c r="O488" t="s">
        <v>83</v>
      </c>
    </row>
    <row r="489" spans="1:20" x14ac:dyDescent="0.25">
      <c r="A489" s="22">
        <v>45685</v>
      </c>
      <c r="B489" s="1">
        <v>111143715</v>
      </c>
      <c r="C489" t="s">
        <v>499</v>
      </c>
      <c r="D489" s="31">
        <v>-603</v>
      </c>
      <c r="E489" t="s">
        <v>35</v>
      </c>
      <c r="F489" s="2">
        <v>610122005</v>
      </c>
      <c r="G489" s="2" t="s">
        <v>401</v>
      </c>
      <c r="I489" s="95" t="s">
        <v>7231</v>
      </c>
      <c r="J489" t="s">
        <v>402</v>
      </c>
      <c r="K489" t="s">
        <v>403</v>
      </c>
      <c r="L489" s="28" t="s">
        <v>56</v>
      </c>
      <c r="M489">
        <v>56.86</v>
      </c>
      <c r="N489" s="4">
        <f t="shared" si="7"/>
        <v>-10.604994723883221</v>
      </c>
      <c r="O489" t="s">
        <v>83</v>
      </c>
      <c r="Q489" s="24" t="s">
        <v>500</v>
      </c>
    </row>
    <row r="490" spans="1:20" x14ac:dyDescent="0.25">
      <c r="A490" s="22">
        <v>45685</v>
      </c>
      <c r="B490" s="1">
        <v>417579921</v>
      </c>
      <c r="C490" t="s">
        <v>501</v>
      </c>
      <c r="D490" s="23">
        <v>-15046.97</v>
      </c>
      <c r="E490" t="s">
        <v>35</v>
      </c>
      <c r="F490" s="2">
        <v>210101001</v>
      </c>
      <c r="G490" s="2" t="s">
        <v>36</v>
      </c>
      <c r="I490" s="95" t="s">
        <v>7231</v>
      </c>
      <c r="J490" t="s">
        <v>502</v>
      </c>
      <c r="K490" t="s">
        <v>503</v>
      </c>
      <c r="M490">
        <v>56.86</v>
      </c>
      <c r="N490" s="4">
        <f t="shared" si="7"/>
        <v>-264.63190291945125</v>
      </c>
      <c r="O490" t="s">
        <v>83</v>
      </c>
    </row>
    <row r="491" spans="1:20" x14ac:dyDescent="0.25">
      <c r="A491" s="22">
        <v>45685</v>
      </c>
      <c r="B491" s="1">
        <v>417579921</v>
      </c>
      <c r="C491" t="s">
        <v>185</v>
      </c>
      <c r="D491" s="23">
        <v>-45.14</v>
      </c>
      <c r="E491" t="s">
        <v>35</v>
      </c>
      <c r="F491" s="2">
        <v>610148001</v>
      </c>
      <c r="G491" s="2" t="s">
        <v>41</v>
      </c>
      <c r="I491" s="95" t="s">
        <v>7231</v>
      </c>
      <c r="J491" t="s">
        <v>42</v>
      </c>
      <c r="K491" t="s">
        <v>41</v>
      </c>
      <c r="M491">
        <v>56.86</v>
      </c>
      <c r="N491" s="4">
        <f t="shared" si="7"/>
        <v>-0.79387970453746048</v>
      </c>
      <c r="O491" t="s">
        <v>83</v>
      </c>
      <c r="Q491" s="24" t="s">
        <v>43</v>
      </c>
    </row>
    <row r="492" spans="1:20" x14ac:dyDescent="0.25">
      <c r="A492" s="22">
        <v>45686</v>
      </c>
      <c r="B492" s="1">
        <v>144905280</v>
      </c>
      <c r="C492" t="s">
        <v>82</v>
      </c>
      <c r="D492" s="23">
        <v>91000</v>
      </c>
      <c r="E492" t="s">
        <v>45</v>
      </c>
      <c r="F492" s="2">
        <v>210115002</v>
      </c>
      <c r="G492" s="2" t="s">
        <v>46</v>
      </c>
      <c r="I492" s="95" t="s">
        <v>7231</v>
      </c>
      <c r="K492" t="s">
        <v>82</v>
      </c>
      <c r="M492">
        <v>57.3</v>
      </c>
      <c r="N492" s="4">
        <f t="shared" si="7"/>
        <v>1588.1326352530541</v>
      </c>
      <c r="O492" t="s">
        <v>83</v>
      </c>
    </row>
    <row r="493" spans="1:20" x14ac:dyDescent="0.25">
      <c r="A493" s="22">
        <v>45686</v>
      </c>
      <c r="B493" s="1">
        <v>317631997</v>
      </c>
      <c r="C493" t="s">
        <v>504</v>
      </c>
      <c r="D493" s="23">
        <v>-89042.76</v>
      </c>
      <c r="E493" t="s">
        <v>35</v>
      </c>
      <c r="F493" s="2">
        <v>210101001</v>
      </c>
      <c r="G493" s="2" t="s">
        <v>36</v>
      </c>
      <c r="I493" s="95" t="s">
        <v>7231</v>
      </c>
      <c r="J493" t="s">
        <v>37</v>
      </c>
      <c r="K493" t="s">
        <v>38</v>
      </c>
      <c r="M493">
        <v>57.3</v>
      </c>
      <c r="N493" s="4">
        <f t="shared" si="7"/>
        <v>-1553.9748691099476</v>
      </c>
      <c r="O493" t="s">
        <v>83</v>
      </c>
    </row>
    <row r="494" spans="1:20" x14ac:dyDescent="0.25">
      <c r="A494" s="22">
        <v>45686</v>
      </c>
      <c r="B494" s="1">
        <v>317631997</v>
      </c>
      <c r="C494" t="s">
        <v>185</v>
      </c>
      <c r="D494" s="23">
        <v>-267.13</v>
      </c>
      <c r="E494" t="s">
        <v>35</v>
      </c>
      <c r="F494" s="2">
        <v>610148001</v>
      </c>
      <c r="G494" s="2" t="s">
        <v>41</v>
      </c>
      <c r="I494" s="95" t="s">
        <v>7231</v>
      </c>
      <c r="J494" t="s">
        <v>42</v>
      </c>
      <c r="K494" t="s">
        <v>41</v>
      </c>
      <c r="M494">
        <v>57.3</v>
      </c>
      <c r="N494" s="4">
        <f t="shared" si="7"/>
        <v>-4.66195462478185</v>
      </c>
      <c r="O494" t="s">
        <v>83</v>
      </c>
      <c r="Q494" s="24" t="s">
        <v>43</v>
      </c>
    </row>
    <row r="495" spans="1:20" x14ac:dyDescent="0.25">
      <c r="A495" s="22">
        <v>45686</v>
      </c>
      <c r="B495" s="1">
        <v>154422321</v>
      </c>
      <c r="C495" t="s">
        <v>82</v>
      </c>
      <c r="D495" s="23">
        <v>90000</v>
      </c>
      <c r="E495" t="s">
        <v>45</v>
      </c>
      <c r="F495" s="2">
        <v>210115002</v>
      </c>
      <c r="G495" s="2" t="s">
        <v>46</v>
      </c>
      <c r="I495" s="95" t="s">
        <v>7231</v>
      </c>
      <c r="K495" t="s">
        <v>82</v>
      </c>
      <c r="M495">
        <v>57.3</v>
      </c>
      <c r="N495" s="4">
        <f t="shared" si="7"/>
        <v>1570.6806282722514</v>
      </c>
      <c r="O495" t="s">
        <v>83</v>
      </c>
    </row>
    <row r="496" spans="1:20" x14ac:dyDescent="0.25">
      <c r="A496" s="22">
        <v>45686</v>
      </c>
      <c r="B496" s="1">
        <v>717634184</v>
      </c>
      <c r="C496" t="s">
        <v>505</v>
      </c>
      <c r="D496" s="23">
        <v>-34051.18</v>
      </c>
      <c r="E496" t="s">
        <v>35</v>
      </c>
      <c r="F496" s="2">
        <v>212901001</v>
      </c>
      <c r="G496" s="2" t="s">
        <v>91</v>
      </c>
      <c r="I496" s="95" t="s">
        <v>7231</v>
      </c>
      <c r="J496" t="s">
        <v>61</v>
      </c>
      <c r="K496" t="s">
        <v>62</v>
      </c>
      <c r="M496">
        <v>57.3</v>
      </c>
      <c r="N496" s="4">
        <f t="shared" si="7"/>
        <v>-594.26143106457243</v>
      </c>
      <c r="O496" t="s">
        <v>83</v>
      </c>
      <c r="R496">
        <v>1</v>
      </c>
      <c r="S496" t="e">
        <f>VLOOKUP(R496,[1]!NOMINA[#Data],4,FALSE)</f>
        <v>#REF!</v>
      </c>
      <c r="T496" t="e">
        <f>VLOOKUP(R496,[1]!NOMINA[#Data],5,FALSE)</f>
        <v>#REF!</v>
      </c>
    </row>
    <row r="497" spans="1:20" x14ac:dyDescent="0.25">
      <c r="A497" s="22">
        <v>45686</v>
      </c>
      <c r="B497" s="1">
        <v>717634183</v>
      </c>
      <c r="C497" t="s">
        <v>506</v>
      </c>
      <c r="D497" s="23">
        <v>-45423.18</v>
      </c>
      <c r="E497" t="s">
        <v>35</v>
      </c>
      <c r="F497" s="2">
        <v>212901001</v>
      </c>
      <c r="G497" s="2" t="s">
        <v>91</v>
      </c>
      <c r="I497" s="95" t="s">
        <v>7231</v>
      </c>
      <c r="J497" t="s">
        <v>61</v>
      </c>
      <c r="K497" t="s">
        <v>62</v>
      </c>
      <c r="M497">
        <v>57.3</v>
      </c>
      <c r="N497" s="4">
        <f t="shared" si="7"/>
        <v>-792.7256544502618</v>
      </c>
      <c r="O497" t="s">
        <v>83</v>
      </c>
      <c r="R497">
        <v>2</v>
      </c>
      <c r="S497" t="e">
        <f>VLOOKUP(Tabla3[[#This Row],[Nº]],[1]!NOMINA[#Data],4,FALSE)</f>
        <v>#REF!</v>
      </c>
      <c r="T497" t="e">
        <f>VLOOKUP(Tabla3[[#This Row],[Nº]],[1]!NOMINA[#Data],5,FALSE)</f>
        <v>#REF!</v>
      </c>
    </row>
    <row r="498" spans="1:20" x14ac:dyDescent="0.25">
      <c r="A498" s="22">
        <v>45686</v>
      </c>
      <c r="B498" s="1">
        <v>817634187</v>
      </c>
      <c r="C498" t="s">
        <v>507</v>
      </c>
      <c r="D498" s="23">
        <v>-61.65</v>
      </c>
      <c r="E498" t="s">
        <v>35</v>
      </c>
      <c r="F498" s="2">
        <v>212901001</v>
      </c>
      <c r="G498" s="2" t="s">
        <v>91</v>
      </c>
      <c r="I498" s="95" t="s">
        <v>7231</v>
      </c>
      <c r="J498" t="s">
        <v>61</v>
      </c>
      <c r="K498" t="s">
        <v>62</v>
      </c>
      <c r="M498">
        <v>57.3</v>
      </c>
      <c r="N498" s="4">
        <f t="shared" si="7"/>
        <v>-1.0759162303664922</v>
      </c>
      <c r="O498" t="s">
        <v>83</v>
      </c>
      <c r="R498">
        <v>2</v>
      </c>
      <c r="S498" t="e">
        <f>VLOOKUP(Tabla3[[#This Row],[Nº]],[1]!NOMINA[#Data],4,FALSE)</f>
        <v>#REF!</v>
      </c>
      <c r="T498" t="e">
        <f>VLOOKUP(Tabla3[[#This Row],[Nº]],[1]!NOMINA[#Data],5,FALSE)</f>
        <v>#REF!</v>
      </c>
    </row>
    <row r="499" spans="1:20" x14ac:dyDescent="0.25">
      <c r="A499" s="22">
        <v>45686</v>
      </c>
      <c r="B499" s="1">
        <v>817634185</v>
      </c>
      <c r="C499" t="s">
        <v>508</v>
      </c>
      <c r="D499" s="23">
        <v>-2274.4</v>
      </c>
      <c r="E499" t="s">
        <v>35</v>
      </c>
      <c r="F499" s="2">
        <v>212901001</v>
      </c>
      <c r="G499" s="2" t="s">
        <v>91</v>
      </c>
      <c r="I499" s="95" t="s">
        <v>7231</v>
      </c>
      <c r="J499" t="s">
        <v>61</v>
      </c>
      <c r="K499" t="s">
        <v>62</v>
      </c>
      <c r="M499">
        <v>57.3</v>
      </c>
      <c r="N499" s="4">
        <f t="shared" si="7"/>
        <v>-39.692844677137877</v>
      </c>
      <c r="O499" t="s">
        <v>83</v>
      </c>
      <c r="R499">
        <v>2</v>
      </c>
      <c r="S499" t="e">
        <f>VLOOKUP(Tabla3[[#This Row],[Nº]],[1]!NOMINA[#Data],4,FALSE)</f>
        <v>#REF!</v>
      </c>
      <c r="T499" t="e">
        <f>VLOOKUP(Tabla3[[#This Row],[Nº]],[1]!NOMINA[#Data],5,FALSE)</f>
        <v>#REF!</v>
      </c>
    </row>
    <row r="500" spans="1:20" x14ac:dyDescent="0.25">
      <c r="A500" s="22">
        <v>45686</v>
      </c>
      <c r="B500" s="1">
        <v>817634186</v>
      </c>
      <c r="C500" t="s">
        <v>509</v>
      </c>
      <c r="D500" s="23">
        <v>-2274.4</v>
      </c>
      <c r="E500" t="s">
        <v>35</v>
      </c>
      <c r="F500" s="2">
        <v>212901001</v>
      </c>
      <c r="G500" s="2" t="s">
        <v>91</v>
      </c>
      <c r="I500" s="95" t="s">
        <v>7231</v>
      </c>
      <c r="J500" t="s">
        <v>61</v>
      </c>
      <c r="K500" t="s">
        <v>62</v>
      </c>
      <c r="M500">
        <v>57.3</v>
      </c>
      <c r="N500" s="4">
        <f t="shared" si="7"/>
        <v>-39.692844677137877</v>
      </c>
      <c r="O500" t="s">
        <v>83</v>
      </c>
      <c r="R500">
        <v>1</v>
      </c>
      <c r="S500" t="e">
        <f>VLOOKUP(R500,[1]!NOMINA[#Data],4,FALSE)</f>
        <v>#REF!</v>
      </c>
      <c r="T500" t="e">
        <f>VLOOKUP(R500,[1]!NOMINA[#Data],5,FALSE)</f>
        <v>#REF!</v>
      </c>
    </row>
    <row r="501" spans="1:20" x14ac:dyDescent="0.25">
      <c r="A501" s="22">
        <v>45686</v>
      </c>
      <c r="B501" s="1">
        <v>817634190</v>
      </c>
      <c r="C501" t="s">
        <v>510</v>
      </c>
      <c r="D501" s="23">
        <v>-2843</v>
      </c>
      <c r="E501" t="s">
        <v>35</v>
      </c>
      <c r="F501" s="2">
        <v>212901001</v>
      </c>
      <c r="G501" s="2" t="s">
        <v>91</v>
      </c>
      <c r="I501" s="95" t="s">
        <v>7231</v>
      </c>
      <c r="J501" t="s">
        <v>61</v>
      </c>
      <c r="K501" t="s">
        <v>62</v>
      </c>
      <c r="M501">
        <v>57.3</v>
      </c>
      <c r="N501" s="4">
        <f t="shared" si="7"/>
        <v>-49.616055846422341</v>
      </c>
      <c r="O501" t="s">
        <v>83</v>
      </c>
    </row>
    <row r="502" spans="1:20" x14ac:dyDescent="0.25">
      <c r="A502" s="22">
        <v>45686</v>
      </c>
      <c r="B502" s="1">
        <v>817634188</v>
      </c>
      <c r="C502" t="s">
        <v>511</v>
      </c>
      <c r="D502" s="23">
        <v>-61.65</v>
      </c>
      <c r="E502" t="s">
        <v>35</v>
      </c>
      <c r="F502" s="2">
        <v>212901001</v>
      </c>
      <c r="G502" s="2" t="s">
        <v>91</v>
      </c>
      <c r="I502" s="95" t="s">
        <v>7231</v>
      </c>
      <c r="J502" t="s">
        <v>61</v>
      </c>
      <c r="K502" t="s">
        <v>62</v>
      </c>
      <c r="M502">
        <v>57.3</v>
      </c>
      <c r="N502" s="4">
        <f t="shared" si="7"/>
        <v>-1.0759162303664922</v>
      </c>
      <c r="O502" t="s">
        <v>83</v>
      </c>
      <c r="R502">
        <v>1</v>
      </c>
      <c r="S502" t="e">
        <f>VLOOKUP(R502,[1]!NOMINA[#Data],4,FALSE)</f>
        <v>#REF!</v>
      </c>
      <c r="T502" t="e">
        <f>VLOOKUP(R502,[1]!NOMINA[#Data],5,FALSE)</f>
        <v>#REF!</v>
      </c>
    </row>
    <row r="503" spans="1:20" x14ac:dyDescent="0.25">
      <c r="A503" s="22">
        <v>45686</v>
      </c>
      <c r="B503" s="1">
        <v>817634189</v>
      </c>
      <c r="C503" t="s">
        <v>512</v>
      </c>
      <c r="D503" s="23">
        <v>-2843</v>
      </c>
      <c r="E503" t="s">
        <v>35</v>
      </c>
      <c r="F503" s="2">
        <v>212901001</v>
      </c>
      <c r="G503" s="2" t="s">
        <v>91</v>
      </c>
      <c r="I503" s="95" t="s">
        <v>7231</v>
      </c>
      <c r="J503" t="s">
        <v>61</v>
      </c>
      <c r="K503" t="s">
        <v>62</v>
      </c>
      <c r="M503">
        <v>57.3</v>
      </c>
      <c r="N503" s="4">
        <f t="shared" si="7"/>
        <v>-49.616055846422341</v>
      </c>
      <c r="O503" t="s">
        <v>83</v>
      </c>
    </row>
    <row r="504" spans="1:20" x14ac:dyDescent="0.25">
      <c r="A504" s="22">
        <v>45686</v>
      </c>
      <c r="B504" s="1">
        <v>817634191</v>
      </c>
      <c r="C504" t="s">
        <v>513</v>
      </c>
      <c r="D504" s="23">
        <v>-2843</v>
      </c>
      <c r="E504" t="s">
        <v>35</v>
      </c>
      <c r="F504" s="2">
        <v>212901001</v>
      </c>
      <c r="G504" s="2" t="s">
        <v>91</v>
      </c>
      <c r="I504" s="95" t="s">
        <v>7231</v>
      </c>
      <c r="J504" t="s">
        <v>61</v>
      </c>
      <c r="K504" t="s">
        <v>62</v>
      </c>
      <c r="M504">
        <v>57.3</v>
      </c>
      <c r="N504" s="4">
        <f t="shared" si="7"/>
        <v>-49.616055846422341</v>
      </c>
      <c r="O504" t="s">
        <v>83</v>
      </c>
    </row>
    <row r="505" spans="1:20" x14ac:dyDescent="0.25">
      <c r="A505" s="22">
        <v>45686</v>
      </c>
      <c r="B505" s="1">
        <v>50112866</v>
      </c>
      <c r="C505" t="s">
        <v>89</v>
      </c>
      <c r="D505" s="23">
        <v>-231.68</v>
      </c>
      <c r="E505" t="s">
        <v>35</v>
      </c>
      <c r="F505" s="2">
        <v>610148001</v>
      </c>
      <c r="G505" s="2" t="s">
        <v>41</v>
      </c>
      <c r="I505" s="95" t="s">
        <v>7231</v>
      </c>
      <c r="J505" t="s">
        <v>42</v>
      </c>
      <c r="K505" t="s">
        <v>41</v>
      </c>
      <c r="M505">
        <v>57.3</v>
      </c>
      <c r="N505" s="4">
        <f t="shared" si="7"/>
        <v>-4.0432809773123912</v>
      </c>
      <c r="O505" t="s">
        <v>83</v>
      </c>
      <c r="Q505" s="24" t="s">
        <v>43</v>
      </c>
    </row>
    <row r="506" spans="1:20" x14ac:dyDescent="0.25">
      <c r="A506" s="22">
        <v>45687</v>
      </c>
      <c r="B506" s="1">
        <v>132620158</v>
      </c>
      <c r="C506" t="s">
        <v>82</v>
      </c>
      <c r="D506" s="23">
        <v>90000</v>
      </c>
      <c r="E506" t="s">
        <v>45</v>
      </c>
      <c r="F506" s="2">
        <v>210115002</v>
      </c>
      <c r="G506" s="2" t="s">
        <v>46</v>
      </c>
      <c r="I506" s="95" t="s">
        <v>7231</v>
      </c>
      <c r="K506" t="s">
        <v>82</v>
      </c>
      <c r="M506">
        <v>57.39</v>
      </c>
      <c r="N506" s="4">
        <f t="shared" si="7"/>
        <v>1568.2174594877156</v>
      </c>
      <c r="O506" t="s">
        <v>83</v>
      </c>
    </row>
    <row r="507" spans="1:20" x14ac:dyDescent="0.25">
      <c r="A507" s="22">
        <v>45687</v>
      </c>
      <c r="B507" s="1">
        <v>117677351</v>
      </c>
      <c r="C507" t="s">
        <v>514</v>
      </c>
      <c r="D507" s="23">
        <v>-86548.49</v>
      </c>
      <c r="E507" t="s">
        <v>35</v>
      </c>
      <c r="F507" s="2">
        <v>210101001</v>
      </c>
      <c r="G507" s="2" t="s">
        <v>36</v>
      </c>
      <c r="I507" s="95" t="s">
        <v>7231</v>
      </c>
      <c r="J507" t="s">
        <v>37</v>
      </c>
      <c r="K507" t="s">
        <v>38</v>
      </c>
      <c r="M507">
        <v>57.39</v>
      </c>
      <c r="N507" s="4">
        <f t="shared" si="7"/>
        <v>-1508.0761456699774</v>
      </c>
      <c r="O507" t="s">
        <v>83</v>
      </c>
    </row>
    <row r="508" spans="1:20" x14ac:dyDescent="0.25">
      <c r="A508" s="22">
        <v>45687</v>
      </c>
      <c r="B508" s="1">
        <v>117677351</v>
      </c>
      <c r="C508" t="s">
        <v>185</v>
      </c>
      <c r="D508" s="23">
        <v>-259.64999999999998</v>
      </c>
      <c r="E508" t="s">
        <v>35</v>
      </c>
      <c r="F508" s="2">
        <v>610148001</v>
      </c>
      <c r="G508" s="2" t="s">
        <v>41</v>
      </c>
      <c r="I508" s="95" t="s">
        <v>7231</v>
      </c>
      <c r="J508" t="s">
        <v>42</v>
      </c>
      <c r="K508" t="s">
        <v>41</v>
      </c>
      <c r="M508">
        <v>57.39</v>
      </c>
      <c r="N508" s="4">
        <f t="shared" si="7"/>
        <v>-4.5243073706220596</v>
      </c>
      <c r="O508" t="s">
        <v>83</v>
      </c>
      <c r="Q508" s="24" t="s">
        <v>43</v>
      </c>
    </row>
    <row r="509" spans="1:20" x14ac:dyDescent="0.25">
      <c r="A509" s="22">
        <v>45688</v>
      </c>
      <c r="B509" s="1">
        <v>110555601</v>
      </c>
      <c r="C509" t="s">
        <v>82</v>
      </c>
      <c r="D509" s="23">
        <v>380000</v>
      </c>
      <c r="E509" t="s">
        <v>45</v>
      </c>
      <c r="F509" s="2">
        <v>210115002</v>
      </c>
      <c r="G509" s="2" t="s">
        <v>46</v>
      </c>
      <c r="I509" s="95" t="s">
        <v>7231</v>
      </c>
      <c r="K509" t="s">
        <v>82</v>
      </c>
      <c r="M509">
        <v>57.97</v>
      </c>
      <c r="N509" s="4">
        <f t="shared" si="7"/>
        <v>6555.1147145075038</v>
      </c>
      <c r="O509" t="s">
        <v>83</v>
      </c>
    </row>
    <row r="510" spans="1:20" x14ac:dyDescent="0.25">
      <c r="A510" s="22">
        <v>45688</v>
      </c>
      <c r="B510" s="1">
        <v>317739363</v>
      </c>
      <c r="C510" t="s">
        <v>515</v>
      </c>
      <c r="D510" s="23">
        <v>-3478.2</v>
      </c>
      <c r="E510" t="s">
        <v>35</v>
      </c>
      <c r="F510" s="2">
        <v>212901001</v>
      </c>
      <c r="G510" s="2" t="s">
        <v>91</v>
      </c>
      <c r="I510" s="95" t="s">
        <v>7231</v>
      </c>
      <c r="J510" t="s">
        <v>61</v>
      </c>
      <c r="K510" t="s">
        <v>62</v>
      </c>
      <c r="M510">
        <v>57.97</v>
      </c>
      <c r="N510" s="4">
        <f t="shared" si="7"/>
        <v>-60</v>
      </c>
      <c r="O510" t="s">
        <v>83</v>
      </c>
    </row>
    <row r="511" spans="1:20" x14ac:dyDescent="0.25">
      <c r="A511" s="22">
        <v>45688</v>
      </c>
      <c r="B511" s="1">
        <v>317739365</v>
      </c>
      <c r="C511" t="s">
        <v>516</v>
      </c>
      <c r="D511" s="23">
        <v>-3478.2</v>
      </c>
      <c r="E511" t="s">
        <v>35</v>
      </c>
      <c r="F511" s="2">
        <v>212901001</v>
      </c>
      <c r="G511" s="2" t="s">
        <v>91</v>
      </c>
      <c r="I511" s="95" t="s">
        <v>7231</v>
      </c>
      <c r="J511" t="s">
        <v>61</v>
      </c>
      <c r="K511" t="s">
        <v>62</v>
      </c>
      <c r="M511">
        <v>57.97</v>
      </c>
      <c r="N511" s="4">
        <f t="shared" si="7"/>
        <v>-60</v>
      </c>
      <c r="O511" t="s">
        <v>83</v>
      </c>
    </row>
    <row r="512" spans="1:20" x14ac:dyDescent="0.25">
      <c r="A512" s="22">
        <v>45688</v>
      </c>
      <c r="B512" s="1">
        <v>317739364</v>
      </c>
      <c r="C512" t="s">
        <v>517</v>
      </c>
      <c r="D512" s="23">
        <v>-3478.2</v>
      </c>
      <c r="E512" t="s">
        <v>35</v>
      </c>
      <c r="F512" s="2">
        <v>212901001</v>
      </c>
      <c r="G512" s="2" t="s">
        <v>91</v>
      </c>
      <c r="I512" s="95" t="s">
        <v>7231</v>
      </c>
      <c r="J512" t="s">
        <v>61</v>
      </c>
      <c r="K512" t="s">
        <v>62</v>
      </c>
      <c r="M512">
        <v>57.97</v>
      </c>
      <c r="N512" s="4">
        <f t="shared" si="7"/>
        <v>-60</v>
      </c>
      <c r="O512" t="s">
        <v>83</v>
      </c>
    </row>
    <row r="513" spans="1:15" x14ac:dyDescent="0.25">
      <c r="A513" s="22">
        <v>45688</v>
      </c>
      <c r="B513" s="1">
        <v>317739366</v>
      </c>
      <c r="C513" t="s">
        <v>518</v>
      </c>
      <c r="D513" s="23">
        <v>-3478.2</v>
      </c>
      <c r="E513" t="s">
        <v>35</v>
      </c>
      <c r="F513" s="2">
        <v>212901001</v>
      </c>
      <c r="G513" s="2" t="s">
        <v>91</v>
      </c>
      <c r="I513" s="95" t="s">
        <v>7231</v>
      </c>
      <c r="J513" t="s">
        <v>61</v>
      </c>
      <c r="K513" t="s">
        <v>62</v>
      </c>
      <c r="M513">
        <v>57.97</v>
      </c>
      <c r="N513" s="4">
        <f t="shared" si="7"/>
        <v>-60</v>
      </c>
      <c r="O513" t="s">
        <v>83</v>
      </c>
    </row>
    <row r="514" spans="1:15" x14ac:dyDescent="0.25">
      <c r="A514" s="22">
        <v>45688</v>
      </c>
      <c r="B514" s="1">
        <v>317739367</v>
      </c>
      <c r="C514" t="s">
        <v>519</v>
      </c>
      <c r="D514" s="23">
        <v>-3478.2</v>
      </c>
      <c r="E514" t="s">
        <v>35</v>
      </c>
      <c r="F514" s="2">
        <v>212901001</v>
      </c>
      <c r="G514" s="2" t="s">
        <v>91</v>
      </c>
      <c r="I514" s="95" t="s">
        <v>7231</v>
      </c>
      <c r="J514" t="s">
        <v>61</v>
      </c>
      <c r="K514" t="s">
        <v>62</v>
      </c>
      <c r="M514">
        <v>57.97</v>
      </c>
      <c r="N514" s="4">
        <f t="shared" si="7"/>
        <v>-60</v>
      </c>
      <c r="O514" t="s">
        <v>83</v>
      </c>
    </row>
    <row r="515" spans="1:15" x14ac:dyDescent="0.25">
      <c r="A515" s="22">
        <v>45688</v>
      </c>
      <c r="B515" s="1">
        <v>417739370</v>
      </c>
      <c r="C515" t="s">
        <v>518</v>
      </c>
      <c r="D515" s="23">
        <v>-3478.2</v>
      </c>
      <c r="E515" t="s">
        <v>35</v>
      </c>
      <c r="F515" s="2">
        <v>212901001</v>
      </c>
      <c r="G515" s="2" t="s">
        <v>91</v>
      </c>
      <c r="I515" s="95" t="s">
        <v>7231</v>
      </c>
      <c r="J515" t="s">
        <v>61</v>
      </c>
      <c r="K515" t="s">
        <v>62</v>
      </c>
      <c r="M515">
        <v>57.97</v>
      </c>
      <c r="N515" s="4">
        <f t="shared" si="7"/>
        <v>-60</v>
      </c>
      <c r="O515" t="s">
        <v>83</v>
      </c>
    </row>
    <row r="516" spans="1:15" x14ac:dyDescent="0.25">
      <c r="A516" s="22">
        <v>45688</v>
      </c>
      <c r="B516" s="1">
        <v>417739369</v>
      </c>
      <c r="C516" t="s">
        <v>520</v>
      </c>
      <c r="D516" s="23">
        <v>-3478.2</v>
      </c>
      <c r="E516" t="s">
        <v>35</v>
      </c>
      <c r="F516" s="2">
        <v>212901001</v>
      </c>
      <c r="G516" s="2" t="s">
        <v>91</v>
      </c>
      <c r="I516" s="95" t="s">
        <v>7231</v>
      </c>
      <c r="J516" t="s">
        <v>61</v>
      </c>
      <c r="K516" t="s">
        <v>62</v>
      </c>
      <c r="M516">
        <v>57.97</v>
      </c>
      <c r="N516" s="4">
        <f t="shared" si="7"/>
        <v>-60</v>
      </c>
      <c r="O516" t="s">
        <v>83</v>
      </c>
    </row>
    <row r="517" spans="1:15" x14ac:dyDescent="0.25">
      <c r="A517" s="22">
        <v>45688</v>
      </c>
      <c r="B517" s="1">
        <v>317739368</v>
      </c>
      <c r="C517" t="s">
        <v>521</v>
      </c>
      <c r="D517" s="23">
        <v>-3478.2</v>
      </c>
      <c r="E517" t="s">
        <v>35</v>
      </c>
      <c r="F517" s="2">
        <v>212901001</v>
      </c>
      <c r="G517" s="2" t="s">
        <v>91</v>
      </c>
      <c r="I517" s="95" t="s">
        <v>7231</v>
      </c>
      <c r="J517" t="s">
        <v>61</v>
      </c>
      <c r="K517" t="s">
        <v>62</v>
      </c>
      <c r="M517">
        <v>57.97</v>
      </c>
      <c r="N517" s="4">
        <f t="shared" si="7"/>
        <v>-60</v>
      </c>
      <c r="O517" t="s">
        <v>83</v>
      </c>
    </row>
    <row r="518" spans="1:15" x14ac:dyDescent="0.25">
      <c r="A518" s="22">
        <v>45688</v>
      </c>
      <c r="B518" s="1">
        <v>417739373</v>
      </c>
      <c r="C518" t="s">
        <v>522</v>
      </c>
      <c r="D518" s="23">
        <v>-3478.2</v>
      </c>
      <c r="E518" t="s">
        <v>35</v>
      </c>
      <c r="F518" s="2">
        <v>212901001</v>
      </c>
      <c r="G518" s="2" t="s">
        <v>91</v>
      </c>
      <c r="I518" s="95" t="s">
        <v>7231</v>
      </c>
      <c r="J518" t="s">
        <v>61</v>
      </c>
      <c r="K518" t="s">
        <v>62</v>
      </c>
      <c r="M518">
        <v>57.97</v>
      </c>
      <c r="N518" s="4">
        <f t="shared" si="7"/>
        <v>-60</v>
      </c>
      <c r="O518" t="s">
        <v>83</v>
      </c>
    </row>
    <row r="519" spans="1:15" x14ac:dyDescent="0.25">
      <c r="A519" s="22">
        <v>45688</v>
      </c>
      <c r="B519" s="1">
        <v>417739372</v>
      </c>
      <c r="C519" t="s">
        <v>523</v>
      </c>
      <c r="D519" s="23">
        <v>-3478.2</v>
      </c>
      <c r="E519" t="s">
        <v>35</v>
      </c>
      <c r="F519" s="2">
        <v>212901001</v>
      </c>
      <c r="G519" s="2" t="s">
        <v>91</v>
      </c>
      <c r="I519" s="95" t="s">
        <v>7231</v>
      </c>
      <c r="J519" t="s">
        <v>61</v>
      </c>
      <c r="K519" t="s">
        <v>62</v>
      </c>
      <c r="M519">
        <v>57.97</v>
      </c>
      <c r="N519" s="4">
        <f t="shared" si="7"/>
        <v>-60</v>
      </c>
      <c r="O519" t="s">
        <v>83</v>
      </c>
    </row>
    <row r="520" spans="1:15" x14ac:dyDescent="0.25">
      <c r="A520" s="22">
        <v>45688</v>
      </c>
      <c r="B520" s="1">
        <v>417739371</v>
      </c>
      <c r="C520" t="s">
        <v>524</v>
      </c>
      <c r="D520" s="23">
        <v>-3478.2</v>
      </c>
      <c r="E520" t="s">
        <v>35</v>
      </c>
      <c r="F520" s="2">
        <v>212901001</v>
      </c>
      <c r="G520" s="2" t="s">
        <v>91</v>
      </c>
      <c r="I520" s="95" t="s">
        <v>7231</v>
      </c>
      <c r="J520" t="s">
        <v>61</v>
      </c>
      <c r="K520" t="s">
        <v>62</v>
      </c>
      <c r="M520">
        <v>57.97</v>
      </c>
      <c r="N520" s="4">
        <f t="shared" si="7"/>
        <v>-60</v>
      </c>
      <c r="O520" t="s">
        <v>83</v>
      </c>
    </row>
    <row r="521" spans="1:15" x14ac:dyDescent="0.25">
      <c r="A521" s="22">
        <v>45688</v>
      </c>
      <c r="B521" s="1">
        <v>417739378</v>
      </c>
      <c r="C521" t="s">
        <v>525</v>
      </c>
      <c r="D521" s="23">
        <v>-3478.2</v>
      </c>
      <c r="E521" t="s">
        <v>35</v>
      </c>
      <c r="F521" s="2">
        <v>212901001</v>
      </c>
      <c r="G521" s="2" t="s">
        <v>91</v>
      </c>
      <c r="I521" s="95" t="s">
        <v>7231</v>
      </c>
      <c r="J521" t="s">
        <v>61</v>
      </c>
      <c r="K521" t="s">
        <v>62</v>
      </c>
      <c r="M521">
        <v>57.97</v>
      </c>
      <c r="N521" s="4">
        <f t="shared" si="7"/>
        <v>-60</v>
      </c>
      <c r="O521" t="s">
        <v>83</v>
      </c>
    </row>
    <row r="522" spans="1:15" x14ac:dyDescent="0.25">
      <c r="A522" s="22">
        <v>45688</v>
      </c>
      <c r="B522" s="1">
        <v>417739375</v>
      </c>
      <c r="C522" t="s">
        <v>526</v>
      </c>
      <c r="D522" s="23">
        <v>-3478.2</v>
      </c>
      <c r="E522" t="s">
        <v>35</v>
      </c>
      <c r="F522" s="2">
        <v>212901001</v>
      </c>
      <c r="G522" s="2" t="s">
        <v>91</v>
      </c>
      <c r="I522" s="95" t="s">
        <v>7231</v>
      </c>
      <c r="J522" t="s">
        <v>61</v>
      </c>
      <c r="K522" t="s">
        <v>62</v>
      </c>
      <c r="M522">
        <v>57.97</v>
      </c>
      <c r="N522" s="4">
        <f t="shared" si="7"/>
        <v>-60</v>
      </c>
      <c r="O522" t="s">
        <v>83</v>
      </c>
    </row>
    <row r="523" spans="1:15" x14ac:dyDescent="0.25">
      <c r="A523" s="22">
        <v>45688</v>
      </c>
      <c r="B523" s="1">
        <v>417739379</v>
      </c>
      <c r="C523" t="s">
        <v>527</v>
      </c>
      <c r="D523" s="23">
        <v>-3478.2</v>
      </c>
      <c r="E523" t="s">
        <v>35</v>
      </c>
      <c r="F523" s="2">
        <v>212901001</v>
      </c>
      <c r="G523" s="2" t="s">
        <v>91</v>
      </c>
      <c r="I523" s="95" t="s">
        <v>7231</v>
      </c>
      <c r="J523" t="s">
        <v>61</v>
      </c>
      <c r="K523" t="s">
        <v>62</v>
      </c>
      <c r="M523">
        <v>57.97</v>
      </c>
      <c r="N523" s="4">
        <f t="shared" si="7"/>
        <v>-60</v>
      </c>
      <c r="O523" t="s">
        <v>83</v>
      </c>
    </row>
    <row r="524" spans="1:15" x14ac:dyDescent="0.25">
      <c r="A524" s="22">
        <v>45688</v>
      </c>
      <c r="B524" s="1">
        <v>417739376</v>
      </c>
      <c r="C524" t="s">
        <v>528</v>
      </c>
      <c r="D524" s="23">
        <v>-3478.2</v>
      </c>
      <c r="E524" t="s">
        <v>35</v>
      </c>
      <c r="F524" s="2">
        <v>212901001</v>
      </c>
      <c r="G524" s="2" t="s">
        <v>91</v>
      </c>
      <c r="I524" s="95" t="s">
        <v>7231</v>
      </c>
      <c r="J524" t="s">
        <v>61</v>
      </c>
      <c r="K524" t="s">
        <v>62</v>
      </c>
      <c r="M524">
        <v>57.97</v>
      </c>
      <c r="N524" s="4">
        <f t="shared" ref="N524:N587" si="8">D524/M524</f>
        <v>-60</v>
      </c>
      <c r="O524" t="s">
        <v>83</v>
      </c>
    </row>
    <row r="525" spans="1:15" x14ac:dyDescent="0.25">
      <c r="A525" s="22">
        <v>45688</v>
      </c>
      <c r="B525" s="1">
        <v>517739385</v>
      </c>
      <c r="C525" t="s">
        <v>529</v>
      </c>
      <c r="D525" s="23">
        <v>-4637.6000000000004</v>
      </c>
      <c r="E525" t="s">
        <v>35</v>
      </c>
      <c r="F525" s="2">
        <v>212901001</v>
      </c>
      <c r="G525" s="2" t="s">
        <v>91</v>
      </c>
      <c r="I525" s="95" t="s">
        <v>7231</v>
      </c>
      <c r="J525" t="s">
        <v>61</v>
      </c>
      <c r="K525" t="s">
        <v>62</v>
      </c>
      <c r="M525">
        <v>57.97</v>
      </c>
      <c r="N525" s="4">
        <f t="shared" si="8"/>
        <v>-80.000000000000014</v>
      </c>
      <c r="O525" t="s">
        <v>83</v>
      </c>
    </row>
    <row r="526" spans="1:15" x14ac:dyDescent="0.25">
      <c r="A526" s="22">
        <v>45688</v>
      </c>
      <c r="B526" s="1">
        <v>417739381</v>
      </c>
      <c r="C526" t="s">
        <v>530</v>
      </c>
      <c r="D526" s="23">
        <v>-3478.2</v>
      </c>
      <c r="E526" t="s">
        <v>35</v>
      </c>
      <c r="F526" s="2">
        <v>212901001</v>
      </c>
      <c r="G526" s="2" t="s">
        <v>91</v>
      </c>
      <c r="I526" s="95" t="s">
        <v>7231</v>
      </c>
      <c r="J526" t="s">
        <v>61</v>
      </c>
      <c r="K526" t="s">
        <v>62</v>
      </c>
      <c r="M526">
        <v>57.97</v>
      </c>
      <c r="N526" s="4">
        <f t="shared" si="8"/>
        <v>-60</v>
      </c>
      <c r="O526" t="s">
        <v>83</v>
      </c>
    </row>
    <row r="527" spans="1:15" x14ac:dyDescent="0.25">
      <c r="A527" s="22">
        <v>45688</v>
      </c>
      <c r="B527" s="1">
        <v>517739382</v>
      </c>
      <c r="C527" t="s">
        <v>531</v>
      </c>
      <c r="D527" s="23">
        <v>-8695.5</v>
      </c>
      <c r="E527" t="s">
        <v>35</v>
      </c>
      <c r="F527" s="2">
        <v>212901001</v>
      </c>
      <c r="G527" s="2" t="s">
        <v>91</v>
      </c>
      <c r="I527" s="95" t="s">
        <v>7231</v>
      </c>
      <c r="J527" t="s">
        <v>61</v>
      </c>
      <c r="K527" t="s">
        <v>62</v>
      </c>
      <c r="M527">
        <v>57.97</v>
      </c>
      <c r="N527" s="4">
        <f t="shared" si="8"/>
        <v>-150</v>
      </c>
      <c r="O527" t="s">
        <v>83</v>
      </c>
    </row>
    <row r="528" spans="1:15" x14ac:dyDescent="0.25">
      <c r="A528" s="22">
        <v>45688</v>
      </c>
      <c r="B528" s="1">
        <v>517739387</v>
      </c>
      <c r="C528" t="s">
        <v>532</v>
      </c>
      <c r="D528" s="23">
        <v>-4637.6000000000004</v>
      </c>
      <c r="E528" t="s">
        <v>35</v>
      </c>
      <c r="F528" s="2">
        <v>212901001</v>
      </c>
      <c r="G528" s="2" t="s">
        <v>91</v>
      </c>
      <c r="I528" s="95" t="s">
        <v>7231</v>
      </c>
      <c r="J528" t="s">
        <v>61</v>
      </c>
      <c r="K528" t="s">
        <v>62</v>
      </c>
      <c r="M528">
        <v>57.97</v>
      </c>
      <c r="N528" s="4">
        <f t="shared" si="8"/>
        <v>-80.000000000000014</v>
      </c>
      <c r="O528" t="s">
        <v>83</v>
      </c>
    </row>
    <row r="529" spans="1:15" x14ac:dyDescent="0.25">
      <c r="A529" s="22">
        <v>45688</v>
      </c>
      <c r="B529" s="1">
        <v>517739389</v>
      </c>
      <c r="C529" t="s">
        <v>533</v>
      </c>
      <c r="D529" s="23">
        <v>-4637.6000000000004</v>
      </c>
      <c r="E529" t="s">
        <v>35</v>
      </c>
      <c r="F529" s="2">
        <v>212901001</v>
      </c>
      <c r="G529" s="2" t="s">
        <v>91</v>
      </c>
      <c r="I529" s="95" t="s">
        <v>7231</v>
      </c>
      <c r="J529" t="s">
        <v>61</v>
      </c>
      <c r="K529" t="s">
        <v>62</v>
      </c>
      <c r="M529">
        <v>57.97</v>
      </c>
      <c r="N529" s="4">
        <f t="shared" si="8"/>
        <v>-80.000000000000014</v>
      </c>
      <c r="O529" t="s">
        <v>83</v>
      </c>
    </row>
    <row r="530" spans="1:15" x14ac:dyDescent="0.25">
      <c r="A530" s="22">
        <v>45688</v>
      </c>
      <c r="B530" s="1">
        <v>517739384</v>
      </c>
      <c r="C530" t="s">
        <v>534</v>
      </c>
      <c r="D530" s="23">
        <v>-4637.6000000000004</v>
      </c>
      <c r="E530" t="s">
        <v>35</v>
      </c>
      <c r="F530" s="2">
        <v>212901001</v>
      </c>
      <c r="G530" s="2" t="s">
        <v>91</v>
      </c>
      <c r="I530" s="95" t="s">
        <v>7231</v>
      </c>
      <c r="J530" t="s">
        <v>61</v>
      </c>
      <c r="K530" t="s">
        <v>62</v>
      </c>
      <c r="M530">
        <v>57.97</v>
      </c>
      <c r="N530" s="4">
        <f t="shared" si="8"/>
        <v>-80.000000000000014</v>
      </c>
      <c r="O530" t="s">
        <v>83</v>
      </c>
    </row>
    <row r="531" spans="1:15" x14ac:dyDescent="0.25">
      <c r="A531" s="22">
        <v>45688</v>
      </c>
      <c r="B531" s="1">
        <v>517739383</v>
      </c>
      <c r="C531" t="s">
        <v>535</v>
      </c>
      <c r="D531" s="23">
        <v>-5797</v>
      </c>
      <c r="E531" t="s">
        <v>35</v>
      </c>
      <c r="F531" s="2">
        <v>212901001</v>
      </c>
      <c r="G531" s="2" t="s">
        <v>91</v>
      </c>
      <c r="I531" s="95" t="s">
        <v>7231</v>
      </c>
      <c r="J531" t="s">
        <v>61</v>
      </c>
      <c r="K531" t="s">
        <v>62</v>
      </c>
      <c r="M531">
        <v>57.97</v>
      </c>
      <c r="N531" s="4">
        <f t="shared" si="8"/>
        <v>-100</v>
      </c>
      <c r="O531" t="s">
        <v>83</v>
      </c>
    </row>
    <row r="532" spans="1:15" x14ac:dyDescent="0.25">
      <c r="A532" s="22">
        <v>45688</v>
      </c>
      <c r="B532" s="1">
        <v>517739386</v>
      </c>
      <c r="C532" t="s">
        <v>536</v>
      </c>
      <c r="D532" s="23">
        <v>-4637.6000000000004</v>
      </c>
      <c r="E532" t="s">
        <v>35</v>
      </c>
      <c r="F532" s="2">
        <v>212901001</v>
      </c>
      <c r="G532" s="2" t="s">
        <v>91</v>
      </c>
      <c r="I532" s="95" t="s">
        <v>7231</v>
      </c>
      <c r="J532" t="s">
        <v>61</v>
      </c>
      <c r="K532" t="s">
        <v>62</v>
      </c>
      <c r="M532">
        <v>57.97</v>
      </c>
      <c r="N532" s="4">
        <f t="shared" si="8"/>
        <v>-80.000000000000014</v>
      </c>
      <c r="O532" t="s">
        <v>83</v>
      </c>
    </row>
    <row r="533" spans="1:15" x14ac:dyDescent="0.25">
      <c r="A533" s="22">
        <v>45688</v>
      </c>
      <c r="B533" s="1">
        <v>517739390</v>
      </c>
      <c r="C533" t="s">
        <v>537</v>
      </c>
      <c r="D533" s="23">
        <v>-2898.5</v>
      </c>
      <c r="E533" t="s">
        <v>35</v>
      </c>
      <c r="F533" s="2">
        <v>212901001</v>
      </c>
      <c r="G533" s="2" t="s">
        <v>91</v>
      </c>
      <c r="I533" s="95" t="s">
        <v>7231</v>
      </c>
      <c r="J533" t="s">
        <v>61</v>
      </c>
      <c r="K533" t="s">
        <v>62</v>
      </c>
      <c r="M533">
        <v>57.97</v>
      </c>
      <c r="N533" s="4">
        <f t="shared" si="8"/>
        <v>-50</v>
      </c>
      <c r="O533" t="s">
        <v>83</v>
      </c>
    </row>
    <row r="534" spans="1:15" x14ac:dyDescent="0.25">
      <c r="A534" s="22">
        <v>45688</v>
      </c>
      <c r="B534" s="1">
        <v>517739388</v>
      </c>
      <c r="C534" t="s">
        <v>538</v>
      </c>
      <c r="D534" s="23">
        <v>-4637.6000000000004</v>
      </c>
      <c r="E534" t="s">
        <v>35</v>
      </c>
      <c r="F534" s="2">
        <v>212901001</v>
      </c>
      <c r="G534" s="2" t="s">
        <v>91</v>
      </c>
      <c r="I534" s="95" t="s">
        <v>7231</v>
      </c>
      <c r="J534" t="s">
        <v>61</v>
      </c>
      <c r="K534" t="s">
        <v>62</v>
      </c>
      <c r="M534">
        <v>57.97</v>
      </c>
      <c r="N534" s="4">
        <f t="shared" si="8"/>
        <v>-80.000000000000014</v>
      </c>
      <c r="O534" t="s">
        <v>83</v>
      </c>
    </row>
    <row r="535" spans="1:15" x14ac:dyDescent="0.25">
      <c r="A535" s="22">
        <v>45688</v>
      </c>
      <c r="B535" s="1">
        <v>617739392</v>
      </c>
      <c r="C535" t="s">
        <v>539</v>
      </c>
      <c r="D535" s="23">
        <v>-2898.5</v>
      </c>
      <c r="E535" t="s">
        <v>35</v>
      </c>
      <c r="F535" s="2">
        <v>212901001</v>
      </c>
      <c r="G535" s="2" t="s">
        <v>91</v>
      </c>
      <c r="I535" s="95" t="s">
        <v>7231</v>
      </c>
      <c r="J535" t="s">
        <v>61</v>
      </c>
      <c r="K535" t="s">
        <v>62</v>
      </c>
      <c r="M535">
        <v>57.97</v>
      </c>
      <c r="N535" s="4">
        <f t="shared" si="8"/>
        <v>-50</v>
      </c>
      <c r="O535" t="s">
        <v>83</v>
      </c>
    </row>
    <row r="536" spans="1:15" x14ac:dyDescent="0.25">
      <c r="A536" s="22">
        <v>45688</v>
      </c>
      <c r="B536" s="1">
        <v>517739391</v>
      </c>
      <c r="C536" t="s">
        <v>540</v>
      </c>
      <c r="D536" s="23">
        <v>-2434.7399999999998</v>
      </c>
      <c r="E536" t="s">
        <v>35</v>
      </c>
      <c r="F536" s="2">
        <v>212901001</v>
      </c>
      <c r="G536" s="2" t="s">
        <v>91</v>
      </c>
      <c r="I536" s="95" t="s">
        <v>7231</v>
      </c>
      <c r="J536" t="s">
        <v>61</v>
      </c>
      <c r="K536" t="s">
        <v>62</v>
      </c>
      <c r="M536">
        <v>57.97</v>
      </c>
      <c r="N536" s="4">
        <f t="shared" si="8"/>
        <v>-42</v>
      </c>
      <c r="O536" t="s">
        <v>83</v>
      </c>
    </row>
    <row r="537" spans="1:15" x14ac:dyDescent="0.25">
      <c r="A537" s="22">
        <v>45688</v>
      </c>
      <c r="B537" s="1">
        <v>617739397</v>
      </c>
      <c r="C537" t="s">
        <v>541</v>
      </c>
      <c r="D537" s="23">
        <v>-2898.5</v>
      </c>
      <c r="E537" t="s">
        <v>35</v>
      </c>
      <c r="F537" s="2">
        <v>212901001</v>
      </c>
      <c r="G537" s="2" t="s">
        <v>91</v>
      </c>
      <c r="I537" s="95" t="s">
        <v>7231</v>
      </c>
      <c r="J537" t="s">
        <v>61</v>
      </c>
      <c r="K537" t="s">
        <v>62</v>
      </c>
      <c r="M537">
        <v>57.97</v>
      </c>
      <c r="N537" s="4">
        <f t="shared" si="8"/>
        <v>-50</v>
      </c>
      <c r="O537" t="s">
        <v>83</v>
      </c>
    </row>
    <row r="538" spans="1:15" x14ac:dyDescent="0.25">
      <c r="A538" s="22">
        <v>45688</v>
      </c>
      <c r="B538" s="1">
        <v>617739394</v>
      </c>
      <c r="C538" t="s">
        <v>542</v>
      </c>
      <c r="D538" s="23">
        <v>-2898.5</v>
      </c>
      <c r="E538" t="s">
        <v>35</v>
      </c>
      <c r="F538" s="2">
        <v>212901001</v>
      </c>
      <c r="G538" s="2" t="s">
        <v>91</v>
      </c>
      <c r="I538" s="95" t="s">
        <v>7231</v>
      </c>
      <c r="J538" t="s">
        <v>61</v>
      </c>
      <c r="K538" t="s">
        <v>62</v>
      </c>
      <c r="M538">
        <v>57.97</v>
      </c>
      <c r="N538" s="4">
        <f t="shared" si="8"/>
        <v>-50</v>
      </c>
      <c r="O538" t="s">
        <v>83</v>
      </c>
    </row>
    <row r="539" spans="1:15" x14ac:dyDescent="0.25">
      <c r="A539" s="22">
        <v>45688</v>
      </c>
      <c r="B539" s="1">
        <v>617739399</v>
      </c>
      <c r="C539" t="s">
        <v>520</v>
      </c>
      <c r="D539" s="23">
        <v>-2318.8000000000002</v>
      </c>
      <c r="E539" t="s">
        <v>35</v>
      </c>
      <c r="F539" s="2">
        <v>212901001</v>
      </c>
      <c r="G539" s="2" t="s">
        <v>91</v>
      </c>
      <c r="I539" s="95" t="s">
        <v>7231</v>
      </c>
      <c r="J539" t="s">
        <v>61</v>
      </c>
      <c r="K539" t="s">
        <v>62</v>
      </c>
      <c r="M539">
        <v>57.97</v>
      </c>
      <c r="N539" s="4">
        <f t="shared" si="8"/>
        <v>-40.000000000000007</v>
      </c>
      <c r="O539" t="s">
        <v>83</v>
      </c>
    </row>
    <row r="540" spans="1:15" x14ac:dyDescent="0.25">
      <c r="A540" s="22">
        <v>45688</v>
      </c>
      <c r="B540" s="1">
        <v>617739400</v>
      </c>
      <c r="C540" t="s">
        <v>521</v>
      </c>
      <c r="D540" s="23">
        <v>-2318.8000000000002</v>
      </c>
      <c r="E540" t="s">
        <v>35</v>
      </c>
      <c r="F540" s="2">
        <v>212901001</v>
      </c>
      <c r="G540" s="2" t="s">
        <v>91</v>
      </c>
      <c r="I540" s="95" t="s">
        <v>7231</v>
      </c>
      <c r="J540" t="s">
        <v>61</v>
      </c>
      <c r="K540" t="s">
        <v>62</v>
      </c>
      <c r="M540">
        <v>57.97</v>
      </c>
      <c r="N540" s="4">
        <f t="shared" si="8"/>
        <v>-40.000000000000007</v>
      </c>
      <c r="O540" t="s">
        <v>83</v>
      </c>
    </row>
    <row r="541" spans="1:15" x14ac:dyDescent="0.25">
      <c r="A541" s="22">
        <v>45688</v>
      </c>
      <c r="B541" s="1">
        <v>617739398</v>
      </c>
      <c r="C541" t="s">
        <v>543</v>
      </c>
      <c r="D541" s="23">
        <v>-2318.8000000000002</v>
      </c>
      <c r="E541" t="s">
        <v>35</v>
      </c>
      <c r="F541" s="2">
        <v>212901001</v>
      </c>
      <c r="G541" s="2" t="s">
        <v>91</v>
      </c>
      <c r="I541" s="95" t="s">
        <v>7231</v>
      </c>
      <c r="J541" t="s">
        <v>61</v>
      </c>
      <c r="K541" t="s">
        <v>62</v>
      </c>
      <c r="M541">
        <v>57.97</v>
      </c>
      <c r="N541" s="4">
        <f t="shared" si="8"/>
        <v>-40.000000000000007</v>
      </c>
      <c r="O541" t="s">
        <v>83</v>
      </c>
    </row>
    <row r="542" spans="1:15" x14ac:dyDescent="0.25">
      <c r="A542" s="22">
        <v>45688</v>
      </c>
      <c r="B542" s="1">
        <v>617739401</v>
      </c>
      <c r="C542" t="s">
        <v>544</v>
      </c>
      <c r="D542" s="23">
        <v>-2318.8000000000002</v>
      </c>
      <c r="E542" t="s">
        <v>35</v>
      </c>
      <c r="F542" s="2">
        <v>212901001</v>
      </c>
      <c r="G542" s="2" t="s">
        <v>91</v>
      </c>
      <c r="I542" s="95" t="s">
        <v>7231</v>
      </c>
      <c r="J542" t="s">
        <v>61</v>
      </c>
      <c r="K542" t="s">
        <v>62</v>
      </c>
      <c r="M542">
        <v>57.97</v>
      </c>
      <c r="N542" s="4">
        <f t="shared" si="8"/>
        <v>-40.000000000000007</v>
      </c>
      <c r="O542" t="s">
        <v>83</v>
      </c>
    </row>
    <row r="543" spans="1:15" x14ac:dyDescent="0.25">
      <c r="A543" s="22">
        <v>45688</v>
      </c>
      <c r="B543" s="1">
        <v>617739402</v>
      </c>
      <c r="C543" t="s">
        <v>545</v>
      </c>
      <c r="D543" s="23">
        <v>-2318.8000000000002</v>
      </c>
      <c r="E543" t="s">
        <v>35</v>
      </c>
      <c r="F543" s="2">
        <v>212901001</v>
      </c>
      <c r="G543" s="2" t="s">
        <v>91</v>
      </c>
      <c r="I543" s="95" t="s">
        <v>7231</v>
      </c>
      <c r="J543" t="s">
        <v>61</v>
      </c>
      <c r="K543" t="s">
        <v>62</v>
      </c>
      <c r="M543">
        <v>57.97</v>
      </c>
      <c r="N543" s="4">
        <f t="shared" si="8"/>
        <v>-40.000000000000007</v>
      </c>
      <c r="O543" t="s">
        <v>83</v>
      </c>
    </row>
    <row r="544" spans="1:15" x14ac:dyDescent="0.25">
      <c r="A544" s="22">
        <v>45688</v>
      </c>
      <c r="B544" s="1">
        <v>717739404</v>
      </c>
      <c r="C544" t="s">
        <v>546</v>
      </c>
      <c r="D544" s="23">
        <v>-2318.8000000000002</v>
      </c>
      <c r="E544" t="s">
        <v>35</v>
      </c>
      <c r="F544" s="2">
        <v>212901001</v>
      </c>
      <c r="G544" s="2" t="s">
        <v>91</v>
      </c>
      <c r="I544" s="95" t="s">
        <v>7231</v>
      </c>
      <c r="J544" t="s">
        <v>61</v>
      </c>
      <c r="K544" t="s">
        <v>62</v>
      </c>
      <c r="M544">
        <v>57.97</v>
      </c>
      <c r="N544" s="4">
        <f t="shared" si="8"/>
        <v>-40.000000000000007</v>
      </c>
      <c r="O544" t="s">
        <v>83</v>
      </c>
    </row>
    <row r="545" spans="1:15" x14ac:dyDescent="0.25">
      <c r="A545" s="22">
        <v>45688</v>
      </c>
      <c r="B545" s="1">
        <v>617739403</v>
      </c>
      <c r="C545" t="s">
        <v>547</v>
      </c>
      <c r="D545" s="23">
        <v>-2318.8000000000002</v>
      </c>
      <c r="E545" t="s">
        <v>35</v>
      </c>
      <c r="F545" s="2">
        <v>212901001</v>
      </c>
      <c r="G545" s="2" t="s">
        <v>91</v>
      </c>
      <c r="I545" s="95" t="s">
        <v>7231</v>
      </c>
      <c r="J545" t="s">
        <v>61</v>
      </c>
      <c r="K545" t="s">
        <v>62</v>
      </c>
      <c r="M545">
        <v>57.97</v>
      </c>
      <c r="N545" s="4">
        <f t="shared" si="8"/>
        <v>-40.000000000000007</v>
      </c>
      <c r="O545" t="s">
        <v>83</v>
      </c>
    </row>
    <row r="546" spans="1:15" x14ac:dyDescent="0.25">
      <c r="A546" s="22">
        <v>45688</v>
      </c>
      <c r="B546" s="1">
        <v>717739405</v>
      </c>
      <c r="C546" t="s">
        <v>548</v>
      </c>
      <c r="D546" s="23">
        <v>-5797</v>
      </c>
      <c r="E546" t="s">
        <v>35</v>
      </c>
      <c r="F546" s="2">
        <v>212901001</v>
      </c>
      <c r="G546" s="2" t="s">
        <v>91</v>
      </c>
      <c r="I546" s="95" t="s">
        <v>7231</v>
      </c>
      <c r="J546" t="s">
        <v>61</v>
      </c>
      <c r="K546" t="s">
        <v>62</v>
      </c>
      <c r="M546">
        <v>57.97</v>
      </c>
      <c r="N546" s="4">
        <f t="shared" si="8"/>
        <v>-100</v>
      </c>
      <c r="O546" t="s">
        <v>83</v>
      </c>
    </row>
    <row r="547" spans="1:15" x14ac:dyDescent="0.25">
      <c r="A547" s="22">
        <v>45688</v>
      </c>
      <c r="B547" s="1">
        <v>617739396</v>
      </c>
      <c r="C547" t="s">
        <v>549</v>
      </c>
      <c r="D547" s="23">
        <v>-2898.5</v>
      </c>
      <c r="E547" t="s">
        <v>35</v>
      </c>
      <c r="F547" s="2">
        <v>212901001</v>
      </c>
      <c r="G547" s="2" t="s">
        <v>91</v>
      </c>
      <c r="I547" s="95" t="s">
        <v>7231</v>
      </c>
      <c r="J547" t="s">
        <v>61</v>
      </c>
      <c r="K547" t="s">
        <v>62</v>
      </c>
      <c r="M547">
        <v>57.97</v>
      </c>
      <c r="N547" s="4">
        <f t="shared" si="8"/>
        <v>-50</v>
      </c>
      <c r="O547" t="s">
        <v>83</v>
      </c>
    </row>
    <row r="548" spans="1:15" x14ac:dyDescent="0.25">
      <c r="A548" s="22">
        <v>45688</v>
      </c>
      <c r="B548" s="1">
        <v>717739407</v>
      </c>
      <c r="C548" t="s">
        <v>550</v>
      </c>
      <c r="D548" s="23">
        <v>-5797</v>
      </c>
      <c r="E548" t="s">
        <v>35</v>
      </c>
      <c r="F548" s="2">
        <v>212901001</v>
      </c>
      <c r="G548" s="2" t="s">
        <v>91</v>
      </c>
      <c r="I548" s="95" t="s">
        <v>7231</v>
      </c>
      <c r="J548" t="s">
        <v>61</v>
      </c>
      <c r="K548" t="s">
        <v>62</v>
      </c>
      <c r="M548">
        <v>57.97</v>
      </c>
      <c r="N548" s="4">
        <f t="shared" si="8"/>
        <v>-100</v>
      </c>
      <c r="O548" t="s">
        <v>83</v>
      </c>
    </row>
    <row r="549" spans="1:15" x14ac:dyDescent="0.25">
      <c r="A549" s="22">
        <v>45688</v>
      </c>
      <c r="B549" s="1">
        <v>717739409</v>
      </c>
      <c r="C549" t="s">
        <v>551</v>
      </c>
      <c r="D549" s="23">
        <v>-1739.1</v>
      </c>
      <c r="E549" t="s">
        <v>35</v>
      </c>
      <c r="F549" s="2">
        <v>212901001</v>
      </c>
      <c r="G549" s="2" t="s">
        <v>91</v>
      </c>
      <c r="I549" s="95" t="s">
        <v>7231</v>
      </c>
      <c r="J549" t="s">
        <v>61</v>
      </c>
      <c r="K549" t="s">
        <v>62</v>
      </c>
      <c r="M549">
        <v>57.97</v>
      </c>
      <c r="N549" s="4">
        <f t="shared" si="8"/>
        <v>-30</v>
      </c>
      <c r="O549" t="s">
        <v>83</v>
      </c>
    </row>
    <row r="550" spans="1:15" x14ac:dyDescent="0.25">
      <c r="A550" s="22">
        <v>45688</v>
      </c>
      <c r="B550" s="1">
        <v>717739408</v>
      </c>
      <c r="C550" t="s">
        <v>552</v>
      </c>
      <c r="D550" s="23">
        <v>-8695.5</v>
      </c>
      <c r="E550" t="s">
        <v>35</v>
      </c>
      <c r="F550" s="2">
        <v>212901001</v>
      </c>
      <c r="G550" s="2" t="s">
        <v>91</v>
      </c>
      <c r="I550" s="95" t="s">
        <v>7231</v>
      </c>
      <c r="J550" t="s">
        <v>61</v>
      </c>
      <c r="K550" t="s">
        <v>62</v>
      </c>
      <c r="M550">
        <v>57.97</v>
      </c>
      <c r="N550" s="4">
        <f t="shared" si="8"/>
        <v>-150</v>
      </c>
      <c r="O550" t="s">
        <v>83</v>
      </c>
    </row>
    <row r="551" spans="1:15" x14ac:dyDescent="0.25">
      <c r="A551" s="22">
        <v>45688</v>
      </c>
      <c r="B551" s="1">
        <v>717739413</v>
      </c>
      <c r="C551" t="s">
        <v>553</v>
      </c>
      <c r="D551" s="23">
        <v>-2492.71</v>
      </c>
      <c r="E551" t="s">
        <v>35</v>
      </c>
      <c r="F551" s="2">
        <v>212901001</v>
      </c>
      <c r="G551" s="2" t="s">
        <v>91</v>
      </c>
      <c r="I551" s="95" t="s">
        <v>7231</v>
      </c>
      <c r="J551" t="s">
        <v>61</v>
      </c>
      <c r="K551" t="s">
        <v>62</v>
      </c>
      <c r="M551">
        <v>57.97</v>
      </c>
      <c r="N551" s="4">
        <f t="shared" si="8"/>
        <v>-43</v>
      </c>
      <c r="O551" t="s">
        <v>83</v>
      </c>
    </row>
    <row r="552" spans="1:15" x14ac:dyDescent="0.25">
      <c r="A552" s="22">
        <v>45688</v>
      </c>
      <c r="B552" s="1">
        <v>717739410</v>
      </c>
      <c r="C552" t="s">
        <v>554</v>
      </c>
      <c r="D552" s="23">
        <v>-6376.7</v>
      </c>
      <c r="E552" t="s">
        <v>35</v>
      </c>
      <c r="F552" s="2">
        <v>212901001</v>
      </c>
      <c r="G552" s="2" t="s">
        <v>91</v>
      </c>
      <c r="I552" s="95" t="s">
        <v>7231</v>
      </c>
      <c r="J552" t="s">
        <v>61</v>
      </c>
      <c r="K552" t="s">
        <v>62</v>
      </c>
      <c r="M552">
        <v>57.97</v>
      </c>
      <c r="N552" s="4">
        <f t="shared" si="8"/>
        <v>-110</v>
      </c>
      <c r="O552" t="s">
        <v>83</v>
      </c>
    </row>
    <row r="553" spans="1:15" x14ac:dyDescent="0.25">
      <c r="A553" s="22">
        <v>45688</v>
      </c>
      <c r="B553" s="1">
        <v>717739412</v>
      </c>
      <c r="C553" t="s">
        <v>555</v>
      </c>
      <c r="D553" s="23">
        <v>-5797</v>
      </c>
      <c r="E553" t="s">
        <v>35</v>
      </c>
      <c r="F553" s="2">
        <v>212901001</v>
      </c>
      <c r="G553" s="2" t="s">
        <v>91</v>
      </c>
      <c r="I553" s="95" t="s">
        <v>7231</v>
      </c>
      <c r="J553" t="s">
        <v>61</v>
      </c>
      <c r="K553" t="s">
        <v>62</v>
      </c>
      <c r="M553">
        <v>57.97</v>
      </c>
      <c r="N553" s="4">
        <f t="shared" si="8"/>
        <v>-100</v>
      </c>
      <c r="O553" t="s">
        <v>83</v>
      </c>
    </row>
    <row r="554" spans="1:15" x14ac:dyDescent="0.25">
      <c r="A554" s="22">
        <v>45688</v>
      </c>
      <c r="B554" s="1">
        <v>717739416</v>
      </c>
      <c r="C554" t="s">
        <v>556</v>
      </c>
      <c r="D554" s="23">
        <v>-4057.9</v>
      </c>
      <c r="E554" t="s">
        <v>35</v>
      </c>
      <c r="F554" s="2">
        <v>212901001</v>
      </c>
      <c r="G554" s="2" t="s">
        <v>91</v>
      </c>
      <c r="I554" s="95" t="s">
        <v>7231</v>
      </c>
      <c r="J554" t="s">
        <v>61</v>
      </c>
      <c r="K554" t="s">
        <v>62</v>
      </c>
      <c r="M554">
        <v>57.97</v>
      </c>
      <c r="N554" s="4">
        <f t="shared" si="8"/>
        <v>-70</v>
      </c>
      <c r="O554" t="s">
        <v>83</v>
      </c>
    </row>
    <row r="555" spans="1:15" x14ac:dyDescent="0.25">
      <c r="A555" s="22">
        <v>45688</v>
      </c>
      <c r="B555" s="1">
        <v>717739411</v>
      </c>
      <c r="C555" t="s">
        <v>557</v>
      </c>
      <c r="D555" s="23">
        <v>-4637.6000000000004</v>
      </c>
      <c r="E555" t="s">
        <v>35</v>
      </c>
      <c r="F555" s="2">
        <v>212901001</v>
      </c>
      <c r="G555" s="2" t="s">
        <v>91</v>
      </c>
      <c r="I555" s="95" t="s">
        <v>7231</v>
      </c>
      <c r="J555" t="s">
        <v>61</v>
      </c>
      <c r="K555" t="s">
        <v>62</v>
      </c>
      <c r="M555">
        <v>57.97</v>
      </c>
      <c r="N555" s="4">
        <f t="shared" si="8"/>
        <v>-80.000000000000014</v>
      </c>
      <c r="O555" t="s">
        <v>83</v>
      </c>
    </row>
    <row r="556" spans="1:15" x14ac:dyDescent="0.25">
      <c r="A556" s="22">
        <v>45688</v>
      </c>
      <c r="B556" s="1">
        <v>717739415</v>
      </c>
      <c r="C556" t="s">
        <v>558</v>
      </c>
      <c r="D556" s="23">
        <v>-4057.9</v>
      </c>
      <c r="E556" t="s">
        <v>35</v>
      </c>
      <c r="F556" s="2">
        <v>212901001</v>
      </c>
      <c r="G556" s="2" t="s">
        <v>91</v>
      </c>
      <c r="I556" s="95" t="s">
        <v>7231</v>
      </c>
      <c r="J556" t="s">
        <v>61</v>
      </c>
      <c r="K556" t="s">
        <v>62</v>
      </c>
      <c r="M556">
        <v>57.97</v>
      </c>
      <c r="N556" s="4">
        <f t="shared" si="8"/>
        <v>-70</v>
      </c>
      <c r="O556" t="s">
        <v>83</v>
      </c>
    </row>
    <row r="557" spans="1:15" x14ac:dyDescent="0.25">
      <c r="A557" s="22">
        <v>45688</v>
      </c>
      <c r="B557" s="1">
        <v>817739418</v>
      </c>
      <c r="C557" t="s">
        <v>559</v>
      </c>
      <c r="D557" s="23">
        <v>-2898.5</v>
      </c>
      <c r="E557" t="s">
        <v>35</v>
      </c>
      <c r="F557" s="2">
        <v>212901001</v>
      </c>
      <c r="G557" s="2" t="s">
        <v>91</v>
      </c>
      <c r="I557" s="95" t="s">
        <v>7231</v>
      </c>
      <c r="J557" t="s">
        <v>61</v>
      </c>
      <c r="K557" t="s">
        <v>62</v>
      </c>
      <c r="M557">
        <v>57.97</v>
      </c>
      <c r="N557" s="4">
        <f t="shared" si="8"/>
        <v>-50</v>
      </c>
      <c r="O557" t="s">
        <v>83</v>
      </c>
    </row>
    <row r="558" spans="1:15" x14ac:dyDescent="0.25">
      <c r="A558" s="22">
        <v>45688</v>
      </c>
      <c r="B558" s="1">
        <v>717739417</v>
      </c>
      <c r="C558" t="s">
        <v>560</v>
      </c>
      <c r="D558" s="23">
        <v>-4057.9</v>
      </c>
      <c r="E558" t="s">
        <v>35</v>
      </c>
      <c r="F558" s="2">
        <v>212901001</v>
      </c>
      <c r="G558" s="2" t="s">
        <v>91</v>
      </c>
      <c r="I558" s="95" t="s">
        <v>7231</v>
      </c>
      <c r="J558" t="s">
        <v>61</v>
      </c>
      <c r="K558" t="s">
        <v>62</v>
      </c>
      <c r="M558">
        <v>57.97</v>
      </c>
      <c r="N558" s="4">
        <f t="shared" si="8"/>
        <v>-70</v>
      </c>
      <c r="O558" t="s">
        <v>83</v>
      </c>
    </row>
    <row r="559" spans="1:15" x14ac:dyDescent="0.25">
      <c r="A559" s="22">
        <v>45688</v>
      </c>
      <c r="B559" s="1">
        <v>817739421</v>
      </c>
      <c r="C559" t="s">
        <v>561</v>
      </c>
      <c r="D559" s="23">
        <v>-2898.5</v>
      </c>
      <c r="E559" t="s">
        <v>35</v>
      </c>
      <c r="F559" s="2">
        <v>212901001</v>
      </c>
      <c r="G559" s="2" t="s">
        <v>91</v>
      </c>
      <c r="I559" s="95" t="s">
        <v>7231</v>
      </c>
      <c r="J559" t="s">
        <v>61</v>
      </c>
      <c r="K559" t="s">
        <v>62</v>
      </c>
      <c r="M559">
        <v>57.97</v>
      </c>
      <c r="N559" s="4">
        <f t="shared" si="8"/>
        <v>-50</v>
      </c>
      <c r="O559" t="s">
        <v>83</v>
      </c>
    </row>
    <row r="560" spans="1:15" x14ac:dyDescent="0.25">
      <c r="A560" s="22">
        <v>45688</v>
      </c>
      <c r="B560" s="1">
        <v>817739420</v>
      </c>
      <c r="C560" t="s">
        <v>562</v>
      </c>
      <c r="D560" s="23">
        <v>-2898.5</v>
      </c>
      <c r="E560" t="s">
        <v>35</v>
      </c>
      <c r="F560" s="2">
        <v>212901001</v>
      </c>
      <c r="G560" s="2" t="s">
        <v>91</v>
      </c>
      <c r="I560" s="95" t="s">
        <v>7231</v>
      </c>
      <c r="J560" t="s">
        <v>61</v>
      </c>
      <c r="K560" t="s">
        <v>62</v>
      </c>
      <c r="M560">
        <v>57.97</v>
      </c>
      <c r="N560" s="4">
        <f t="shared" si="8"/>
        <v>-50</v>
      </c>
      <c r="O560" t="s">
        <v>83</v>
      </c>
    </row>
    <row r="561" spans="1:15" x14ac:dyDescent="0.25">
      <c r="A561" s="22">
        <v>45688</v>
      </c>
      <c r="B561" s="1">
        <v>817739425</v>
      </c>
      <c r="C561" t="s">
        <v>563</v>
      </c>
      <c r="D561" s="23">
        <v>-2898.5</v>
      </c>
      <c r="E561" t="s">
        <v>35</v>
      </c>
      <c r="F561" s="2">
        <v>212901001</v>
      </c>
      <c r="G561" s="2" t="s">
        <v>91</v>
      </c>
      <c r="I561" s="95" t="s">
        <v>7231</v>
      </c>
      <c r="J561" t="s">
        <v>61</v>
      </c>
      <c r="K561" t="s">
        <v>62</v>
      </c>
      <c r="M561">
        <v>57.97</v>
      </c>
      <c r="N561" s="4">
        <f t="shared" si="8"/>
        <v>-50</v>
      </c>
      <c r="O561" t="s">
        <v>83</v>
      </c>
    </row>
    <row r="562" spans="1:15" x14ac:dyDescent="0.25">
      <c r="A562" s="22">
        <v>45688</v>
      </c>
      <c r="B562" s="1">
        <v>817739424</v>
      </c>
      <c r="C562" t="s">
        <v>564</v>
      </c>
      <c r="D562" s="23">
        <v>-2898.5</v>
      </c>
      <c r="E562" t="s">
        <v>35</v>
      </c>
      <c r="F562" s="2">
        <v>212901001</v>
      </c>
      <c r="G562" s="2" t="s">
        <v>91</v>
      </c>
      <c r="I562" s="95" t="s">
        <v>7231</v>
      </c>
      <c r="J562" t="s">
        <v>61</v>
      </c>
      <c r="K562" t="s">
        <v>62</v>
      </c>
      <c r="M562">
        <v>57.97</v>
      </c>
      <c r="N562" s="4">
        <f t="shared" si="8"/>
        <v>-50</v>
      </c>
      <c r="O562" t="s">
        <v>83</v>
      </c>
    </row>
    <row r="563" spans="1:15" x14ac:dyDescent="0.25">
      <c r="A563" s="22">
        <v>45688</v>
      </c>
      <c r="B563" s="1">
        <v>817739419</v>
      </c>
      <c r="C563" t="s">
        <v>565</v>
      </c>
      <c r="D563" s="23">
        <v>-2898.5</v>
      </c>
      <c r="E563" t="s">
        <v>35</v>
      </c>
      <c r="F563" s="2">
        <v>212901001</v>
      </c>
      <c r="G563" s="2" t="s">
        <v>91</v>
      </c>
      <c r="I563" s="95" t="s">
        <v>7231</v>
      </c>
      <c r="J563" t="s">
        <v>61</v>
      </c>
      <c r="K563" t="s">
        <v>62</v>
      </c>
      <c r="M563">
        <v>57.97</v>
      </c>
      <c r="N563" s="4">
        <f t="shared" si="8"/>
        <v>-50</v>
      </c>
      <c r="O563" t="s">
        <v>83</v>
      </c>
    </row>
    <row r="564" spans="1:15" x14ac:dyDescent="0.25">
      <c r="A564" s="22">
        <v>45688</v>
      </c>
      <c r="B564" s="1">
        <v>817739423</v>
      </c>
      <c r="C564" t="s">
        <v>561</v>
      </c>
      <c r="D564" s="23">
        <v>-2898.5</v>
      </c>
      <c r="E564" t="s">
        <v>35</v>
      </c>
      <c r="F564" s="2">
        <v>212901001</v>
      </c>
      <c r="G564" s="2" t="s">
        <v>91</v>
      </c>
      <c r="I564" s="95" t="s">
        <v>7231</v>
      </c>
      <c r="J564" t="s">
        <v>61</v>
      </c>
      <c r="K564" t="s">
        <v>62</v>
      </c>
      <c r="M564">
        <v>57.97</v>
      </c>
      <c r="N564" s="4">
        <f t="shared" si="8"/>
        <v>-50</v>
      </c>
      <c r="O564" t="s">
        <v>83</v>
      </c>
    </row>
    <row r="565" spans="1:15" x14ac:dyDescent="0.25">
      <c r="A565" s="22">
        <v>45688</v>
      </c>
      <c r="B565" s="1">
        <v>817739426</v>
      </c>
      <c r="C565" t="s">
        <v>566</v>
      </c>
      <c r="D565" s="23">
        <v>-2898.5</v>
      </c>
      <c r="E565" t="s">
        <v>35</v>
      </c>
      <c r="F565" s="2">
        <v>212901001</v>
      </c>
      <c r="G565" s="2" t="s">
        <v>91</v>
      </c>
      <c r="I565" s="95" t="s">
        <v>7231</v>
      </c>
      <c r="J565" t="s">
        <v>61</v>
      </c>
      <c r="K565" t="s">
        <v>62</v>
      </c>
      <c r="M565">
        <v>57.97</v>
      </c>
      <c r="N565" s="4">
        <f t="shared" si="8"/>
        <v>-50</v>
      </c>
      <c r="O565" t="s">
        <v>83</v>
      </c>
    </row>
    <row r="566" spans="1:15" x14ac:dyDescent="0.25">
      <c r="A566" s="22">
        <v>45688</v>
      </c>
      <c r="B566" s="1">
        <v>917739429</v>
      </c>
      <c r="C566" t="s">
        <v>567</v>
      </c>
      <c r="D566" s="23">
        <v>-2898.5</v>
      </c>
      <c r="E566" t="s">
        <v>35</v>
      </c>
      <c r="F566" s="2">
        <v>212901001</v>
      </c>
      <c r="G566" s="2" t="s">
        <v>91</v>
      </c>
      <c r="I566" s="95" t="s">
        <v>7231</v>
      </c>
      <c r="J566" t="s">
        <v>61</v>
      </c>
      <c r="K566" t="s">
        <v>62</v>
      </c>
      <c r="M566">
        <v>57.97</v>
      </c>
      <c r="N566" s="4">
        <f t="shared" si="8"/>
        <v>-50</v>
      </c>
      <c r="O566" t="s">
        <v>83</v>
      </c>
    </row>
    <row r="567" spans="1:15" x14ac:dyDescent="0.25">
      <c r="A567" s="22">
        <v>45688</v>
      </c>
      <c r="B567" s="1">
        <v>817739422</v>
      </c>
      <c r="C567" t="s">
        <v>568</v>
      </c>
      <c r="D567" s="23">
        <v>-2898.5</v>
      </c>
      <c r="E567" t="s">
        <v>35</v>
      </c>
      <c r="F567" s="2">
        <v>212901001</v>
      </c>
      <c r="G567" s="2" t="s">
        <v>91</v>
      </c>
      <c r="I567" s="95" t="s">
        <v>7231</v>
      </c>
      <c r="J567" t="s">
        <v>61</v>
      </c>
      <c r="K567" t="s">
        <v>62</v>
      </c>
      <c r="M567">
        <v>57.97</v>
      </c>
      <c r="N567" s="4">
        <f t="shared" si="8"/>
        <v>-50</v>
      </c>
      <c r="O567" t="s">
        <v>83</v>
      </c>
    </row>
    <row r="568" spans="1:15" x14ac:dyDescent="0.25">
      <c r="A568" s="22">
        <v>45688</v>
      </c>
      <c r="B568" s="1">
        <v>817739427</v>
      </c>
      <c r="C568" t="s">
        <v>569</v>
      </c>
      <c r="D568" s="23">
        <v>-2898.5</v>
      </c>
      <c r="E568" t="s">
        <v>35</v>
      </c>
      <c r="F568" s="2">
        <v>212901001</v>
      </c>
      <c r="G568" s="2" t="s">
        <v>91</v>
      </c>
      <c r="I568" s="95" t="s">
        <v>7231</v>
      </c>
      <c r="J568" t="s">
        <v>61</v>
      </c>
      <c r="K568" t="s">
        <v>62</v>
      </c>
      <c r="M568">
        <v>57.97</v>
      </c>
      <c r="N568" s="4">
        <f t="shared" si="8"/>
        <v>-50</v>
      </c>
      <c r="O568" t="s">
        <v>83</v>
      </c>
    </row>
    <row r="569" spans="1:15" x14ac:dyDescent="0.25">
      <c r="A569" s="22">
        <v>45688</v>
      </c>
      <c r="B569" s="1">
        <v>917739431</v>
      </c>
      <c r="C569" t="s">
        <v>570</v>
      </c>
      <c r="D569" s="23">
        <v>-2898.5</v>
      </c>
      <c r="E569" t="s">
        <v>35</v>
      </c>
      <c r="F569" s="2">
        <v>212901001</v>
      </c>
      <c r="G569" s="2" t="s">
        <v>91</v>
      </c>
      <c r="I569" s="95" t="s">
        <v>7231</v>
      </c>
      <c r="J569" t="s">
        <v>61</v>
      </c>
      <c r="K569" t="s">
        <v>62</v>
      </c>
      <c r="M569">
        <v>57.97</v>
      </c>
      <c r="N569" s="4">
        <f t="shared" si="8"/>
        <v>-50</v>
      </c>
      <c r="O569" t="s">
        <v>83</v>
      </c>
    </row>
    <row r="570" spans="1:15" x14ac:dyDescent="0.25">
      <c r="A570" s="22">
        <v>45688</v>
      </c>
      <c r="B570" s="1">
        <v>817739428</v>
      </c>
      <c r="C570" t="s">
        <v>571</v>
      </c>
      <c r="D570" s="23">
        <v>-2898.5</v>
      </c>
      <c r="E570" t="s">
        <v>35</v>
      </c>
      <c r="F570" s="2">
        <v>212901001</v>
      </c>
      <c r="G570" s="2" t="s">
        <v>91</v>
      </c>
      <c r="I570" s="95" t="s">
        <v>7231</v>
      </c>
      <c r="J570" t="s">
        <v>61</v>
      </c>
      <c r="K570" t="s">
        <v>62</v>
      </c>
      <c r="M570">
        <v>57.97</v>
      </c>
      <c r="N570" s="4">
        <f t="shared" si="8"/>
        <v>-50</v>
      </c>
      <c r="O570" t="s">
        <v>83</v>
      </c>
    </row>
    <row r="571" spans="1:15" x14ac:dyDescent="0.25">
      <c r="A571" s="22">
        <v>45688</v>
      </c>
      <c r="B571" s="1">
        <v>917739430</v>
      </c>
      <c r="C571" t="s">
        <v>572</v>
      </c>
      <c r="D571" s="23">
        <v>-2898.5</v>
      </c>
      <c r="E571" t="s">
        <v>35</v>
      </c>
      <c r="F571" s="2">
        <v>212901001</v>
      </c>
      <c r="G571" s="2" t="s">
        <v>91</v>
      </c>
      <c r="I571" s="95" t="s">
        <v>7231</v>
      </c>
      <c r="J571" t="s">
        <v>61</v>
      </c>
      <c r="K571" t="s">
        <v>62</v>
      </c>
      <c r="M571">
        <v>57.97</v>
      </c>
      <c r="N571" s="4">
        <f t="shared" si="8"/>
        <v>-50</v>
      </c>
      <c r="O571" t="s">
        <v>83</v>
      </c>
    </row>
    <row r="572" spans="1:15" x14ac:dyDescent="0.25">
      <c r="A572" s="22">
        <v>45688</v>
      </c>
      <c r="B572" s="1">
        <v>917739433</v>
      </c>
      <c r="C572" t="s">
        <v>573</v>
      </c>
      <c r="D572" s="23">
        <v>-1159.4000000000001</v>
      </c>
      <c r="E572" t="s">
        <v>35</v>
      </c>
      <c r="F572" s="2">
        <v>212901001</v>
      </c>
      <c r="G572" s="2" t="s">
        <v>91</v>
      </c>
      <c r="I572" s="95" t="s">
        <v>7231</v>
      </c>
      <c r="J572" t="s">
        <v>61</v>
      </c>
      <c r="K572" t="s">
        <v>62</v>
      </c>
      <c r="M572">
        <v>57.97</v>
      </c>
      <c r="N572" s="4">
        <f t="shared" si="8"/>
        <v>-20.000000000000004</v>
      </c>
      <c r="O572" t="s">
        <v>83</v>
      </c>
    </row>
    <row r="573" spans="1:15" x14ac:dyDescent="0.25">
      <c r="A573" s="22">
        <v>45688</v>
      </c>
      <c r="B573" s="1">
        <v>917739434</v>
      </c>
      <c r="C573" t="s">
        <v>574</v>
      </c>
      <c r="D573" s="23">
        <v>-1159.4000000000001</v>
      </c>
      <c r="E573" t="s">
        <v>35</v>
      </c>
      <c r="F573" s="2">
        <v>212901001</v>
      </c>
      <c r="G573" s="2" t="s">
        <v>91</v>
      </c>
      <c r="I573" s="95" t="s">
        <v>7231</v>
      </c>
      <c r="J573" t="s">
        <v>61</v>
      </c>
      <c r="K573" t="s">
        <v>62</v>
      </c>
      <c r="M573">
        <v>57.97</v>
      </c>
      <c r="N573" s="4">
        <f t="shared" si="8"/>
        <v>-20.000000000000004</v>
      </c>
      <c r="O573" t="s">
        <v>83</v>
      </c>
    </row>
    <row r="574" spans="1:15" x14ac:dyDescent="0.25">
      <c r="A574" s="22">
        <v>45688</v>
      </c>
      <c r="B574" s="1">
        <v>917739432</v>
      </c>
      <c r="C574" t="s">
        <v>575</v>
      </c>
      <c r="D574" s="23">
        <v>-2898.5</v>
      </c>
      <c r="E574" t="s">
        <v>35</v>
      </c>
      <c r="F574" s="2">
        <v>212901001</v>
      </c>
      <c r="G574" s="2" t="s">
        <v>91</v>
      </c>
      <c r="I574" s="95" t="s">
        <v>7231</v>
      </c>
      <c r="J574" t="s">
        <v>61</v>
      </c>
      <c r="K574" t="s">
        <v>62</v>
      </c>
      <c r="M574">
        <v>57.97</v>
      </c>
      <c r="N574" s="4">
        <f t="shared" si="8"/>
        <v>-50</v>
      </c>
      <c r="O574" t="s">
        <v>83</v>
      </c>
    </row>
    <row r="575" spans="1:15" x14ac:dyDescent="0.25">
      <c r="A575" s="22">
        <v>45688</v>
      </c>
      <c r="B575" s="1">
        <v>917739436</v>
      </c>
      <c r="C575" t="s">
        <v>576</v>
      </c>
      <c r="D575" s="23">
        <v>-1159.4000000000001</v>
      </c>
      <c r="E575" t="s">
        <v>35</v>
      </c>
      <c r="F575" s="2">
        <v>212901001</v>
      </c>
      <c r="G575" s="2" t="s">
        <v>91</v>
      </c>
      <c r="I575" s="95" t="s">
        <v>7231</v>
      </c>
      <c r="J575" t="s">
        <v>61</v>
      </c>
      <c r="K575" t="s">
        <v>62</v>
      </c>
      <c r="M575">
        <v>57.97</v>
      </c>
      <c r="N575" s="4">
        <f t="shared" si="8"/>
        <v>-20.000000000000004</v>
      </c>
      <c r="O575" t="s">
        <v>83</v>
      </c>
    </row>
    <row r="576" spans="1:15" x14ac:dyDescent="0.25">
      <c r="A576" s="22">
        <v>45688</v>
      </c>
      <c r="B576" s="1">
        <v>917739435</v>
      </c>
      <c r="C576" t="s">
        <v>577</v>
      </c>
      <c r="D576" s="23">
        <v>-1159.4000000000001</v>
      </c>
      <c r="E576" t="s">
        <v>35</v>
      </c>
      <c r="F576" s="2">
        <v>212901001</v>
      </c>
      <c r="G576" s="2" t="s">
        <v>91</v>
      </c>
      <c r="I576" s="95" t="s">
        <v>7231</v>
      </c>
      <c r="J576" t="s">
        <v>61</v>
      </c>
      <c r="K576" t="s">
        <v>62</v>
      </c>
      <c r="M576">
        <v>57.97</v>
      </c>
      <c r="N576" s="4">
        <f t="shared" si="8"/>
        <v>-20.000000000000004</v>
      </c>
      <c r="O576" t="s">
        <v>83</v>
      </c>
    </row>
    <row r="577" spans="1:17" x14ac:dyDescent="0.25">
      <c r="A577" s="22">
        <v>45688</v>
      </c>
      <c r="B577" s="1">
        <v>917739439</v>
      </c>
      <c r="C577" t="s">
        <v>578</v>
      </c>
      <c r="D577" s="23">
        <v>-6956.4</v>
      </c>
      <c r="E577" t="s">
        <v>35</v>
      </c>
      <c r="F577" s="2">
        <v>212901001</v>
      </c>
      <c r="G577" s="2" t="s">
        <v>91</v>
      </c>
      <c r="I577" s="95" t="s">
        <v>7231</v>
      </c>
      <c r="J577" t="s">
        <v>61</v>
      </c>
      <c r="K577" t="s">
        <v>62</v>
      </c>
      <c r="M577">
        <v>57.97</v>
      </c>
      <c r="N577" s="4">
        <f t="shared" si="8"/>
        <v>-120</v>
      </c>
      <c r="O577" t="s">
        <v>83</v>
      </c>
    </row>
    <row r="578" spans="1:17" x14ac:dyDescent="0.25">
      <c r="A578" s="22">
        <v>45688</v>
      </c>
      <c r="B578" s="1">
        <v>917739437</v>
      </c>
      <c r="C578" t="s">
        <v>579</v>
      </c>
      <c r="D578" s="23">
        <v>-5797</v>
      </c>
      <c r="E578" t="s">
        <v>35</v>
      </c>
      <c r="F578" s="2">
        <v>212901001</v>
      </c>
      <c r="G578" s="2" t="s">
        <v>91</v>
      </c>
      <c r="I578" s="95" t="s">
        <v>7231</v>
      </c>
      <c r="J578" t="s">
        <v>61</v>
      </c>
      <c r="K578" t="s">
        <v>62</v>
      </c>
      <c r="M578">
        <v>57.97</v>
      </c>
      <c r="N578" s="4">
        <f t="shared" si="8"/>
        <v>-100</v>
      </c>
      <c r="O578" t="s">
        <v>83</v>
      </c>
    </row>
    <row r="579" spans="1:17" x14ac:dyDescent="0.25">
      <c r="A579" s="22">
        <v>45688</v>
      </c>
      <c r="B579" s="1">
        <v>17739442</v>
      </c>
      <c r="C579" t="s">
        <v>580</v>
      </c>
      <c r="D579" s="23">
        <v>-2318.8000000000002</v>
      </c>
      <c r="E579" t="s">
        <v>35</v>
      </c>
      <c r="F579" s="2">
        <v>212901001</v>
      </c>
      <c r="G579" s="2" t="s">
        <v>91</v>
      </c>
      <c r="I579" s="95" t="s">
        <v>7231</v>
      </c>
      <c r="J579" t="s">
        <v>61</v>
      </c>
      <c r="K579" t="s">
        <v>62</v>
      </c>
      <c r="M579">
        <v>57.97</v>
      </c>
      <c r="N579" s="4">
        <f t="shared" si="8"/>
        <v>-40.000000000000007</v>
      </c>
      <c r="O579" t="s">
        <v>83</v>
      </c>
    </row>
    <row r="580" spans="1:17" x14ac:dyDescent="0.25">
      <c r="A580" s="22">
        <v>45688</v>
      </c>
      <c r="B580" s="1">
        <v>917739438</v>
      </c>
      <c r="C580" t="s">
        <v>581</v>
      </c>
      <c r="D580" s="23">
        <v>-11594</v>
      </c>
      <c r="E580" t="s">
        <v>35</v>
      </c>
      <c r="F580" s="2">
        <v>212901001</v>
      </c>
      <c r="G580" s="2" t="s">
        <v>91</v>
      </c>
      <c r="I580" s="95" t="s">
        <v>7231</v>
      </c>
      <c r="J580" t="s">
        <v>61</v>
      </c>
      <c r="K580" t="s">
        <v>62</v>
      </c>
      <c r="M580">
        <v>57.97</v>
      </c>
      <c r="N580" s="4">
        <f t="shared" si="8"/>
        <v>-200</v>
      </c>
      <c r="O580" t="s">
        <v>83</v>
      </c>
    </row>
    <row r="581" spans="1:17" x14ac:dyDescent="0.25">
      <c r="A581" s="22">
        <v>45688</v>
      </c>
      <c r="B581" s="1">
        <v>17739441</v>
      </c>
      <c r="C581" t="s">
        <v>582</v>
      </c>
      <c r="D581" s="23">
        <v>-1739.1</v>
      </c>
      <c r="E581" t="s">
        <v>35</v>
      </c>
      <c r="F581" s="2">
        <v>212901001</v>
      </c>
      <c r="G581" s="2" t="s">
        <v>91</v>
      </c>
      <c r="I581" s="95" t="s">
        <v>7231</v>
      </c>
      <c r="J581" t="s">
        <v>61</v>
      </c>
      <c r="K581" t="s">
        <v>62</v>
      </c>
      <c r="M581">
        <v>57.97</v>
      </c>
      <c r="N581" s="4">
        <f t="shared" si="8"/>
        <v>-30</v>
      </c>
      <c r="O581" t="s">
        <v>83</v>
      </c>
    </row>
    <row r="582" spans="1:17" x14ac:dyDescent="0.25">
      <c r="A582" s="22">
        <v>45688</v>
      </c>
      <c r="B582" s="1">
        <v>50169958</v>
      </c>
      <c r="C582" t="s">
        <v>583</v>
      </c>
      <c r="D582" s="23">
        <v>-8115.8</v>
      </c>
      <c r="E582" t="s">
        <v>35</v>
      </c>
      <c r="F582" s="2">
        <v>212901001</v>
      </c>
      <c r="G582" s="2" t="s">
        <v>91</v>
      </c>
      <c r="I582" s="95" t="s">
        <v>7231</v>
      </c>
      <c r="J582" t="s">
        <v>61</v>
      </c>
      <c r="K582" t="s">
        <v>62</v>
      </c>
      <c r="M582">
        <v>57.97</v>
      </c>
      <c r="N582" s="4">
        <f t="shared" si="8"/>
        <v>-140</v>
      </c>
      <c r="O582" t="s">
        <v>83</v>
      </c>
    </row>
    <row r="583" spans="1:17" x14ac:dyDescent="0.25">
      <c r="A583" s="22">
        <v>45688</v>
      </c>
      <c r="B583" s="1">
        <v>50169958</v>
      </c>
      <c r="C583" t="s">
        <v>179</v>
      </c>
      <c r="D583" s="23">
        <v>-12.17</v>
      </c>
      <c r="E583" t="s">
        <v>35</v>
      </c>
      <c r="F583" s="2">
        <v>610148001</v>
      </c>
      <c r="G583" s="2" t="s">
        <v>41</v>
      </c>
      <c r="I583" s="95" t="s">
        <v>7231</v>
      </c>
      <c r="J583" t="s">
        <v>42</v>
      </c>
      <c r="K583" t="s">
        <v>41</v>
      </c>
      <c r="M583">
        <v>57.97</v>
      </c>
      <c r="N583" s="4">
        <f t="shared" si="8"/>
        <v>-0.20993617388304295</v>
      </c>
      <c r="O583" t="s">
        <v>83</v>
      </c>
      <c r="Q583" s="24" t="s">
        <v>43</v>
      </c>
    </row>
    <row r="584" spans="1:17" x14ac:dyDescent="0.25">
      <c r="A584" s="22">
        <v>45688</v>
      </c>
      <c r="B584" s="1">
        <v>50169958</v>
      </c>
      <c r="C584" t="s">
        <v>89</v>
      </c>
      <c r="D584" s="23">
        <v>-652.88</v>
      </c>
      <c r="E584" t="s">
        <v>35</v>
      </c>
      <c r="F584" s="2">
        <v>610148001</v>
      </c>
      <c r="G584" s="2" t="s">
        <v>41</v>
      </c>
      <c r="I584" s="95" t="s">
        <v>7231</v>
      </c>
      <c r="J584" t="s">
        <v>42</v>
      </c>
      <c r="K584" t="s">
        <v>41</v>
      </c>
      <c r="M584">
        <v>57.97</v>
      </c>
      <c r="N584" s="4">
        <f t="shared" si="8"/>
        <v>-11.262377091599102</v>
      </c>
      <c r="O584" t="s">
        <v>83</v>
      </c>
      <c r="Q584" s="24" t="s">
        <v>43</v>
      </c>
    </row>
    <row r="585" spans="1:17" x14ac:dyDescent="0.25">
      <c r="A585" s="22">
        <v>45688</v>
      </c>
      <c r="B585" s="1">
        <v>17739662</v>
      </c>
      <c r="C585" t="s">
        <v>584</v>
      </c>
      <c r="D585" s="23">
        <v>-1136.8</v>
      </c>
      <c r="E585" t="s">
        <v>35</v>
      </c>
      <c r="F585" s="2">
        <v>110114001</v>
      </c>
      <c r="G585" s="2" t="s">
        <v>181</v>
      </c>
      <c r="I585" s="95" t="s">
        <v>7231</v>
      </c>
      <c r="J585" t="s">
        <v>414</v>
      </c>
      <c r="K585" t="s">
        <v>415</v>
      </c>
      <c r="M585">
        <v>57.97</v>
      </c>
      <c r="N585" s="4">
        <f t="shared" si="8"/>
        <v>-19.610143177505606</v>
      </c>
      <c r="O585" t="s">
        <v>83</v>
      </c>
      <c r="P585" s="34" t="s">
        <v>184</v>
      </c>
    </row>
    <row r="586" spans="1:17" x14ac:dyDescent="0.25">
      <c r="A586" s="22">
        <v>45688</v>
      </c>
      <c r="B586" s="1">
        <v>17739662</v>
      </c>
      <c r="C586" t="s">
        <v>185</v>
      </c>
      <c r="D586" s="23">
        <v>-3.41</v>
      </c>
      <c r="E586" t="s">
        <v>35</v>
      </c>
      <c r="F586" s="2">
        <v>610148001</v>
      </c>
      <c r="G586" s="2" t="s">
        <v>41</v>
      </c>
      <c r="I586" s="95" t="s">
        <v>7231</v>
      </c>
      <c r="J586" t="s">
        <v>42</v>
      </c>
      <c r="K586" t="s">
        <v>41</v>
      </c>
      <c r="M586">
        <v>57.97</v>
      </c>
      <c r="N586" s="4">
        <f t="shared" si="8"/>
        <v>-5.8823529411764712E-2</v>
      </c>
      <c r="O586" t="s">
        <v>83</v>
      </c>
      <c r="Q586" s="24" t="s">
        <v>43</v>
      </c>
    </row>
    <row r="587" spans="1:17" x14ac:dyDescent="0.25">
      <c r="A587" s="22">
        <v>45688</v>
      </c>
      <c r="B587" s="1">
        <v>817739741</v>
      </c>
      <c r="C587" t="s">
        <v>585</v>
      </c>
      <c r="D587" s="23">
        <v>-765.92</v>
      </c>
      <c r="E587" t="s">
        <v>35</v>
      </c>
      <c r="F587" s="2">
        <v>110114001</v>
      </c>
      <c r="G587" s="2" t="s">
        <v>181</v>
      </c>
      <c r="I587" s="95" t="s">
        <v>7231</v>
      </c>
      <c r="J587" t="s">
        <v>414</v>
      </c>
      <c r="K587" t="s">
        <v>415</v>
      </c>
      <c r="M587">
        <v>57.97</v>
      </c>
      <c r="N587" s="4">
        <f t="shared" si="8"/>
        <v>-13.212351216146281</v>
      </c>
      <c r="O587" t="s">
        <v>83</v>
      </c>
      <c r="P587" s="34" t="s">
        <v>184</v>
      </c>
    </row>
    <row r="588" spans="1:17" x14ac:dyDescent="0.25">
      <c r="A588" s="22">
        <v>45688</v>
      </c>
      <c r="B588" s="1">
        <v>817739741</v>
      </c>
      <c r="C588" t="s">
        <v>185</v>
      </c>
      <c r="D588" s="23">
        <v>-2.2999999999999998</v>
      </c>
      <c r="E588" t="s">
        <v>35</v>
      </c>
      <c r="F588" s="2">
        <v>610148001</v>
      </c>
      <c r="G588" s="2" t="s">
        <v>41</v>
      </c>
      <c r="I588" s="95" t="s">
        <v>7231</v>
      </c>
      <c r="J588" t="s">
        <v>42</v>
      </c>
      <c r="K588" t="s">
        <v>41</v>
      </c>
      <c r="M588">
        <v>57.97</v>
      </c>
      <c r="N588" s="4">
        <f t="shared" ref="N588:N651" si="9">D588/M588</f>
        <v>-3.9675694324650679E-2</v>
      </c>
      <c r="O588" t="s">
        <v>83</v>
      </c>
      <c r="Q588" s="24" t="s">
        <v>43</v>
      </c>
    </row>
    <row r="589" spans="1:17" x14ac:dyDescent="0.25">
      <c r="A589" s="22">
        <v>45688</v>
      </c>
      <c r="B589" s="1">
        <v>317741064</v>
      </c>
      <c r="C589" t="s">
        <v>586</v>
      </c>
      <c r="D589" s="23">
        <v>-8724.5</v>
      </c>
      <c r="E589" t="s">
        <v>35</v>
      </c>
      <c r="F589" s="2">
        <v>110114001</v>
      </c>
      <c r="G589" s="2" t="s">
        <v>181</v>
      </c>
      <c r="I589" s="95" t="s">
        <v>7231</v>
      </c>
      <c r="J589" t="s">
        <v>86</v>
      </c>
      <c r="K589" t="s">
        <v>87</v>
      </c>
      <c r="M589">
        <v>57.97</v>
      </c>
      <c r="N589" s="4">
        <f t="shared" si="9"/>
        <v>-150.5002587545282</v>
      </c>
      <c r="O589" t="s">
        <v>83</v>
      </c>
      <c r="P589" s="34" t="s">
        <v>184</v>
      </c>
    </row>
    <row r="590" spans="1:17" x14ac:dyDescent="0.25">
      <c r="A590" s="22">
        <v>45688</v>
      </c>
      <c r="B590" s="1">
        <v>317741066</v>
      </c>
      <c r="C590" t="s">
        <v>587</v>
      </c>
      <c r="D590" s="23">
        <v>-4057.9</v>
      </c>
      <c r="E590" t="s">
        <v>35</v>
      </c>
      <c r="F590" s="2">
        <v>212901001</v>
      </c>
      <c r="G590" s="2" t="s">
        <v>91</v>
      </c>
      <c r="I590" s="95" t="s">
        <v>7231</v>
      </c>
      <c r="J590" t="s">
        <v>61</v>
      </c>
      <c r="K590" t="s">
        <v>62</v>
      </c>
      <c r="M590">
        <v>57.97</v>
      </c>
      <c r="N590" s="4">
        <f t="shared" si="9"/>
        <v>-70</v>
      </c>
      <c r="O590" t="s">
        <v>83</v>
      </c>
    </row>
    <row r="591" spans="1:17" x14ac:dyDescent="0.25">
      <c r="A591" s="22">
        <v>45688</v>
      </c>
      <c r="B591" s="1">
        <v>317741065</v>
      </c>
      <c r="C591" t="s">
        <v>588</v>
      </c>
      <c r="D591" s="23">
        <v>-2782.56</v>
      </c>
      <c r="E591" t="s">
        <v>35</v>
      </c>
      <c r="F591" s="2">
        <v>212901001</v>
      </c>
      <c r="G591" s="2" t="s">
        <v>91</v>
      </c>
      <c r="I591" s="95" t="s">
        <v>7231</v>
      </c>
      <c r="J591" t="s">
        <v>61</v>
      </c>
      <c r="K591" t="s">
        <v>62</v>
      </c>
      <c r="M591">
        <v>57.97</v>
      </c>
      <c r="N591" s="4">
        <f t="shared" si="9"/>
        <v>-48</v>
      </c>
      <c r="O591" t="s">
        <v>83</v>
      </c>
    </row>
    <row r="592" spans="1:17" x14ac:dyDescent="0.25">
      <c r="A592" s="22">
        <v>45688</v>
      </c>
      <c r="B592" s="1">
        <v>317741073</v>
      </c>
      <c r="C592" t="s">
        <v>589</v>
      </c>
      <c r="D592" s="23">
        <v>-1159.4000000000001</v>
      </c>
      <c r="E592" t="s">
        <v>35</v>
      </c>
      <c r="F592" s="2">
        <v>212901001</v>
      </c>
      <c r="G592" s="2" t="s">
        <v>91</v>
      </c>
      <c r="I592" s="95" t="s">
        <v>7231</v>
      </c>
      <c r="J592" t="s">
        <v>61</v>
      </c>
      <c r="K592" t="s">
        <v>62</v>
      </c>
      <c r="M592">
        <v>57.97</v>
      </c>
      <c r="N592" s="4">
        <f t="shared" si="9"/>
        <v>-20.000000000000004</v>
      </c>
      <c r="O592" t="s">
        <v>83</v>
      </c>
    </row>
    <row r="593" spans="1:17" x14ac:dyDescent="0.25">
      <c r="A593" s="22">
        <v>45688</v>
      </c>
      <c r="B593" s="1">
        <v>317741070</v>
      </c>
      <c r="C593" t="s">
        <v>590</v>
      </c>
      <c r="D593" s="23">
        <v>-3768.05</v>
      </c>
      <c r="E593" t="s">
        <v>35</v>
      </c>
      <c r="F593" s="2">
        <v>212901001</v>
      </c>
      <c r="G593" s="2" t="s">
        <v>91</v>
      </c>
      <c r="I593" s="95" t="s">
        <v>7231</v>
      </c>
      <c r="J593" t="s">
        <v>61</v>
      </c>
      <c r="K593" t="s">
        <v>62</v>
      </c>
      <c r="M593">
        <v>57.97</v>
      </c>
      <c r="N593" s="4">
        <f t="shared" si="9"/>
        <v>-65</v>
      </c>
      <c r="O593" t="s">
        <v>83</v>
      </c>
    </row>
    <row r="594" spans="1:17" x14ac:dyDescent="0.25">
      <c r="A594" s="22">
        <v>45688</v>
      </c>
      <c r="B594" s="1">
        <v>317741067</v>
      </c>
      <c r="C594" t="s">
        <v>591</v>
      </c>
      <c r="D594" s="23">
        <v>-2898.5</v>
      </c>
      <c r="E594" t="s">
        <v>35</v>
      </c>
      <c r="F594" s="2">
        <v>212901001</v>
      </c>
      <c r="G594" s="2" t="s">
        <v>91</v>
      </c>
      <c r="I594" s="95" t="s">
        <v>7231</v>
      </c>
      <c r="J594" t="s">
        <v>61</v>
      </c>
      <c r="K594" t="s">
        <v>62</v>
      </c>
      <c r="M594">
        <v>57.97</v>
      </c>
      <c r="N594" s="4">
        <f t="shared" si="9"/>
        <v>-50</v>
      </c>
      <c r="O594" t="s">
        <v>83</v>
      </c>
    </row>
    <row r="595" spans="1:17" x14ac:dyDescent="0.25">
      <c r="A595" s="22">
        <v>45688</v>
      </c>
      <c r="B595" s="1">
        <v>317741069</v>
      </c>
      <c r="C595" t="s">
        <v>592</v>
      </c>
      <c r="D595" s="23">
        <v>-579.70000000000005</v>
      </c>
      <c r="E595" t="s">
        <v>35</v>
      </c>
      <c r="F595" s="2">
        <v>212901001</v>
      </c>
      <c r="G595" s="2" t="s">
        <v>91</v>
      </c>
      <c r="I595" s="95" t="s">
        <v>7231</v>
      </c>
      <c r="J595" t="s">
        <v>61</v>
      </c>
      <c r="K595" t="s">
        <v>62</v>
      </c>
      <c r="M595">
        <v>57.97</v>
      </c>
      <c r="N595" s="4">
        <f t="shared" si="9"/>
        <v>-10.000000000000002</v>
      </c>
      <c r="O595" t="s">
        <v>83</v>
      </c>
    </row>
    <row r="596" spans="1:17" x14ac:dyDescent="0.25">
      <c r="A596" s="22">
        <v>45688</v>
      </c>
      <c r="B596" s="1">
        <v>317741071</v>
      </c>
      <c r="C596" t="s">
        <v>593</v>
      </c>
      <c r="D596" s="23">
        <v>-1159.4000000000001</v>
      </c>
      <c r="E596" t="s">
        <v>35</v>
      </c>
      <c r="F596" s="2">
        <v>212901001</v>
      </c>
      <c r="G596" s="2" t="s">
        <v>91</v>
      </c>
      <c r="I596" s="95" t="s">
        <v>7231</v>
      </c>
      <c r="J596" t="s">
        <v>61</v>
      </c>
      <c r="K596" t="s">
        <v>62</v>
      </c>
      <c r="M596">
        <v>57.97</v>
      </c>
      <c r="N596" s="4">
        <f t="shared" si="9"/>
        <v>-20.000000000000004</v>
      </c>
      <c r="O596" t="s">
        <v>83</v>
      </c>
    </row>
    <row r="597" spans="1:17" x14ac:dyDescent="0.25">
      <c r="A597" s="22">
        <v>45688</v>
      </c>
      <c r="B597" s="1">
        <v>317741072</v>
      </c>
      <c r="C597" t="s">
        <v>594</v>
      </c>
      <c r="D597" s="23">
        <v>-1159.4000000000001</v>
      </c>
      <c r="E597" t="s">
        <v>35</v>
      </c>
      <c r="F597" s="2">
        <v>212901001</v>
      </c>
      <c r="G597" s="2" t="s">
        <v>91</v>
      </c>
      <c r="I597" s="95" t="s">
        <v>7231</v>
      </c>
      <c r="J597" t="s">
        <v>61</v>
      </c>
      <c r="K597" t="s">
        <v>62</v>
      </c>
      <c r="M597">
        <v>57.97</v>
      </c>
      <c r="N597" s="4">
        <f t="shared" si="9"/>
        <v>-20.000000000000004</v>
      </c>
      <c r="O597" t="s">
        <v>83</v>
      </c>
    </row>
    <row r="598" spans="1:17" x14ac:dyDescent="0.25">
      <c r="A598" s="22">
        <v>45688</v>
      </c>
      <c r="B598" s="1">
        <v>417741075</v>
      </c>
      <c r="C598" t="s">
        <v>595</v>
      </c>
      <c r="D598" s="23">
        <v>-58568.4</v>
      </c>
      <c r="E598" t="s">
        <v>35</v>
      </c>
      <c r="F598" s="2">
        <v>110114001</v>
      </c>
      <c r="G598" s="2" t="s">
        <v>181</v>
      </c>
      <c r="I598" s="95" t="s">
        <v>7231</v>
      </c>
      <c r="J598" t="s">
        <v>37</v>
      </c>
      <c r="K598" t="s">
        <v>38</v>
      </c>
      <c r="M598">
        <v>57.97</v>
      </c>
      <c r="N598" s="4">
        <f t="shared" si="9"/>
        <v>-1010.3225806451613</v>
      </c>
      <c r="O598" t="s">
        <v>83</v>
      </c>
      <c r="P598" s="34" t="s">
        <v>496</v>
      </c>
    </row>
    <row r="599" spans="1:17" x14ac:dyDescent="0.25">
      <c r="A599" s="22">
        <v>45688</v>
      </c>
      <c r="B599" s="1">
        <v>317741074</v>
      </c>
      <c r="C599" t="s">
        <v>596</v>
      </c>
      <c r="D599" s="23">
        <v>-2053.5</v>
      </c>
      <c r="E599" t="s">
        <v>35</v>
      </c>
      <c r="F599" s="2">
        <v>210101001</v>
      </c>
      <c r="G599" s="2" t="s">
        <v>36</v>
      </c>
      <c r="I599" s="95" t="s">
        <v>7231</v>
      </c>
      <c r="J599" t="s">
        <v>86</v>
      </c>
      <c r="K599" t="s">
        <v>87</v>
      </c>
      <c r="M599">
        <v>57.97</v>
      </c>
      <c r="N599" s="4">
        <f t="shared" si="9"/>
        <v>-35.423494911160944</v>
      </c>
      <c r="O599" t="s">
        <v>83</v>
      </c>
    </row>
    <row r="600" spans="1:17" x14ac:dyDescent="0.25">
      <c r="A600" s="22">
        <v>45688</v>
      </c>
      <c r="B600" s="1">
        <v>50192000</v>
      </c>
      <c r="C600" t="s">
        <v>89</v>
      </c>
      <c r="D600" s="23">
        <v>-217.27</v>
      </c>
      <c r="E600" t="s">
        <v>35</v>
      </c>
      <c r="F600" s="2">
        <v>610148001</v>
      </c>
      <c r="G600" s="2" t="s">
        <v>41</v>
      </c>
      <c r="I600" s="95" t="s">
        <v>7231</v>
      </c>
      <c r="J600" t="s">
        <v>42</v>
      </c>
      <c r="K600" t="s">
        <v>41</v>
      </c>
      <c r="M600">
        <v>57.97</v>
      </c>
      <c r="N600" s="4">
        <f t="shared" si="9"/>
        <v>-3.7479730895290668</v>
      </c>
      <c r="O600" t="s">
        <v>83</v>
      </c>
      <c r="Q600" s="24" t="s">
        <v>43</v>
      </c>
    </row>
    <row r="601" spans="1:17" x14ac:dyDescent="0.25">
      <c r="A601" s="22">
        <v>45688</v>
      </c>
      <c r="B601" s="1">
        <v>417741292</v>
      </c>
      <c r="C601" t="s">
        <v>597</v>
      </c>
      <c r="D601" s="23">
        <v>-1159.4000000000001</v>
      </c>
      <c r="E601" t="s">
        <v>35</v>
      </c>
      <c r="F601" s="2">
        <v>212901001</v>
      </c>
      <c r="G601" s="2" t="s">
        <v>91</v>
      </c>
      <c r="I601" s="95" t="s">
        <v>7231</v>
      </c>
      <c r="J601" t="s">
        <v>61</v>
      </c>
      <c r="K601" t="s">
        <v>62</v>
      </c>
      <c r="M601">
        <v>57.97</v>
      </c>
      <c r="N601" s="4">
        <f t="shared" si="9"/>
        <v>-20.000000000000004</v>
      </c>
      <c r="O601" t="s">
        <v>83</v>
      </c>
    </row>
    <row r="602" spans="1:17" x14ac:dyDescent="0.25">
      <c r="A602" s="22">
        <v>45688</v>
      </c>
      <c r="B602" s="1">
        <v>417741292</v>
      </c>
      <c r="C602" t="s">
        <v>185</v>
      </c>
      <c r="D602" s="23">
        <v>-3.48</v>
      </c>
      <c r="E602" t="s">
        <v>35</v>
      </c>
      <c r="F602" s="2">
        <v>610148001</v>
      </c>
      <c r="G602" s="2" t="s">
        <v>41</v>
      </c>
      <c r="I602" s="95" t="s">
        <v>7231</v>
      </c>
      <c r="J602" t="s">
        <v>42</v>
      </c>
      <c r="K602" t="s">
        <v>41</v>
      </c>
      <c r="M602">
        <v>57.97</v>
      </c>
      <c r="N602" s="4">
        <f t="shared" si="9"/>
        <v>-6.0031050543384513E-2</v>
      </c>
      <c r="O602" t="s">
        <v>83</v>
      </c>
      <c r="Q602" s="24" t="s">
        <v>43</v>
      </c>
    </row>
    <row r="603" spans="1:17" x14ac:dyDescent="0.25">
      <c r="A603" s="22">
        <v>45688</v>
      </c>
      <c r="B603" s="1">
        <v>134948833</v>
      </c>
      <c r="C603" t="s">
        <v>598</v>
      </c>
      <c r="D603" s="23">
        <v>-5673.33</v>
      </c>
      <c r="E603" t="s">
        <v>35</v>
      </c>
      <c r="F603" s="2">
        <v>110114001</v>
      </c>
      <c r="G603" s="2" t="s">
        <v>181</v>
      </c>
      <c r="I603" s="95" t="s">
        <v>7231</v>
      </c>
      <c r="J603" t="s">
        <v>599</v>
      </c>
      <c r="K603" t="s">
        <v>600</v>
      </c>
      <c r="M603">
        <v>57.97</v>
      </c>
      <c r="N603" s="4">
        <f t="shared" si="9"/>
        <v>-97.866655166465421</v>
      </c>
      <c r="O603" t="s">
        <v>83</v>
      </c>
      <c r="P603" s="34" t="s">
        <v>184</v>
      </c>
    </row>
    <row r="604" spans="1:17" x14ac:dyDescent="0.25">
      <c r="A604" s="22">
        <v>45688</v>
      </c>
      <c r="B604" s="1">
        <v>142437578</v>
      </c>
      <c r="C604" t="s">
        <v>82</v>
      </c>
      <c r="D604" s="23">
        <v>60000</v>
      </c>
      <c r="E604" t="s">
        <v>45</v>
      </c>
      <c r="F604" s="2">
        <v>210115002</v>
      </c>
      <c r="G604" s="2" t="s">
        <v>46</v>
      </c>
      <c r="I604" s="95" t="s">
        <v>7231</v>
      </c>
      <c r="K604" t="s">
        <v>82</v>
      </c>
      <c r="M604">
        <v>57.97</v>
      </c>
      <c r="N604" s="4">
        <f t="shared" si="9"/>
        <v>1035.0181128169743</v>
      </c>
      <c r="O604" t="s">
        <v>83</v>
      </c>
    </row>
    <row r="605" spans="1:17" x14ac:dyDescent="0.25">
      <c r="A605" s="22">
        <v>45688</v>
      </c>
      <c r="B605" s="1">
        <v>617757245</v>
      </c>
      <c r="C605" t="s">
        <v>601</v>
      </c>
      <c r="D605" s="23">
        <v>-86274.74</v>
      </c>
      <c r="E605" t="s">
        <v>35</v>
      </c>
      <c r="F605" s="2">
        <v>110114001</v>
      </c>
      <c r="G605" s="2" t="s">
        <v>181</v>
      </c>
      <c r="I605" s="95" t="s">
        <v>7231</v>
      </c>
      <c r="J605" t="s">
        <v>37</v>
      </c>
      <c r="K605" t="s">
        <v>38</v>
      </c>
      <c r="M605">
        <v>57.97</v>
      </c>
      <c r="N605" s="4">
        <f t="shared" si="9"/>
        <v>-1488.265309642919</v>
      </c>
      <c r="O605" t="s">
        <v>83</v>
      </c>
      <c r="P605" s="34" t="s">
        <v>184</v>
      </c>
    </row>
    <row r="606" spans="1:17" x14ac:dyDescent="0.25">
      <c r="A606" s="22">
        <v>45688</v>
      </c>
      <c r="B606" s="1">
        <v>617757245</v>
      </c>
      <c r="C606" t="s">
        <v>185</v>
      </c>
      <c r="D606" s="23">
        <v>-258.82</v>
      </c>
      <c r="E606" t="s">
        <v>35</v>
      </c>
      <c r="F606" s="2">
        <v>610148001</v>
      </c>
      <c r="G606" s="2" t="s">
        <v>41</v>
      </c>
      <c r="I606" s="95" t="s">
        <v>7231</v>
      </c>
      <c r="J606" t="s">
        <v>42</v>
      </c>
      <c r="K606" t="s">
        <v>41</v>
      </c>
      <c r="M606">
        <v>57.97</v>
      </c>
      <c r="N606" s="4">
        <f t="shared" si="9"/>
        <v>-4.4647231326548216</v>
      </c>
      <c r="O606" t="s">
        <v>83</v>
      </c>
      <c r="Q606" s="24" t="s">
        <v>43</v>
      </c>
    </row>
    <row r="607" spans="1:17" x14ac:dyDescent="0.25">
      <c r="A607" s="22">
        <v>45688</v>
      </c>
      <c r="B607" s="1">
        <v>0</v>
      </c>
      <c r="C607" t="s">
        <v>602</v>
      </c>
      <c r="D607" s="23">
        <v>-0.5</v>
      </c>
      <c r="E607" t="s">
        <v>35</v>
      </c>
      <c r="F607" s="2">
        <v>610148001</v>
      </c>
      <c r="G607" s="2" t="s">
        <v>41</v>
      </c>
      <c r="I607" s="95" t="s">
        <v>7231</v>
      </c>
      <c r="J607" t="s">
        <v>42</v>
      </c>
      <c r="K607" t="s">
        <v>41</v>
      </c>
      <c r="M607">
        <v>57.97</v>
      </c>
      <c r="N607" s="4">
        <f t="shared" si="9"/>
        <v>-8.6251509401414524E-3</v>
      </c>
      <c r="O607" t="s">
        <v>83</v>
      </c>
      <c r="Q607" s="24" t="s">
        <v>43</v>
      </c>
    </row>
    <row r="608" spans="1:17" x14ac:dyDescent="0.25">
      <c r="A608" s="22">
        <v>45688</v>
      </c>
      <c r="B608" s="1">
        <v>0</v>
      </c>
      <c r="C608" t="s">
        <v>603</v>
      </c>
      <c r="D608" s="23">
        <v>-0.5</v>
      </c>
      <c r="E608" t="s">
        <v>35</v>
      </c>
      <c r="F608" s="2">
        <v>610148001</v>
      </c>
      <c r="G608" s="2" t="s">
        <v>41</v>
      </c>
      <c r="I608" s="95" t="s">
        <v>7231</v>
      </c>
      <c r="J608" t="s">
        <v>42</v>
      </c>
      <c r="K608" t="s">
        <v>41</v>
      </c>
      <c r="M608">
        <v>57.97</v>
      </c>
      <c r="N608" s="4">
        <f t="shared" si="9"/>
        <v>-8.6251509401414524E-3</v>
      </c>
      <c r="O608" t="s">
        <v>83</v>
      </c>
      <c r="Q608" s="24" t="s">
        <v>43</v>
      </c>
    </row>
    <row r="609" spans="1:17" x14ac:dyDescent="0.25">
      <c r="A609" s="22">
        <v>45664</v>
      </c>
      <c r="B609" s="1" t="s">
        <v>604</v>
      </c>
      <c r="C609" t="s">
        <v>293</v>
      </c>
      <c r="D609" s="23">
        <v>315000</v>
      </c>
      <c r="E609" t="s">
        <v>45</v>
      </c>
      <c r="F609" s="2">
        <v>210115002</v>
      </c>
      <c r="G609" s="2" t="s">
        <v>46</v>
      </c>
      <c r="I609" s="95" t="s">
        <v>7231</v>
      </c>
      <c r="K609" t="s">
        <v>293</v>
      </c>
      <c r="M609">
        <v>53.01</v>
      </c>
      <c r="N609" s="4">
        <f t="shared" si="9"/>
        <v>5942.2750424448222</v>
      </c>
      <c r="O609" t="s">
        <v>605</v>
      </c>
      <c r="P609" s="35"/>
      <c r="Q609" s="35"/>
    </row>
    <row r="610" spans="1:17" x14ac:dyDescent="0.25">
      <c r="A610" s="33">
        <v>45664</v>
      </c>
      <c r="B610" s="27" t="s">
        <v>606</v>
      </c>
      <c r="C610" s="28" t="s">
        <v>607</v>
      </c>
      <c r="D610" s="29">
        <v>-5725.3</v>
      </c>
      <c r="E610" s="28" t="s">
        <v>35</v>
      </c>
      <c r="F610" s="30">
        <v>610122005</v>
      </c>
      <c r="G610" s="30" t="s">
        <v>401</v>
      </c>
      <c r="H610" s="30"/>
      <c r="I610" s="95" t="s">
        <v>7231</v>
      </c>
      <c r="J610" s="28" t="s">
        <v>608</v>
      </c>
      <c r="K610" s="28" t="s">
        <v>609</v>
      </c>
      <c r="L610" s="28" t="s">
        <v>56</v>
      </c>
      <c r="M610" s="28">
        <v>53.01</v>
      </c>
      <c r="N610" s="4">
        <f t="shared" si="9"/>
        <v>-108.00415016034711</v>
      </c>
      <c r="O610" t="s">
        <v>605</v>
      </c>
      <c r="P610" s="35"/>
      <c r="Q610" s="36" t="s">
        <v>610</v>
      </c>
    </row>
    <row r="611" spans="1:17" x14ac:dyDescent="0.25">
      <c r="A611" s="22">
        <v>45664</v>
      </c>
      <c r="B611" s="1" t="s">
        <v>611</v>
      </c>
      <c r="C611" t="s">
        <v>612</v>
      </c>
      <c r="D611" s="23">
        <v>-5.72</v>
      </c>
      <c r="E611" t="s">
        <v>35</v>
      </c>
      <c r="F611" s="2">
        <v>610148001</v>
      </c>
      <c r="G611" s="2" t="s">
        <v>41</v>
      </c>
      <c r="I611" s="95" t="s">
        <v>7231</v>
      </c>
      <c r="J611" t="s">
        <v>42</v>
      </c>
      <c r="K611" t="s">
        <v>41</v>
      </c>
      <c r="M611">
        <v>53.01</v>
      </c>
      <c r="N611" s="4">
        <f t="shared" si="9"/>
        <v>-0.10790416902471232</v>
      </c>
      <c r="O611" t="s">
        <v>605</v>
      </c>
      <c r="P611" s="35"/>
      <c r="Q611" s="36" t="s">
        <v>43</v>
      </c>
    </row>
    <row r="612" spans="1:17" x14ac:dyDescent="0.25">
      <c r="A612" s="22">
        <v>45664</v>
      </c>
      <c r="B612" s="1" t="s">
        <v>613</v>
      </c>
      <c r="C612" t="s">
        <v>614</v>
      </c>
      <c r="D612" s="23">
        <v>-395</v>
      </c>
      <c r="E612" t="s">
        <v>35</v>
      </c>
      <c r="F612" s="2">
        <v>210101001</v>
      </c>
      <c r="G612" s="2" t="s">
        <v>36</v>
      </c>
      <c r="I612" s="95" t="s">
        <v>7231</v>
      </c>
      <c r="J612" t="s">
        <v>86</v>
      </c>
      <c r="K612" t="s">
        <v>87</v>
      </c>
      <c r="M612">
        <v>53.01</v>
      </c>
      <c r="N612" s="4">
        <f t="shared" si="9"/>
        <v>-7.4514242595736659</v>
      </c>
      <c r="O612" t="s">
        <v>605</v>
      </c>
      <c r="P612" s="35"/>
      <c r="Q612" s="35"/>
    </row>
    <row r="613" spans="1:17" x14ac:dyDescent="0.25">
      <c r="A613" s="22">
        <v>45664</v>
      </c>
      <c r="B613" s="1" t="s">
        <v>615</v>
      </c>
      <c r="C613" t="s">
        <v>616</v>
      </c>
      <c r="D613" s="23">
        <v>-11068.95</v>
      </c>
      <c r="E613" t="s">
        <v>35</v>
      </c>
      <c r="F613" s="2">
        <v>210101001</v>
      </c>
      <c r="G613" s="2" t="s">
        <v>36</v>
      </c>
      <c r="I613" s="95" t="s">
        <v>7231</v>
      </c>
      <c r="J613" t="s">
        <v>182</v>
      </c>
      <c r="K613" t="s">
        <v>183</v>
      </c>
      <c r="M613">
        <v>53.01</v>
      </c>
      <c r="N613" s="4">
        <f t="shared" si="9"/>
        <v>-208.80871533672894</v>
      </c>
      <c r="O613" t="s">
        <v>605</v>
      </c>
      <c r="P613" s="35"/>
      <c r="Q613" s="35"/>
    </row>
    <row r="614" spans="1:17" x14ac:dyDescent="0.25">
      <c r="A614" s="22">
        <v>45664</v>
      </c>
      <c r="B614" s="1" t="s">
        <v>617</v>
      </c>
      <c r="C614" t="s">
        <v>618</v>
      </c>
      <c r="D614" s="23">
        <v>-200000</v>
      </c>
      <c r="E614" t="s">
        <v>35</v>
      </c>
      <c r="F614" s="2">
        <v>210101001</v>
      </c>
      <c r="G614" s="2" t="s">
        <v>36</v>
      </c>
      <c r="I614" s="95" t="s">
        <v>7231</v>
      </c>
      <c r="J614" t="s">
        <v>502</v>
      </c>
      <c r="K614" t="s">
        <v>503</v>
      </c>
      <c r="M614">
        <v>53.01</v>
      </c>
      <c r="N614" s="4">
        <f t="shared" si="9"/>
        <v>-3772.8730428221093</v>
      </c>
      <c r="O614" t="s">
        <v>605</v>
      </c>
      <c r="P614" s="35"/>
      <c r="Q614" s="35"/>
    </row>
    <row r="615" spans="1:17" x14ac:dyDescent="0.25">
      <c r="A615" s="22">
        <v>45664</v>
      </c>
      <c r="B615" s="1" t="s">
        <v>619</v>
      </c>
      <c r="C615" t="s">
        <v>620</v>
      </c>
      <c r="D615" s="23">
        <v>-99780.85</v>
      </c>
      <c r="E615" t="s">
        <v>35</v>
      </c>
      <c r="F615" s="2">
        <v>210101001</v>
      </c>
      <c r="G615" s="2" t="s">
        <v>36</v>
      </c>
      <c r="I615" s="95" t="s">
        <v>7231</v>
      </c>
      <c r="J615" t="s">
        <v>502</v>
      </c>
      <c r="K615" t="s">
        <v>503</v>
      </c>
      <c r="M615">
        <v>53.01</v>
      </c>
      <c r="N615" s="4">
        <f t="shared" si="9"/>
        <v>-1882.3023957743824</v>
      </c>
      <c r="O615" t="s">
        <v>605</v>
      </c>
      <c r="P615" s="35"/>
      <c r="Q615" s="35"/>
    </row>
    <row r="616" spans="1:17" x14ac:dyDescent="0.25">
      <c r="A616" s="22">
        <v>45664</v>
      </c>
      <c r="B616" s="1" t="s">
        <v>621</v>
      </c>
      <c r="C616" t="s">
        <v>622</v>
      </c>
      <c r="D616" s="23">
        <v>-249.45</v>
      </c>
      <c r="E616" t="s">
        <v>35</v>
      </c>
      <c r="F616" s="2">
        <v>610148001</v>
      </c>
      <c r="G616" s="2" t="s">
        <v>41</v>
      </c>
      <c r="I616" s="95" t="s">
        <v>7231</v>
      </c>
      <c r="J616" t="s">
        <v>42</v>
      </c>
      <c r="K616" t="s">
        <v>41</v>
      </c>
      <c r="M616">
        <v>53.01</v>
      </c>
      <c r="N616" s="4">
        <f t="shared" si="9"/>
        <v>-4.7057159026598754</v>
      </c>
      <c r="O616" t="s">
        <v>605</v>
      </c>
      <c r="P616" s="35"/>
      <c r="Q616" s="36" t="s">
        <v>43</v>
      </c>
    </row>
    <row r="617" spans="1:17" x14ac:dyDescent="0.25">
      <c r="A617" s="22">
        <v>45664</v>
      </c>
      <c r="B617" s="1" t="s">
        <v>623</v>
      </c>
      <c r="C617" t="s">
        <v>622</v>
      </c>
      <c r="D617" s="23">
        <v>-0.98</v>
      </c>
      <c r="E617" t="s">
        <v>35</v>
      </c>
      <c r="F617" s="2">
        <v>610148001</v>
      </c>
      <c r="G617" s="2" t="s">
        <v>41</v>
      </c>
      <c r="I617" s="95" t="s">
        <v>7231</v>
      </c>
      <c r="J617" t="s">
        <v>42</v>
      </c>
      <c r="K617" t="s">
        <v>41</v>
      </c>
      <c r="M617">
        <v>53.01</v>
      </c>
      <c r="N617" s="4">
        <f t="shared" si="9"/>
        <v>-1.8487077909828335E-2</v>
      </c>
      <c r="O617" t="s">
        <v>605</v>
      </c>
      <c r="P617" s="35"/>
      <c r="Q617" s="36" t="s">
        <v>43</v>
      </c>
    </row>
    <row r="618" spans="1:17" x14ac:dyDescent="0.25">
      <c r="A618" s="22">
        <v>45664</v>
      </c>
      <c r="B618" s="1" t="s">
        <v>624</v>
      </c>
      <c r="C618" t="s">
        <v>622</v>
      </c>
      <c r="D618" s="23">
        <v>-500</v>
      </c>
      <c r="E618" t="s">
        <v>35</v>
      </c>
      <c r="F618" s="2">
        <v>610148001</v>
      </c>
      <c r="G618" s="2" t="s">
        <v>41</v>
      </c>
      <c r="I618" s="95" t="s">
        <v>7231</v>
      </c>
      <c r="J618" t="s">
        <v>42</v>
      </c>
      <c r="K618" t="s">
        <v>41</v>
      </c>
      <c r="M618">
        <v>53.01</v>
      </c>
      <c r="N618" s="4">
        <f t="shared" si="9"/>
        <v>-9.4321826070552728</v>
      </c>
      <c r="O618" t="s">
        <v>605</v>
      </c>
      <c r="P618" s="35"/>
      <c r="Q618" s="36" t="s">
        <v>43</v>
      </c>
    </row>
    <row r="619" spans="1:17" x14ac:dyDescent="0.25">
      <c r="A619" s="22">
        <v>45664</v>
      </c>
      <c r="B619" s="1" t="s">
        <v>625</v>
      </c>
      <c r="C619" t="s">
        <v>622</v>
      </c>
      <c r="D619" s="23">
        <v>-27.67</v>
      </c>
      <c r="E619" t="s">
        <v>35</v>
      </c>
      <c r="F619" s="2">
        <v>610148001</v>
      </c>
      <c r="G619" s="2" t="s">
        <v>41</v>
      </c>
      <c r="I619" s="95" t="s">
        <v>7231</v>
      </c>
      <c r="J619" t="s">
        <v>42</v>
      </c>
      <c r="K619" t="s">
        <v>41</v>
      </c>
      <c r="M619">
        <v>53.01</v>
      </c>
      <c r="N619" s="4">
        <f t="shared" si="9"/>
        <v>-0.52197698547443883</v>
      </c>
      <c r="O619" t="s">
        <v>605</v>
      </c>
      <c r="P619" s="35"/>
      <c r="Q619" s="36" t="s">
        <v>43</v>
      </c>
    </row>
    <row r="620" spans="1:17" x14ac:dyDescent="0.25">
      <c r="A620" s="22">
        <v>45664</v>
      </c>
      <c r="B620" s="1" t="s">
        <v>626</v>
      </c>
      <c r="C620" t="s">
        <v>293</v>
      </c>
      <c r="D620" s="23">
        <v>15000</v>
      </c>
      <c r="E620" t="s">
        <v>45</v>
      </c>
      <c r="F620" s="2">
        <v>210115002</v>
      </c>
      <c r="G620" s="2" t="s">
        <v>46</v>
      </c>
      <c r="I620" s="95" t="s">
        <v>7231</v>
      </c>
      <c r="K620" t="s">
        <v>293</v>
      </c>
      <c r="M620">
        <v>53.01</v>
      </c>
      <c r="N620" s="4">
        <f t="shared" si="9"/>
        <v>282.96547821165819</v>
      </c>
      <c r="O620" t="s">
        <v>605</v>
      </c>
      <c r="P620" s="35"/>
      <c r="Q620" s="35"/>
    </row>
    <row r="621" spans="1:17" x14ac:dyDescent="0.25">
      <c r="A621" s="33">
        <v>45664</v>
      </c>
      <c r="B621" s="27" t="s">
        <v>627</v>
      </c>
      <c r="C621" s="28" t="s">
        <v>607</v>
      </c>
      <c r="D621" s="29">
        <v>-5725.3</v>
      </c>
      <c r="E621" s="28" t="s">
        <v>35</v>
      </c>
      <c r="F621" s="30">
        <v>610122005</v>
      </c>
      <c r="G621" s="30" t="s">
        <v>401</v>
      </c>
      <c r="H621" s="30"/>
      <c r="I621" s="95" t="s">
        <v>7231</v>
      </c>
      <c r="J621" s="28" t="s">
        <v>608</v>
      </c>
      <c r="K621" s="28" t="s">
        <v>609</v>
      </c>
      <c r="L621" s="28" t="s">
        <v>56</v>
      </c>
      <c r="M621" s="28">
        <v>53.01</v>
      </c>
      <c r="N621" s="4">
        <f t="shared" si="9"/>
        <v>-108.00415016034711</v>
      </c>
      <c r="O621" t="s">
        <v>605</v>
      </c>
      <c r="P621" s="35"/>
      <c r="Q621" s="36" t="s">
        <v>610</v>
      </c>
    </row>
    <row r="622" spans="1:17" x14ac:dyDescent="0.25">
      <c r="A622" s="22">
        <v>45664</v>
      </c>
      <c r="B622" s="1" t="s">
        <v>611</v>
      </c>
      <c r="C622" t="s">
        <v>612</v>
      </c>
      <c r="D622" s="23">
        <v>-5.72</v>
      </c>
      <c r="E622" t="s">
        <v>35</v>
      </c>
      <c r="F622" s="2">
        <v>610148001</v>
      </c>
      <c r="G622" s="2" t="s">
        <v>41</v>
      </c>
      <c r="I622" s="95" t="s">
        <v>7231</v>
      </c>
      <c r="J622" t="s">
        <v>42</v>
      </c>
      <c r="K622" t="s">
        <v>41</v>
      </c>
      <c r="M622">
        <v>53.01</v>
      </c>
      <c r="N622" s="4">
        <f t="shared" si="9"/>
        <v>-0.10790416902471232</v>
      </c>
      <c r="O622" t="s">
        <v>605</v>
      </c>
      <c r="P622" s="35"/>
      <c r="Q622" s="36" t="s">
        <v>43</v>
      </c>
    </row>
    <row r="623" spans="1:17" x14ac:dyDescent="0.25">
      <c r="A623" s="22">
        <v>45665</v>
      </c>
      <c r="B623" s="1" t="s">
        <v>628</v>
      </c>
      <c r="C623" t="s">
        <v>293</v>
      </c>
      <c r="D623" s="23">
        <v>10000</v>
      </c>
      <c r="E623" t="s">
        <v>45</v>
      </c>
      <c r="F623" s="2">
        <v>210115002</v>
      </c>
      <c r="G623" s="2" t="s">
        <v>46</v>
      </c>
      <c r="I623" s="95" t="s">
        <v>7231</v>
      </c>
      <c r="K623" t="s">
        <v>293</v>
      </c>
      <c r="M623">
        <v>53.07</v>
      </c>
      <c r="N623" s="4">
        <f t="shared" si="9"/>
        <v>188.43037497644619</v>
      </c>
      <c r="O623" t="s">
        <v>605</v>
      </c>
    </row>
    <row r="624" spans="1:17" x14ac:dyDescent="0.25">
      <c r="A624" s="22">
        <v>45665</v>
      </c>
      <c r="B624" s="1" t="s">
        <v>629</v>
      </c>
      <c r="C624" t="s">
        <v>630</v>
      </c>
      <c r="D624" s="23">
        <v>-22835</v>
      </c>
      <c r="E624" t="s">
        <v>35</v>
      </c>
      <c r="F624" s="2">
        <v>210101001</v>
      </c>
      <c r="G624" s="2" t="s">
        <v>36</v>
      </c>
      <c r="I624" s="95" t="s">
        <v>7231</v>
      </c>
      <c r="J624" t="s">
        <v>631</v>
      </c>
      <c r="K624" t="s">
        <v>632</v>
      </c>
      <c r="M624">
        <v>53.07</v>
      </c>
      <c r="N624" s="4">
        <f t="shared" si="9"/>
        <v>-430.2807612587149</v>
      </c>
      <c r="O624" t="s">
        <v>605</v>
      </c>
    </row>
    <row r="625" spans="1:20" x14ac:dyDescent="0.25">
      <c r="A625" s="22">
        <v>45665</v>
      </c>
      <c r="B625" s="1" t="s">
        <v>633</v>
      </c>
      <c r="C625" t="s">
        <v>622</v>
      </c>
      <c r="D625" s="23">
        <v>-57.08</v>
      </c>
      <c r="E625" t="s">
        <v>35</v>
      </c>
      <c r="F625" s="2">
        <v>610148001</v>
      </c>
      <c r="G625" s="2" t="s">
        <v>41</v>
      </c>
      <c r="I625" s="95" t="s">
        <v>7231</v>
      </c>
      <c r="J625" t="s">
        <v>42</v>
      </c>
      <c r="K625" t="s">
        <v>41</v>
      </c>
      <c r="M625">
        <v>53.07</v>
      </c>
      <c r="N625" s="4">
        <f t="shared" si="9"/>
        <v>-1.0755605803655548</v>
      </c>
      <c r="O625" t="s">
        <v>605</v>
      </c>
      <c r="Q625" s="36" t="s">
        <v>43</v>
      </c>
    </row>
    <row r="626" spans="1:20" x14ac:dyDescent="0.25">
      <c r="A626" s="22">
        <v>45665</v>
      </c>
      <c r="B626" s="1" t="s">
        <v>634</v>
      </c>
      <c r="C626" t="s">
        <v>635</v>
      </c>
      <c r="D626" s="23">
        <v>-10.1</v>
      </c>
      <c r="E626" t="s">
        <v>35</v>
      </c>
      <c r="F626" s="2">
        <v>213201001</v>
      </c>
      <c r="G626" s="2" t="s">
        <v>636</v>
      </c>
      <c r="I626" s="95" t="s">
        <v>7231</v>
      </c>
      <c r="J626" t="s">
        <v>637</v>
      </c>
      <c r="K626" t="s">
        <v>638</v>
      </c>
      <c r="M626">
        <v>53.07</v>
      </c>
      <c r="N626" s="4">
        <f t="shared" si="9"/>
        <v>-0.19031467872621066</v>
      </c>
      <c r="O626" t="s">
        <v>605</v>
      </c>
      <c r="Q626" s="24" t="s">
        <v>639</v>
      </c>
    </row>
    <row r="627" spans="1:20" x14ac:dyDescent="0.25">
      <c r="A627" s="22">
        <v>45665</v>
      </c>
      <c r="B627" s="1" t="s">
        <v>640</v>
      </c>
      <c r="C627" t="s">
        <v>641</v>
      </c>
      <c r="D627" s="23">
        <v>-74.25</v>
      </c>
      <c r="E627" t="s">
        <v>35</v>
      </c>
      <c r="F627" s="2">
        <v>213101001</v>
      </c>
      <c r="G627" s="2" t="s">
        <v>642</v>
      </c>
      <c r="I627" s="95" t="s">
        <v>7231</v>
      </c>
      <c r="J627" t="s">
        <v>643</v>
      </c>
      <c r="K627" t="s">
        <v>644</v>
      </c>
      <c r="M627">
        <v>53.07</v>
      </c>
      <c r="N627" s="4">
        <f t="shared" si="9"/>
        <v>-1.399095534200113</v>
      </c>
      <c r="O627" t="s">
        <v>605</v>
      </c>
      <c r="Q627" s="24" t="s">
        <v>645</v>
      </c>
    </row>
    <row r="628" spans="1:20" x14ac:dyDescent="0.25">
      <c r="A628" s="22">
        <v>45671</v>
      </c>
      <c r="B628" s="1" t="s">
        <v>646</v>
      </c>
      <c r="C628" t="s">
        <v>647</v>
      </c>
      <c r="D628" s="23">
        <v>50000</v>
      </c>
      <c r="E628" t="s">
        <v>45</v>
      </c>
      <c r="F628" s="2">
        <v>210115002</v>
      </c>
      <c r="G628" s="2" t="s">
        <v>46</v>
      </c>
      <c r="I628" s="95" t="s">
        <v>7231</v>
      </c>
      <c r="K628" t="s">
        <v>647</v>
      </c>
      <c r="M628">
        <v>53.88</v>
      </c>
      <c r="N628" s="4">
        <f t="shared" si="9"/>
        <v>927.98812175204148</v>
      </c>
      <c r="O628" t="s">
        <v>605</v>
      </c>
    </row>
    <row r="629" spans="1:20" x14ac:dyDescent="0.25">
      <c r="A629" s="22">
        <v>45671</v>
      </c>
      <c r="B629" s="1" t="s">
        <v>613</v>
      </c>
      <c r="C629" t="s">
        <v>648</v>
      </c>
      <c r="D629" s="23">
        <v>-24439.43</v>
      </c>
      <c r="E629" t="s">
        <v>35</v>
      </c>
      <c r="F629" s="2">
        <v>212901001</v>
      </c>
      <c r="G629" s="2" t="s">
        <v>91</v>
      </c>
      <c r="I629" s="95" t="s">
        <v>7231</v>
      </c>
      <c r="J629" t="s">
        <v>61</v>
      </c>
      <c r="K629" t="s">
        <v>62</v>
      </c>
      <c r="M629">
        <v>53.88</v>
      </c>
      <c r="N629" s="4">
        <f t="shared" si="9"/>
        <v>-453.59001484780993</v>
      </c>
      <c r="O629" t="s">
        <v>605</v>
      </c>
      <c r="R629">
        <v>2</v>
      </c>
      <c r="S629" t="e">
        <f>VLOOKUP(Tabla3[[#This Row],[Nº]],[1]!NOMINA[#Data],4,FALSE)</f>
        <v>#REF!</v>
      </c>
      <c r="T629" t="e">
        <f>VLOOKUP(Tabla3[[#This Row],[Nº]],[1]!NOMINA[#Data],5,FALSE)</f>
        <v>#REF!</v>
      </c>
    </row>
    <row r="630" spans="1:20" x14ac:dyDescent="0.25">
      <c r="A630" s="22">
        <v>45671</v>
      </c>
      <c r="B630" s="1" t="s">
        <v>619</v>
      </c>
      <c r="C630" t="s">
        <v>649</v>
      </c>
      <c r="D630" s="23">
        <v>-61.65</v>
      </c>
      <c r="E630" t="s">
        <v>35</v>
      </c>
      <c r="F630" s="2">
        <v>212901001</v>
      </c>
      <c r="G630" s="2" t="s">
        <v>91</v>
      </c>
      <c r="I630" s="95" t="s">
        <v>7231</v>
      </c>
      <c r="J630" t="s">
        <v>61</v>
      </c>
      <c r="K630" t="s">
        <v>62</v>
      </c>
      <c r="M630">
        <v>53.88</v>
      </c>
      <c r="N630" s="4">
        <f t="shared" si="9"/>
        <v>-1.1442093541202671</v>
      </c>
      <c r="O630" t="s">
        <v>605</v>
      </c>
      <c r="R630">
        <v>2</v>
      </c>
      <c r="S630" t="e">
        <f>VLOOKUP(Tabla3[[#This Row],[Nº]],[1]!NOMINA[#Data],4,FALSE)</f>
        <v>#REF!</v>
      </c>
      <c r="T630" t="e">
        <f>VLOOKUP(Tabla3[[#This Row],[Nº]],[1]!NOMINA[#Data],5,FALSE)</f>
        <v>#REF!</v>
      </c>
    </row>
    <row r="631" spans="1:20" x14ac:dyDescent="0.25">
      <c r="A631" s="22">
        <v>45671</v>
      </c>
      <c r="B631" s="1" t="s">
        <v>615</v>
      </c>
      <c r="C631" t="s">
        <v>650</v>
      </c>
      <c r="D631" s="23">
        <v>-21486.81</v>
      </c>
      <c r="E631" t="s">
        <v>35</v>
      </c>
      <c r="F631" s="2">
        <v>212901001</v>
      </c>
      <c r="G631" s="2" t="s">
        <v>91</v>
      </c>
      <c r="I631" s="95" t="s">
        <v>7231</v>
      </c>
      <c r="J631" t="s">
        <v>61</v>
      </c>
      <c r="K631" t="s">
        <v>62</v>
      </c>
      <c r="M631">
        <v>53.88</v>
      </c>
      <c r="N631" s="4">
        <f t="shared" si="9"/>
        <v>-398.79008908685967</v>
      </c>
      <c r="O631" t="s">
        <v>605</v>
      </c>
      <c r="R631">
        <v>1</v>
      </c>
      <c r="S631" t="e">
        <f>VLOOKUP(R631,[1]!NOMINA[#Data],4,FALSE)</f>
        <v>#REF!</v>
      </c>
      <c r="T631" t="e">
        <f>VLOOKUP(R631,[1]!NOMINA[#Data],5,FALSE)</f>
        <v>#REF!</v>
      </c>
    </row>
    <row r="632" spans="1:20" x14ac:dyDescent="0.25">
      <c r="A632" s="22">
        <v>45671</v>
      </c>
      <c r="B632" s="1" t="s">
        <v>617</v>
      </c>
      <c r="C632" t="s">
        <v>651</v>
      </c>
      <c r="D632" s="23">
        <v>-61.65</v>
      </c>
      <c r="E632" t="s">
        <v>35</v>
      </c>
      <c r="F632" s="2">
        <v>212901001</v>
      </c>
      <c r="G632" s="2" t="s">
        <v>91</v>
      </c>
      <c r="I632" s="95" t="s">
        <v>7231</v>
      </c>
      <c r="J632" t="s">
        <v>61</v>
      </c>
      <c r="K632" t="s">
        <v>62</v>
      </c>
      <c r="M632">
        <v>53.88</v>
      </c>
      <c r="N632" s="4">
        <f t="shared" si="9"/>
        <v>-1.1442093541202671</v>
      </c>
      <c r="O632" t="s">
        <v>605</v>
      </c>
      <c r="R632">
        <v>1</v>
      </c>
      <c r="S632" t="e">
        <f>VLOOKUP(R632,[1]!NOMINA[#Data],4,FALSE)</f>
        <v>#REF!</v>
      </c>
      <c r="T632" t="e">
        <f>VLOOKUP(R632,[1]!NOMINA[#Data],5,FALSE)</f>
        <v>#REF!</v>
      </c>
    </row>
    <row r="633" spans="1:20" x14ac:dyDescent="0.25">
      <c r="A633" s="22">
        <v>45671</v>
      </c>
      <c r="B633" s="1" t="s">
        <v>623</v>
      </c>
      <c r="C633" t="s">
        <v>622</v>
      </c>
      <c r="D633" s="23">
        <v>-61.09</v>
      </c>
      <c r="E633" t="s">
        <v>35</v>
      </c>
      <c r="F633" s="2">
        <v>610148001</v>
      </c>
      <c r="G633" s="2" t="s">
        <v>41</v>
      </c>
      <c r="I633" s="95" t="s">
        <v>7231</v>
      </c>
      <c r="J633" t="s">
        <v>42</v>
      </c>
      <c r="K633" t="s">
        <v>41</v>
      </c>
      <c r="M633">
        <v>53.88</v>
      </c>
      <c r="N633" s="4">
        <f t="shared" si="9"/>
        <v>-1.1338158871566444</v>
      </c>
      <c r="O633" t="s">
        <v>605</v>
      </c>
      <c r="Q633" s="36" t="s">
        <v>43</v>
      </c>
    </row>
    <row r="634" spans="1:20" x14ac:dyDescent="0.25">
      <c r="A634" s="22">
        <v>45671</v>
      </c>
      <c r="B634" s="1" t="s">
        <v>621</v>
      </c>
      <c r="C634" t="s">
        <v>622</v>
      </c>
      <c r="D634" s="23">
        <v>-0.15</v>
      </c>
      <c r="E634" t="s">
        <v>35</v>
      </c>
      <c r="F634" s="2">
        <v>610148001</v>
      </c>
      <c r="G634" s="2" t="s">
        <v>41</v>
      </c>
      <c r="I634" s="95" t="s">
        <v>7231</v>
      </c>
      <c r="J634" t="s">
        <v>42</v>
      </c>
      <c r="K634" t="s">
        <v>41</v>
      </c>
      <c r="M634">
        <v>53.88</v>
      </c>
      <c r="N634" s="4">
        <f t="shared" si="9"/>
        <v>-2.7839643652561243E-3</v>
      </c>
      <c r="O634" t="s">
        <v>605</v>
      </c>
      <c r="Q634" s="36" t="s">
        <v>43</v>
      </c>
    </row>
    <row r="635" spans="1:20" x14ac:dyDescent="0.25">
      <c r="A635" s="22">
        <v>45671</v>
      </c>
      <c r="B635" s="1" t="s">
        <v>625</v>
      </c>
      <c r="C635" t="s">
        <v>622</v>
      </c>
      <c r="D635" s="23">
        <v>-53.71</v>
      </c>
      <c r="E635" t="s">
        <v>35</v>
      </c>
      <c r="F635" s="2">
        <v>610148001</v>
      </c>
      <c r="G635" s="2" t="s">
        <v>41</v>
      </c>
      <c r="I635" s="95" t="s">
        <v>7231</v>
      </c>
      <c r="J635" t="s">
        <v>42</v>
      </c>
      <c r="K635" t="s">
        <v>41</v>
      </c>
      <c r="M635">
        <v>53.88</v>
      </c>
      <c r="N635" s="4">
        <f t="shared" si="9"/>
        <v>-0.99684484038604304</v>
      </c>
      <c r="O635" t="s">
        <v>605</v>
      </c>
      <c r="Q635" s="36" t="s">
        <v>43</v>
      </c>
    </row>
    <row r="636" spans="1:20" x14ac:dyDescent="0.25">
      <c r="A636" s="22">
        <v>45671</v>
      </c>
      <c r="B636" s="1" t="s">
        <v>624</v>
      </c>
      <c r="C636" t="s">
        <v>622</v>
      </c>
      <c r="D636" s="23">
        <v>-0.15</v>
      </c>
      <c r="E636" t="s">
        <v>35</v>
      </c>
      <c r="F636" s="2">
        <v>610148001</v>
      </c>
      <c r="G636" s="2" t="s">
        <v>41</v>
      </c>
      <c r="I636" s="95" t="s">
        <v>7231</v>
      </c>
      <c r="J636" t="s">
        <v>42</v>
      </c>
      <c r="K636" t="s">
        <v>41</v>
      </c>
      <c r="M636">
        <v>53.88</v>
      </c>
      <c r="N636" s="4">
        <f t="shared" si="9"/>
        <v>-2.7839643652561243E-3</v>
      </c>
      <c r="O636" t="s">
        <v>605</v>
      </c>
      <c r="Q636" s="36" t="s">
        <v>43</v>
      </c>
    </row>
    <row r="637" spans="1:20" x14ac:dyDescent="0.25">
      <c r="A637" s="22">
        <v>45684</v>
      </c>
      <c r="B637" s="1" t="s">
        <v>652</v>
      </c>
      <c r="C637" t="s">
        <v>293</v>
      </c>
      <c r="D637" s="23">
        <v>50000</v>
      </c>
      <c r="E637" t="s">
        <v>45</v>
      </c>
      <c r="F637" s="2">
        <v>210115002</v>
      </c>
      <c r="G637" s="2" t="s">
        <v>46</v>
      </c>
      <c r="I637" s="95" t="s">
        <v>7231</v>
      </c>
      <c r="K637" t="s">
        <v>293</v>
      </c>
      <c r="M637">
        <v>56.65</v>
      </c>
      <c r="N637" s="4">
        <f t="shared" si="9"/>
        <v>882.61253309796996</v>
      </c>
      <c r="O637" t="s">
        <v>605</v>
      </c>
    </row>
    <row r="638" spans="1:20" x14ac:dyDescent="0.25">
      <c r="A638" s="22">
        <v>45684</v>
      </c>
      <c r="B638" s="1" t="s">
        <v>653</v>
      </c>
      <c r="C638" t="s">
        <v>654</v>
      </c>
      <c r="D638" s="23">
        <v>-50735.74</v>
      </c>
      <c r="E638" t="s">
        <v>35</v>
      </c>
      <c r="F638" s="2">
        <v>110110001</v>
      </c>
      <c r="G638" s="2" t="s">
        <v>655</v>
      </c>
      <c r="I638" s="95" t="s">
        <v>7231</v>
      </c>
      <c r="J638" t="s">
        <v>656</v>
      </c>
      <c r="K638" t="s">
        <v>657</v>
      </c>
      <c r="M638">
        <v>56.65</v>
      </c>
      <c r="N638" s="4">
        <f t="shared" si="9"/>
        <v>-895.6</v>
      </c>
      <c r="O638" t="s">
        <v>605</v>
      </c>
      <c r="P638" t="s">
        <v>658</v>
      </c>
      <c r="Q638" s="36" t="s">
        <v>659</v>
      </c>
    </row>
    <row r="639" spans="1:20" x14ac:dyDescent="0.25">
      <c r="A639" s="22">
        <v>45684</v>
      </c>
      <c r="B639" s="1" t="s">
        <v>660</v>
      </c>
      <c r="C639" t="s">
        <v>622</v>
      </c>
      <c r="D639" s="23">
        <v>-126.83</v>
      </c>
      <c r="E639" t="s">
        <v>35</v>
      </c>
      <c r="F639" s="2">
        <v>610148001</v>
      </c>
      <c r="G639" s="2" t="s">
        <v>41</v>
      </c>
      <c r="I639" s="95" t="s">
        <v>7231</v>
      </c>
      <c r="J639" t="s">
        <v>42</v>
      </c>
      <c r="K639" t="s">
        <v>41</v>
      </c>
      <c r="M639">
        <v>56.65</v>
      </c>
      <c r="N639" s="4">
        <f t="shared" si="9"/>
        <v>-2.2388349514563108</v>
      </c>
      <c r="O639" t="s">
        <v>605</v>
      </c>
      <c r="Q639" s="36" t="s">
        <v>43</v>
      </c>
    </row>
    <row r="640" spans="1:20" x14ac:dyDescent="0.25">
      <c r="A640" s="22">
        <v>45684</v>
      </c>
      <c r="B640" s="1" t="s">
        <v>661</v>
      </c>
      <c r="C640" t="s">
        <v>293</v>
      </c>
      <c r="D640" s="23">
        <v>49000</v>
      </c>
      <c r="E640" t="s">
        <v>45</v>
      </c>
      <c r="F640" s="2">
        <v>210115002</v>
      </c>
      <c r="G640" s="2" t="s">
        <v>46</v>
      </c>
      <c r="I640" s="95" t="s">
        <v>7231</v>
      </c>
      <c r="K640" t="s">
        <v>293</v>
      </c>
      <c r="M640">
        <v>56.65</v>
      </c>
      <c r="N640" s="4">
        <f t="shared" si="9"/>
        <v>864.96028243601063</v>
      </c>
      <c r="O640" t="s">
        <v>605</v>
      </c>
    </row>
    <row r="641" spans="1:17" x14ac:dyDescent="0.25">
      <c r="A641" s="22">
        <v>45684</v>
      </c>
      <c r="B641" s="1" t="s">
        <v>662</v>
      </c>
      <c r="C641" t="s">
        <v>663</v>
      </c>
      <c r="D641" s="23">
        <v>-45070.74</v>
      </c>
      <c r="E641" t="s">
        <v>35</v>
      </c>
      <c r="F641" s="2">
        <v>110110001</v>
      </c>
      <c r="G641" s="2" t="s">
        <v>655</v>
      </c>
      <c r="I641" s="95" t="s">
        <v>7231</v>
      </c>
      <c r="J641" t="s">
        <v>656</v>
      </c>
      <c r="K641" t="s">
        <v>657</v>
      </c>
      <c r="M641">
        <v>56.65</v>
      </c>
      <c r="N641" s="4">
        <f t="shared" si="9"/>
        <v>-795.6</v>
      </c>
      <c r="O641" t="s">
        <v>605</v>
      </c>
      <c r="P641" t="s">
        <v>664</v>
      </c>
      <c r="Q641" s="36" t="s">
        <v>659</v>
      </c>
    </row>
    <row r="642" spans="1:17" x14ac:dyDescent="0.25">
      <c r="A642" s="22">
        <v>45684</v>
      </c>
      <c r="B642" s="1" t="s">
        <v>665</v>
      </c>
      <c r="C642" t="s">
        <v>622</v>
      </c>
      <c r="D642" s="23">
        <v>-112.67</v>
      </c>
      <c r="E642" t="s">
        <v>35</v>
      </c>
      <c r="F642" s="2">
        <v>610148001</v>
      </c>
      <c r="G642" s="2" t="s">
        <v>41</v>
      </c>
      <c r="I642" s="95" t="s">
        <v>7231</v>
      </c>
      <c r="J642" t="s">
        <v>42</v>
      </c>
      <c r="K642" t="s">
        <v>41</v>
      </c>
      <c r="M642">
        <v>56.65</v>
      </c>
      <c r="N642" s="4">
        <f t="shared" si="9"/>
        <v>-1.9888790820829656</v>
      </c>
      <c r="O642" t="s">
        <v>605</v>
      </c>
      <c r="Q642" s="36" t="s">
        <v>43</v>
      </c>
    </row>
    <row r="643" spans="1:17" ht="15.75" x14ac:dyDescent="0.25">
      <c r="A643" s="22">
        <v>45686</v>
      </c>
      <c r="B643" s="1" t="s">
        <v>615</v>
      </c>
      <c r="C643" t="s">
        <v>666</v>
      </c>
      <c r="D643" s="23">
        <v>-1483.5</v>
      </c>
      <c r="E643" t="s">
        <v>35</v>
      </c>
      <c r="F643" s="2">
        <v>110114001</v>
      </c>
      <c r="G643" s="2" t="s">
        <v>181</v>
      </c>
      <c r="I643" s="95" t="s">
        <v>7231</v>
      </c>
      <c r="J643" t="s">
        <v>631</v>
      </c>
      <c r="K643" t="s">
        <v>632</v>
      </c>
      <c r="M643">
        <v>57.3</v>
      </c>
      <c r="N643" s="4">
        <f t="shared" si="9"/>
        <v>-25.890052356020945</v>
      </c>
      <c r="O643" t="s">
        <v>605</v>
      </c>
      <c r="P643" s="37" t="s">
        <v>667</v>
      </c>
    </row>
    <row r="644" spans="1:17" ht="15.75" x14ac:dyDescent="0.25">
      <c r="A644" s="22">
        <v>45686</v>
      </c>
      <c r="B644" s="1" t="s">
        <v>613</v>
      </c>
      <c r="C644" t="s">
        <v>668</v>
      </c>
      <c r="D644" s="23">
        <v>-498.8</v>
      </c>
      <c r="E644" t="s">
        <v>35</v>
      </c>
      <c r="F644" s="2">
        <v>110114001</v>
      </c>
      <c r="G644" s="2" t="s">
        <v>181</v>
      </c>
      <c r="I644" s="95" t="s">
        <v>7231</v>
      </c>
      <c r="J644" t="s">
        <v>631</v>
      </c>
      <c r="K644" t="s">
        <v>632</v>
      </c>
      <c r="M644">
        <v>57.3</v>
      </c>
      <c r="N644" s="4">
        <f t="shared" si="9"/>
        <v>-8.7050610820244341</v>
      </c>
      <c r="O644" t="s">
        <v>605</v>
      </c>
      <c r="P644" s="37" t="s">
        <v>667</v>
      </c>
    </row>
    <row r="645" spans="1:17" x14ac:dyDescent="0.25">
      <c r="A645" s="22">
        <v>45686</v>
      </c>
      <c r="B645" s="1" t="s">
        <v>625</v>
      </c>
      <c r="C645" t="s">
        <v>622</v>
      </c>
      <c r="D645" s="23">
        <v>-3.7</v>
      </c>
      <c r="E645" t="s">
        <v>35</v>
      </c>
      <c r="F645" s="2">
        <v>610148001</v>
      </c>
      <c r="G645" s="2" t="s">
        <v>41</v>
      </c>
      <c r="I645" s="95" t="s">
        <v>7231</v>
      </c>
      <c r="J645" t="s">
        <v>42</v>
      </c>
      <c r="K645" t="s">
        <v>41</v>
      </c>
      <c r="M645">
        <v>57.3</v>
      </c>
      <c r="N645" s="4">
        <f t="shared" si="9"/>
        <v>-6.457242582897034E-2</v>
      </c>
      <c r="O645" t="s">
        <v>605</v>
      </c>
      <c r="Q645" s="36" t="s">
        <v>43</v>
      </c>
    </row>
    <row r="646" spans="1:17" x14ac:dyDescent="0.25">
      <c r="A646" s="22">
        <v>45686</v>
      </c>
      <c r="B646" s="1" t="s">
        <v>623</v>
      </c>
      <c r="C646" t="s">
        <v>622</v>
      </c>
      <c r="D646" s="23">
        <v>-1.24</v>
      </c>
      <c r="E646" t="s">
        <v>35</v>
      </c>
      <c r="F646" s="2">
        <v>610148001</v>
      </c>
      <c r="G646" s="2" t="s">
        <v>41</v>
      </c>
      <c r="I646" s="95" t="s">
        <v>7231</v>
      </c>
      <c r="J646" t="s">
        <v>42</v>
      </c>
      <c r="K646" t="s">
        <v>41</v>
      </c>
      <c r="M646">
        <v>57.3</v>
      </c>
      <c r="N646" s="4">
        <f t="shared" si="9"/>
        <v>-2.1640488656195462E-2</v>
      </c>
      <c r="O646" t="s">
        <v>605</v>
      </c>
      <c r="Q646" s="36" t="s">
        <v>43</v>
      </c>
    </row>
    <row r="647" spans="1:17" x14ac:dyDescent="0.25">
      <c r="A647" s="22">
        <v>45686</v>
      </c>
      <c r="B647" s="1" t="s">
        <v>669</v>
      </c>
      <c r="C647" t="s">
        <v>293</v>
      </c>
      <c r="D647" s="23">
        <v>22000</v>
      </c>
      <c r="E647" t="s">
        <v>45</v>
      </c>
      <c r="F647" s="2">
        <v>210115002</v>
      </c>
      <c r="G647" s="2" t="s">
        <v>46</v>
      </c>
      <c r="I647" s="95" t="s">
        <v>7231</v>
      </c>
      <c r="K647" t="s">
        <v>293</v>
      </c>
      <c r="M647">
        <v>57.3</v>
      </c>
      <c r="N647" s="4">
        <f t="shared" si="9"/>
        <v>383.94415357766144</v>
      </c>
      <c r="O647" t="s">
        <v>605</v>
      </c>
    </row>
    <row r="648" spans="1:17" x14ac:dyDescent="0.25">
      <c r="A648" s="22">
        <v>45686</v>
      </c>
      <c r="B648" s="1" t="s">
        <v>670</v>
      </c>
      <c r="C648" t="s">
        <v>671</v>
      </c>
      <c r="D648" s="23">
        <v>-20456.099999999999</v>
      </c>
      <c r="E648" t="s">
        <v>35</v>
      </c>
      <c r="F648" s="2">
        <v>110110001</v>
      </c>
      <c r="G648" s="2" t="s">
        <v>655</v>
      </c>
      <c r="I648" s="95" t="s">
        <v>7231</v>
      </c>
      <c r="J648" t="s">
        <v>656</v>
      </c>
      <c r="K648" t="s">
        <v>657</v>
      </c>
      <c r="M648">
        <v>57.3</v>
      </c>
      <c r="N648" s="4">
        <f t="shared" si="9"/>
        <v>-357</v>
      </c>
      <c r="O648" t="s">
        <v>605</v>
      </c>
      <c r="P648" t="s">
        <v>664</v>
      </c>
      <c r="Q648" s="36" t="s">
        <v>672</v>
      </c>
    </row>
    <row r="649" spans="1:17" x14ac:dyDescent="0.25">
      <c r="A649" s="22">
        <v>45686</v>
      </c>
      <c r="B649" s="1" t="s">
        <v>670</v>
      </c>
      <c r="C649" t="s">
        <v>673</v>
      </c>
      <c r="D649" s="23">
        <v>-61.36</v>
      </c>
      <c r="E649" t="s">
        <v>35</v>
      </c>
      <c r="F649" s="2">
        <v>610148001</v>
      </c>
      <c r="G649" s="2" t="s">
        <v>41</v>
      </c>
      <c r="I649" s="95" t="s">
        <v>7231</v>
      </c>
      <c r="J649" t="s">
        <v>42</v>
      </c>
      <c r="K649" t="s">
        <v>41</v>
      </c>
      <c r="M649">
        <v>57.3</v>
      </c>
      <c r="N649" s="4">
        <f t="shared" si="9"/>
        <v>-1.0708551483420594</v>
      </c>
      <c r="O649" t="s">
        <v>605</v>
      </c>
      <c r="Q649" s="36" t="s">
        <v>43</v>
      </c>
    </row>
    <row r="650" spans="1:17" x14ac:dyDescent="0.25">
      <c r="A650" s="22">
        <v>45687</v>
      </c>
      <c r="B650" s="1" t="s">
        <v>674</v>
      </c>
      <c r="C650" t="s">
        <v>675</v>
      </c>
      <c r="D650" s="23">
        <v>-5325.79</v>
      </c>
      <c r="E650" t="s">
        <v>35</v>
      </c>
      <c r="F650" s="2">
        <v>110110001</v>
      </c>
      <c r="G650" s="2" t="s">
        <v>655</v>
      </c>
      <c r="I650" s="95" t="s">
        <v>7231</v>
      </c>
      <c r="J650" t="s">
        <v>656</v>
      </c>
      <c r="K650" t="s">
        <v>657</v>
      </c>
      <c r="M650">
        <v>57.39</v>
      </c>
      <c r="N650" s="4">
        <f t="shared" si="9"/>
        <v>-92.799965150723125</v>
      </c>
      <c r="O650" t="s">
        <v>605</v>
      </c>
      <c r="P650" t="s">
        <v>658</v>
      </c>
      <c r="Q650" s="36" t="s">
        <v>672</v>
      </c>
    </row>
    <row r="651" spans="1:17" x14ac:dyDescent="0.25">
      <c r="A651" s="22">
        <v>45687</v>
      </c>
      <c r="B651" s="1" t="s">
        <v>674</v>
      </c>
      <c r="C651" t="s">
        <v>673</v>
      </c>
      <c r="D651" s="23">
        <v>-15.97</v>
      </c>
      <c r="E651" t="s">
        <v>35</v>
      </c>
      <c r="F651" s="2">
        <v>610148001</v>
      </c>
      <c r="G651" s="2" t="s">
        <v>41</v>
      </c>
      <c r="I651" s="95" t="s">
        <v>7231</v>
      </c>
      <c r="J651" t="s">
        <v>42</v>
      </c>
      <c r="K651" t="s">
        <v>41</v>
      </c>
      <c r="M651">
        <v>57.39</v>
      </c>
      <c r="N651" s="4">
        <f t="shared" si="9"/>
        <v>-0.27827147586687578</v>
      </c>
      <c r="O651" t="s">
        <v>605</v>
      </c>
      <c r="Q651" s="36" t="s">
        <v>43</v>
      </c>
    </row>
    <row r="652" spans="1:17" x14ac:dyDescent="0.25">
      <c r="A652" s="38">
        <v>45716</v>
      </c>
      <c r="B652" s="1">
        <v>71600000000</v>
      </c>
      <c r="C652" t="s">
        <v>676</v>
      </c>
      <c r="D652" s="23">
        <v>-0.5</v>
      </c>
      <c r="E652" t="s">
        <v>35</v>
      </c>
      <c r="F652" s="2">
        <v>610148001</v>
      </c>
      <c r="G652" s="2" t="s">
        <v>41</v>
      </c>
      <c r="I652" s="95" t="s">
        <v>7231</v>
      </c>
      <c r="J652" t="s">
        <v>42</v>
      </c>
      <c r="K652" t="s">
        <v>41</v>
      </c>
      <c r="M652">
        <v>64.25</v>
      </c>
      <c r="N652" s="4">
        <f t="shared" ref="N652:N715" si="10">D652/M652</f>
        <v>-7.7821011673151752E-3</v>
      </c>
      <c r="O652" t="s">
        <v>39</v>
      </c>
      <c r="Q652" s="24" t="s">
        <v>677</v>
      </c>
    </row>
    <row r="653" spans="1:17" x14ac:dyDescent="0.25">
      <c r="A653" s="38">
        <v>45716</v>
      </c>
      <c r="B653" s="1">
        <v>91577700000</v>
      </c>
      <c r="C653" t="s">
        <v>678</v>
      </c>
      <c r="D653" s="23">
        <v>-0.5</v>
      </c>
      <c r="E653" t="s">
        <v>35</v>
      </c>
      <c r="F653" s="2">
        <v>610148001</v>
      </c>
      <c r="G653" s="2" t="s">
        <v>41</v>
      </c>
      <c r="I653" s="95" t="s">
        <v>7231</v>
      </c>
      <c r="J653" t="s">
        <v>42</v>
      </c>
      <c r="K653" t="s">
        <v>41</v>
      </c>
      <c r="M653">
        <v>64.25</v>
      </c>
      <c r="N653" s="4">
        <f t="shared" si="10"/>
        <v>-7.7821011673151752E-3</v>
      </c>
      <c r="O653" t="s">
        <v>39</v>
      </c>
      <c r="Q653" s="24" t="s">
        <v>677</v>
      </c>
    </row>
    <row r="654" spans="1:17" x14ac:dyDescent="0.25">
      <c r="A654" s="38">
        <v>45713</v>
      </c>
      <c r="B654" s="1">
        <v>47900081000</v>
      </c>
      <c r="C654" t="s">
        <v>679</v>
      </c>
      <c r="D654" s="23">
        <v>-157412</v>
      </c>
      <c r="E654" t="s">
        <v>35</v>
      </c>
      <c r="F654" s="2">
        <v>110114001</v>
      </c>
      <c r="G654" s="2" t="s">
        <v>181</v>
      </c>
      <c r="I654" s="95" t="s">
        <v>7231</v>
      </c>
      <c r="J654" t="s">
        <v>680</v>
      </c>
      <c r="K654" t="s">
        <v>681</v>
      </c>
      <c r="M654">
        <v>63.49</v>
      </c>
      <c r="N654" s="4">
        <f t="shared" si="10"/>
        <v>-2479.3195778862814</v>
      </c>
      <c r="O654" t="s">
        <v>39</v>
      </c>
      <c r="P654" s="34" t="s">
        <v>682</v>
      </c>
    </row>
    <row r="655" spans="1:17" x14ac:dyDescent="0.25">
      <c r="A655" s="38">
        <v>45713</v>
      </c>
      <c r="B655" s="1">
        <v>43700081000</v>
      </c>
      <c r="C655" t="s">
        <v>683</v>
      </c>
      <c r="D655" s="23">
        <v>-0.67</v>
      </c>
      <c r="E655" t="s">
        <v>35</v>
      </c>
      <c r="F655" s="2">
        <v>610148001</v>
      </c>
      <c r="G655" s="2" t="s">
        <v>41</v>
      </c>
      <c r="I655" s="95" t="s">
        <v>7231</v>
      </c>
      <c r="J655" s="2" t="s">
        <v>42</v>
      </c>
      <c r="K655" t="s">
        <v>41</v>
      </c>
      <c r="M655">
        <v>63.49</v>
      </c>
      <c r="N655" s="4">
        <f t="shared" si="10"/>
        <v>-1.0552842967396441E-2</v>
      </c>
      <c r="O655" t="s">
        <v>39</v>
      </c>
      <c r="Q655" s="24" t="s">
        <v>677</v>
      </c>
    </row>
    <row r="656" spans="1:17" x14ac:dyDescent="0.25">
      <c r="A656" s="38">
        <v>45713</v>
      </c>
      <c r="B656" s="1">
        <v>47900061342</v>
      </c>
      <c r="C656" t="s">
        <v>684</v>
      </c>
      <c r="D656" s="23">
        <v>-105462.5</v>
      </c>
      <c r="E656" t="s">
        <v>35</v>
      </c>
      <c r="F656" s="2">
        <v>110114001</v>
      </c>
      <c r="G656" s="2" t="s">
        <v>181</v>
      </c>
      <c r="I656" s="95" t="s">
        <v>7231</v>
      </c>
      <c r="J656" t="s">
        <v>685</v>
      </c>
      <c r="K656" t="s">
        <v>686</v>
      </c>
      <c r="M656">
        <v>63.49</v>
      </c>
      <c r="N656" s="4">
        <f t="shared" si="10"/>
        <v>-1661.088360371712</v>
      </c>
      <c r="O656" t="s">
        <v>39</v>
      </c>
      <c r="P656" s="34" t="s">
        <v>682</v>
      </c>
    </row>
    <row r="657" spans="1:17" x14ac:dyDescent="0.25">
      <c r="A657" s="38">
        <v>45713</v>
      </c>
      <c r="B657" s="1">
        <v>43700061342</v>
      </c>
      <c r="C657" t="s">
        <v>683</v>
      </c>
      <c r="D657" s="23">
        <v>-0.67</v>
      </c>
      <c r="E657" t="s">
        <v>35</v>
      </c>
      <c r="F657" s="2">
        <v>610148001</v>
      </c>
      <c r="G657" s="2" t="s">
        <v>41</v>
      </c>
      <c r="I657" s="95" t="s">
        <v>7231</v>
      </c>
      <c r="J657" s="2" t="s">
        <v>42</v>
      </c>
      <c r="K657" t="s">
        <v>41</v>
      </c>
      <c r="M657">
        <v>63.49</v>
      </c>
      <c r="N657" s="4">
        <f t="shared" si="10"/>
        <v>-1.0552842967396441E-2</v>
      </c>
      <c r="O657" t="s">
        <v>39</v>
      </c>
      <c r="Q657" s="24" t="s">
        <v>677</v>
      </c>
    </row>
    <row r="658" spans="1:17" x14ac:dyDescent="0.25">
      <c r="A658" s="38">
        <v>45713</v>
      </c>
      <c r="B658" s="1">
        <v>47900059856</v>
      </c>
      <c r="C658" t="s">
        <v>687</v>
      </c>
      <c r="D658" s="23">
        <v>-53940</v>
      </c>
      <c r="E658" t="s">
        <v>35</v>
      </c>
      <c r="F658" s="2">
        <v>110114001</v>
      </c>
      <c r="G658" s="2" t="s">
        <v>181</v>
      </c>
      <c r="I658" s="95" t="s">
        <v>7231</v>
      </c>
      <c r="J658" t="s">
        <v>685</v>
      </c>
      <c r="K658" t="s">
        <v>686</v>
      </c>
      <c r="M658">
        <v>63.49</v>
      </c>
      <c r="N658" s="4">
        <f t="shared" si="10"/>
        <v>-849.58261143487164</v>
      </c>
      <c r="O658" t="s">
        <v>39</v>
      </c>
      <c r="P658" s="34" t="s">
        <v>682</v>
      </c>
    </row>
    <row r="659" spans="1:17" x14ac:dyDescent="0.25">
      <c r="A659" s="38">
        <v>45713</v>
      </c>
      <c r="B659" s="1">
        <v>43700059856</v>
      </c>
      <c r="C659" t="s">
        <v>683</v>
      </c>
      <c r="D659" s="23">
        <v>-0.67</v>
      </c>
      <c r="E659" t="s">
        <v>35</v>
      </c>
      <c r="F659" s="2">
        <v>610148001</v>
      </c>
      <c r="G659" s="2" t="s">
        <v>41</v>
      </c>
      <c r="I659" s="95" t="s">
        <v>7231</v>
      </c>
      <c r="J659" s="2" t="s">
        <v>42</v>
      </c>
      <c r="K659" t="s">
        <v>41</v>
      </c>
      <c r="M659">
        <v>63.49</v>
      </c>
      <c r="N659" s="4">
        <f t="shared" si="10"/>
        <v>-1.0552842967396441E-2</v>
      </c>
      <c r="O659" t="s">
        <v>39</v>
      </c>
      <c r="Q659" s="24" t="s">
        <v>677</v>
      </c>
    </row>
    <row r="660" spans="1:17" x14ac:dyDescent="0.25">
      <c r="A660" s="38">
        <v>45713</v>
      </c>
      <c r="B660" s="1">
        <v>47900058400</v>
      </c>
      <c r="C660" t="s">
        <v>688</v>
      </c>
      <c r="D660" s="23">
        <v>-1029778.4</v>
      </c>
      <c r="E660" t="s">
        <v>35</v>
      </c>
      <c r="F660" s="2">
        <v>110114001</v>
      </c>
      <c r="G660" s="2" t="s">
        <v>181</v>
      </c>
      <c r="I660" s="95" t="s">
        <v>7231</v>
      </c>
      <c r="J660" t="s">
        <v>37</v>
      </c>
      <c r="K660" t="s">
        <v>38</v>
      </c>
      <c r="M660">
        <v>63.49</v>
      </c>
      <c r="N660" s="4">
        <f t="shared" si="10"/>
        <v>-16219.536934950385</v>
      </c>
      <c r="O660" t="s">
        <v>39</v>
      </c>
      <c r="P660" s="34" t="s">
        <v>682</v>
      </c>
    </row>
    <row r="661" spans="1:17" x14ac:dyDescent="0.25">
      <c r="A661" s="38">
        <v>45713</v>
      </c>
      <c r="B661" s="1">
        <v>43700058400</v>
      </c>
      <c r="C661" t="s">
        <v>683</v>
      </c>
      <c r="D661" s="23">
        <v>-0.67</v>
      </c>
      <c r="E661" t="s">
        <v>35</v>
      </c>
      <c r="F661" s="2">
        <v>610148001</v>
      </c>
      <c r="G661" s="2" t="s">
        <v>41</v>
      </c>
      <c r="I661" s="95" t="s">
        <v>7231</v>
      </c>
      <c r="J661" s="2" t="s">
        <v>42</v>
      </c>
      <c r="K661" t="s">
        <v>41</v>
      </c>
      <c r="M661">
        <v>63.49</v>
      </c>
      <c r="N661" s="4">
        <f t="shared" si="10"/>
        <v>-1.0552842967396441E-2</v>
      </c>
      <c r="O661" t="s">
        <v>39</v>
      </c>
      <c r="Q661" s="24" t="s">
        <v>677</v>
      </c>
    </row>
    <row r="662" spans="1:17" x14ac:dyDescent="0.25">
      <c r="A662" s="38">
        <v>45713</v>
      </c>
      <c r="B662" s="1">
        <v>20418958938</v>
      </c>
      <c r="C662" t="s">
        <v>82</v>
      </c>
      <c r="D662" s="23">
        <v>147000</v>
      </c>
      <c r="E662" t="s">
        <v>45</v>
      </c>
      <c r="F662" s="2">
        <v>210115002</v>
      </c>
      <c r="G662" s="2" t="s">
        <v>46</v>
      </c>
      <c r="I662" s="95" t="s">
        <v>7231</v>
      </c>
      <c r="K662" t="s">
        <v>82</v>
      </c>
      <c r="M662">
        <v>63.49</v>
      </c>
      <c r="N662" s="4">
        <f t="shared" si="10"/>
        <v>2315.3252480705623</v>
      </c>
      <c r="O662" t="s">
        <v>39</v>
      </c>
    </row>
    <row r="663" spans="1:17" x14ac:dyDescent="0.25">
      <c r="A663" s="38">
        <v>45713</v>
      </c>
      <c r="B663" s="1">
        <v>20418958877</v>
      </c>
      <c r="C663" t="s">
        <v>82</v>
      </c>
      <c r="D663" s="23">
        <v>200000</v>
      </c>
      <c r="E663" t="s">
        <v>45</v>
      </c>
      <c r="F663" s="2">
        <v>210115002</v>
      </c>
      <c r="G663" s="2" t="s">
        <v>46</v>
      </c>
      <c r="I663" s="95" t="s">
        <v>7231</v>
      </c>
      <c r="K663" t="s">
        <v>82</v>
      </c>
      <c r="M663">
        <v>63.49</v>
      </c>
      <c r="N663" s="4">
        <f t="shared" si="10"/>
        <v>3150.1023783272954</v>
      </c>
      <c r="O663" t="s">
        <v>39</v>
      </c>
    </row>
    <row r="664" spans="1:17" x14ac:dyDescent="0.25">
      <c r="A664" s="38">
        <v>45713</v>
      </c>
      <c r="B664" s="1">
        <v>20418958841</v>
      </c>
      <c r="C664" t="s">
        <v>82</v>
      </c>
      <c r="D664" s="23">
        <v>200000</v>
      </c>
      <c r="E664" t="s">
        <v>45</v>
      </c>
      <c r="F664" s="2">
        <v>210115002</v>
      </c>
      <c r="G664" s="2" t="s">
        <v>46</v>
      </c>
      <c r="I664" s="95" t="s">
        <v>7231</v>
      </c>
      <c r="K664" t="s">
        <v>82</v>
      </c>
      <c r="M664">
        <v>63.49</v>
      </c>
      <c r="N664" s="4">
        <f t="shared" si="10"/>
        <v>3150.1023783272954</v>
      </c>
      <c r="O664" t="s">
        <v>39</v>
      </c>
    </row>
    <row r="665" spans="1:17" x14ac:dyDescent="0.25">
      <c r="A665" s="38">
        <v>45713</v>
      </c>
      <c r="B665" s="1">
        <v>47900082584</v>
      </c>
      <c r="C665" t="s">
        <v>689</v>
      </c>
      <c r="D665" s="23">
        <v>800000</v>
      </c>
      <c r="E665" t="s">
        <v>45</v>
      </c>
      <c r="F665" s="2">
        <v>210115002</v>
      </c>
      <c r="G665" s="2" t="s">
        <v>46</v>
      </c>
      <c r="I665" s="95" t="s">
        <v>7231</v>
      </c>
      <c r="K665" t="s">
        <v>689</v>
      </c>
      <c r="M665">
        <v>63.49</v>
      </c>
      <c r="N665" s="4">
        <f t="shared" si="10"/>
        <v>12600.409513309181</v>
      </c>
      <c r="O665" t="s">
        <v>39</v>
      </c>
    </row>
    <row r="666" spans="1:17" x14ac:dyDescent="0.25">
      <c r="A666" s="38">
        <v>45695</v>
      </c>
      <c r="B666" s="1">
        <v>62</v>
      </c>
      <c r="C666" t="s">
        <v>50</v>
      </c>
      <c r="D666" s="23">
        <v>-21.65</v>
      </c>
      <c r="E666" t="s">
        <v>35</v>
      </c>
      <c r="F666" s="2">
        <v>610148001</v>
      </c>
      <c r="G666" s="2" t="s">
        <v>41</v>
      </c>
      <c r="I666" s="95" t="s">
        <v>7231</v>
      </c>
      <c r="J666" t="s">
        <v>42</v>
      </c>
      <c r="K666" t="s">
        <v>41</v>
      </c>
      <c r="M666">
        <v>60.14</v>
      </c>
      <c r="N666" s="4">
        <f t="shared" si="10"/>
        <v>-0.35999334885267709</v>
      </c>
      <c r="O666" t="s">
        <v>51</v>
      </c>
      <c r="Q666" s="39" t="s">
        <v>677</v>
      </c>
    </row>
    <row r="667" spans="1:17" x14ac:dyDescent="0.25">
      <c r="A667" s="40">
        <v>45695</v>
      </c>
      <c r="B667" s="27">
        <v>61</v>
      </c>
      <c r="C667" s="28" t="s">
        <v>52</v>
      </c>
      <c r="D667" s="29">
        <v>-7216.8</v>
      </c>
      <c r="E667" s="28" t="s">
        <v>35</v>
      </c>
      <c r="F667" s="30">
        <v>610129001</v>
      </c>
      <c r="G667" s="30" t="s">
        <v>53</v>
      </c>
      <c r="H667" s="30"/>
      <c r="I667" s="95" t="s">
        <v>7231</v>
      </c>
      <c r="J667" s="28" t="s">
        <v>54</v>
      </c>
      <c r="K667" s="28" t="s">
        <v>55</v>
      </c>
      <c r="L667" s="28" t="s">
        <v>56</v>
      </c>
      <c r="M667" s="28">
        <v>60.14</v>
      </c>
      <c r="N667" s="4">
        <f t="shared" si="10"/>
        <v>-120</v>
      </c>
      <c r="O667" t="s">
        <v>51</v>
      </c>
      <c r="Q667" s="39" t="s">
        <v>690</v>
      </c>
    </row>
    <row r="668" spans="1:17" x14ac:dyDescent="0.25">
      <c r="A668" s="38">
        <v>45701</v>
      </c>
      <c r="B668" s="1">
        <v>63</v>
      </c>
      <c r="C668" t="s">
        <v>391</v>
      </c>
      <c r="D668" s="23">
        <v>16000</v>
      </c>
      <c r="E668" t="s">
        <v>45</v>
      </c>
      <c r="F668" s="2">
        <v>210115002</v>
      </c>
      <c r="G668" s="2" t="s">
        <v>46</v>
      </c>
      <c r="I668" s="95" t="s">
        <v>7231</v>
      </c>
      <c r="K668" t="s">
        <v>391</v>
      </c>
      <c r="M668">
        <v>61.35</v>
      </c>
      <c r="N668" s="4">
        <f t="shared" si="10"/>
        <v>260.79869600651995</v>
      </c>
      <c r="O668" t="s">
        <v>51</v>
      </c>
      <c r="Q668" s="41"/>
    </row>
    <row r="669" spans="1:17" x14ac:dyDescent="0.25">
      <c r="A669" s="38">
        <v>45701</v>
      </c>
      <c r="B669" s="1">
        <v>64</v>
      </c>
      <c r="C669" t="s">
        <v>691</v>
      </c>
      <c r="D669" s="23">
        <v>-15257.5</v>
      </c>
      <c r="E669" t="s">
        <v>35</v>
      </c>
      <c r="F669" s="2">
        <v>840101001</v>
      </c>
      <c r="G669" s="2" t="s">
        <v>60</v>
      </c>
      <c r="I669" s="95" t="s">
        <v>7231</v>
      </c>
      <c r="J669" t="s">
        <v>61</v>
      </c>
      <c r="K669" t="s">
        <v>62</v>
      </c>
      <c r="M669">
        <v>61.35</v>
      </c>
      <c r="N669" s="4">
        <f t="shared" si="10"/>
        <v>-248.6960065199674</v>
      </c>
      <c r="O669" t="s">
        <v>51</v>
      </c>
      <c r="Q669" s="41"/>
    </row>
    <row r="670" spans="1:17" x14ac:dyDescent="0.25">
      <c r="A670" s="38">
        <v>45701</v>
      </c>
      <c r="B670" s="1">
        <v>65</v>
      </c>
      <c r="C670" t="s">
        <v>50</v>
      </c>
      <c r="D670" s="23">
        <v>-45.77</v>
      </c>
      <c r="E670" t="s">
        <v>35</v>
      </c>
      <c r="F670" s="2">
        <v>610148001</v>
      </c>
      <c r="G670" s="2" t="s">
        <v>41</v>
      </c>
      <c r="I670" s="95" t="s">
        <v>7231</v>
      </c>
      <c r="J670" t="s">
        <v>42</v>
      </c>
      <c r="K670" t="s">
        <v>41</v>
      </c>
      <c r="M670">
        <v>61.35</v>
      </c>
      <c r="N670" s="4">
        <f t="shared" si="10"/>
        <v>-0.74604726976365121</v>
      </c>
      <c r="O670" t="s">
        <v>51</v>
      </c>
      <c r="Q670" s="39" t="s">
        <v>677</v>
      </c>
    </row>
    <row r="671" spans="1:17" x14ac:dyDescent="0.25">
      <c r="A671" s="38">
        <v>45702</v>
      </c>
      <c r="B671" s="1">
        <v>68</v>
      </c>
      <c r="C671" t="s">
        <v>50</v>
      </c>
      <c r="D671" s="23">
        <v>-22.25</v>
      </c>
      <c r="E671" t="s">
        <v>35</v>
      </c>
      <c r="F671" s="2">
        <v>610148001</v>
      </c>
      <c r="G671" s="2" t="s">
        <v>41</v>
      </c>
      <c r="I671" s="95" t="s">
        <v>7231</v>
      </c>
      <c r="J671" t="s">
        <v>42</v>
      </c>
      <c r="K671" t="s">
        <v>41</v>
      </c>
      <c r="M671">
        <v>61.82</v>
      </c>
      <c r="N671" s="4">
        <f t="shared" si="10"/>
        <v>-0.35991588482691683</v>
      </c>
      <c r="O671" t="s">
        <v>51</v>
      </c>
      <c r="Q671" s="39" t="s">
        <v>677</v>
      </c>
    </row>
    <row r="672" spans="1:17" x14ac:dyDescent="0.25">
      <c r="A672" s="40">
        <v>45702</v>
      </c>
      <c r="B672" s="27">
        <v>67</v>
      </c>
      <c r="C672" s="28" t="s">
        <v>52</v>
      </c>
      <c r="D672" s="29">
        <v>-7418.4</v>
      </c>
      <c r="E672" s="28" t="s">
        <v>35</v>
      </c>
      <c r="F672" s="30">
        <v>610129001</v>
      </c>
      <c r="G672" s="30" t="s">
        <v>53</v>
      </c>
      <c r="H672" s="30"/>
      <c r="I672" s="95" t="s">
        <v>7231</v>
      </c>
      <c r="J672" s="28" t="s">
        <v>54</v>
      </c>
      <c r="K672" s="28" t="s">
        <v>55</v>
      </c>
      <c r="L672" s="28" t="s">
        <v>56</v>
      </c>
      <c r="M672" s="28">
        <v>61.82</v>
      </c>
      <c r="N672" s="4">
        <f t="shared" si="10"/>
        <v>-120</v>
      </c>
      <c r="O672" t="s">
        <v>51</v>
      </c>
      <c r="Q672" s="42" t="s">
        <v>692</v>
      </c>
    </row>
    <row r="673" spans="1:17" x14ac:dyDescent="0.25">
      <c r="A673" s="38">
        <v>45702</v>
      </c>
      <c r="B673" s="1">
        <v>66</v>
      </c>
      <c r="C673" t="s">
        <v>82</v>
      </c>
      <c r="D673" s="23">
        <v>10000</v>
      </c>
      <c r="E673" t="s">
        <v>45</v>
      </c>
      <c r="F673" s="2">
        <v>210115002</v>
      </c>
      <c r="G673" s="2" t="s">
        <v>46</v>
      </c>
      <c r="I673" s="95" t="s">
        <v>7231</v>
      </c>
      <c r="K673" t="s">
        <v>82</v>
      </c>
      <c r="M673">
        <v>61.82</v>
      </c>
      <c r="N673" s="4">
        <f t="shared" si="10"/>
        <v>161.75994823681657</v>
      </c>
      <c r="O673" t="s">
        <v>51</v>
      </c>
      <c r="Q673" s="2"/>
    </row>
    <row r="674" spans="1:17" x14ac:dyDescent="0.25">
      <c r="A674" s="38">
        <v>45708</v>
      </c>
      <c r="B674" s="1">
        <v>71</v>
      </c>
      <c r="C674" t="s">
        <v>50</v>
      </c>
      <c r="D674" s="23">
        <v>-37.5</v>
      </c>
      <c r="E674" t="s">
        <v>35</v>
      </c>
      <c r="F674" s="2">
        <v>610148001</v>
      </c>
      <c r="G674" s="2" t="s">
        <v>41</v>
      </c>
      <c r="I674" s="95" t="s">
        <v>7231</v>
      </c>
      <c r="J674" t="s">
        <v>42</v>
      </c>
      <c r="K674" t="s">
        <v>41</v>
      </c>
      <c r="M674">
        <v>62.51</v>
      </c>
      <c r="N674" s="4">
        <f t="shared" si="10"/>
        <v>-0.59990401535754279</v>
      </c>
      <c r="O674" t="s">
        <v>51</v>
      </c>
      <c r="Q674" s="39" t="s">
        <v>677</v>
      </c>
    </row>
    <row r="675" spans="1:17" x14ac:dyDescent="0.25">
      <c r="A675" s="38">
        <v>45708</v>
      </c>
      <c r="B675" s="1">
        <v>70</v>
      </c>
      <c r="C675" t="s">
        <v>693</v>
      </c>
      <c r="D675" s="23">
        <v>-12502</v>
      </c>
      <c r="E675" t="s">
        <v>35</v>
      </c>
      <c r="F675" s="2">
        <v>110114001</v>
      </c>
      <c r="G675" s="2" t="s">
        <v>181</v>
      </c>
      <c r="I675" s="95" t="s">
        <v>7231</v>
      </c>
      <c r="J675" t="s">
        <v>406</v>
      </c>
      <c r="K675" t="s">
        <v>407</v>
      </c>
      <c r="M675">
        <v>62.51</v>
      </c>
      <c r="N675" s="4">
        <f t="shared" si="10"/>
        <v>-200</v>
      </c>
      <c r="O675" t="s">
        <v>51</v>
      </c>
      <c r="P675" s="34" t="s">
        <v>694</v>
      </c>
      <c r="Q675" s="2"/>
    </row>
    <row r="676" spans="1:17" x14ac:dyDescent="0.25">
      <c r="A676" s="38">
        <v>45708</v>
      </c>
      <c r="B676" s="1">
        <v>69</v>
      </c>
      <c r="C676" t="s">
        <v>82</v>
      </c>
      <c r="D676" s="23">
        <v>15000</v>
      </c>
      <c r="E676" t="s">
        <v>45</v>
      </c>
      <c r="F676" s="2">
        <v>210115002</v>
      </c>
      <c r="G676" s="2" t="s">
        <v>46</v>
      </c>
      <c r="I676" s="95" t="s">
        <v>7231</v>
      </c>
      <c r="K676" t="s">
        <v>82</v>
      </c>
      <c r="M676">
        <v>62.51</v>
      </c>
      <c r="N676" s="4">
        <f t="shared" si="10"/>
        <v>239.96160614301712</v>
      </c>
      <c r="O676" t="s">
        <v>51</v>
      </c>
      <c r="Q676" s="2"/>
    </row>
    <row r="677" spans="1:17" x14ac:dyDescent="0.25">
      <c r="A677" s="38">
        <v>45709</v>
      </c>
      <c r="B677" s="1">
        <v>74</v>
      </c>
      <c r="C677" t="s">
        <v>50</v>
      </c>
      <c r="D677" s="23">
        <v>-22.75</v>
      </c>
      <c r="E677" t="s">
        <v>35</v>
      </c>
      <c r="F677" s="2">
        <v>610148001</v>
      </c>
      <c r="G677" s="2" t="s">
        <v>41</v>
      </c>
      <c r="I677" s="95" t="s">
        <v>7231</v>
      </c>
      <c r="J677" t="s">
        <v>42</v>
      </c>
      <c r="K677" t="s">
        <v>41</v>
      </c>
      <c r="M677">
        <v>63.21</v>
      </c>
      <c r="N677" s="4">
        <f t="shared" si="10"/>
        <v>-0.35991140642303432</v>
      </c>
      <c r="O677" t="s">
        <v>51</v>
      </c>
      <c r="Q677" s="39" t="s">
        <v>677</v>
      </c>
    </row>
    <row r="678" spans="1:17" x14ac:dyDescent="0.25">
      <c r="A678" s="40">
        <v>45709</v>
      </c>
      <c r="B678" s="27">
        <v>73</v>
      </c>
      <c r="C678" s="28" t="s">
        <v>52</v>
      </c>
      <c r="D678" s="29">
        <v>-7585.2</v>
      </c>
      <c r="E678" s="28" t="s">
        <v>35</v>
      </c>
      <c r="F678" s="30">
        <v>610129001</v>
      </c>
      <c r="G678" s="30" t="s">
        <v>53</v>
      </c>
      <c r="H678" s="30"/>
      <c r="I678" s="95" t="s">
        <v>7231</v>
      </c>
      <c r="J678" s="28" t="s">
        <v>54</v>
      </c>
      <c r="K678" s="28" t="s">
        <v>55</v>
      </c>
      <c r="L678" s="28" t="s">
        <v>56</v>
      </c>
      <c r="M678" s="28">
        <v>63.21</v>
      </c>
      <c r="N678" s="4">
        <f t="shared" si="10"/>
        <v>-120</v>
      </c>
      <c r="O678" t="s">
        <v>51</v>
      </c>
      <c r="Q678" s="42" t="s">
        <v>695</v>
      </c>
    </row>
    <row r="679" spans="1:17" x14ac:dyDescent="0.25">
      <c r="A679" s="38">
        <v>45709</v>
      </c>
      <c r="B679" s="1">
        <v>72</v>
      </c>
      <c r="C679" t="s">
        <v>82</v>
      </c>
      <c r="D679" s="23">
        <v>10000</v>
      </c>
      <c r="E679" t="s">
        <v>45</v>
      </c>
      <c r="F679" s="2">
        <v>210115002</v>
      </c>
      <c r="G679" s="2" t="s">
        <v>46</v>
      </c>
      <c r="I679" s="95" t="s">
        <v>7231</v>
      </c>
      <c r="K679" t="s">
        <v>82</v>
      </c>
      <c r="M679">
        <v>63.21</v>
      </c>
      <c r="N679" s="4">
        <f t="shared" si="10"/>
        <v>158.20281601012499</v>
      </c>
      <c r="O679" t="s">
        <v>51</v>
      </c>
      <c r="Q679" s="2"/>
    </row>
    <row r="680" spans="1:17" x14ac:dyDescent="0.25">
      <c r="A680" s="38">
        <v>45715</v>
      </c>
      <c r="B680" s="1">
        <v>77</v>
      </c>
      <c r="C680" t="s">
        <v>50</v>
      </c>
      <c r="D680" s="23">
        <v>-48.01</v>
      </c>
      <c r="E680" t="s">
        <v>35</v>
      </c>
      <c r="F680" s="2">
        <v>610148001</v>
      </c>
      <c r="G680" s="2" t="s">
        <v>41</v>
      </c>
      <c r="I680" s="95" t="s">
        <v>7231</v>
      </c>
      <c r="J680" t="s">
        <v>42</v>
      </c>
      <c r="K680" t="s">
        <v>41</v>
      </c>
      <c r="M680">
        <v>64.239999999999995</v>
      </c>
      <c r="N680" s="4">
        <f t="shared" si="10"/>
        <v>-0.74735367372353678</v>
      </c>
      <c r="O680" t="s">
        <v>51</v>
      </c>
      <c r="Q680" s="39" t="s">
        <v>677</v>
      </c>
    </row>
    <row r="681" spans="1:17" x14ac:dyDescent="0.25">
      <c r="A681" s="38">
        <v>45715</v>
      </c>
      <c r="B681" s="1">
        <v>76</v>
      </c>
      <c r="C681" t="s">
        <v>696</v>
      </c>
      <c r="D681" s="23">
        <v>-16005</v>
      </c>
      <c r="E681" t="s">
        <v>35</v>
      </c>
      <c r="F681" s="2">
        <v>840101001</v>
      </c>
      <c r="G681" s="2" t="s">
        <v>60</v>
      </c>
      <c r="I681" s="95" t="s">
        <v>7231</v>
      </c>
      <c r="J681" t="s">
        <v>61</v>
      </c>
      <c r="K681" t="s">
        <v>62</v>
      </c>
      <c r="M681">
        <v>64.239999999999995</v>
      </c>
      <c r="N681" s="4">
        <f t="shared" si="10"/>
        <v>-249.14383561643837</v>
      </c>
      <c r="O681" t="s">
        <v>51</v>
      </c>
      <c r="Q681" s="2"/>
    </row>
    <row r="682" spans="1:17" x14ac:dyDescent="0.25">
      <c r="A682" s="38">
        <v>45715</v>
      </c>
      <c r="B682" s="1">
        <v>75</v>
      </c>
      <c r="C682" t="s">
        <v>82</v>
      </c>
      <c r="D682" s="23">
        <v>16000</v>
      </c>
      <c r="E682" t="s">
        <v>45</v>
      </c>
      <c r="F682" s="2">
        <v>210115002</v>
      </c>
      <c r="G682" s="2" t="s">
        <v>46</v>
      </c>
      <c r="I682" s="95" t="s">
        <v>7231</v>
      </c>
      <c r="K682" t="s">
        <v>82</v>
      </c>
      <c r="M682">
        <v>64.239999999999995</v>
      </c>
      <c r="N682" s="4">
        <f t="shared" si="10"/>
        <v>249.06600249066005</v>
      </c>
      <c r="O682" t="s">
        <v>51</v>
      </c>
      <c r="Q682" s="2"/>
    </row>
    <row r="683" spans="1:17" x14ac:dyDescent="0.25">
      <c r="A683" s="38">
        <v>45716</v>
      </c>
      <c r="B683" s="1">
        <v>79</v>
      </c>
      <c r="C683" t="s">
        <v>68</v>
      </c>
      <c r="D683" s="23">
        <v>-0.5</v>
      </c>
      <c r="E683" t="s">
        <v>35</v>
      </c>
      <c r="F683" s="2">
        <v>610148001</v>
      </c>
      <c r="G683" s="2" t="s">
        <v>41</v>
      </c>
      <c r="I683" s="95" t="s">
        <v>7231</v>
      </c>
      <c r="J683" t="s">
        <v>42</v>
      </c>
      <c r="K683" t="s">
        <v>41</v>
      </c>
      <c r="M683">
        <v>64.25</v>
      </c>
      <c r="N683" s="4">
        <f t="shared" si="10"/>
        <v>-7.7821011673151752E-3</v>
      </c>
      <c r="O683" t="s">
        <v>51</v>
      </c>
      <c r="Q683" s="39" t="s">
        <v>677</v>
      </c>
    </row>
    <row r="684" spans="1:17" x14ac:dyDescent="0.25">
      <c r="A684" s="38">
        <v>45716</v>
      </c>
      <c r="B684" s="1">
        <v>78</v>
      </c>
      <c r="C684" t="s">
        <v>69</v>
      </c>
      <c r="D684" s="23">
        <v>-0.5</v>
      </c>
      <c r="E684" t="s">
        <v>35</v>
      </c>
      <c r="F684" s="2">
        <v>610148001</v>
      </c>
      <c r="G684" s="2" t="s">
        <v>41</v>
      </c>
      <c r="I684" s="95" t="s">
        <v>7231</v>
      </c>
      <c r="J684" t="s">
        <v>42</v>
      </c>
      <c r="K684" t="s">
        <v>41</v>
      </c>
      <c r="M684">
        <v>64.25</v>
      </c>
      <c r="N684" s="4">
        <f t="shared" si="10"/>
        <v>-7.7821011673151752E-3</v>
      </c>
      <c r="O684" t="s">
        <v>51</v>
      </c>
      <c r="Q684" s="39" t="s">
        <v>677</v>
      </c>
    </row>
    <row r="685" spans="1:17" x14ac:dyDescent="0.25">
      <c r="A685" s="38">
        <v>45691</v>
      </c>
      <c r="B685" s="1">
        <v>152316847</v>
      </c>
      <c r="C685" t="s">
        <v>697</v>
      </c>
      <c r="D685" s="23">
        <v>-1630.48</v>
      </c>
      <c r="E685" t="s">
        <v>35</v>
      </c>
      <c r="F685" s="2">
        <v>210101001</v>
      </c>
      <c r="G685" s="2" t="s">
        <v>36</v>
      </c>
      <c r="I685" s="95" t="s">
        <v>7231</v>
      </c>
      <c r="J685" t="s">
        <v>389</v>
      </c>
      <c r="K685" t="s">
        <v>390</v>
      </c>
      <c r="M685">
        <v>58.44</v>
      </c>
      <c r="N685" s="4">
        <f t="shared" si="10"/>
        <v>-27.900068446269678</v>
      </c>
      <c r="O685" t="s">
        <v>83</v>
      </c>
    </row>
    <row r="686" spans="1:17" x14ac:dyDescent="0.25">
      <c r="A686" s="38">
        <v>45691</v>
      </c>
      <c r="B686" s="1">
        <v>152553955</v>
      </c>
      <c r="C686" t="s">
        <v>82</v>
      </c>
      <c r="D686" s="23">
        <v>36000</v>
      </c>
      <c r="E686" t="s">
        <v>45</v>
      </c>
      <c r="F686" s="2">
        <v>210115002</v>
      </c>
      <c r="G686" s="2" t="s">
        <v>46</v>
      </c>
      <c r="I686" s="95" t="s">
        <v>7231</v>
      </c>
      <c r="K686" t="s">
        <v>82</v>
      </c>
      <c r="M686">
        <v>58.44</v>
      </c>
      <c r="N686" s="4">
        <f t="shared" si="10"/>
        <v>616.01642710472277</v>
      </c>
      <c r="O686" t="s">
        <v>83</v>
      </c>
    </row>
    <row r="687" spans="1:17" x14ac:dyDescent="0.25">
      <c r="A687" s="38">
        <v>45691</v>
      </c>
      <c r="B687" s="1">
        <v>717923748</v>
      </c>
      <c r="C687" t="s">
        <v>698</v>
      </c>
      <c r="D687" s="23">
        <v>-37969.120000000003</v>
      </c>
      <c r="E687" t="s">
        <v>35</v>
      </c>
      <c r="F687" s="2">
        <v>210101001</v>
      </c>
      <c r="G687" s="2" t="s">
        <v>36</v>
      </c>
      <c r="I687" s="95" t="s">
        <v>7231</v>
      </c>
      <c r="J687" t="s">
        <v>37</v>
      </c>
      <c r="K687" t="s">
        <v>38</v>
      </c>
      <c r="M687">
        <v>58.44</v>
      </c>
      <c r="N687" s="4">
        <f t="shared" si="10"/>
        <v>-649.71115674195767</v>
      </c>
      <c r="O687" t="s">
        <v>83</v>
      </c>
    </row>
    <row r="688" spans="1:17" x14ac:dyDescent="0.25">
      <c r="A688" s="38">
        <v>45691</v>
      </c>
      <c r="B688" s="1">
        <v>717923748</v>
      </c>
      <c r="C688" t="s">
        <v>185</v>
      </c>
      <c r="D688" s="23">
        <v>-113.91</v>
      </c>
      <c r="E688" t="s">
        <v>35</v>
      </c>
      <c r="F688" s="2">
        <v>610148001</v>
      </c>
      <c r="G688" s="2" t="s">
        <v>41</v>
      </c>
      <c r="I688" s="95" t="s">
        <v>7231</v>
      </c>
      <c r="J688" t="s">
        <v>42</v>
      </c>
      <c r="K688" t="s">
        <v>41</v>
      </c>
      <c r="M688">
        <v>58.44</v>
      </c>
      <c r="N688" s="4">
        <f t="shared" si="10"/>
        <v>-1.9491786447638604</v>
      </c>
      <c r="O688" t="s">
        <v>83</v>
      </c>
      <c r="Q688" s="24" t="s">
        <v>677</v>
      </c>
    </row>
    <row r="689" spans="1:17" x14ac:dyDescent="0.25">
      <c r="A689" s="38">
        <v>45692</v>
      </c>
      <c r="B689" s="1">
        <v>143528617</v>
      </c>
      <c r="C689" t="s">
        <v>82</v>
      </c>
      <c r="D689" s="23">
        <v>165000</v>
      </c>
      <c r="E689" t="s">
        <v>45</v>
      </c>
      <c r="F689" s="2">
        <v>210115002</v>
      </c>
      <c r="G689" s="2" t="s">
        <v>46</v>
      </c>
      <c r="I689" s="95" t="s">
        <v>7231</v>
      </c>
      <c r="K689" t="s">
        <v>82</v>
      </c>
      <c r="M689">
        <v>58.54</v>
      </c>
      <c r="N689" s="4">
        <f t="shared" si="10"/>
        <v>2818.5855825076869</v>
      </c>
      <c r="O689" t="s">
        <v>83</v>
      </c>
    </row>
    <row r="690" spans="1:17" x14ac:dyDescent="0.25">
      <c r="A690" s="38">
        <v>45692</v>
      </c>
      <c r="B690" s="1">
        <v>217971445</v>
      </c>
      <c r="C690" t="s">
        <v>699</v>
      </c>
      <c r="D690" s="23">
        <v>-117070.68</v>
      </c>
      <c r="E690" t="s">
        <v>35</v>
      </c>
      <c r="F690" s="2">
        <v>210101001</v>
      </c>
      <c r="G690" s="2" t="s">
        <v>36</v>
      </c>
      <c r="I690" s="95" t="s">
        <v>7231</v>
      </c>
      <c r="J690" t="s">
        <v>37</v>
      </c>
      <c r="K690" t="s">
        <v>38</v>
      </c>
      <c r="M690">
        <v>58.54</v>
      </c>
      <c r="N690" s="4">
        <f t="shared" si="10"/>
        <v>-1999.8407926204304</v>
      </c>
      <c r="O690" t="s">
        <v>83</v>
      </c>
    </row>
    <row r="691" spans="1:17" x14ac:dyDescent="0.25">
      <c r="A691" s="38">
        <v>45692</v>
      </c>
      <c r="B691" s="1">
        <v>217971446</v>
      </c>
      <c r="C691" t="s">
        <v>700</v>
      </c>
      <c r="D691" s="23">
        <v>-13357.21</v>
      </c>
      <c r="E691" t="s">
        <v>35</v>
      </c>
      <c r="F691" s="2">
        <v>210101001</v>
      </c>
      <c r="G691" s="2" t="s">
        <v>36</v>
      </c>
      <c r="I691" s="95" t="s">
        <v>7231</v>
      </c>
      <c r="J691" t="s">
        <v>701</v>
      </c>
      <c r="K691" t="s">
        <v>702</v>
      </c>
      <c r="M691">
        <v>58.54</v>
      </c>
      <c r="N691" s="4">
        <f t="shared" si="10"/>
        <v>-228.17236077895456</v>
      </c>
      <c r="O691" t="s">
        <v>83</v>
      </c>
    </row>
    <row r="692" spans="1:17" x14ac:dyDescent="0.25">
      <c r="A692" s="38">
        <v>45692</v>
      </c>
      <c r="B692" s="1">
        <v>217971447</v>
      </c>
      <c r="C692" t="s">
        <v>703</v>
      </c>
      <c r="D692" s="23">
        <v>-32539.39</v>
      </c>
      <c r="E692" t="s">
        <v>35</v>
      </c>
      <c r="F692" s="2">
        <v>210101001</v>
      </c>
      <c r="G692" s="2" t="s">
        <v>36</v>
      </c>
      <c r="I692" s="95" t="s">
        <v>7231</v>
      </c>
      <c r="J692" t="s">
        <v>704</v>
      </c>
      <c r="K692" t="s">
        <v>705</v>
      </c>
      <c r="M692">
        <v>58.54</v>
      </c>
      <c r="N692" s="4">
        <f t="shared" si="10"/>
        <v>-555.84882131875645</v>
      </c>
      <c r="O692" t="s">
        <v>83</v>
      </c>
    </row>
    <row r="693" spans="1:17" x14ac:dyDescent="0.25">
      <c r="A693" s="38">
        <v>45692</v>
      </c>
      <c r="B693" s="1">
        <v>50273762</v>
      </c>
      <c r="C693" t="s">
        <v>89</v>
      </c>
      <c r="D693" s="23">
        <v>-407.41</v>
      </c>
      <c r="E693" t="s">
        <v>35</v>
      </c>
      <c r="F693" s="2">
        <v>610148001</v>
      </c>
      <c r="G693" s="2" t="s">
        <v>41</v>
      </c>
      <c r="I693" s="95" t="s">
        <v>7231</v>
      </c>
      <c r="J693" t="s">
        <v>42</v>
      </c>
      <c r="K693" t="s">
        <v>41</v>
      </c>
      <c r="M693">
        <v>58.54</v>
      </c>
      <c r="N693" s="4">
        <f t="shared" si="10"/>
        <v>-6.959514861633072</v>
      </c>
      <c r="O693" t="s">
        <v>83</v>
      </c>
      <c r="Q693" s="24" t="s">
        <v>677</v>
      </c>
    </row>
    <row r="694" spans="1:17" x14ac:dyDescent="0.25">
      <c r="A694" s="38">
        <v>45693</v>
      </c>
      <c r="B694" s="1">
        <v>144102310</v>
      </c>
      <c r="C694" t="s">
        <v>82</v>
      </c>
      <c r="D694" s="23">
        <v>100000</v>
      </c>
      <c r="E694" t="s">
        <v>45</v>
      </c>
      <c r="F694" s="2">
        <v>210115002</v>
      </c>
      <c r="G694" s="2" t="s">
        <v>46</v>
      </c>
      <c r="I694" s="95" t="s">
        <v>7231</v>
      </c>
      <c r="K694" t="s">
        <v>82</v>
      </c>
      <c r="M694">
        <v>58.79</v>
      </c>
      <c r="N694" s="4">
        <f t="shared" si="10"/>
        <v>1700.9695526450078</v>
      </c>
      <c r="O694" t="s">
        <v>83</v>
      </c>
    </row>
    <row r="695" spans="1:17" x14ac:dyDescent="0.25">
      <c r="A695" s="38">
        <v>45693</v>
      </c>
      <c r="B695" s="1">
        <v>718019668</v>
      </c>
      <c r="C695" t="s">
        <v>706</v>
      </c>
      <c r="D695" s="23">
        <v>-2939.5</v>
      </c>
      <c r="E695" t="s">
        <v>35</v>
      </c>
      <c r="F695" s="2">
        <v>210101001</v>
      </c>
      <c r="G695" s="2" t="s">
        <v>36</v>
      </c>
      <c r="I695" s="95" t="s">
        <v>7231</v>
      </c>
      <c r="J695" t="s">
        <v>86</v>
      </c>
      <c r="K695" t="s">
        <v>87</v>
      </c>
      <c r="M695">
        <v>58.79</v>
      </c>
      <c r="N695" s="4">
        <f t="shared" si="10"/>
        <v>-50</v>
      </c>
      <c r="O695" t="s">
        <v>83</v>
      </c>
    </row>
    <row r="696" spans="1:17" x14ac:dyDescent="0.25">
      <c r="A696" s="38">
        <v>45693</v>
      </c>
      <c r="B696" s="1">
        <v>718019670</v>
      </c>
      <c r="C696" t="s">
        <v>707</v>
      </c>
      <c r="D696" s="23">
        <v>-42711.24</v>
      </c>
      <c r="E696" t="s">
        <v>35</v>
      </c>
      <c r="F696" s="2">
        <v>210101001</v>
      </c>
      <c r="G696" s="2" t="s">
        <v>36</v>
      </c>
      <c r="I696" s="95" t="s">
        <v>7231</v>
      </c>
      <c r="J696" t="s">
        <v>376</v>
      </c>
      <c r="K696" t="s">
        <v>377</v>
      </c>
      <c r="M696">
        <v>58.79</v>
      </c>
      <c r="N696" s="4">
        <f t="shared" si="10"/>
        <v>-726.50518795713549</v>
      </c>
      <c r="O696" t="s">
        <v>83</v>
      </c>
    </row>
    <row r="697" spans="1:17" x14ac:dyDescent="0.25">
      <c r="A697" s="38">
        <v>45693</v>
      </c>
      <c r="B697" s="1">
        <v>718019669</v>
      </c>
      <c r="C697" t="s">
        <v>708</v>
      </c>
      <c r="D697" s="23">
        <v>-52266.82</v>
      </c>
      <c r="E697" t="s">
        <v>35</v>
      </c>
      <c r="F697" s="2">
        <v>210101001</v>
      </c>
      <c r="G697" s="2" t="s">
        <v>36</v>
      </c>
      <c r="I697" s="95" t="s">
        <v>7231</v>
      </c>
      <c r="J697" t="s">
        <v>37</v>
      </c>
      <c r="K697" t="s">
        <v>38</v>
      </c>
      <c r="M697">
        <v>58.79</v>
      </c>
      <c r="N697" s="4">
        <f t="shared" si="10"/>
        <v>-889.04269433577144</v>
      </c>
      <c r="O697" t="s">
        <v>83</v>
      </c>
    </row>
    <row r="698" spans="1:17" x14ac:dyDescent="0.25">
      <c r="A698" s="38">
        <v>45693</v>
      </c>
      <c r="B698" s="1">
        <v>50253004</v>
      </c>
      <c r="C698" t="s">
        <v>89</v>
      </c>
      <c r="D698" s="23">
        <v>-244.79</v>
      </c>
      <c r="E698" t="s">
        <v>35</v>
      </c>
      <c r="F698" s="2">
        <v>610148001</v>
      </c>
      <c r="G698" s="2" t="s">
        <v>41</v>
      </c>
      <c r="I698" s="95" t="s">
        <v>7231</v>
      </c>
      <c r="J698" t="s">
        <v>42</v>
      </c>
      <c r="K698" t="s">
        <v>41</v>
      </c>
      <c r="M698">
        <v>58.79</v>
      </c>
      <c r="N698" s="4">
        <f t="shared" si="10"/>
        <v>-4.1638033679197139</v>
      </c>
      <c r="O698" t="s">
        <v>83</v>
      </c>
      <c r="Q698" s="24" t="s">
        <v>677</v>
      </c>
    </row>
    <row r="699" spans="1:17" x14ac:dyDescent="0.25">
      <c r="A699" s="38">
        <v>45694</v>
      </c>
      <c r="B699" s="1">
        <v>135704472</v>
      </c>
      <c r="C699" t="s">
        <v>82</v>
      </c>
      <c r="D699" s="23">
        <v>100000</v>
      </c>
      <c r="E699" t="s">
        <v>45</v>
      </c>
      <c r="F699" s="2">
        <v>210115002</v>
      </c>
      <c r="G699" s="2" t="s">
        <v>46</v>
      </c>
      <c r="I699" s="95" t="s">
        <v>7231</v>
      </c>
      <c r="K699" t="s">
        <v>82</v>
      </c>
      <c r="M699">
        <v>59.46</v>
      </c>
      <c r="N699" s="4">
        <f t="shared" si="10"/>
        <v>1681.8028927009755</v>
      </c>
      <c r="O699" t="s">
        <v>83</v>
      </c>
    </row>
    <row r="700" spans="1:17" x14ac:dyDescent="0.25">
      <c r="A700" s="38">
        <v>45694</v>
      </c>
      <c r="B700" s="1">
        <v>518065628</v>
      </c>
      <c r="C700" t="s">
        <v>709</v>
      </c>
      <c r="D700" s="23">
        <v>-97026.26</v>
      </c>
      <c r="E700" t="s">
        <v>35</v>
      </c>
      <c r="F700" s="2">
        <v>210101001</v>
      </c>
      <c r="G700" s="2" t="s">
        <v>36</v>
      </c>
      <c r="I700" s="95" t="s">
        <v>7231</v>
      </c>
      <c r="J700" t="s">
        <v>37</v>
      </c>
      <c r="K700" t="s">
        <v>38</v>
      </c>
      <c r="M700">
        <v>59.46</v>
      </c>
      <c r="N700" s="4">
        <f t="shared" si="10"/>
        <v>-1631.7904473595693</v>
      </c>
      <c r="O700" t="s">
        <v>83</v>
      </c>
    </row>
    <row r="701" spans="1:17" x14ac:dyDescent="0.25">
      <c r="A701" s="38">
        <v>45694</v>
      </c>
      <c r="B701" s="1">
        <v>518065628</v>
      </c>
      <c r="C701" t="s">
        <v>185</v>
      </c>
      <c r="D701" s="23">
        <v>-291.08</v>
      </c>
      <c r="E701" t="s">
        <v>35</v>
      </c>
      <c r="F701" s="2">
        <v>610148001</v>
      </c>
      <c r="G701" s="2" t="s">
        <v>41</v>
      </c>
      <c r="I701" s="95" t="s">
        <v>7231</v>
      </c>
      <c r="J701" t="s">
        <v>42</v>
      </c>
      <c r="K701" t="s">
        <v>41</v>
      </c>
      <c r="M701">
        <v>59.46</v>
      </c>
      <c r="N701" s="4">
        <f t="shared" si="10"/>
        <v>-4.8953918600739987</v>
      </c>
      <c r="O701" t="s">
        <v>83</v>
      </c>
      <c r="Q701" s="24" t="s">
        <v>677</v>
      </c>
    </row>
    <row r="702" spans="1:17" x14ac:dyDescent="0.25">
      <c r="A702" s="38">
        <v>45695</v>
      </c>
      <c r="B702" s="1">
        <v>110813676</v>
      </c>
      <c r="C702" t="s">
        <v>82</v>
      </c>
      <c r="D702" s="23">
        <v>280000</v>
      </c>
      <c r="E702" t="s">
        <v>45</v>
      </c>
      <c r="F702" s="2">
        <v>210115002</v>
      </c>
      <c r="G702" s="2" t="s">
        <v>46</v>
      </c>
      <c r="I702" s="95" t="s">
        <v>7231</v>
      </c>
      <c r="K702" t="s">
        <v>82</v>
      </c>
      <c r="M702">
        <v>60.14</v>
      </c>
      <c r="N702" s="4">
        <f t="shared" si="10"/>
        <v>4655.8031260392418</v>
      </c>
      <c r="O702" t="s">
        <v>83</v>
      </c>
    </row>
    <row r="703" spans="1:17" x14ac:dyDescent="0.25">
      <c r="A703" s="38">
        <v>45695</v>
      </c>
      <c r="B703" s="1">
        <v>318103414</v>
      </c>
      <c r="C703" t="s">
        <v>710</v>
      </c>
      <c r="D703" s="23">
        <v>-3608.4</v>
      </c>
      <c r="E703" t="s">
        <v>35</v>
      </c>
      <c r="F703" s="2">
        <v>212901001</v>
      </c>
      <c r="G703" s="2" t="s">
        <v>91</v>
      </c>
      <c r="I703" s="95" t="s">
        <v>7231</v>
      </c>
      <c r="J703" t="s">
        <v>61</v>
      </c>
      <c r="K703" t="s">
        <v>62</v>
      </c>
      <c r="M703">
        <v>60.14</v>
      </c>
      <c r="N703" s="4">
        <f t="shared" si="10"/>
        <v>-60</v>
      </c>
      <c r="O703" t="s">
        <v>83</v>
      </c>
    </row>
    <row r="704" spans="1:17" x14ac:dyDescent="0.25">
      <c r="A704" s="38">
        <v>45695</v>
      </c>
      <c r="B704" s="1">
        <v>318103415</v>
      </c>
      <c r="C704" t="s">
        <v>711</v>
      </c>
      <c r="D704" s="23">
        <v>-3608.4</v>
      </c>
      <c r="E704" t="s">
        <v>35</v>
      </c>
      <c r="F704" s="2">
        <v>212901001</v>
      </c>
      <c r="G704" s="2" t="s">
        <v>91</v>
      </c>
      <c r="I704" s="95" t="s">
        <v>7231</v>
      </c>
      <c r="J704" t="s">
        <v>61</v>
      </c>
      <c r="K704" t="s">
        <v>62</v>
      </c>
      <c r="M704">
        <v>60.14</v>
      </c>
      <c r="N704" s="4">
        <f t="shared" si="10"/>
        <v>-60</v>
      </c>
      <c r="O704" t="s">
        <v>83</v>
      </c>
    </row>
    <row r="705" spans="1:15" x14ac:dyDescent="0.25">
      <c r="A705" s="38">
        <v>45695</v>
      </c>
      <c r="B705" s="1">
        <v>318103417</v>
      </c>
      <c r="C705" t="s">
        <v>712</v>
      </c>
      <c r="D705" s="23">
        <v>-3608.4</v>
      </c>
      <c r="E705" t="s">
        <v>35</v>
      </c>
      <c r="F705" s="2">
        <v>212901001</v>
      </c>
      <c r="G705" s="2" t="s">
        <v>91</v>
      </c>
      <c r="I705" s="95" t="s">
        <v>7231</v>
      </c>
      <c r="J705" t="s">
        <v>61</v>
      </c>
      <c r="K705" t="s">
        <v>62</v>
      </c>
      <c r="M705">
        <v>60.14</v>
      </c>
      <c r="N705" s="4">
        <f t="shared" si="10"/>
        <v>-60</v>
      </c>
      <c r="O705" t="s">
        <v>83</v>
      </c>
    </row>
    <row r="706" spans="1:15" x14ac:dyDescent="0.25">
      <c r="A706" s="38">
        <v>45695</v>
      </c>
      <c r="B706" s="1">
        <v>318103418</v>
      </c>
      <c r="C706" t="s">
        <v>713</v>
      </c>
      <c r="D706" s="23">
        <v>-3608.4</v>
      </c>
      <c r="E706" t="s">
        <v>35</v>
      </c>
      <c r="F706" s="2">
        <v>212901001</v>
      </c>
      <c r="G706" s="2" t="s">
        <v>91</v>
      </c>
      <c r="I706" s="95" t="s">
        <v>7231</v>
      </c>
      <c r="J706" t="s">
        <v>61</v>
      </c>
      <c r="K706" t="s">
        <v>62</v>
      </c>
      <c r="M706">
        <v>60.14</v>
      </c>
      <c r="N706" s="4">
        <f t="shared" si="10"/>
        <v>-60</v>
      </c>
      <c r="O706" t="s">
        <v>83</v>
      </c>
    </row>
    <row r="707" spans="1:15" x14ac:dyDescent="0.25">
      <c r="A707" s="38">
        <v>45695</v>
      </c>
      <c r="B707" s="1">
        <v>318103423</v>
      </c>
      <c r="C707" t="s">
        <v>714</v>
      </c>
      <c r="D707" s="23">
        <v>-3608.4</v>
      </c>
      <c r="E707" t="s">
        <v>35</v>
      </c>
      <c r="F707" s="2">
        <v>212901001</v>
      </c>
      <c r="G707" s="2" t="s">
        <v>91</v>
      </c>
      <c r="I707" s="95" t="s">
        <v>7231</v>
      </c>
      <c r="J707" t="s">
        <v>61</v>
      </c>
      <c r="K707" t="s">
        <v>62</v>
      </c>
      <c r="M707">
        <v>60.14</v>
      </c>
      <c r="N707" s="4">
        <f t="shared" si="10"/>
        <v>-60</v>
      </c>
      <c r="O707" t="s">
        <v>83</v>
      </c>
    </row>
    <row r="708" spans="1:15" x14ac:dyDescent="0.25">
      <c r="A708" s="38">
        <v>45695</v>
      </c>
      <c r="B708" s="1">
        <v>318103424</v>
      </c>
      <c r="C708" t="s">
        <v>715</v>
      </c>
      <c r="D708" s="23">
        <v>-3608.4</v>
      </c>
      <c r="E708" t="s">
        <v>35</v>
      </c>
      <c r="F708" s="2">
        <v>212901001</v>
      </c>
      <c r="G708" s="2" t="s">
        <v>91</v>
      </c>
      <c r="I708" s="95" t="s">
        <v>7231</v>
      </c>
      <c r="J708" t="s">
        <v>61</v>
      </c>
      <c r="K708" t="s">
        <v>62</v>
      </c>
      <c r="M708">
        <v>60.14</v>
      </c>
      <c r="N708" s="4">
        <f t="shared" si="10"/>
        <v>-60</v>
      </c>
      <c r="O708" t="s">
        <v>83</v>
      </c>
    </row>
    <row r="709" spans="1:15" x14ac:dyDescent="0.25">
      <c r="A709" s="38">
        <v>45695</v>
      </c>
      <c r="B709" s="1">
        <v>318103419</v>
      </c>
      <c r="C709" t="s">
        <v>716</v>
      </c>
      <c r="D709" s="23">
        <v>-3608.4</v>
      </c>
      <c r="E709" t="s">
        <v>35</v>
      </c>
      <c r="F709" s="2">
        <v>212901001</v>
      </c>
      <c r="G709" s="2" t="s">
        <v>91</v>
      </c>
      <c r="I709" s="95" t="s">
        <v>7231</v>
      </c>
      <c r="J709" t="s">
        <v>61</v>
      </c>
      <c r="K709" t="s">
        <v>62</v>
      </c>
      <c r="M709">
        <v>60.14</v>
      </c>
      <c r="N709" s="4">
        <f t="shared" si="10"/>
        <v>-60</v>
      </c>
      <c r="O709" t="s">
        <v>83</v>
      </c>
    </row>
    <row r="710" spans="1:15" x14ac:dyDescent="0.25">
      <c r="A710" s="38">
        <v>45695</v>
      </c>
      <c r="B710" s="1">
        <v>318103422</v>
      </c>
      <c r="C710" t="s">
        <v>717</v>
      </c>
      <c r="D710" s="23">
        <v>-3608.4</v>
      </c>
      <c r="E710" t="s">
        <v>35</v>
      </c>
      <c r="F710" s="2">
        <v>212901001</v>
      </c>
      <c r="G710" s="2" t="s">
        <v>91</v>
      </c>
      <c r="I710" s="95" t="s">
        <v>7231</v>
      </c>
      <c r="J710" t="s">
        <v>61</v>
      </c>
      <c r="K710" t="s">
        <v>62</v>
      </c>
      <c r="M710">
        <v>60.14</v>
      </c>
      <c r="N710" s="4">
        <f t="shared" si="10"/>
        <v>-60</v>
      </c>
      <c r="O710" t="s">
        <v>83</v>
      </c>
    </row>
    <row r="711" spans="1:15" x14ac:dyDescent="0.25">
      <c r="A711" s="38">
        <v>45695</v>
      </c>
      <c r="B711" s="1">
        <v>318103421</v>
      </c>
      <c r="C711" t="s">
        <v>718</v>
      </c>
      <c r="D711" s="23">
        <v>-3608.4</v>
      </c>
      <c r="E711" t="s">
        <v>35</v>
      </c>
      <c r="F711" s="2">
        <v>212901001</v>
      </c>
      <c r="G711" s="2" t="s">
        <v>91</v>
      </c>
      <c r="I711" s="95" t="s">
        <v>7231</v>
      </c>
      <c r="J711" t="s">
        <v>61</v>
      </c>
      <c r="K711" t="s">
        <v>62</v>
      </c>
      <c r="M711">
        <v>60.14</v>
      </c>
      <c r="N711" s="4">
        <f t="shared" si="10"/>
        <v>-60</v>
      </c>
      <c r="O711" t="s">
        <v>83</v>
      </c>
    </row>
    <row r="712" spans="1:15" x14ac:dyDescent="0.25">
      <c r="A712" s="38">
        <v>45695</v>
      </c>
      <c r="B712" s="1">
        <v>318103425</v>
      </c>
      <c r="C712" t="s">
        <v>719</v>
      </c>
      <c r="D712" s="23">
        <v>-3608.4</v>
      </c>
      <c r="E712" t="s">
        <v>35</v>
      </c>
      <c r="F712" s="2">
        <v>212901001</v>
      </c>
      <c r="G712" s="2" t="s">
        <v>91</v>
      </c>
      <c r="I712" s="95" t="s">
        <v>7231</v>
      </c>
      <c r="J712" t="s">
        <v>61</v>
      </c>
      <c r="K712" t="s">
        <v>62</v>
      </c>
      <c r="M712">
        <v>60.14</v>
      </c>
      <c r="N712" s="4">
        <f t="shared" si="10"/>
        <v>-60</v>
      </c>
      <c r="O712" t="s">
        <v>83</v>
      </c>
    </row>
    <row r="713" spans="1:15" x14ac:dyDescent="0.25">
      <c r="A713" s="38">
        <v>45695</v>
      </c>
      <c r="B713" s="1">
        <v>418103426</v>
      </c>
      <c r="C713" t="s">
        <v>720</v>
      </c>
      <c r="D713" s="23">
        <v>-3608.4</v>
      </c>
      <c r="E713" t="s">
        <v>35</v>
      </c>
      <c r="F713" s="2">
        <v>212901001</v>
      </c>
      <c r="G713" s="2" t="s">
        <v>91</v>
      </c>
      <c r="I713" s="95" t="s">
        <v>7231</v>
      </c>
      <c r="J713" t="s">
        <v>61</v>
      </c>
      <c r="K713" t="s">
        <v>62</v>
      </c>
      <c r="M713">
        <v>60.14</v>
      </c>
      <c r="N713" s="4">
        <f t="shared" si="10"/>
        <v>-60</v>
      </c>
      <c r="O713" t="s">
        <v>83</v>
      </c>
    </row>
    <row r="714" spans="1:15" x14ac:dyDescent="0.25">
      <c r="A714" s="38">
        <v>45695</v>
      </c>
      <c r="B714" s="1">
        <v>418103432</v>
      </c>
      <c r="C714" t="s">
        <v>721</v>
      </c>
      <c r="D714" s="23">
        <v>-3608.4</v>
      </c>
      <c r="E714" t="s">
        <v>35</v>
      </c>
      <c r="F714" s="2">
        <v>212901001</v>
      </c>
      <c r="G714" s="2" t="s">
        <v>91</v>
      </c>
      <c r="I714" s="95" t="s">
        <v>7231</v>
      </c>
      <c r="J714" t="s">
        <v>61</v>
      </c>
      <c r="K714" t="s">
        <v>62</v>
      </c>
      <c r="M714">
        <v>60.14</v>
      </c>
      <c r="N714" s="4">
        <f t="shared" si="10"/>
        <v>-60</v>
      </c>
      <c r="O714" t="s">
        <v>83</v>
      </c>
    </row>
    <row r="715" spans="1:15" x14ac:dyDescent="0.25">
      <c r="A715" s="38">
        <v>45695</v>
      </c>
      <c r="B715" s="1">
        <v>418103428</v>
      </c>
      <c r="C715" t="s">
        <v>722</v>
      </c>
      <c r="D715" s="23">
        <v>-3608.4</v>
      </c>
      <c r="E715" t="s">
        <v>35</v>
      </c>
      <c r="F715" s="2">
        <v>212901001</v>
      </c>
      <c r="G715" s="2" t="s">
        <v>91</v>
      </c>
      <c r="I715" s="95" t="s">
        <v>7231</v>
      </c>
      <c r="J715" t="s">
        <v>61</v>
      </c>
      <c r="K715" t="s">
        <v>62</v>
      </c>
      <c r="M715">
        <v>60.14</v>
      </c>
      <c r="N715" s="4">
        <f t="shared" si="10"/>
        <v>-60</v>
      </c>
      <c r="O715" t="s">
        <v>83</v>
      </c>
    </row>
    <row r="716" spans="1:15" x14ac:dyDescent="0.25">
      <c r="A716" s="38">
        <v>45695</v>
      </c>
      <c r="B716" s="1">
        <v>418103431</v>
      </c>
      <c r="C716" t="s">
        <v>723</v>
      </c>
      <c r="D716" s="23">
        <v>-3608.4</v>
      </c>
      <c r="E716" t="s">
        <v>35</v>
      </c>
      <c r="F716" s="2">
        <v>212901001</v>
      </c>
      <c r="G716" s="2" t="s">
        <v>91</v>
      </c>
      <c r="I716" s="95" t="s">
        <v>7231</v>
      </c>
      <c r="J716" t="s">
        <v>61</v>
      </c>
      <c r="K716" t="s">
        <v>62</v>
      </c>
      <c r="M716">
        <v>60.14</v>
      </c>
      <c r="N716" s="4">
        <f t="shared" ref="N716:N779" si="11">D716/M716</f>
        <v>-60</v>
      </c>
      <c r="O716" t="s">
        <v>83</v>
      </c>
    </row>
    <row r="717" spans="1:15" x14ac:dyDescent="0.25">
      <c r="A717" s="38">
        <v>45695</v>
      </c>
      <c r="B717" s="1">
        <v>418103436</v>
      </c>
      <c r="C717" t="s">
        <v>724</v>
      </c>
      <c r="D717" s="23">
        <v>-4811.2</v>
      </c>
      <c r="E717" t="s">
        <v>35</v>
      </c>
      <c r="F717" s="2">
        <v>212901001</v>
      </c>
      <c r="G717" s="2" t="s">
        <v>91</v>
      </c>
      <c r="I717" s="95" t="s">
        <v>7231</v>
      </c>
      <c r="J717" t="s">
        <v>61</v>
      </c>
      <c r="K717" t="s">
        <v>62</v>
      </c>
      <c r="M717">
        <v>60.14</v>
      </c>
      <c r="N717" s="4">
        <f t="shared" si="11"/>
        <v>-80</v>
      </c>
      <c r="O717" t="s">
        <v>83</v>
      </c>
    </row>
    <row r="718" spans="1:15" x14ac:dyDescent="0.25">
      <c r="A718" s="38">
        <v>45695</v>
      </c>
      <c r="B718" s="1">
        <v>418103430</v>
      </c>
      <c r="C718" t="s">
        <v>725</v>
      </c>
      <c r="D718" s="23">
        <v>-3608.4</v>
      </c>
      <c r="E718" t="s">
        <v>35</v>
      </c>
      <c r="F718" s="2">
        <v>212901001</v>
      </c>
      <c r="G718" s="2" t="s">
        <v>91</v>
      </c>
      <c r="I718" s="95" t="s">
        <v>7231</v>
      </c>
      <c r="J718" t="s">
        <v>61</v>
      </c>
      <c r="K718" t="s">
        <v>62</v>
      </c>
      <c r="M718">
        <v>60.14</v>
      </c>
      <c r="N718" s="4">
        <f t="shared" si="11"/>
        <v>-60</v>
      </c>
      <c r="O718" t="s">
        <v>83</v>
      </c>
    </row>
    <row r="719" spans="1:15" x14ac:dyDescent="0.25">
      <c r="A719" s="38">
        <v>45695</v>
      </c>
      <c r="B719" s="1">
        <v>418103429</v>
      </c>
      <c r="C719" t="s">
        <v>726</v>
      </c>
      <c r="D719" s="23">
        <v>-3608.4</v>
      </c>
      <c r="E719" t="s">
        <v>35</v>
      </c>
      <c r="F719" s="2">
        <v>212901001</v>
      </c>
      <c r="G719" s="2" t="s">
        <v>91</v>
      </c>
      <c r="I719" s="95" t="s">
        <v>7231</v>
      </c>
      <c r="J719" t="s">
        <v>61</v>
      </c>
      <c r="K719" t="s">
        <v>62</v>
      </c>
      <c r="M719">
        <v>60.14</v>
      </c>
      <c r="N719" s="4">
        <f t="shared" si="11"/>
        <v>-60</v>
      </c>
      <c r="O719" t="s">
        <v>83</v>
      </c>
    </row>
    <row r="720" spans="1:15" x14ac:dyDescent="0.25">
      <c r="A720" s="38">
        <v>45695</v>
      </c>
      <c r="B720" s="1">
        <v>518103438</v>
      </c>
      <c r="C720" t="s">
        <v>727</v>
      </c>
      <c r="D720" s="23">
        <v>-4811.2</v>
      </c>
      <c r="E720" t="s">
        <v>35</v>
      </c>
      <c r="F720" s="2">
        <v>212901001</v>
      </c>
      <c r="G720" s="2" t="s">
        <v>91</v>
      </c>
      <c r="I720" s="95" t="s">
        <v>7231</v>
      </c>
      <c r="J720" t="s">
        <v>61</v>
      </c>
      <c r="K720" t="s">
        <v>62</v>
      </c>
      <c r="M720">
        <v>60.14</v>
      </c>
      <c r="N720" s="4">
        <f t="shared" si="11"/>
        <v>-80</v>
      </c>
      <c r="O720" t="s">
        <v>83</v>
      </c>
    </row>
    <row r="721" spans="1:15" x14ac:dyDescent="0.25">
      <c r="A721" s="38">
        <v>45695</v>
      </c>
      <c r="B721" s="1">
        <v>418103434</v>
      </c>
      <c r="C721" t="s">
        <v>728</v>
      </c>
      <c r="D721" s="23">
        <v>-6014</v>
      </c>
      <c r="E721" t="s">
        <v>35</v>
      </c>
      <c r="F721" s="2">
        <v>212901001</v>
      </c>
      <c r="G721" s="2" t="s">
        <v>91</v>
      </c>
      <c r="I721" s="95" t="s">
        <v>7231</v>
      </c>
      <c r="J721" t="s">
        <v>61</v>
      </c>
      <c r="K721" t="s">
        <v>62</v>
      </c>
      <c r="M721">
        <v>60.14</v>
      </c>
      <c r="N721" s="4">
        <f t="shared" si="11"/>
        <v>-100</v>
      </c>
      <c r="O721" t="s">
        <v>83</v>
      </c>
    </row>
    <row r="722" spans="1:15" x14ac:dyDescent="0.25">
      <c r="A722" s="38">
        <v>45695</v>
      </c>
      <c r="B722" s="1">
        <v>418103433</v>
      </c>
      <c r="C722" t="s">
        <v>729</v>
      </c>
      <c r="D722" s="23">
        <v>-9021</v>
      </c>
      <c r="E722" t="s">
        <v>35</v>
      </c>
      <c r="F722" s="2">
        <v>212901001</v>
      </c>
      <c r="G722" s="2" t="s">
        <v>91</v>
      </c>
      <c r="I722" s="95" t="s">
        <v>7231</v>
      </c>
      <c r="J722" t="s">
        <v>61</v>
      </c>
      <c r="K722" t="s">
        <v>62</v>
      </c>
      <c r="M722">
        <v>60.14</v>
      </c>
      <c r="N722" s="4">
        <f t="shared" si="11"/>
        <v>-150</v>
      </c>
      <c r="O722" t="s">
        <v>83</v>
      </c>
    </row>
    <row r="723" spans="1:15" x14ac:dyDescent="0.25">
      <c r="A723" s="38">
        <v>45695</v>
      </c>
      <c r="B723" s="1">
        <v>518103439</v>
      </c>
      <c r="C723" t="s">
        <v>730</v>
      </c>
      <c r="D723" s="23">
        <v>-4811.2</v>
      </c>
      <c r="E723" t="s">
        <v>35</v>
      </c>
      <c r="F723" s="2">
        <v>212901001</v>
      </c>
      <c r="G723" s="2" t="s">
        <v>91</v>
      </c>
      <c r="I723" s="95" t="s">
        <v>7231</v>
      </c>
      <c r="J723" t="s">
        <v>61</v>
      </c>
      <c r="K723" t="s">
        <v>62</v>
      </c>
      <c r="M723">
        <v>60.14</v>
      </c>
      <c r="N723" s="4">
        <f t="shared" si="11"/>
        <v>-80</v>
      </c>
      <c r="O723" t="s">
        <v>83</v>
      </c>
    </row>
    <row r="724" spans="1:15" x14ac:dyDescent="0.25">
      <c r="A724" s="38">
        <v>45695</v>
      </c>
      <c r="B724" s="1">
        <v>418103435</v>
      </c>
      <c r="C724" t="s">
        <v>731</v>
      </c>
      <c r="D724" s="23">
        <v>-4811.2</v>
      </c>
      <c r="E724" t="s">
        <v>35</v>
      </c>
      <c r="F724" s="2">
        <v>212901001</v>
      </c>
      <c r="G724" s="2" t="s">
        <v>91</v>
      </c>
      <c r="I724" s="95" t="s">
        <v>7231</v>
      </c>
      <c r="J724" t="s">
        <v>61</v>
      </c>
      <c r="K724" t="s">
        <v>62</v>
      </c>
      <c r="M724">
        <v>60.14</v>
      </c>
      <c r="N724" s="4">
        <f t="shared" si="11"/>
        <v>-80</v>
      </c>
      <c r="O724" t="s">
        <v>83</v>
      </c>
    </row>
    <row r="725" spans="1:15" x14ac:dyDescent="0.25">
      <c r="A725" s="38">
        <v>45695</v>
      </c>
      <c r="B725" s="1">
        <v>418103437</v>
      </c>
      <c r="C725" t="s">
        <v>732</v>
      </c>
      <c r="D725" s="23">
        <v>-4811.2</v>
      </c>
      <c r="E725" t="s">
        <v>35</v>
      </c>
      <c r="F725" s="2">
        <v>212901001</v>
      </c>
      <c r="G725" s="2" t="s">
        <v>91</v>
      </c>
      <c r="I725" s="95" t="s">
        <v>7231</v>
      </c>
      <c r="J725" t="s">
        <v>61</v>
      </c>
      <c r="K725" t="s">
        <v>62</v>
      </c>
      <c r="M725">
        <v>60.14</v>
      </c>
      <c r="N725" s="4">
        <f t="shared" si="11"/>
        <v>-80</v>
      </c>
      <c r="O725" t="s">
        <v>83</v>
      </c>
    </row>
    <row r="726" spans="1:15" x14ac:dyDescent="0.25">
      <c r="A726" s="38">
        <v>45695</v>
      </c>
      <c r="B726" s="1">
        <v>518103440</v>
      </c>
      <c r="C726" t="s">
        <v>733</v>
      </c>
      <c r="D726" s="23">
        <v>-4811.2</v>
      </c>
      <c r="E726" t="s">
        <v>35</v>
      </c>
      <c r="F726" s="2">
        <v>212901001</v>
      </c>
      <c r="G726" s="2" t="s">
        <v>91</v>
      </c>
      <c r="I726" s="95" t="s">
        <v>7231</v>
      </c>
      <c r="J726" t="s">
        <v>61</v>
      </c>
      <c r="K726" t="s">
        <v>62</v>
      </c>
      <c r="M726">
        <v>60.14</v>
      </c>
      <c r="N726" s="4">
        <f t="shared" si="11"/>
        <v>-80</v>
      </c>
      <c r="O726" t="s">
        <v>83</v>
      </c>
    </row>
    <row r="727" spans="1:15" x14ac:dyDescent="0.25">
      <c r="A727" s="38">
        <v>45695</v>
      </c>
      <c r="B727" s="1">
        <v>518103441</v>
      </c>
      <c r="C727" t="s">
        <v>734</v>
      </c>
      <c r="D727" s="23">
        <v>-3007</v>
      </c>
      <c r="E727" t="s">
        <v>35</v>
      </c>
      <c r="F727" s="2">
        <v>212901001</v>
      </c>
      <c r="G727" s="2" t="s">
        <v>91</v>
      </c>
      <c r="I727" s="95" t="s">
        <v>7231</v>
      </c>
      <c r="J727" t="s">
        <v>61</v>
      </c>
      <c r="K727" t="s">
        <v>62</v>
      </c>
      <c r="M727">
        <v>60.14</v>
      </c>
      <c r="N727" s="4">
        <f t="shared" si="11"/>
        <v>-50</v>
      </c>
      <c r="O727" t="s">
        <v>83</v>
      </c>
    </row>
    <row r="728" spans="1:15" x14ac:dyDescent="0.25">
      <c r="A728" s="38">
        <v>45695</v>
      </c>
      <c r="B728" s="1">
        <v>518103442</v>
      </c>
      <c r="C728" t="s">
        <v>735</v>
      </c>
      <c r="D728" s="23">
        <v>-3007</v>
      </c>
      <c r="E728" t="s">
        <v>35</v>
      </c>
      <c r="F728" s="2">
        <v>212901001</v>
      </c>
      <c r="G728" s="2" t="s">
        <v>91</v>
      </c>
      <c r="I728" s="95" t="s">
        <v>7231</v>
      </c>
      <c r="J728" t="s">
        <v>61</v>
      </c>
      <c r="K728" t="s">
        <v>62</v>
      </c>
      <c r="M728">
        <v>60.14</v>
      </c>
      <c r="N728" s="4">
        <f t="shared" si="11"/>
        <v>-50</v>
      </c>
      <c r="O728" t="s">
        <v>83</v>
      </c>
    </row>
    <row r="729" spans="1:15" x14ac:dyDescent="0.25">
      <c r="A729" s="38">
        <v>45695</v>
      </c>
      <c r="B729" s="1">
        <v>518103444</v>
      </c>
      <c r="C729" t="s">
        <v>736</v>
      </c>
      <c r="D729" s="23">
        <v>-3007</v>
      </c>
      <c r="E729" t="s">
        <v>35</v>
      </c>
      <c r="F729" s="2">
        <v>212901001</v>
      </c>
      <c r="G729" s="2" t="s">
        <v>91</v>
      </c>
      <c r="I729" s="95" t="s">
        <v>7231</v>
      </c>
      <c r="J729" t="s">
        <v>61</v>
      </c>
      <c r="K729" t="s">
        <v>62</v>
      </c>
      <c r="M729">
        <v>60.14</v>
      </c>
      <c r="N729" s="4">
        <f t="shared" si="11"/>
        <v>-50</v>
      </c>
      <c r="O729" t="s">
        <v>83</v>
      </c>
    </row>
    <row r="730" spans="1:15" x14ac:dyDescent="0.25">
      <c r="A730" s="38">
        <v>45695</v>
      </c>
      <c r="B730" s="1">
        <v>518103443</v>
      </c>
      <c r="C730" t="s">
        <v>737</v>
      </c>
      <c r="D730" s="23">
        <v>-3007</v>
      </c>
      <c r="E730" t="s">
        <v>35</v>
      </c>
      <c r="F730" s="2">
        <v>212901001</v>
      </c>
      <c r="G730" s="2" t="s">
        <v>91</v>
      </c>
      <c r="I730" s="95" t="s">
        <v>7231</v>
      </c>
      <c r="J730" t="s">
        <v>61</v>
      </c>
      <c r="K730" t="s">
        <v>62</v>
      </c>
      <c r="M730">
        <v>60.14</v>
      </c>
      <c r="N730" s="4">
        <f t="shared" si="11"/>
        <v>-50</v>
      </c>
      <c r="O730" t="s">
        <v>83</v>
      </c>
    </row>
    <row r="731" spans="1:15" x14ac:dyDescent="0.25">
      <c r="A731" s="38">
        <v>45695</v>
      </c>
      <c r="B731" s="1">
        <v>518103445</v>
      </c>
      <c r="C731" t="s">
        <v>738</v>
      </c>
      <c r="D731" s="23">
        <v>-3007</v>
      </c>
      <c r="E731" t="s">
        <v>35</v>
      </c>
      <c r="F731" s="2">
        <v>212901001</v>
      </c>
      <c r="G731" s="2" t="s">
        <v>91</v>
      </c>
      <c r="I731" s="95" t="s">
        <v>7231</v>
      </c>
      <c r="J731" t="s">
        <v>61</v>
      </c>
      <c r="K731" t="s">
        <v>62</v>
      </c>
      <c r="M731">
        <v>60.14</v>
      </c>
      <c r="N731" s="4">
        <f t="shared" si="11"/>
        <v>-50</v>
      </c>
      <c r="O731" t="s">
        <v>83</v>
      </c>
    </row>
    <row r="732" spans="1:15" x14ac:dyDescent="0.25">
      <c r="A732" s="38">
        <v>45695</v>
      </c>
      <c r="B732" s="1">
        <v>518103447</v>
      </c>
      <c r="C732" t="s">
        <v>739</v>
      </c>
      <c r="D732" s="23">
        <v>-3007</v>
      </c>
      <c r="E732" t="s">
        <v>35</v>
      </c>
      <c r="F732" s="2">
        <v>212901001</v>
      </c>
      <c r="G732" s="2" t="s">
        <v>91</v>
      </c>
      <c r="I732" s="95" t="s">
        <v>7231</v>
      </c>
      <c r="J732" t="s">
        <v>61</v>
      </c>
      <c r="K732" t="s">
        <v>62</v>
      </c>
      <c r="M732">
        <v>60.14</v>
      </c>
      <c r="N732" s="4">
        <f t="shared" si="11"/>
        <v>-50</v>
      </c>
      <c r="O732" t="s">
        <v>83</v>
      </c>
    </row>
    <row r="733" spans="1:15" x14ac:dyDescent="0.25">
      <c r="A733" s="38">
        <v>45695</v>
      </c>
      <c r="B733" s="1">
        <v>518103448</v>
      </c>
      <c r="C733" t="s">
        <v>740</v>
      </c>
      <c r="D733" s="23">
        <v>-2405.6</v>
      </c>
      <c r="E733" t="s">
        <v>35</v>
      </c>
      <c r="F733" s="2">
        <v>212901001</v>
      </c>
      <c r="G733" s="2" t="s">
        <v>91</v>
      </c>
      <c r="I733" s="95" t="s">
        <v>7231</v>
      </c>
      <c r="J733" t="s">
        <v>61</v>
      </c>
      <c r="K733" t="s">
        <v>62</v>
      </c>
      <c r="M733">
        <v>60.14</v>
      </c>
      <c r="N733" s="4">
        <f t="shared" si="11"/>
        <v>-40</v>
      </c>
      <c r="O733" t="s">
        <v>83</v>
      </c>
    </row>
    <row r="734" spans="1:15" x14ac:dyDescent="0.25">
      <c r="A734" s="38">
        <v>45695</v>
      </c>
      <c r="B734" s="1">
        <v>618103451</v>
      </c>
      <c r="C734" t="s">
        <v>741</v>
      </c>
      <c r="D734" s="23">
        <v>-2405.6</v>
      </c>
      <c r="E734" t="s">
        <v>35</v>
      </c>
      <c r="F734" s="2">
        <v>212901001</v>
      </c>
      <c r="G734" s="2" t="s">
        <v>91</v>
      </c>
      <c r="I734" s="95" t="s">
        <v>7231</v>
      </c>
      <c r="J734" t="s">
        <v>61</v>
      </c>
      <c r="K734" t="s">
        <v>62</v>
      </c>
      <c r="M734">
        <v>60.14</v>
      </c>
      <c r="N734" s="4">
        <f t="shared" si="11"/>
        <v>-40</v>
      </c>
      <c r="O734" t="s">
        <v>83</v>
      </c>
    </row>
    <row r="735" spans="1:15" x14ac:dyDescent="0.25">
      <c r="A735" s="38">
        <v>45695</v>
      </c>
      <c r="B735" s="1">
        <v>518103449</v>
      </c>
      <c r="C735" t="s">
        <v>742</v>
      </c>
      <c r="D735" s="23">
        <v>-2405.6</v>
      </c>
      <c r="E735" t="s">
        <v>35</v>
      </c>
      <c r="F735" s="2">
        <v>212901001</v>
      </c>
      <c r="G735" s="2" t="s">
        <v>91</v>
      </c>
      <c r="I735" s="95" t="s">
        <v>7231</v>
      </c>
      <c r="J735" t="s">
        <v>61</v>
      </c>
      <c r="K735" t="s">
        <v>62</v>
      </c>
      <c r="M735">
        <v>60.14</v>
      </c>
      <c r="N735" s="4">
        <f t="shared" si="11"/>
        <v>-40</v>
      </c>
      <c r="O735" t="s">
        <v>83</v>
      </c>
    </row>
    <row r="736" spans="1:15" x14ac:dyDescent="0.25">
      <c r="A736" s="38">
        <v>45695</v>
      </c>
      <c r="B736" s="1">
        <v>618103450</v>
      </c>
      <c r="C736" t="s">
        <v>743</v>
      </c>
      <c r="D736" s="23">
        <v>-2405.6</v>
      </c>
      <c r="E736" t="s">
        <v>35</v>
      </c>
      <c r="F736" s="2">
        <v>212901001</v>
      </c>
      <c r="G736" s="2" t="s">
        <v>91</v>
      </c>
      <c r="I736" s="95" t="s">
        <v>7231</v>
      </c>
      <c r="J736" t="s">
        <v>61</v>
      </c>
      <c r="K736" t="s">
        <v>62</v>
      </c>
      <c r="M736">
        <v>60.14</v>
      </c>
      <c r="N736" s="4">
        <f t="shared" si="11"/>
        <v>-40</v>
      </c>
      <c r="O736" t="s">
        <v>83</v>
      </c>
    </row>
    <row r="737" spans="1:15" x14ac:dyDescent="0.25">
      <c r="A737" s="38">
        <v>45695</v>
      </c>
      <c r="B737" s="1">
        <v>618103453</v>
      </c>
      <c r="C737" t="s">
        <v>744</v>
      </c>
      <c r="D737" s="23">
        <v>-2405.6</v>
      </c>
      <c r="E737" t="s">
        <v>35</v>
      </c>
      <c r="F737" s="2">
        <v>212901001</v>
      </c>
      <c r="G737" s="2" t="s">
        <v>91</v>
      </c>
      <c r="I737" s="95" t="s">
        <v>7231</v>
      </c>
      <c r="J737" t="s">
        <v>61</v>
      </c>
      <c r="K737" t="s">
        <v>62</v>
      </c>
      <c r="M737">
        <v>60.14</v>
      </c>
      <c r="N737" s="4">
        <f t="shared" si="11"/>
        <v>-40</v>
      </c>
      <c r="O737" t="s">
        <v>83</v>
      </c>
    </row>
    <row r="738" spans="1:15" x14ac:dyDescent="0.25">
      <c r="A738" s="38">
        <v>45695</v>
      </c>
      <c r="B738" s="1">
        <v>618103454</v>
      </c>
      <c r="C738" t="s">
        <v>745</v>
      </c>
      <c r="D738" s="23">
        <v>-2405.6</v>
      </c>
      <c r="E738" t="s">
        <v>35</v>
      </c>
      <c r="F738" s="2">
        <v>212901001</v>
      </c>
      <c r="G738" s="2" t="s">
        <v>91</v>
      </c>
      <c r="I738" s="95" t="s">
        <v>7231</v>
      </c>
      <c r="J738" t="s">
        <v>61</v>
      </c>
      <c r="K738" t="s">
        <v>62</v>
      </c>
      <c r="M738">
        <v>60.14</v>
      </c>
      <c r="N738" s="4">
        <f t="shared" si="11"/>
        <v>-40</v>
      </c>
      <c r="O738" t="s">
        <v>83</v>
      </c>
    </row>
    <row r="739" spans="1:15" x14ac:dyDescent="0.25">
      <c r="A739" s="38">
        <v>45695</v>
      </c>
      <c r="B739" s="1">
        <v>618103452</v>
      </c>
      <c r="C739" t="s">
        <v>746</v>
      </c>
      <c r="D739" s="23">
        <v>-2405.6</v>
      </c>
      <c r="E739" t="s">
        <v>35</v>
      </c>
      <c r="F739" s="2">
        <v>212901001</v>
      </c>
      <c r="G739" s="2" t="s">
        <v>91</v>
      </c>
      <c r="I739" s="95" t="s">
        <v>7231</v>
      </c>
      <c r="J739" t="s">
        <v>61</v>
      </c>
      <c r="K739" t="s">
        <v>62</v>
      </c>
      <c r="M739">
        <v>60.14</v>
      </c>
      <c r="N739" s="4">
        <f t="shared" si="11"/>
        <v>-40</v>
      </c>
      <c r="O739" t="s">
        <v>83</v>
      </c>
    </row>
    <row r="740" spans="1:15" x14ac:dyDescent="0.25">
      <c r="A740" s="38">
        <v>45695</v>
      </c>
      <c r="B740" s="1">
        <v>618103456</v>
      </c>
      <c r="C740" t="s">
        <v>747</v>
      </c>
      <c r="D740" s="23">
        <v>-6014</v>
      </c>
      <c r="E740" t="s">
        <v>35</v>
      </c>
      <c r="F740" s="2">
        <v>212901001</v>
      </c>
      <c r="G740" s="2" t="s">
        <v>91</v>
      </c>
      <c r="I740" s="95" t="s">
        <v>7231</v>
      </c>
      <c r="J740" t="s">
        <v>61</v>
      </c>
      <c r="K740" t="s">
        <v>62</v>
      </c>
      <c r="M740">
        <v>60.14</v>
      </c>
      <c r="N740" s="4">
        <f t="shared" si="11"/>
        <v>-100</v>
      </c>
      <c r="O740" t="s">
        <v>83</v>
      </c>
    </row>
    <row r="741" spans="1:15" x14ac:dyDescent="0.25">
      <c r="A741" s="38">
        <v>45695</v>
      </c>
      <c r="B741" s="1">
        <v>618103455</v>
      </c>
      <c r="C741" t="s">
        <v>748</v>
      </c>
      <c r="D741" s="23">
        <v>-6014</v>
      </c>
      <c r="E741" t="s">
        <v>35</v>
      </c>
      <c r="F741" s="2">
        <v>212901001</v>
      </c>
      <c r="G741" s="2" t="s">
        <v>91</v>
      </c>
      <c r="I741" s="95" t="s">
        <v>7231</v>
      </c>
      <c r="J741" t="s">
        <v>61</v>
      </c>
      <c r="K741" t="s">
        <v>62</v>
      </c>
      <c r="M741">
        <v>60.14</v>
      </c>
      <c r="N741" s="4">
        <f t="shared" si="11"/>
        <v>-100</v>
      </c>
      <c r="O741" t="s">
        <v>83</v>
      </c>
    </row>
    <row r="742" spans="1:15" x14ac:dyDescent="0.25">
      <c r="A742" s="38">
        <v>45695</v>
      </c>
      <c r="B742" s="1">
        <v>618103460</v>
      </c>
      <c r="C742" t="s">
        <v>749</v>
      </c>
      <c r="D742" s="23">
        <v>-4811.2</v>
      </c>
      <c r="E742" t="s">
        <v>35</v>
      </c>
      <c r="F742" s="2">
        <v>212901001</v>
      </c>
      <c r="G742" s="2" t="s">
        <v>91</v>
      </c>
      <c r="I742" s="95" t="s">
        <v>7231</v>
      </c>
      <c r="J742" t="s">
        <v>61</v>
      </c>
      <c r="K742" t="s">
        <v>62</v>
      </c>
      <c r="M742">
        <v>60.14</v>
      </c>
      <c r="N742" s="4">
        <f t="shared" si="11"/>
        <v>-80</v>
      </c>
      <c r="O742" t="s">
        <v>83</v>
      </c>
    </row>
    <row r="743" spans="1:15" x14ac:dyDescent="0.25">
      <c r="A743" s="38">
        <v>45695</v>
      </c>
      <c r="B743" s="1">
        <v>618103457</v>
      </c>
      <c r="C743" t="s">
        <v>750</v>
      </c>
      <c r="D743" s="23">
        <v>-9021</v>
      </c>
      <c r="E743" t="s">
        <v>35</v>
      </c>
      <c r="F743" s="2">
        <v>212901001</v>
      </c>
      <c r="G743" s="2" t="s">
        <v>91</v>
      </c>
      <c r="I743" s="95" t="s">
        <v>7231</v>
      </c>
      <c r="J743" t="s">
        <v>61</v>
      </c>
      <c r="K743" t="s">
        <v>62</v>
      </c>
      <c r="M743">
        <v>60.14</v>
      </c>
      <c r="N743" s="4">
        <f t="shared" si="11"/>
        <v>-150</v>
      </c>
      <c r="O743" t="s">
        <v>83</v>
      </c>
    </row>
    <row r="744" spans="1:15" x14ac:dyDescent="0.25">
      <c r="A744" s="38">
        <v>45695</v>
      </c>
      <c r="B744" s="1">
        <v>718103462</v>
      </c>
      <c r="C744" t="s">
        <v>751</v>
      </c>
      <c r="D744" s="23">
        <v>-2766.44</v>
      </c>
      <c r="E744" t="s">
        <v>35</v>
      </c>
      <c r="F744" s="2">
        <v>212901001</v>
      </c>
      <c r="G744" s="2" t="s">
        <v>91</v>
      </c>
      <c r="I744" s="95" t="s">
        <v>7231</v>
      </c>
      <c r="J744" t="s">
        <v>61</v>
      </c>
      <c r="K744" t="s">
        <v>62</v>
      </c>
      <c r="M744">
        <v>60.14</v>
      </c>
      <c r="N744" s="4">
        <f t="shared" si="11"/>
        <v>-46</v>
      </c>
      <c r="O744" t="s">
        <v>83</v>
      </c>
    </row>
    <row r="745" spans="1:15" x14ac:dyDescent="0.25">
      <c r="A745" s="38">
        <v>45695</v>
      </c>
      <c r="B745" s="1">
        <v>618103458</v>
      </c>
      <c r="C745" t="s">
        <v>752</v>
      </c>
      <c r="D745" s="23">
        <v>-1804.2</v>
      </c>
      <c r="E745" t="s">
        <v>35</v>
      </c>
      <c r="F745" s="2">
        <v>212901001</v>
      </c>
      <c r="G745" s="2" t="s">
        <v>91</v>
      </c>
      <c r="I745" s="95" t="s">
        <v>7231</v>
      </c>
      <c r="J745" t="s">
        <v>61</v>
      </c>
      <c r="K745" t="s">
        <v>62</v>
      </c>
      <c r="M745">
        <v>60.14</v>
      </c>
      <c r="N745" s="4">
        <f t="shared" si="11"/>
        <v>-30</v>
      </c>
      <c r="O745" t="s">
        <v>83</v>
      </c>
    </row>
    <row r="746" spans="1:15" x14ac:dyDescent="0.25">
      <c r="A746" s="38">
        <v>45695</v>
      </c>
      <c r="B746" s="1">
        <v>618103459</v>
      </c>
      <c r="C746" t="s">
        <v>753</v>
      </c>
      <c r="D746" s="23">
        <v>-6615.4</v>
      </c>
      <c r="E746" t="s">
        <v>35</v>
      </c>
      <c r="F746" s="2">
        <v>212901001</v>
      </c>
      <c r="G746" s="2" t="s">
        <v>91</v>
      </c>
      <c r="I746" s="95" t="s">
        <v>7231</v>
      </c>
      <c r="J746" t="s">
        <v>61</v>
      </c>
      <c r="K746" t="s">
        <v>62</v>
      </c>
      <c r="M746">
        <v>60.14</v>
      </c>
      <c r="N746" s="4">
        <f t="shared" si="11"/>
        <v>-110</v>
      </c>
      <c r="O746" t="s">
        <v>83</v>
      </c>
    </row>
    <row r="747" spans="1:15" x14ac:dyDescent="0.25">
      <c r="A747" s="38">
        <v>45695</v>
      </c>
      <c r="B747" s="1">
        <v>718103464</v>
      </c>
      <c r="C747" t="s">
        <v>754</v>
      </c>
      <c r="D747" s="23">
        <v>-4209.8</v>
      </c>
      <c r="E747" t="s">
        <v>35</v>
      </c>
      <c r="F747" s="2">
        <v>212901001</v>
      </c>
      <c r="G747" s="2" t="s">
        <v>91</v>
      </c>
      <c r="I747" s="95" t="s">
        <v>7231</v>
      </c>
      <c r="J747" t="s">
        <v>61</v>
      </c>
      <c r="K747" t="s">
        <v>62</v>
      </c>
      <c r="M747">
        <v>60.14</v>
      </c>
      <c r="N747" s="4">
        <f t="shared" si="11"/>
        <v>-70</v>
      </c>
      <c r="O747" t="s">
        <v>83</v>
      </c>
    </row>
    <row r="748" spans="1:15" x14ac:dyDescent="0.25">
      <c r="A748" s="38">
        <v>45695</v>
      </c>
      <c r="B748" s="1">
        <v>718103461</v>
      </c>
      <c r="C748" t="s">
        <v>755</v>
      </c>
      <c r="D748" s="23">
        <v>-6014</v>
      </c>
      <c r="E748" t="s">
        <v>35</v>
      </c>
      <c r="F748" s="2">
        <v>212901001</v>
      </c>
      <c r="G748" s="2" t="s">
        <v>91</v>
      </c>
      <c r="I748" s="95" t="s">
        <v>7231</v>
      </c>
      <c r="J748" t="s">
        <v>61</v>
      </c>
      <c r="K748" t="s">
        <v>62</v>
      </c>
      <c r="M748">
        <v>60.14</v>
      </c>
      <c r="N748" s="4">
        <f t="shared" si="11"/>
        <v>-100</v>
      </c>
      <c r="O748" t="s">
        <v>83</v>
      </c>
    </row>
    <row r="749" spans="1:15" x14ac:dyDescent="0.25">
      <c r="A749" s="38">
        <v>45695</v>
      </c>
      <c r="B749" s="1">
        <v>718103463</v>
      </c>
      <c r="C749" t="s">
        <v>756</v>
      </c>
      <c r="D749" s="23">
        <v>-4209.8</v>
      </c>
      <c r="E749" t="s">
        <v>35</v>
      </c>
      <c r="F749" s="2">
        <v>212901001</v>
      </c>
      <c r="G749" s="2" t="s">
        <v>91</v>
      </c>
      <c r="I749" s="95" t="s">
        <v>7231</v>
      </c>
      <c r="J749" t="s">
        <v>61</v>
      </c>
      <c r="K749" t="s">
        <v>62</v>
      </c>
      <c r="M749">
        <v>60.14</v>
      </c>
      <c r="N749" s="4">
        <f t="shared" si="11"/>
        <v>-70</v>
      </c>
      <c r="O749" t="s">
        <v>83</v>
      </c>
    </row>
    <row r="750" spans="1:15" x14ac:dyDescent="0.25">
      <c r="A750" s="38">
        <v>45695</v>
      </c>
      <c r="B750" s="1">
        <v>718103465</v>
      </c>
      <c r="C750" t="s">
        <v>757</v>
      </c>
      <c r="D750" s="23">
        <v>-4209.8</v>
      </c>
      <c r="E750" t="s">
        <v>35</v>
      </c>
      <c r="F750" s="2">
        <v>212901001</v>
      </c>
      <c r="G750" s="2" t="s">
        <v>91</v>
      </c>
      <c r="I750" s="95" t="s">
        <v>7231</v>
      </c>
      <c r="J750" t="s">
        <v>61</v>
      </c>
      <c r="K750" t="s">
        <v>62</v>
      </c>
      <c r="M750">
        <v>60.14</v>
      </c>
      <c r="N750" s="4">
        <f t="shared" si="11"/>
        <v>-70</v>
      </c>
      <c r="O750" t="s">
        <v>83</v>
      </c>
    </row>
    <row r="751" spans="1:15" x14ac:dyDescent="0.25">
      <c r="A751" s="38">
        <v>45695</v>
      </c>
      <c r="B751" s="1">
        <v>718103466</v>
      </c>
      <c r="C751" t="s">
        <v>758</v>
      </c>
      <c r="D751" s="23">
        <v>-3007</v>
      </c>
      <c r="E751" t="s">
        <v>35</v>
      </c>
      <c r="F751" s="2">
        <v>212901001</v>
      </c>
      <c r="G751" s="2" t="s">
        <v>91</v>
      </c>
      <c r="I751" s="95" t="s">
        <v>7231</v>
      </c>
      <c r="J751" t="s">
        <v>61</v>
      </c>
      <c r="K751" t="s">
        <v>62</v>
      </c>
      <c r="M751">
        <v>60.14</v>
      </c>
      <c r="N751" s="4">
        <f t="shared" si="11"/>
        <v>-50</v>
      </c>
      <c r="O751" t="s">
        <v>83</v>
      </c>
    </row>
    <row r="752" spans="1:15" x14ac:dyDescent="0.25">
      <c r="A752" s="38">
        <v>45695</v>
      </c>
      <c r="B752" s="1">
        <v>718103471</v>
      </c>
      <c r="C752" t="s">
        <v>759</v>
      </c>
      <c r="D752" s="23">
        <v>-3007</v>
      </c>
      <c r="E752" t="s">
        <v>35</v>
      </c>
      <c r="F752" s="2">
        <v>212901001</v>
      </c>
      <c r="G752" s="2" t="s">
        <v>91</v>
      </c>
      <c r="I752" s="95" t="s">
        <v>7231</v>
      </c>
      <c r="J752" t="s">
        <v>61</v>
      </c>
      <c r="K752" t="s">
        <v>62</v>
      </c>
      <c r="M752">
        <v>60.14</v>
      </c>
      <c r="N752" s="4">
        <f t="shared" si="11"/>
        <v>-50</v>
      </c>
      <c r="O752" t="s">
        <v>83</v>
      </c>
    </row>
    <row r="753" spans="1:15" x14ac:dyDescent="0.25">
      <c r="A753" s="38">
        <v>45695</v>
      </c>
      <c r="B753" s="1">
        <v>818103475</v>
      </c>
      <c r="C753" t="s">
        <v>760</v>
      </c>
      <c r="D753" s="23">
        <v>-3007</v>
      </c>
      <c r="E753" t="s">
        <v>35</v>
      </c>
      <c r="F753" s="2">
        <v>212901001</v>
      </c>
      <c r="G753" s="2" t="s">
        <v>91</v>
      </c>
      <c r="I753" s="95" t="s">
        <v>7231</v>
      </c>
      <c r="J753" t="s">
        <v>61</v>
      </c>
      <c r="K753" t="s">
        <v>62</v>
      </c>
      <c r="M753">
        <v>60.14</v>
      </c>
      <c r="N753" s="4">
        <f t="shared" si="11"/>
        <v>-50</v>
      </c>
      <c r="O753" t="s">
        <v>83</v>
      </c>
    </row>
    <row r="754" spans="1:15" x14ac:dyDescent="0.25">
      <c r="A754" s="38">
        <v>45695</v>
      </c>
      <c r="B754" s="1">
        <v>718103470</v>
      </c>
      <c r="C754" t="s">
        <v>761</v>
      </c>
      <c r="D754" s="23">
        <v>-2525.88</v>
      </c>
      <c r="E754" t="s">
        <v>35</v>
      </c>
      <c r="F754" s="2">
        <v>212901001</v>
      </c>
      <c r="G754" s="2" t="s">
        <v>91</v>
      </c>
      <c r="I754" s="95" t="s">
        <v>7231</v>
      </c>
      <c r="J754" t="s">
        <v>61</v>
      </c>
      <c r="K754" t="s">
        <v>62</v>
      </c>
      <c r="M754">
        <v>60.14</v>
      </c>
      <c r="N754" s="4">
        <f t="shared" si="11"/>
        <v>-42</v>
      </c>
      <c r="O754" t="s">
        <v>83</v>
      </c>
    </row>
    <row r="755" spans="1:15" x14ac:dyDescent="0.25">
      <c r="A755" s="38">
        <v>45695</v>
      </c>
      <c r="B755" s="1">
        <v>818103474</v>
      </c>
      <c r="C755" t="s">
        <v>762</v>
      </c>
      <c r="D755" s="23">
        <v>-3007</v>
      </c>
      <c r="E755" t="s">
        <v>35</v>
      </c>
      <c r="F755" s="2">
        <v>212901001</v>
      </c>
      <c r="G755" s="2" t="s">
        <v>91</v>
      </c>
      <c r="I755" s="95" t="s">
        <v>7231</v>
      </c>
      <c r="J755" t="s">
        <v>61</v>
      </c>
      <c r="K755" t="s">
        <v>62</v>
      </c>
      <c r="M755">
        <v>60.14</v>
      </c>
      <c r="N755" s="4">
        <f t="shared" si="11"/>
        <v>-50</v>
      </c>
      <c r="O755" t="s">
        <v>83</v>
      </c>
    </row>
    <row r="756" spans="1:15" x14ac:dyDescent="0.25">
      <c r="A756" s="38">
        <v>45695</v>
      </c>
      <c r="B756" s="1">
        <v>818103473</v>
      </c>
      <c r="C756" t="s">
        <v>763</v>
      </c>
      <c r="D756" s="23">
        <v>-3007</v>
      </c>
      <c r="E756" t="s">
        <v>35</v>
      </c>
      <c r="F756" s="2">
        <v>212901001</v>
      </c>
      <c r="G756" s="2" t="s">
        <v>91</v>
      </c>
      <c r="I756" s="95" t="s">
        <v>7231</v>
      </c>
      <c r="J756" t="s">
        <v>61</v>
      </c>
      <c r="K756" t="s">
        <v>62</v>
      </c>
      <c r="M756">
        <v>60.14</v>
      </c>
      <c r="N756" s="4">
        <f t="shared" si="11"/>
        <v>-50</v>
      </c>
      <c r="O756" t="s">
        <v>83</v>
      </c>
    </row>
    <row r="757" spans="1:15" x14ac:dyDescent="0.25">
      <c r="A757" s="38">
        <v>45695</v>
      </c>
      <c r="B757" s="1">
        <v>818103477</v>
      </c>
      <c r="C757" t="s">
        <v>764</v>
      </c>
      <c r="D757" s="23">
        <v>-2525.88</v>
      </c>
      <c r="E757" t="s">
        <v>35</v>
      </c>
      <c r="F757" s="2">
        <v>212901001</v>
      </c>
      <c r="G757" s="2" t="s">
        <v>91</v>
      </c>
      <c r="I757" s="95" t="s">
        <v>7231</v>
      </c>
      <c r="J757" t="s">
        <v>61</v>
      </c>
      <c r="K757" t="s">
        <v>62</v>
      </c>
      <c r="M757">
        <v>60.14</v>
      </c>
      <c r="N757" s="4">
        <f t="shared" si="11"/>
        <v>-42</v>
      </c>
      <c r="O757" t="s">
        <v>83</v>
      </c>
    </row>
    <row r="758" spans="1:15" x14ac:dyDescent="0.25">
      <c r="A758" s="38">
        <v>45695</v>
      </c>
      <c r="B758" s="1">
        <v>818103476</v>
      </c>
      <c r="C758" t="s">
        <v>759</v>
      </c>
      <c r="D758" s="23">
        <v>-3007</v>
      </c>
      <c r="E758" t="s">
        <v>35</v>
      </c>
      <c r="F758" s="2">
        <v>212901001</v>
      </c>
      <c r="G758" s="2" t="s">
        <v>91</v>
      </c>
      <c r="I758" s="95" t="s">
        <v>7231</v>
      </c>
      <c r="J758" t="s">
        <v>61</v>
      </c>
      <c r="K758" t="s">
        <v>62</v>
      </c>
      <c r="M758">
        <v>60.14</v>
      </c>
      <c r="N758" s="4">
        <f t="shared" si="11"/>
        <v>-50</v>
      </c>
      <c r="O758" t="s">
        <v>83</v>
      </c>
    </row>
    <row r="759" spans="1:15" x14ac:dyDescent="0.25">
      <c r="A759" s="38">
        <v>45695</v>
      </c>
      <c r="B759" s="1">
        <v>818103482</v>
      </c>
      <c r="C759" t="s">
        <v>765</v>
      </c>
      <c r="D759" s="23">
        <v>-3007</v>
      </c>
      <c r="E759" t="s">
        <v>35</v>
      </c>
      <c r="F759" s="2">
        <v>212901001</v>
      </c>
      <c r="G759" s="2" t="s">
        <v>91</v>
      </c>
      <c r="I759" s="95" t="s">
        <v>7231</v>
      </c>
      <c r="J759" t="s">
        <v>61</v>
      </c>
      <c r="K759" t="s">
        <v>62</v>
      </c>
      <c r="M759">
        <v>60.14</v>
      </c>
      <c r="N759" s="4">
        <f t="shared" si="11"/>
        <v>-50</v>
      </c>
      <c r="O759" t="s">
        <v>83</v>
      </c>
    </row>
    <row r="760" spans="1:15" x14ac:dyDescent="0.25">
      <c r="A760" s="38">
        <v>45695</v>
      </c>
      <c r="B760" s="1">
        <v>818103480</v>
      </c>
      <c r="C760" t="s">
        <v>766</v>
      </c>
      <c r="D760" s="23">
        <v>-3007</v>
      </c>
      <c r="E760" t="s">
        <v>35</v>
      </c>
      <c r="F760" s="2">
        <v>212901001</v>
      </c>
      <c r="G760" s="2" t="s">
        <v>91</v>
      </c>
      <c r="I760" s="95" t="s">
        <v>7231</v>
      </c>
      <c r="J760" t="s">
        <v>61</v>
      </c>
      <c r="K760" t="s">
        <v>62</v>
      </c>
      <c r="M760">
        <v>60.14</v>
      </c>
      <c r="N760" s="4">
        <f t="shared" si="11"/>
        <v>-50</v>
      </c>
      <c r="O760" t="s">
        <v>83</v>
      </c>
    </row>
    <row r="761" spans="1:15" x14ac:dyDescent="0.25">
      <c r="A761" s="38">
        <v>45695</v>
      </c>
      <c r="B761" s="1">
        <v>718103472</v>
      </c>
      <c r="C761" t="s">
        <v>767</v>
      </c>
      <c r="D761" s="23">
        <v>-3007</v>
      </c>
      <c r="E761" t="s">
        <v>35</v>
      </c>
      <c r="F761" s="2">
        <v>212901001</v>
      </c>
      <c r="G761" s="2" t="s">
        <v>91</v>
      </c>
      <c r="I761" s="95" t="s">
        <v>7231</v>
      </c>
      <c r="J761" t="s">
        <v>61</v>
      </c>
      <c r="K761" t="s">
        <v>62</v>
      </c>
      <c r="M761">
        <v>60.14</v>
      </c>
      <c r="N761" s="4">
        <f t="shared" si="11"/>
        <v>-50</v>
      </c>
      <c r="O761" t="s">
        <v>83</v>
      </c>
    </row>
    <row r="762" spans="1:15" x14ac:dyDescent="0.25">
      <c r="A762" s="38">
        <v>45695</v>
      </c>
      <c r="B762" s="1">
        <v>718103469</v>
      </c>
      <c r="C762" t="s">
        <v>768</v>
      </c>
      <c r="D762" s="23">
        <v>-3007</v>
      </c>
      <c r="E762" t="s">
        <v>35</v>
      </c>
      <c r="F762" s="2">
        <v>212901001</v>
      </c>
      <c r="G762" s="2" t="s">
        <v>91</v>
      </c>
      <c r="I762" s="95" t="s">
        <v>7231</v>
      </c>
      <c r="J762" t="s">
        <v>61</v>
      </c>
      <c r="K762" t="s">
        <v>62</v>
      </c>
      <c r="M762">
        <v>60.14</v>
      </c>
      <c r="N762" s="4">
        <f t="shared" si="11"/>
        <v>-50</v>
      </c>
      <c r="O762" t="s">
        <v>83</v>
      </c>
    </row>
    <row r="763" spans="1:15" x14ac:dyDescent="0.25">
      <c r="A763" s="38">
        <v>45695</v>
      </c>
      <c r="B763" s="1">
        <v>818103485</v>
      </c>
      <c r="C763" t="s">
        <v>769</v>
      </c>
      <c r="D763" s="23">
        <v>-1202.8</v>
      </c>
      <c r="E763" t="s">
        <v>35</v>
      </c>
      <c r="F763" s="2">
        <v>212901001</v>
      </c>
      <c r="G763" s="2" t="s">
        <v>91</v>
      </c>
      <c r="I763" s="95" t="s">
        <v>7231</v>
      </c>
      <c r="J763" t="s">
        <v>61</v>
      </c>
      <c r="K763" t="s">
        <v>62</v>
      </c>
      <c r="M763">
        <v>60.14</v>
      </c>
      <c r="N763" s="4">
        <f t="shared" si="11"/>
        <v>-20</v>
      </c>
      <c r="O763" t="s">
        <v>83</v>
      </c>
    </row>
    <row r="764" spans="1:15" x14ac:dyDescent="0.25">
      <c r="A764" s="38">
        <v>45695</v>
      </c>
      <c r="B764" s="1">
        <v>818103478</v>
      </c>
      <c r="C764" t="s">
        <v>770</v>
      </c>
      <c r="D764" s="23">
        <v>-2525.88</v>
      </c>
      <c r="E764" t="s">
        <v>35</v>
      </c>
      <c r="F764" s="2">
        <v>212901001</v>
      </c>
      <c r="G764" s="2" t="s">
        <v>91</v>
      </c>
      <c r="I764" s="95" t="s">
        <v>7231</v>
      </c>
      <c r="J764" t="s">
        <v>61</v>
      </c>
      <c r="K764" t="s">
        <v>62</v>
      </c>
      <c r="M764">
        <v>60.14</v>
      </c>
      <c r="N764" s="4">
        <f t="shared" si="11"/>
        <v>-42</v>
      </c>
      <c r="O764" t="s">
        <v>83</v>
      </c>
    </row>
    <row r="765" spans="1:15" x14ac:dyDescent="0.25">
      <c r="A765" s="38">
        <v>45695</v>
      </c>
      <c r="B765" s="1">
        <v>918103488</v>
      </c>
      <c r="C765" t="s">
        <v>771</v>
      </c>
      <c r="D765" s="23">
        <v>-1202.8</v>
      </c>
      <c r="E765" t="s">
        <v>35</v>
      </c>
      <c r="F765" s="2">
        <v>212901001</v>
      </c>
      <c r="G765" s="2" t="s">
        <v>91</v>
      </c>
      <c r="I765" s="95" t="s">
        <v>7231</v>
      </c>
      <c r="J765" t="s">
        <v>61</v>
      </c>
      <c r="K765" t="s">
        <v>62</v>
      </c>
      <c r="M765">
        <v>60.14</v>
      </c>
      <c r="N765" s="4">
        <f t="shared" si="11"/>
        <v>-20</v>
      </c>
      <c r="O765" t="s">
        <v>83</v>
      </c>
    </row>
    <row r="766" spans="1:15" x14ac:dyDescent="0.25">
      <c r="A766" s="38">
        <v>45695</v>
      </c>
      <c r="B766" s="1">
        <v>818103481</v>
      </c>
      <c r="C766" t="s">
        <v>772</v>
      </c>
      <c r="D766" s="23">
        <v>-3007</v>
      </c>
      <c r="E766" t="s">
        <v>35</v>
      </c>
      <c r="F766" s="2">
        <v>212901001</v>
      </c>
      <c r="G766" s="2" t="s">
        <v>91</v>
      </c>
      <c r="I766" s="95" t="s">
        <v>7231</v>
      </c>
      <c r="J766" t="s">
        <v>61</v>
      </c>
      <c r="K766" t="s">
        <v>62</v>
      </c>
      <c r="M766">
        <v>60.14</v>
      </c>
      <c r="N766" s="4">
        <f t="shared" si="11"/>
        <v>-50</v>
      </c>
      <c r="O766" t="s">
        <v>83</v>
      </c>
    </row>
    <row r="767" spans="1:15" x14ac:dyDescent="0.25">
      <c r="A767" s="38">
        <v>45695</v>
      </c>
      <c r="B767" s="1">
        <v>918103489</v>
      </c>
      <c r="C767" t="s">
        <v>773</v>
      </c>
      <c r="D767" s="23">
        <v>-6014</v>
      </c>
      <c r="E767" t="s">
        <v>35</v>
      </c>
      <c r="F767" s="2">
        <v>212901001</v>
      </c>
      <c r="G767" s="2" t="s">
        <v>91</v>
      </c>
      <c r="I767" s="95" t="s">
        <v>7231</v>
      </c>
      <c r="J767" t="s">
        <v>61</v>
      </c>
      <c r="K767" t="s">
        <v>62</v>
      </c>
      <c r="M767">
        <v>60.14</v>
      </c>
      <c r="N767" s="4">
        <f t="shared" si="11"/>
        <v>-100</v>
      </c>
      <c r="O767" t="s">
        <v>83</v>
      </c>
    </row>
    <row r="768" spans="1:15" x14ac:dyDescent="0.25">
      <c r="A768" s="38">
        <v>45695</v>
      </c>
      <c r="B768" s="1">
        <v>918103486</v>
      </c>
      <c r="C768" t="s">
        <v>774</v>
      </c>
      <c r="D768" s="23">
        <v>-1202.8</v>
      </c>
      <c r="E768" t="s">
        <v>35</v>
      </c>
      <c r="F768" s="2">
        <v>212901001</v>
      </c>
      <c r="G768" s="2" t="s">
        <v>91</v>
      </c>
      <c r="I768" s="95" t="s">
        <v>7231</v>
      </c>
      <c r="J768" t="s">
        <v>61</v>
      </c>
      <c r="K768" t="s">
        <v>62</v>
      </c>
      <c r="M768">
        <v>60.14</v>
      </c>
      <c r="N768" s="4">
        <f t="shared" si="11"/>
        <v>-20</v>
      </c>
      <c r="O768" t="s">
        <v>83</v>
      </c>
    </row>
    <row r="769" spans="1:17" x14ac:dyDescent="0.25">
      <c r="A769" s="38">
        <v>45695</v>
      </c>
      <c r="B769" s="1">
        <v>818103483</v>
      </c>
      <c r="C769" t="s">
        <v>775</v>
      </c>
      <c r="D769" s="23">
        <v>-3007</v>
      </c>
      <c r="E769" t="s">
        <v>35</v>
      </c>
      <c r="F769" s="2">
        <v>212901001</v>
      </c>
      <c r="G769" s="2" t="s">
        <v>91</v>
      </c>
      <c r="I769" s="95" t="s">
        <v>7231</v>
      </c>
      <c r="J769" t="s">
        <v>61</v>
      </c>
      <c r="K769" t="s">
        <v>62</v>
      </c>
      <c r="M769">
        <v>60.14</v>
      </c>
      <c r="N769" s="4">
        <f t="shared" si="11"/>
        <v>-50</v>
      </c>
      <c r="O769" t="s">
        <v>83</v>
      </c>
    </row>
    <row r="770" spans="1:17" x14ac:dyDescent="0.25">
      <c r="A770" s="38">
        <v>45695</v>
      </c>
      <c r="B770" s="1">
        <v>918103492</v>
      </c>
      <c r="C770" t="s">
        <v>776</v>
      </c>
      <c r="D770" s="23">
        <v>-7216.8</v>
      </c>
      <c r="E770" t="s">
        <v>35</v>
      </c>
      <c r="F770" s="2">
        <v>212901001</v>
      </c>
      <c r="G770" s="2" t="s">
        <v>91</v>
      </c>
      <c r="I770" s="95" t="s">
        <v>7231</v>
      </c>
      <c r="J770" t="s">
        <v>61</v>
      </c>
      <c r="K770" t="s">
        <v>62</v>
      </c>
      <c r="M770">
        <v>60.14</v>
      </c>
      <c r="N770" s="4">
        <f t="shared" si="11"/>
        <v>-120</v>
      </c>
      <c r="O770" t="s">
        <v>83</v>
      </c>
    </row>
    <row r="771" spans="1:17" x14ac:dyDescent="0.25">
      <c r="A771" s="38">
        <v>45695</v>
      </c>
      <c r="B771" s="1">
        <v>918103487</v>
      </c>
      <c r="C771" t="s">
        <v>777</v>
      </c>
      <c r="D771" s="23">
        <v>-1202.8</v>
      </c>
      <c r="E771" t="s">
        <v>35</v>
      </c>
      <c r="F771" s="2">
        <v>212901001</v>
      </c>
      <c r="G771" s="2" t="s">
        <v>91</v>
      </c>
      <c r="I771" s="95" t="s">
        <v>7231</v>
      </c>
      <c r="J771" t="s">
        <v>61</v>
      </c>
      <c r="K771" t="s">
        <v>62</v>
      </c>
      <c r="M771">
        <v>60.14</v>
      </c>
      <c r="N771" s="4">
        <f t="shared" si="11"/>
        <v>-20</v>
      </c>
      <c r="O771" t="s">
        <v>83</v>
      </c>
    </row>
    <row r="772" spans="1:17" x14ac:dyDescent="0.25">
      <c r="A772" s="38">
        <v>45695</v>
      </c>
      <c r="B772" s="1">
        <v>918103490</v>
      </c>
      <c r="C772" t="s">
        <v>778</v>
      </c>
      <c r="D772" s="23">
        <v>-12028</v>
      </c>
      <c r="E772" t="s">
        <v>35</v>
      </c>
      <c r="F772" s="2">
        <v>212901001</v>
      </c>
      <c r="G772" s="2" t="s">
        <v>91</v>
      </c>
      <c r="I772" s="95" t="s">
        <v>7231</v>
      </c>
      <c r="J772" t="s">
        <v>61</v>
      </c>
      <c r="K772" t="s">
        <v>62</v>
      </c>
      <c r="M772">
        <v>60.14</v>
      </c>
      <c r="N772" s="4">
        <f t="shared" si="11"/>
        <v>-200</v>
      </c>
      <c r="O772" t="s">
        <v>83</v>
      </c>
    </row>
    <row r="773" spans="1:17" x14ac:dyDescent="0.25">
      <c r="A773" s="38">
        <v>45695</v>
      </c>
      <c r="B773" s="1">
        <v>918103493</v>
      </c>
      <c r="C773" t="s">
        <v>779</v>
      </c>
      <c r="D773" s="23">
        <v>-1804.2</v>
      </c>
      <c r="E773" t="s">
        <v>35</v>
      </c>
      <c r="F773" s="2">
        <v>212901001</v>
      </c>
      <c r="G773" s="2" t="s">
        <v>91</v>
      </c>
      <c r="I773" s="95" t="s">
        <v>7231</v>
      </c>
      <c r="J773" t="s">
        <v>61</v>
      </c>
      <c r="K773" t="s">
        <v>62</v>
      </c>
      <c r="M773">
        <v>60.14</v>
      </c>
      <c r="N773" s="4">
        <f t="shared" si="11"/>
        <v>-30</v>
      </c>
      <c r="O773" t="s">
        <v>83</v>
      </c>
    </row>
    <row r="774" spans="1:17" x14ac:dyDescent="0.25">
      <c r="A774" s="38">
        <v>45695</v>
      </c>
      <c r="B774" s="1">
        <v>918103494</v>
      </c>
      <c r="C774" t="s">
        <v>780</v>
      </c>
      <c r="D774" s="23">
        <v>-2405.6</v>
      </c>
      <c r="E774" t="s">
        <v>35</v>
      </c>
      <c r="F774" s="2">
        <v>212901001</v>
      </c>
      <c r="G774" s="2" t="s">
        <v>91</v>
      </c>
      <c r="I774" s="95" t="s">
        <v>7231</v>
      </c>
      <c r="J774" t="s">
        <v>61</v>
      </c>
      <c r="K774" t="s">
        <v>62</v>
      </c>
      <c r="M774">
        <v>60.14</v>
      </c>
      <c r="N774" s="4">
        <f t="shared" si="11"/>
        <v>-40</v>
      </c>
      <c r="O774" t="s">
        <v>83</v>
      </c>
    </row>
    <row r="775" spans="1:17" x14ac:dyDescent="0.25">
      <c r="A775" s="38">
        <v>45695</v>
      </c>
      <c r="B775" s="1">
        <v>50246887</v>
      </c>
      <c r="C775" t="s">
        <v>781</v>
      </c>
      <c r="D775" s="23">
        <v>-8419.6</v>
      </c>
      <c r="E775" t="s">
        <v>35</v>
      </c>
      <c r="F775" s="2">
        <v>212901001</v>
      </c>
      <c r="G775" s="2" t="s">
        <v>91</v>
      </c>
      <c r="I775" s="95" t="s">
        <v>7231</v>
      </c>
      <c r="J775" t="s">
        <v>61</v>
      </c>
      <c r="K775" t="s">
        <v>62</v>
      </c>
      <c r="M775">
        <v>60.14</v>
      </c>
      <c r="N775" s="4">
        <f t="shared" si="11"/>
        <v>-140</v>
      </c>
      <c r="O775" t="s">
        <v>83</v>
      </c>
    </row>
    <row r="776" spans="1:17" x14ac:dyDescent="0.25">
      <c r="A776" s="38">
        <v>45695</v>
      </c>
      <c r="B776" s="1">
        <v>50246887</v>
      </c>
      <c r="C776" t="s">
        <v>179</v>
      </c>
      <c r="D776" s="23">
        <v>-12.62</v>
      </c>
      <c r="E776" t="s">
        <v>35</v>
      </c>
      <c r="F776" s="2">
        <v>610148001</v>
      </c>
      <c r="G776" s="2" t="s">
        <v>41</v>
      </c>
      <c r="I776" s="95" t="s">
        <v>7231</v>
      </c>
      <c r="J776" t="s">
        <v>42</v>
      </c>
      <c r="K776" t="s">
        <v>41</v>
      </c>
      <c r="M776">
        <v>60.14</v>
      </c>
      <c r="N776" s="4">
        <f t="shared" si="11"/>
        <v>-0.20984369803791153</v>
      </c>
      <c r="O776" t="s">
        <v>83</v>
      </c>
      <c r="Q776" s="24" t="s">
        <v>677</v>
      </c>
    </row>
    <row r="777" spans="1:17" x14ac:dyDescent="0.25">
      <c r="A777" s="38">
        <v>45695</v>
      </c>
      <c r="B777" s="1">
        <v>50246887</v>
      </c>
      <c r="C777" t="s">
        <v>89</v>
      </c>
      <c r="D777" s="23">
        <v>-675.37</v>
      </c>
      <c r="E777" t="s">
        <v>35</v>
      </c>
      <c r="F777" s="2">
        <v>610148001</v>
      </c>
      <c r="G777" s="2" t="s">
        <v>41</v>
      </c>
      <c r="I777" s="95" t="s">
        <v>7231</v>
      </c>
      <c r="J777" t="s">
        <v>42</v>
      </c>
      <c r="K777" t="s">
        <v>41</v>
      </c>
      <c r="M777">
        <v>60.14</v>
      </c>
      <c r="N777" s="4">
        <f t="shared" si="11"/>
        <v>-11.229963418689724</v>
      </c>
      <c r="O777" t="s">
        <v>83</v>
      </c>
      <c r="Q777" s="24" t="s">
        <v>677</v>
      </c>
    </row>
    <row r="778" spans="1:17" x14ac:dyDescent="0.25">
      <c r="A778" s="38">
        <v>45695</v>
      </c>
      <c r="B778" s="1">
        <v>114020638</v>
      </c>
      <c r="C778" t="s">
        <v>82</v>
      </c>
      <c r="D778" s="23">
        <v>35000</v>
      </c>
      <c r="E778" t="s">
        <v>45</v>
      </c>
      <c r="F778" s="2">
        <v>210115002</v>
      </c>
      <c r="G778" s="2" t="s">
        <v>46</v>
      </c>
      <c r="I778" s="95" t="s">
        <v>7231</v>
      </c>
      <c r="K778" t="s">
        <v>82</v>
      </c>
      <c r="M778">
        <v>60.14</v>
      </c>
      <c r="N778" s="4">
        <f t="shared" si="11"/>
        <v>581.97539075490522</v>
      </c>
      <c r="O778" t="s">
        <v>83</v>
      </c>
    </row>
    <row r="779" spans="1:17" x14ac:dyDescent="0.25">
      <c r="A779" s="38">
        <v>45695</v>
      </c>
      <c r="B779" s="1">
        <v>618106076</v>
      </c>
      <c r="C779" t="s">
        <v>782</v>
      </c>
      <c r="D779" s="23">
        <v>-3007</v>
      </c>
      <c r="E779" t="s">
        <v>35</v>
      </c>
      <c r="F779" s="2">
        <v>212901001</v>
      </c>
      <c r="G779" s="2" t="s">
        <v>91</v>
      </c>
      <c r="I779" s="95" t="s">
        <v>7231</v>
      </c>
      <c r="J779" t="s">
        <v>61</v>
      </c>
      <c r="K779" t="s">
        <v>62</v>
      </c>
      <c r="M779">
        <v>60.14</v>
      </c>
      <c r="N779" s="4">
        <f t="shared" si="11"/>
        <v>-50</v>
      </c>
      <c r="O779" t="s">
        <v>83</v>
      </c>
    </row>
    <row r="780" spans="1:17" x14ac:dyDescent="0.25">
      <c r="A780" s="38">
        <v>45695</v>
      </c>
      <c r="B780" s="1">
        <v>618106074</v>
      </c>
      <c r="C780" t="s">
        <v>783</v>
      </c>
      <c r="D780" s="23">
        <v>-7375.8</v>
      </c>
      <c r="E780" t="s">
        <v>35</v>
      </c>
      <c r="F780" s="2">
        <v>210101001</v>
      </c>
      <c r="G780" s="2" t="s">
        <v>36</v>
      </c>
      <c r="I780" s="95" t="s">
        <v>7231</v>
      </c>
      <c r="J780" t="s">
        <v>86</v>
      </c>
      <c r="K780" t="s">
        <v>87</v>
      </c>
      <c r="M780">
        <v>60.14</v>
      </c>
      <c r="N780" s="4">
        <f t="shared" ref="N780:N843" si="12">D780/M780</f>
        <v>-122.64383106085801</v>
      </c>
      <c r="O780" t="s">
        <v>83</v>
      </c>
    </row>
    <row r="781" spans="1:17" x14ac:dyDescent="0.25">
      <c r="A781" s="38">
        <v>45695</v>
      </c>
      <c r="B781" s="1">
        <v>618106075</v>
      </c>
      <c r="C781" t="s">
        <v>784</v>
      </c>
      <c r="D781" s="23">
        <v>-2886.72</v>
      </c>
      <c r="E781" t="s">
        <v>35</v>
      </c>
      <c r="F781" s="2">
        <v>212901001</v>
      </c>
      <c r="G781" s="2" t="s">
        <v>91</v>
      </c>
      <c r="I781" s="95" t="s">
        <v>7231</v>
      </c>
      <c r="J781" t="s">
        <v>61</v>
      </c>
      <c r="K781" t="s">
        <v>62</v>
      </c>
      <c r="M781">
        <v>60.14</v>
      </c>
      <c r="N781" s="4">
        <f t="shared" si="12"/>
        <v>-47.999999999999993</v>
      </c>
      <c r="O781" t="s">
        <v>83</v>
      </c>
    </row>
    <row r="782" spans="1:17" x14ac:dyDescent="0.25">
      <c r="A782" s="38">
        <v>45695</v>
      </c>
      <c r="B782" s="1">
        <v>618106080</v>
      </c>
      <c r="C782" t="s">
        <v>785</v>
      </c>
      <c r="D782" s="23">
        <v>-601.4</v>
      </c>
      <c r="E782" t="s">
        <v>35</v>
      </c>
      <c r="F782" s="2">
        <v>212901001</v>
      </c>
      <c r="G782" s="2" t="s">
        <v>91</v>
      </c>
      <c r="I782" s="95" t="s">
        <v>7231</v>
      </c>
      <c r="J782" t="s">
        <v>61</v>
      </c>
      <c r="K782" t="s">
        <v>62</v>
      </c>
      <c r="M782">
        <v>60.14</v>
      </c>
      <c r="N782" s="4">
        <f t="shared" si="12"/>
        <v>-10</v>
      </c>
      <c r="O782" t="s">
        <v>83</v>
      </c>
    </row>
    <row r="783" spans="1:17" x14ac:dyDescent="0.25">
      <c r="A783" s="38">
        <v>45695</v>
      </c>
      <c r="B783" s="1">
        <v>618106082</v>
      </c>
      <c r="C783" t="s">
        <v>786</v>
      </c>
      <c r="D783" s="23">
        <v>-3909.1</v>
      </c>
      <c r="E783" t="s">
        <v>35</v>
      </c>
      <c r="F783" s="2">
        <v>212901001</v>
      </c>
      <c r="G783" s="2" t="s">
        <v>91</v>
      </c>
      <c r="I783" s="95" t="s">
        <v>7231</v>
      </c>
      <c r="J783" t="s">
        <v>61</v>
      </c>
      <c r="K783" t="s">
        <v>62</v>
      </c>
      <c r="M783">
        <v>60.14</v>
      </c>
      <c r="N783" s="4">
        <f t="shared" si="12"/>
        <v>-65</v>
      </c>
      <c r="O783" t="s">
        <v>83</v>
      </c>
    </row>
    <row r="784" spans="1:17" x14ac:dyDescent="0.25">
      <c r="A784" s="38">
        <v>45695</v>
      </c>
      <c r="B784" s="1">
        <v>618106086</v>
      </c>
      <c r="C784" t="s">
        <v>787</v>
      </c>
      <c r="D784" s="23">
        <v>-1202.8</v>
      </c>
      <c r="E784" t="s">
        <v>35</v>
      </c>
      <c r="F784" s="2">
        <v>212901001</v>
      </c>
      <c r="G784" s="2" t="s">
        <v>91</v>
      </c>
      <c r="I784" s="95" t="s">
        <v>7231</v>
      </c>
      <c r="J784" t="s">
        <v>61</v>
      </c>
      <c r="K784" t="s">
        <v>62</v>
      </c>
      <c r="M784">
        <v>60.14</v>
      </c>
      <c r="N784" s="4">
        <f t="shared" si="12"/>
        <v>-20</v>
      </c>
      <c r="O784" t="s">
        <v>83</v>
      </c>
    </row>
    <row r="785" spans="1:17" x14ac:dyDescent="0.25">
      <c r="A785" s="38">
        <v>45695</v>
      </c>
      <c r="B785" s="1">
        <v>618106083</v>
      </c>
      <c r="C785" t="s">
        <v>788</v>
      </c>
      <c r="D785" s="23">
        <v>-1202.8</v>
      </c>
      <c r="E785" t="s">
        <v>35</v>
      </c>
      <c r="F785" s="2">
        <v>212901001</v>
      </c>
      <c r="G785" s="2" t="s">
        <v>91</v>
      </c>
      <c r="I785" s="95" t="s">
        <v>7231</v>
      </c>
      <c r="J785" t="s">
        <v>61</v>
      </c>
      <c r="K785" t="s">
        <v>62</v>
      </c>
      <c r="M785">
        <v>60.14</v>
      </c>
      <c r="N785" s="4">
        <f t="shared" si="12"/>
        <v>-20</v>
      </c>
      <c r="O785" t="s">
        <v>83</v>
      </c>
    </row>
    <row r="786" spans="1:17" x14ac:dyDescent="0.25">
      <c r="A786" s="38">
        <v>45695</v>
      </c>
      <c r="B786" s="1">
        <v>618106084</v>
      </c>
      <c r="C786" t="s">
        <v>789</v>
      </c>
      <c r="D786" s="23">
        <v>-1202.8</v>
      </c>
      <c r="E786" t="s">
        <v>35</v>
      </c>
      <c r="F786" s="2">
        <v>212901001</v>
      </c>
      <c r="G786" s="2" t="s">
        <v>91</v>
      </c>
      <c r="I786" s="95" t="s">
        <v>7231</v>
      </c>
      <c r="J786" t="s">
        <v>61</v>
      </c>
      <c r="K786" t="s">
        <v>62</v>
      </c>
      <c r="M786">
        <v>60.14</v>
      </c>
      <c r="N786" s="4">
        <f t="shared" si="12"/>
        <v>-20</v>
      </c>
      <c r="O786" t="s">
        <v>83</v>
      </c>
    </row>
    <row r="787" spans="1:17" x14ac:dyDescent="0.25">
      <c r="A787" s="38">
        <v>45695</v>
      </c>
      <c r="B787" s="1">
        <v>618106085</v>
      </c>
      <c r="C787" t="s">
        <v>790</v>
      </c>
      <c r="D787" s="23">
        <v>-1202.8</v>
      </c>
      <c r="E787" t="s">
        <v>35</v>
      </c>
      <c r="F787" s="2">
        <v>212901001</v>
      </c>
      <c r="G787" s="2" t="s">
        <v>91</v>
      </c>
      <c r="I787" s="95" t="s">
        <v>7231</v>
      </c>
      <c r="J787" t="s">
        <v>61</v>
      </c>
      <c r="K787" t="s">
        <v>62</v>
      </c>
      <c r="M787">
        <v>60.14</v>
      </c>
      <c r="N787" s="4">
        <f t="shared" si="12"/>
        <v>-20</v>
      </c>
      <c r="O787" t="s">
        <v>83</v>
      </c>
    </row>
    <row r="788" spans="1:17" x14ac:dyDescent="0.25">
      <c r="A788" s="38">
        <v>45695</v>
      </c>
      <c r="B788" s="1">
        <v>718106088</v>
      </c>
      <c r="C788" t="s">
        <v>791</v>
      </c>
      <c r="D788" s="23">
        <v>-2005.1</v>
      </c>
      <c r="E788" t="s">
        <v>35</v>
      </c>
      <c r="F788" s="2">
        <v>210101001</v>
      </c>
      <c r="G788" s="2" t="s">
        <v>36</v>
      </c>
      <c r="I788" s="95" t="s">
        <v>7231</v>
      </c>
      <c r="J788" t="s">
        <v>86</v>
      </c>
      <c r="K788" t="s">
        <v>87</v>
      </c>
      <c r="M788">
        <v>60.14</v>
      </c>
      <c r="N788" s="4">
        <f t="shared" si="12"/>
        <v>-33.340538742933155</v>
      </c>
      <c r="O788" t="s">
        <v>83</v>
      </c>
    </row>
    <row r="789" spans="1:17" x14ac:dyDescent="0.25">
      <c r="A789" s="38">
        <v>45695</v>
      </c>
      <c r="B789" s="1">
        <v>50254976</v>
      </c>
      <c r="C789" t="s">
        <v>89</v>
      </c>
      <c r="D789" s="23">
        <v>-61.49</v>
      </c>
      <c r="E789" t="s">
        <v>35</v>
      </c>
      <c r="F789" s="2">
        <v>610148001</v>
      </c>
      <c r="G789" s="2" t="s">
        <v>41</v>
      </c>
      <c r="I789" s="95" t="s">
        <v>7231</v>
      </c>
      <c r="J789" t="s">
        <v>42</v>
      </c>
      <c r="K789" t="s">
        <v>41</v>
      </c>
      <c r="M789">
        <v>60.14</v>
      </c>
      <c r="N789" s="4">
        <f t="shared" si="12"/>
        <v>-1.022447622214832</v>
      </c>
      <c r="O789" t="s">
        <v>83</v>
      </c>
      <c r="Q789" s="24" t="s">
        <v>677</v>
      </c>
    </row>
    <row r="790" spans="1:17" x14ac:dyDescent="0.25">
      <c r="A790" s="38">
        <v>45695</v>
      </c>
      <c r="B790" s="1">
        <v>50254976</v>
      </c>
      <c r="C790" t="s">
        <v>792</v>
      </c>
      <c r="D790" s="23">
        <v>-0.13</v>
      </c>
      <c r="E790" t="s">
        <v>35</v>
      </c>
      <c r="F790" s="2">
        <v>610148001</v>
      </c>
      <c r="G790" s="2" t="s">
        <v>41</v>
      </c>
      <c r="I790" s="95" t="s">
        <v>7231</v>
      </c>
      <c r="J790" t="s">
        <v>42</v>
      </c>
      <c r="K790" t="s">
        <v>41</v>
      </c>
      <c r="M790">
        <v>60.14</v>
      </c>
      <c r="N790" s="4">
        <f t="shared" si="12"/>
        <v>-2.161622879946791E-3</v>
      </c>
      <c r="O790" t="s">
        <v>83</v>
      </c>
      <c r="Q790" s="24" t="s">
        <v>677</v>
      </c>
    </row>
    <row r="791" spans="1:17" x14ac:dyDescent="0.25">
      <c r="A791" s="38">
        <v>45695</v>
      </c>
      <c r="B791" s="1">
        <v>149876539</v>
      </c>
      <c r="C791" t="s">
        <v>293</v>
      </c>
      <c r="D791" s="23">
        <v>100000</v>
      </c>
      <c r="E791" t="s">
        <v>45</v>
      </c>
      <c r="F791" s="2">
        <v>210115002</v>
      </c>
      <c r="G791" s="2" t="s">
        <v>46</v>
      </c>
      <c r="I791" s="95" t="s">
        <v>7231</v>
      </c>
      <c r="K791" t="s">
        <v>293</v>
      </c>
      <c r="M791">
        <v>60.14</v>
      </c>
      <c r="N791" s="4">
        <f t="shared" si="12"/>
        <v>1662.7868307283006</v>
      </c>
      <c r="O791" t="s">
        <v>83</v>
      </c>
    </row>
    <row r="792" spans="1:17" x14ac:dyDescent="0.25">
      <c r="A792" s="38">
        <v>45695</v>
      </c>
      <c r="B792" s="1">
        <v>318122526</v>
      </c>
      <c r="C792" t="s">
        <v>793</v>
      </c>
      <c r="D792" s="23">
        <v>-4209.8</v>
      </c>
      <c r="E792" t="s">
        <v>35</v>
      </c>
      <c r="F792" s="2">
        <v>212901001</v>
      </c>
      <c r="G792" s="2" t="s">
        <v>91</v>
      </c>
      <c r="I792" s="95" t="s">
        <v>7231</v>
      </c>
      <c r="J792" t="s">
        <v>61</v>
      </c>
      <c r="K792" t="s">
        <v>62</v>
      </c>
      <c r="M792">
        <v>60.14</v>
      </c>
      <c r="N792" s="4">
        <f t="shared" si="12"/>
        <v>-70</v>
      </c>
      <c r="O792" t="s">
        <v>83</v>
      </c>
    </row>
    <row r="793" spans="1:17" x14ac:dyDescent="0.25">
      <c r="A793" s="38">
        <v>45695</v>
      </c>
      <c r="B793" s="1">
        <v>318122527</v>
      </c>
      <c r="C793" t="s">
        <v>794</v>
      </c>
      <c r="D793" s="23">
        <v>-89957.59</v>
      </c>
      <c r="E793" t="s">
        <v>35</v>
      </c>
      <c r="F793" s="2">
        <v>210101001</v>
      </c>
      <c r="G793" s="2" t="s">
        <v>36</v>
      </c>
      <c r="I793" s="95" t="s">
        <v>7231</v>
      </c>
      <c r="J793" t="s">
        <v>182</v>
      </c>
      <c r="K793" t="s">
        <v>183</v>
      </c>
      <c r="M793">
        <v>60.14</v>
      </c>
      <c r="N793" s="4">
        <f t="shared" si="12"/>
        <v>-1495.8029597605587</v>
      </c>
      <c r="O793" t="s">
        <v>83</v>
      </c>
    </row>
    <row r="794" spans="1:17" x14ac:dyDescent="0.25">
      <c r="A794" s="38">
        <v>45695</v>
      </c>
      <c r="B794" s="1">
        <v>50241720</v>
      </c>
      <c r="C794" t="s">
        <v>89</v>
      </c>
      <c r="D794" s="23">
        <v>-235.41</v>
      </c>
      <c r="E794" t="s">
        <v>35</v>
      </c>
      <c r="F794" s="2">
        <v>610148001</v>
      </c>
      <c r="G794" s="2" t="s">
        <v>41</v>
      </c>
      <c r="I794" s="95" t="s">
        <v>7231</v>
      </c>
      <c r="J794" t="s">
        <v>42</v>
      </c>
      <c r="K794" t="s">
        <v>41</v>
      </c>
      <c r="M794">
        <v>60.14</v>
      </c>
      <c r="N794" s="4">
        <f t="shared" si="12"/>
        <v>-3.9143664782174925</v>
      </c>
      <c r="O794" t="s">
        <v>83</v>
      </c>
      <c r="Q794" s="24" t="s">
        <v>677</v>
      </c>
    </row>
    <row r="795" spans="1:17" x14ac:dyDescent="0.25">
      <c r="A795" s="38">
        <v>45698</v>
      </c>
      <c r="B795" s="1">
        <v>18234101</v>
      </c>
      <c r="C795" t="s">
        <v>791</v>
      </c>
      <c r="D795" s="23">
        <v>-1760</v>
      </c>
      <c r="E795" t="s">
        <v>35</v>
      </c>
      <c r="F795" s="2">
        <v>210101001</v>
      </c>
      <c r="G795" s="2" t="s">
        <v>36</v>
      </c>
      <c r="I795" s="95" t="s">
        <v>7231</v>
      </c>
      <c r="J795" t="s">
        <v>86</v>
      </c>
      <c r="K795" t="s">
        <v>87</v>
      </c>
      <c r="M795">
        <v>60.52</v>
      </c>
      <c r="N795" s="4">
        <f t="shared" si="12"/>
        <v>-29.081295439524123</v>
      </c>
      <c r="O795" t="s">
        <v>83</v>
      </c>
    </row>
    <row r="796" spans="1:17" x14ac:dyDescent="0.25">
      <c r="A796" s="38">
        <v>45698</v>
      </c>
      <c r="B796" s="1">
        <v>18234101</v>
      </c>
      <c r="C796" t="s">
        <v>185</v>
      </c>
      <c r="D796" s="23">
        <v>-5.28</v>
      </c>
      <c r="E796" t="s">
        <v>35</v>
      </c>
      <c r="F796" s="2">
        <v>610148001</v>
      </c>
      <c r="G796" s="2" t="s">
        <v>41</v>
      </c>
      <c r="I796" s="95" t="s">
        <v>7231</v>
      </c>
      <c r="J796" t="s">
        <v>42</v>
      </c>
      <c r="K796" t="s">
        <v>41</v>
      </c>
      <c r="M796">
        <v>60.52</v>
      </c>
      <c r="N796" s="4">
        <f t="shared" si="12"/>
        <v>-8.724388631857237E-2</v>
      </c>
      <c r="O796" t="s">
        <v>83</v>
      </c>
      <c r="Q796" s="24" t="s">
        <v>677</v>
      </c>
    </row>
    <row r="797" spans="1:17" x14ac:dyDescent="0.25">
      <c r="A797" s="38">
        <v>45698</v>
      </c>
      <c r="B797" s="1">
        <v>618234203</v>
      </c>
      <c r="C797" t="s">
        <v>795</v>
      </c>
      <c r="D797" s="23">
        <v>-1563.64</v>
      </c>
      <c r="E797" t="s">
        <v>35</v>
      </c>
      <c r="F797" s="2">
        <v>210101001</v>
      </c>
      <c r="G797" s="2" t="s">
        <v>36</v>
      </c>
      <c r="I797" s="95" t="s">
        <v>7231</v>
      </c>
      <c r="J797" t="s">
        <v>86</v>
      </c>
      <c r="K797" t="s">
        <v>87</v>
      </c>
      <c r="M797">
        <v>60.52</v>
      </c>
      <c r="N797" s="4">
        <f t="shared" si="12"/>
        <v>-25.836748182419036</v>
      </c>
      <c r="O797" t="s">
        <v>83</v>
      </c>
    </row>
    <row r="798" spans="1:17" x14ac:dyDescent="0.25">
      <c r="A798" s="38">
        <v>45698</v>
      </c>
      <c r="B798" s="1">
        <v>618234203</v>
      </c>
      <c r="C798" t="s">
        <v>185</v>
      </c>
      <c r="D798" s="23">
        <v>-4.6900000000000004</v>
      </c>
      <c r="E798" t="s">
        <v>35</v>
      </c>
      <c r="F798" s="2">
        <v>610148001</v>
      </c>
      <c r="G798" s="2" t="s">
        <v>41</v>
      </c>
      <c r="I798" s="95" t="s">
        <v>7231</v>
      </c>
      <c r="J798" t="s">
        <v>42</v>
      </c>
      <c r="K798" t="s">
        <v>41</v>
      </c>
      <c r="M798">
        <v>60.52</v>
      </c>
      <c r="N798" s="4">
        <f t="shared" si="12"/>
        <v>-7.7495042961004623E-2</v>
      </c>
      <c r="O798" t="s">
        <v>83</v>
      </c>
      <c r="Q798" s="24" t="s">
        <v>677</v>
      </c>
    </row>
    <row r="799" spans="1:17" x14ac:dyDescent="0.25">
      <c r="A799" s="38">
        <v>45698</v>
      </c>
      <c r="B799" s="1">
        <v>141229147</v>
      </c>
      <c r="C799" t="s">
        <v>82</v>
      </c>
      <c r="D799" s="23">
        <v>305000</v>
      </c>
      <c r="E799" t="s">
        <v>45</v>
      </c>
      <c r="F799" s="2">
        <v>210115002</v>
      </c>
      <c r="G799" s="2" t="s">
        <v>46</v>
      </c>
      <c r="I799" s="95" t="s">
        <v>7231</v>
      </c>
      <c r="K799" t="s">
        <v>82</v>
      </c>
      <c r="M799">
        <v>60.52</v>
      </c>
      <c r="N799" s="4">
        <f t="shared" si="12"/>
        <v>5039.6563119629873</v>
      </c>
      <c r="O799" t="s">
        <v>83</v>
      </c>
    </row>
    <row r="800" spans="1:17" x14ac:dyDescent="0.25">
      <c r="A800" s="38">
        <v>45698</v>
      </c>
      <c r="B800" s="1">
        <v>818246792</v>
      </c>
      <c r="C800" t="s">
        <v>796</v>
      </c>
      <c r="D800" s="23">
        <v>-85957</v>
      </c>
      <c r="E800" t="s">
        <v>35</v>
      </c>
      <c r="F800" s="2">
        <v>210101001</v>
      </c>
      <c r="G800" s="2" t="s">
        <v>36</v>
      </c>
      <c r="I800" s="95" t="s">
        <v>7231</v>
      </c>
      <c r="J800" t="s">
        <v>37</v>
      </c>
      <c r="K800" t="s">
        <v>38</v>
      </c>
      <c r="M800">
        <v>60.52</v>
      </c>
      <c r="N800" s="4">
        <f t="shared" si="12"/>
        <v>-1420.307336417713</v>
      </c>
      <c r="O800" t="s">
        <v>83</v>
      </c>
    </row>
    <row r="801" spans="1:20" x14ac:dyDescent="0.25">
      <c r="A801" s="38">
        <v>45698</v>
      </c>
      <c r="B801" s="1">
        <v>818246791</v>
      </c>
      <c r="C801" t="s">
        <v>797</v>
      </c>
      <c r="D801" s="23">
        <v>-18908.77</v>
      </c>
      <c r="E801" t="s">
        <v>35</v>
      </c>
      <c r="F801" s="2">
        <v>210101001</v>
      </c>
      <c r="G801" s="2" t="s">
        <v>36</v>
      </c>
      <c r="I801" s="95" t="s">
        <v>7231</v>
      </c>
      <c r="J801" t="s">
        <v>368</v>
      </c>
      <c r="K801" t="s">
        <v>80</v>
      </c>
      <c r="M801">
        <v>60.52</v>
      </c>
      <c r="N801" s="4">
        <f t="shared" si="12"/>
        <v>-312.43836748182417</v>
      </c>
      <c r="O801" t="s">
        <v>83</v>
      </c>
    </row>
    <row r="802" spans="1:20" x14ac:dyDescent="0.25">
      <c r="A802" s="38">
        <v>45698</v>
      </c>
      <c r="B802" s="1">
        <v>718246790</v>
      </c>
      <c r="C802" t="s">
        <v>796</v>
      </c>
      <c r="D802" s="23">
        <v>-200000</v>
      </c>
      <c r="E802" t="s">
        <v>35</v>
      </c>
      <c r="F802" s="2">
        <v>210101001</v>
      </c>
      <c r="G802" s="2" t="s">
        <v>36</v>
      </c>
      <c r="I802" s="95" t="s">
        <v>7231</v>
      </c>
      <c r="J802" t="s">
        <v>37</v>
      </c>
      <c r="K802" t="s">
        <v>38</v>
      </c>
      <c r="M802">
        <v>60.52</v>
      </c>
      <c r="N802" s="4">
        <f t="shared" si="12"/>
        <v>-3304.6926635822865</v>
      </c>
      <c r="O802" t="s">
        <v>83</v>
      </c>
    </row>
    <row r="803" spans="1:20" x14ac:dyDescent="0.25">
      <c r="A803" s="38">
        <v>45698</v>
      </c>
      <c r="B803" s="1">
        <v>50277445</v>
      </c>
      <c r="C803" t="s">
        <v>89</v>
      </c>
      <c r="D803" s="23">
        <v>-762.16</v>
      </c>
      <c r="E803" t="s">
        <v>35</v>
      </c>
      <c r="F803" s="2">
        <v>610148001</v>
      </c>
      <c r="G803" s="2" t="s">
        <v>41</v>
      </c>
      <c r="I803" s="95" t="s">
        <v>7231</v>
      </c>
      <c r="J803" t="s">
        <v>42</v>
      </c>
      <c r="K803" t="s">
        <v>41</v>
      </c>
      <c r="M803">
        <v>60.52</v>
      </c>
      <c r="N803" s="4">
        <f t="shared" si="12"/>
        <v>-12.593522802379377</v>
      </c>
      <c r="O803" t="s">
        <v>83</v>
      </c>
      <c r="Q803" s="24" t="s">
        <v>677</v>
      </c>
    </row>
    <row r="804" spans="1:20" x14ac:dyDescent="0.25">
      <c r="A804" s="38">
        <v>45700</v>
      </c>
      <c r="B804" s="1">
        <v>918313521</v>
      </c>
      <c r="C804" t="s">
        <v>798</v>
      </c>
      <c r="D804" s="23">
        <v>-3051.5</v>
      </c>
      <c r="E804" t="s">
        <v>35</v>
      </c>
      <c r="F804" s="2">
        <v>210101001</v>
      </c>
      <c r="G804" s="2" t="s">
        <v>36</v>
      </c>
      <c r="I804" s="95" t="s">
        <v>7231</v>
      </c>
      <c r="J804" t="s">
        <v>86</v>
      </c>
      <c r="K804" t="s">
        <v>87</v>
      </c>
      <c r="M804">
        <v>61.03</v>
      </c>
      <c r="N804" s="4">
        <f t="shared" si="12"/>
        <v>-50</v>
      </c>
      <c r="O804" t="s">
        <v>83</v>
      </c>
    </row>
    <row r="805" spans="1:20" x14ac:dyDescent="0.25">
      <c r="A805" s="38">
        <v>45700</v>
      </c>
      <c r="B805" s="1">
        <v>918313521</v>
      </c>
      <c r="C805" t="s">
        <v>185</v>
      </c>
      <c r="D805" s="23">
        <v>-9.15</v>
      </c>
      <c r="E805" t="s">
        <v>35</v>
      </c>
      <c r="F805" s="2">
        <v>610148001</v>
      </c>
      <c r="G805" s="2" t="s">
        <v>41</v>
      </c>
      <c r="I805" s="95" t="s">
        <v>7231</v>
      </c>
      <c r="J805" t="s">
        <v>42</v>
      </c>
      <c r="K805" t="s">
        <v>41</v>
      </c>
      <c r="M805">
        <v>61.03</v>
      </c>
      <c r="N805" s="4">
        <f t="shared" si="12"/>
        <v>-0.14992626577093232</v>
      </c>
      <c r="O805" t="s">
        <v>83</v>
      </c>
      <c r="Q805" s="24" t="s">
        <v>677</v>
      </c>
    </row>
    <row r="806" spans="1:20" x14ac:dyDescent="0.25">
      <c r="A806" s="38">
        <v>45701</v>
      </c>
      <c r="B806" s="1">
        <v>134940583</v>
      </c>
      <c r="C806" t="s">
        <v>82</v>
      </c>
      <c r="D806" s="23">
        <v>55000</v>
      </c>
      <c r="E806" t="s">
        <v>45</v>
      </c>
      <c r="F806" s="2">
        <v>210115002</v>
      </c>
      <c r="G806" s="2" t="s">
        <v>46</v>
      </c>
      <c r="I806" s="95" t="s">
        <v>7231</v>
      </c>
      <c r="K806" t="s">
        <v>82</v>
      </c>
      <c r="M806">
        <v>61.35</v>
      </c>
      <c r="N806" s="4">
        <f t="shared" si="12"/>
        <v>896.49551752241234</v>
      </c>
      <c r="O806" t="s">
        <v>83</v>
      </c>
    </row>
    <row r="807" spans="1:20" x14ac:dyDescent="0.25">
      <c r="A807" s="38">
        <v>45701</v>
      </c>
      <c r="B807" s="1">
        <v>818366715</v>
      </c>
      <c r="C807" t="s">
        <v>799</v>
      </c>
      <c r="D807" s="23">
        <v>-23113.89</v>
      </c>
      <c r="E807" t="s">
        <v>35</v>
      </c>
      <c r="F807" s="2">
        <v>212901001</v>
      </c>
      <c r="G807" s="2" t="s">
        <v>91</v>
      </c>
      <c r="I807" s="95" t="s">
        <v>7231</v>
      </c>
      <c r="J807" t="s">
        <v>61</v>
      </c>
      <c r="K807" t="s">
        <v>62</v>
      </c>
      <c r="M807">
        <v>61.35</v>
      </c>
      <c r="N807" s="4">
        <f t="shared" si="12"/>
        <v>-376.75452322738386</v>
      </c>
      <c r="O807" t="s">
        <v>83</v>
      </c>
      <c r="R807">
        <v>1</v>
      </c>
      <c r="S807" t="e">
        <f>VLOOKUP(R807,[1]!NOMINA[#Data],4,FALSE)</f>
        <v>#REF!</v>
      </c>
      <c r="T807" t="e">
        <f>VLOOKUP(R807,[1]!NOMINA[#Data],5,FALSE)</f>
        <v>#REF!</v>
      </c>
    </row>
    <row r="808" spans="1:20" x14ac:dyDescent="0.25">
      <c r="A808" s="38">
        <v>45701</v>
      </c>
      <c r="B808" s="1">
        <v>818366714</v>
      </c>
      <c r="C808" t="s">
        <v>800</v>
      </c>
      <c r="D808" s="23">
        <v>-30449.7</v>
      </c>
      <c r="E808" t="s">
        <v>35</v>
      </c>
      <c r="F808" s="2">
        <v>212901001</v>
      </c>
      <c r="G808" s="2" t="s">
        <v>91</v>
      </c>
      <c r="I808" s="95" t="s">
        <v>7231</v>
      </c>
      <c r="J808" t="s">
        <v>61</v>
      </c>
      <c r="K808" t="s">
        <v>62</v>
      </c>
      <c r="M808">
        <v>61.35</v>
      </c>
      <c r="N808" s="4">
        <f t="shared" si="12"/>
        <v>-496.32762836185822</v>
      </c>
      <c r="O808" t="s">
        <v>83</v>
      </c>
      <c r="R808">
        <v>2</v>
      </c>
      <c r="S808" t="e">
        <f>VLOOKUP(Tabla3[[#This Row],[Nº]],[1]!NOMINA[#Data],4,FALSE)</f>
        <v>#REF!</v>
      </c>
      <c r="T808" t="e">
        <f>VLOOKUP(Tabla3[[#This Row],[Nº]],[1]!NOMINA[#Data],5,FALSE)</f>
        <v>#REF!</v>
      </c>
    </row>
    <row r="809" spans="1:20" x14ac:dyDescent="0.25">
      <c r="A809" s="38">
        <v>45701</v>
      </c>
      <c r="B809" s="1">
        <v>818366716</v>
      </c>
      <c r="C809" t="s">
        <v>801</v>
      </c>
      <c r="D809" s="23">
        <v>-61.65</v>
      </c>
      <c r="E809" t="s">
        <v>35</v>
      </c>
      <c r="F809" s="2">
        <v>212901001</v>
      </c>
      <c r="G809" s="2" t="s">
        <v>91</v>
      </c>
      <c r="I809" s="95" t="s">
        <v>7231</v>
      </c>
      <c r="J809" t="s">
        <v>61</v>
      </c>
      <c r="K809" t="s">
        <v>62</v>
      </c>
      <c r="M809">
        <v>61.35</v>
      </c>
      <c r="N809" s="4">
        <f t="shared" si="12"/>
        <v>-1.0048899755501222</v>
      </c>
      <c r="O809" t="s">
        <v>83</v>
      </c>
      <c r="R809">
        <v>2</v>
      </c>
      <c r="S809" t="e">
        <f>VLOOKUP(Tabla3[[#This Row],[Nº]],[1]!NOMINA[#Data],4,FALSE)</f>
        <v>#REF!</v>
      </c>
      <c r="T809" t="e">
        <f>VLOOKUP(Tabla3[[#This Row],[Nº]],[1]!NOMINA[#Data],5,FALSE)</f>
        <v>#REF!</v>
      </c>
    </row>
    <row r="810" spans="1:20" x14ac:dyDescent="0.25">
      <c r="A810" s="38">
        <v>45701</v>
      </c>
      <c r="B810" s="1">
        <v>818366717</v>
      </c>
      <c r="C810" t="s">
        <v>802</v>
      </c>
      <c r="D810" s="23">
        <v>-61.65</v>
      </c>
      <c r="E810" t="s">
        <v>35</v>
      </c>
      <c r="F810" s="2">
        <v>212901001</v>
      </c>
      <c r="G810" s="2" t="s">
        <v>91</v>
      </c>
      <c r="I810" s="95" t="s">
        <v>7231</v>
      </c>
      <c r="J810" t="s">
        <v>61</v>
      </c>
      <c r="K810" t="s">
        <v>62</v>
      </c>
      <c r="M810">
        <v>61.35</v>
      </c>
      <c r="N810" s="4">
        <f t="shared" si="12"/>
        <v>-1.0048899755501222</v>
      </c>
      <c r="O810" t="s">
        <v>83</v>
      </c>
      <c r="R810">
        <v>1</v>
      </c>
      <c r="S810" t="e">
        <f>VLOOKUP(R810,[1]!NOMINA[#Data],4,FALSE)</f>
        <v>#REF!</v>
      </c>
      <c r="T810" t="e">
        <f>VLOOKUP(R810,[1]!NOMINA[#Data],5,FALSE)</f>
        <v>#REF!</v>
      </c>
    </row>
    <row r="811" spans="1:20" x14ac:dyDescent="0.25">
      <c r="A811" s="38">
        <v>45701</v>
      </c>
      <c r="B811" s="1">
        <v>50244920</v>
      </c>
      <c r="C811" t="s">
        <v>89</v>
      </c>
      <c r="D811" s="23">
        <v>-134.21</v>
      </c>
      <c r="E811" t="s">
        <v>35</v>
      </c>
      <c r="F811" s="2">
        <v>610148001</v>
      </c>
      <c r="G811" s="2" t="s">
        <v>41</v>
      </c>
      <c r="I811" s="95" t="s">
        <v>7231</v>
      </c>
      <c r="J811" t="s">
        <v>42</v>
      </c>
      <c r="K811" t="s">
        <v>41</v>
      </c>
      <c r="M811">
        <v>61.35</v>
      </c>
      <c r="N811" s="4">
        <f t="shared" si="12"/>
        <v>-2.1876120619396904</v>
      </c>
      <c r="O811" t="s">
        <v>83</v>
      </c>
      <c r="Q811" s="24" t="s">
        <v>677</v>
      </c>
    </row>
    <row r="812" spans="1:20" x14ac:dyDescent="0.25">
      <c r="A812" s="38">
        <v>45701</v>
      </c>
      <c r="B812" s="1">
        <v>418370387</v>
      </c>
      <c r="C812" t="s">
        <v>803</v>
      </c>
      <c r="D812" s="23">
        <v>-3928.36</v>
      </c>
      <c r="E812" t="s">
        <v>35</v>
      </c>
      <c r="F812" s="2">
        <v>210101001</v>
      </c>
      <c r="G812" s="2" t="s">
        <v>36</v>
      </c>
      <c r="I812" s="95" t="s">
        <v>7231</v>
      </c>
      <c r="J812" t="s">
        <v>804</v>
      </c>
      <c r="K812" t="s">
        <v>805</v>
      </c>
      <c r="M812">
        <v>61.35</v>
      </c>
      <c r="N812" s="4">
        <f t="shared" si="12"/>
        <v>-64.031947840260798</v>
      </c>
      <c r="O812" t="s">
        <v>83</v>
      </c>
    </row>
    <row r="813" spans="1:20" x14ac:dyDescent="0.25">
      <c r="A813" s="38">
        <v>45701</v>
      </c>
      <c r="B813" s="1">
        <v>418370387</v>
      </c>
      <c r="C813" t="s">
        <v>185</v>
      </c>
      <c r="D813" s="23">
        <v>-11.79</v>
      </c>
      <c r="E813" t="s">
        <v>35</v>
      </c>
      <c r="F813" s="2">
        <v>610148001</v>
      </c>
      <c r="G813" s="2" t="s">
        <v>41</v>
      </c>
      <c r="I813" s="95" t="s">
        <v>7231</v>
      </c>
      <c r="J813" t="s">
        <v>42</v>
      </c>
      <c r="K813" t="s">
        <v>41</v>
      </c>
      <c r="M813">
        <v>61.35</v>
      </c>
      <c r="N813" s="4">
        <f t="shared" si="12"/>
        <v>-0.19217603911980438</v>
      </c>
      <c r="O813" t="s">
        <v>83</v>
      </c>
      <c r="Q813" s="24" t="s">
        <v>677</v>
      </c>
    </row>
    <row r="814" spans="1:20" x14ac:dyDescent="0.25">
      <c r="A814" s="38">
        <v>45702</v>
      </c>
      <c r="B814" s="1">
        <v>121246442</v>
      </c>
      <c r="C814" t="s">
        <v>82</v>
      </c>
      <c r="D814" s="23">
        <v>290000</v>
      </c>
      <c r="E814" t="s">
        <v>45</v>
      </c>
      <c r="F814" s="2">
        <v>210115002</v>
      </c>
      <c r="G814" s="2" t="s">
        <v>46</v>
      </c>
      <c r="I814" s="95" t="s">
        <v>7231</v>
      </c>
      <c r="K814" t="s">
        <v>82</v>
      </c>
      <c r="M814">
        <v>61.82</v>
      </c>
      <c r="N814" s="4">
        <f t="shared" si="12"/>
        <v>4691.0384988676806</v>
      </c>
      <c r="O814" t="s">
        <v>83</v>
      </c>
    </row>
    <row r="815" spans="1:20" x14ac:dyDescent="0.25">
      <c r="A815" s="38">
        <v>45702</v>
      </c>
      <c r="B815" s="1">
        <v>518407951</v>
      </c>
      <c r="C815" t="s">
        <v>806</v>
      </c>
      <c r="D815" s="23">
        <v>-3709.2</v>
      </c>
      <c r="E815" t="s">
        <v>35</v>
      </c>
      <c r="F815" s="2">
        <v>212901001</v>
      </c>
      <c r="G815" s="2" t="s">
        <v>91</v>
      </c>
      <c r="I815" s="95" t="s">
        <v>7231</v>
      </c>
      <c r="J815" t="s">
        <v>61</v>
      </c>
      <c r="K815" t="s">
        <v>62</v>
      </c>
      <c r="M815">
        <v>61.82</v>
      </c>
      <c r="N815" s="4">
        <f t="shared" si="12"/>
        <v>-60</v>
      </c>
      <c r="O815" t="s">
        <v>83</v>
      </c>
    </row>
    <row r="816" spans="1:20" x14ac:dyDescent="0.25">
      <c r="A816" s="38">
        <v>45702</v>
      </c>
      <c r="B816" s="1">
        <v>518407949</v>
      </c>
      <c r="C816" t="s">
        <v>807</v>
      </c>
      <c r="D816" s="23">
        <v>-3709.2</v>
      </c>
      <c r="E816" t="s">
        <v>35</v>
      </c>
      <c r="F816" s="2">
        <v>212901001</v>
      </c>
      <c r="G816" s="2" t="s">
        <v>91</v>
      </c>
      <c r="I816" s="95" t="s">
        <v>7231</v>
      </c>
      <c r="J816" t="s">
        <v>61</v>
      </c>
      <c r="K816" t="s">
        <v>62</v>
      </c>
      <c r="M816">
        <v>61.82</v>
      </c>
      <c r="N816" s="4">
        <f t="shared" si="12"/>
        <v>-60</v>
      </c>
      <c r="O816" t="s">
        <v>83</v>
      </c>
    </row>
    <row r="817" spans="1:15" x14ac:dyDescent="0.25">
      <c r="A817" s="38">
        <v>45702</v>
      </c>
      <c r="B817" s="1">
        <v>518407952</v>
      </c>
      <c r="C817" t="s">
        <v>808</v>
      </c>
      <c r="D817" s="23">
        <v>-3709.2</v>
      </c>
      <c r="E817" t="s">
        <v>35</v>
      </c>
      <c r="F817" s="2">
        <v>212901001</v>
      </c>
      <c r="G817" s="2" t="s">
        <v>91</v>
      </c>
      <c r="I817" s="95" t="s">
        <v>7231</v>
      </c>
      <c r="J817" t="s">
        <v>61</v>
      </c>
      <c r="K817" t="s">
        <v>62</v>
      </c>
      <c r="M817">
        <v>61.82</v>
      </c>
      <c r="N817" s="4">
        <f t="shared" si="12"/>
        <v>-60</v>
      </c>
      <c r="O817" t="s">
        <v>83</v>
      </c>
    </row>
    <row r="818" spans="1:15" x14ac:dyDescent="0.25">
      <c r="A818" s="38">
        <v>45702</v>
      </c>
      <c r="B818" s="1">
        <v>518407948</v>
      </c>
      <c r="C818" t="s">
        <v>809</v>
      </c>
      <c r="D818" s="23">
        <v>-3709.2</v>
      </c>
      <c r="E818" t="s">
        <v>35</v>
      </c>
      <c r="F818" s="2">
        <v>212901001</v>
      </c>
      <c r="G818" s="2" t="s">
        <v>91</v>
      </c>
      <c r="I818" s="95" t="s">
        <v>7231</v>
      </c>
      <c r="J818" t="s">
        <v>61</v>
      </c>
      <c r="K818" t="s">
        <v>62</v>
      </c>
      <c r="M818">
        <v>61.82</v>
      </c>
      <c r="N818" s="4">
        <f t="shared" si="12"/>
        <v>-60</v>
      </c>
      <c r="O818" t="s">
        <v>83</v>
      </c>
    </row>
    <row r="819" spans="1:15" x14ac:dyDescent="0.25">
      <c r="A819" s="38">
        <v>45702</v>
      </c>
      <c r="B819" s="1">
        <v>518407953</v>
      </c>
      <c r="C819" t="s">
        <v>810</v>
      </c>
      <c r="D819" s="23">
        <v>-3709.2</v>
      </c>
      <c r="E819" t="s">
        <v>35</v>
      </c>
      <c r="F819" s="2">
        <v>212901001</v>
      </c>
      <c r="G819" s="2" t="s">
        <v>91</v>
      </c>
      <c r="I819" s="95" t="s">
        <v>7231</v>
      </c>
      <c r="J819" t="s">
        <v>61</v>
      </c>
      <c r="K819" t="s">
        <v>62</v>
      </c>
      <c r="M819">
        <v>61.82</v>
      </c>
      <c r="N819" s="4">
        <f t="shared" si="12"/>
        <v>-60</v>
      </c>
      <c r="O819" t="s">
        <v>83</v>
      </c>
    </row>
    <row r="820" spans="1:15" x14ac:dyDescent="0.25">
      <c r="A820" s="38">
        <v>45702</v>
      </c>
      <c r="B820" s="1">
        <v>518407946</v>
      </c>
      <c r="C820" t="s">
        <v>811</v>
      </c>
      <c r="D820" s="23">
        <v>-3709.2</v>
      </c>
      <c r="E820" t="s">
        <v>35</v>
      </c>
      <c r="F820" s="2">
        <v>212901001</v>
      </c>
      <c r="G820" s="2" t="s">
        <v>91</v>
      </c>
      <c r="I820" s="95" t="s">
        <v>7231</v>
      </c>
      <c r="J820" t="s">
        <v>61</v>
      </c>
      <c r="K820" t="s">
        <v>62</v>
      </c>
      <c r="M820">
        <v>61.82</v>
      </c>
      <c r="N820" s="4">
        <f t="shared" si="12"/>
        <v>-60</v>
      </c>
      <c r="O820" t="s">
        <v>83</v>
      </c>
    </row>
    <row r="821" spans="1:15" x14ac:dyDescent="0.25">
      <c r="A821" s="38">
        <v>45702</v>
      </c>
      <c r="B821" s="1">
        <v>518407955</v>
      </c>
      <c r="C821" t="s">
        <v>812</v>
      </c>
      <c r="D821" s="23">
        <v>-3709.2</v>
      </c>
      <c r="E821" t="s">
        <v>35</v>
      </c>
      <c r="F821" s="2">
        <v>212901001</v>
      </c>
      <c r="G821" s="2" t="s">
        <v>91</v>
      </c>
      <c r="I821" s="95" t="s">
        <v>7231</v>
      </c>
      <c r="J821" t="s">
        <v>61</v>
      </c>
      <c r="K821" t="s">
        <v>62</v>
      </c>
      <c r="M821">
        <v>61.82</v>
      </c>
      <c r="N821" s="4">
        <f t="shared" si="12"/>
        <v>-60</v>
      </c>
      <c r="O821" t="s">
        <v>83</v>
      </c>
    </row>
    <row r="822" spans="1:15" x14ac:dyDescent="0.25">
      <c r="A822" s="38">
        <v>45702</v>
      </c>
      <c r="B822" s="1">
        <v>518407954</v>
      </c>
      <c r="C822" t="s">
        <v>813</v>
      </c>
      <c r="D822" s="23">
        <v>-3709.2</v>
      </c>
      <c r="E822" t="s">
        <v>35</v>
      </c>
      <c r="F822" s="2">
        <v>212901001</v>
      </c>
      <c r="G822" s="2" t="s">
        <v>91</v>
      </c>
      <c r="I822" s="95" t="s">
        <v>7231</v>
      </c>
      <c r="J822" t="s">
        <v>61</v>
      </c>
      <c r="K822" t="s">
        <v>62</v>
      </c>
      <c r="M822">
        <v>61.82</v>
      </c>
      <c r="N822" s="4">
        <f t="shared" si="12"/>
        <v>-60</v>
      </c>
      <c r="O822" t="s">
        <v>83</v>
      </c>
    </row>
    <row r="823" spans="1:15" x14ac:dyDescent="0.25">
      <c r="A823" s="38">
        <v>45702</v>
      </c>
      <c r="B823" s="1">
        <v>618407960</v>
      </c>
      <c r="C823" t="s">
        <v>814</v>
      </c>
      <c r="D823" s="23">
        <v>-3709.2</v>
      </c>
      <c r="E823" t="s">
        <v>35</v>
      </c>
      <c r="F823" s="2">
        <v>212901001</v>
      </c>
      <c r="G823" s="2" t="s">
        <v>91</v>
      </c>
      <c r="I823" s="95" t="s">
        <v>7231</v>
      </c>
      <c r="J823" t="s">
        <v>61</v>
      </c>
      <c r="K823" t="s">
        <v>62</v>
      </c>
      <c r="M823">
        <v>61.82</v>
      </c>
      <c r="N823" s="4">
        <f t="shared" si="12"/>
        <v>-60</v>
      </c>
      <c r="O823" t="s">
        <v>83</v>
      </c>
    </row>
    <row r="824" spans="1:15" x14ac:dyDescent="0.25">
      <c r="A824" s="38">
        <v>45702</v>
      </c>
      <c r="B824" s="1">
        <v>518407958</v>
      </c>
      <c r="C824" t="s">
        <v>815</v>
      </c>
      <c r="D824" s="23">
        <v>-3709.2</v>
      </c>
      <c r="E824" t="s">
        <v>35</v>
      </c>
      <c r="F824" s="2">
        <v>212901001</v>
      </c>
      <c r="G824" s="2" t="s">
        <v>91</v>
      </c>
      <c r="I824" s="95" t="s">
        <v>7231</v>
      </c>
      <c r="J824" t="s">
        <v>61</v>
      </c>
      <c r="K824" t="s">
        <v>62</v>
      </c>
      <c r="M824">
        <v>61.82</v>
      </c>
      <c r="N824" s="4">
        <f t="shared" si="12"/>
        <v>-60</v>
      </c>
      <c r="O824" t="s">
        <v>83</v>
      </c>
    </row>
    <row r="825" spans="1:15" x14ac:dyDescent="0.25">
      <c r="A825" s="38">
        <v>45702</v>
      </c>
      <c r="B825" s="1">
        <v>618407964</v>
      </c>
      <c r="C825" t="s">
        <v>816</v>
      </c>
      <c r="D825" s="23">
        <v>-3709.2</v>
      </c>
      <c r="E825" t="s">
        <v>35</v>
      </c>
      <c r="F825" s="2">
        <v>212901001</v>
      </c>
      <c r="G825" s="2" t="s">
        <v>91</v>
      </c>
      <c r="I825" s="95" t="s">
        <v>7231</v>
      </c>
      <c r="J825" t="s">
        <v>61</v>
      </c>
      <c r="K825" t="s">
        <v>62</v>
      </c>
      <c r="M825">
        <v>61.82</v>
      </c>
      <c r="N825" s="4">
        <f t="shared" si="12"/>
        <v>-60</v>
      </c>
      <c r="O825" t="s">
        <v>83</v>
      </c>
    </row>
    <row r="826" spans="1:15" x14ac:dyDescent="0.25">
      <c r="A826" s="38">
        <v>45702</v>
      </c>
      <c r="B826" s="1">
        <v>618407963</v>
      </c>
      <c r="C826" t="s">
        <v>817</v>
      </c>
      <c r="D826" s="23">
        <v>-3709.2</v>
      </c>
      <c r="E826" t="s">
        <v>35</v>
      </c>
      <c r="F826" s="2">
        <v>212901001</v>
      </c>
      <c r="G826" s="2" t="s">
        <v>91</v>
      </c>
      <c r="I826" s="95" t="s">
        <v>7231</v>
      </c>
      <c r="J826" t="s">
        <v>61</v>
      </c>
      <c r="K826" t="s">
        <v>62</v>
      </c>
      <c r="M826">
        <v>61.82</v>
      </c>
      <c r="N826" s="4">
        <f t="shared" si="12"/>
        <v>-60</v>
      </c>
      <c r="O826" t="s">
        <v>83</v>
      </c>
    </row>
    <row r="827" spans="1:15" x14ac:dyDescent="0.25">
      <c r="A827" s="38">
        <v>45702</v>
      </c>
      <c r="B827" s="1">
        <v>618407961</v>
      </c>
      <c r="C827" t="s">
        <v>818</v>
      </c>
      <c r="D827" s="23">
        <v>-3709.2</v>
      </c>
      <c r="E827" t="s">
        <v>35</v>
      </c>
      <c r="F827" s="2">
        <v>212901001</v>
      </c>
      <c r="G827" s="2" t="s">
        <v>91</v>
      </c>
      <c r="I827" s="95" t="s">
        <v>7231</v>
      </c>
      <c r="J827" t="s">
        <v>61</v>
      </c>
      <c r="K827" t="s">
        <v>62</v>
      </c>
      <c r="M827">
        <v>61.82</v>
      </c>
      <c r="N827" s="4">
        <f t="shared" si="12"/>
        <v>-60</v>
      </c>
      <c r="O827" t="s">
        <v>83</v>
      </c>
    </row>
    <row r="828" spans="1:15" x14ac:dyDescent="0.25">
      <c r="A828" s="38">
        <v>45702</v>
      </c>
      <c r="B828" s="1">
        <v>618407959</v>
      </c>
      <c r="C828" t="s">
        <v>819</v>
      </c>
      <c r="D828" s="23">
        <v>-3709.2</v>
      </c>
      <c r="E828" t="s">
        <v>35</v>
      </c>
      <c r="F828" s="2">
        <v>212901001</v>
      </c>
      <c r="G828" s="2" t="s">
        <v>91</v>
      </c>
      <c r="I828" s="95" t="s">
        <v>7231</v>
      </c>
      <c r="J828" t="s">
        <v>61</v>
      </c>
      <c r="K828" t="s">
        <v>62</v>
      </c>
      <c r="M828">
        <v>61.82</v>
      </c>
      <c r="N828" s="4">
        <f t="shared" si="12"/>
        <v>-60</v>
      </c>
      <c r="O828" t="s">
        <v>83</v>
      </c>
    </row>
    <row r="829" spans="1:15" x14ac:dyDescent="0.25">
      <c r="A829" s="38">
        <v>45702</v>
      </c>
      <c r="B829" s="1">
        <v>518407957</v>
      </c>
      <c r="C829" t="s">
        <v>820</v>
      </c>
      <c r="D829" s="23">
        <v>-3709.2</v>
      </c>
      <c r="E829" t="s">
        <v>35</v>
      </c>
      <c r="F829" s="2">
        <v>212901001</v>
      </c>
      <c r="G829" s="2" t="s">
        <v>91</v>
      </c>
      <c r="I829" s="95" t="s">
        <v>7231</v>
      </c>
      <c r="J829" t="s">
        <v>61</v>
      </c>
      <c r="K829" t="s">
        <v>62</v>
      </c>
      <c r="M829">
        <v>61.82</v>
      </c>
      <c r="N829" s="4">
        <f t="shared" si="12"/>
        <v>-60</v>
      </c>
      <c r="O829" t="s">
        <v>83</v>
      </c>
    </row>
    <row r="830" spans="1:15" x14ac:dyDescent="0.25">
      <c r="A830" s="38">
        <v>45702</v>
      </c>
      <c r="B830" s="1">
        <v>518407956</v>
      </c>
      <c r="C830" t="s">
        <v>821</v>
      </c>
      <c r="D830" s="23">
        <v>-3709.2</v>
      </c>
      <c r="E830" t="s">
        <v>35</v>
      </c>
      <c r="F830" s="2">
        <v>212901001</v>
      </c>
      <c r="G830" s="2" t="s">
        <v>91</v>
      </c>
      <c r="I830" s="95" t="s">
        <v>7231</v>
      </c>
      <c r="J830" t="s">
        <v>61</v>
      </c>
      <c r="K830" t="s">
        <v>62</v>
      </c>
      <c r="M830">
        <v>61.82</v>
      </c>
      <c r="N830" s="4">
        <f t="shared" si="12"/>
        <v>-60</v>
      </c>
      <c r="O830" t="s">
        <v>83</v>
      </c>
    </row>
    <row r="831" spans="1:15" x14ac:dyDescent="0.25">
      <c r="A831" s="38">
        <v>45702</v>
      </c>
      <c r="B831" s="1">
        <v>718407973</v>
      </c>
      <c r="C831" t="s">
        <v>822</v>
      </c>
      <c r="D831" s="23">
        <v>-3091</v>
      </c>
      <c r="E831" t="s">
        <v>35</v>
      </c>
      <c r="F831" s="2">
        <v>212901001</v>
      </c>
      <c r="G831" s="2" t="s">
        <v>91</v>
      </c>
      <c r="I831" s="95" t="s">
        <v>7231</v>
      </c>
      <c r="J831" t="s">
        <v>61</v>
      </c>
      <c r="K831" t="s">
        <v>62</v>
      </c>
      <c r="M831">
        <v>61.82</v>
      </c>
      <c r="N831" s="4">
        <f t="shared" si="12"/>
        <v>-50</v>
      </c>
      <c r="O831" t="s">
        <v>83</v>
      </c>
    </row>
    <row r="832" spans="1:15" x14ac:dyDescent="0.25">
      <c r="A832" s="38">
        <v>45702</v>
      </c>
      <c r="B832" s="1">
        <v>718407972</v>
      </c>
      <c r="C832" t="s">
        <v>823</v>
      </c>
      <c r="D832" s="23">
        <v>-4945.6000000000004</v>
      </c>
      <c r="E832" t="s">
        <v>35</v>
      </c>
      <c r="F832" s="2">
        <v>212901001</v>
      </c>
      <c r="G832" s="2" t="s">
        <v>91</v>
      </c>
      <c r="I832" s="95" t="s">
        <v>7231</v>
      </c>
      <c r="J832" t="s">
        <v>61</v>
      </c>
      <c r="K832" t="s">
        <v>62</v>
      </c>
      <c r="M832">
        <v>61.82</v>
      </c>
      <c r="N832" s="4">
        <f t="shared" si="12"/>
        <v>-80</v>
      </c>
      <c r="O832" t="s">
        <v>83</v>
      </c>
    </row>
    <row r="833" spans="1:15" x14ac:dyDescent="0.25">
      <c r="A833" s="38">
        <v>45702</v>
      </c>
      <c r="B833" s="1">
        <v>618407968</v>
      </c>
      <c r="C833" t="s">
        <v>824</v>
      </c>
      <c r="D833" s="23">
        <v>-4945.6000000000004</v>
      </c>
      <c r="E833" t="s">
        <v>35</v>
      </c>
      <c r="F833" s="2">
        <v>212901001</v>
      </c>
      <c r="G833" s="2" t="s">
        <v>91</v>
      </c>
      <c r="I833" s="95" t="s">
        <v>7231</v>
      </c>
      <c r="J833" t="s">
        <v>61</v>
      </c>
      <c r="K833" t="s">
        <v>62</v>
      </c>
      <c r="M833">
        <v>61.82</v>
      </c>
      <c r="N833" s="4">
        <f t="shared" si="12"/>
        <v>-80</v>
      </c>
      <c r="O833" t="s">
        <v>83</v>
      </c>
    </row>
    <row r="834" spans="1:15" x14ac:dyDescent="0.25">
      <c r="A834" s="38">
        <v>45702</v>
      </c>
      <c r="B834" s="1">
        <v>718407971</v>
      </c>
      <c r="C834" t="s">
        <v>825</v>
      </c>
      <c r="D834" s="23">
        <v>-4945.6000000000004</v>
      </c>
      <c r="E834" t="s">
        <v>35</v>
      </c>
      <c r="F834" s="2">
        <v>212901001</v>
      </c>
      <c r="G834" s="2" t="s">
        <v>91</v>
      </c>
      <c r="I834" s="95" t="s">
        <v>7231</v>
      </c>
      <c r="J834" t="s">
        <v>61</v>
      </c>
      <c r="K834" t="s">
        <v>62</v>
      </c>
      <c r="M834">
        <v>61.82</v>
      </c>
      <c r="N834" s="4">
        <f t="shared" si="12"/>
        <v>-80</v>
      </c>
      <c r="O834" t="s">
        <v>83</v>
      </c>
    </row>
    <row r="835" spans="1:15" x14ac:dyDescent="0.25">
      <c r="A835" s="38">
        <v>45702</v>
      </c>
      <c r="B835" s="1">
        <v>618407967</v>
      </c>
      <c r="C835" t="s">
        <v>826</v>
      </c>
      <c r="D835" s="23">
        <v>-4945.6000000000004</v>
      </c>
      <c r="E835" t="s">
        <v>35</v>
      </c>
      <c r="F835" s="2">
        <v>212901001</v>
      </c>
      <c r="G835" s="2" t="s">
        <v>91</v>
      </c>
      <c r="I835" s="95" t="s">
        <v>7231</v>
      </c>
      <c r="J835" t="s">
        <v>61</v>
      </c>
      <c r="K835" t="s">
        <v>62</v>
      </c>
      <c r="M835">
        <v>61.82</v>
      </c>
      <c r="N835" s="4">
        <f t="shared" si="12"/>
        <v>-80</v>
      </c>
      <c r="O835" t="s">
        <v>83</v>
      </c>
    </row>
    <row r="836" spans="1:15" x14ac:dyDescent="0.25">
      <c r="A836" s="38">
        <v>45702</v>
      </c>
      <c r="B836" s="1">
        <v>618407970</v>
      </c>
      <c r="C836" t="s">
        <v>827</v>
      </c>
      <c r="D836" s="23">
        <v>-4945.6000000000004</v>
      </c>
      <c r="E836" t="s">
        <v>35</v>
      </c>
      <c r="F836" s="2">
        <v>212901001</v>
      </c>
      <c r="G836" s="2" t="s">
        <v>91</v>
      </c>
      <c r="I836" s="95" t="s">
        <v>7231</v>
      </c>
      <c r="J836" t="s">
        <v>61</v>
      </c>
      <c r="K836" t="s">
        <v>62</v>
      </c>
      <c r="M836">
        <v>61.82</v>
      </c>
      <c r="N836" s="4">
        <f t="shared" si="12"/>
        <v>-80</v>
      </c>
      <c r="O836" t="s">
        <v>83</v>
      </c>
    </row>
    <row r="837" spans="1:15" x14ac:dyDescent="0.25">
      <c r="A837" s="38">
        <v>45702</v>
      </c>
      <c r="B837" s="1">
        <v>718407977</v>
      </c>
      <c r="C837" t="s">
        <v>828</v>
      </c>
      <c r="D837" s="23">
        <v>-3091</v>
      </c>
      <c r="E837" t="s">
        <v>35</v>
      </c>
      <c r="F837" s="2">
        <v>212901001</v>
      </c>
      <c r="G837" s="2" t="s">
        <v>91</v>
      </c>
      <c r="I837" s="95" t="s">
        <v>7231</v>
      </c>
      <c r="J837" t="s">
        <v>61</v>
      </c>
      <c r="K837" t="s">
        <v>62</v>
      </c>
      <c r="M837">
        <v>61.82</v>
      </c>
      <c r="N837" s="4">
        <f t="shared" si="12"/>
        <v>-50</v>
      </c>
      <c r="O837" t="s">
        <v>83</v>
      </c>
    </row>
    <row r="838" spans="1:15" x14ac:dyDescent="0.25">
      <c r="A838" s="38">
        <v>45702</v>
      </c>
      <c r="B838" s="1">
        <v>618407965</v>
      </c>
      <c r="C838" t="s">
        <v>829</v>
      </c>
      <c r="D838" s="23">
        <v>-9273</v>
      </c>
      <c r="E838" t="s">
        <v>35</v>
      </c>
      <c r="F838" s="2">
        <v>212901001</v>
      </c>
      <c r="G838" s="2" t="s">
        <v>91</v>
      </c>
      <c r="I838" s="95" t="s">
        <v>7231</v>
      </c>
      <c r="J838" t="s">
        <v>61</v>
      </c>
      <c r="K838" t="s">
        <v>62</v>
      </c>
      <c r="M838">
        <v>61.82</v>
      </c>
      <c r="N838" s="4">
        <f t="shared" si="12"/>
        <v>-150</v>
      </c>
      <c r="O838" t="s">
        <v>83</v>
      </c>
    </row>
    <row r="839" spans="1:15" x14ac:dyDescent="0.25">
      <c r="A839" s="38">
        <v>45702</v>
      </c>
      <c r="B839" s="1">
        <v>618407966</v>
      </c>
      <c r="C839" t="s">
        <v>830</v>
      </c>
      <c r="D839" s="23">
        <v>-6182</v>
      </c>
      <c r="E839" t="s">
        <v>35</v>
      </c>
      <c r="F839" s="2">
        <v>212901001</v>
      </c>
      <c r="G839" s="2" t="s">
        <v>91</v>
      </c>
      <c r="I839" s="95" t="s">
        <v>7231</v>
      </c>
      <c r="J839" t="s">
        <v>61</v>
      </c>
      <c r="K839" t="s">
        <v>62</v>
      </c>
      <c r="M839">
        <v>61.82</v>
      </c>
      <c r="N839" s="4">
        <f t="shared" si="12"/>
        <v>-100</v>
      </c>
      <c r="O839" t="s">
        <v>83</v>
      </c>
    </row>
    <row r="840" spans="1:15" x14ac:dyDescent="0.25">
      <c r="A840" s="38">
        <v>45702</v>
      </c>
      <c r="B840" s="1">
        <v>618407969</v>
      </c>
      <c r="C840" t="s">
        <v>831</v>
      </c>
      <c r="D840" s="23">
        <v>-4945.6000000000004</v>
      </c>
      <c r="E840" t="s">
        <v>35</v>
      </c>
      <c r="F840" s="2">
        <v>212901001</v>
      </c>
      <c r="G840" s="2" t="s">
        <v>91</v>
      </c>
      <c r="I840" s="95" t="s">
        <v>7231</v>
      </c>
      <c r="J840" t="s">
        <v>61</v>
      </c>
      <c r="K840" t="s">
        <v>62</v>
      </c>
      <c r="M840">
        <v>61.82</v>
      </c>
      <c r="N840" s="4">
        <f t="shared" si="12"/>
        <v>-80</v>
      </c>
      <c r="O840" t="s">
        <v>83</v>
      </c>
    </row>
    <row r="841" spans="1:15" x14ac:dyDescent="0.25">
      <c r="A841" s="38">
        <v>45702</v>
      </c>
      <c r="B841" s="1">
        <v>718407976</v>
      </c>
      <c r="C841" t="s">
        <v>832</v>
      </c>
      <c r="D841" s="23">
        <v>-3091</v>
      </c>
      <c r="E841" t="s">
        <v>35</v>
      </c>
      <c r="F841" s="2">
        <v>212901001</v>
      </c>
      <c r="G841" s="2" t="s">
        <v>91</v>
      </c>
      <c r="I841" s="95" t="s">
        <v>7231</v>
      </c>
      <c r="J841" t="s">
        <v>61</v>
      </c>
      <c r="K841" t="s">
        <v>62</v>
      </c>
      <c r="M841">
        <v>61.82</v>
      </c>
      <c r="N841" s="4">
        <f t="shared" si="12"/>
        <v>-50</v>
      </c>
      <c r="O841" t="s">
        <v>83</v>
      </c>
    </row>
    <row r="842" spans="1:15" x14ac:dyDescent="0.25">
      <c r="A842" s="38">
        <v>45702</v>
      </c>
      <c r="B842" s="1">
        <v>718407980</v>
      </c>
      <c r="C842" t="s">
        <v>833</v>
      </c>
      <c r="D842" s="23">
        <v>-2472.8000000000002</v>
      </c>
      <c r="E842" t="s">
        <v>35</v>
      </c>
      <c r="F842" s="2">
        <v>212901001</v>
      </c>
      <c r="G842" s="2" t="s">
        <v>91</v>
      </c>
      <c r="I842" s="95" t="s">
        <v>7231</v>
      </c>
      <c r="J842" t="s">
        <v>61</v>
      </c>
      <c r="K842" t="s">
        <v>62</v>
      </c>
      <c r="M842">
        <v>61.82</v>
      </c>
      <c r="N842" s="4">
        <f t="shared" si="12"/>
        <v>-40</v>
      </c>
      <c r="O842" t="s">
        <v>83</v>
      </c>
    </row>
    <row r="843" spans="1:15" x14ac:dyDescent="0.25">
      <c r="A843" s="38">
        <v>45702</v>
      </c>
      <c r="B843" s="1">
        <v>718407981</v>
      </c>
      <c r="C843" t="s">
        <v>834</v>
      </c>
      <c r="D843" s="23">
        <v>-2472.8000000000002</v>
      </c>
      <c r="E843" t="s">
        <v>35</v>
      </c>
      <c r="F843" s="2">
        <v>212901001</v>
      </c>
      <c r="G843" s="2" t="s">
        <v>91</v>
      </c>
      <c r="I843" s="95" t="s">
        <v>7231</v>
      </c>
      <c r="J843" t="s">
        <v>61</v>
      </c>
      <c r="K843" t="s">
        <v>62</v>
      </c>
      <c r="M843">
        <v>61.82</v>
      </c>
      <c r="N843" s="4">
        <f t="shared" si="12"/>
        <v>-40</v>
      </c>
      <c r="O843" t="s">
        <v>83</v>
      </c>
    </row>
    <row r="844" spans="1:15" x14ac:dyDescent="0.25">
      <c r="A844" s="38">
        <v>45702</v>
      </c>
      <c r="B844" s="1">
        <v>718407975</v>
      </c>
      <c r="C844" t="s">
        <v>835</v>
      </c>
      <c r="D844" s="23">
        <v>-3091</v>
      </c>
      <c r="E844" t="s">
        <v>35</v>
      </c>
      <c r="F844" s="2">
        <v>212901001</v>
      </c>
      <c r="G844" s="2" t="s">
        <v>91</v>
      </c>
      <c r="I844" s="95" t="s">
        <v>7231</v>
      </c>
      <c r="J844" t="s">
        <v>61</v>
      </c>
      <c r="K844" t="s">
        <v>62</v>
      </c>
      <c r="M844">
        <v>61.82</v>
      </c>
      <c r="N844" s="4">
        <f t="shared" ref="N844:N907" si="13">D844/M844</f>
        <v>-50</v>
      </c>
      <c r="O844" t="s">
        <v>83</v>
      </c>
    </row>
    <row r="845" spans="1:15" x14ac:dyDescent="0.25">
      <c r="A845" s="38">
        <v>45702</v>
      </c>
      <c r="B845" s="1">
        <v>718407979</v>
      </c>
      <c r="C845" t="s">
        <v>836</v>
      </c>
      <c r="D845" s="23">
        <v>-3091</v>
      </c>
      <c r="E845" t="s">
        <v>35</v>
      </c>
      <c r="F845" s="2">
        <v>212901001</v>
      </c>
      <c r="G845" s="2" t="s">
        <v>91</v>
      </c>
      <c r="I845" s="95" t="s">
        <v>7231</v>
      </c>
      <c r="J845" t="s">
        <v>61</v>
      </c>
      <c r="K845" t="s">
        <v>62</v>
      </c>
      <c r="M845">
        <v>61.82</v>
      </c>
      <c r="N845" s="4">
        <f t="shared" si="13"/>
        <v>-50</v>
      </c>
      <c r="O845" t="s">
        <v>83</v>
      </c>
    </row>
    <row r="846" spans="1:15" x14ac:dyDescent="0.25">
      <c r="A846" s="38">
        <v>45702</v>
      </c>
      <c r="B846" s="1">
        <v>718407978</v>
      </c>
      <c r="C846" t="s">
        <v>837</v>
      </c>
      <c r="D846" s="23">
        <v>-3091</v>
      </c>
      <c r="E846" t="s">
        <v>35</v>
      </c>
      <c r="F846" s="2">
        <v>212901001</v>
      </c>
      <c r="G846" s="2" t="s">
        <v>91</v>
      </c>
      <c r="I846" s="95" t="s">
        <v>7231</v>
      </c>
      <c r="J846" t="s">
        <v>61</v>
      </c>
      <c r="K846" t="s">
        <v>62</v>
      </c>
      <c r="M846">
        <v>61.82</v>
      </c>
      <c r="N846" s="4">
        <f t="shared" si="13"/>
        <v>-50</v>
      </c>
      <c r="O846" t="s">
        <v>83</v>
      </c>
    </row>
    <row r="847" spans="1:15" x14ac:dyDescent="0.25">
      <c r="A847" s="38">
        <v>45702</v>
      </c>
      <c r="B847" s="1">
        <v>718407982</v>
      </c>
      <c r="C847" t="s">
        <v>838</v>
      </c>
      <c r="D847" s="23">
        <v>-2472.8000000000002</v>
      </c>
      <c r="E847" t="s">
        <v>35</v>
      </c>
      <c r="F847" s="2">
        <v>212901001</v>
      </c>
      <c r="G847" s="2" t="s">
        <v>91</v>
      </c>
      <c r="I847" s="95" t="s">
        <v>7231</v>
      </c>
      <c r="J847" t="s">
        <v>61</v>
      </c>
      <c r="K847" t="s">
        <v>62</v>
      </c>
      <c r="M847">
        <v>61.82</v>
      </c>
      <c r="N847" s="4">
        <f t="shared" si="13"/>
        <v>-40</v>
      </c>
      <c r="O847" t="s">
        <v>83</v>
      </c>
    </row>
    <row r="848" spans="1:15" x14ac:dyDescent="0.25">
      <c r="A848" s="38">
        <v>45702</v>
      </c>
      <c r="B848" s="1">
        <v>818407983</v>
      </c>
      <c r="C848" t="s">
        <v>839</v>
      </c>
      <c r="D848" s="23">
        <v>-2472.8000000000002</v>
      </c>
      <c r="E848" t="s">
        <v>35</v>
      </c>
      <c r="F848" s="2">
        <v>212901001</v>
      </c>
      <c r="G848" s="2" t="s">
        <v>91</v>
      </c>
      <c r="I848" s="95" t="s">
        <v>7231</v>
      </c>
      <c r="J848" t="s">
        <v>61</v>
      </c>
      <c r="K848" t="s">
        <v>62</v>
      </c>
      <c r="M848">
        <v>61.82</v>
      </c>
      <c r="N848" s="4">
        <f t="shared" si="13"/>
        <v>-40</v>
      </c>
      <c r="O848" t="s">
        <v>83</v>
      </c>
    </row>
    <row r="849" spans="1:15" x14ac:dyDescent="0.25">
      <c r="A849" s="38">
        <v>45702</v>
      </c>
      <c r="B849" s="1">
        <v>818407984</v>
      </c>
      <c r="C849" t="s">
        <v>840</v>
      </c>
      <c r="D849" s="23">
        <v>-2472.8000000000002</v>
      </c>
      <c r="E849" t="s">
        <v>35</v>
      </c>
      <c r="F849" s="2">
        <v>212901001</v>
      </c>
      <c r="G849" s="2" t="s">
        <v>91</v>
      </c>
      <c r="I849" s="95" t="s">
        <v>7231</v>
      </c>
      <c r="J849" t="s">
        <v>61</v>
      </c>
      <c r="K849" t="s">
        <v>62</v>
      </c>
      <c r="M849">
        <v>61.82</v>
      </c>
      <c r="N849" s="4">
        <f t="shared" si="13"/>
        <v>-40</v>
      </c>
      <c r="O849" t="s">
        <v>83</v>
      </c>
    </row>
    <row r="850" spans="1:15" x14ac:dyDescent="0.25">
      <c r="A850" s="38">
        <v>45702</v>
      </c>
      <c r="B850" s="1">
        <v>818407986</v>
      </c>
      <c r="C850" t="s">
        <v>841</v>
      </c>
      <c r="D850" s="23">
        <v>-2472.8000000000002</v>
      </c>
      <c r="E850" t="s">
        <v>35</v>
      </c>
      <c r="F850" s="2">
        <v>212901001</v>
      </c>
      <c r="G850" s="2" t="s">
        <v>91</v>
      </c>
      <c r="I850" s="95" t="s">
        <v>7231</v>
      </c>
      <c r="J850" t="s">
        <v>61</v>
      </c>
      <c r="K850" t="s">
        <v>62</v>
      </c>
      <c r="M850">
        <v>61.82</v>
      </c>
      <c r="N850" s="4">
        <f t="shared" si="13"/>
        <v>-40</v>
      </c>
      <c r="O850" t="s">
        <v>83</v>
      </c>
    </row>
    <row r="851" spans="1:15" x14ac:dyDescent="0.25">
      <c r="A851" s="38">
        <v>45702</v>
      </c>
      <c r="B851" s="1">
        <v>818407989</v>
      </c>
      <c r="C851" t="s">
        <v>842</v>
      </c>
      <c r="D851" s="23">
        <v>-6182</v>
      </c>
      <c r="E851" t="s">
        <v>35</v>
      </c>
      <c r="F851" s="2">
        <v>212901001</v>
      </c>
      <c r="G851" s="2" t="s">
        <v>91</v>
      </c>
      <c r="I851" s="95" t="s">
        <v>7231</v>
      </c>
      <c r="J851" t="s">
        <v>61</v>
      </c>
      <c r="K851" t="s">
        <v>62</v>
      </c>
      <c r="M851">
        <v>61.82</v>
      </c>
      <c r="N851" s="4">
        <f t="shared" si="13"/>
        <v>-100</v>
      </c>
      <c r="O851" t="s">
        <v>83</v>
      </c>
    </row>
    <row r="852" spans="1:15" x14ac:dyDescent="0.25">
      <c r="A852" s="38">
        <v>45702</v>
      </c>
      <c r="B852" s="1">
        <v>818407985</v>
      </c>
      <c r="C852" t="s">
        <v>843</v>
      </c>
      <c r="D852" s="23">
        <v>-2472.8000000000002</v>
      </c>
      <c r="E852" t="s">
        <v>35</v>
      </c>
      <c r="F852" s="2">
        <v>212901001</v>
      </c>
      <c r="G852" s="2" t="s">
        <v>91</v>
      </c>
      <c r="I852" s="95" t="s">
        <v>7231</v>
      </c>
      <c r="J852" t="s">
        <v>61</v>
      </c>
      <c r="K852" t="s">
        <v>62</v>
      </c>
      <c r="M852">
        <v>61.82</v>
      </c>
      <c r="N852" s="4">
        <f t="shared" si="13"/>
        <v>-40</v>
      </c>
      <c r="O852" t="s">
        <v>83</v>
      </c>
    </row>
    <row r="853" spans="1:15" x14ac:dyDescent="0.25">
      <c r="A853" s="38">
        <v>45702</v>
      </c>
      <c r="B853" s="1">
        <v>818407988</v>
      </c>
      <c r="C853" t="s">
        <v>844</v>
      </c>
      <c r="D853" s="23">
        <v>-6182</v>
      </c>
      <c r="E853" t="s">
        <v>35</v>
      </c>
      <c r="F853" s="2">
        <v>212901001</v>
      </c>
      <c r="G853" s="2" t="s">
        <v>91</v>
      </c>
      <c r="I853" s="95" t="s">
        <v>7231</v>
      </c>
      <c r="J853" t="s">
        <v>61</v>
      </c>
      <c r="K853" t="s">
        <v>62</v>
      </c>
      <c r="M853">
        <v>61.82</v>
      </c>
      <c r="N853" s="4">
        <f t="shared" si="13"/>
        <v>-100</v>
      </c>
      <c r="O853" t="s">
        <v>83</v>
      </c>
    </row>
    <row r="854" spans="1:15" x14ac:dyDescent="0.25">
      <c r="A854" s="38">
        <v>45702</v>
      </c>
      <c r="B854" s="1">
        <v>818407993</v>
      </c>
      <c r="C854" t="s">
        <v>845</v>
      </c>
      <c r="D854" s="23">
        <v>-4945.6000000000004</v>
      </c>
      <c r="E854" t="s">
        <v>35</v>
      </c>
      <c r="F854" s="2">
        <v>212901001</v>
      </c>
      <c r="G854" s="2" t="s">
        <v>91</v>
      </c>
      <c r="I854" s="95" t="s">
        <v>7231</v>
      </c>
      <c r="J854" t="s">
        <v>61</v>
      </c>
      <c r="K854" t="s">
        <v>62</v>
      </c>
      <c r="M854">
        <v>61.82</v>
      </c>
      <c r="N854" s="4">
        <f t="shared" si="13"/>
        <v>-80</v>
      </c>
      <c r="O854" t="s">
        <v>83</v>
      </c>
    </row>
    <row r="855" spans="1:15" x14ac:dyDescent="0.25">
      <c r="A855" s="38">
        <v>45702</v>
      </c>
      <c r="B855" s="1">
        <v>818407990</v>
      </c>
      <c r="C855" t="s">
        <v>846</v>
      </c>
      <c r="D855" s="23">
        <v>-9273</v>
      </c>
      <c r="E855" t="s">
        <v>35</v>
      </c>
      <c r="F855" s="2">
        <v>212901001</v>
      </c>
      <c r="G855" s="2" t="s">
        <v>91</v>
      </c>
      <c r="I855" s="95" t="s">
        <v>7231</v>
      </c>
      <c r="J855" t="s">
        <v>61</v>
      </c>
      <c r="K855" t="s">
        <v>62</v>
      </c>
      <c r="M855">
        <v>61.82</v>
      </c>
      <c r="N855" s="4">
        <f t="shared" si="13"/>
        <v>-150</v>
      </c>
      <c r="O855" t="s">
        <v>83</v>
      </c>
    </row>
    <row r="856" spans="1:15" x14ac:dyDescent="0.25">
      <c r="A856" s="38">
        <v>45702</v>
      </c>
      <c r="B856" s="1">
        <v>818407992</v>
      </c>
      <c r="C856" t="s">
        <v>847</v>
      </c>
      <c r="D856" s="23">
        <v>-6800.2</v>
      </c>
      <c r="E856" t="s">
        <v>35</v>
      </c>
      <c r="F856" s="2">
        <v>212901001</v>
      </c>
      <c r="G856" s="2" t="s">
        <v>91</v>
      </c>
      <c r="I856" s="95" t="s">
        <v>7231</v>
      </c>
      <c r="J856" t="s">
        <v>61</v>
      </c>
      <c r="K856" t="s">
        <v>62</v>
      </c>
      <c r="M856">
        <v>61.82</v>
      </c>
      <c r="N856" s="4">
        <f t="shared" si="13"/>
        <v>-110</v>
      </c>
      <c r="O856" t="s">
        <v>83</v>
      </c>
    </row>
    <row r="857" spans="1:15" x14ac:dyDescent="0.25">
      <c r="A857" s="38">
        <v>45702</v>
      </c>
      <c r="B857" s="1">
        <v>818407991</v>
      </c>
      <c r="C857" t="s">
        <v>848</v>
      </c>
      <c r="D857" s="23">
        <v>-1854.6</v>
      </c>
      <c r="E857" t="s">
        <v>35</v>
      </c>
      <c r="F857" s="2">
        <v>212901001</v>
      </c>
      <c r="G857" s="2" t="s">
        <v>91</v>
      </c>
      <c r="I857" s="95" t="s">
        <v>7231</v>
      </c>
      <c r="J857" t="s">
        <v>61</v>
      </c>
      <c r="K857" t="s">
        <v>62</v>
      </c>
      <c r="M857">
        <v>61.82</v>
      </c>
      <c r="N857" s="4">
        <f t="shared" si="13"/>
        <v>-30</v>
      </c>
      <c r="O857" t="s">
        <v>83</v>
      </c>
    </row>
    <row r="858" spans="1:15" x14ac:dyDescent="0.25">
      <c r="A858" s="38">
        <v>45702</v>
      </c>
      <c r="B858" s="1">
        <v>918407997</v>
      </c>
      <c r="C858" t="s">
        <v>849</v>
      </c>
      <c r="D858" s="23">
        <v>-4327.3999999999996</v>
      </c>
      <c r="E858" t="s">
        <v>35</v>
      </c>
      <c r="F858" s="2">
        <v>212901001</v>
      </c>
      <c r="G858" s="2" t="s">
        <v>91</v>
      </c>
      <c r="I858" s="95" t="s">
        <v>7231</v>
      </c>
      <c r="J858" t="s">
        <v>61</v>
      </c>
      <c r="K858" t="s">
        <v>62</v>
      </c>
      <c r="M858">
        <v>61.82</v>
      </c>
      <c r="N858" s="4">
        <f t="shared" si="13"/>
        <v>-70</v>
      </c>
      <c r="O858" t="s">
        <v>83</v>
      </c>
    </row>
    <row r="859" spans="1:15" x14ac:dyDescent="0.25">
      <c r="A859" s="38">
        <v>45702</v>
      </c>
      <c r="B859" s="1">
        <v>818407994</v>
      </c>
      <c r="C859" t="s">
        <v>850</v>
      </c>
      <c r="D859" s="23">
        <v>-6182</v>
      </c>
      <c r="E859" t="s">
        <v>35</v>
      </c>
      <c r="F859" s="2">
        <v>212901001</v>
      </c>
      <c r="G859" s="2" t="s">
        <v>91</v>
      </c>
      <c r="I859" s="95" t="s">
        <v>7231</v>
      </c>
      <c r="J859" t="s">
        <v>61</v>
      </c>
      <c r="K859" t="s">
        <v>62</v>
      </c>
      <c r="M859">
        <v>61.82</v>
      </c>
      <c r="N859" s="4">
        <f t="shared" si="13"/>
        <v>-100</v>
      </c>
      <c r="O859" t="s">
        <v>83</v>
      </c>
    </row>
    <row r="860" spans="1:15" x14ac:dyDescent="0.25">
      <c r="A860" s="38">
        <v>45702</v>
      </c>
      <c r="B860" s="1">
        <v>918407995</v>
      </c>
      <c r="C860" t="s">
        <v>851</v>
      </c>
      <c r="D860" s="23">
        <v>-2843.72</v>
      </c>
      <c r="E860" t="s">
        <v>35</v>
      </c>
      <c r="F860" s="2">
        <v>212901001</v>
      </c>
      <c r="G860" s="2" t="s">
        <v>91</v>
      </c>
      <c r="I860" s="95" t="s">
        <v>7231</v>
      </c>
      <c r="J860" t="s">
        <v>61</v>
      </c>
      <c r="K860" t="s">
        <v>62</v>
      </c>
      <c r="M860">
        <v>61.82</v>
      </c>
      <c r="N860" s="4">
        <f t="shared" si="13"/>
        <v>-46</v>
      </c>
      <c r="O860" t="s">
        <v>83</v>
      </c>
    </row>
    <row r="861" spans="1:15" x14ac:dyDescent="0.25">
      <c r="A861" s="38">
        <v>45702</v>
      </c>
      <c r="B861" s="1">
        <v>918407998</v>
      </c>
      <c r="C861" t="s">
        <v>852</v>
      </c>
      <c r="D861" s="23">
        <v>-4327.3999999999996</v>
      </c>
      <c r="E861" t="s">
        <v>35</v>
      </c>
      <c r="F861" s="2">
        <v>212901001</v>
      </c>
      <c r="G861" s="2" t="s">
        <v>91</v>
      </c>
      <c r="I861" s="95" t="s">
        <v>7231</v>
      </c>
      <c r="J861" t="s">
        <v>61</v>
      </c>
      <c r="K861" t="s">
        <v>62</v>
      </c>
      <c r="M861">
        <v>61.82</v>
      </c>
      <c r="N861" s="4">
        <f t="shared" si="13"/>
        <v>-70</v>
      </c>
      <c r="O861" t="s">
        <v>83</v>
      </c>
    </row>
    <row r="862" spans="1:15" x14ac:dyDescent="0.25">
      <c r="A862" s="38">
        <v>45702</v>
      </c>
      <c r="B862" s="1">
        <v>918407996</v>
      </c>
      <c r="C862" t="s">
        <v>853</v>
      </c>
      <c r="D862" s="23">
        <v>-4327.3999999999996</v>
      </c>
      <c r="E862" t="s">
        <v>35</v>
      </c>
      <c r="F862" s="2">
        <v>212901001</v>
      </c>
      <c r="G862" s="2" t="s">
        <v>91</v>
      </c>
      <c r="I862" s="95" t="s">
        <v>7231</v>
      </c>
      <c r="J862" t="s">
        <v>61</v>
      </c>
      <c r="K862" t="s">
        <v>62</v>
      </c>
      <c r="M862">
        <v>61.82</v>
      </c>
      <c r="N862" s="4">
        <f t="shared" si="13"/>
        <v>-70</v>
      </c>
      <c r="O862" t="s">
        <v>83</v>
      </c>
    </row>
    <row r="863" spans="1:15" x14ac:dyDescent="0.25">
      <c r="A863" s="38">
        <v>45702</v>
      </c>
      <c r="B863" s="1">
        <v>918407999</v>
      </c>
      <c r="C863" t="s">
        <v>854</v>
      </c>
      <c r="D863" s="23">
        <v>-3091</v>
      </c>
      <c r="E863" t="s">
        <v>35</v>
      </c>
      <c r="F863" s="2">
        <v>212901001</v>
      </c>
      <c r="G863" s="2" t="s">
        <v>91</v>
      </c>
      <c r="I863" s="95" t="s">
        <v>7231</v>
      </c>
      <c r="J863" t="s">
        <v>61</v>
      </c>
      <c r="K863" t="s">
        <v>62</v>
      </c>
      <c r="M863">
        <v>61.82</v>
      </c>
      <c r="N863" s="4">
        <f t="shared" si="13"/>
        <v>-50</v>
      </c>
      <c r="O863" t="s">
        <v>83</v>
      </c>
    </row>
    <row r="864" spans="1:15" x14ac:dyDescent="0.25">
      <c r="A864" s="38">
        <v>45702</v>
      </c>
      <c r="B864" s="1">
        <v>918408002</v>
      </c>
      <c r="C864" t="s">
        <v>855</v>
      </c>
      <c r="D864" s="23">
        <v>-3091</v>
      </c>
      <c r="E864" t="s">
        <v>35</v>
      </c>
      <c r="F864" s="2">
        <v>212901001</v>
      </c>
      <c r="G864" s="2" t="s">
        <v>91</v>
      </c>
      <c r="I864" s="95" t="s">
        <v>7231</v>
      </c>
      <c r="J864" t="s">
        <v>61</v>
      </c>
      <c r="K864" t="s">
        <v>62</v>
      </c>
      <c r="M864">
        <v>61.82</v>
      </c>
      <c r="N864" s="4">
        <f t="shared" si="13"/>
        <v>-50</v>
      </c>
      <c r="O864" t="s">
        <v>83</v>
      </c>
    </row>
    <row r="865" spans="1:15" x14ac:dyDescent="0.25">
      <c r="A865" s="38">
        <v>45702</v>
      </c>
      <c r="B865" s="1">
        <v>918408004</v>
      </c>
      <c r="C865" t="s">
        <v>856</v>
      </c>
      <c r="D865" s="23">
        <v>-3091</v>
      </c>
      <c r="E865" t="s">
        <v>35</v>
      </c>
      <c r="F865" s="2">
        <v>212901001</v>
      </c>
      <c r="G865" s="2" t="s">
        <v>91</v>
      </c>
      <c r="I865" s="95" t="s">
        <v>7231</v>
      </c>
      <c r="J865" t="s">
        <v>61</v>
      </c>
      <c r="K865" t="s">
        <v>62</v>
      </c>
      <c r="M865">
        <v>61.82</v>
      </c>
      <c r="N865" s="4">
        <f t="shared" si="13"/>
        <v>-50</v>
      </c>
      <c r="O865" t="s">
        <v>83</v>
      </c>
    </row>
    <row r="866" spans="1:15" x14ac:dyDescent="0.25">
      <c r="A866" s="38">
        <v>45702</v>
      </c>
      <c r="B866" s="1">
        <v>918408000</v>
      </c>
      <c r="C866" t="s">
        <v>857</v>
      </c>
      <c r="D866" s="23">
        <v>-3091</v>
      </c>
      <c r="E866" t="s">
        <v>35</v>
      </c>
      <c r="F866" s="2">
        <v>212901001</v>
      </c>
      <c r="G866" s="2" t="s">
        <v>91</v>
      </c>
      <c r="I866" s="95" t="s">
        <v>7231</v>
      </c>
      <c r="J866" t="s">
        <v>61</v>
      </c>
      <c r="K866" t="s">
        <v>62</v>
      </c>
      <c r="M866">
        <v>61.82</v>
      </c>
      <c r="N866" s="4">
        <f t="shared" si="13"/>
        <v>-50</v>
      </c>
      <c r="O866" t="s">
        <v>83</v>
      </c>
    </row>
    <row r="867" spans="1:15" x14ac:dyDescent="0.25">
      <c r="A867" s="38">
        <v>45702</v>
      </c>
      <c r="B867" s="1">
        <v>918408001</v>
      </c>
      <c r="C867" t="s">
        <v>858</v>
      </c>
      <c r="D867" s="23">
        <v>-3091</v>
      </c>
      <c r="E867" t="s">
        <v>35</v>
      </c>
      <c r="F867" s="2">
        <v>212901001</v>
      </c>
      <c r="G867" s="2" t="s">
        <v>91</v>
      </c>
      <c r="I867" s="95" t="s">
        <v>7231</v>
      </c>
      <c r="J867" t="s">
        <v>61</v>
      </c>
      <c r="K867" t="s">
        <v>62</v>
      </c>
      <c r="M867">
        <v>61.82</v>
      </c>
      <c r="N867" s="4">
        <f t="shared" si="13"/>
        <v>-50</v>
      </c>
      <c r="O867" t="s">
        <v>83</v>
      </c>
    </row>
    <row r="868" spans="1:15" x14ac:dyDescent="0.25">
      <c r="A868" s="38">
        <v>45702</v>
      </c>
      <c r="B868" s="1">
        <v>18408006</v>
      </c>
      <c r="C868" t="s">
        <v>854</v>
      </c>
      <c r="D868" s="23">
        <v>-3091</v>
      </c>
      <c r="E868" t="s">
        <v>35</v>
      </c>
      <c r="F868" s="2">
        <v>212901001</v>
      </c>
      <c r="G868" s="2" t="s">
        <v>91</v>
      </c>
      <c r="I868" s="95" t="s">
        <v>7231</v>
      </c>
      <c r="J868" t="s">
        <v>61</v>
      </c>
      <c r="K868" t="s">
        <v>62</v>
      </c>
      <c r="M868">
        <v>61.82</v>
      </c>
      <c r="N868" s="4">
        <f t="shared" si="13"/>
        <v>-50</v>
      </c>
      <c r="O868" t="s">
        <v>83</v>
      </c>
    </row>
    <row r="869" spans="1:15" x14ac:dyDescent="0.25">
      <c r="A869" s="38">
        <v>45702</v>
      </c>
      <c r="B869" s="1">
        <v>18408008</v>
      </c>
      <c r="C869" t="s">
        <v>859</v>
      </c>
      <c r="D869" s="23">
        <v>-2596.44</v>
      </c>
      <c r="E869" t="s">
        <v>35</v>
      </c>
      <c r="F869" s="2">
        <v>212901001</v>
      </c>
      <c r="G869" s="2" t="s">
        <v>91</v>
      </c>
      <c r="I869" s="95" t="s">
        <v>7231</v>
      </c>
      <c r="J869" t="s">
        <v>61</v>
      </c>
      <c r="K869" t="s">
        <v>62</v>
      </c>
      <c r="M869">
        <v>61.82</v>
      </c>
      <c r="N869" s="4">
        <f t="shared" si="13"/>
        <v>-42</v>
      </c>
      <c r="O869" t="s">
        <v>83</v>
      </c>
    </row>
    <row r="870" spans="1:15" x14ac:dyDescent="0.25">
      <c r="A870" s="38">
        <v>45702</v>
      </c>
      <c r="B870" s="1">
        <v>18408005</v>
      </c>
      <c r="C870" t="s">
        <v>860</v>
      </c>
      <c r="D870" s="23">
        <v>-3091</v>
      </c>
      <c r="E870" t="s">
        <v>35</v>
      </c>
      <c r="F870" s="2">
        <v>212901001</v>
      </c>
      <c r="G870" s="2" t="s">
        <v>91</v>
      </c>
      <c r="I870" s="95" t="s">
        <v>7231</v>
      </c>
      <c r="J870" t="s">
        <v>61</v>
      </c>
      <c r="K870" t="s">
        <v>62</v>
      </c>
      <c r="M870">
        <v>61.82</v>
      </c>
      <c r="N870" s="4">
        <f t="shared" si="13"/>
        <v>-50</v>
      </c>
      <c r="O870" t="s">
        <v>83</v>
      </c>
    </row>
    <row r="871" spans="1:15" x14ac:dyDescent="0.25">
      <c r="A871" s="38">
        <v>45702</v>
      </c>
      <c r="B871" s="1">
        <v>918408003</v>
      </c>
      <c r="C871" t="s">
        <v>861</v>
      </c>
      <c r="D871" s="23">
        <v>-3091</v>
      </c>
      <c r="E871" t="s">
        <v>35</v>
      </c>
      <c r="F871" s="2">
        <v>212901001</v>
      </c>
      <c r="G871" s="2" t="s">
        <v>91</v>
      </c>
      <c r="I871" s="95" t="s">
        <v>7231</v>
      </c>
      <c r="J871" t="s">
        <v>61</v>
      </c>
      <c r="K871" t="s">
        <v>62</v>
      </c>
      <c r="M871">
        <v>61.82</v>
      </c>
      <c r="N871" s="4">
        <f t="shared" si="13"/>
        <v>-50</v>
      </c>
      <c r="O871" t="s">
        <v>83</v>
      </c>
    </row>
    <row r="872" spans="1:15" x14ac:dyDescent="0.25">
      <c r="A872" s="38">
        <v>45702</v>
      </c>
      <c r="B872" s="1">
        <v>18408010</v>
      </c>
      <c r="C872" t="s">
        <v>862</v>
      </c>
      <c r="D872" s="23">
        <v>-3091</v>
      </c>
      <c r="E872" t="s">
        <v>35</v>
      </c>
      <c r="F872" s="2">
        <v>212901001</v>
      </c>
      <c r="G872" s="2" t="s">
        <v>91</v>
      </c>
      <c r="I872" s="95" t="s">
        <v>7231</v>
      </c>
      <c r="J872" t="s">
        <v>61</v>
      </c>
      <c r="K872" t="s">
        <v>62</v>
      </c>
      <c r="M872">
        <v>61.82</v>
      </c>
      <c r="N872" s="4">
        <f t="shared" si="13"/>
        <v>-50</v>
      </c>
      <c r="O872" t="s">
        <v>83</v>
      </c>
    </row>
    <row r="873" spans="1:15" x14ac:dyDescent="0.25">
      <c r="A873" s="38">
        <v>45702</v>
      </c>
      <c r="B873" s="1">
        <v>18408007</v>
      </c>
      <c r="C873" t="s">
        <v>863</v>
      </c>
      <c r="D873" s="23">
        <v>-3091</v>
      </c>
      <c r="E873" t="s">
        <v>35</v>
      </c>
      <c r="F873" s="2">
        <v>212901001</v>
      </c>
      <c r="G873" s="2" t="s">
        <v>91</v>
      </c>
      <c r="I873" s="95" t="s">
        <v>7231</v>
      </c>
      <c r="J873" t="s">
        <v>61</v>
      </c>
      <c r="K873" t="s">
        <v>62</v>
      </c>
      <c r="M873">
        <v>61.82</v>
      </c>
      <c r="N873" s="4">
        <f t="shared" si="13"/>
        <v>-50</v>
      </c>
      <c r="O873" t="s">
        <v>83</v>
      </c>
    </row>
    <row r="874" spans="1:15" x14ac:dyDescent="0.25">
      <c r="A874" s="38">
        <v>45702</v>
      </c>
      <c r="B874" s="1">
        <v>18408013</v>
      </c>
      <c r="C874" t="s">
        <v>864</v>
      </c>
      <c r="D874" s="23">
        <v>-3091</v>
      </c>
      <c r="E874" t="s">
        <v>35</v>
      </c>
      <c r="F874" s="2">
        <v>212901001</v>
      </c>
      <c r="G874" s="2" t="s">
        <v>91</v>
      </c>
      <c r="I874" s="95" t="s">
        <v>7231</v>
      </c>
      <c r="J874" t="s">
        <v>61</v>
      </c>
      <c r="K874" t="s">
        <v>62</v>
      </c>
      <c r="M874">
        <v>61.82</v>
      </c>
      <c r="N874" s="4">
        <f t="shared" si="13"/>
        <v>-50</v>
      </c>
      <c r="O874" t="s">
        <v>83</v>
      </c>
    </row>
    <row r="875" spans="1:15" x14ac:dyDescent="0.25">
      <c r="A875" s="38">
        <v>45702</v>
      </c>
      <c r="B875" s="1">
        <v>18408009</v>
      </c>
      <c r="C875" t="s">
        <v>865</v>
      </c>
      <c r="D875" s="23">
        <v>-3091</v>
      </c>
      <c r="E875" t="s">
        <v>35</v>
      </c>
      <c r="F875" s="2">
        <v>212901001</v>
      </c>
      <c r="G875" s="2" t="s">
        <v>91</v>
      </c>
      <c r="I875" s="95" t="s">
        <v>7231</v>
      </c>
      <c r="J875" t="s">
        <v>61</v>
      </c>
      <c r="K875" t="s">
        <v>62</v>
      </c>
      <c r="M875">
        <v>61.82</v>
      </c>
      <c r="N875" s="4">
        <f t="shared" si="13"/>
        <v>-50</v>
      </c>
      <c r="O875" t="s">
        <v>83</v>
      </c>
    </row>
    <row r="876" spans="1:15" x14ac:dyDescent="0.25">
      <c r="A876" s="38">
        <v>45702</v>
      </c>
      <c r="B876" s="1">
        <v>18408012</v>
      </c>
      <c r="C876" t="s">
        <v>866</v>
      </c>
      <c r="D876" s="23">
        <v>-3091</v>
      </c>
      <c r="E876" t="s">
        <v>35</v>
      </c>
      <c r="F876" s="2">
        <v>212901001</v>
      </c>
      <c r="G876" s="2" t="s">
        <v>91</v>
      </c>
      <c r="I876" s="95" t="s">
        <v>7231</v>
      </c>
      <c r="J876" t="s">
        <v>61</v>
      </c>
      <c r="K876" t="s">
        <v>62</v>
      </c>
      <c r="M876">
        <v>61.82</v>
      </c>
      <c r="N876" s="4">
        <f t="shared" si="13"/>
        <v>-50</v>
      </c>
      <c r="O876" t="s">
        <v>83</v>
      </c>
    </row>
    <row r="877" spans="1:15" x14ac:dyDescent="0.25">
      <c r="A877" s="38">
        <v>45702</v>
      </c>
      <c r="B877" s="1">
        <v>18408016</v>
      </c>
      <c r="C877" t="s">
        <v>867</v>
      </c>
      <c r="D877" s="23">
        <v>-1236.4000000000001</v>
      </c>
      <c r="E877" t="s">
        <v>35</v>
      </c>
      <c r="F877" s="2">
        <v>212901001</v>
      </c>
      <c r="G877" s="2" t="s">
        <v>91</v>
      </c>
      <c r="I877" s="95" t="s">
        <v>7231</v>
      </c>
      <c r="J877" t="s">
        <v>61</v>
      </c>
      <c r="K877" t="s">
        <v>62</v>
      </c>
      <c r="M877">
        <v>61.82</v>
      </c>
      <c r="N877" s="4">
        <f t="shared" si="13"/>
        <v>-20</v>
      </c>
      <c r="O877" t="s">
        <v>83</v>
      </c>
    </row>
    <row r="878" spans="1:15" x14ac:dyDescent="0.25">
      <c r="A878" s="38">
        <v>45702</v>
      </c>
      <c r="B878" s="1">
        <v>18408015</v>
      </c>
      <c r="C878" t="s">
        <v>868</v>
      </c>
      <c r="D878" s="23">
        <v>-1236.4000000000001</v>
      </c>
      <c r="E878" t="s">
        <v>35</v>
      </c>
      <c r="F878" s="2">
        <v>212901001</v>
      </c>
      <c r="G878" s="2" t="s">
        <v>91</v>
      </c>
      <c r="I878" s="95" t="s">
        <v>7231</v>
      </c>
      <c r="J878" t="s">
        <v>61</v>
      </c>
      <c r="K878" t="s">
        <v>62</v>
      </c>
      <c r="M878">
        <v>61.82</v>
      </c>
      <c r="N878" s="4">
        <f t="shared" si="13"/>
        <v>-20</v>
      </c>
      <c r="O878" t="s">
        <v>83</v>
      </c>
    </row>
    <row r="879" spans="1:15" x14ac:dyDescent="0.25">
      <c r="A879" s="38">
        <v>45702</v>
      </c>
      <c r="B879" s="1">
        <v>118408017</v>
      </c>
      <c r="C879" t="s">
        <v>869</v>
      </c>
      <c r="D879" s="23">
        <v>-1236.4000000000001</v>
      </c>
      <c r="E879" t="s">
        <v>35</v>
      </c>
      <c r="F879" s="2">
        <v>212901001</v>
      </c>
      <c r="G879" s="2" t="s">
        <v>91</v>
      </c>
      <c r="I879" s="95" t="s">
        <v>7231</v>
      </c>
      <c r="J879" t="s">
        <v>61</v>
      </c>
      <c r="K879" t="s">
        <v>62</v>
      </c>
      <c r="M879">
        <v>61.82</v>
      </c>
      <c r="N879" s="4">
        <f t="shared" si="13"/>
        <v>-20</v>
      </c>
      <c r="O879" t="s">
        <v>83</v>
      </c>
    </row>
    <row r="880" spans="1:15" x14ac:dyDescent="0.25">
      <c r="A880" s="38">
        <v>45702</v>
      </c>
      <c r="B880" s="1">
        <v>118408019</v>
      </c>
      <c r="C880" t="s">
        <v>870</v>
      </c>
      <c r="D880" s="23">
        <v>-6182</v>
      </c>
      <c r="E880" t="s">
        <v>35</v>
      </c>
      <c r="F880" s="2">
        <v>212901001</v>
      </c>
      <c r="G880" s="2" t="s">
        <v>91</v>
      </c>
      <c r="I880" s="95" t="s">
        <v>7231</v>
      </c>
      <c r="J880" t="s">
        <v>61</v>
      </c>
      <c r="K880" t="s">
        <v>62</v>
      </c>
      <c r="M880">
        <v>61.82</v>
      </c>
      <c r="N880" s="4">
        <f t="shared" si="13"/>
        <v>-100</v>
      </c>
      <c r="O880" t="s">
        <v>83</v>
      </c>
    </row>
    <row r="881" spans="1:17" x14ac:dyDescent="0.25">
      <c r="A881" s="38">
        <v>45702</v>
      </c>
      <c r="B881" s="1">
        <v>118408020</v>
      </c>
      <c r="C881" t="s">
        <v>871</v>
      </c>
      <c r="D881" s="23">
        <v>-12364</v>
      </c>
      <c r="E881" t="s">
        <v>35</v>
      </c>
      <c r="F881" s="2">
        <v>212901001</v>
      </c>
      <c r="G881" s="2" t="s">
        <v>91</v>
      </c>
      <c r="I881" s="95" t="s">
        <v>7231</v>
      </c>
      <c r="J881" t="s">
        <v>61</v>
      </c>
      <c r="K881" t="s">
        <v>62</v>
      </c>
      <c r="M881">
        <v>61.82</v>
      </c>
      <c r="N881" s="4">
        <f t="shared" si="13"/>
        <v>-200</v>
      </c>
      <c r="O881" t="s">
        <v>83</v>
      </c>
    </row>
    <row r="882" spans="1:17" x14ac:dyDescent="0.25">
      <c r="A882" s="38">
        <v>45702</v>
      </c>
      <c r="B882" s="1">
        <v>118408018</v>
      </c>
      <c r="C882" t="s">
        <v>872</v>
      </c>
      <c r="D882" s="23">
        <v>-1236.4000000000001</v>
      </c>
      <c r="E882" t="s">
        <v>35</v>
      </c>
      <c r="F882" s="2">
        <v>212901001</v>
      </c>
      <c r="G882" s="2" t="s">
        <v>91</v>
      </c>
      <c r="I882" s="95" t="s">
        <v>7231</v>
      </c>
      <c r="J882" t="s">
        <v>61</v>
      </c>
      <c r="K882" t="s">
        <v>62</v>
      </c>
      <c r="M882">
        <v>61.82</v>
      </c>
      <c r="N882" s="4">
        <f t="shared" si="13"/>
        <v>-20</v>
      </c>
      <c r="O882" t="s">
        <v>83</v>
      </c>
    </row>
    <row r="883" spans="1:17" x14ac:dyDescent="0.25">
      <c r="A883" s="38">
        <v>45702</v>
      </c>
      <c r="B883" s="1">
        <v>118408023</v>
      </c>
      <c r="C883" t="s">
        <v>873</v>
      </c>
      <c r="D883" s="23">
        <v>-2472.8000000000002</v>
      </c>
      <c r="E883" t="s">
        <v>35</v>
      </c>
      <c r="F883" s="2">
        <v>212901001</v>
      </c>
      <c r="G883" s="2" t="s">
        <v>91</v>
      </c>
      <c r="I883" s="95" t="s">
        <v>7231</v>
      </c>
      <c r="J883" t="s">
        <v>61</v>
      </c>
      <c r="K883" t="s">
        <v>62</v>
      </c>
      <c r="M883">
        <v>61.82</v>
      </c>
      <c r="N883" s="4">
        <f t="shared" si="13"/>
        <v>-40</v>
      </c>
      <c r="O883" t="s">
        <v>83</v>
      </c>
    </row>
    <row r="884" spans="1:17" x14ac:dyDescent="0.25">
      <c r="A884" s="38">
        <v>45702</v>
      </c>
      <c r="B884" s="1">
        <v>118408022</v>
      </c>
      <c r="C884" t="s">
        <v>874</v>
      </c>
      <c r="D884" s="23">
        <v>-1854.6</v>
      </c>
      <c r="E884" t="s">
        <v>35</v>
      </c>
      <c r="F884" s="2">
        <v>212901001</v>
      </c>
      <c r="G884" s="2" t="s">
        <v>91</v>
      </c>
      <c r="I884" s="95" t="s">
        <v>7231</v>
      </c>
      <c r="J884" t="s">
        <v>61</v>
      </c>
      <c r="K884" t="s">
        <v>62</v>
      </c>
      <c r="M884">
        <v>61.82</v>
      </c>
      <c r="N884" s="4">
        <f t="shared" si="13"/>
        <v>-30</v>
      </c>
      <c r="O884" t="s">
        <v>83</v>
      </c>
    </row>
    <row r="885" spans="1:17" x14ac:dyDescent="0.25">
      <c r="A885" s="38">
        <v>45702</v>
      </c>
      <c r="B885" s="1">
        <v>118408021</v>
      </c>
      <c r="C885" t="s">
        <v>875</v>
      </c>
      <c r="D885" s="23">
        <v>-7171.12</v>
      </c>
      <c r="E885" t="s">
        <v>35</v>
      </c>
      <c r="F885" s="2">
        <v>212901001</v>
      </c>
      <c r="G885" s="2" t="s">
        <v>91</v>
      </c>
      <c r="I885" s="95" t="s">
        <v>7231</v>
      </c>
      <c r="J885" t="s">
        <v>61</v>
      </c>
      <c r="K885" t="s">
        <v>62</v>
      </c>
      <c r="M885">
        <v>61.82</v>
      </c>
      <c r="N885" s="4">
        <f t="shared" si="13"/>
        <v>-116</v>
      </c>
      <c r="O885" t="s">
        <v>83</v>
      </c>
    </row>
    <row r="886" spans="1:17" x14ac:dyDescent="0.25">
      <c r="A886" s="38">
        <v>45702</v>
      </c>
      <c r="B886" s="1">
        <v>18408014</v>
      </c>
      <c r="C886" t="s">
        <v>876</v>
      </c>
      <c r="D886" s="23">
        <v>-2596.44</v>
      </c>
      <c r="E886" t="s">
        <v>35</v>
      </c>
      <c r="F886" s="2">
        <v>212901001</v>
      </c>
      <c r="G886" s="2" t="s">
        <v>91</v>
      </c>
      <c r="I886" s="95" t="s">
        <v>7231</v>
      </c>
      <c r="J886" t="s">
        <v>61</v>
      </c>
      <c r="K886" t="s">
        <v>62</v>
      </c>
      <c r="M886">
        <v>61.82</v>
      </c>
      <c r="N886" s="4">
        <f t="shared" si="13"/>
        <v>-42</v>
      </c>
      <c r="O886" t="s">
        <v>83</v>
      </c>
    </row>
    <row r="887" spans="1:17" x14ac:dyDescent="0.25">
      <c r="A887" s="38">
        <v>45702</v>
      </c>
      <c r="B887" s="1">
        <v>50261790</v>
      </c>
      <c r="C887" t="s">
        <v>877</v>
      </c>
      <c r="D887" s="23">
        <v>-8654.7999999999993</v>
      </c>
      <c r="E887" t="s">
        <v>35</v>
      </c>
      <c r="F887" s="2">
        <v>212901001</v>
      </c>
      <c r="G887" s="2" t="s">
        <v>91</v>
      </c>
      <c r="I887" s="95" t="s">
        <v>7231</v>
      </c>
      <c r="J887" t="s">
        <v>61</v>
      </c>
      <c r="K887" t="s">
        <v>62</v>
      </c>
      <c r="M887">
        <v>61.82</v>
      </c>
      <c r="N887" s="4">
        <f t="shared" si="13"/>
        <v>-140</v>
      </c>
      <c r="O887" t="s">
        <v>83</v>
      </c>
    </row>
    <row r="888" spans="1:17" x14ac:dyDescent="0.25">
      <c r="A888" s="38">
        <v>45702</v>
      </c>
      <c r="B888" s="1">
        <v>50261790</v>
      </c>
      <c r="C888" t="s">
        <v>179</v>
      </c>
      <c r="D888" s="23">
        <v>-12.98</v>
      </c>
      <c r="E888" t="s">
        <v>35</v>
      </c>
      <c r="F888" s="2">
        <v>610148001</v>
      </c>
      <c r="G888" s="2" t="s">
        <v>41</v>
      </c>
      <c r="I888" s="95" t="s">
        <v>7231</v>
      </c>
      <c r="J888" t="s">
        <v>42</v>
      </c>
      <c r="K888" t="s">
        <v>41</v>
      </c>
      <c r="M888">
        <v>61.82</v>
      </c>
      <c r="N888" s="4">
        <f t="shared" si="13"/>
        <v>-0.20996441281138792</v>
      </c>
      <c r="O888" t="s">
        <v>83</v>
      </c>
      <c r="Q888" s="24" t="s">
        <v>677</v>
      </c>
    </row>
    <row r="889" spans="1:17" x14ac:dyDescent="0.25">
      <c r="A889" s="38">
        <v>45702</v>
      </c>
      <c r="B889" s="1">
        <v>50261790</v>
      </c>
      <c r="C889" t="s">
        <v>89</v>
      </c>
      <c r="D889" s="23">
        <v>-694.85</v>
      </c>
      <c r="E889" t="s">
        <v>35</v>
      </c>
      <c r="F889" s="2">
        <v>610148001</v>
      </c>
      <c r="G889" s="2" t="s">
        <v>41</v>
      </c>
      <c r="I889" s="95" t="s">
        <v>7231</v>
      </c>
      <c r="J889" t="s">
        <v>42</v>
      </c>
      <c r="K889" t="s">
        <v>41</v>
      </c>
      <c r="M889">
        <v>61.82</v>
      </c>
      <c r="N889" s="4">
        <f t="shared" si="13"/>
        <v>-11.2398900032352</v>
      </c>
      <c r="O889" t="s">
        <v>83</v>
      </c>
      <c r="Q889" s="24" t="s">
        <v>677</v>
      </c>
    </row>
    <row r="890" spans="1:17" x14ac:dyDescent="0.25">
      <c r="A890" s="38">
        <v>45702</v>
      </c>
      <c r="B890" s="1">
        <v>143526975</v>
      </c>
      <c r="C890" t="s">
        <v>82</v>
      </c>
      <c r="D890" s="23">
        <v>429000</v>
      </c>
      <c r="E890" t="s">
        <v>45</v>
      </c>
      <c r="F890" s="2">
        <v>210115002</v>
      </c>
      <c r="G890" s="2" t="s">
        <v>46</v>
      </c>
      <c r="I890" s="95" t="s">
        <v>7231</v>
      </c>
      <c r="K890" t="s">
        <v>82</v>
      </c>
      <c r="M890">
        <v>61.82</v>
      </c>
      <c r="N890" s="4">
        <f t="shared" si="13"/>
        <v>6939.5017793594307</v>
      </c>
      <c r="O890" t="s">
        <v>83</v>
      </c>
    </row>
    <row r="891" spans="1:17" x14ac:dyDescent="0.25">
      <c r="A891" s="38">
        <v>45702</v>
      </c>
      <c r="B891" s="1">
        <v>618422039</v>
      </c>
      <c r="C891" t="s">
        <v>878</v>
      </c>
      <c r="D891" s="23">
        <v>-8071.2</v>
      </c>
      <c r="E891" t="s">
        <v>35</v>
      </c>
      <c r="F891" s="2">
        <v>210101001</v>
      </c>
      <c r="G891" s="2" t="s">
        <v>36</v>
      </c>
      <c r="I891" s="95" t="s">
        <v>7231</v>
      </c>
      <c r="J891" t="s">
        <v>86</v>
      </c>
      <c r="K891" t="s">
        <v>87</v>
      </c>
      <c r="M891">
        <v>61.82</v>
      </c>
      <c r="N891" s="4">
        <f t="shared" si="13"/>
        <v>-130.55968942089939</v>
      </c>
      <c r="O891" t="s">
        <v>83</v>
      </c>
    </row>
    <row r="892" spans="1:17" x14ac:dyDescent="0.25">
      <c r="A892" s="38">
        <v>45702</v>
      </c>
      <c r="B892" s="1">
        <v>618422040</v>
      </c>
      <c r="C892" t="s">
        <v>879</v>
      </c>
      <c r="D892" s="23">
        <v>-60506.18</v>
      </c>
      <c r="E892" t="s">
        <v>35</v>
      </c>
      <c r="F892" s="2">
        <v>210101001</v>
      </c>
      <c r="G892" s="2" t="s">
        <v>36</v>
      </c>
      <c r="I892" s="95" t="s">
        <v>7231</v>
      </c>
      <c r="J892" t="s">
        <v>182</v>
      </c>
      <c r="K892" t="s">
        <v>183</v>
      </c>
      <c r="M892">
        <v>61.82</v>
      </c>
      <c r="N892" s="4">
        <f t="shared" si="13"/>
        <v>-978.74765448075061</v>
      </c>
      <c r="O892" t="s">
        <v>83</v>
      </c>
    </row>
    <row r="893" spans="1:17" x14ac:dyDescent="0.25">
      <c r="A893" s="38">
        <v>45702</v>
      </c>
      <c r="B893" s="1">
        <v>618422044</v>
      </c>
      <c r="C893" t="s">
        <v>880</v>
      </c>
      <c r="D893" s="23">
        <v>-3091</v>
      </c>
      <c r="E893" t="s">
        <v>35</v>
      </c>
      <c r="F893" s="2">
        <v>212901001</v>
      </c>
      <c r="G893" s="2" t="s">
        <v>91</v>
      </c>
      <c r="I893" s="95" t="s">
        <v>7231</v>
      </c>
      <c r="J893" t="s">
        <v>61</v>
      </c>
      <c r="K893" t="s">
        <v>62</v>
      </c>
      <c r="M893">
        <v>61.82</v>
      </c>
      <c r="N893" s="4">
        <f t="shared" si="13"/>
        <v>-50</v>
      </c>
      <c r="O893" t="s">
        <v>83</v>
      </c>
    </row>
    <row r="894" spans="1:17" x14ac:dyDescent="0.25">
      <c r="A894" s="38">
        <v>45702</v>
      </c>
      <c r="B894" s="1">
        <v>618422043</v>
      </c>
      <c r="C894" t="s">
        <v>881</v>
      </c>
      <c r="D894" s="23">
        <v>-4327.3999999999996</v>
      </c>
      <c r="E894" t="s">
        <v>35</v>
      </c>
      <c r="F894" s="2">
        <v>212901001</v>
      </c>
      <c r="G894" s="2" t="s">
        <v>91</v>
      </c>
      <c r="I894" s="95" t="s">
        <v>7231</v>
      </c>
      <c r="J894" t="s">
        <v>61</v>
      </c>
      <c r="K894" t="s">
        <v>62</v>
      </c>
      <c r="M894">
        <v>61.82</v>
      </c>
      <c r="N894" s="4">
        <f t="shared" si="13"/>
        <v>-70</v>
      </c>
      <c r="O894" t="s">
        <v>83</v>
      </c>
    </row>
    <row r="895" spans="1:17" x14ac:dyDescent="0.25">
      <c r="A895" s="38">
        <v>45702</v>
      </c>
      <c r="B895" s="1">
        <v>618422047</v>
      </c>
      <c r="C895" t="s">
        <v>882</v>
      </c>
      <c r="D895" s="23">
        <v>-1236.4000000000001</v>
      </c>
      <c r="E895" t="s">
        <v>35</v>
      </c>
      <c r="F895" s="2">
        <v>212901001</v>
      </c>
      <c r="G895" s="2" t="s">
        <v>91</v>
      </c>
      <c r="I895" s="95" t="s">
        <v>7231</v>
      </c>
      <c r="J895" t="s">
        <v>61</v>
      </c>
      <c r="K895" t="s">
        <v>62</v>
      </c>
      <c r="M895">
        <v>61.82</v>
      </c>
      <c r="N895" s="4">
        <f t="shared" si="13"/>
        <v>-20</v>
      </c>
      <c r="O895" t="s">
        <v>83</v>
      </c>
    </row>
    <row r="896" spans="1:17" x14ac:dyDescent="0.25">
      <c r="A896" s="38">
        <v>45702</v>
      </c>
      <c r="B896" s="1">
        <v>618422042</v>
      </c>
      <c r="C896" t="s">
        <v>883</v>
      </c>
      <c r="D896" s="23">
        <v>-2967.36</v>
      </c>
      <c r="E896" t="s">
        <v>35</v>
      </c>
      <c r="F896" s="2">
        <v>212901001</v>
      </c>
      <c r="G896" s="2" t="s">
        <v>91</v>
      </c>
      <c r="I896" s="95" t="s">
        <v>7231</v>
      </c>
      <c r="J896" t="s">
        <v>61</v>
      </c>
      <c r="K896" t="s">
        <v>62</v>
      </c>
      <c r="M896">
        <v>61.82</v>
      </c>
      <c r="N896" s="4">
        <f t="shared" si="13"/>
        <v>-48</v>
      </c>
      <c r="O896" t="s">
        <v>83</v>
      </c>
    </row>
    <row r="897" spans="1:17" x14ac:dyDescent="0.25">
      <c r="A897" s="38">
        <v>45702</v>
      </c>
      <c r="B897" s="1">
        <v>618422048</v>
      </c>
      <c r="C897" t="s">
        <v>884</v>
      </c>
      <c r="D897" s="23">
        <v>-1236.4000000000001</v>
      </c>
      <c r="E897" t="s">
        <v>35</v>
      </c>
      <c r="F897" s="2">
        <v>212901001</v>
      </c>
      <c r="G897" s="2" t="s">
        <v>91</v>
      </c>
      <c r="I897" s="95" t="s">
        <v>7231</v>
      </c>
      <c r="J897" t="s">
        <v>61</v>
      </c>
      <c r="K897" t="s">
        <v>62</v>
      </c>
      <c r="M897">
        <v>61.82</v>
      </c>
      <c r="N897" s="4">
        <f t="shared" si="13"/>
        <v>-20</v>
      </c>
      <c r="O897" t="s">
        <v>83</v>
      </c>
    </row>
    <row r="898" spans="1:17" x14ac:dyDescent="0.25">
      <c r="A898" s="38">
        <v>45702</v>
      </c>
      <c r="B898" s="1">
        <v>618422049</v>
      </c>
      <c r="C898" t="s">
        <v>885</v>
      </c>
      <c r="D898" s="23">
        <v>-1236.4000000000001</v>
      </c>
      <c r="E898" t="s">
        <v>35</v>
      </c>
      <c r="F898" s="2">
        <v>212901001</v>
      </c>
      <c r="G898" s="2" t="s">
        <v>91</v>
      </c>
      <c r="I898" s="95" t="s">
        <v>7231</v>
      </c>
      <c r="J898" t="s">
        <v>61</v>
      </c>
      <c r="K898" t="s">
        <v>62</v>
      </c>
      <c r="M898">
        <v>61.82</v>
      </c>
      <c r="N898" s="4">
        <f t="shared" si="13"/>
        <v>-20</v>
      </c>
      <c r="O898" t="s">
        <v>83</v>
      </c>
    </row>
    <row r="899" spans="1:17" x14ac:dyDescent="0.25">
      <c r="A899" s="38">
        <v>45702</v>
      </c>
      <c r="B899" s="1">
        <v>618422046</v>
      </c>
      <c r="C899" t="s">
        <v>886</v>
      </c>
      <c r="D899" s="23">
        <v>-1854.6</v>
      </c>
      <c r="E899" t="s">
        <v>35</v>
      </c>
      <c r="F899" s="2">
        <v>212901001</v>
      </c>
      <c r="G899" s="2" t="s">
        <v>91</v>
      </c>
      <c r="I899" s="95" t="s">
        <v>7231</v>
      </c>
      <c r="J899" t="s">
        <v>61</v>
      </c>
      <c r="K899" t="s">
        <v>62</v>
      </c>
      <c r="M899">
        <v>61.82</v>
      </c>
      <c r="N899" s="4">
        <f t="shared" si="13"/>
        <v>-30</v>
      </c>
      <c r="O899" t="s">
        <v>83</v>
      </c>
    </row>
    <row r="900" spans="1:17" x14ac:dyDescent="0.25">
      <c r="A900" s="38">
        <v>45702</v>
      </c>
      <c r="B900" s="1">
        <v>618422045</v>
      </c>
      <c r="C900" t="s">
        <v>883</v>
      </c>
      <c r="D900" s="23">
        <v>-618.20000000000005</v>
      </c>
      <c r="E900" t="s">
        <v>35</v>
      </c>
      <c r="F900" s="2">
        <v>212901001</v>
      </c>
      <c r="G900" s="2" t="s">
        <v>91</v>
      </c>
      <c r="I900" s="95" t="s">
        <v>7231</v>
      </c>
      <c r="J900" t="s">
        <v>61</v>
      </c>
      <c r="K900" t="s">
        <v>62</v>
      </c>
      <c r="M900">
        <v>61.82</v>
      </c>
      <c r="N900" s="4">
        <f t="shared" si="13"/>
        <v>-10</v>
      </c>
      <c r="O900" t="s">
        <v>83</v>
      </c>
    </row>
    <row r="901" spans="1:17" x14ac:dyDescent="0.25">
      <c r="A901" s="38">
        <v>45702</v>
      </c>
      <c r="B901" s="1">
        <v>618422050</v>
      </c>
      <c r="C901" t="s">
        <v>887</v>
      </c>
      <c r="D901" s="23">
        <v>-1236.4000000000001</v>
      </c>
      <c r="E901" t="s">
        <v>35</v>
      </c>
      <c r="F901" s="2">
        <v>212901001</v>
      </c>
      <c r="G901" s="2" t="s">
        <v>91</v>
      </c>
      <c r="I901" s="95" t="s">
        <v>7231</v>
      </c>
      <c r="J901" t="s">
        <v>61</v>
      </c>
      <c r="K901" t="s">
        <v>62</v>
      </c>
      <c r="M901">
        <v>61.82</v>
      </c>
      <c r="N901" s="4">
        <f t="shared" si="13"/>
        <v>-20</v>
      </c>
      <c r="O901" t="s">
        <v>83</v>
      </c>
    </row>
    <row r="902" spans="1:17" x14ac:dyDescent="0.25">
      <c r="A902" s="38">
        <v>45702</v>
      </c>
      <c r="B902" s="1">
        <v>50213330</v>
      </c>
      <c r="C902" t="s">
        <v>89</v>
      </c>
      <c r="D902" s="23">
        <v>-215.95</v>
      </c>
      <c r="E902" t="s">
        <v>35</v>
      </c>
      <c r="F902" s="2">
        <v>610148001</v>
      </c>
      <c r="G902" s="2" t="s">
        <v>41</v>
      </c>
      <c r="I902" s="95" t="s">
        <v>7231</v>
      </c>
      <c r="J902" t="s">
        <v>42</v>
      </c>
      <c r="K902" t="s">
        <v>41</v>
      </c>
      <c r="M902">
        <v>61.82</v>
      </c>
      <c r="N902" s="4">
        <f t="shared" si="13"/>
        <v>-3.4932060821740536</v>
      </c>
      <c r="O902" t="s">
        <v>83</v>
      </c>
      <c r="Q902" s="24" t="s">
        <v>677</v>
      </c>
    </row>
    <row r="903" spans="1:17" x14ac:dyDescent="0.25">
      <c r="A903" s="38">
        <v>45702</v>
      </c>
      <c r="B903" s="1">
        <v>50213330</v>
      </c>
      <c r="C903" t="s">
        <v>792</v>
      </c>
      <c r="D903" s="23">
        <v>-0.13</v>
      </c>
      <c r="E903" t="s">
        <v>35</v>
      </c>
      <c r="F903" s="2">
        <v>610148001</v>
      </c>
      <c r="G903" s="2" t="s">
        <v>41</v>
      </c>
      <c r="I903" s="95" t="s">
        <v>7231</v>
      </c>
      <c r="J903" t="s">
        <v>42</v>
      </c>
      <c r="K903" t="s">
        <v>41</v>
      </c>
      <c r="M903">
        <v>61.82</v>
      </c>
      <c r="N903" s="4">
        <f t="shared" si="13"/>
        <v>-2.1028793270786153E-3</v>
      </c>
      <c r="O903" t="s">
        <v>83</v>
      </c>
      <c r="Q903" s="24" t="s">
        <v>677</v>
      </c>
    </row>
    <row r="904" spans="1:17" x14ac:dyDescent="0.25">
      <c r="A904" s="38">
        <v>45702</v>
      </c>
      <c r="B904" s="1">
        <v>218422234</v>
      </c>
      <c r="C904" t="s">
        <v>888</v>
      </c>
      <c r="D904" s="23">
        <v>-200000</v>
      </c>
      <c r="E904" t="s">
        <v>35</v>
      </c>
      <c r="F904" s="2">
        <v>210101001</v>
      </c>
      <c r="G904" s="2" t="s">
        <v>36</v>
      </c>
      <c r="I904" s="95" t="s">
        <v>7231</v>
      </c>
      <c r="J904" t="s">
        <v>182</v>
      </c>
      <c r="K904" t="s">
        <v>183</v>
      </c>
      <c r="M904">
        <v>61.82</v>
      </c>
      <c r="N904" s="4">
        <f t="shared" si="13"/>
        <v>-3235.1989647363312</v>
      </c>
      <c r="O904" t="s">
        <v>83</v>
      </c>
    </row>
    <row r="905" spans="1:17" x14ac:dyDescent="0.25">
      <c r="A905" s="38">
        <v>45702</v>
      </c>
      <c r="B905" s="1">
        <v>218422233</v>
      </c>
      <c r="C905" t="s">
        <v>888</v>
      </c>
      <c r="D905" s="23">
        <v>-139766.96</v>
      </c>
      <c r="E905" t="s">
        <v>35</v>
      </c>
      <c r="F905" s="2">
        <v>210101001</v>
      </c>
      <c r="G905" s="2" t="s">
        <v>36</v>
      </c>
      <c r="I905" s="95" t="s">
        <v>7231</v>
      </c>
      <c r="J905" t="s">
        <v>182</v>
      </c>
      <c r="K905" t="s">
        <v>183</v>
      </c>
      <c r="M905">
        <v>61.82</v>
      </c>
      <c r="N905" s="4">
        <f t="shared" si="13"/>
        <v>-2260.869621481721</v>
      </c>
      <c r="O905" t="s">
        <v>83</v>
      </c>
    </row>
    <row r="906" spans="1:17" x14ac:dyDescent="0.25">
      <c r="A906" s="38">
        <v>45702</v>
      </c>
      <c r="B906" s="1">
        <v>50233593</v>
      </c>
      <c r="C906" t="s">
        <v>89</v>
      </c>
      <c r="D906" s="23">
        <v>-849.41</v>
      </c>
      <c r="E906" t="s">
        <v>35</v>
      </c>
      <c r="F906" s="2">
        <v>610148001</v>
      </c>
      <c r="G906" s="2" t="s">
        <v>41</v>
      </c>
      <c r="I906" s="95" t="s">
        <v>7231</v>
      </c>
      <c r="J906" t="s">
        <v>42</v>
      </c>
      <c r="K906" t="s">
        <v>41</v>
      </c>
      <c r="M906">
        <v>61.82</v>
      </c>
      <c r="N906" s="4">
        <f t="shared" si="13"/>
        <v>-13.740051763183436</v>
      </c>
      <c r="O906" t="s">
        <v>83</v>
      </c>
      <c r="Q906" s="24" t="s">
        <v>677</v>
      </c>
    </row>
    <row r="907" spans="1:17" x14ac:dyDescent="0.25">
      <c r="A907" s="38">
        <v>45702</v>
      </c>
      <c r="B907" s="1">
        <v>218427806</v>
      </c>
      <c r="C907" t="s">
        <v>889</v>
      </c>
      <c r="D907" s="23">
        <v>-2749.25</v>
      </c>
      <c r="E907" t="s">
        <v>35</v>
      </c>
      <c r="F907" s="2">
        <v>210101001</v>
      </c>
      <c r="G907" s="2" t="s">
        <v>36</v>
      </c>
      <c r="I907" s="95" t="s">
        <v>7231</v>
      </c>
      <c r="J907" t="s">
        <v>86</v>
      </c>
      <c r="K907" t="s">
        <v>87</v>
      </c>
      <c r="M907">
        <v>61.82</v>
      </c>
      <c r="N907" s="4">
        <f t="shared" si="13"/>
        <v>-44.471853769006792</v>
      </c>
      <c r="O907" t="s">
        <v>83</v>
      </c>
    </row>
    <row r="908" spans="1:17" x14ac:dyDescent="0.25">
      <c r="A908" s="38">
        <v>45702</v>
      </c>
      <c r="B908" s="1">
        <v>218427806</v>
      </c>
      <c r="C908" t="s">
        <v>185</v>
      </c>
      <c r="D908" s="23">
        <v>-8.25</v>
      </c>
      <c r="E908" t="s">
        <v>35</v>
      </c>
      <c r="F908" s="2">
        <v>610148001</v>
      </c>
      <c r="G908" s="2" t="s">
        <v>41</v>
      </c>
      <c r="I908" s="95" t="s">
        <v>7231</v>
      </c>
      <c r="J908" t="s">
        <v>42</v>
      </c>
      <c r="K908" t="s">
        <v>41</v>
      </c>
      <c r="M908">
        <v>61.82</v>
      </c>
      <c r="N908" s="4">
        <f t="shared" ref="N908:N971" si="14">D908/M908</f>
        <v>-0.13345195729537365</v>
      </c>
      <c r="O908" t="s">
        <v>83</v>
      </c>
      <c r="Q908" s="24" t="s">
        <v>677</v>
      </c>
    </row>
    <row r="909" spans="1:17" x14ac:dyDescent="0.25">
      <c r="A909" s="38">
        <v>45705</v>
      </c>
      <c r="B909" s="1">
        <v>18602723</v>
      </c>
      <c r="C909" t="s">
        <v>890</v>
      </c>
      <c r="D909" s="23">
        <v>-6424.5</v>
      </c>
      <c r="E909" t="s">
        <v>35</v>
      </c>
      <c r="F909" s="2">
        <v>210101001</v>
      </c>
      <c r="G909" s="2" t="s">
        <v>36</v>
      </c>
      <c r="I909" s="95" t="s">
        <v>7231</v>
      </c>
      <c r="J909" t="s">
        <v>502</v>
      </c>
      <c r="K909" t="s">
        <v>503</v>
      </c>
      <c r="M909">
        <v>62.07</v>
      </c>
      <c r="N909" s="4">
        <f t="shared" si="14"/>
        <v>-103.50410826486225</v>
      </c>
      <c r="O909" t="s">
        <v>83</v>
      </c>
    </row>
    <row r="910" spans="1:17" x14ac:dyDescent="0.25">
      <c r="A910" s="38">
        <v>45705</v>
      </c>
      <c r="B910" s="1">
        <v>18602722</v>
      </c>
      <c r="C910" t="s">
        <v>891</v>
      </c>
      <c r="D910" s="23">
        <v>-3944.12</v>
      </c>
      <c r="E910" t="s">
        <v>35</v>
      </c>
      <c r="F910" s="2">
        <v>210101001</v>
      </c>
      <c r="G910" s="2" t="s">
        <v>36</v>
      </c>
      <c r="I910" s="95" t="s">
        <v>7231</v>
      </c>
      <c r="J910" t="s">
        <v>680</v>
      </c>
      <c r="K910" t="s">
        <v>681</v>
      </c>
      <c r="M910">
        <v>62.07</v>
      </c>
      <c r="N910" s="4">
        <f t="shared" si="14"/>
        <v>-63.543096503947154</v>
      </c>
      <c r="O910" t="s">
        <v>83</v>
      </c>
    </row>
    <row r="911" spans="1:17" x14ac:dyDescent="0.25">
      <c r="A911" s="38">
        <v>45705</v>
      </c>
      <c r="B911" s="1">
        <v>50233249</v>
      </c>
      <c r="C911" t="s">
        <v>89</v>
      </c>
      <c r="D911" s="23">
        <v>-25.92</v>
      </c>
      <c r="E911" t="s">
        <v>35</v>
      </c>
      <c r="F911" s="2">
        <v>610148001</v>
      </c>
      <c r="G911" s="2" t="s">
        <v>41</v>
      </c>
      <c r="I911" s="95" t="s">
        <v>7231</v>
      </c>
      <c r="J911" t="s">
        <v>42</v>
      </c>
      <c r="K911" t="s">
        <v>41</v>
      </c>
      <c r="M911">
        <v>62.07</v>
      </c>
      <c r="N911" s="4">
        <f t="shared" si="14"/>
        <v>-0.41759304011599807</v>
      </c>
      <c r="O911" t="s">
        <v>83</v>
      </c>
      <c r="Q911" s="24" t="s">
        <v>677</v>
      </c>
    </row>
    <row r="912" spans="1:17" x14ac:dyDescent="0.25">
      <c r="A912" s="38">
        <v>45705</v>
      </c>
      <c r="B912" s="1">
        <v>918602847</v>
      </c>
      <c r="C912" t="s">
        <v>892</v>
      </c>
      <c r="D912" s="23">
        <v>-745.3</v>
      </c>
      <c r="E912" t="s">
        <v>35</v>
      </c>
      <c r="F912" s="2">
        <v>210101001</v>
      </c>
      <c r="G912" s="2" t="s">
        <v>36</v>
      </c>
      <c r="I912" s="95" t="s">
        <v>7231</v>
      </c>
      <c r="J912" t="s">
        <v>37</v>
      </c>
      <c r="K912" t="s">
        <v>38</v>
      </c>
      <c r="M912">
        <v>62.07</v>
      </c>
      <c r="N912" s="4">
        <f t="shared" si="14"/>
        <v>-12.00741098759465</v>
      </c>
      <c r="O912" t="s">
        <v>83</v>
      </c>
    </row>
    <row r="913" spans="1:17" x14ac:dyDescent="0.25">
      <c r="A913" s="38">
        <v>45705</v>
      </c>
      <c r="B913" s="1">
        <v>918602847</v>
      </c>
      <c r="C913" t="s">
        <v>185</v>
      </c>
      <c r="D913" s="23">
        <v>-2.2400000000000002</v>
      </c>
      <c r="E913" t="s">
        <v>35</v>
      </c>
      <c r="F913" s="2">
        <v>610148001</v>
      </c>
      <c r="G913" s="2" t="s">
        <v>41</v>
      </c>
      <c r="I913" s="95" t="s">
        <v>7231</v>
      </c>
      <c r="J913" t="s">
        <v>42</v>
      </c>
      <c r="K913" t="s">
        <v>41</v>
      </c>
      <c r="M913">
        <v>62.07</v>
      </c>
      <c r="N913" s="4">
        <f t="shared" si="14"/>
        <v>-3.6088287417431933E-2</v>
      </c>
      <c r="O913" t="s">
        <v>83</v>
      </c>
      <c r="Q913" s="24" t="s">
        <v>677</v>
      </c>
    </row>
    <row r="914" spans="1:17" x14ac:dyDescent="0.25">
      <c r="A914" s="38">
        <v>45706</v>
      </c>
      <c r="B914" s="1">
        <v>112420253</v>
      </c>
      <c r="C914" t="s">
        <v>82</v>
      </c>
      <c r="D914" s="23">
        <v>165000</v>
      </c>
      <c r="E914" t="s">
        <v>45</v>
      </c>
      <c r="F914" s="2">
        <v>210115002</v>
      </c>
      <c r="G914" s="2" t="s">
        <v>46</v>
      </c>
      <c r="I914" s="95" t="s">
        <v>7231</v>
      </c>
      <c r="K914" t="s">
        <v>82</v>
      </c>
      <c r="M914">
        <v>62.09</v>
      </c>
      <c r="N914" s="4">
        <f t="shared" si="14"/>
        <v>2657.4327588983733</v>
      </c>
      <c r="O914" t="s">
        <v>83</v>
      </c>
    </row>
    <row r="915" spans="1:17" x14ac:dyDescent="0.25">
      <c r="A915" s="38">
        <v>45706</v>
      </c>
      <c r="B915" s="1">
        <v>818645030</v>
      </c>
      <c r="C915" t="s">
        <v>893</v>
      </c>
      <c r="D915" s="23">
        <v>-3539.79</v>
      </c>
      <c r="E915" t="s">
        <v>35</v>
      </c>
      <c r="F915" s="2">
        <v>210101001</v>
      </c>
      <c r="G915" s="2" t="s">
        <v>36</v>
      </c>
      <c r="I915" s="95" t="s">
        <v>7231</v>
      </c>
      <c r="J915" t="s">
        <v>383</v>
      </c>
      <c r="K915" t="s">
        <v>384</v>
      </c>
      <c r="M915">
        <v>62.09</v>
      </c>
      <c r="N915" s="4">
        <f t="shared" si="14"/>
        <v>-57.010629731035593</v>
      </c>
      <c r="O915" t="s">
        <v>83</v>
      </c>
    </row>
    <row r="916" spans="1:17" x14ac:dyDescent="0.25">
      <c r="A916" s="38">
        <v>45706</v>
      </c>
      <c r="B916" s="1">
        <v>718645029</v>
      </c>
      <c r="C916" t="s">
        <v>892</v>
      </c>
      <c r="D916" s="23">
        <v>-45538.82</v>
      </c>
      <c r="E916" t="s">
        <v>35</v>
      </c>
      <c r="F916" s="2">
        <v>210101001</v>
      </c>
      <c r="G916" s="2" t="s">
        <v>36</v>
      </c>
      <c r="I916" s="95" t="s">
        <v>7231</v>
      </c>
      <c r="J916" t="s">
        <v>37</v>
      </c>
      <c r="K916" t="s">
        <v>38</v>
      </c>
      <c r="M916">
        <v>62.09</v>
      </c>
      <c r="N916" s="4">
        <f t="shared" si="14"/>
        <v>-733.43243678531155</v>
      </c>
      <c r="O916" t="s">
        <v>83</v>
      </c>
    </row>
    <row r="917" spans="1:17" x14ac:dyDescent="0.25">
      <c r="A917" s="38">
        <v>45706</v>
      </c>
      <c r="B917" s="1">
        <v>818645032</v>
      </c>
      <c r="C917" t="s">
        <v>894</v>
      </c>
      <c r="D917" s="23">
        <v>-89908.38</v>
      </c>
      <c r="E917" t="s">
        <v>35</v>
      </c>
      <c r="F917" s="2">
        <v>210101001</v>
      </c>
      <c r="G917" s="2" t="s">
        <v>36</v>
      </c>
      <c r="I917" s="95" t="s">
        <v>7231</v>
      </c>
      <c r="J917" t="s">
        <v>383</v>
      </c>
      <c r="K917" t="s">
        <v>384</v>
      </c>
      <c r="M917">
        <v>62.09</v>
      </c>
      <c r="N917" s="4">
        <f t="shared" si="14"/>
        <v>-1448.0331776453536</v>
      </c>
      <c r="O917" t="s">
        <v>83</v>
      </c>
    </row>
    <row r="918" spans="1:17" x14ac:dyDescent="0.25">
      <c r="A918" s="38">
        <v>45706</v>
      </c>
      <c r="B918" s="1">
        <v>818645033</v>
      </c>
      <c r="C918" t="s">
        <v>895</v>
      </c>
      <c r="D918" s="23">
        <v>-23654.720000000001</v>
      </c>
      <c r="E918" t="s">
        <v>35</v>
      </c>
      <c r="F918" s="2">
        <v>210101001</v>
      </c>
      <c r="G918" s="2" t="s">
        <v>36</v>
      </c>
      <c r="I918" s="95" t="s">
        <v>7231</v>
      </c>
      <c r="J918" t="s">
        <v>288</v>
      </c>
      <c r="K918" t="s">
        <v>289</v>
      </c>
      <c r="M918">
        <v>62.09</v>
      </c>
      <c r="N918" s="4">
        <f t="shared" si="14"/>
        <v>-380.97471412465774</v>
      </c>
      <c r="O918" t="s">
        <v>83</v>
      </c>
    </row>
    <row r="919" spans="1:17" x14ac:dyDescent="0.25">
      <c r="A919" s="38">
        <v>45706</v>
      </c>
      <c r="B919" s="1">
        <v>50233603</v>
      </c>
      <c r="C919" t="s">
        <v>89</v>
      </c>
      <c r="D919" s="23">
        <v>-406.6</v>
      </c>
      <c r="E919" t="s">
        <v>35</v>
      </c>
      <c r="F919" s="2">
        <v>610148001</v>
      </c>
      <c r="G919" s="2" t="s">
        <v>41</v>
      </c>
      <c r="I919" s="95" t="s">
        <v>7231</v>
      </c>
      <c r="J919" t="s">
        <v>42</v>
      </c>
      <c r="K919" t="s">
        <v>41</v>
      </c>
      <c r="M919">
        <v>62.09</v>
      </c>
      <c r="N919" s="4">
        <f t="shared" si="14"/>
        <v>-6.5485585440489613</v>
      </c>
      <c r="O919" t="s">
        <v>83</v>
      </c>
      <c r="Q919" s="24" t="s">
        <v>677</v>
      </c>
    </row>
    <row r="920" spans="1:17" x14ac:dyDescent="0.25">
      <c r="A920" s="38">
        <v>45708</v>
      </c>
      <c r="B920" s="1">
        <v>111247074</v>
      </c>
      <c r="C920" t="s">
        <v>82</v>
      </c>
      <c r="D920" s="23">
        <v>320000</v>
      </c>
      <c r="E920" t="s">
        <v>45</v>
      </c>
      <c r="F920" s="2">
        <v>210115002</v>
      </c>
      <c r="G920" s="2" t="s">
        <v>46</v>
      </c>
      <c r="I920" s="95" t="s">
        <v>7231</v>
      </c>
      <c r="K920" t="s">
        <v>82</v>
      </c>
      <c r="M920">
        <v>62.51</v>
      </c>
      <c r="N920" s="4">
        <f t="shared" si="14"/>
        <v>5119.1809310510316</v>
      </c>
      <c r="O920" t="s">
        <v>83</v>
      </c>
    </row>
    <row r="921" spans="1:17" x14ac:dyDescent="0.25">
      <c r="A921" s="38">
        <v>45708</v>
      </c>
      <c r="B921" s="1">
        <v>618727314</v>
      </c>
      <c r="C921" t="s">
        <v>896</v>
      </c>
      <c r="D921" s="23">
        <v>-200000</v>
      </c>
      <c r="E921" t="s">
        <v>35</v>
      </c>
      <c r="F921" s="2">
        <v>110114001</v>
      </c>
      <c r="G921" s="2" t="s">
        <v>181</v>
      </c>
      <c r="I921" s="95" t="s">
        <v>7231</v>
      </c>
      <c r="J921" t="s">
        <v>37</v>
      </c>
      <c r="K921" t="s">
        <v>38</v>
      </c>
      <c r="M921">
        <v>62.51</v>
      </c>
      <c r="N921" s="4">
        <f t="shared" si="14"/>
        <v>-3199.4880819068949</v>
      </c>
      <c r="O921" t="s">
        <v>83</v>
      </c>
      <c r="P921" s="34" t="s">
        <v>694</v>
      </c>
    </row>
    <row r="922" spans="1:17" x14ac:dyDescent="0.25">
      <c r="A922" s="38">
        <v>45708</v>
      </c>
      <c r="B922" s="1">
        <v>618727315</v>
      </c>
      <c r="C922" t="s">
        <v>897</v>
      </c>
      <c r="D922" s="23">
        <v>-8836.51</v>
      </c>
      <c r="E922" t="s">
        <v>35</v>
      </c>
      <c r="F922" s="2">
        <v>210101001</v>
      </c>
      <c r="G922" s="2" t="s">
        <v>36</v>
      </c>
      <c r="I922" s="95" t="s">
        <v>7231</v>
      </c>
      <c r="J922" t="s">
        <v>288</v>
      </c>
      <c r="K922" t="s">
        <v>289</v>
      </c>
      <c r="M922">
        <v>62.51</v>
      </c>
      <c r="N922" s="4">
        <f t="shared" si="14"/>
        <v>-141.3615421532555</v>
      </c>
      <c r="O922" t="s">
        <v>83</v>
      </c>
    </row>
    <row r="923" spans="1:17" x14ac:dyDescent="0.25">
      <c r="A923" s="38">
        <v>45708</v>
      </c>
      <c r="B923" s="1">
        <v>618727316</v>
      </c>
      <c r="C923" t="s">
        <v>896</v>
      </c>
      <c r="D923" s="23">
        <v>-96922.5</v>
      </c>
      <c r="E923" t="s">
        <v>35</v>
      </c>
      <c r="F923" s="2">
        <v>110114001</v>
      </c>
      <c r="G923" s="2" t="s">
        <v>181</v>
      </c>
      <c r="I923" s="95" t="s">
        <v>7231</v>
      </c>
      <c r="J923" t="s">
        <v>37</v>
      </c>
      <c r="K923" t="s">
        <v>38</v>
      </c>
      <c r="M923">
        <v>62.51</v>
      </c>
      <c r="N923" s="4">
        <f t="shared" si="14"/>
        <v>-1550.5119180931051</v>
      </c>
      <c r="O923" t="s">
        <v>83</v>
      </c>
      <c r="P923" s="34" t="s">
        <v>694</v>
      </c>
    </row>
    <row r="924" spans="1:17" x14ac:dyDescent="0.25">
      <c r="A924" s="38">
        <v>45708</v>
      </c>
      <c r="B924" s="1">
        <v>50252405</v>
      </c>
      <c r="C924" t="s">
        <v>89</v>
      </c>
      <c r="D924" s="23">
        <v>-764.39</v>
      </c>
      <c r="E924" t="s">
        <v>35</v>
      </c>
      <c r="F924" s="2">
        <v>610148001</v>
      </c>
      <c r="G924" s="2" t="s">
        <v>41</v>
      </c>
      <c r="I924" s="95" t="s">
        <v>7231</v>
      </c>
      <c r="J924" t="s">
        <v>42</v>
      </c>
      <c r="K924" t="s">
        <v>41</v>
      </c>
      <c r="M924">
        <v>62.51</v>
      </c>
      <c r="N924" s="4">
        <f t="shared" si="14"/>
        <v>-12.228283474644057</v>
      </c>
      <c r="O924" t="s">
        <v>83</v>
      </c>
      <c r="Q924" s="24" t="s">
        <v>677</v>
      </c>
    </row>
    <row r="925" spans="1:17" x14ac:dyDescent="0.25">
      <c r="A925" s="38">
        <v>45708</v>
      </c>
      <c r="B925" s="1">
        <v>135236335</v>
      </c>
      <c r="C925" t="s">
        <v>82</v>
      </c>
      <c r="D925" s="23">
        <v>395000</v>
      </c>
      <c r="E925" t="s">
        <v>45</v>
      </c>
      <c r="F925" s="2">
        <v>210115002</v>
      </c>
      <c r="G925" s="2" t="s">
        <v>46</v>
      </c>
      <c r="I925" s="95" t="s">
        <v>7231</v>
      </c>
      <c r="K925" t="s">
        <v>82</v>
      </c>
      <c r="M925">
        <v>62.51</v>
      </c>
      <c r="N925" s="4">
        <f t="shared" si="14"/>
        <v>6318.9889617661174</v>
      </c>
      <c r="O925" t="s">
        <v>83</v>
      </c>
    </row>
    <row r="926" spans="1:17" x14ac:dyDescent="0.25">
      <c r="A926" s="38">
        <v>45708</v>
      </c>
      <c r="B926" s="1">
        <v>418736113</v>
      </c>
      <c r="C926" t="s">
        <v>898</v>
      </c>
      <c r="D926" s="31">
        <v>-125020</v>
      </c>
      <c r="E926" t="s">
        <v>35</v>
      </c>
      <c r="I926" s="95" t="s">
        <v>7231</v>
      </c>
      <c r="J926" t="s">
        <v>899</v>
      </c>
      <c r="K926" t="s">
        <v>900</v>
      </c>
      <c r="L926" s="28" t="s">
        <v>56</v>
      </c>
      <c r="M926">
        <v>62.51</v>
      </c>
      <c r="N926" s="4">
        <f t="shared" si="14"/>
        <v>-2000</v>
      </c>
      <c r="O926" t="s">
        <v>83</v>
      </c>
      <c r="P926" s="3" t="s">
        <v>901</v>
      </c>
      <c r="Q926" s="24" t="s">
        <v>902</v>
      </c>
    </row>
    <row r="927" spans="1:17" x14ac:dyDescent="0.25">
      <c r="A927" s="38">
        <v>45708</v>
      </c>
      <c r="B927" s="1">
        <v>418736113</v>
      </c>
      <c r="C927" t="s">
        <v>185</v>
      </c>
      <c r="D927" s="23">
        <v>-375.06</v>
      </c>
      <c r="E927" t="s">
        <v>35</v>
      </c>
      <c r="F927" s="2">
        <v>610148001</v>
      </c>
      <c r="G927" s="2" t="s">
        <v>41</v>
      </c>
      <c r="I927" s="95" t="s">
        <v>7231</v>
      </c>
      <c r="J927" t="s">
        <v>42</v>
      </c>
      <c r="K927" t="s">
        <v>41</v>
      </c>
      <c r="M927">
        <v>62.51</v>
      </c>
      <c r="N927" s="4">
        <f t="shared" si="14"/>
        <v>-6</v>
      </c>
      <c r="O927" t="s">
        <v>83</v>
      </c>
      <c r="Q927" s="24" t="s">
        <v>677</v>
      </c>
    </row>
    <row r="928" spans="1:17" x14ac:dyDescent="0.25">
      <c r="A928" s="38">
        <v>45708</v>
      </c>
      <c r="B928" s="1">
        <v>318736276</v>
      </c>
      <c r="C928" t="s">
        <v>903</v>
      </c>
      <c r="D928" s="23">
        <v>-178378.53</v>
      </c>
      <c r="E928" t="s">
        <v>35</v>
      </c>
      <c r="F928" s="2">
        <v>210101001</v>
      </c>
      <c r="G928" s="2" t="s">
        <v>36</v>
      </c>
      <c r="I928" s="95" t="s">
        <v>7231</v>
      </c>
      <c r="J928" t="s">
        <v>182</v>
      </c>
      <c r="K928" t="s">
        <v>183</v>
      </c>
      <c r="M928">
        <v>62.51</v>
      </c>
      <c r="N928" s="4">
        <f t="shared" si="14"/>
        <v>-2853.5999040153574</v>
      </c>
      <c r="O928" t="s">
        <v>83</v>
      </c>
      <c r="P928" t="s">
        <v>904</v>
      </c>
    </row>
    <row r="929" spans="1:17" x14ac:dyDescent="0.25">
      <c r="A929" s="38">
        <v>45708</v>
      </c>
      <c r="B929" s="1">
        <v>318736275</v>
      </c>
      <c r="C929" t="s">
        <v>905</v>
      </c>
      <c r="D929" s="23">
        <v>-78138.41</v>
      </c>
      <c r="E929" t="s">
        <v>35</v>
      </c>
      <c r="F929" s="2">
        <v>210101001</v>
      </c>
      <c r="G929" s="2" t="s">
        <v>36</v>
      </c>
      <c r="I929" s="95" t="s">
        <v>7231</v>
      </c>
      <c r="J929" t="s">
        <v>182</v>
      </c>
      <c r="K929" t="s">
        <v>183</v>
      </c>
      <c r="M929">
        <v>62.51</v>
      </c>
      <c r="N929" s="4">
        <f t="shared" si="14"/>
        <v>-1250.0145576707728</v>
      </c>
      <c r="O929" t="s">
        <v>83</v>
      </c>
    </row>
    <row r="930" spans="1:17" x14ac:dyDescent="0.25">
      <c r="A930" s="38">
        <v>45708</v>
      </c>
      <c r="B930" s="1">
        <v>318736277</v>
      </c>
      <c r="C930" t="s">
        <v>906</v>
      </c>
      <c r="D930" s="23">
        <v>-6900</v>
      </c>
      <c r="E930" t="s">
        <v>35</v>
      </c>
      <c r="F930" s="2">
        <v>110114001</v>
      </c>
      <c r="G930" s="2" t="s">
        <v>181</v>
      </c>
      <c r="I930" s="95" t="s">
        <v>7231</v>
      </c>
      <c r="J930" t="s">
        <v>380</v>
      </c>
      <c r="K930" t="s">
        <v>381</v>
      </c>
      <c r="M930">
        <v>62.51</v>
      </c>
      <c r="N930" s="4">
        <f t="shared" si="14"/>
        <v>-110.38233882578788</v>
      </c>
      <c r="O930" t="s">
        <v>83</v>
      </c>
      <c r="P930" s="34" t="s">
        <v>694</v>
      </c>
    </row>
    <row r="931" spans="1:17" x14ac:dyDescent="0.25">
      <c r="A931" s="38">
        <v>45708</v>
      </c>
      <c r="B931" s="1">
        <v>50261674</v>
      </c>
      <c r="C931" t="s">
        <v>89</v>
      </c>
      <c r="D931" s="23">
        <v>-658.54</v>
      </c>
      <c r="E931" t="s">
        <v>35</v>
      </c>
      <c r="F931" s="2">
        <v>610148001</v>
      </c>
      <c r="G931" s="2" t="s">
        <v>41</v>
      </c>
      <c r="I931" s="95" t="s">
        <v>7231</v>
      </c>
      <c r="J931" t="s">
        <v>42</v>
      </c>
      <c r="K931" t="s">
        <v>41</v>
      </c>
      <c r="M931">
        <v>62.51</v>
      </c>
      <c r="N931" s="4">
        <f t="shared" si="14"/>
        <v>-10.534954407294833</v>
      </c>
      <c r="O931" t="s">
        <v>83</v>
      </c>
      <c r="Q931" s="24" t="s">
        <v>677</v>
      </c>
    </row>
    <row r="932" spans="1:17" x14ac:dyDescent="0.25">
      <c r="A932" s="38">
        <v>45708</v>
      </c>
      <c r="B932" s="1">
        <v>142115484</v>
      </c>
      <c r="C932" t="s">
        <v>82</v>
      </c>
      <c r="D932" s="23">
        <v>15000</v>
      </c>
      <c r="E932" t="s">
        <v>45</v>
      </c>
      <c r="F932" s="2">
        <v>210115002</v>
      </c>
      <c r="G932" s="2" t="s">
        <v>46</v>
      </c>
      <c r="I932" s="95" t="s">
        <v>7231</v>
      </c>
      <c r="K932" t="s">
        <v>82</v>
      </c>
      <c r="M932">
        <v>62.51</v>
      </c>
      <c r="N932" s="4">
        <f t="shared" si="14"/>
        <v>239.96160614301712</v>
      </c>
      <c r="O932" t="s">
        <v>83</v>
      </c>
    </row>
    <row r="933" spans="1:17" x14ac:dyDescent="0.25">
      <c r="A933" s="40">
        <v>45709</v>
      </c>
      <c r="B933" s="27">
        <v>118770848</v>
      </c>
      <c r="C933" s="28" t="s">
        <v>907</v>
      </c>
      <c r="D933" s="29">
        <v>-660.7</v>
      </c>
      <c r="E933" s="28" t="s">
        <v>35</v>
      </c>
      <c r="F933" s="30"/>
      <c r="G933" s="30"/>
      <c r="H933" s="30"/>
      <c r="I933" s="95" t="s">
        <v>7231</v>
      </c>
      <c r="J933" s="28" t="s">
        <v>908</v>
      </c>
      <c r="K933" s="28" t="s">
        <v>909</v>
      </c>
      <c r="L933" s="28" t="s">
        <v>56</v>
      </c>
      <c r="M933" s="28">
        <v>63.21</v>
      </c>
      <c r="N933" s="4">
        <f t="shared" si="14"/>
        <v>-10.452460053788958</v>
      </c>
      <c r="O933" t="s">
        <v>83</v>
      </c>
      <c r="P933" s="3" t="s">
        <v>901</v>
      </c>
      <c r="Q933" s="24" t="s">
        <v>910</v>
      </c>
    </row>
    <row r="934" spans="1:17" x14ac:dyDescent="0.25">
      <c r="A934" s="38">
        <v>45709</v>
      </c>
      <c r="B934" s="1">
        <v>118770848</v>
      </c>
      <c r="C934" t="s">
        <v>185</v>
      </c>
      <c r="D934" s="23">
        <v>-1.98</v>
      </c>
      <c r="E934" t="s">
        <v>35</v>
      </c>
      <c r="F934" s="2">
        <v>610148001</v>
      </c>
      <c r="G934" s="2" t="s">
        <v>41</v>
      </c>
      <c r="I934" s="95" t="s">
        <v>7231</v>
      </c>
      <c r="J934" t="s">
        <v>42</v>
      </c>
      <c r="K934" t="s">
        <v>41</v>
      </c>
      <c r="M934">
        <v>63.21</v>
      </c>
      <c r="N934" s="4">
        <f t="shared" si="14"/>
        <v>-3.1324157570004743E-2</v>
      </c>
      <c r="O934" t="s">
        <v>83</v>
      </c>
      <c r="Q934" s="24" t="s">
        <v>677</v>
      </c>
    </row>
    <row r="935" spans="1:17" x14ac:dyDescent="0.25">
      <c r="A935" s="38">
        <v>45709</v>
      </c>
      <c r="B935" s="1">
        <v>113449869</v>
      </c>
      <c r="C935" t="s">
        <v>82</v>
      </c>
      <c r="D935" s="23">
        <v>730000</v>
      </c>
      <c r="E935" t="s">
        <v>45</v>
      </c>
      <c r="F935" s="2">
        <v>210115002</v>
      </c>
      <c r="G935" s="2" t="s">
        <v>46</v>
      </c>
      <c r="I935" s="95" t="s">
        <v>7231</v>
      </c>
      <c r="K935" t="s">
        <v>82</v>
      </c>
      <c r="M935">
        <v>63.21</v>
      </c>
      <c r="N935" s="4">
        <f t="shared" si="14"/>
        <v>11548.805568739124</v>
      </c>
      <c r="O935" t="s">
        <v>83</v>
      </c>
    </row>
    <row r="936" spans="1:17" x14ac:dyDescent="0.25">
      <c r="A936" s="38">
        <v>45709</v>
      </c>
      <c r="B936" s="1">
        <v>18773567</v>
      </c>
      <c r="C936" t="s">
        <v>911</v>
      </c>
      <c r="D936" s="23">
        <v>-21157.43</v>
      </c>
      <c r="E936" t="s">
        <v>35</v>
      </c>
      <c r="F936" s="2">
        <v>210101001</v>
      </c>
      <c r="G936" s="2" t="s">
        <v>36</v>
      </c>
      <c r="I936" s="95" t="s">
        <v>7231</v>
      </c>
      <c r="J936" t="s">
        <v>414</v>
      </c>
      <c r="K936" t="s">
        <v>415</v>
      </c>
      <c r="M936">
        <v>63.21</v>
      </c>
      <c r="N936" s="4">
        <f t="shared" si="14"/>
        <v>-334.71650055370986</v>
      </c>
      <c r="O936" t="s">
        <v>83</v>
      </c>
    </row>
    <row r="937" spans="1:17" x14ac:dyDescent="0.25">
      <c r="A937" s="38">
        <v>45709</v>
      </c>
      <c r="B937" s="1">
        <v>18773569</v>
      </c>
      <c r="C937" t="s">
        <v>912</v>
      </c>
      <c r="D937" s="23">
        <v>-183412.29</v>
      </c>
      <c r="E937" t="s">
        <v>35</v>
      </c>
      <c r="F937" s="2">
        <v>210101001</v>
      </c>
      <c r="G937" s="2" t="s">
        <v>36</v>
      </c>
      <c r="I937" s="95" t="s">
        <v>7231</v>
      </c>
      <c r="J937" t="s">
        <v>414</v>
      </c>
      <c r="K937" t="s">
        <v>415</v>
      </c>
      <c r="M937">
        <v>63.21</v>
      </c>
      <c r="N937" s="4">
        <f t="shared" si="14"/>
        <v>-2901.6340768865689</v>
      </c>
      <c r="O937" t="s">
        <v>83</v>
      </c>
    </row>
    <row r="938" spans="1:17" x14ac:dyDescent="0.25">
      <c r="A938" s="38">
        <v>45709</v>
      </c>
      <c r="B938" s="1">
        <v>18773573</v>
      </c>
      <c r="C938" t="s">
        <v>913</v>
      </c>
      <c r="D938" s="23">
        <v>-3034.08</v>
      </c>
      <c r="E938" t="s">
        <v>35</v>
      </c>
      <c r="F938" s="2">
        <v>212901001</v>
      </c>
      <c r="G938" s="2" t="s">
        <v>91</v>
      </c>
      <c r="I938" s="95" t="s">
        <v>7231</v>
      </c>
      <c r="J938" t="s">
        <v>61</v>
      </c>
      <c r="K938" t="s">
        <v>62</v>
      </c>
      <c r="M938">
        <v>63.21</v>
      </c>
      <c r="N938" s="4">
        <f t="shared" si="14"/>
        <v>-48</v>
      </c>
      <c r="O938" t="s">
        <v>83</v>
      </c>
    </row>
    <row r="939" spans="1:17" x14ac:dyDescent="0.25">
      <c r="A939" s="38">
        <v>45709</v>
      </c>
      <c r="B939" s="1">
        <v>18773574</v>
      </c>
      <c r="C939" t="s">
        <v>914</v>
      </c>
      <c r="D939" s="23">
        <v>-3160.5</v>
      </c>
      <c r="E939" t="s">
        <v>35</v>
      </c>
      <c r="F939" s="2">
        <v>212901001</v>
      </c>
      <c r="G939" s="2" t="s">
        <v>91</v>
      </c>
      <c r="I939" s="95" t="s">
        <v>7231</v>
      </c>
      <c r="J939" t="s">
        <v>61</v>
      </c>
      <c r="K939" t="s">
        <v>62</v>
      </c>
      <c r="M939">
        <v>63.21</v>
      </c>
      <c r="N939" s="4">
        <f t="shared" si="14"/>
        <v>-50</v>
      </c>
      <c r="O939" t="s">
        <v>83</v>
      </c>
    </row>
    <row r="940" spans="1:17" x14ac:dyDescent="0.25">
      <c r="A940" s="38">
        <v>45709</v>
      </c>
      <c r="B940" s="1">
        <v>18773570</v>
      </c>
      <c r="C940" t="s">
        <v>915</v>
      </c>
      <c r="D940" s="23">
        <v>-30817.43</v>
      </c>
      <c r="E940" t="s">
        <v>35</v>
      </c>
      <c r="F940" s="2">
        <v>210101001</v>
      </c>
      <c r="G940" s="2" t="s">
        <v>36</v>
      </c>
      <c r="I940" s="95" t="s">
        <v>7231</v>
      </c>
      <c r="J940" t="s">
        <v>414</v>
      </c>
      <c r="K940" t="s">
        <v>415</v>
      </c>
      <c r="M940">
        <v>63.21</v>
      </c>
      <c r="N940" s="4">
        <f t="shared" si="14"/>
        <v>-487.54042081949058</v>
      </c>
      <c r="O940" t="s">
        <v>83</v>
      </c>
    </row>
    <row r="941" spans="1:17" x14ac:dyDescent="0.25">
      <c r="A941" s="38">
        <v>45709</v>
      </c>
      <c r="B941" s="1">
        <v>18773576</v>
      </c>
      <c r="C941" t="s">
        <v>916</v>
      </c>
      <c r="D941" s="23">
        <v>-632.1</v>
      </c>
      <c r="E941" t="s">
        <v>35</v>
      </c>
      <c r="F941" s="2">
        <v>212901001</v>
      </c>
      <c r="G941" s="2" t="s">
        <v>91</v>
      </c>
      <c r="I941" s="95" t="s">
        <v>7231</v>
      </c>
      <c r="J941" t="s">
        <v>61</v>
      </c>
      <c r="K941" t="s">
        <v>62</v>
      </c>
      <c r="M941">
        <v>63.21</v>
      </c>
      <c r="N941" s="4">
        <f t="shared" si="14"/>
        <v>-10</v>
      </c>
      <c r="O941" t="s">
        <v>83</v>
      </c>
    </row>
    <row r="942" spans="1:17" x14ac:dyDescent="0.25">
      <c r="A942" s="38">
        <v>45709</v>
      </c>
      <c r="B942" s="1">
        <v>18773575</v>
      </c>
      <c r="C942" t="s">
        <v>917</v>
      </c>
      <c r="D942" s="23">
        <v>-4424.7</v>
      </c>
      <c r="E942" t="s">
        <v>35</v>
      </c>
      <c r="F942" s="2">
        <v>212901001</v>
      </c>
      <c r="G942" s="2" t="s">
        <v>91</v>
      </c>
      <c r="I942" s="95" t="s">
        <v>7231</v>
      </c>
      <c r="J942" t="s">
        <v>61</v>
      </c>
      <c r="K942" t="s">
        <v>62</v>
      </c>
      <c r="M942">
        <v>63.21</v>
      </c>
      <c r="N942" s="4">
        <f t="shared" si="14"/>
        <v>-70</v>
      </c>
      <c r="O942" t="s">
        <v>83</v>
      </c>
    </row>
    <row r="943" spans="1:17" x14ac:dyDescent="0.25">
      <c r="A943" s="38">
        <v>45709</v>
      </c>
      <c r="B943" s="1">
        <v>118773579</v>
      </c>
      <c r="C943" t="s">
        <v>918</v>
      </c>
      <c r="D943" s="23">
        <v>-1264.2</v>
      </c>
      <c r="E943" t="s">
        <v>35</v>
      </c>
      <c r="F943" s="2">
        <v>212901001</v>
      </c>
      <c r="G943" s="2" t="s">
        <v>91</v>
      </c>
      <c r="I943" s="95" t="s">
        <v>7231</v>
      </c>
      <c r="J943" t="s">
        <v>61</v>
      </c>
      <c r="K943" t="s">
        <v>62</v>
      </c>
      <c r="M943">
        <v>63.21</v>
      </c>
      <c r="N943" s="4">
        <f t="shared" si="14"/>
        <v>-20</v>
      </c>
      <c r="O943" t="s">
        <v>83</v>
      </c>
    </row>
    <row r="944" spans="1:17" x14ac:dyDescent="0.25">
      <c r="A944" s="38">
        <v>45709</v>
      </c>
      <c r="B944" s="1">
        <v>118773583</v>
      </c>
      <c r="C944" t="s">
        <v>919</v>
      </c>
      <c r="D944" s="23">
        <v>-1264.2</v>
      </c>
      <c r="E944" t="s">
        <v>35</v>
      </c>
      <c r="F944" s="2">
        <v>212901001</v>
      </c>
      <c r="G944" s="2" t="s">
        <v>91</v>
      </c>
      <c r="I944" s="95" t="s">
        <v>7231</v>
      </c>
      <c r="J944" t="s">
        <v>61</v>
      </c>
      <c r="K944" t="s">
        <v>62</v>
      </c>
      <c r="M944">
        <v>63.21</v>
      </c>
      <c r="N944" s="4">
        <f t="shared" si="14"/>
        <v>-20</v>
      </c>
      <c r="O944" t="s">
        <v>83</v>
      </c>
    </row>
    <row r="945" spans="1:17" x14ac:dyDescent="0.25">
      <c r="A945" s="38">
        <v>45709</v>
      </c>
      <c r="B945" s="1">
        <v>118773578</v>
      </c>
      <c r="C945" t="s">
        <v>920</v>
      </c>
      <c r="D945" s="23">
        <v>-4108.6499999999996</v>
      </c>
      <c r="E945" t="s">
        <v>35</v>
      </c>
      <c r="F945" s="2">
        <v>212901001</v>
      </c>
      <c r="G945" s="2" t="s">
        <v>91</v>
      </c>
      <c r="I945" s="95" t="s">
        <v>7231</v>
      </c>
      <c r="J945" t="s">
        <v>61</v>
      </c>
      <c r="K945" t="s">
        <v>62</v>
      </c>
      <c r="M945">
        <v>63.21</v>
      </c>
      <c r="N945" s="4">
        <f t="shared" si="14"/>
        <v>-65</v>
      </c>
      <c r="O945" t="s">
        <v>83</v>
      </c>
    </row>
    <row r="946" spans="1:17" x14ac:dyDescent="0.25">
      <c r="A946" s="38">
        <v>45709</v>
      </c>
      <c r="B946" s="1">
        <v>118773581</v>
      </c>
      <c r="C946" t="s">
        <v>921</v>
      </c>
      <c r="D946" s="23">
        <v>-1264.2</v>
      </c>
      <c r="E946" t="s">
        <v>35</v>
      </c>
      <c r="F946" s="2">
        <v>212901001</v>
      </c>
      <c r="G946" s="2" t="s">
        <v>91</v>
      </c>
      <c r="I946" s="95" t="s">
        <v>7231</v>
      </c>
      <c r="J946" t="s">
        <v>61</v>
      </c>
      <c r="K946" t="s">
        <v>62</v>
      </c>
      <c r="M946">
        <v>63.21</v>
      </c>
      <c r="N946" s="4">
        <f t="shared" si="14"/>
        <v>-20</v>
      </c>
      <c r="O946" t="s">
        <v>83</v>
      </c>
    </row>
    <row r="947" spans="1:17" x14ac:dyDescent="0.25">
      <c r="A947" s="38">
        <v>45709</v>
      </c>
      <c r="B947" s="1">
        <v>118773584</v>
      </c>
      <c r="C947" t="s">
        <v>922</v>
      </c>
      <c r="D947" s="23">
        <v>-1264.2</v>
      </c>
      <c r="E947" t="s">
        <v>35</v>
      </c>
      <c r="F947" s="2">
        <v>212901001</v>
      </c>
      <c r="G947" s="2" t="s">
        <v>91</v>
      </c>
      <c r="I947" s="95" t="s">
        <v>7231</v>
      </c>
      <c r="J947" t="s">
        <v>61</v>
      </c>
      <c r="K947" t="s">
        <v>62</v>
      </c>
      <c r="M947">
        <v>63.21</v>
      </c>
      <c r="N947" s="4">
        <f t="shared" si="14"/>
        <v>-20</v>
      </c>
      <c r="O947" t="s">
        <v>83</v>
      </c>
    </row>
    <row r="948" spans="1:17" x14ac:dyDescent="0.25">
      <c r="A948" s="38">
        <v>45709</v>
      </c>
      <c r="B948" s="1">
        <v>118773585</v>
      </c>
      <c r="C948" t="s">
        <v>923</v>
      </c>
      <c r="D948" s="23">
        <v>-17815.349999999999</v>
      </c>
      <c r="E948" t="s">
        <v>35</v>
      </c>
      <c r="F948" s="2">
        <v>110114001</v>
      </c>
      <c r="G948" s="2" t="s">
        <v>181</v>
      </c>
      <c r="I948" s="95" t="s">
        <v>7231</v>
      </c>
      <c r="J948" t="s">
        <v>368</v>
      </c>
      <c r="K948" t="s">
        <v>80</v>
      </c>
      <c r="M948">
        <v>63.21</v>
      </c>
      <c r="N948" s="4">
        <f t="shared" si="14"/>
        <v>-281.84385382059799</v>
      </c>
      <c r="O948" t="s">
        <v>83</v>
      </c>
      <c r="P948" s="34" t="s">
        <v>694</v>
      </c>
    </row>
    <row r="949" spans="1:17" x14ac:dyDescent="0.25">
      <c r="A949" s="38">
        <v>45709</v>
      </c>
      <c r="B949" s="1">
        <v>118773587</v>
      </c>
      <c r="C949" t="s">
        <v>796</v>
      </c>
      <c r="D949" s="23">
        <v>-176782</v>
      </c>
      <c r="E949" t="s">
        <v>35</v>
      </c>
      <c r="F949" s="2">
        <v>210101001</v>
      </c>
      <c r="G949" s="2" t="s">
        <v>36</v>
      </c>
      <c r="I949" s="95" t="s">
        <v>7231</v>
      </c>
      <c r="J949" t="s">
        <v>37</v>
      </c>
      <c r="K949" t="s">
        <v>38</v>
      </c>
      <c r="M949">
        <v>63.21</v>
      </c>
      <c r="N949" s="4">
        <f t="shared" si="14"/>
        <v>-2796.7410219901913</v>
      </c>
      <c r="O949" t="s">
        <v>83</v>
      </c>
    </row>
    <row r="950" spans="1:17" x14ac:dyDescent="0.25">
      <c r="A950" s="38">
        <v>45709</v>
      </c>
      <c r="B950" s="1">
        <v>118773589</v>
      </c>
      <c r="C950" t="s">
        <v>924</v>
      </c>
      <c r="D950" s="23">
        <v>-79617.36</v>
      </c>
      <c r="E950" t="s">
        <v>35</v>
      </c>
      <c r="F950" s="2">
        <v>210101001</v>
      </c>
      <c r="G950" s="2" t="s">
        <v>36</v>
      </c>
      <c r="I950" s="95" t="s">
        <v>7231</v>
      </c>
      <c r="J950" t="s">
        <v>37</v>
      </c>
      <c r="K950" t="s">
        <v>38</v>
      </c>
      <c r="M950">
        <v>63.21</v>
      </c>
      <c r="N950" s="4">
        <f t="shared" si="14"/>
        <v>-1259.5690555291885</v>
      </c>
      <c r="O950" t="s">
        <v>83</v>
      </c>
    </row>
    <row r="951" spans="1:17" x14ac:dyDescent="0.25">
      <c r="A951" s="38">
        <v>45709</v>
      </c>
      <c r="B951" s="1">
        <v>118773590</v>
      </c>
      <c r="C951" t="s">
        <v>925</v>
      </c>
      <c r="D951" s="23">
        <v>-9142.7999999999993</v>
      </c>
      <c r="E951" t="s">
        <v>35</v>
      </c>
      <c r="F951" s="2">
        <v>210101001</v>
      </c>
      <c r="G951" s="2" t="s">
        <v>36</v>
      </c>
      <c r="I951" s="95" t="s">
        <v>7231</v>
      </c>
      <c r="J951" t="s">
        <v>86</v>
      </c>
      <c r="K951" t="s">
        <v>87</v>
      </c>
      <c r="M951">
        <v>63.21</v>
      </c>
      <c r="N951" s="4">
        <f t="shared" si="14"/>
        <v>-144.64167062173706</v>
      </c>
      <c r="O951" t="s">
        <v>83</v>
      </c>
    </row>
    <row r="952" spans="1:17" x14ac:dyDescent="0.25">
      <c r="A952" s="38">
        <v>45709</v>
      </c>
      <c r="B952" s="1">
        <v>218773591</v>
      </c>
      <c r="C952" t="s">
        <v>926</v>
      </c>
      <c r="D952" s="23">
        <v>-4478.6400000000003</v>
      </c>
      <c r="E952" t="s">
        <v>35</v>
      </c>
      <c r="F952" s="2">
        <v>210101001</v>
      </c>
      <c r="G952" s="2" t="s">
        <v>36</v>
      </c>
      <c r="I952" s="95" t="s">
        <v>7231</v>
      </c>
      <c r="J952" t="s">
        <v>86</v>
      </c>
      <c r="K952" t="s">
        <v>87</v>
      </c>
      <c r="M952">
        <v>63.21</v>
      </c>
      <c r="N952" s="4">
        <f t="shared" si="14"/>
        <v>-70.853345989558619</v>
      </c>
      <c r="O952" t="s">
        <v>83</v>
      </c>
    </row>
    <row r="953" spans="1:17" x14ac:dyDescent="0.25">
      <c r="A953" s="38">
        <v>45709</v>
      </c>
      <c r="B953" s="1">
        <v>118773588</v>
      </c>
      <c r="C953" t="s">
        <v>796</v>
      </c>
      <c r="D953" s="23">
        <v>-200000</v>
      </c>
      <c r="E953" t="s">
        <v>35</v>
      </c>
      <c r="F953" s="2">
        <v>210101001</v>
      </c>
      <c r="G953" s="2" t="s">
        <v>36</v>
      </c>
      <c r="I953" s="95" t="s">
        <v>7231</v>
      </c>
      <c r="J953" t="s">
        <v>37</v>
      </c>
      <c r="K953" t="s">
        <v>38</v>
      </c>
      <c r="M953">
        <v>63.21</v>
      </c>
      <c r="N953" s="4">
        <f t="shared" si="14"/>
        <v>-3164.0563202024996</v>
      </c>
      <c r="O953" t="s">
        <v>83</v>
      </c>
    </row>
    <row r="954" spans="1:17" x14ac:dyDescent="0.25">
      <c r="A954" s="38">
        <v>45709</v>
      </c>
      <c r="B954" s="1">
        <v>218773592</v>
      </c>
      <c r="C954" t="s">
        <v>927</v>
      </c>
      <c r="D954" s="23">
        <v>-950.01</v>
      </c>
      <c r="E954" t="s">
        <v>35</v>
      </c>
      <c r="F954" s="2">
        <v>210101001</v>
      </c>
      <c r="G954" s="2" t="s">
        <v>36</v>
      </c>
      <c r="I954" s="95" t="s">
        <v>7231</v>
      </c>
      <c r="J954" t="s">
        <v>928</v>
      </c>
      <c r="K954" t="s">
        <v>929</v>
      </c>
      <c r="M954">
        <v>63.21</v>
      </c>
      <c r="N954" s="4">
        <f t="shared" si="14"/>
        <v>-15.029425723777884</v>
      </c>
      <c r="O954" t="s">
        <v>83</v>
      </c>
    </row>
    <row r="955" spans="1:17" x14ac:dyDescent="0.25">
      <c r="A955" s="38">
        <v>45709</v>
      </c>
      <c r="B955" s="1">
        <v>218773593</v>
      </c>
      <c r="C955" t="s">
        <v>930</v>
      </c>
      <c r="D955" s="23">
        <v>-4332</v>
      </c>
      <c r="E955" t="s">
        <v>35</v>
      </c>
      <c r="F955" s="2">
        <v>210101001</v>
      </c>
      <c r="G955" s="2" t="s">
        <v>36</v>
      </c>
      <c r="I955" s="95" t="s">
        <v>7231</v>
      </c>
      <c r="J955" t="s">
        <v>376</v>
      </c>
      <c r="K955" t="s">
        <v>377</v>
      </c>
      <c r="M955">
        <v>63.21</v>
      </c>
      <c r="N955" s="4">
        <f t="shared" si="14"/>
        <v>-68.533459895586134</v>
      </c>
      <c r="O955" t="s">
        <v>83</v>
      </c>
    </row>
    <row r="956" spans="1:17" x14ac:dyDescent="0.25">
      <c r="A956" s="38">
        <v>45709</v>
      </c>
      <c r="B956" s="1">
        <v>50269813</v>
      </c>
      <c r="C956" t="s">
        <v>89</v>
      </c>
      <c r="D956" s="23">
        <v>-1872.3</v>
      </c>
      <c r="E956" t="s">
        <v>35</v>
      </c>
      <c r="F956" s="2">
        <v>610148001</v>
      </c>
      <c r="G956" s="2" t="s">
        <v>41</v>
      </c>
      <c r="I956" s="95" t="s">
        <v>7231</v>
      </c>
      <c r="J956" t="s">
        <v>42</v>
      </c>
      <c r="K956" t="s">
        <v>41</v>
      </c>
      <c r="M956">
        <v>63.21</v>
      </c>
      <c r="N956" s="4">
        <f t="shared" si="14"/>
        <v>-29.620313241575698</v>
      </c>
      <c r="O956" t="s">
        <v>83</v>
      </c>
      <c r="Q956" s="24" t="s">
        <v>677</v>
      </c>
    </row>
    <row r="957" spans="1:17" x14ac:dyDescent="0.25">
      <c r="A957" s="38">
        <v>45709</v>
      </c>
      <c r="B957" s="1">
        <v>18776185</v>
      </c>
      <c r="C957" t="s">
        <v>898</v>
      </c>
      <c r="D957" s="31">
        <v>-1400</v>
      </c>
      <c r="E957" t="s">
        <v>35</v>
      </c>
      <c r="I957" s="95" t="s">
        <v>7231</v>
      </c>
      <c r="J957" t="s">
        <v>899</v>
      </c>
      <c r="K957" t="s">
        <v>900</v>
      </c>
      <c r="L957" s="28" t="s">
        <v>56</v>
      </c>
      <c r="M957">
        <v>63.21</v>
      </c>
      <c r="N957" s="4">
        <f t="shared" si="14"/>
        <v>-22.148394241417495</v>
      </c>
      <c r="O957" t="s">
        <v>83</v>
      </c>
      <c r="P957" s="3" t="s">
        <v>901</v>
      </c>
      <c r="Q957" s="24" t="s">
        <v>931</v>
      </c>
    </row>
    <row r="958" spans="1:17" x14ac:dyDescent="0.25">
      <c r="A958" s="38">
        <v>45709</v>
      </c>
      <c r="B958" s="1">
        <v>18776185</v>
      </c>
      <c r="C958" t="s">
        <v>185</v>
      </c>
      <c r="D958" s="23">
        <v>-4.2</v>
      </c>
      <c r="E958" t="s">
        <v>35</v>
      </c>
      <c r="F958" s="2">
        <v>610148001</v>
      </c>
      <c r="G958" s="2" t="s">
        <v>41</v>
      </c>
      <c r="I958" s="95" t="s">
        <v>7231</v>
      </c>
      <c r="J958" t="s">
        <v>42</v>
      </c>
      <c r="K958" t="s">
        <v>41</v>
      </c>
      <c r="M958">
        <v>63.21</v>
      </c>
      <c r="N958" s="4">
        <f t="shared" si="14"/>
        <v>-6.6445182724252497E-2</v>
      </c>
      <c r="O958" t="s">
        <v>83</v>
      </c>
      <c r="Q958" s="24" t="s">
        <v>677</v>
      </c>
    </row>
    <row r="959" spans="1:17" x14ac:dyDescent="0.25">
      <c r="A959" s="38">
        <v>45709</v>
      </c>
      <c r="B959" s="1">
        <v>140043049</v>
      </c>
      <c r="C959" t="s">
        <v>82</v>
      </c>
      <c r="D959" s="23">
        <v>426000</v>
      </c>
      <c r="E959" t="s">
        <v>45</v>
      </c>
      <c r="F959" s="2">
        <v>210115002</v>
      </c>
      <c r="G959" s="2" t="s">
        <v>46</v>
      </c>
      <c r="I959" s="95" t="s">
        <v>7231</v>
      </c>
      <c r="K959" t="s">
        <v>82</v>
      </c>
      <c r="M959">
        <v>63.21</v>
      </c>
      <c r="N959" s="4">
        <f t="shared" si="14"/>
        <v>6739.4399620313243</v>
      </c>
      <c r="O959" t="s">
        <v>83</v>
      </c>
    </row>
    <row r="960" spans="1:17" x14ac:dyDescent="0.25">
      <c r="A960" s="38">
        <v>45709</v>
      </c>
      <c r="B960" s="1">
        <v>718784082</v>
      </c>
      <c r="C960" t="s">
        <v>932</v>
      </c>
      <c r="D960" s="23">
        <v>-3792.6</v>
      </c>
      <c r="E960" t="s">
        <v>35</v>
      </c>
      <c r="F960" s="2">
        <v>212901001</v>
      </c>
      <c r="G960" s="2" t="s">
        <v>91</v>
      </c>
      <c r="I960" s="95" t="s">
        <v>7231</v>
      </c>
      <c r="J960" t="s">
        <v>61</v>
      </c>
      <c r="K960" t="s">
        <v>62</v>
      </c>
      <c r="M960">
        <v>63.21</v>
      </c>
      <c r="N960" s="4">
        <f t="shared" si="14"/>
        <v>-60</v>
      </c>
      <c r="O960" t="s">
        <v>83</v>
      </c>
    </row>
    <row r="961" spans="1:15" x14ac:dyDescent="0.25">
      <c r="A961" s="38">
        <v>45709</v>
      </c>
      <c r="B961" s="1">
        <v>718784079</v>
      </c>
      <c r="C961" t="s">
        <v>933</v>
      </c>
      <c r="D961" s="23">
        <v>-3792.6</v>
      </c>
      <c r="E961" t="s">
        <v>35</v>
      </c>
      <c r="F961" s="2">
        <v>212901001</v>
      </c>
      <c r="G961" s="2" t="s">
        <v>91</v>
      </c>
      <c r="I961" s="95" t="s">
        <v>7231</v>
      </c>
      <c r="J961" t="s">
        <v>61</v>
      </c>
      <c r="K961" t="s">
        <v>62</v>
      </c>
      <c r="M961">
        <v>63.21</v>
      </c>
      <c r="N961" s="4">
        <f t="shared" si="14"/>
        <v>-60</v>
      </c>
      <c r="O961" t="s">
        <v>83</v>
      </c>
    </row>
    <row r="962" spans="1:15" x14ac:dyDescent="0.25">
      <c r="A962" s="38">
        <v>45709</v>
      </c>
      <c r="B962" s="1">
        <v>718784075</v>
      </c>
      <c r="C962" t="s">
        <v>934</v>
      </c>
      <c r="D962" s="23">
        <v>-3792.6</v>
      </c>
      <c r="E962" t="s">
        <v>35</v>
      </c>
      <c r="F962" s="2">
        <v>212901001</v>
      </c>
      <c r="G962" s="2" t="s">
        <v>91</v>
      </c>
      <c r="I962" s="95" t="s">
        <v>7231</v>
      </c>
      <c r="J962" t="s">
        <v>61</v>
      </c>
      <c r="K962" t="s">
        <v>62</v>
      </c>
      <c r="M962">
        <v>63.21</v>
      </c>
      <c r="N962" s="4">
        <f t="shared" si="14"/>
        <v>-60</v>
      </c>
      <c r="O962" t="s">
        <v>83</v>
      </c>
    </row>
    <row r="963" spans="1:15" x14ac:dyDescent="0.25">
      <c r="A963" s="38">
        <v>45709</v>
      </c>
      <c r="B963" s="1">
        <v>718784081</v>
      </c>
      <c r="C963" t="s">
        <v>935</v>
      </c>
      <c r="D963" s="23">
        <v>-3792.6</v>
      </c>
      <c r="E963" t="s">
        <v>35</v>
      </c>
      <c r="F963" s="2">
        <v>212901001</v>
      </c>
      <c r="G963" s="2" t="s">
        <v>91</v>
      </c>
      <c r="I963" s="95" t="s">
        <v>7231</v>
      </c>
      <c r="J963" t="s">
        <v>61</v>
      </c>
      <c r="K963" t="s">
        <v>62</v>
      </c>
      <c r="M963">
        <v>63.21</v>
      </c>
      <c r="N963" s="4">
        <f t="shared" si="14"/>
        <v>-60</v>
      </c>
      <c r="O963" t="s">
        <v>83</v>
      </c>
    </row>
    <row r="964" spans="1:15" x14ac:dyDescent="0.25">
      <c r="A964" s="38">
        <v>45709</v>
      </c>
      <c r="B964" s="1">
        <v>718784072</v>
      </c>
      <c r="C964" t="s">
        <v>936</v>
      </c>
      <c r="D964" s="23">
        <v>-3792.6</v>
      </c>
      <c r="E964" t="s">
        <v>35</v>
      </c>
      <c r="F964" s="2">
        <v>212901001</v>
      </c>
      <c r="G964" s="2" t="s">
        <v>91</v>
      </c>
      <c r="I964" s="95" t="s">
        <v>7231</v>
      </c>
      <c r="J964" t="s">
        <v>61</v>
      </c>
      <c r="K964" t="s">
        <v>62</v>
      </c>
      <c r="M964">
        <v>63.21</v>
      </c>
      <c r="N964" s="4">
        <f t="shared" si="14"/>
        <v>-60</v>
      </c>
      <c r="O964" t="s">
        <v>83</v>
      </c>
    </row>
    <row r="965" spans="1:15" x14ac:dyDescent="0.25">
      <c r="A965" s="38">
        <v>45709</v>
      </c>
      <c r="B965" s="1">
        <v>818784089</v>
      </c>
      <c r="C965" t="s">
        <v>937</v>
      </c>
      <c r="D965" s="23">
        <v>-3792.6</v>
      </c>
      <c r="E965" t="s">
        <v>35</v>
      </c>
      <c r="F965" s="2">
        <v>212901001</v>
      </c>
      <c r="G965" s="2" t="s">
        <v>91</v>
      </c>
      <c r="I965" s="95" t="s">
        <v>7231</v>
      </c>
      <c r="J965" t="s">
        <v>61</v>
      </c>
      <c r="K965" t="s">
        <v>62</v>
      </c>
      <c r="M965">
        <v>63.21</v>
      </c>
      <c r="N965" s="4">
        <f t="shared" si="14"/>
        <v>-60</v>
      </c>
      <c r="O965" t="s">
        <v>83</v>
      </c>
    </row>
    <row r="966" spans="1:15" x14ac:dyDescent="0.25">
      <c r="A966" s="38">
        <v>45709</v>
      </c>
      <c r="B966" s="1">
        <v>718784071</v>
      </c>
      <c r="C966" t="s">
        <v>938</v>
      </c>
      <c r="D966" s="23">
        <v>-3792.6</v>
      </c>
      <c r="E966" t="s">
        <v>35</v>
      </c>
      <c r="F966" s="2">
        <v>212901001</v>
      </c>
      <c r="G966" s="2" t="s">
        <v>91</v>
      </c>
      <c r="I966" s="95" t="s">
        <v>7231</v>
      </c>
      <c r="J966" t="s">
        <v>61</v>
      </c>
      <c r="K966" t="s">
        <v>62</v>
      </c>
      <c r="M966">
        <v>63.21</v>
      </c>
      <c r="N966" s="4">
        <f t="shared" si="14"/>
        <v>-60</v>
      </c>
      <c r="O966" t="s">
        <v>83</v>
      </c>
    </row>
    <row r="967" spans="1:15" x14ac:dyDescent="0.25">
      <c r="A967" s="38">
        <v>45709</v>
      </c>
      <c r="B967" s="1">
        <v>718784076</v>
      </c>
      <c r="C967" t="s">
        <v>939</v>
      </c>
      <c r="D967" s="23">
        <v>-3792.6</v>
      </c>
      <c r="E967" t="s">
        <v>35</v>
      </c>
      <c r="F967" s="2">
        <v>212901001</v>
      </c>
      <c r="G967" s="2" t="s">
        <v>91</v>
      </c>
      <c r="I967" s="95" t="s">
        <v>7231</v>
      </c>
      <c r="J967" t="s">
        <v>61</v>
      </c>
      <c r="K967" t="s">
        <v>62</v>
      </c>
      <c r="M967">
        <v>63.21</v>
      </c>
      <c r="N967" s="4">
        <f t="shared" si="14"/>
        <v>-60</v>
      </c>
      <c r="O967" t="s">
        <v>83</v>
      </c>
    </row>
    <row r="968" spans="1:15" x14ac:dyDescent="0.25">
      <c r="A968" s="38">
        <v>45709</v>
      </c>
      <c r="B968" s="1">
        <v>818784086</v>
      </c>
      <c r="C968" t="s">
        <v>940</v>
      </c>
      <c r="D968" s="23">
        <v>-3792.6</v>
      </c>
      <c r="E968" t="s">
        <v>35</v>
      </c>
      <c r="F968" s="2">
        <v>212901001</v>
      </c>
      <c r="G968" s="2" t="s">
        <v>91</v>
      </c>
      <c r="I968" s="95" t="s">
        <v>7231</v>
      </c>
      <c r="J968" t="s">
        <v>61</v>
      </c>
      <c r="K968" t="s">
        <v>62</v>
      </c>
      <c r="M968">
        <v>63.21</v>
      </c>
      <c r="N968" s="4">
        <f t="shared" si="14"/>
        <v>-60</v>
      </c>
      <c r="O968" t="s">
        <v>83</v>
      </c>
    </row>
    <row r="969" spans="1:15" x14ac:dyDescent="0.25">
      <c r="A969" s="38">
        <v>45709</v>
      </c>
      <c r="B969" s="1">
        <v>718784074</v>
      </c>
      <c r="C969" t="s">
        <v>941</v>
      </c>
      <c r="D969" s="23">
        <v>-3792.6</v>
      </c>
      <c r="E969" t="s">
        <v>35</v>
      </c>
      <c r="F969" s="2">
        <v>212901001</v>
      </c>
      <c r="G969" s="2" t="s">
        <v>91</v>
      </c>
      <c r="I969" s="95" t="s">
        <v>7231</v>
      </c>
      <c r="J969" t="s">
        <v>61</v>
      </c>
      <c r="K969" t="s">
        <v>62</v>
      </c>
      <c r="M969">
        <v>63.21</v>
      </c>
      <c r="N969" s="4">
        <f t="shared" si="14"/>
        <v>-60</v>
      </c>
      <c r="O969" t="s">
        <v>83</v>
      </c>
    </row>
    <row r="970" spans="1:15" x14ac:dyDescent="0.25">
      <c r="A970" s="38">
        <v>45709</v>
      </c>
      <c r="B970" s="1">
        <v>918784103</v>
      </c>
      <c r="C970" t="s">
        <v>942</v>
      </c>
      <c r="D970" s="23">
        <v>-3160.5</v>
      </c>
      <c r="E970" t="s">
        <v>35</v>
      </c>
      <c r="F970" s="2">
        <v>212901001</v>
      </c>
      <c r="G970" s="2" t="s">
        <v>91</v>
      </c>
      <c r="I970" s="95" t="s">
        <v>7231</v>
      </c>
      <c r="J970" t="s">
        <v>61</v>
      </c>
      <c r="K970" t="s">
        <v>62</v>
      </c>
      <c r="M970">
        <v>63.21</v>
      </c>
      <c r="N970" s="4">
        <f t="shared" si="14"/>
        <v>-50</v>
      </c>
      <c r="O970" t="s">
        <v>83</v>
      </c>
    </row>
    <row r="971" spans="1:15" x14ac:dyDescent="0.25">
      <c r="A971" s="38">
        <v>45709</v>
      </c>
      <c r="B971" s="1">
        <v>918784097</v>
      </c>
      <c r="C971" t="s">
        <v>943</v>
      </c>
      <c r="D971" s="23">
        <v>-5056.8</v>
      </c>
      <c r="E971" t="s">
        <v>35</v>
      </c>
      <c r="F971" s="2">
        <v>212901001</v>
      </c>
      <c r="G971" s="2" t="s">
        <v>91</v>
      </c>
      <c r="I971" s="95" t="s">
        <v>7231</v>
      </c>
      <c r="J971" t="s">
        <v>61</v>
      </c>
      <c r="K971" t="s">
        <v>62</v>
      </c>
      <c r="M971">
        <v>63.21</v>
      </c>
      <c r="N971" s="4">
        <f t="shared" si="14"/>
        <v>-80</v>
      </c>
      <c r="O971" t="s">
        <v>83</v>
      </c>
    </row>
    <row r="972" spans="1:15" x14ac:dyDescent="0.25">
      <c r="A972" s="38">
        <v>45709</v>
      </c>
      <c r="B972" s="1">
        <v>818784093</v>
      </c>
      <c r="C972" t="s">
        <v>944</v>
      </c>
      <c r="D972" s="23">
        <v>-5056.8</v>
      </c>
      <c r="E972" t="s">
        <v>35</v>
      </c>
      <c r="F972" s="2">
        <v>212901001</v>
      </c>
      <c r="G972" s="2" t="s">
        <v>91</v>
      </c>
      <c r="I972" s="95" t="s">
        <v>7231</v>
      </c>
      <c r="J972" t="s">
        <v>61</v>
      </c>
      <c r="K972" t="s">
        <v>62</v>
      </c>
      <c r="M972">
        <v>63.21</v>
      </c>
      <c r="N972" s="4">
        <f t="shared" ref="N972:N1035" si="15">D972/M972</f>
        <v>-80</v>
      </c>
      <c r="O972" t="s">
        <v>83</v>
      </c>
    </row>
    <row r="973" spans="1:15" x14ac:dyDescent="0.25">
      <c r="A973" s="38">
        <v>45709</v>
      </c>
      <c r="B973" s="1">
        <v>818784091</v>
      </c>
      <c r="C973" t="s">
        <v>945</v>
      </c>
      <c r="D973" s="23">
        <v>-9481.5</v>
      </c>
      <c r="E973" t="s">
        <v>35</v>
      </c>
      <c r="F973" s="2">
        <v>212901001</v>
      </c>
      <c r="G973" s="2" t="s">
        <v>91</v>
      </c>
      <c r="I973" s="95" t="s">
        <v>7231</v>
      </c>
      <c r="J973" t="s">
        <v>61</v>
      </c>
      <c r="K973" t="s">
        <v>62</v>
      </c>
      <c r="M973">
        <v>63.21</v>
      </c>
      <c r="N973" s="4">
        <f t="shared" si="15"/>
        <v>-150</v>
      </c>
      <c r="O973" t="s">
        <v>83</v>
      </c>
    </row>
    <row r="974" spans="1:15" x14ac:dyDescent="0.25">
      <c r="A974" s="38">
        <v>45709</v>
      </c>
      <c r="B974" s="1">
        <v>218784133</v>
      </c>
      <c r="C974" t="s">
        <v>946</v>
      </c>
      <c r="D974" s="23">
        <v>-3160.5</v>
      </c>
      <c r="E974" t="s">
        <v>35</v>
      </c>
      <c r="F974" s="2">
        <v>212901001</v>
      </c>
      <c r="G974" s="2" t="s">
        <v>91</v>
      </c>
      <c r="I974" s="95" t="s">
        <v>7231</v>
      </c>
      <c r="J974" t="s">
        <v>61</v>
      </c>
      <c r="K974" t="s">
        <v>62</v>
      </c>
      <c r="M974">
        <v>63.21</v>
      </c>
      <c r="N974" s="4">
        <f t="shared" si="15"/>
        <v>-50</v>
      </c>
      <c r="O974" t="s">
        <v>83</v>
      </c>
    </row>
    <row r="975" spans="1:15" x14ac:dyDescent="0.25">
      <c r="A975" s="38">
        <v>45709</v>
      </c>
      <c r="B975" s="1">
        <v>918784100</v>
      </c>
      <c r="C975" t="s">
        <v>947</v>
      </c>
      <c r="D975" s="23">
        <v>-3160.5</v>
      </c>
      <c r="E975" t="s">
        <v>35</v>
      </c>
      <c r="F975" s="2">
        <v>212901001</v>
      </c>
      <c r="G975" s="2" t="s">
        <v>91</v>
      </c>
      <c r="I975" s="95" t="s">
        <v>7231</v>
      </c>
      <c r="J975" t="s">
        <v>61</v>
      </c>
      <c r="K975" t="s">
        <v>62</v>
      </c>
      <c r="M975">
        <v>63.21</v>
      </c>
      <c r="N975" s="4">
        <f t="shared" si="15"/>
        <v>-50</v>
      </c>
      <c r="O975" t="s">
        <v>83</v>
      </c>
    </row>
    <row r="976" spans="1:15" x14ac:dyDescent="0.25">
      <c r="A976" s="38">
        <v>45709</v>
      </c>
      <c r="B976" s="1">
        <v>218784134</v>
      </c>
      <c r="C976" t="s">
        <v>948</v>
      </c>
      <c r="D976" s="23">
        <v>-3666.18</v>
      </c>
      <c r="E976" t="s">
        <v>35</v>
      </c>
      <c r="F976" s="2">
        <v>212901001</v>
      </c>
      <c r="G976" s="2" t="s">
        <v>91</v>
      </c>
      <c r="I976" s="95" t="s">
        <v>7231</v>
      </c>
      <c r="J976" t="s">
        <v>61</v>
      </c>
      <c r="K976" t="s">
        <v>62</v>
      </c>
      <c r="M976">
        <v>63.21</v>
      </c>
      <c r="N976" s="4">
        <f t="shared" si="15"/>
        <v>-58</v>
      </c>
      <c r="O976" t="s">
        <v>83</v>
      </c>
    </row>
    <row r="977" spans="1:15" x14ac:dyDescent="0.25">
      <c r="A977" s="38">
        <v>45709</v>
      </c>
      <c r="B977" s="1">
        <v>18784106</v>
      </c>
      <c r="C977" t="s">
        <v>949</v>
      </c>
      <c r="D977" s="23">
        <v>-2528.4</v>
      </c>
      <c r="E977" t="s">
        <v>35</v>
      </c>
      <c r="F977" s="2">
        <v>212901001</v>
      </c>
      <c r="G977" s="2" t="s">
        <v>91</v>
      </c>
      <c r="I977" s="95" t="s">
        <v>7231</v>
      </c>
      <c r="J977" t="s">
        <v>61</v>
      </c>
      <c r="K977" t="s">
        <v>62</v>
      </c>
      <c r="M977">
        <v>63.21</v>
      </c>
      <c r="N977" s="4">
        <f t="shared" si="15"/>
        <v>-40</v>
      </c>
      <c r="O977" t="s">
        <v>83</v>
      </c>
    </row>
    <row r="978" spans="1:15" x14ac:dyDescent="0.25">
      <c r="A978" s="38">
        <v>45709</v>
      </c>
      <c r="B978" s="1">
        <v>18784116</v>
      </c>
      <c r="C978" t="s">
        <v>950</v>
      </c>
      <c r="D978" s="23">
        <v>-9481.5</v>
      </c>
      <c r="E978" t="s">
        <v>35</v>
      </c>
      <c r="F978" s="2">
        <v>212901001</v>
      </c>
      <c r="G978" s="2" t="s">
        <v>91</v>
      </c>
      <c r="I978" s="95" t="s">
        <v>7231</v>
      </c>
      <c r="J978" t="s">
        <v>61</v>
      </c>
      <c r="K978" t="s">
        <v>62</v>
      </c>
      <c r="M978">
        <v>63.21</v>
      </c>
      <c r="N978" s="4">
        <f t="shared" si="15"/>
        <v>-150</v>
      </c>
      <c r="O978" t="s">
        <v>83</v>
      </c>
    </row>
    <row r="979" spans="1:15" x14ac:dyDescent="0.25">
      <c r="A979" s="38">
        <v>45709</v>
      </c>
      <c r="B979" s="1">
        <v>818784085</v>
      </c>
      <c r="C979" t="s">
        <v>951</v>
      </c>
      <c r="D979" s="23">
        <v>-3792.6</v>
      </c>
      <c r="E979" t="s">
        <v>35</v>
      </c>
      <c r="F979" s="2">
        <v>212901001</v>
      </c>
      <c r="G979" s="2" t="s">
        <v>91</v>
      </c>
      <c r="I979" s="95" t="s">
        <v>7231</v>
      </c>
      <c r="J979" t="s">
        <v>61</v>
      </c>
      <c r="K979" t="s">
        <v>62</v>
      </c>
      <c r="M979">
        <v>63.21</v>
      </c>
      <c r="N979" s="4">
        <f t="shared" si="15"/>
        <v>-60</v>
      </c>
      <c r="O979" t="s">
        <v>83</v>
      </c>
    </row>
    <row r="980" spans="1:15" x14ac:dyDescent="0.25">
      <c r="A980" s="38">
        <v>45709</v>
      </c>
      <c r="B980" s="1">
        <v>118784119</v>
      </c>
      <c r="C980" t="s">
        <v>952</v>
      </c>
      <c r="D980" s="23">
        <v>-5056.8</v>
      </c>
      <c r="E980" t="s">
        <v>35</v>
      </c>
      <c r="F980" s="2">
        <v>212901001</v>
      </c>
      <c r="G980" s="2" t="s">
        <v>91</v>
      </c>
      <c r="I980" s="95" t="s">
        <v>7231</v>
      </c>
      <c r="J980" t="s">
        <v>61</v>
      </c>
      <c r="K980" t="s">
        <v>62</v>
      </c>
      <c r="M980">
        <v>63.21</v>
      </c>
      <c r="N980" s="4">
        <f t="shared" si="15"/>
        <v>-80</v>
      </c>
      <c r="O980" t="s">
        <v>83</v>
      </c>
    </row>
    <row r="981" spans="1:15" x14ac:dyDescent="0.25">
      <c r="A981" s="38">
        <v>45709</v>
      </c>
      <c r="B981" s="1">
        <v>918784096</v>
      </c>
      <c r="C981" t="s">
        <v>953</v>
      </c>
      <c r="D981" s="23">
        <v>-5056.8</v>
      </c>
      <c r="E981" t="s">
        <v>35</v>
      </c>
      <c r="F981" s="2">
        <v>212901001</v>
      </c>
      <c r="G981" s="2" t="s">
        <v>91</v>
      </c>
      <c r="I981" s="95" t="s">
        <v>7231</v>
      </c>
      <c r="J981" t="s">
        <v>61</v>
      </c>
      <c r="K981" t="s">
        <v>62</v>
      </c>
      <c r="M981">
        <v>63.21</v>
      </c>
      <c r="N981" s="4">
        <f t="shared" si="15"/>
        <v>-80</v>
      </c>
      <c r="O981" t="s">
        <v>83</v>
      </c>
    </row>
    <row r="982" spans="1:15" x14ac:dyDescent="0.25">
      <c r="A982" s="38">
        <v>45709</v>
      </c>
      <c r="B982" s="1">
        <v>718784080</v>
      </c>
      <c r="C982" t="s">
        <v>954</v>
      </c>
      <c r="D982" s="23">
        <v>-3792.6</v>
      </c>
      <c r="E982" t="s">
        <v>35</v>
      </c>
      <c r="F982" s="2">
        <v>212901001</v>
      </c>
      <c r="G982" s="2" t="s">
        <v>91</v>
      </c>
      <c r="I982" s="95" t="s">
        <v>7231</v>
      </c>
      <c r="J982" t="s">
        <v>61</v>
      </c>
      <c r="K982" t="s">
        <v>62</v>
      </c>
      <c r="M982">
        <v>63.21</v>
      </c>
      <c r="N982" s="4">
        <f t="shared" si="15"/>
        <v>-60</v>
      </c>
      <c r="O982" t="s">
        <v>83</v>
      </c>
    </row>
    <row r="983" spans="1:15" x14ac:dyDescent="0.25">
      <c r="A983" s="38">
        <v>45709</v>
      </c>
      <c r="B983" s="1">
        <v>18784110</v>
      </c>
      <c r="C983" t="s">
        <v>955</v>
      </c>
      <c r="D983" s="23">
        <v>-2528.4</v>
      </c>
      <c r="E983" t="s">
        <v>35</v>
      </c>
      <c r="F983" s="2">
        <v>212901001</v>
      </c>
      <c r="G983" s="2" t="s">
        <v>91</v>
      </c>
      <c r="I983" s="95" t="s">
        <v>7231</v>
      </c>
      <c r="J983" t="s">
        <v>61</v>
      </c>
      <c r="K983" t="s">
        <v>62</v>
      </c>
      <c r="M983">
        <v>63.21</v>
      </c>
      <c r="N983" s="4">
        <f t="shared" si="15"/>
        <v>-40</v>
      </c>
      <c r="O983" t="s">
        <v>83</v>
      </c>
    </row>
    <row r="984" spans="1:15" x14ac:dyDescent="0.25">
      <c r="A984" s="38">
        <v>45709</v>
      </c>
      <c r="B984" s="1">
        <v>118784117</v>
      </c>
      <c r="C984" t="s">
        <v>956</v>
      </c>
      <c r="D984" s="23">
        <v>-1896.3</v>
      </c>
      <c r="E984" t="s">
        <v>35</v>
      </c>
      <c r="F984" s="2">
        <v>212901001</v>
      </c>
      <c r="G984" s="2" t="s">
        <v>91</v>
      </c>
      <c r="I984" s="95" t="s">
        <v>7231</v>
      </c>
      <c r="J984" t="s">
        <v>61</v>
      </c>
      <c r="K984" t="s">
        <v>62</v>
      </c>
      <c r="M984">
        <v>63.21</v>
      </c>
      <c r="N984" s="4">
        <f t="shared" si="15"/>
        <v>-30</v>
      </c>
      <c r="O984" t="s">
        <v>83</v>
      </c>
    </row>
    <row r="985" spans="1:15" x14ac:dyDescent="0.25">
      <c r="A985" s="38">
        <v>45709</v>
      </c>
      <c r="B985" s="1">
        <v>118784118</v>
      </c>
      <c r="C985" t="s">
        <v>957</v>
      </c>
      <c r="D985" s="23">
        <v>-6953.1</v>
      </c>
      <c r="E985" t="s">
        <v>35</v>
      </c>
      <c r="F985" s="2">
        <v>212901001</v>
      </c>
      <c r="G985" s="2" t="s">
        <v>91</v>
      </c>
      <c r="I985" s="95" t="s">
        <v>7231</v>
      </c>
      <c r="J985" t="s">
        <v>61</v>
      </c>
      <c r="K985" t="s">
        <v>62</v>
      </c>
      <c r="M985">
        <v>63.21</v>
      </c>
      <c r="N985" s="4">
        <f t="shared" si="15"/>
        <v>-110</v>
      </c>
      <c r="O985" t="s">
        <v>83</v>
      </c>
    </row>
    <row r="986" spans="1:15" x14ac:dyDescent="0.25">
      <c r="A986" s="38">
        <v>45709</v>
      </c>
      <c r="B986" s="1">
        <v>318784138</v>
      </c>
      <c r="C986" t="s">
        <v>958</v>
      </c>
      <c r="D986" s="23">
        <v>-2654.82</v>
      </c>
      <c r="E986" t="s">
        <v>35</v>
      </c>
      <c r="F986" s="2">
        <v>212901001</v>
      </c>
      <c r="G986" s="2" t="s">
        <v>91</v>
      </c>
      <c r="I986" s="95" t="s">
        <v>7231</v>
      </c>
      <c r="J986" t="s">
        <v>61</v>
      </c>
      <c r="K986" t="s">
        <v>62</v>
      </c>
      <c r="M986">
        <v>63.21</v>
      </c>
      <c r="N986" s="4">
        <f t="shared" si="15"/>
        <v>-42</v>
      </c>
      <c r="O986" t="s">
        <v>83</v>
      </c>
    </row>
    <row r="987" spans="1:15" x14ac:dyDescent="0.25">
      <c r="A987" s="38">
        <v>45709</v>
      </c>
      <c r="B987" s="1">
        <v>218784129</v>
      </c>
      <c r="C987" t="s">
        <v>959</v>
      </c>
      <c r="D987" s="23">
        <v>-3160.5</v>
      </c>
      <c r="E987" t="s">
        <v>35</v>
      </c>
      <c r="F987" s="2">
        <v>212901001</v>
      </c>
      <c r="G987" s="2" t="s">
        <v>91</v>
      </c>
      <c r="I987" s="95" t="s">
        <v>7231</v>
      </c>
      <c r="J987" t="s">
        <v>61</v>
      </c>
      <c r="K987" t="s">
        <v>62</v>
      </c>
      <c r="M987">
        <v>63.21</v>
      </c>
      <c r="N987" s="4">
        <f t="shared" si="15"/>
        <v>-50</v>
      </c>
      <c r="O987" t="s">
        <v>83</v>
      </c>
    </row>
    <row r="988" spans="1:15" x14ac:dyDescent="0.25">
      <c r="A988" s="38">
        <v>45709</v>
      </c>
      <c r="B988" s="1">
        <v>318784137</v>
      </c>
      <c r="C988" t="s">
        <v>960</v>
      </c>
      <c r="D988" s="23">
        <v>-3160.5</v>
      </c>
      <c r="E988" t="s">
        <v>35</v>
      </c>
      <c r="F988" s="2">
        <v>212901001</v>
      </c>
      <c r="G988" s="2" t="s">
        <v>91</v>
      </c>
      <c r="I988" s="95" t="s">
        <v>7231</v>
      </c>
      <c r="J988" t="s">
        <v>61</v>
      </c>
      <c r="K988" t="s">
        <v>62</v>
      </c>
      <c r="M988">
        <v>63.21</v>
      </c>
      <c r="N988" s="4">
        <f t="shared" si="15"/>
        <v>-50</v>
      </c>
      <c r="O988" t="s">
        <v>83</v>
      </c>
    </row>
    <row r="989" spans="1:15" x14ac:dyDescent="0.25">
      <c r="A989" s="38">
        <v>45709</v>
      </c>
      <c r="B989" s="1">
        <v>918784101</v>
      </c>
      <c r="C989" t="s">
        <v>961</v>
      </c>
      <c r="D989" s="23">
        <v>-3160.5</v>
      </c>
      <c r="E989" t="s">
        <v>35</v>
      </c>
      <c r="F989" s="2">
        <v>212901001</v>
      </c>
      <c r="G989" s="2" t="s">
        <v>91</v>
      </c>
      <c r="I989" s="95" t="s">
        <v>7231</v>
      </c>
      <c r="J989" t="s">
        <v>61</v>
      </c>
      <c r="K989" t="s">
        <v>62</v>
      </c>
      <c r="M989">
        <v>63.21</v>
      </c>
      <c r="N989" s="4">
        <f t="shared" si="15"/>
        <v>-50</v>
      </c>
      <c r="O989" t="s">
        <v>83</v>
      </c>
    </row>
    <row r="990" spans="1:15" x14ac:dyDescent="0.25">
      <c r="A990" s="38">
        <v>45709</v>
      </c>
      <c r="B990" s="1">
        <v>918784104</v>
      </c>
      <c r="C990" t="s">
        <v>962</v>
      </c>
      <c r="D990" s="23">
        <v>-3160.5</v>
      </c>
      <c r="E990" t="s">
        <v>35</v>
      </c>
      <c r="F990" s="2">
        <v>212901001</v>
      </c>
      <c r="G990" s="2" t="s">
        <v>91</v>
      </c>
      <c r="I990" s="95" t="s">
        <v>7231</v>
      </c>
      <c r="J990" t="s">
        <v>61</v>
      </c>
      <c r="K990" t="s">
        <v>62</v>
      </c>
      <c r="M990">
        <v>63.21</v>
      </c>
      <c r="N990" s="4">
        <f t="shared" si="15"/>
        <v>-50</v>
      </c>
      <c r="O990" t="s">
        <v>83</v>
      </c>
    </row>
    <row r="991" spans="1:15" x14ac:dyDescent="0.25">
      <c r="A991" s="38">
        <v>45709</v>
      </c>
      <c r="B991" s="1">
        <v>118784120</v>
      </c>
      <c r="C991" t="s">
        <v>963</v>
      </c>
      <c r="D991" s="23">
        <v>-6321</v>
      </c>
      <c r="E991" t="s">
        <v>35</v>
      </c>
      <c r="F991" s="2">
        <v>212901001</v>
      </c>
      <c r="G991" s="2" t="s">
        <v>91</v>
      </c>
      <c r="I991" s="95" t="s">
        <v>7231</v>
      </c>
      <c r="J991" t="s">
        <v>61</v>
      </c>
      <c r="K991" t="s">
        <v>62</v>
      </c>
      <c r="M991">
        <v>63.21</v>
      </c>
      <c r="N991" s="4">
        <f t="shared" si="15"/>
        <v>-100</v>
      </c>
      <c r="O991" t="s">
        <v>83</v>
      </c>
    </row>
    <row r="992" spans="1:15" x14ac:dyDescent="0.25">
      <c r="A992" s="38">
        <v>45709</v>
      </c>
      <c r="B992" s="1">
        <v>218784131</v>
      </c>
      <c r="C992" t="s">
        <v>964</v>
      </c>
      <c r="D992" s="23">
        <v>-3160.5</v>
      </c>
      <c r="E992" t="s">
        <v>35</v>
      </c>
      <c r="F992" s="2">
        <v>212901001</v>
      </c>
      <c r="G992" s="2" t="s">
        <v>91</v>
      </c>
      <c r="I992" s="95" t="s">
        <v>7231</v>
      </c>
      <c r="J992" t="s">
        <v>61</v>
      </c>
      <c r="K992" t="s">
        <v>62</v>
      </c>
      <c r="M992">
        <v>63.21</v>
      </c>
      <c r="N992" s="4">
        <f t="shared" si="15"/>
        <v>-50</v>
      </c>
      <c r="O992" t="s">
        <v>83</v>
      </c>
    </row>
    <row r="993" spans="1:15" x14ac:dyDescent="0.25">
      <c r="A993" s="38">
        <v>45709</v>
      </c>
      <c r="B993" s="1">
        <v>18784112</v>
      </c>
      <c r="C993" t="s">
        <v>965</v>
      </c>
      <c r="D993" s="23">
        <v>-2528.4</v>
      </c>
      <c r="E993" t="s">
        <v>35</v>
      </c>
      <c r="F993" s="2">
        <v>212901001</v>
      </c>
      <c r="G993" s="2" t="s">
        <v>91</v>
      </c>
      <c r="I993" s="95" t="s">
        <v>7231</v>
      </c>
      <c r="J993" t="s">
        <v>61</v>
      </c>
      <c r="K993" t="s">
        <v>62</v>
      </c>
      <c r="M993">
        <v>63.21</v>
      </c>
      <c r="N993" s="4">
        <f t="shared" si="15"/>
        <v>-40</v>
      </c>
      <c r="O993" t="s">
        <v>83</v>
      </c>
    </row>
    <row r="994" spans="1:15" x14ac:dyDescent="0.25">
      <c r="A994" s="38">
        <v>45709</v>
      </c>
      <c r="B994" s="1">
        <v>218784127</v>
      </c>
      <c r="C994" t="s">
        <v>966</v>
      </c>
      <c r="D994" s="23">
        <v>-3160.5</v>
      </c>
      <c r="E994" t="s">
        <v>35</v>
      </c>
      <c r="F994" s="2">
        <v>212901001</v>
      </c>
      <c r="G994" s="2" t="s">
        <v>91</v>
      </c>
      <c r="I994" s="95" t="s">
        <v>7231</v>
      </c>
      <c r="J994" t="s">
        <v>61</v>
      </c>
      <c r="K994" t="s">
        <v>62</v>
      </c>
      <c r="M994">
        <v>63.21</v>
      </c>
      <c r="N994" s="4">
        <f t="shared" si="15"/>
        <v>-50</v>
      </c>
      <c r="O994" t="s">
        <v>83</v>
      </c>
    </row>
    <row r="995" spans="1:15" x14ac:dyDescent="0.25">
      <c r="A995" s="38">
        <v>45709</v>
      </c>
      <c r="B995" s="1">
        <v>218784132</v>
      </c>
      <c r="C995" t="s">
        <v>967</v>
      </c>
      <c r="D995" s="23">
        <v>-3160.5</v>
      </c>
      <c r="E995" t="s">
        <v>35</v>
      </c>
      <c r="F995" s="2">
        <v>212901001</v>
      </c>
      <c r="G995" s="2" t="s">
        <v>91</v>
      </c>
      <c r="I995" s="95" t="s">
        <v>7231</v>
      </c>
      <c r="J995" t="s">
        <v>61</v>
      </c>
      <c r="K995" t="s">
        <v>62</v>
      </c>
      <c r="M995">
        <v>63.21</v>
      </c>
      <c r="N995" s="4">
        <f t="shared" si="15"/>
        <v>-50</v>
      </c>
      <c r="O995" t="s">
        <v>83</v>
      </c>
    </row>
    <row r="996" spans="1:15" x14ac:dyDescent="0.25">
      <c r="A996" s="38">
        <v>45709</v>
      </c>
      <c r="B996" s="1">
        <v>18784115</v>
      </c>
      <c r="C996" t="s">
        <v>968</v>
      </c>
      <c r="D996" s="23">
        <v>-6321</v>
      </c>
      <c r="E996" t="s">
        <v>35</v>
      </c>
      <c r="F996" s="2">
        <v>212901001</v>
      </c>
      <c r="G996" s="2" t="s">
        <v>91</v>
      </c>
      <c r="I996" s="95" t="s">
        <v>7231</v>
      </c>
      <c r="J996" t="s">
        <v>61</v>
      </c>
      <c r="K996" t="s">
        <v>62</v>
      </c>
      <c r="M996">
        <v>63.21</v>
      </c>
      <c r="N996" s="4">
        <f t="shared" si="15"/>
        <v>-100</v>
      </c>
      <c r="O996" t="s">
        <v>83</v>
      </c>
    </row>
    <row r="997" spans="1:15" x14ac:dyDescent="0.25">
      <c r="A997" s="38">
        <v>45709</v>
      </c>
      <c r="B997" s="1">
        <v>918784099</v>
      </c>
      <c r="C997" t="s">
        <v>969</v>
      </c>
      <c r="D997" s="23">
        <v>-2654.82</v>
      </c>
      <c r="E997" t="s">
        <v>35</v>
      </c>
      <c r="F997" s="2">
        <v>212901001</v>
      </c>
      <c r="G997" s="2" t="s">
        <v>91</v>
      </c>
      <c r="I997" s="95" t="s">
        <v>7231</v>
      </c>
      <c r="J997" t="s">
        <v>61</v>
      </c>
      <c r="K997" t="s">
        <v>62</v>
      </c>
      <c r="M997">
        <v>63.21</v>
      </c>
      <c r="N997" s="4">
        <f t="shared" si="15"/>
        <v>-42</v>
      </c>
      <c r="O997" t="s">
        <v>83</v>
      </c>
    </row>
    <row r="998" spans="1:15" x14ac:dyDescent="0.25">
      <c r="A998" s="38">
        <v>45709</v>
      </c>
      <c r="B998" s="1">
        <v>218784128</v>
      </c>
      <c r="C998" t="s">
        <v>961</v>
      </c>
      <c r="D998" s="23">
        <v>-3160.5</v>
      </c>
      <c r="E998" t="s">
        <v>35</v>
      </c>
      <c r="F998" s="2">
        <v>212901001</v>
      </c>
      <c r="G998" s="2" t="s">
        <v>91</v>
      </c>
      <c r="I998" s="95" t="s">
        <v>7231</v>
      </c>
      <c r="J998" t="s">
        <v>61</v>
      </c>
      <c r="K998" t="s">
        <v>62</v>
      </c>
      <c r="M998">
        <v>63.21</v>
      </c>
      <c r="N998" s="4">
        <f t="shared" si="15"/>
        <v>-50</v>
      </c>
      <c r="O998" t="s">
        <v>83</v>
      </c>
    </row>
    <row r="999" spans="1:15" x14ac:dyDescent="0.25">
      <c r="A999" s="38">
        <v>45709</v>
      </c>
      <c r="B999" s="1">
        <v>18784114</v>
      </c>
      <c r="C999" t="s">
        <v>970</v>
      </c>
      <c r="D999" s="23">
        <v>-6321</v>
      </c>
      <c r="E999" t="s">
        <v>35</v>
      </c>
      <c r="F999" s="2">
        <v>212901001</v>
      </c>
      <c r="G999" s="2" t="s">
        <v>91</v>
      </c>
      <c r="I999" s="95" t="s">
        <v>7231</v>
      </c>
      <c r="J999" t="s">
        <v>61</v>
      </c>
      <c r="K999" t="s">
        <v>62</v>
      </c>
      <c r="M999">
        <v>63.21</v>
      </c>
      <c r="N999" s="4">
        <f t="shared" si="15"/>
        <v>-100</v>
      </c>
      <c r="O999" t="s">
        <v>83</v>
      </c>
    </row>
    <row r="1000" spans="1:15" x14ac:dyDescent="0.25">
      <c r="A1000" s="38">
        <v>45709</v>
      </c>
      <c r="B1000" s="1">
        <v>318784141</v>
      </c>
      <c r="C1000" t="s">
        <v>971</v>
      </c>
      <c r="D1000" s="23">
        <v>-1264.2</v>
      </c>
      <c r="E1000" t="s">
        <v>35</v>
      </c>
      <c r="F1000" s="2">
        <v>212901001</v>
      </c>
      <c r="G1000" s="2" t="s">
        <v>91</v>
      </c>
      <c r="I1000" s="95" t="s">
        <v>7231</v>
      </c>
      <c r="J1000" t="s">
        <v>61</v>
      </c>
      <c r="K1000" t="s">
        <v>62</v>
      </c>
      <c r="M1000">
        <v>63.21</v>
      </c>
      <c r="N1000" s="4">
        <f t="shared" si="15"/>
        <v>-20</v>
      </c>
      <c r="O1000" t="s">
        <v>83</v>
      </c>
    </row>
    <row r="1001" spans="1:15" x14ac:dyDescent="0.25">
      <c r="A1001" s="38">
        <v>45709</v>
      </c>
      <c r="B1001" s="1">
        <v>918784095</v>
      </c>
      <c r="C1001" t="s">
        <v>972</v>
      </c>
      <c r="D1001" s="23">
        <v>-5056.8</v>
      </c>
      <c r="E1001" t="s">
        <v>35</v>
      </c>
      <c r="F1001" s="2">
        <v>212901001</v>
      </c>
      <c r="G1001" s="2" t="s">
        <v>91</v>
      </c>
      <c r="I1001" s="95" t="s">
        <v>7231</v>
      </c>
      <c r="J1001" t="s">
        <v>61</v>
      </c>
      <c r="K1001" t="s">
        <v>62</v>
      </c>
      <c r="M1001">
        <v>63.21</v>
      </c>
      <c r="N1001" s="4">
        <f t="shared" si="15"/>
        <v>-80</v>
      </c>
      <c r="O1001" t="s">
        <v>83</v>
      </c>
    </row>
    <row r="1002" spans="1:15" x14ac:dyDescent="0.25">
      <c r="A1002" s="38">
        <v>45709</v>
      </c>
      <c r="B1002" s="1">
        <v>218784135</v>
      </c>
      <c r="C1002" t="s">
        <v>973</v>
      </c>
      <c r="D1002" s="23">
        <v>-3160.5</v>
      </c>
      <c r="E1002" t="s">
        <v>35</v>
      </c>
      <c r="F1002" s="2">
        <v>212901001</v>
      </c>
      <c r="G1002" s="2" t="s">
        <v>91</v>
      </c>
      <c r="I1002" s="95" t="s">
        <v>7231</v>
      </c>
      <c r="J1002" t="s">
        <v>61</v>
      </c>
      <c r="K1002" t="s">
        <v>62</v>
      </c>
      <c r="M1002">
        <v>63.21</v>
      </c>
      <c r="N1002" s="4">
        <f t="shared" si="15"/>
        <v>-50</v>
      </c>
      <c r="O1002" t="s">
        <v>83</v>
      </c>
    </row>
    <row r="1003" spans="1:15" x14ac:dyDescent="0.25">
      <c r="A1003" s="38">
        <v>45709</v>
      </c>
      <c r="B1003" s="1">
        <v>318784146</v>
      </c>
      <c r="C1003" t="s">
        <v>974</v>
      </c>
      <c r="D1003" s="23">
        <v>-12642</v>
      </c>
      <c r="E1003" t="s">
        <v>35</v>
      </c>
      <c r="F1003" s="2">
        <v>212901001</v>
      </c>
      <c r="G1003" s="2" t="s">
        <v>91</v>
      </c>
      <c r="I1003" s="95" t="s">
        <v>7231</v>
      </c>
      <c r="J1003" t="s">
        <v>61</v>
      </c>
      <c r="K1003" t="s">
        <v>62</v>
      </c>
      <c r="M1003">
        <v>63.21</v>
      </c>
      <c r="N1003" s="4">
        <f t="shared" si="15"/>
        <v>-200</v>
      </c>
      <c r="O1003" t="s">
        <v>83</v>
      </c>
    </row>
    <row r="1004" spans="1:15" x14ac:dyDescent="0.25">
      <c r="A1004" s="38">
        <v>45709</v>
      </c>
      <c r="B1004" s="1">
        <v>318784142</v>
      </c>
      <c r="C1004" t="s">
        <v>975</v>
      </c>
      <c r="D1004" s="23">
        <v>-1264.2</v>
      </c>
      <c r="E1004" t="s">
        <v>35</v>
      </c>
      <c r="F1004" s="2">
        <v>212901001</v>
      </c>
      <c r="G1004" s="2" t="s">
        <v>91</v>
      </c>
      <c r="I1004" s="95" t="s">
        <v>7231</v>
      </c>
      <c r="J1004" t="s">
        <v>61</v>
      </c>
      <c r="K1004" t="s">
        <v>62</v>
      </c>
      <c r="M1004">
        <v>63.21</v>
      </c>
      <c r="N1004" s="4">
        <f t="shared" si="15"/>
        <v>-20</v>
      </c>
      <c r="O1004" t="s">
        <v>83</v>
      </c>
    </row>
    <row r="1005" spans="1:15" x14ac:dyDescent="0.25">
      <c r="A1005" s="38">
        <v>45709</v>
      </c>
      <c r="B1005" s="1">
        <v>118784122</v>
      </c>
      <c r="C1005" t="s">
        <v>976</v>
      </c>
      <c r="D1005" s="23">
        <v>-4424.7</v>
      </c>
      <c r="E1005" t="s">
        <v>35</v>
      </c>
      <c r="F1005" s="2">
        <v>212901001</v>
      </c>
      <c r="G1005" s="2" t="s">
        <v>91</v>
      </c>
      <c r="I1005" s="95" t="s">
        <v>7231</v>
      </c>
      <c r="J1005" t="s">
        <v>61</v>
      </c>
      <c r="K1005" t="s">
        <v>62</v>
      </c>
      <c r="M1005">
        <v>63.21</v>
      </c>
      <c r="N1005" s="4">
        <f t="shared" si="15"/>
        <v>-70</v>
      </c>
      <c r="O1005" t="s">
        <v>83</v>
      </c>
    </row>
    <row r="1006" spans="1:15" x14ac:dyDescent="0.25">
      <c r="A1006" s="38">
        <v>45709</v>
      </c>
      <c r="B1006" s="1">
        <v>818784084</v>
      </c>
      <c r="C1006" t="s">
        <v>977</v>
      </c>
      <c r="D1006" s="23">
        <v>-3792.6</v>
      </c>
      <c r="E1006" t="s">
        <v>35</v>
      </c>
      <c r="F1006" s="2">
        <v>212901001</v>
      </c>
      <c r="G1006" s="2" t="s">
        <v>91</v>
      </c>
      <c r="I1006" s="95" t="s">
        <v>7231</v>
      </c>
      <c r="J1006" t="s">
        <v>61</v>
      </c>
      <c r="K1006" t="s">
        <v>62</v>
      </c>
      <c r="M1006">
        <v>63.21</v>
      </c>
      <c r="N1006" s="4">
        <f t="shared" si="15"/>
        <v>-60</v>
      </c>
      <c r="O1006" t="s">
        <v>83</v>
      </c>
    </row>
    <row r="1007" spans="1:15" x14ac:dyDescent="0.25">
      <c r="A1007" s="38">
        <v>45709</v>
      </c>
      <c r="B1007" s="1">
        <v>318784143</v>
      </c>
      <c r="C1007" t="s">
        <v>978</v>
      </c>
      <c r="D1007" s="23">
        <v>-1264.2</v>
      </c>
      <c r="E1007" t="s">
        <v>35</v>
      </c>
      <c r="F1007" s="2">
        <v>212901001</v>
      </c>
      <c r="G1007" s="2" t="s">
        <v>91</v>
      </c>
      <c r="I1007" s="95" t="s">
        <v>7231</v>
      </c>
      <c r="J1007" t="s">
        <v>61</v>
      </c>
      <c r="K1007" t="s">
        <v>62</v>
      </c>
      <c r="M1007">
        <v>63.21</v>
      </c>
      <c r="N1007" s="4">
        <f t="shared" si="15"/>
        <v>-20</v>
      </c>
      <c r="O1007" t="s">
        <v>83</v>
      </c>
    </row>
    <row r="1008" spans="1:15" x14ac:dyDescent="0.25">
      <c r="A1008" s="38">
        <v>45709</v>
      </c>
      <c r="B1008" s="1">
        <v>318784145</v>
      </c>
      <c r="C1008" t="s">
        <v>979</v>
      </c>
      <c r="D1008" s="23">
        <v>-6321</v>
      </c>
      <c r="E1008" t="s">
        <v>35</v>
      </c>
      <c r="F1008" s="2">
        <v>212901001</v>
      </c>
      <c r="G1008" s="2" t="s">
        <v>91</v>
      </c>
      <c r="I1008" s="95" t="s">
        <v>7231</v>
      </c>
      <c r="J1008" t="s">
        <v>61</v>
      </c>
      <c r="K1008" t="s">
        <v>62</v>
      </c>
      <c r="M1008">
        <v>63.21</v>
      </c>
      <c r="N1008" s="4">
        <f t="shared" si="15"/>
        <v>-100</v>
      </c>
      <c r="O1008" t="s">
        <v>83</v>
      </c>
    </row>
    <row r="1009" spans="1:15" x14ac:dyDescent="0.25">
      <c r="A1009" s="38">
        <v>45709</v>
      </c>
      <c r="B1009" s="1">
        <v>318784140</v>
      </c>
      <c r="C1009" t="s">
        <v>980</v>
      </c>
      <c r="D1009" s="23">
        <v>-1264.2</v>
      </c>
      <c r="E1009" t="s">
        <v>35</v>
      </c>
      <c r="F1009" s="2">
        <v>212901001</v>
      </c>
      <c r="G1009" s="2" t="s">
        <v>91</v>
      </c>
      <c r="I1009" s="95" t="s">
        <v>7231</v>
      </c>
      <c r="J1009" t="s">
        <v>61</v>
      </c>
      <c r="K1009" t="s">
        <v>62</v>
      </c>
      <c r="M1009">
        <v>63.21</v>
      </c>
      <c r="N1009" s="4">
        <f t="shared" si="15"/>
        <v>-20</v>
      </c>
      <c r="O1009" t="s">
        <v>83</v>
      </c>
    </row>
    <row r="1010" spans="1:15" x14ac:dyDescent="0.25">
      <c r="A1010" s="38">
        <v>45709</v>
      </c>
      <c r="B1010" s="1">
        <v>118784123</v>
      </c>
      <c r="C1010" t="s">
        <v>981</v>
      </c>
      <c r="D1010" s="23">
        <v>-4424.7</v>
      </c>
      <c r="E1010" t="s">
        <v>35</v>
      </c>
      <c r="F1010" s="2">
        <v>212901001</v>
      </c>
      <c r="G1010" s="2" t="s">
        <v>91</v>
      </c>
      <c r="I1010" s="95" t="s">
        <v>7231</v>
      </c>
      <c r="J1010" t="s">
        <v>61</v>
      </c>
      <c r="K1010" t="s">
        <v>62</v>
      </c>
      <c r="M1010">
        <v>63.21</v>
      </c>
      <c r="N1010" s="4">
        <f t="shared" si="15"/>
        <v>-70</v>
      </c>
      <c r="O1010" t="s">
        <v>83</v>
      </c>
    </row>
    <row r="1011" spans="1:15" x14ac:dyDescent="0.25">
      <c r="A1011" s="38">
        <v>45709</v>
      </c>
      <c r="B1011" s="1">
        <v>818784087</v>
      </c>
      <c r="C1011" t="s">
        <v>982</v>
      </c>
      <c r="D1011" s="23">
        <v>-3792.6</v>
      </c>
      <c r="E1011" t="s">
        <v>35</v>
      </c>
      <c r="F1011" s="2">
        <v>212901001</v>
      </c>
      <c r="G1011" s="2" t="s">
        <v>91</v>
      </c>
      <c r="I1011" s="95" t="s">
        <v>7231</v>
      </c>
      <c r="J1011" t="s">
        <v>61</v>
      </c>
      <c r="K1011" t="s">
        <v>62</v>
      </c>
      <c r="M1011">
        <v>63.21</v>
      </c>
      <c r="N1011" s="4">
        <f t="shared" si="15"/>
        <v>-60</v>
      </c>
      <c r="O1011" t="s">
        <v>83</v>
      </c>
    </row>
    <row r="1012" spans="1:15" x14ac:dyDescent="0.25">
      <c r="A1012" s="38">
        <v>45709</v>
      </c>
      <c r="B1012" s="1">
        <v>18784109</v>
      </c>
      <c r="C1012" t="s">
        <v>983</v>
      </c>
      <c r="D1012" s="23">
        <v>-2528.4</v>
      </c>
      <c r="E1012" t="s">
        <v>35</v>
      </c>
      <c r="F1012" s="2">
        <v>212901001</v>
      </c>
      <c r="G1012" s="2" t="s">
        <v>91</v>
      </c>
      <c r="I1012" s="95" t="s">
        <v>7231</v>
      </c>
      <c r="J1012" t="s">
        <v>61</v>
      </c>
      <c r="K1012" t="s">
        <v>62</v>
      </c>
      <c r="M1012">
        <v>63.21</v>
      </c>
      <c r="N1012" s="4">
        <f t="shared" si="15"/>
        <v>-40</v>
      </c>
      <c r="O1012" t="s">
        <v>83</v>
      </c>
    </row>
    <row r="1013" spans="1:15" x14ac:dyDescent="0.25">
      <c r="A1013" s="38">
        <v>45709</v>
      </c>
      <c r="B1013" s="1">
        <v>218784130</v>
      </c>
      <c r="C1013" t="s">
        <v>984</v>
      </c>
      <c r="D1013" s="23">
        <v>-3160.5</v>
      </c>
      <c r="E1013" t="s">
        <v>35</v>
      </c>
      <c r="F1013" s="2">
        <v>212901001</v>
      </c>
      <c r="G1013" s="2" t="s">
        <v>91</v>
      </c>
      <c r="I1013" s="95" t="s">
        <v>7231</v>
      </c>
      <c r="J1013" t="s">
        <v>61</v>
      </c>
      <c r="K1013" t="s">
        <v>62</v>
      </c>
      <c r="M1013">
        <v>63.21</v>
      </c>
      <c r="N1013" s="4">
        <f t="shared" si="15"/>
        <v>-50</v>
      </c>
      <c r="O1013" t="s">
        <v>83</v>
      </c>
    </row>
    <row r="1014" spans="1:15" x14ac:dyDescent="0.25">
      <c r="A1014" s="38">
        <v>45709</v>
      </c>
      <c r="B1014" s="1">
        <v>318784147</v>
      </c>
      <c r="C1014" t="s">
        <v>985</v>
      </c>
      <c r="D1014" s="23">
        <v>-7458.78</v>
      </c>
      <c r="E1014" t="s">
        <v>35</v>
      </c>
      <c r="F1014" s="2">
        <v>212901001</v>
      </c>
      <c r="G1014" s="2" t="s">
        <v>91</v>
      </c>
      <c r="I1014" s="95" t="s">
        <v>7231</v>
      </c>
      <c r="J1014" t="s">
        <v>61</v>
      </c>
      <c r="K1014" t="s">
        <v>62</v>
      </c>
      <c r="M1014">
        <v>63.21</v>
      </c>
      <c r="N1014" s="4">
        <f t="shared" si="15"/>
        <v>-118</v>
      </c>
      <c r="O1014" t="s">
        <v>83</v>
      </c>
    </row>
    <row r="1015" spans="1:15" x14ac:dyDescent="0.25">
      <c r="A1015" s="38">
        <v>45709</v>
      </c>
      <c r="B1015" s="1">
        <v>818784094</v>
      </c>
      <c r="C1015" t="s">
        <v>986</v>
      </c>
      <c r="D1015" s="23">
        <v>-5056.8</v>
      </c>
      <c r="E1015" t="s">
        <v>35</v>
      </c>
      <c r="F1015" s="2">
        <v>212901001</v>
      </c>
      <c r="G1015" s="2" t="s">
        <v>91</v>
      </c>
      <c r="I1015" s="95" t="s">
        <v>7231</v>
      </c>
      <c r="J1015" t="s">
        <v>61</v>
      </c>
      <c r="K1015" t="s">
        <v>62</v>
      </c>
      <c r="M1015">
        <v>63.21</v>
      </c>
      <c r="N1015" s="4">
        <f t="shared" si="15"/>
        <v>-80</v>
      </c>
      <c r="O1015" t="s">
        <v>83</v>
      </c>
    </row>
    <row r="1016" spans="1:15" x14ac:dyDescent="0.25">
      <c r="A1016" s="38">
        <v>45709</v>
      </c>
      <c r="B1016" s="1">
        <v>18784113</v>
      </c>
      <c r="C1016" t="s">
        <v>987</v>
      </c>
      <c r="D1016" s="23">
        <v>-2528.4</v>
      </c>
      <c r="E1016" t="s">
        <v>35</v>
      </c>
      <c r="F1016" s="2">
        <v>212901001</v>
      </c>
      <c r="G1016" s="2" t="s">
        <v>91</v>
      </c>
      <c r="I1016" s="95" t="s">
        <v>7231</v>
      </c>
      <c r="J1016" t="s">
        <v>61</v>
      </c>
      <c r="K1016" t="s">
        <v>62</v>
      </c>
      <c r="M1016">
        <v>63.21</v>
      </c>
      <c r="N1016" s="4">
        <f t="shared" si="15"/>
        <v>-40</v>
      </c>
      <c r="O1016" t="s">
        <v>83</v>
      </c>
    </row>
    <row r="1017" spans="1:15" x14ac:dyDescent="0.25">
      <c r="A1017" s="38">
        <v>45709</v>
      </c>
      <c r="B1017" s="1">
        <v>718784078</v>
      </c>
      <c r="C1017" t="s">
        <v>988</v>
      </c>
      <c r="D1017" s="23">
        <v>-3792.6</v>
      </c>
      <c r="E1017" t="s">
        <v>35</v>
      </c>
      <c r="F1017" s="2">
        <v>212901001</v>
      </c>
      <c r="G1017" s="2" t="s">
        <v>91</v>
      </c>
      <c r="I1017" s="95" t="s">
        <v>7231</v>
      </c>
      <c r="J1017" t="s">
        <v>61</v>
      </c>
      <c r="K1017" t="s">
        <v>62</v>
      </c>
      <c r="M1017">
        <v>63.21</v>
      </c>
      <c r="N1017" s="4">
        <f t="shared" si="15"/>
        <v>-60</v>
      </c>
      <c r="O1017" t="s">
        <v>83</v>
      </c>
    </row>
    <row r="1018" spans="1:15" x14ac:dyDescent="0.25">
      <c r="A1018" s="38">
        <v>45709</v>
      </c>
      <c r="B1018" s="1">
        <v>418784151</v>
      </c>
      <c r="C1018" t="s">
        <v>989</v>
      </c>
      <c r="D1018" s="23">
        <v>-2528.4</v>
      </c>
      <c r="E1018" t="s">
        <v>35</v>
      </c>
      <c r="F1018" s="2">
        <v>212901001</v>
      </c>
      <c r="G1018" s="2" t="s">
        <v>91</v>
      </c>
      <c r="I1018" s="95" t="s">
        <v>7231</v>
      </c>
      <c r="J1018" t="s">
        <v>61</v>
      </c>
      <c r="K1018" t="s">
        <v>62</v>
      </c>
      <c r="M1018">
        <v>63.21</v>
      </c>
      <c r="N1018" s="4">
        <f t="shared" si="15"/>
        <v>-40</v>
      </c>
      <c r="O1018" t="s">
        <v>83</v>
      </c>
    </row>
    <row r="1019" spans="1:15" x14ac:dyDescent="0.25">
      <c r="A1019" s="38">
        <v>45709</v>
      </c>
      <c r="B1019" s="1">
        <v>818784088</v>
      </c>
      <c r="C1019" t="s">
        <v>990</v>
      </c>
      <c r="D1019" s="23">
        <v>-3792.6</v>
      </c>
      <c r="E1019" t="s">
        <v>35</v>
      </c>
      <c r="F1019" s="2">
        <v>212901001</v>
      </c>
      <c r="G1019" s="2" t="s">
        <v>91</v>
      </c>
      <c r="I1019" s="95" t="s">
        <v>7231</v>
      </c>
      <c r="J1019" t="s">
        <v>61</v>
      </c>
      <c r="K1019" t="s">
        <v>62</v>
      </c>
      <c r="M1019">
        <v>63.21</v>
      </c>
      <c r="N1019" s="4">
        <f t="shared" si="15"/>
        <v>-60</v>
      </c>
      <c r="O1019" t="s">
        <v>83</v>
      </c>
    </row>
    <row r="1020" spans="1:15" x14ac:dyDescent="0.25">
      <c r="A1020" s="38">
        <v>45709</v>
      </c>
      <c r="B1020" s="1">
        <v>318784139</v>
      </c>
      <c r="C1020" t="s">
        <v>991</v>
      </c>
      <c r="D1020" s="23">
        <v>-3160.5</v>
      </c>
      <c r="E1020" t="s">
        <v>35</v>
      </c>
      <c r="F1020" s="2">
        <v>212901001</v>
      </c>
      <c r="G1020" s="2" t="s">
        <v>91</v>
      </c>
      <c r="I1020" s="95" t="s">
        <v>7231</v>
      </c>
      <c r="J1020" t="s">
        <v>61</v>
      </c>
      <c r="K1020" t="s">
        <v>62</v>
      </c>
      <c r="M1020">
        <v>63.21</v>
      </c>
      <c r="N1020" s="4">
        <f t="shared" si="15"/>
        <v>-50</v>
      </c>
      <c r="O1020" t="s">
        <v>83</v>
      </c>
    </row>
    <row r="1021" spans="1:15" x14ac:dyDescent="0.25">
      <c r="A1021" s="38">
        <v>45709</v>
      </c>
      <c r="B1021" s="1">
        <v>918784105</v>
      </c>
      <c r="C1021" t="s">
        <v>992</v>
      </c>
      <c r="D1021" s="23">
        <v>-2528.4</v>
      </c>
      <c r="E1021" t="s">
        <v>35</v>
      </c>
      <c r="F1021" s="2">
        <v>212901001</v>
      </c>
      <c r="G1021" s="2" t="s">
        <v>91</v>
      </c>
      <c r="I1021" s="95" t="s">
        <v>7231</v>
      </c>
      <c r="J1021" t="s">
        <v>61</v>
      </c>
      <c r="K1021" t="s">
        <v>62</v>
      </c>
      <c r="M1021">
        <v>63.21</v>
      </c>
      <c r="N1021" s="4">
        <f t="shared" si="15"/>
        <v>-40</v>
      </c>
      <c r="O1021" t="s">
        <v>83</v>
      </c>
    </row>
    <row r="1022" spans="1:15" x14ac:dyDescent="0.25">
      <c r="A1022" s="38">
        <v>45709</v>
      </c>
      <c r="B1022" s="1">
        <v>918784102</v>
      </c>
      <c r="C1022" t="s">
        <v>993</v>
      </c>
      <c r="D1022" s="23">
        <v>-3160.5</v>
      </c>
      <c r="E1022" t="s">
        <v>35</v>
      </c>
      <c r="F1022" s="2">
        <v>212901001</v>
      </c>
      <c r="G1022" s="2" t="s">
        <v>91</v>
      </c>
      <c r="I1022" s="95" t="s">
        <v>7231</v>
      </c>
      <c r="J1022" t="s">
        <v>61</v>
      </c>
      <c r="K1022" t="s">
        <v>62</v>
      </c>
      <c r="M1022">
        <v>63.21</v>
      </c>
      <c r="N1022" s="4">
        <f t="shared" si="15"/>
        <v>-50</v>
      </c>
      <c r="O1022" t="s">
        <v>83</v>
      </c>
    </row>
    <row r="1023" spans="1:15" x14ac:dyDescent="0.25">
      <c r="A1023" s="38">
        <v>45709</v>
      </c>
      <c r="B1023" s="1">
        <v>918784098</v>
      </c>
      <c r="C1023" t="s">
        <v>994</v>
      </c>
      <c r="D1023" s="23">
        <v>-5056.8</v>
      </c>
      <c r="E1023" t="s">
        <v>35</v>
      </c>
      <c r="F1023" s="2">
        <v>212901001</v>
      </c>
      <c r="G1023" s="2" t="s">
        <v>91</v>
      </c>
      <c r="I1023" s="95" t="s">
        <v>7231</v>
      </c>
      <c r="J1023" t="s">
        <v>61</v>
      </c>
      <c r="K1023" t="s">
        <v>62</v>
      </c>
      <c r="M1023">
        <v>63.21</v>
      </c>
      <c r="N1023" s="4">
        <f t="shared" si="15"/>
        <v>-80</v>
      </c>
      <c r="O1023" t="s">
        <v>83</v>
      </c>
    </row>
    <row r="1024" spans="1:15" x14ac:dyDescent="0.25">
      <c r="A1024" s="38">
        <v>45709</v>
      </c>
      <c r="B1024" s="1">
        <v>118784121</v>
      </c>
      <c r="C1024" t="s">
        <v>995</v>
      </c>
      <c r="D1024" s="23">
        <v>-2907.66</v>
      </c>
      <c r="E1024" t="s">
        <v>35</v>
      </c>
      <c r="F1024" s="2">
        <v>212901001</v>
      </c>
      <c r="G1024" s="2" t="s">
        <v>91</v>
      </c>
      <c r="I1024" s="95" t="s">
        <v>7231</v>
      </c>
      <c r="J1024" t="s">
        <v>61</v>
      </c>
      <c r="K1024" t="s">
        <v>62</v>
      </c>
      <c r="M1024">
        <v>63.21</v>
      </c>
      <c r="N1024" s="4">
        <f t="shared" si="15"/>
        <v>-46</v>
      </c>
      <c r="O1024" t="s">
        <v>83</v>
      </c>
    </row>
    <row r="1025" spans="1:17" x14ac:dyDescent="0.25">
      <c r="A1025" s="38">
        <v>45709</v>
      </c>
      <c r="B1025" s="1">
        <v>118784124</v>
      </c>
      <c r="C1025" t="s">
        <v>996</v>
      </c>
      <c r="D1025" s="23">
        <v>-4424.7</v>
      </c>
      <c r="E1025" t="s">
        <v>35</v>
      </c>
      <c r="F1025" s="2">
        <v>212901001</v>
      </c>
      <c r="G1025" s="2" t="s">
        <v>91</v>
      </c>
      <c r="I1025" s="95" t="s">
        <v>7231</v>
      </c>
      <c r="J1025" t="s">
        <v>61</v>
      </c>
      <c r="K1025" t="s">
        <v>62</v>
      </c>
      <c r="M1025">
        <v>63.21</v>
      </c>
      <c r="N1025" s="4">
        <f t="shared" si="15"/>
        <v>-70</v>
      </c>
      <c r="O1025" t="s">
        <v>83</v>
      </c>
    </row>
    <row r="1026" spans="1:17" x14ac:dyDescent="0.25">
      <c r="A1026" s="38">
        <v>45709</v>
      </c>
      <c r="B1026" s="1">
        <v>118784125</v>
      </c>
      <c r="C1026" t="s">
        <v>997</v>
      </c>
      <c r="D1026" s="23">
        <v>-3160.5</v>
      </c>
      <c r="E1026" t="s">
        <v>35</v>
      </c>
      <c r="F1026" s="2">
        <v>212901001</v>
      </c>
      <c r="G1026" s="2" t="s">
        <v>91</v>
      </c>
      <c r="I1026" s="95" t="s">
        <v>7231</v>
      </c>
      <c r="J1026" t="s">
        <v>61</v>
      </c>
      <c r="K1026" t="s">
        <v>62</v>
      </c>
      <c r="M1026">
        <v>63.21</v>
      </c>
      <c r="N1026" s="4">
        <f t="shared" si="15"/>
        <v>-50</v>
      </c>
      <c r="O1026" t="s">
        <v>83</v>
      </c>
    </row>
    <row r="1027" spans="1:17" x14ac:dyDescent="0.25">
      <c r="A1027" s="38">
        <v>45709</v>
      </c>
      <c r="B1027" s="1">
        <v>418784149</v>
      </c>
      <c r="C1027" t="s">
        <v>998</v>
      </c>
      <c r="D1027" s="23">
        <v>-1896.3</v>
      </c>
      <c r="E1027" t="s">
        <v>35</v>
      </c>
      <c r="F1027" s="2">
        <v>212901001</v>
      </c>
      <c r="G1027" s="2" t="s">
        <v>91</v>
      </c>
      <c r="I1027" s="95" t="s">
        <v>7231</v>
      </c>
      <c r="J1027" t="s">
        <v>61</v>
      </c>
      <c r="K1027" t="s">
        <v>62</v>
      </c>
      <c r="M1027">
        <v>63.21</v>
      </c>
      <c r="N1027" s="4">
        <f t="shared" si="15"/>
        <v>-30</v>
      </c>
      <c r="O1027" t="s">
        <v>83</v>
      </c>
    </row>
    <row r="1028" spans="1:17" x14ac:dyDescent="0.25">
      <c r="A1028" s="38">
        <v>45709</v>
      </c>
      <c r="B1028" s="1">
        <v>18784111</v>
      </c>
      <c r="C1028" t="s">
        <v>999</v>
      </c>
      <c r="D1028" s="23">
        <v>-2528.4</v>
      </c>
      <c r="E1028" t="s">
        <v>35</v>
      </c>
      <c r="F1028" s="2">
        <v>212901001</v>
      </c>
      <c r="G1028" s="2" t="s">
        <v>91</v>
      </c>
      <c r="I1028" s="95" t="s">
        <v>7231</v>
      </c>
      <c r="J1028" t="s">
        <v>61</v>
      </c>
      <c r="K1028" t="s">
        <v>62</v>
      </c>
      <c r="M1028">
        <v>63.21</v>
      </c>
      <c r="N1028" s="4">
        <f t="shared" si="15"/>
        <v>-40</v>
      </c>
      <c r="O1028" t="s">
        <v>83</v>
      </c>
    </row>
    <row r="1029" spans="1:17" x14ac:dyDescent="0.25">
      <c r="A1029" s="38">
        <v>45709</v>
      </c>
      <c r="B1029" s="1">
        <v>818784092</v>
      </c>
      <c r="C1029" t="s">
        <v>1000</v>
      </c>
      <c r="D1029" s="23">
        <v>-6321</v>
      </c>
      <c r="E1029" t="s">
        <v>35</v>
      </c>
      <c r="F1029" s="2">
        <v>212901001</v>
      </c>
      <c r="G1029" s="2" t="s">
        <v>91</v>
      </c>
      <c r="I1029" s="95" t="s">
        <v>7231</v>
      </c>
      <c r="J1029" t="s">
        <v>61</v>
      </c>
      <c r="K1029" t="s">
        <v>62</v>
      </c>
      <c r="M1029">
        <v>63.21</v>
      </c>
      <c r="N1029" s="4">
        <f t="shared" si="15"/>
        <v>-100</v>
      </c>
      <c r="O1029" t="s">
        <v>83</v>
      </c>
    </row>
    <row r="1030" spans="1:17" x14ac:dyDescent="0.25">
      <c r="A1030" s="38">
        <v>45709</v>
      </c>
      <c r="B1030" s="1">
        <v>218784136</v>
      </c>
      <c r="C1030" t="s">
        <v>1001</v>
      </c>
      <c r="D1030" s="23">
        <v>-3160.5</v>
      </c>
      <c r="E1030" t="s">
        <v>35</v>
      </c>
      <c r="F1030" s="2">
        <v>212901001</v>
      </c>
      <c r="G1030" s="2" t="s">
        <v>91</v>
      </c>
      <c r="I1030" s="95" t="s">
        <v>7231</v>
      </c>
      <c r="J1030" t="s">
        <v>61</v>
      </c>
      <c r="K1030" t="s">
        <v>62</v>
      </c>
      <c r="M1030">
        <v>63.21</v>
      </c>
      <c r="N1030" s="4">
        <f t="shared" si="15"/>
        <v>-50</v>
      </c>
      <c r="O1030" t="s">
        <v>83</v>
      </c>
    </row>
    <row r="1031" spans="1:17" x14ac:dyDescent="0.25">
      <c r="A1031" s="38">
        <v>45709</v>
      </c>
      <c r="B1031" s="1">
        <v>118784126</v>
      </c>
      <c r="C1031" t="s">
        <v>1002</v>
      </c>
      <c r="D1031" s="23">
        <v>-3160.5</v>
      </c>
      <c r="E1031" t="s">
        <v>35</v>
      </c>
      <c r="F1031" s="2">
        <v>212901001</v>
      </c>
      <c r="G1031" s="2" t="s">
        <v>91</v>
      </c>
      <c r="I1031" s="95" t="s">
        <v>7231</v>
      </c>
      <c r="J1031" t="s">
        <v>61</v>
      </c>
      <c r="K1031" t="s">
        <v>62</v>
      </c>
      <c r="M1031">
        <v>63.21</v>
      </c>
      <c r="N1031" s="4">
        <f t="shared" si="15"/>
        <v>-50</v>
      </c>
      <c r="O1031" t="s">
        <v>83</v>
      </c>
    </row>
    <row r="1032" spans="1:17" x14ac:dyDescent="0.25">
      <c r="A1032" s="38">
        <v>45709</v>
      </c>
      <c r="B1032" s="1">
        <v>50248521</v>
      </c>
      <c r="C1032" t="s">
        <v>1003</v>
      </c>
      <c r="D1032" s="23">
        <v>-8849.4</v>
      </c>
      <c r="E1032" t="s">
        <v>35</v>
      </c>
      <c r="F1032" s="2">
        <v>212901001</v>
      </c>
      <c r="G1032" s="2" t="s">
        <v>91</v>
      </c>
      <c r="I1032" s="95" t="s">
        <v>7231</v>
      </c>
      <c r="J1032" t="s">
        <v>61</v>
      </c>
      <c r="K1032" t="s">
        <v>62</v>
      </c>
      <c r="M1032">
        <v>63.21</v>
      </c>
      <c r="N1032" s="4">
        <f t="shared" si="15"/>
        <v>-140</v>
      </c>
      <c r="O1032" t="s">
        <v>83</v>
      </c>
    </row>
    <row r="1033" spans="1:17" x14ac:dyDescent="0.25">
      <c r="A1033" s="38">
        <v>45709</v>
      </c>
      <c r="B1033" s="1">
        <v>50248521</v>
      </c>
      <c r="C1033" t="s">
        <v>179</v>
      </c>
      <c r="D1033" s="23">
        <v>-13.27</v>
      </c>
      <c r="E1033" t="s">
        <v>35</v>
      </c>
      <c r="F1033" s="2">
        <v>610148001</v>
      </c>
      <c r="G1033" s="2" t="s">
        <v>41</v>
      </c>
      <c r="I1033" s="95" t="s">
        <v>7231</v>
      </c>
      <c r="J1033" t="s">
        <v>42</v>
      </c>
      <c r="K1033" t="s">
        <v>41</v>
      </c>
      <c r="M1033">
        <v>63.21</v>
      </c>
      <c r="N1033" s="4">
        <f t="shared" si="15"/>
        <v>-0.20993513684543583</v>
      </c>
      <c r="O1033" t="s">
        <v>83</v>
      </c>
      <c r="Q1033" s="24" t="s">
        <v>677</v>
      </c>
    </row>
    <row r="1034" spans="1:17" x14ac:dyDescent="0.25">
      <c r="A1034" s="38">
        <v>45709</v>
      </c>
      <c r="B1034" s="1">
        <v>50248521</v>
      </c>
      <c r="C1034" t="s">
        <v>89</v>
      </c>
      <c r="D1034" s="23">
        <v>-712.06</v>
      </c>
      <c r="E1034" t="s">
        <v>35</v>
      </c>
      <c r="F1034" s="2">
        <v>610148001</v>
      </c>
      <c r="G1034" s="2" t="s">
        <v>41</v>
      </c>
      <c r="I1034" s="95" t="s">
        <v>7231</v>
      </c>
      <c r="J1034" t="s">
        <v>42</v>
      </c>
      <c r="K1034" t="s">
        <v>41</v>
      </c>
      <c r="M1034">
        <v>63.21</v>
      </c>
      <c r="N1034" s="4">
        <f t="shared" si="15"/>
        <v>-11.264989716816958</v>
      </c>
      <c r="O1034" t="s">
        <v>83</v>
      </c>
      <c r="Q1034" s="24" t="s">
        <v>677</v>
      </c>
    </row>
    <row r="1035" spans="1:17" x14ac:dyDescent="0.25">
      <c r="A1035" s="38">
        <v>45709</v>
      </c>
      <c r="B1035" s="1">
        <v>718784498</v>
      </c>
      <c r="C1035" t="s">
        <v>1004</v>
      </c>
      <c r="D1035" s="23">
        <v>-56376.92</v>
      </c>
      <c r="E1035" t="s">
        <v>35</v>
      </c>
      <c r="F1035" s="2">
        <v>110114001</v>
      </c>
      <c r="G1035" s="2" t="s">
        <v>181</v>
      </c>
      <c r="I1035" s="95" t="s">
        <v>7231</v>
      </c>
      <c r="J1035" t="s">
        <v>37</v>
      </c>
      <c r="K1035" t="s">
        <v>38</v>
      </c>
      <c r="M1035">
        <v>63.21</v>
      </c>
      <c r="N1035" s="4">
        <f t="shared" si="15"/>
        <v>-891.89875019775343</v>
      </c>
      <c r="O1035" t="s">
        <v>83</v>
      </c>
      <c r="P1035" s="34" t="s">
        <v>694</v>
      </c>
    </row>
    <row r="1036" spans="1:17" x14ac:dyDescent="0.25">
      <c r="A1036" s="38">
        <v>45709</v>
      </c>
      <c r="B1036" s="1">
        <v>718784502</v>
      </c>
      <c r="C1036" t="s">
        <v>1005</v>
      </c>
      <c r="D1036" s="23">
        <v>-19699.11</v>
      </c>
      <c r="E1036" t="s">
        <v>35</v>
      </c>
      <c r="F1036" s="2">
        <v>110114001</v>
      </c>
      <c r="G1036" s="2" t="s">
        <v>181</v>
      </c>
      <c r="I1036" s="95" t="s">
        <v>7231</v>
      </c>
      <c r="J1036" t="s">
        <v>182</v>
      </c>
      <c r="K1036" t="s">
        <v>183</v>
      </c>
      <c r="M1036">
        <v>63.21</v>
      </c>
      <c r="N1036" s="4">
        <f t="shared" ref="N1036:N1099" si="16">D1036/M1036</f>
        <v>-311.64546748932133</v>
      </c>
      <c r="O1036" t="s">
        <v>83</v>
      </c>
      <c r="P1036" s="34" t="s">
        <v>682</v>
      </c>
    </row>
    <row r="1037" spans="1:17" x14ac:dyDescent="0.25">
      <c r="A1037" s="38">
        <v>45709</v>
      </c>
      <c r="B1037" s="1">
        <v>718784500</v>
      </c>
      <c r="C1037" t="s">
        <v>1006</v>
      </c>
      <c r="D1037" s="23">
        <v>-10998.54</v>
      </c>
      <c r="E1037" t="s">
        <v>35</v>
      </c>
      <c r="F1037" s="2">
        <v>210101001</v>
      </c>
      <c r="G1037" s="2" t="s">
        <v>36</v>
      </c>
      <c r="I1037" s="95" t="s">
        <v>7231</v>
      </c>
      <c r="J1037" t="s">
        <v>1007</v>
      </c>
      <c r="K1037" t="s">
        <v>1008</v>
      </c>
      <c r="M1037">
        <v>63.21</v>
      </c>
      <c r="N1037" s="4">
        <f t="shared" si="16"/>
        <v>-174</v>
      </c>
      <c r="O1037" t="s">
        <v>83</v>
      </c>
    </row>
    <row r="1038" spans="1:17" x14ac:dyDescent="0.25">
      <c r="A1038" s="38">
        <v>45709</v>
      </c>
      <c r="B1038" s="1">
        <v>718784499</v>
      </c>
      <c r="C1038" t="s">
        <v>1009</v>
      </c>
      <c r="D1038" s="23">
        <v>-37027.199999999997</v>
      </c>
      <c r="E1038" t="s">
        <v>35</v>
      </c>
      <c r="F1038" s="2">
        <v>210101001</v>
      </c>
      <c r="G1038" s="2" t="s">
        <v>36</v>
      </c>
      <c r="I1038" s="95" t="s">
        <v>7231</v>
      </c>
      <c r="J1038" t="s">
        <v>37</v>
      </c>
      <c r="K1038" t="s">
        <v>38</v>
      </c>
      <c r="M1038">
        <v>63.21</v>
      </c>
      <c r="N1038" s="4">
        <f t="shared" si="16"/>
        <v>-585.7807308970099</v>
      </c>
      <c r="O1038" t="s">
        <v>83</v>
      </c>
    </row>
    <row r="1039" spans="1:17" x14ac:dyDescent="0.25">
      <c r="A1039" s="38">
        <v>45709</v>
      </c>
      <c r="B1039" s="1">
        <v>50293767</v>
      </c>
      <c r="C1039" t="s">
        <v>89</v>
      </c>
      <c r="D1039" s="23">
        <v>-310.25</v>
      </c>
      <c r="E1039" t="s">
        <v>35</v>
      </c>
      <c r="F1039" s="2">
        <v>610148001</v>
      </c>
      <c r="G1039" s="2" t="s">
        <v>41</v>
      </c>
      <c r="I1039" s="95" t="s">
        <v>7231</v>
      </c>
      <c r="J1039" t="s">
        <v>42</v>
      </c>
      <c r="K1039" t="s">
        <v>41</v>
      </c>
      <c r="M1039">
        <v>63.21</v>
      </c>
      <c r="N1039" s="4">
        <f t="shared" si="16"/>
        <v>-4.9082423667141271</v>
      </c>
      <c r="O1039" t="s">
        <v>83</v>
      </c>
      <c r="Q1039" s="24" t="s">
        <v>677</v>
      </c>
    </row>
    <row r="1040" spans="1:17" x14ac:dyDescent="0.25">
      <c r="A1040" s="38">
        <v>45712</v>
      </c>
      <c r="B1040" s="1">
        <v>177935994</v>
      </c>
      <c r="C1040" t="s">
        <v>1010</v>
      </c>
      <c r="D1040" s="23">
        <v>14122.67</v>
      </c>
      <c r="E1040" t="s">
        <v>45</v>
      </c>
      <c r="F1040" s="2">
        <v>110106001</v>
      </c>
      <c r="G1040" s="2" t="s">
        <v>1011</v>
      </c>
      <c r="I1040" s="95" t="s">
        <v>7231</v>
      </c>
      <c r="K1040" t="s">
        <v>1012</v>
      </c>
      <c r="M1040">
        <v>63.41</v>
      </c>
      <c r="N1040" s="4">
        <f t="shared" si="16"/>
        <v>222.71991799400726</v>
      </c>
      <c r="O1040" t="s">
        <v>83</v>
      </c>
    </row>
    <row r="1041" spans="1:17" x14ac:dyDescent="0.25">
      <c r="A1041" s="38">
        <v>45712</v>
      </c>
      <c r="B1041" s="1">
        <v>177935994</v>
      </c>
      <c r="C1041" t="s">
        <v>1013</v>
      </c>
      <c r="D1041" s="23">
        <v>-211.84</v>
      </c>
      <c r="E1041" t="s">
        <v>35</v>
      </c>
      <c r="F1041" s="2">
        <v>610148001</v>
      </c>
      <c r="G1041" s="2" t="s">
        <v>41</v>
      </c>
      <c r="I1041" s="95" t="s">
        <v>7231</v>
      </c>
      <c r="J1041" t="s">
        <v>42</v>
      </c>
      <c r="K1041" t="s">
        <v>41</v>
      </c>
      <c r="M1041">
        <v>63.41</v>
      </c>
      <c r="N1041" s="4">
        <f t="shared" si="16"/>
        <v>-3.3407979813909479</v>
      </c>
      <c r="O1041" t="s">
        <v>83</v>
      </c>
      <c r="Q1041" s="24" t="s">
        <v>677</v>
      </c>
    </row>
    <row r="1042" spans="1:17" x14ac:dyDescent="0.25">
      <c r="A1042" s="38">
        <v>45712</v>
      </c>
      <c r="B1042" s="1">
        <v>177975071</v>
      </c>
      <c r="C1042" t="s">
        <v>1010</v>
      </c>
      <c r="D1042" s="23">
        <v>12945.68</v>
      </c>
      <c r="E1042" t="s">
        <v>45</v>
      </c>
      <c r="F1042" s="2">
        <v>110106001</v>
      </c>
      <c r="G1042" s="2" t="s">
        <v>1011</v>
      </c>
      <c r="I1042" s="95" t="s">
        <v>7231</v>
      </c>
      <c r="K1042" t="s">
        <v>1012</v>
      </c>
      <c r="M1042">
        <v>63.41</v>
      </c>
      <c r="N1042" s="4">
        <f t="shared" si="16"/>
        <v>204.15833464753194</v>
      </c>
      <c r="O1042" t="s">
        <v>83</v>
      </c>
    </row>
    <row r="1043" spans="1:17" x14ac:dyDescent="0.25">
      <c r="A1043" s="38">
        <v>45712</v>
      </c>
      <c r="B1043" s="1">
        <v>177975071</v>
      </c>
      <c r="C1043" t="s">
        <v>1013</v>
      </c>
      <c r="D1043" s="23">
        <v>-194.18</v>
      </c>
      <c r="E1043" t="s">
        <v>35</v>
      </c>
      <c r="F1043" s="2">
        <v>610148001</v>
      </c>
      <c r="G1043" s="2" t="s">
        <v>41</v>
      </c>
      <c r="I1043" s="95" t="s">
        <v>7231</v>
      </c>
      <c r="J1043" t="s">
        <v>42</v>
      </c>
      <c r="K1043" t="s">
        <v>41</v>
      </c>
      <c r="M1043">
        <v>63.41</v>
      </c>
      <c r="N1043" s="4">
        <f t="shared" si="16"/>
        <v>-3.0622930137202338</v>
      </c>
      <c r="O1043" t="s">
        <v>83</v>
      </c>
      <c r="Q1043" s="24" t="s">
        <v>677</v>
      </c>
    </row>
    <row r="1044" spans="1:17" x14ac:dyDescent="0.25">
      <c r="A1044" s="38">
        <v>45712</v>
      </c>
      <c r="B1044" s="1">
        <v>178010399</v>
      </c>
      <c r="C1044" t="s">
        <v>1010</v>
      </c>
      <c r="D1044" s="23">
        <v>0.11</v>
      </c>
      <c r="E1044" t="s">
        <v>45</v>
      </c>
      <c r="F1044" s="2">
        <v>110106001</v>
      </c>
      <c r="G1044" s="2" t="s">
        <v>1011</v>
      </c>
      <c r="I1044" s="95" t="s">
        <v>7231</v>
      </c>
      <c r="K1044" t="s">
        <v>1012</v>
      </c>
      <c r="M1044">
        <v>63.41</v>
      </c>
      <c r="N1044" s="4">
        <f t="shared" si="16"/>
        <v>1.734742154234348E-3</v>
      </c>
      <c r="O1044" t="s">
        <v>83</v>
      </c>
    </row>
    <row r="1045" spans="1:17" x14ac:dyDescent="0.25">
      <c r="A1045" s="38">
        <v>45712</v>
      </c>
      <c r="B1045" s="1">
        <v>178010399</v>
      </c>
      <c r="C1045" t="s">
        <v>1013</v>
      </c>
      <c r="D1045" s="23">
        <v>-0.13</v>
      </c>
      <c r="E1045" t="s">
        <v>35</v>
      </c>
      <c r="F1045" s="2">
        <v>610148001</v>
      </c>
      <c r="G1045" s="2" t="s">
        <v>41</v>
      </c>
      <c r="I1045" s="95" t="s">
        <v>7231</v>
      </c>
      <c r="J1045" t="s">
        <v>42</v>
      </c>
      <c r="K1045" t="s">
        <v>41</v>
      </c>
      <c r="M1045">
        <v>63.41</v>
      </c>
      <c r="N1045" s="4">
        <f t="shared" si="16"/>
        <v>-2.0501498186405931E-3</v>
      </c>
      <c r="O1045" t="s">
        <v>83</v>
      </c>
      <c r="Q1045" s="24" t="s">
        <v>677</v>
      </c>
    </row>
    <row r="1046" spans="1:17" x14ac:dyDescent="0.25">
      <c r="A1046" s="38">
        <v>45712</v>
      </c>
      <c r="B1046" s="1">
        <v>153216658</v>
      </c>
      <c r="C1046" t="s">
        <v>82</v>
      </c>
      <c r="D1046" s="23">
        <v>30000</v>
      </c>
      <c r="E1046" t="s">
        <v>45</v>
      </c>
      <c r="F1046" s="2">
        <v>210115002</v>
      </c>
      <c r="G1046" s="2" t="s">
        <v>46</v>
      </c>
      <c r="I1046" s="95" t="s">
        <v>7231</v>
      </c>
      <c r="K1046" t="s">
        <v>82</v>
      </c>
      <c r="M1046">
        <v>63.41</v>
      </c>
      <c r="N1046" s="4">
        <f t="shared" si="16"/>
        <v>473.11149660936763</v>
      </c>
      <c r="O1046" t="s">
        <v>83</v>
      </c>
    </row>
    <row r="1047" spans="1:17" x14ac:dyDescent="0.25">
      <c r="A1047" s="38">
        <v>45712</v>
      </c>
      <c r="B1047" s="1">
        <v>218926247</v>
      </c>
      <c r="C1047" t="s">
        <v>791</v>
      </c>
      <c r="D1047" s="23">
        <v>-3170.5</v>
      </c>
      <c r="E1047" t="s">
        <v>35</v>
      </c>
      <c r="F1047" s="2">
        <v>210101001</v>
      </c>
      <c r="G1047" s="2" t="s">
        <v>36</v>
      </c>
      <c r="I1047" s="95" t="s">
        <v>7231</v>
      </c>
      <c r="J1047" t="s">
        <v>86</v>
      </c>
      <c r="K1047" t="s">
        <v>87</v>
      </c>
      <c r="M1047">
        <v>63.41</v>
      </c>
      <c r="N1047" s="4">
        <f t="shared" si="16"/>
        <v>-50</v>
      </c>
      <c r="O1047" t="s">
        <v>83</v>
      </c>
    </row>
    <row r="1048" spans="1:17" x14ac:dyDescent="0.25">
      <c r="A1048" s="38">
        <v>45712</v>
      </c>
      <c r="B1048" s="1">
        <v>218926248</v>
      </c>
      <c r="C1048" t="s">
        <v>1014</v>
      </c>
      <c r="D1048" s="23">
        <v>-25167.77</v>
      </c>
      <c r="E1048" t="s">
        <v>35</v>
      </c>
      <c r="F1048" s="2">
        <v>210101001</v>
      </c>
      <c r="G1048" s="2" t="s">
        <v>36</v>
      </c>
      <c r="I1048" s="95" t="s">
        <v>7231</v>
      </c>
      <c r="J1048" t="s">
        <v>394</v>
      </c>
      <c r="K1048" t="s">
        <v>395</v>
      </c>
      <c r="M1048">
        <v>63.41</v>
      </c>
      <c r="N1048" s="4">
        <f t="shared" si="16"/>
        <v>-396.90537770067817</v>
      </c>
      <c r="O1048" t="s">
        <v>83</v>
      </c>
    </row>
    <row r="1049" spans="1:17" x14ac:dyDescent="0.25">
      <c r="A1049" s="38">
        <v>45712</v>
      </c>
      <c r="B1049" s="1">
        <v>218926249</v>
      </c>
      <c r="C1049" t="s">
        <v>1015</v>
      </c>
      <c r="D1049" s="23">
        <v>-712.62</v>
      </c>
      <c r="E1049" t="s">
        <v>35</v>
      </c>
      <c r="F1049" s="2">
        <v>210101001</v>
      </c>
      <c r="G1049" s="2" t="s">
        <v>36</v>
      </c>
      <c r="I1049" s="95" t="s">
        <v>7231</v>
      </c>
      <c r="J1049" t="s">
        <v>368</v>
      </c>
      <c r="K1049" t="s">
        <v>80</v>
      </c>
      <c r="M1049">
        <v>63.41</v>
      </c>
      <c r="N1049" s="4">
        <f t="shared" si="16"/>
        <v>-11.238290490458919</v>
      </c>
      <c r="O1049" t="s">
        <v>83</v>
      </c>
    </row>
    <row r="1050" spans="1:17" x14ac:dyDescent="0.25">
      <c r="A1050" s="38">
        <v>45712</v>
      </c>
      <c r="B1050" s="1">
        <v>50292963</v>
      </c>
      <c r="C1050" t="s">
        <v>89</v>
      </c>
      <c r="D1050" s="23">
        <v>-72.62</v>
      </c>
      <c r="E1050" t="s">
        <v>35</v>
      </c>
      <c r="F1050" s="2">
        <v>610148001</v>
      </c>
      <c r="G1050" s="2" t="s">
        <v>41</v>
      </c>
      <c r="I1050" s="95" t="s">
        <v>7231</v>
      </c>
      <c r="J1050" t="s">
        <v>42</v>
      </c>
      <c r="K1050" t="s">
        <v>41</v>
      </c>
      <c r="M1050">
        <v>63.41</v>
      </c>
      <c r="N1050" s="4">
        <f t="shared" si="16"/>
        <v>-1.145245229459076</v>
      </c>
      <c r="O1050" t="s">
        <v>83</v>
      </c>
      <c r="Q1050" s="24" t="s">
        <v>677</v>
      </c>
    </row>
    <row r="1051" spans="1:17" x14ac:dyDescent="0.25">
      <c r="A1051" s="38">
        <v>45713</v>
      </c>
      <c r="B1051" s="1">
        <v>618972352</v>
      </c>
      <c r="C1051" t="s">
        <v>1016</v>
      </c>
      <c r="D1051" s="23">
        <v>-14158.5</v>
      </c>
      <c r="E1051" t="s">
        <v>35</v>
      </c>
      <c r="F1051" s="2">
        <v>110114001</v>
      </c>
      <c r="G1051" s="2" t="s">
        <v>181</v>
      </c>
      <c r="I1051" s="95" t="s">
        <v>7231</v>
      </c>
      <c r="J1051" t="s">
        <v>182</v>
      </c>
      <c r="K1051" t="s">
        <v>183</v>
      </c>
      <c r="M1051">
        <v>63.49</v>
      </c>
      <c r="N1051" s="4">
        <f t="shared" si="16"/>
        <v>-223.00362261773506</v>
      </c>
      <c r="O1051" t="s">
        <v>83</v>
      </c>
      <c r="P1051" s="34" t="s">
        <v>682</v>
      </c>
    </row>
    <row r="1052" spans="1:17" x14ac:dyDescent="0.25">
      <c r="A1052" s="38">
        <v>45713</v>
      </c>
      <c r="B1052" s="1">
        <v>618972352</v>
      </c>
      <c r="C1052" t="s">
        <v>185</v>
      </c>
      <c r="D1052" s="23">
        <v>-42.48</v>
      </c>
      <c r="E1052" t="s">
        <v>35</v>
      </c>
      <c r="F1052" s="2">
        <v>610148001</v>
      </c>
      <c r="G1052" s="2" t="s">
        <v>41</v>
      </c>
      <c r="I1052" s="95" t="s">
        <v>7231</v>
      </c>
      <c r="J1052" t="s">
        <v>42</v>
      </c>
      <c r="K1052" t="s">
        <v>41</v>
      </c>
      <c r="M1052">
        <v>63.49</v>
      </c>
      <c r="N1052" s="4">
        <f t="shared" si="16"/>
        <v>-0.66908174515671748</v>
      </c>
      <c r="O1052" t="s">
        <v>83</v>
      </c>
      <c r="Q1052" s="24" t="s">
        <v>677</v>
      </c>
    </row>
    <row r="1053" spans="1:17" x14ac:dyDescent="0.25">
      <c r="A1053" s="38">
        <v>45713</v>
      </c>
      <c r="B1053" s="1">
        <v>918979821</v>
      </c>
      <c r="C1053" t="s">
        <v>1017</v>
      </c>
      <c r="D1053" s="23">
        <v>-723.78</v>
      </c>
      <c r="E1053" t="s">
        <v>35</v>
      </c>
      <c r="F1053" s="2">
        <v>110114001</v>
      </c>
      <c r="G1053" s="2" t="s">
        <v>181</v>
      </c>
      <c r="I1053" s="95" t="s">
        <v>7231</v>
      </c>
      <c r="J1053" t="s">
        <v>376</v>
      </c>
      <c r="K1053" t="s">
        <v>377</v>
      </c>
      <c r="M1053">
        <v>63.49</v>
      </c>
      <c r="N1053" s="4">
        <f t="shared" si="16"/>
        <v>-11.39990549692865</v>
      </c>
      <c r="O1053" t="s">
        <v>83</v>
      </c>
      <c r="P1053" s="34" t="s">
        <v>682</v>
      </c>
    </row>
    <row r="1054" spans="1:17" x14ac:dyDescent="0.25">
      <c r="A1054" s="38">
        <v>45713</v>
      </c>
      <c r="B1054" s="1">
        <v>918979821</v>
      </c>
      <c r="C1054" t="s">
        <v>185</v>
      </c>
      <c r="D1054" s="23">
        <v>-2.17</v>
      </c>
      <c r="E1054" t="s">
        <v>35</v>
      </c>
      <c r="F1054" s="2">
        <v>610148001</v>
      </c>
      <c r="G1054" s="2" t="s">
        <v>41</v>
      </c>
      <c r="I1054" s="95" t="s">
        <v>7231</v>
      </c>
      <c r="J1054" t="s">
        <v>42</v>
      </c>
      <c r="K1054" t="s">
        <v>41</v>
      </c>
      <c r="M1054">
        <v>63.49</v>
      </c>
      <c r="N1054" s="4">
        <f t="shared" si="16"/>
        <v>-3.4178610804851156E-2</v>
      </c>
      <c r="O1054" t="s">
        <v>83</v>
      </c>
      <c r="Q1054" s="24" t="s">
        <v>677</v>
      </c>
    </row>
    <row r="1055" spans="1:17" x14ac:dyDescent="0.25">
      <c r="A1055" s="38">
        <v>45714</v>
      </c>
      <c r="B1055" s="1">
        <v>179165667</v>
      </c>
      <c r="C1055" t="s">
        <v>1018</v>
      </c>
      <c r="D1055" s="23">
        <v>9505.64</v>
      </c>
      <c r="E1055" t="s">
        <v>45</v>
      </c>
      <c r="F1055" s="2">
        <v>110106001</v>
      </c>
      <c r="G1055" s="2" t="s">
        <v>1011</v>
      </c>
      <c r="I1055" s="95" t="s">
        <v>7231</v>
      </c>
      <c r="K1055" t="s">
        <v>1012</v>
      </c>
      <c r="M1055">
        <v>64.02</v>
      </c>
      <c r="N1055" s="4">
        <f t="shared" si="16"/>
        <v>148.47922524211185</v>
      </c>
      <c r="O1055" t="s">
        <v>83</v>
      </c>
    </row>
    <row r="1056" spans="1:17" x14ac:dyDescent="0.25">
      <c r="A1056" s="38">
        <v>45714</v>
      </c>
      <c r="B1056" s="1">
        <v>179165667</v>
      </c>
      <c r="C1056" t="s">
        <v>1013</v>
      </c>
      <c r="D1056" s="23">
        <v>-142.58000000000001</v>
      </c>
      <c r="E1056" t="s">
        <v>35</v>
      </c>
      <c r="F1056" s="2">
        <v>610148001</v>
      </c>
      <c r="G1056" s="2" t="s">
        <v>41</v>
      </c>
      <c r="I1056" s="95" t="s">
        <v>7231</v>
      </c>
      <c r="J1056" t="s">
        <v>42</v>
      </c>
      <c r="K1056" t="s">
        <v>41</v>
      </c>
      <c r="M1056">
        <v>64.02</v>
      </c>
      <c r="N1056" s="4">
        <f t="shared" si="16"/>
        <v>-2.2271165260855987</v>
      </c>
      <c r="O1056" t="s">
        <v>83</v>
      </c>
      <c r="Q1056" s="24" t="s">
        <v>677</v>
      </c>
    </row>
    <row r="1057" spans="1:20" x14ac:dyDescent="0.25">
      <c r="A1057" s="38">
        <v>45714</v>
      </c>
      <c r="B1057" s="1">
        <v>319006157</v>
      </c>
      <c r="C1057" t="s">
        <v>1019</v>
      </c>
      <c r="D1057" s="23">
        <v>-2209.4499999999998</v>
      </c>
      <c r="E1057" t="s">
        <v>35</v>
      </c>
      <c r="F1057" s="2">
        <v>110114001</v>
      </c>
      <c r="G1057" s="2" t="s">
        <v>181</v>
      </c>
      <c r="I1057" s="95" t="s">
        <v>7231</v>
      </c>
      <c r="J1057" t="s">
        <v>383</v>
      </c>
      <c r="K1057" t="s">
        <v>384</v>
      </c>
      <c r="M1057">
        <v>64.02</v>
      </c>
      <c r="N1057" s="4">
        <f t="shared" si="16"/>
        <v>-34.511871290221805</v>
      </c>
      <c r="O1057" t="s">
        <v>83</v>
      </c>
      <c r="P1057" s="34" t="s">
        <v>682</v>
      </c>
    </row>
    <row r="1058" spans="1:20" x14ac:dyDescent="0.25">
      <c r="A1058" s="38">
        <v>45714</v>
      </c>
      <c r="B1058" s="1">
        <v>319006156</v>
      </c>
      <c r="C1058" t="s">
        <v>1020</v>
      </c>
      <c r="D1058" s="23">
        <v>-25040.46</v>
      </c>
      <c r="E1058" t="s">
        <v>35</v>
      </c>
      <c r="F1058" s="2">
        <v>110114001</v>
      </c>
      <c r="G1058" s="2" t="s">
        <v>181</v>
      </c>
      <c r="I1058" s="95" t="s">
        <v>7231</v>
      </c>
      <c r="J1058" t="s">
        <v>680</v>
      </c>
      <c r="K1058" t="s">
        <v>681</v>
      </c>
      <c r="M1058">
        <v>64.02</v>
      </c>
      <c r="N1058" s="4">
        <f t="shared" si="16"/>
        <v>-391.13495782567946</v>
      </c>
      <c r="O1058" t="s">
        <v>83</v>
      </c>
      <c r="P1058" s="34" t="s">
        <v>682</v>
      </c>
    </row>
    <row r="1059" spans="1:20" x14ac:dyDescent="0.25">
      <c r="A1059" s="38">
        <v>45714</v>
      </c>
      <c r="B1059" s="1">
        <v>50250607</v>
      </c>
      <c r="C1059" t="s">
        <v>89</v>
      </c>
      <c r="D1059" s="23">
        <v>-68.12</v>
      </c>
      <c r="E1059" t="s">
        <v>35</v>
      </c>
      <c r="F1059" s="2">
        <v>610148001</v>
      </c>
      <c r="G1059" s="2" t="s">
        <v>41</v>
      </c>
      <c r="I1059" s="95" t="s">
        <v>7231</v>
      </c>
      <c r="J1059" t="s">
        <v>42</v>
      </c>
      <c r="K1059" t="s">
        <v>41</v>
      </c>
      <c r="M1059">
        <v>64.02</v>
      </c>
      <c r="N1059" s="4">
        <f t="shared" si="16"/>
        <v>-1.0640424867228993</v>
      </c>
      <c r="O1059" t="s">
        <v>83</v>
      </c>
      <c r="Q1059" s="24" t="s">
        <v>677</v>
      </c>
    </row>
    <row r="1060" spans="1:20" x14ac:dyDescent="0.25">
      <c r="A1060" s="38">
        <v>45714</v>
      </c>
      <c r="B1060" s="1">
        <v>145211219</v>
      </c>
      <c r="C1060" t="s">
        <v>82</v>
      </c>
      <c r="D1060" s="23">
        <v>42000</v>
      </c>
      <c r="E1060" t="s">
        <v>45</v>
      </c>
      <c r="F1060" s="2">
        <v>210115002</v>
      </c>
      <c r="G1060" s="2" t="s">
        <v>46</v>
      </c>
      <c r="I1060" s="95" t="s">
        <v>7231</v>
      </c>
      <c r="K1060" t="s">
        <v>82</v>
      </c>
      <c r="M1060">
        <v>64.02</v>
      </c>
      <c r="N1060" s="4">
        <f t="shared" si="16"/>
        <v>656.04498594189317</v>
      </c>
      <c r="O1060" t="s">
        <v>83</v>
      </c>
    </row>
    <row r="1061" spans="1:20" x14ac:dyDescent="0.25">
      <c r="A1061" s="38">
        <v>45714</v>
      </c>
      <c r="B1061" s="1">
        <v>219017501</v>
      </c>
      <c r="C1061" t="s">
        <v>1021</v>
      </c>
      <c r="D1061" s="23">
        <v>-21861.919999999998</v>
      </c>
      <c r="E1061" t="s">
        <v>35</v>
      </c>
      <c r="F1061" s="2">
        <v>110114001</v>
      </c>
      <c r="G1061" s="2" t="s">
        <v>181</v>
      </c>
      <c r="I1061" s="95" t="s">
        <v>7231</v>
      </c>
      <c r="J1061" t="s">
        <v>414</v>
      </c>
      <c r="K1061" t="s">
        <v>415</v>
      </c>
      <c r="M1061">
        <v>64.02</v>
      </c>
      <c r="N1061" s="4">
        <f t="shared" si="16"/>
        <v>-341.48578569197127</v>
      </c>
      <c r="O1061" t="s">
        <v>83</v>
      </c>
      <c r="P1061" s="34" t="s">
        <v>694</v>
      </c>
    </row>
    <row r="1062" spans="1:20" x14ac:dyDescent="0.25">
      <c r="A1062" s="38">
        <v>45714</v>
      </c>
      <c r="B1062" s="1">
        <v>219017502</v>
      </c>
      <c r="C1062" t="s">
        <v>1022</v>
      </c>
      <c r="D1062" s="23">
        <v>-21126.59</v>
      </c>
      <c r="E1062" t="s">
        <v>35</v>
      </c>
      <c r="F1062" s="2">
        <v>110114001</v>
      </c>
      <c r="G1062" s="2" t="s">
        <v>181</v>
      </c>
      <c r="I1062" s="95" t="s">
        <v>7231</v>
      </c>
      <c r="J1062" t="s">
        <v>1007</v>
      </c>
      <c r="K1062" t="s">
        <v>1008</v>
      </c>
      <c r="M1062">
        <v>64.02</v>
      </c>
      <c r="N1062" s="4">
        <f t="shared" si="16"/>
        <v>-329.99984379881289</v>
      </c>
      <c r="O1062" t="s">
        <v>83</v>
      </c>
      <c r="P1062" s="34" t="s">
        <v>694</v>
      </c>
    </row>
    <row r="1063" spans="1:20" x14ac:dyDescent="0.25">
      <c r="A1063" s="38">
        <v>45714</v>
      </c>
      <c r="B1063" s="1">
        <v>50298478</v>
      </c>
      <c r="C1063" t="s">
        <v>89</v>
      </c>
      <c r="D1063" s="23">
        <v>-107.47</v>
      </c>
      <c r="E1063" t="s">
        <v>35</v>
      </c>
      <c r="F1063" s="2">
        <v>610148001</v>
      </c>
      <c r="G1063" s="2" t="s">
        <v>41</v>
      </c>
      <c r="I1063" s="95" t="s">
        <v>7231</v>
      </c>
      <c r="J1063" t="s">
        <v>42</v>
      </c>
      <c r="K1063" t="s">
        <v>41</v>
      </c>
      <c r="M1063">
        <v>64.02</v>
      </c>
      <c r="N1063" s="4">
        <f t="shared" si="16"/>
        <v>-1.6786941580756014</v>
      </c>
      <c r="O1063" t="s">
        <v>83</v>
      </c>
      <c r="Q1063" s="24" t="s">
        <v>677</v>
      </c>
    </row>
    <row r="1064" spans="1:20" x14ac:dyDescent="0.25">
      <c r="A1064" s="38">
        <v>45715</v>
      </c>
      <c r="B1064" s="1">
        <v>719058171</v>
      </c>
      <c r="C1064" t="s">
        <v>1023</v>
      </c>
      <c r="D1064" s="23">
        <v>-100</v>
      </c>
      <c r="E1064" t="s">
        <v>35</v>
      </c>
      <c r="F1064" s="2">
        <v>110114001</v>
      </c>
      <c r="G1064" s="2" t="s">
        <v>181</v>
      </c>
      <c r="I1064" s="95" t="s">
        <v>7231</v>
      </c>
      <c r="J1064" t="s">
        <v>414</v>
      </c>
      <c r="K1064" t="s">
        <v>415</v>
      </c>
      <c r="M1064">
        <v>64.239999999999995</v>
      </c>
      <c r="N1064" s="4">
        <f t="shared" si="16"/>
        <v>-1.5566625155666254</v>
      </c>
      <c r="O1064" t="s">
        <v>83</v>
      </c>
      <c r="P1064" s="34" t="s">
        <v>694</v>
      </c>
    </row>
    <row r="1065" spans="1:20" x14ac:dyDescent="0.25">
      <c r="A1065" s="38">
        <v>45715</v>
      </c>
      <c r="B1065" s="1">
        <v>719058171</v>
      </c>
      <c r="C1065" t="s">
        <v>185</v>
      </c>
      <c r="D1065" s="23">
        <v>-0.3</v>
      </c>
      <c r="E1065" t="s">
        <v>35</v>
      </c>
      <c r="F1065" s="2">
        <v>610148001</v>
      </c>
      <c r="G1065" s="2" t="s">
        <v>41</v>
      </c>
      <c r="I1065" s="95" t="s">
        <v>7231</v>
      </c>
      <c r="J1065" t="s">
        <v>42</v>
      </c>
      <c r="K1065" t="s">
        <v>41</v>
      </c>
      <c r="M1065">
        <v>64.239999999999995</v>
      </c>
      <c r="N1065" s="4">
        <f t="shared" si="16"/>
        <v>-4.6699875466998759E-3</v>
      </c>
      <c r="O1065" t="s">
        <v>83</v>
      </c>
      <c r="Q1065" s="24" t="s">
        <v>677</v>
      </c>
    </row>
    <row r="1066" spans="1:20" x14ac:dyDescent="0.25">
      <c r="A1066" s="38">
        <v>45715</v>
      </c>
      <c r="B1066" s="1">
        <v>111706595</v>
      </c>
      <c r="C1066" t="s">
        <v>1024</v>
      </c>
      <c r="D1066" s="23">
        <v>-3725.95</v>
      </c>
      <c r="E1066" t="s">
        <v>35</v>
      </c>
      <c r="F1066" s="2">
        <v>110114001</v>
      </c>
      <c r="G1066" s="2" t="s">
        <v>181</v>
      </c>
      <c r="I1066" s="95" t="s">
        <v>7231</v>
      </c>
      <c r="J1066" t="s">
        <v>1007</v>
      </c>
      <c r="K1066" t="s">
        <v>1008</v>
      </c>
      <c r="M1066">
        <v>64.239999999999995</v>
      </c>
      <c r="N1066" s="4">
        <f t="shared" si="16"/>
        <v>-58.000466998754675</v>
      </c>
      <c r="O1066" t="s">
        <v>83</v>
      </c>
      <c r="P1066" s="34" t="s">
        <v>694</v>
      </c>
    </row>
    <row r="1067" spans="1:20" x14ac:dyDescent="0.25">
      <c r="A1067" s="38">
        <v>45715</v>
      </c>
      <c r="B1067" s="1">
        <v>161758346</v>
      </c>
      <c r="C1067" t="s">
        <v>82</v>
      </c>
      <c r="D1067" s="23">
        <v>340000</v>
      </c>
      <c r="E1067" t="s">
        <v>45</v>
      </c>
      <c r="F1067" s="2">
        <v>210115002</v>
      </c>
      <c r="G1067" s="2" t="s">
        <v>46</v>
      </c>
      <c r="I1067" s="95" t="s">
        <v>7231</v>
      </c>
      <c r="K1067" t="s">
        <v>82</v>
      </c>
      <c r="M1067">
        <v>64.239999999999995</v>
      </c>
      <c r="N1067" s="4">
        <f t="shared" si="16"/>
        <v>5292.6525529265264</v>
      </c>
      <c r="O1067" t="s">
        <v>83</v>
      </c>
    </row>
    <row r="1068" spans="1:20" x14ac:dyDescent="0.25">
      <c r="A1068" s="38">
        <v>45715</v>
      </c>
      <c r="B1068" s="1">
        <v>319084039</v>
      </c>
      <c r="C1068" t="s">
        <v>1025</v>
      </c>
      <c r="D1068" s="23">
        <v>-61.65</v>
      </c>
      <c r="E1068" t="s">
        <v>35</v>
      </c>
      <c r="F1068" s="2">
        <v>212901001</v>
      </c>
      <c r="G1068" s="2" t="s">
        <v>91</v>
      </c>
      <c r="I1068" s="95" t="s">
        <v>7231</v>
      </c>
      <c r="J1068" t="s">
        <v>61</v>
      </c>
      <c r="K1068" t="s">
        <v>62</v>
      </c>
      <c r="M1068">
        <v>64.239999999999995</v>
      </c>
      <c r="N1068" s="4">
        <f t="shared" si="16"/>
        <v>-0.95968244084682441</v>
      </c>
      <c r="O1068" t="s">
        <v>83</v>
      </c>
      <c r="R1068">
        <v>9</v>
      </c>
      <c r="S1068" t="e">
        <f>VLOOKUP(R1068,[1]!NOMINA[#Data],4,FALSE)</f>
        <v>#REF!</v>
      </c>
      <c r="T1068" t="e">
        <f>VLOOKUP(R1068,[1]!NOMINA[#Data],5,FALSE)</f>
        <v>#REF!</v>
      </c>
    </row>
    <row r="1069" spans="1:20" x14ac:dyDescent="0.25">
      <c r="A1069" s="38">
        <v>45715</v>
      </c>
      <c r="B1069" s="1">
        <v>319084035</v>
      </c>
      <c r="C1069" t="s">
        <v>1026</v>
      </c>
      <c r="D1069" s="23">
        <v>-61.65</v>
      </c>
      <c r="E1069" t="s">
        <v>35</v>
      </c>
      <c r="F1069" s="2">
        <v>212901001</v>
      </c>
      <c r="G1069" s="2" t="s">
        <v>91</v>
      </c>
      <c r="I1069" s="95" t="s">
        <v>7231</v>
      </c>
      <c r="J1069" t="s">
        <v>61</v>
      </c>
      <c r="K1069" t="s">
        <v>62</v>
      </c>
      <c r="M1069">
        <v>64.239999999999995</v>
      </c>
      <c r="N1069" s="4">
        <f t="shared" si="16"/>
        <v>-0.95968244084682441</v>
      </c>
      <c r="O1069" t="s">
        <v>83</v>
      </c>
      <c r="R1069">
        <v>26</v>
      </c>
      <c r="S1069" t="e">
        <f>VLOOKUP(Tabla3[[#This Row],[Nº]],[1]!NOMINA[#Data],4,FALSE)</f>
        <v>#REF!</v>
      </c>
      <c r="T1069" t="e">
        <f>VLOOKUP(Tabla3[[#This Row],[Nº]],[1]!NOMINA[#Data],5,FALSE)</f>
        <v>#REF!</v>
      </c>
    </row>
    <row r="1070" spans="1:20" x14ac:dyDescent="0.25">
      <c r="A1070" s="38">
        <v>45715</v>
      </c>
      <c r="B1070" s="1">
        <v>319084037</v>
      </c>
      <c r="C1070" t="s">
        <v>1027</v>
      </c>
      <c r="D1070" s="23">
        <v>-61.65</v>
      </c>
      <c r="E1070" t="s">
        <v>35</v>
      </c>
      <c r="F1070" s="2">
        <v>212901001</v>
      </c>
      <c r="G1070" s="2" t="s">
        <v>91</v>
      </c>
      <c r="I1070" s="95" t="s">
        <v>7231</v>
      </c>
      <c r="J1070" t="s">
        <v>61</v>
      </c>
      <c r="K1070" t="s">
        <v>62</v>
      </c>
      <c r="M1070">
        <v>64.239999999999995</v>
      </c>
      <c r="N1070" s="4">
        <f t="shared" si="16"/>
        <v>-0.95968244084682441</v>
      </c>
      <c r="O1070" t="s">
        <v>83</v>
      </c>
      <c r="R1070">
        <v>29</v>
      </c>
      <c r="S1070" t="e">
        <f>VLOOKUP(R1070,[1]!NOMINA[#Data],4,FALSE)</f>
        <v>#REF!</v>
      </c>
      <c r="T1070" t="e">
        <f>VLOOKUP(R1070,[1]!NOMINA[#Data],5,FALSE)</f>
        <v>#REF!</v>
      </c>
    </row>
    <row r="1071" spans="1:20" x14ac:dyDescent="0.25">
      <c r="A1071" s="38">
        <v>45715</v>
      </c>
      <c r="B1071" s="1">
        <v>319084036</v>
      </c>
      <c r="C1071" t="s">
        <v>1028</v>
      </c>
      <c r="D1071" s="23">
        <v>-61.65</v>
      </c>
      <c r="E1071" t="s">
        <v>35</v>
      </c>
      <c r="F1071" s="2">
        <v>212901001</v>
      </c>
      <c r="G1071" s="2" t="s">
        <v>91</v>
      </c>
      <c r="I1071" s="95" t="s">
        <v>7231</v>
      </c>
      <c r="J1071" t="s">
        <v>61</v>
      </c>
      <c r="K1071" t="s">
        <v>62</v>
      </c>
      <c r="M1071">
        <v>64.239999999999995</v>
      </c>
      <c r="N1071" s="4">
        <f t="shared" si="16"/>
        <v>-0.95968244084682441</v>
      </c>
      <c r="O1071" t="s">
        <v>83</v>
      </c>
      <c r="R1071">
        <v>44</v>
      </c>
      <c r="S1071" t="e">
        <f>VLOOKUP(R1071,[1]!NOMINA[#Data],4,FALSE)</f>
        <v>#REF!</v>
      </c>
      <c r="T1071" t="e">
        <f>VLOOKUP(R1071,[1]!NOMINA[#Data],5,FALSE)</f>
        <v>#REF!</v>
      </c>
    </row>
    <row r="1072" spans="1:20" x14ac:dyDescent="0.25">
      <c r="A1072" s="38">
        <v>45715</v>
      </c>
      <c r="B1072" s="1">
        <v>319084041</v>
      </c>
      <c r="C1072" t="s">
        <v>1029</v>
      </c>
      <c r="D1072" s="23">
        <v>-61.65</v>
      </c>
      <c r="E1072" t="s">
        <v>35</v>
      </c>
      <c r="F1072" s="2">
        <v>212901001</v>
      </c>
      <c r="G1072" s="2" t="s">
        <v>91</v>
      </c>
      <c r="I1072" s="95" t="s">
        <v>7231</v>
      </c>
      <c r="J1072" t="s">
        <v>61</v>
      </c>
      <c r="K1072" t="s">
        <v>62</v>
      </c>
      <c r="M1072">
        <v>64.239999999999995</v>
      </c>
      <c r="N1072" s="4">
        <f t="shared" si="16"/>
        <v>-0.95968244084682441</v>
      </c>
      <c r="O1072" t="s">
        <v>83</v>
      </c>
      <c r="R1072">
        <v>10</v>
      </c>
      <c r="S1072" t="e">
        <f>VLOOKUP(R1072,[1]!NOMINA[#Data],4,FALSE)</f>
        <v>#REF!</v>
      </c>
      <c r="T1072" t="e">
        <f>VLOOKUP(R1072,[1]!NOMINA[#Data],5,FALSE)</f>
        <v>#REF!</v>
      </c>
    </row>
    <row r="1073" spans="1:20" x14ac:dyDescent="0.25">
      <c r="A1073" s="38">
        <v>45715</v>
      </c>
      <c r="B1073" s="1">
        <v>319084042</v>
      </c>
      <c r="C1073" t="s">
        <v>1030</v>
      </c>
      <c r="D1073" s="23">
        <v>-61.65</v>
      </c>
      <c r="E1073" t="s">
        <v>35</v>
      </c>
      <c r="F1073" s="2">
        <v>212901001</v>
      </c>
      <c r="G1073" s="2" t="s">
        <v>91</v>
      </c>
      <c r="I1073" s="95" t="s">
        <v>7231</v>
      </c>
      <c r="J1073" t="s">
        <v>61</v>
      </c>
      <c r="K1073" t="s">
        <v>62</v>
      </c>
      <c r="M1073">
        <v>64.239999999999995</v>
      </c>
      <c r="N1073" s="4">
        <f t="shared" si="16"/>
        <v>-0.95968244084682441</v>
      </c>
      <c r="O1073" t="s">
        <v>83</v>
      </c>
      <c r="R1073">
        <v>18</v>
      </c>
      <c r="S1073" t="e">
        <f>VLOOKUP(Tabla3[[#This Row],[Nº]],[1]!NOMINA[#Data],4,FALSE)</f>
        <v>#REF!</v>
      </c>
      <c r="T1073" t="e">
        <f>VLOOKUP(Tabla3[[#This Row],[Nº]],[1]!NOMINA[#Data],5,FALSE)</f>
        <v>#REF!</v>
      </c>
    </row>
    <row r="1074" spans="1:20" x14ac:dyDescent="0.25">
      <c r="A1074" s="38">
        <v>45715</v>
      </c>
      <c r="B1074" s="1">
        <v>319084038</v>
      </c>
      <c r="C1074" t="s">
        <v>1031</v>
      </c>
      <c r="D1074" s="23">
        <v>-61.65</v>
      </c>
      <c r="E1074" t="s">
        <v>35</v>
      </c>
      <c r="F1074" s="2">
        <v>212901001</v>
      </c>
      <c r="G1074" s="2" t="s">
        <v>91</v>
      </c>
      <c r="I1074" s="95" t="s">
        <v>7231</v>
      </c>
      <c r="J1074" t="s">
        <v>61</v>
      </c>
      <c r="K1074" t="s">
        <v>62</v>
      </c>
      <c r="M1074">
        <v>64.239999999999995</v>
      </c>
      <c r="N1074" s="4">
        <f t="shared" si="16"/>
        <v>-0.95968244084682441</v>
      </c>
      <c r="O1074" t="s">
        <v>83</v>
      </c>
      <c r="R1074">
        <v>38</v>
      </c>
      <c r="S1074" t="e">
        <f>VLOOKUP(R1074,[1]!NOMINA[#Data],4,FALSE)</f>
        <v>#REF!</v>
      </c>
      <c r="T1074" t="e">
        <f>VLOOKUP(R1074,[1]!NOMINA[#Data],5,FALSE)</f>
        <v>#REF!</v>
      </c>
    </row>
    <row r="1075" spans="1:20" x14ac:dyDescent="0.25">
      <c r="A1075" s="38">
        <v>45715</v>
      </c>
      <c r="B1075" s="1">
        <v>319084040</v>
      </c>
      <c r="C1075" t="s">
        <v>1032</v>
      </c>
      <c r="D1075" s="23">
        <v>-61.65</v>
      </c>
      <c r="E1075" t="s">
        <v>35</v>
      </c>
      <c r="F1075" s="2">
        <v>212901001</v>
      </c>
      <c r="G1075" s="2" t="s">
        <v>91</v>
      </c>
      <c r="I1075" s="95" t="s">
        <v>7231</v>
      </c>
      <c r="J1075" t="s">
        <v>61</v>
      </c>
      <c r="K1075" t="s">
        <v>62</v>
      </c>
      <c r="M1075">
        <v>64.239999999999995</v>
      </c>
      <c r="N1075" s="4">
        <f t="shared" si="16"/>
        <v>-0.95968244084682441</v>
      </c>
      <c r="O1075" t="s">
        <v>83</v>
      </c>
      <c r="R1075">
        <v>15</v>
      </c>
      <c r="S1075" t="e">
        <f>VLOOKUP(R1075,[1]!NOMINA[#Data],4,FALSE)</f>
        <v>#REF!</v>
      </c>
      <c r="T1075" t="e">
        <f>VLOOKUP(R1075,[1]!NOMINA[#Data],5,FALSE)</f>
        <v>#REF!</v>
      </c>
    </row>
    <row r="1076" spans="1:20" x14ac:dyDescent="0.25">
      <c r="A1076" s="38">
        <v>45715</v>
      </c>
      <c r="B1076" s="1">
        <v>319084044</v>
      </c>
      <c r="C1076" t="s">
        <v>1033</v>
      </c>
      <c r="D1076" s="23">
        <v>-61.65</v>
      </c>
      <c r="E1076" t="s">
        <v>35</v>
      </c>
      <c r="F1076" s="2">
        <v>212901001</v>
      </c>
      <c r="G1076" s="2" t="s">
        <v>91</v>
      </c>
      <c r="I1076" s="95" t="s">
        <v>7231</v>
      </c>
      <c r="J1076" t="s">
        <v>61</v>
      </c>
      <c r="K1076" s="2" t="s">
        <v>62</v>
      </c>
      <c r="L1076" s="2"/>
      <c r="M1076">
        <v>64.239999999999995</v>
      </c>
      <c r="N1076" s="4">
        <f t="shared" si="16"/>
        <v>-0.95968244084682441</v>
      </c>
      <c r="O1076" t="s">
        <v>83</v>
      </c>
      <c r="R1076">
        <v>36</v>
      </c>
      <c r="S1076" t="e">
        <f>VLOOKUP(R1076,[1]!NOMINA[#Data],4,FALSE)</f>
        <v>#REF!</v>
      </c>
      <c r="T1076" t="e">
        <f>VLOOKUP(R1076,[1]!NOMINA[#Data],5,FALSE)</f>
        <v>#REF!</v>
      </c>
    </row>
    <row r="1077" spans="1:20" x14ac:dyDescent="0.25">
      <c r="A1077" s="38">
        <v>45715</v>
      </c>
      <c r="B1077" s="1">
        <v>319084046</v>
      </c>
      <c r="C1077" t="s">
        <v>1034</v>
      </c>
      <c r="D1077" s="23">
        <v>-61.65</v>
      </c>
      <c r="E1077" t="s">
        <v>35</v>
      </c>
      <c r="F1077" s="2">
        <v>212901001</v>
      </c>
      <c r="G1077" s="2" t="s">
        <v>91</v>
      </c>
      <c r="I1077" s="95" t="s">
        <v>7231</v>
      </c>
      <c r="J1077" t="s">
        <v>61</v>
      </c>
      <c r="K1077" t="s">
        <v>62</v>
      </c>
      <c r="M1077">
        <v>64.239999999999995</v>
      </c>
      <c r="N1077" s="4">
        <f t="shared" si="16"/>
        <v>-0.95968244084682441</v>
      </c>
      <c r="O1077" t="s">
        <v>83</v>
      </c>
      <c r="R1077">
        <v>20</v>
      </c>
      <c r="S1077" t="e">
        <f>VLOOKUP(Tabla3[[#This Row],[Nº]],[1]!NOMINA[#Data],4,FALSE)</f>
        <v>#REF!</v>
      </c>
      <c r="T1077" t="e">
        <f>VLOOKUP(Tabla3[[#This Row],[Nº]],[1]!NOMINA[#Data],5,FALSE)</f>
        <v>#REF!</v>
      </c>
    </row>
    <row r="1078" spans="1:20" x14ac:dyDescent="0.25">
      <c r="A1078" s="38">
        <v>45715</v>
      </c>
      <c r="B1078" s="1">
        <v>319084045</v>
      </c>
      <c r="C1078" t="s">
        <v>1035</v>
      </c>
      <c r="D1078" s="23">
        <v>-61.65</v>
      </c>
      <c r="E1078" t="s">
        <v>35</v>
      </c>
      <c r="F1078" s="2">
        <v>212901001</v>
      </c>
      <c r="G1078" s="2" t="s">
        <v>91</v>
      </c>
      <c r="I1078" s="95" t="s">
        <v>7231</v>
      </c>
      <c r="J1078" t="s">
        <v>61</v>
      </c>
      <c r="K1078" t="s">
        <v>62</v>
      </c>
      <c r="M1078">
        <v>64.239999999999995</v>
      </c>
      <c r="N1078" s="4">
        <f t="shared" si="16"/>
        <v>-0.95968244084682441</v>
      </c>
      <c r="O1078" t="s">
        <v>83</v>
      </c>
      <c r="R1078">
        <v>41</v>
      </c>
      <c r="S1078" t="e">
        <f>VLOOKUP(R1078,[1]!NOMINA[#Data],4,FALSE)</f>
        <v>#REF!</v>
      </c>
      <c r="T1078" t="e">
        <f>VLOOKUP(R1078,[1]!NOMINA[#Data],5,FALSE)</f>
        <v>#REF!</v>
      </c>
    </row>
    <row r="1079" spans="1:20" x14ac:dyDescent="0.25">
      <c r="A1079" s="38">
        <v>45715</v>
      </c>
      <c r="B1079" s="1">
        <v>319084043</v>
      </c>
      <c r="C1079" t="s">
        <v>1036</v>
      </c>
      <c r="D1079" s="23">
        <v>-61.65</v>
      </c>
      <c r="E1079" t="s">
        <v>35</v>
      </c>
      <c r="F1079" s="2">
        <v>212901001</v>
      </c>
      <c r="G1079" s="2" t="s">
        <v>91</v>
      </c>
      <c r="I1079" s="95" t="s">
        <v>7231</v>
      </c>
      <c r="J1079" t="s">
        <v>61</v>
      </c>
      <c r="K1079" t="s">
        <v>62</v>
      </c>
      <c r="M1079">
        <v>64.239999999999995</v>
      </c>
      <c r="N1079" s="4">
        <f t="shared" si="16"/>
        <v>-0.95968244084682441</v>
      </c>
      <c r="O1079" t="s">
        <v>83</v>
      </c>
      <c r="R1079">
        <v>13</v>
      </c>
      <c r="S1079" t="e">
        <f>VLOOKUP(R1079,[1]!NOMINA[#Data],4,FALSE)</f>
        <v>#REF!</v>
      </c>
      <c r="T1079" t="e">
        <f>VLOOKUP(R1079,[1]!NOMINA[#Data],5,FALSE)</f>
        <v>#REF!</v>
      </c>
    </row>
    <row r="1080" spans="1:20" x14ac:dyDescent="0.25">
      <c r="A1080" s="38">
        <v>45715</v>
      </c>
      <c r="B1080" s="1">
        <v>419084047</v>
      </c>
      <c r="C1080" t="s">
        <v>1037</v>
      </c>
      <c r="D1080" s="23">
        <v>-61.65</v>
      </c>
      <c r="E1080" t="s">
        <v>35</v>
      </c>
      <c r="F1080" s="2">
        <v>212901001</v>
      </c>
      <c r="G1080" s="2" t="s">
        <v>91</v>
      </c>
      <c r="I1080" s="95" t="s">
        <v>7231</v>
      </c>
      <c r="J1080" t="s">
        <v>61</v>
      </c>
      <c r="K1080" t="s">
        <v>62</v>
      </c>
      <c r="M1080">
        <v>64.239999999999995</v>
      </c>
      <c r="N1080" s="4">
        <f t="shared" si="16"/>
        <v>-0.95968244084682441</v>
      </c>
      <c r="O1080" t="s">
        <v>83</v>
      </c>
      <c r="R1080">
        <v>13</v>
      </c>
      <c r="S1080" t="e">
        <f>VLOOKUP(R1080,[1]!NOMINA[#Data],4,FALSE)</f>
        <v>#REF!</v>
      </c>
      <c r="T1080" t="e">
        <f>VLOOKUP(R1080,[1]!NOMINA[#Data],5,FALSE)</f>
        <v>#REF!</v>
      </c>
    </row>
    <row r="1081" spans="1:20" x14ac:dyDescent="0.25">
      <c r="A1081" s="38">
        <v>45715</v>
      </c>
      <c r="B1081" s="1">
        <v>419084050</v>
      </c>
      <c r="C1081" t="s">
        <v>1038</v>
      </c>
      <c r="D1081" s="23">
        <v>-61.65</v>
      </c>
      <c r="E1081" t="s">
        <v>35</v>
      </c>
      <c r="F1081" s="2">
        <v>212901001</v>
      </c>
      <c r="G1081" s="2" t="s">
        <v>91</v>
      </c>
      <c r="I1081" s="95" t="s">
        <v>7231</v>
      </c>
      <c r="J1081" t="s">
        <v>61</v>
      </c>
      <c r="K1081" t="s">
        <v>62</v>
      </c>
      <c r="M1081">
        <v>64.239999999999995</v>
      </c>
      <c r="N1081" s="4">
        <f t="shared" si="16"/>
        <v>-0.95968244084682441</v>
      </c>
      <c r="O1081" t="s">
        <v>83</v>
      </c>
      <c r="R1081">
        <v>8</v>
      </c>
      <c r="S1081" t="e">
        <f>VLOOKUP(R1081,[1]!NOMINA[#Data],4,FALSE)</f>
        <v>#REF!</v>
      </c>
      <c r="T1081" t="e">
        <f>VLOOKUP(R1081,[1]!NOMINA[#Data],5,FALSE)</f>
        <v>#REF!</v>
      </c>
    </row>
    <row r="1082" spans="1:20" x14ac:dyDescent="0.25">
      <c r="A1082" s="38">
        <v>45715</v>
      </c>
      <c r="B1082" s="1">
        <v>419084048</v>
      </c>
      <c r="C1082" t="s">
        <v>1039</v>
      </c>
      <c r="D1082" s="23">
        <v>-61.65</v>
      </c>
      <c r="E1082" t="s">
        <v>35</v>
      </c>
      <c r="F1082" s="2">
        <v>212901001</v>
      </c>
      <c r="G1082" s="2" t="s">
        <v>91</v>
      </c>
      <c r="I1082" s="95" t="s">
        <v>7231</v>
      </c>
      <c r="J1082" t="s">
        <v>61</v>
      </c>
      <c r="K1082" t="s">
        <v>62</v>
      </c>
      <c r="M1082">
        <v>64.239999999999995</v>
      </c>
      <c r="N1082" s="4">
        <f t="shared" si="16"/>
        <v>-0.95968244084682441</v>
      </c>
      <c r="O1082" t="s">
        <v>83</v>
      </c>
      <c r="R1082">
        <v>11</v>
      </c>
      <c r="S1082" t="e">
        <f>VLOOKUP(R1082,[1]!NOMINA[#Data],4,FALSE)</f>
        <v>#REF!</v>
      </c>
      <c r="T1082" t="e">
        <f>VLOOKUP(R1082,[1]!NOMINA[#Data],5,FALSE)</f>
        <v>#REF!</v>
      </c>
    </row>
    <row r="1083" spans="1:20" x14ac:dyDescent="0.25">
      <c r="A1083" s="38">
        <v>45715</v>
      </c>
      <c r="B1083" s="1">
        <v>419084054</v>
      </c>
      <c r="C1083" t="s">
        <v>1040</v>
      </c>
      <c r="D1083" s="23">
        <v>-61.65</v>
      </c>
      <c r="E1083" t="s">
        <v>35</v>
      </c>
      <c r="F1083" s="2">
        <v>212901001</v>
      </c>
      <c r="G1083" s="2" t="s">
        <v>91</v>
      </c>
      <c r="I1083" s="95" t="s">
        <v>7231</v>
      </c>
      <c r="J1083" t="s">
        <v>61</v>
      </c>
      <c r="K1083" t="s">
        <v>62</v>
      </c>
      <c r="M1083">
        <v>64.239999999999995</v>
      </c>
      <c r="N1083" s="4">
        <f t="shared" si="16"/>
        <v>-0.95968244084682441</v>
      </c>
      <c r="O1083" t="s">
        <v>83</v>
      </c>
      <c r="R1083">
        <v>23</v>
      </c>
      <c r="S1083" t="e">
        <f>VLOOKUP(R1083,[1]!NOMINA[#Data],4,FALSE)</f>
        <v>#REF!</v>
      </c>
      <c r="T1083" t="e">
        <f>VLOOKUP(R1083,[1]!NOMINA[#Data],5,FALSE)</f>
        <v>#REF!</v>
      </c>
    </row>
    <row r="1084" spans="1:20" x14ac:dyDescent="0.25">
      <c r="A1084" s="38">
        <v>45715</v>
      </c>
      <c r="B1084" s="1">
        <v>419084051</v>
      </c>
      <c r="C1084" t="s">
        <v>1041</v>
      </c>
      <c r="D1084" s="23">
        <v>-61.65</v>
      </c>
      <c r="E1084" t="s">
        <v>35</v>
      </c>
      <c r="F1084" s="2">
        <v>212901001</v>
      </c>
      <c r="G1084" s="2" t="s">
        <v>91</v>
      </c>
      <c r="I1084" s="95" t="s">
        <v>7231</v>
      </c>
      <c r="J1084" t="s">
        <v>61</v>
      </c>
      <c r="K1084" t="s">
        <v>62</v>
      </c>
      <c r="M1084">
        <v>64.239999999999995</v>
      </c>
      <c r="N1084" s="4">
        <f t="shared" si="16"/>
        <v>-0.95968244084682441</v>
      </c>
      <c r="O1084" t="s">
        <v>83</v>
      </c>
      <c r="R1084">
        <v>43</v>
      </c>
      <c r="S1084" t="e">
        <f>VLOOKUP(R1084,[1]!NOMINA[#Data],4,FALSE)</f>
        <v>#REF!</v>
      </c>
      <c r="T1084" t="e">
        <f>VLOOKUP(R1084,[1]!NOMINA[#Data],5,FALSE)</f>
        <v>#REF!</v>
      </c>
    </row>
    <row r="1085" spans="1:20" x14ac:dyDescent="0.25">
      <c r="A1085" s="38">
        <v>45715</v>
      </c>
      <c r="B1085" s="1">
        <v>419084055</v>
      </c>
      <c r="C1085" t="s">
        <v>1042</v>
      </c>
      <c r="D1085" s="23">
        <v>-61.65</v>
      </c>
      <c r="E1085" t="s">
        <v>35</v>
      </c>
      <c r="F1085" s="2">
        <v>212901001</v>
      </c>
      <c r="G1085" s="2" t="s">
        <v>91</v>
      </c>
      <c r="I1085" s="95" t="s">
        <v>7231</v>
      </c>
      <c r="J1085" t="s">
        <v>61</v>
      </c>
      <c r="K1085" t="s">
        <v>62</v>
      </c>
      <c r="M1085">
        <v>64.239999999999995</v>
      </c>
      <c r="N1085" s="4">
        <f t="shared" si="16"/>
        <v>-0.95968244084682441</v>
      </c>
      <c r="O1085" t="s">
        <v>83</v>
      </c>
      <c r="R1085">
        <v>17</v>
      </c>
      <c r="S1085" t="e">
        <f>VLOOKUP(R1085,[1]!NOMINA[#Data],4,FALSE)</f>
        <v>#REF!</v>
      </c>
      <c r="T1085" t="e">
        <f>VLOOKUP(R1085,[1]!NOMINA[#Data],5,FALSE)</f>
        <v>#REF!</v>
      </c>
    </row>
    <row r="1086" spans="1:20" x14ac:dyDescent="0.25">
      <c r="A1086" s="38">
        <v>45715</v>
      </c>
      <c r="B1086" s="1">
        <v>419084052</v>
      </c>
      <c r="C1086" t="s">
        <v>1043</v>
      </c>
      <c r="D1086" s="23">
        <v>-61.65</v>
      </c>
      <c r="E1086" t="s">
        <v>35</v>
      </c>
      <c r="F1086" s="2">
        <v>212901001</v>
      </c>
      <c r="G1086" s="2" t="s">
        <v>91</v>
      </c>
      <c r="I1086" s="95" t="s">
        <v>7231</v>
      </c>
      <c r="J1086" t="s">
        <v>61</v>
      </c>
      <c r="K1086" t="s">
        <v>62</v>
      </c>
      <c r="M1086">
        <v>64.239999999999995</v>
      </c>
      <c r="N1086" s="4">
        <f t="shared" si="16"/>
        <v>-0.95968244084682441</v>
      </c>
      <c r="O1086" t="s">
        <v>83</v>
      </c>
      <c r="R1086">
        <v>14</v>
      </c>
      <c r="S1086" t="e">
        <f>VLOOKUP(Tabla3[[#This Row],[Nº]],[1]!NOMINA[#Data],4,FALSE)</f>
        <v>#REF!</v>
      </c>
      <c r="T1086" t="e">
        <f>VLOOKUP(Tabla3[[#This Row],[Nº]],[1]!NOMINA[#Data],5,FALSE)</f>
        <v>#REF!</v>
      </c>
    </row>
    <row r="1087" spans="1:20" x14ac:dyDescent="0.25">
      <c r="A1087" s="38">
        <v>45715</v>
      </c>
      <c r="B1087" s="1">
        <v>419084053</v>
      </c>
      <c r="C1087" t="s">
        <v>1044</v>
      </c>
      <c r="D1087" s="23">
        <v>-61.65</v>
      </c>
      <c r="E1087" t="s">
        <v>35</v>
      </c>
      <c r="F1087" s="2">
        <v>212901001</v>
      </c>
      <c r="G1087" s="2" t="s">
        <v>91</v>
      </c>
      <c r="I1087" s="95" t="s">
        <v>7231</v>
      </c>
      <c r="J1087" t="s">
        <v>61</v>
      </c>
      <c r="K1087" t="s">
        <v>62</v>
      </c>
      <c r="M1087">
        <v>64.239999999999995</v>
      </c>
      <c r="N1087" s="4">
        <f t="shared" si="16"/>
        <v>-0.95968244084682441</v>
      </c>
      <c r="O1087" t="s">
        <v>83</v>
      </c>
      <c r="R1087">
        <v>22</v>
      </c>
      <c r="S1087" t="e">
        <f>VLOOKUP(Tabla3[[#This Row],[Nº]],[1]!NOMINA[#Data],4,FALSE)</f>
        <v>#REF!</v>
      </c>
      <c r="T1087" t="e">
        <f>VLOOKUP(R1087,[1]!NOMINA[#Data],5,FALSE)</f>
        <v>#REF!</v>
      </c>
    </row>
    <row r="1088" spans="1:20" x14ac:dyDescent="0.25">
      <c r="A1088" s="38">
        <v>45715</v>
      </c>
      <c r="B1088" s="1">
        <v>419084049</v>
      </c>
      <c r="C1088" t="s">
        <v>1045</v>
      </c>
      <c r="D1088" s="23">
        <v>-61.65</v>
      </c>
      <c r="E1088" t="s">
        <v>35</v>
      </c>
      <c r="F1088" s="2">
        <v>212901001</v>
      </c>
      <c r="G1088" s="2" t="s">
        <v>91</v>
      </c>
      <c r="I1088" s="95" t="s">
        <v>7231</v>
      </c>
      <c r="J1088" t="s">
        <v>61</v>
      </c>
      <c r="K1088" t="s">
        <v>62</v>
      </c>
      <c r="M1088">
        <v>64.239999999999995</v>
      </c>
      <c r="N1088" s="4">
        <f t="shared" si="16"/>
        <v>-0.95968244084682441</v>
      </c>
      <c r="O1088" t="s">
        <v>83</v>
      </c>
      <c r="R1088">
        <v>42</v>
      </c>
      <c r="S1088" t="e">
        <f>VLOOKUP(R1088,[1]!NOMINA[#Data],4,FALSE)</f>
        <v>#REF!</v>
      </c>
      <c r="T1088" t="e">
        <f>VLOOKUP(R1088,[1]!NOMINA[#Data],5,FALSE)</f>
        <v>#REF!</v>
      </c>
    </row>
    <row r="1089" spans="1:20" x14ac:dyDescent="0.25">
      <c r="A1089" s="38">
        <v>45715</v>
      </c>
      <c r="B1089" s="1">
        <v>419084059</v>
      </c>
      <c r="C1089" t="s">
        <v>1046</v>
      </c>
      <c r="D1089" s="23">
        <v>-61.65</v>
      </c>
      <c r="E1089" t="s">
        <v>35</v>
      </c>
      <c r="F1089" s="2">
        <v>212901001</v>
      </c>
      <c r="G1089" s="2" t="s">
        <v>91</v>
      </c>
      <c r="I1089" s="95" t="s">
        <v>7231</v>
      </c>
      <c r="J1089" t="s">
        <v>61</v>
      </c>
      <c r="K1089" t="s">
        <v>62</v>
      </c>
      <c r="M1089">
        <v>64.239999999999995</v>
      </c>
      <c r="N1089" s="4">
        <f t="shared" si="16"/>
        <v>-0.95968244084682441</v>
      </c>
      <c r="O1089" t="s">
        <v>83</v>
      </c>
      <c r="R1089">
        <v>39</v>
      </c>
      <c r="S1089" t="e">
        <f>VLOOKUP(R1089,[1]!NOMINA[#Data],4,FALSE)</f>
        <v>#REF!</v>
      </c>
      <c r="T1089" t="e">
        <f>VLOOKUP(R1089,[1]!NOMINA[#Data],5,FALSE)</f>
        <v>#REF!</v>
      </c>
    </row>
    <row r="1090" spans="1:20" x14ac:dyDescent="0.25">
      <c r="A1090" s="38">
        <v>45715</v>
      </c>
      <c r="B1090" s="1">
        <v>519084060</v>
      </c>
      <c r="C1090" t="s">
        <v>1047</v>
      </c>
      <c r="D1090" s="23">
        <v>-61.65</v>
      </c>
      <c r="E1090" t="s">
        <v>35</v>
      </c>
      <c r="F1090" s="2">
        <v>212901001</v>
      </c>
      <c r="G1090" s="2" t="s">
        <v>91</v>
      </c>
      <c r="I1090" s="95" t="s">
        <v>7231</v>
      </c>
      <c r="J1090" t="s">
        <v>61</v>
      </c>
      <c r="K1090" t="s">
        <v>62</v>
      </c>
      <c r="M1090">
        <v>64.239999999999995</v>
      </c>
      <c r="N1090" s="4">
        <f t="shared" si="16"/>
        <v>-0.95968244084682441</v>
      </c>
      <c r="O1090" t="s">
        <v>83</v>
      </c>
      <c r="R1090">
        <v>21</v>
      </c>
      <c r="S1090" t="e">
        <f>VLOOKUP(R1090,[1]!NOMINA[#Data],4,FALSE)</f>
        <v>#REF!</v>
      </c>
      <c r="T1090" t="e">
        <f>VLOOKUP(R1090,[1]!NOMINA[#Data],5,FALSE)</f>
        <v>#REF!</v>
      </c>
    </row>
    <row r="1091" spans="1:20" x14ac:dyDescent="0.25">
      <c r="A1091" s="38">
        <v>45715</v>
      </c>
      <c r="B1091" s="1">
        <v>419084057</v>
      </c>
      <c r="C1091" t="s">
        <v>1048</v>
      </c>
      <c r="D1091" s="23">
        <v>-61.65</v>
      </c>
      <c r="E1091" t="s">
        <v>35</v>
      </c>
      <c r="F1091" s="2">
        <v>212901001</v>
      </c>
      <c r="G1091" s="2" t="s">
        <v>91</v>
      </c>
      <c r="I1091" s="95" t="s">
        <v>7231</v>
      </c>
      <c r="J1091" t="s">
        <v>61</v>
      </c>
      <c r="K1091" t="s">
        <v>62</v>
      </c>
      <c r="M1091">
        <v>64.239999999999995</v>
      </c>
      <c r="N1091" s="4">
        <f t="shared" si="16"/>
        <v>-0.95968244084682441</v>
      </c>
      <c r="O1091" t="s">
        <v>83</v>
      </c>
      <c r="R1091">
        <v>25</v>
      </c>
      <c r="S1091" t="e">
        <f>VLOOKUP(R1091,[1]!NOMINA[#Data],4,FALSE)</f>
        <v>#REF!</v>
      </c>
      <c r="T1091" t="e">
        <f>VLOOKUP(R1091,[1]!NOMINA[#Data],5,FALSE)</f>
        <v>#REF!</v>
      </c>
    </row>
    <row r="1092" spans="1:20" x14ac:dyDescent="0.25">
      <c r="A1092" s="38">
        <v>45715</v>
      </c>
      <c r="B1092" s="1">
        <v>519084064</v>
      </c>
      <c r="C1092" t="s">
        <v>1049</v>
      </c>
      <c r="D1092" s="23">
        <v>-61.65</v>
      </c>
      <c r="E1092" t="s">
        <v>35</v>
      </c>
      <c r="F1092" s="2">
        <v>212901001</v>
      </c>
      <c r="G1092" s="2" t="s">
        <v>91</v>
      </c>
      <c r="I1092" s="95" t="s">
        <v>7231</v>
      </c>
      <c r="J1092" t="s">
        <v>61</v>
      </c>
      <c r="K1092" t="s">
        <v>62</v>
      </c>
      <c r="M1092">
        <v>64.239999999999995</v>
      </c>
      <c r="N1092" s="4">
        <f t="shared" si="16"/>
        <v>-0.95968244084682441</v>
      </c>
      <c r="O1092" t="s">
        <v>83</v>
      </c>
      <c r="R1092">
        <v>12</v>
      </c>
      <c r="S1092" t="e">
        <f>VLOOKUP(R1092,[1]!NOMINA[#Data],4,FALSE)</f>
        <v>#REF!</v>
      </c>
      <c r="T1092" t="e">
        <f>VLOOKUP(R1092,[1]!NOMINA[#Data],5,FALSE)</f>
        <v>#REF!</v>
      </c>
    </row>
    <row r="1093" spans="1:20" x14ac:dyDescent="0.25">
      <c r="A1093" s="38">
        <v>45715</v>
      </c>
      <c r="B1093" s="1">
        <v>519084061</v>
      </c>
      <c r="C1093" t="s">
        <v>1050</v>
      </c>
      <c r="D1093" s="23">
        <v>-61.65</v>
      </c>
      <c r="E1093" t="s">
        <v>35</v>
      </c>
      <c r="F1093" s="2">
        <v>212901001</v>
      </c>
      <c r="G1093" s="2" t="s">
        <v>91</v>
      </c>
      <c r="I1093" s="95" t="s">
        <v>7231</v>
      </c>
      <c r="J1093" t="s">
        <v>61</v>
      </c>
      <c r="K1093" t="s">
        <v>62</v>
      </c>
      <c r="M1093">
        <v>64.239999999999995</v>
      </c>
      <c r="N1093" s="4">
        <f t="shared" si="16"/>
        <v>-0.95968244084682441</v>
      </c>
      <c r="O1093" t="s">
        <v>83</v>
      </c>
      <c r="R1093">
        <v>2</v>
      </c>
      <c r="S1093" t="e">
        <f>VLOOKUP(Tabla3[[#This Row],[Nº]],[1]!NOMINA[#Data],4,FALSE)</f>
        <v>#REF!</v>
      </c>
      <c r="T1093" t="e">
        <f>VLOOKUP(Tabla3[[#This Row],[Nº]],[1]!NOMINA[#Data],5,FALSE)</f>
        <v>#REF!</v>
      </c>
    </row>
    <row r="1094" spans="1:20" x14ac:dyDescent="0.25">
      <c r="A1094" s="38">
        <v>45715</v>
      </c>
      <c r="B1094" s="1">
        <v>519084062</v>
      </c>
      <c r="C1094" t="s">
        <v>1051</v>
      </c>
      <c r="D1094" s="23">
        <v>-61.65</v>
      </c>
      <c r="E1094" t="s">
        <v>35</v>
      </c>
      <c r="F1094" s="2">
        <v>212901001</v>
      </c>
      <c r="G1094" s="2" t="s">
        <v>91</v>
      </c>
      <c r="I1094" s="95" t="s">
        <v>7231</v>
      </c>
      <c r="J1094" t="s">
        <v>61</v>
      </c>
      <c r="K1094" t="s">
        <v>62</v>
      </c>
      <c r="M1094">
        <v>64.239999999999995</v>
      </c>
      <c r="N1094" s="4">
        <f t="shared" si="16"/>
        <v>-0.95968244084682441</v>
      </c>
      <c r="O1094" t="s">
        <v>83</v>
      </c>
      <c r="R1094">
        <v>28</v>
      </c>
      <c r="S1094" t="e">
        <f>VLOOKUP(R1094,[1]!NOMINA[#Data],4,FALSE)</f>
        <v>#REF!</v>
      </c>
      <c r="T1094" t="e">
        <f>VLOOKUP(R1094,[1]!NOMINA[#Data],5,FALSE)</f>
        <v>#REF!</v>
      </c>
    </row>
    <row r="1095" spans="1:20" x14ac:dyDescent="0.25">
      <c r="A1095" s="38">
        <v>45715</v>
      </c>
      <c r="B1095" s="1">
        <v>519084063</v>
      </c>
      <c r="C1095" t="s">
        <v>1052</v>
      </c>
      <c r="D1095" s="23">
        <v>-61.65</v>
      </c>
      <c r="E1095" t="s">
        <v>35</v>
      </c>
      <c r="F1095" s="2">
        <v>212901001</v>
      </c>
      <c r="G1095" s="2" t="s">
        <v>91</v>
      </c>
      <c r="I1095" s="95" t="s">
        <v>7231</v>
      </c>
      <c r="J1095" t="s">
        <v>61</v>
      </c>
      <c r="K1095" t="s">
        <v>62</v>
      </c>
      <c r="M1095">
        <v>64.239999999999995</v>
      </c>
      <c r="N1095" s="4">
        <f t="shared" si="16"/>
        <v>-0.95968244084682441</v>
      </c>
      <c r="O1095" t="s">
        <v>83</v>
      </c>
      <c r="R1095">
        <v>6</v>
      </c>
      <c r="S1095" t="e">
        <f>VLOOKUP(R1095,[1]!NOMINA[#Data],4,FALSE)</f>
        <v>#REF!</v>
      </c>
      <c r="T1095" t="e">
        <f>VLOOKUP(R1095,[1]!NOMINA[#Data],5,FALSE)</f>
        <v>#REF!</v>
      </c>
    </row>
    <row r="1096" spans="1:20" x14ac:dyDescent="0.25">
      <c r="A1096" s="38">
        <v>45715</v>
      </c>
      <c r="B1096" s="1">
        <v>519084065</v>
      </c>
      <c r="C1096" t="s">
        <v>1053</v>
      </c>
      <c r="D1096" s="23">
        <v>-61.65</v>
      </c>
      <c r="E1096" t="s">
        <v>35</v>
      </c>
      <c r="F1096" s="2">
        <v>212901001</v>
      </c>
      <c r="G1096" s="2" t="s">
        <v>91</v>
      </c>
      <c r="I1096" s="95" t="s">
        <v>7231</v>
      </c>
      <c r="J1096" t="s">
        <v>61</v>
      </c>
      <c r="K1096" t="s">
        <v>62</v>
      </c>
      <c r="M1096">
        <v>64.239999999999995</v>
      </c>
      <c r="N1096" s="4">
        <f t="shared" si="16"/>
        <v>-0.95968244084682441</v>
      </c>
      <c r="O1096" t="s">
        <v>83</v>
      </c>
      <c r="R1096">
        <v>24</v>
      </c>
      <c r="S1096" t="e">
        <f>VLOOKUP(R1096,[1]!NOMINA[#Data],4,FALSE)</f>
        <v>#REF!</v>
      </c>
      <c r="T1096" t="e">
        <f>VLOOKUP(R1096,[1]!NOMINA[#Data],5,FALSE)</f>
        <v>#REF!</v>
      </c>
    </row>
    <row r="1097" spans="1:20" x14ac:dyDescent="0.25">
      <c r="A1097" s="38">
        <v>45715</v>
      </c>
      <c r="B1097" s="1">
        <v>419084058</v>
      </c>
      <c r="C1097" t="s">
        <v>1054</v>
      </c>
      <c r="D1097" s="23">
        <v>-61.65</v>
      </c>
      <c r="E1097" t="s">
        <v>35</v>
      </c>
      <c r="F1097" s="2">
        <v>212901001</v>
      </c>
      <c r="G1097" s="2" t="s">
        <v>91</v>
      </c>
      <c r="I1097" s="95" t="s">
        <v>7231</v>
      </c>
      <c r="J1097" t="s">
        <v>61</v>
      </c>
      <c r="K1097" t="s">
        <v>62</v>
      </c>
      <c r="M1097">
        <v>64.239999999999995</v>
      </c>
      <c r="N1097" s="4">
        <f t="shared" si="16"/>
        <v>-0.95968244084682441</v>
      </c>
      <c r="O1097" t="s">
        <v>83</v>
      </c>
      <c r="R1097">
        <v>27</v>
      </c>
      <c r="S1097" t="e">
        <f>VLOOKUP(R1097,[1]!NOMINA[#Data],4,FALSE)</f>
        <v>#REF!</v>
      </c>
      <c r="T1097" t="e">
        <f>VLOOKUP(R1097,[1]!NOMINA[#Data],5,FALSE)</f>
        <v>#REF!</v>
      </c>
    </row>
    <row r="1098" spans="1:20" x14ac:dyDescent="0.25">
      <c r="A1098" s="38">
        <v>45715</v>
      </c>
      <c r="B1098" s="1">
        <v>519084068</v>
      </c>
      <c r="C1098" t="s">
        <v>1055</v>
      </c>
      <c r="D1098" s="23">
        <v>-61.65</v>
      </c>
      <c r="E1098" t="s">
        <v>35</v>
      </c>
      <c r="F1098" s="2">
        <v>212901001</v>
      </c>
      <c r="G1098" s="2" t="s">
        <v>91</v>
      </c>
      <c r="I1098" s="95" t="s">
        <v>7231</v>
      </c>
      <c r="J1098" t="s">
        <v>61</v>
      </c>
      <c r="K1098" t="s">
        <v>62</v>
      </c>
      <c r="M1098">
        <v>64.239999999999995</v>
      </c>
      <c r="N1098" s="4">
        <f t="shared" si="16"/>
        <v>-0.95968244084682441</v>
      </c>
      <c r="O1098" t="s">
        <v>83</v>
      </c>
      <c r="R1098">
        <v>19</v>
      </c>
      <c r="S1098" t="e">
        <f>VLOOKUP(R1098,[1]!NOMINA[#Data],4,FALSE)</f>
        <v>#REF!</v>
      </c>
      <c r="T1098" t="e">
        <f>VLOOKUP(R1098,[1]!NOMINA[#Data],5,FALSE)</f>
        <v>#REF!</v>
      </c>
    </row>
    <row r="1099" spans="1:20" x14ac:dyDescent="0.25">
      <c r="A1099" s="38">
        <v>45715</v>
      </c>
      <c r="B1099" s="1">
        <v>519084071</v>
      </c>
      <c r="C1099" t="s">
        <v>1056</v>
      </c>
      <c r="D1099" s="23">
        <v>-61.65</v>
      </c>
      <c r="E1099" t="s">
        <v>35</v>
      </c>
      <c r="F1099" s="2">
        <v>212901001</v>
      </c>
      <c r="G1099" s="2" t="s">
        <v>91</v>
      </c>
      <c r="I1099" s="95" t="s">
        <v>7231</v>
      </c>
      <c r="J1099" t="s">
        <v>61</v>
      </c>
      <c r="K1099" t="s">
        <v>62</v>
      </c>
      <c r="M1099">
        <v>64.239999999999995</v>
      </c>
      <c r="N1099" s="4">
        <f t="shared" si="16"/>
        <v>-0.95968244084682441</v>
      </c>
      <c r="O1099" t="s">
        <v>83</v>
      </c>
      <c r="R1099">
        <v>5</v>
      </c>
      <c r="S1099" t="e">
        <f>VLOOKUP(R1099,[1]!NOMINA[#Data],4,FALSE)</f>
        <v>#REF!</v>
      </c>
      <c r="T1099" t="e">
        <f>VLOOKUP(R1099,[1]!NOMINA[#Data],5,FALSE)</f>
        <v>#REF!</v>
      </c>
    </row>
    <row r="1100" spans="1:20" x14ac:dyDescent="0.25">
      <c r="A1100" s="38">
        <v>45715</v>
      </c>
      <c r="B1100" s="1">
        <v>519084066</v>
      </c>
      <c r="C1100" t="s">
        <v>1057</v>
      </c>
      <c r="D1100" s="23">
        <v>-61.65</v>
      </c>
      <c r="E1100" t="s">
        <v>35</v>
      </c>
      <c r="F1100" s="2">
        <v>212901001</v>
      </c>
      <c r="G1100" s="2" t="s">
        <v>91</v>
      </c>
      <c r="I1100" s="95" t="s">
        <v>7231</v>
      </c>
      <c r="J1100" t="s">
        <v>61</v>
      </c>
      <c r="K1100" t="s">
        <v>62</v>
      </c>
      <c r="M1100">
        <v>64.239999999999995</v>
      </c>
      <c r="N1100" s="4">
        <f t="shared" ref="N1100:N1163" si="17">D1100/M1100</f>
        <v>-0.95968244084682441</v>
      </c>
      <c r="O1100" t="s">
        <v>83</v>
      </c>
      <c r="R1100">
        <v>16</v>
      </c>
      <c r="S1100" t="e">
        <f>VLOOKUP(Tabla3[[#This Row],[Nº]],[1]!NOMINA[#Data],4,FALSE)</f>
        <v>#REF!</v>
      </c>
      <c r="T1100" t="e">
        <f>VLOOKUP(Tabla3[[#This Row],[Nº]],[1]!NOMINA[#Data],5,FALSE)</f>
        <v>#REF!</v>
      </c>
    </row>
    <row r="1101" spans="1:20" x14ac:dyDescent="0.25">
      <c r="A1101" s="38">
        <v>45715</v>
      </c>
      <c r="B1101" s="1">
        <v>519084069</v>
      </c>
      <c r="C1101" t="s">
        <v>1058</v>
      </c>
      <c r="D1101" s="23">
        <v>-61.65</v>
      </c>
      <c r="E1101" t="s">
        <v>35</v>
      </c>
      <c r="F1101" s="2">
        <v>212901001</v>
      </c>
      <c r="G1101" s="2" t="s">
        <v>91</v>
      </c>
      <c r="I1101" s="95" t="s">
        <v>7231</v>
      </c>
      <c r="J1101" t="s">
        <v>61</v>
      </c>
      <c r="K1101" t="s">
        <v>62</v>
      </c>
      <c r="M1101">
        <v>64.239999999999995</v>
      </c>
      <c r="N1101" s="4">
        <f t="shared" si="17"/>
        <v>-0.95968244084682441</v>
      </c>
      <c r="O1101" t="s">
        <v>83</v>
      </c>
      <c r="R1101">
        <v>37</v>
      </c>
      <c r="S1101" t="e">
        <f>VLOOKUP(Tabla3[[#This Row],[Nº]],[1]!NOMINA[#Data],4,FALSE)</f>
        <v>#REF!</v>
      </c>
      <c r="T1101" t="e">
        <f>VLOOKUP(Tabla3[[#This Row],[Nº]],[1]!NOMINA[#Data],5,FALSE)</f>
        <v>#REF!</v>
      </c>
    </row>
    <row r="1102" spans="1:20" x14ac:dyDescent="0.25">
      <c r="A1102" s="38">
        <v>45715</v>
      </c>
      <c r="B1102" s="1">
        <v>519084070</v>
      </c>
      <c r="C1102" t="s">
        <v>1059</v>
      </c>
      <c r="D1102" s="23">
        <v>-61.65</v>
      </c>
      <c r="E1102" t="s">
        <v>35</v>
      </c>
      <c r="F1102" s="2">
        <v>212901001</v>
      </c>
      <c r="G1102" s="2" t="s">
        <v>91</v>
      </c>
      <c r="I1102" s="95" t="s">
        <v>7231</v>
      </c>
      <c r="J1102" t="s">
        <v>61</v>
      </c>
      <c r="K1102" t="s">
        <v>62</v>
      </c>
      <c r="M1102">
        <v>64.239999999999995</v>
      </c>
      <c r="N1102" s="4">
        <f t="shared" si="17"/>
        <v>-0.95968244084682441</v>
      </c>
      <c r="O1102" t="s">
        <v>83</v>
      </c>
      <c r="R1102">
        <v>7</v>
      </c>
      <c r="S1102" t="e">
        <f>VLOOKUP(R1102,[1]!NOMINA[#Data],4,FALSE)</f>
        <v>#REF!</v>
      </c>
      <c r="T1102" t="e">
        <f>VLOOKUP(R1102,[1]!NOMINA[#Data],5,FALSE)</f>
        <v>#REF!</v>
      </c>
    </row>
    <row r="1103" spans="1:20" x14ac:dyDescent="0.25">
      <c r="A1103" s="38">
        <v>45715</v>
      </c>
      <c r="B1103" s="1">
        <v>519084067</v>
      </c>
      <c r="C1103" t="s">
        <v>1060</v>
      </c>
      <c r="D1103" s="23">
        <v>-61.65</v>
      </c>
      <c r="E1103" t="s">
        <v>35</v>
      </c>
      <c r="F1103" s="2">
        <v>212901001</v>
      </c>
      <c r="G1103" s="2" t="s">
        <v>91</v>
      </c>
      <c r="I1103" s="95" t="s">
        <v>7231</v>
      </c>
      <c r="J1103" t="s">
        <v>61</v>
      </c>
      <c r="K1103" t="s">
        <v>62</v>
      </c>
      <c r="M1103">
        <v>64.239999999999995</v>
      </c>
      <c r="N1103" s="4">
        <f t="shared" si="17"/>
        <v>-0.95968244084682441</v>
      </c>
      <c r="O1103" t="s">
        <v>83</v>
      </c>
      <c r="R1103">
        <v>1</v>
      </c>
      <c r="S1103" t="e">
        <f>VLOOKUP(R1103,[1]!NOMINA[#Data],4,FALSE)</f>
        <v>#REF!</v>
      </c>
      <c r="T1103" t="e">
        <f>VLOOKUP(R1103,[1]!NOMINA[#Data],5,FALSE)</f>
        <v>#REF!</v>
      </c>
    </row>
    <row r="1104" spans="1:20" x14ac:dyDescent="0.25">
      <c r="A1104" s="38">
        <v>45715</v>
      </c>
      <c r="B1104" s="1">
        <v>619084073</v>
      </c>
      <c r="C1104" t="s">
        <v>1061</v>
      </c>
      <c r="D1104" s="23">
        <v>-320.10000000000002</v>
      </c>
      <c r="E1104" t="s">
        <v>35</v>
      </c>
      <c r="F1104" s="2">
        <v>212901001</v>
      </c>
      <c r="G1104" s="2" t="s">
        <v>91</v>
      </c>
      <c r="I1104" s="95" t="s">
        <v>7231</v>
      </c>
      <c r="J1104" t="s">
        <v>61</v>
      </c>
      <c r="K1104" t="s">
        <v>62</v>
      </c>
      <c r="M1104">
        <v>64.239999999999995</v>
      </c>
      <c r="N1104" s="4">
        <f t="shared" si="17"/>
        <v>-4.9828767123287676</v>
      </c>
      <c r="O1104" t="s">
        <v>83</v>
      </c>
      <c r="R1104">
        <v>28</v>
      </c>
      <c r="S1104" t="e">
        <f>VLOOKUP(Tabla3[[#This Row],[Nº]],[1]!NOMINA[#Data],4,FALSE)</f>
        <v>#REF!</v>
      </c>
      <c r="T1104" t="e">
        <f>VLOOKUP(Tabla3[[#This Row],[Nº]],[1]!NOMINA[#Data],5,FALSE)</f>
        <v>#REF!</v>
      </c>
    </row>
    <row r="1105" spans="1:20" x14ac:dyDescent="0.25">
      <c r="A1105" s="38">
        <v>45715</v>
      </c>
      <c r="B1105" s="1">
        <v>619084072</v>
      </c>
      <c r="C1105" t="s">
        <v>1062</v>
      </c>
      <c r="D1105" s="23">
        <v>-19206</v>
      </c>
      <c r="E1105" t="s">
        <v>35</v>
      </c>
      <c r="F1105" s="2">
        <v>212901001</v>
      </c>
      <c r="G1105" s="2" t="s">
        <v>91</v>
      </c>
      <c r="I1105" s="95" t="s">
        <v>7231</v>
      </c>
      <c r="J1105" t="s">
        <v>61</v>
      </c>
      <c r="K1105" t="s">
        <v>62</v>
      </c>
      <c r="M1105">
        <v>64.239999999999995</v>
      </c>
      <c r="N1105" s="4">
        <f t="shared" si="17"/>
        <v>-298.97260273972603</v>
      </c>
      <c r="O1105" t="s">
        <v>83</v>
      </c>
      <c r="R1105">
        <v>2</v>
      </c>
      <c r="S1105" t="e">
        <f>VLOOKUP(Tabla3[[#This Row],[Nº]],[1]!NOMINA[#Data],4,FALSE)</f>
        <v>#REF!</v>
      </c>
      <c r="T1105" t="e">
        <f>VLOOKUP(Tabla3[[#This Row],[Nº]],[1]!NOMINA[#Data],5,FALSE)</f>
        <v>#REF!</v>
      </c>
    </row>
    <row r="1106" spans="1:20" x14ac:dyDescent="0.25">
      <c r="A1106" s="38">
        <v>45715</v>
      </c>
      <c r="B1106" s="1">
        <v>619084076</v>
      </c>
      <c r="C1106" t="s">
        <v>1063</v>
      </c>
      <c r="D1106" s="23">
        <v>-320.10000000000002</v>
      </c>
      <c r="E1106" t="s">
        <v>35</v>
      </c>
      <c r="F1106" s="2">
        <v>212901001</v>
      </c>
      <c r="G1106" s="2" t="s">
        <v>91</v>
      </c>
      <c r="I1106" s="95" t="s">
        <v>7231</v>
      </c>
      <c r="J1106" t="s">
        <v>61</v>
      </c>
      <c r="K1106" t="s">
        <v>62</v>
      </c>
      <c r="M1106">
        <v>64.239999999999995</v>
      </c>
      <c r="N1106" s="4">
        <f t="shared" si="17"/>
        <v>-4.9828767123287676</v>
      </c>
      <c r="O1106" t="s">
        <v>83</v>
      </c>
      <c r="R1106">
        <v>39</v>
      </c>
      <c r="S1106" t="e">
        <f>VLOOKUP(R1106,[1]!NOMINA[#Data],4,FALSE)</f>
        <v>#REF!</v>
      </c>
      <c r="T1106" t="e">
        <f>VLOOKUP(R1106,[1]!NOMINA[#Data],5,FALSE)</f>
        <v>#REF!</v>
      </c>
    </row>
    <row r="1107" spans="1:20" x14ac:dyDescent="0.25">
      <c r="A1107" s="38">
        <v>45715</v>
      </c>
      <c r="B1107" s="1">
        <v>619084078</v>
      </c>
      <c r="C1107" t="s">
        <v>1064</v>
      </c>
      <c r="D1107" s="23">
        <v>-320.10000000000002</v>
      </c>
      <c r="E1107" t="s">
        <v>35</v>
      </c>
      <c r="F1107" s="2">
        <v>212901001</v>
      </c>
      <c r="G1107" s="2" t="s">
        <v>91</v>
      </c>
      <c r="I1107" s="95" t="s">
        <v>7231</v>
      </c>
      <c r="J1107" t="s">
        <v>61</v>
      </c>
      <c r="K1107" t="s">
        <v>62</v>
      </c>
      <c r="M1107">
        <v>64.239999999999995</v>
      </c>
      <c r="N1107" s="4">
        <f t="shared" si="17"/>
        <v>-4.9828767123287676</v>
      </c>
      <c r="O1107" t="s">
        <v>83</v>
      </c>
      <c r="R1107">
        <v>41</v>
      </c>
      <c r="S1107" t="e">
        <f>VLOOKUP(R1107,[1]!NOMINA[#Data],4,FALSE)</f>
        <v>#REF!</v>
      </c>
      <c r="T1107" t="e">
        <f>VLOOKUP(R1107,[1]!NOMINA[#Data],5,FALSE)</f>
        <v>#REF!</v>
      </c>
    </row>
    <row r="1108" spans="1:20" x14ac:dyDescent="0.25">
      <c r="A1108" s="38">
        <v>45715</v>
      </c>
      <c r="B1108" s="1">
        <v>619084077</v>
      </c>
      <c r="C1108" t="s">
        <v>1065</v>
      </c>
      <c r="D1108" s="23">
        <v>-1920.6</v>
      </c>
      <c r="E1108" t="s">
        <v>35</v>
      </c>
      <c r="F1108" s="2">
        <v>212901001</v>
      </c>
      <c r="G1108" s="2" t="s">
        <v>91</v>
      </c>
      <c r="I1108" s="95" t="s">
        <v>7231</v>
      </c>
      <c r="J1108" t="s">
        <v>61</v>
      </c>
      <c r="K1108" t="s">
        <v>62</v>
      </c>
      <c r="M1108">
        <v>64.239999999999995</v>
      </c>
      <c r="N1108" s="4">
        <f t="shared" si="17"/>
        <v>-29.897260273972602</v>
      </c>
      <c r="O1108" t="s">
        <v>83</v>
      </c>
      <c r="R1108">
        <v>36</v>
      </c>
      <c r="S1108" t="e">
        <f>VLOOKUP(R1108,[1]!NOMINA[#Data],4,FALSE)</f>
        <v>#REF!</v>
      </c>
      <c r="T1108" t="e">
        <f>VLOOKUP(R1108,[1]!NOMINA[#Data],5,FALSE)</f>
        <v>#REF!</v>
      </c>
    </row>
    <row r="1109" spans="1:20" x14ac:dyDescent="0.25">
      <c r="A1109" s="38">
        <v>45715</v>
      </c>
      <c r="B1109" s="1">
        <v>619084081</v>
      </c>
      <c r="C1109" t="s">
        <v>1066</v>
      </c>
      <c r="D1109" s="23">
        <v>-320.10000000000002</v>
      </c>
      <c r="E1109" t="s">
        <v>35</v>
      </c>
      <c r="F1109" s="2">
        <v>212901001</v>
      </c>
      <c r="G1109" s="2" t="s">
        <v>91</v>
      </c>
      <c r="I1109" s="95" t="s">
        <v>7231</v>
      </c>
      <c r="J1109" t="s">
        <v>61</v>
      </c>
      <c r="K1109" t="s">
        <v>62</v>
      </c>
      <c r="M1109">
        <v>64.239999999999995</v>
      </c>
      <c r="N1109" s="4">
        <f t="shared" si="17"/>
        <v>-4.9828767123287676</v>
      </c>
      <c r="O1109" t="s">
        <v>83</v>
      </c>
      <c r="R1109">
        <v>17</v>
      </c>
      <c r="S1109" t="e">
        <f>VLOOKUP(Tabla3[[#This Row],[Nº]],[1]!NOMINA[#Data],4,FALSE)</f>
        <v>#REF!</v>
      </c>
      <c r="T1109" t="e">
        <f>VLOOKUP(Tabla3[[#This Row],[Nº]],[1]!NOMINA[#Data],5,FALSE)</f>
        <v>#REF!</v>
      </c>
    </row>
    <row r="1110" spans="1:20" x14ac:dyDescent="0.25">
      <c r="A1110" s="38">
        <v>45715</v>
      </c>
      <c r="B1110" s="1">
        <v>619084075</v>
      </c>
      <c r="C1110" t="s">
        <v>1067</v>
      </c>
      <c r="D1110" s="23">
        <v>-320.10000000000002</v>
      </c>
      <c r="E1110" t="s">
        <v>35</v>
      </c>
      <c r="F1110" s="2">
        <v>212901001</v>
      </c>
      <c r="G1110" s="2" t="s">
        <v>91</v>
      </c>
      <c r="I1110" s="95" t="s">
        <v>7231</v>
      </c>
      <c r="J1110" t="s">
        <v>61</v>
      </c>
      <c r="K1110" t="s">
        <v>62</v>
      </c>
      <c r="M1110">
        <v>64.239999999999995</v>
      </c>
      <c r="N1110" s="4">
        <f t="shared" si="17"/>
        <v>-4.9828767123287676</v>
      </c>
      <c r="O1110" t="s">
        <v>83</v>
      </c>
      <c r="R1110">
        <v>15</v>
      </c>
      <c r="S1110" t="e">
        <f>VLOOKUP(Tabla3[[#This Row],[Nº]],[1]!NOMINA[#Data],4,FALSE)</f>
        <v>#REF!</v>
      </c>
      <c r="T1110" t="e">
        <f>VLOOKUP(Tabla3[[#This Row],[Nº]],[1]!NOMINA[#Data],5,FALSE)</f>
        <v>#REF!</v>
      </c>
    </row>
    <row r="1111" spans="1:20" x14ac:dyDescent="0.25">
      <c r="A1111" s="38">
        <v>45715</v>
      </c>
      <c r="B1111" s="1">
        <v>619084079</v>
      </c>
      <c r="C1111" t="s">
        <v>1068</v>
      </c>
      <c r="D1111" s="23">
        <v>-320.10000000000002</v>
      </c>
      <c r="E1111" t="s">
        <v>35</v>
      </c>
      <c r="F1111" s="2">
        <v>212901001</v>
      </c>
      <c r="G1111" s="2" t="s">
        <v>91</v>
      </c>
      <c r="I1111" s="95" t="s">
        <v>7231</v>
      </c>
      <c r="J1111" t="s">
        <v>61</v>
      </c>
      <c r="K1111" t="s">
        <v>62</v>
      </c>
      <c r="M1111">
        <v>64.239999999999995</v>
      </c>
      <c r="N1111" s="4">
        <f t="shared" si="17"/>
        <v>-4.9828767123287676</v>
      </c>
      <c r="O1111" t="s">
        <v>83</v>
      </c>
      <c r="R1111">
        <v>18</v>
      </c>
      <c r="S1111" t="e">
        <f>VLOOKUP(Tabla3[[#This Row],[Nº]],[1]!NOMINA[#Data],4,FALSE)</f>
        <v>#REF!</v>
      </c>
      <c r="T1111" t="e">
        <f>VLOOKUP(Tabla3[[#This Row],[Nº]],[1]!NOMINA[#Data],5,FALSE)</f>
        <v>#REF!</v>
      </c>
    </row>
    <row r="1112" spans="1:20" x14ac:dyDescent="0.25">
      <c r="A1112" s="38">
        <v>45715</v>
      </c>
      <c r="B1112" s="1">
        <v>619084074</v>
      </c>
      <c r="C1112" t="s">
        <v>1069</v>
      </c>
      <c r="D1112" s="23">
        <v>-1920.6</v>
      </c>
      <c r="E1112" t="s">
        <v>35</v>
      </c>
      <c r="F1112" s="2">
        <v>212901001</v>
      </c>
      <c r="G1112" s="2" t="s">
        <v>91</v>
      </c>
      <c r="I1112" s="95" t="s">
        <v>7231</v>
      </c>
      <c r="J1112" t="s">
        <v>61</v>
      </c>
      <c r="K1112" t="s">
        <v>62</v>
      </c>
      <c r="M1112">
        <v>64.239999999999995</v>
      </c>
      <c r="N1112" s="4">
        <f t="shared" si="17"/>
        <v>-29.897260273972602</v>
      </c>
      <c r="O1112" t="s">
        <v>83</v>
      </c>
      <c r="R1112">
        <v>19</v>
      </c>
      <c r="S1112" t="e">
        <f>VLOOKUP(R1112,[1]!NOMINA[#Data],4,FALSE)</f>
        <v>#REF!</v>
      </c>
      <c r="T1112" t="e">
        <f>VLOOKUP(R1112,[1]!NOMINA[#Data],5,FALSE)</f>
        <v>#REF!</v>
      </c>
    </row>
    <row r="1113" spans="1:20" x14ac:dyDescent="0.25">
      <c r="A1113" s="38">
        <v>45715</v>
      </c>
      <c r="B1113" s="1">
        <v>619084080</v>
      </c>
      <c r="C1113" t="s">
        <v>1070</v>
      </c>
      <c r="D1113" s="23">
        <v>-320.10000000000002</v>
      </c>
      <c r="E1113" t="s">
        <v>35</v>
      </c>
      <c r="F1113" s="2">
        <v>212901001</v>
      </c>
      <c r="G1113" s="2" t="s">
        <v>91</v>
      </c>
      <c r="I1113" s="95" t="s">
        <v>7231</v>
      </c>
      <c r="J1113" t="s">
        <v>61</v>
      </c>
      <c r="K1113" t="s">
        <v>62</v>
      </c>
      <c r="M1113">
        <v>64.239999999999995</v>
      </c>
      <c r="N1113" s="4">
        <f t="shared" si="17"/>
        <v>-4.9828767123287676</v>
      </c>
      <c r="O1113" t="s">
        <v>83</v>
      </c>
      <c r="R1113">
        <v>8</v>
      </c>
      <c r="S1113" t="e">
        <f>VLOOKUP(Tabla3[[#This Row],[Nº]],[1]!NOMINA[#Data],4,FALSE)</f>
        <v>#REF!</v>
      </c>
      <c r="T1113" t="e">
        <f>VLOOKUP(Tabla3[[#This Row],[Nº]],[1]!NOMINA[#Data],5,FALSE)</f>
        <v>#REF!</v>
      </c>
    </row>
    <row r="1114" spans="1:20" x14ac:dyDescent="0.25">
      <c r="A1114" s="38">
        <v>45715</v>
      </c>
      <c r="B1114" s="1">
        <v>719084084</v>
      </c>
      <c r="C1114" t="s">
        <v>1071</v>
      </c>
      <c r="D1114" s="23">
        <v>-1920.6</v>
      </c>
      <c r="E1114" t="s">
        <v>35</v>
      </c>
      <c r="F1114" s="2">
        <v>212901001</v>
      </c>
      <c r="G1114" s="2" t="s">
        <v>91</v>
      </c>
      <c r="I1114" s="95" t="s">
        <v>7231</v>
      </c>
      <c r="J1114" t="s">
        <v>61</v>
      </c>
      <c r="K1114" t="s">
        <v>62</v>
      </c>
      <c r="M1114">
        <v>64.239999999999995</v>
      </c>
      <c r="N1114" s="4">
        <f t="shared" si="17"/>
        <v>-29.897260273972602</v>
      </c>
      <c r="O1114" t="s">
        <v>83</v>
      </c>
      <c r="R1114">
        <v>43</v>
      </c>
      <c r="S1114" t="e">
        <f>VLOOKUP(R1114,[1]!NOMINA[#Data],4,FALSE)</f>
        <v>#REF!</v>
      </c>
      <c r="T1114" t="e">
        <f>VLOOKUP(R1114,[1]!NOMINA[#Data],5,FALSE)</f>
        <v>#REF!</v>
      </c>
    </row>
    <row r="1115" spans="1:20" x14ac:dyDescent="0.25">
      <c r="A1115" s="38">
        <v>45715</v>
      </c>
      <c r="B1115" s="1">
        <v>619084083</v>
      </c>
      <c r="C1115" t="s">
        <v>1072</v>
      </c>
      <c r="D1115" s="23">
        <v>-12804</v>
      </c>
      <c r="E1115" t="s">
        <v>35</v>
      </c>
      <c r="F1115" s="2">
        <v>212901001</v>
      </c>
      <c r="G1115" s="2" t="s">
        <v>91</v>
      </c>
      <c r="I1115" s="95" t="s">
        <v>7231</v>
      </c>
      <c r="J1115" t="s">
        <v>61</v>
      </c>
      <c r="K1115" t="s">
        <v>62</v>
      </c>
      <c r="M1115">
        <v>64.239999999999995</v>
      </c>
      <c r="N1115" s="4">
        <f t="shared" si="17"/>
        <v>-199.3150684931507</v>
      </c>
      <c r="O1115" t="s">
        <v>83</v>
      </c>
      <c r="R1115">
        <v>1</v>
      </c>
      <c r="S1115" t="e">
        <f>VLOOKUP(R1115,[1]!NOMINA[#Data],4,FALSE)</f>
        <v>#REF!</v>
      </c>
      <c r="T1115" t="e">
        <f>VLOOKUP(R1115,[1]!NOMINA[#Data],5,FALSE)</f>
        <v>#REF!</v>
      </c>
    </row>
    <row r="1116" spans="1:20" x14ac:dyDescent="0.25">
      <c r="A1116" s="38">
        <v>45715</v>
      </c>
      <c r="B1116" s="1">
        <v>619084082</v>
      </c>
      <c r="C1116" t="s">
        <v>1073</v>
      </c>
      <c r="D1116" s="23">
        <v>-320.10000000000002</v>
      </c>
      <c r="E1116" t="s">
        <v>35</v>
      </c>
      <c r="F1116" s="2">
        <v>212901001</v>
      </c>
      <c r="G1116" s="2" t="s">
        <v>91</v>
      </c>
      <c r="I1116" s="95" t="s">
        <v>7231</v>
      </c>
      <c r="J1116" t="s">
        <v>61</v>
      </c>
      <c r="K1116" t="s">
        <v>62</v>
      </c>
      <c r="M1116">
        <v>64.239999999999995</v>
      </c>
      <c r="N1116" s="4">
        <f t="shared" si="17"/>
        <v>-4.9828767123287676</v>
      </c>
      <c r="O1116" t="s">
        <v>83</v>
      </c>
      <c r="R1116">
        <v>13</v>
      </c>
      <c r="S1116" t="e">
        <f>VLOOKUP(R1116,[1]!NOMINA[#Data],4,FALSE)</f>
        <v>#REF!</v>
      </c>
      <c r="T1116" t="e">
        <f>VLOOKUP(R1116,[1]!NOMINA[#Data],5,FALSE)</f>
        <v>#REF!</v>
      </c>
    </row>
    <row r="1117" spans="1:20" x14ac:dyDescent="0.25">
      <c r="A1117" s="38">
        <v>45715</v>
      </c>
      <c r="B1117" s="1">
        <v>719084086</v>
      </c>
      <c r="C1117" t="s">
        <v>1074</v>
      </c>
      <c r="D1117" s="23">
        <v>-320.10000000000002</v>
      </c>
      <c r="E1117" t="s">
        <v>35</v>
      </c>
      <c r="F1117" s="2">
        <v>212901001</v>
      </c>
      <c r="G1117" s="2" t="s">
        <v>91</v>
      </c>
      <c r="I1117" s="95" t="s">
        <v>7231</v>
      </c>
      <c r="J1117" t="s">
        <v>61</v>
      </c>
      <c r="K1117" t="s">
        <v>62</v>
      </c>
      <c r="M1117">
        <v>64.239999999999995</v>
      </c>
      <c r="N1117" s="4">
        <f t="shared" si="17"/>
        <v>-4.9828767123287676</v>
      </c>
      <c r="O1117" t="s">
        <v>83</v>
      </c>
      <c r="R1117">
        <v>12</v>
      </c>
      <c r="S1117" t="e">
        <f>VLOOKUP(Tabla3[[#This Row],[Nº]],[1]!NOMINA[#Data],4,FALSE)</f>
        <v>#REF!</v>
      </c>
      <c r="T1117" t="e">
        <f>VLOOKUP(Tabla3[[#This Row],[Nº]],[1]!NOMINA[#Data],5,FALSE)</f>
        <v>#REF!</v>
      </c>
    </row>
    <row r="1118" spans="1:20" x14ac:dyDescent="0.25">
      <c r="A1118" s="38">
        <v>45715</v>
      </c>
      <c r="B1118" s="1">
        <v>719084087</v>
      </c>
      <c r="C1118" t="s">
        <v>1075</v>
      </c>
      <c r="D1118" s="23">
        <v>-320.10000000000002</v>
      </c>
      <c r="E1118" t="s">
        <v>35</v>
      </c>
      <c r="F1118" s="2">
        <v>212901001</v>
      </c>
      <c r="G1118" s="2" t="s">
        <v>91</v>
      </c>
      <c r="I1118" s="95" t="s">
        <v>7231</v>
      </c>
      <c r="J1118" t="s">
        <v>61</v>
      </c>
      <c r="K1118" t="s">
        <v>62</v>
      </c>
      <c r="M1118">
        <v>64.239999999999995</v>
      </c>
      <c r="N1118" s="4">
        <f t="shared" si="17"/>
        <v>-4.9828767123287676</v>
      </c>
      <c r="O1118" t="s">
        <v>83</v>
      </c>
      <c r="R1118">
        <v>16</v>
      </c>
      <c r="S1118" t="e">
        <f>VLOOKUP(Tabla3[[#This Row],[Nº]],[1]!NOMINA[#Data],4,FALSE)</f>
        <v>#REF!</v>
      </c>
      <c r="T1118" t="e">
        <f>VLOOKUP(Tabla3[[#This Row],[Nº]],[1]!NOMINA[#Data],5,FALSE)</f>
        <v>#REF!</v>
      </c>
    </row>
    <row r="1119" spans="1:20" x14ac:dyDescent="0.25">
      <c r="A1119" s="38">
        <v>45715</v>
      </c>
      <c r="B1119" s="1">
        <v>719084085</v>
      </c>
      <c r="C1119" t="s">
        <v>1076</v>
      </c>
      <c r="D1119" s="23">
        <v>-320.10000000000002</v>
      </c>
      <c r="E1119" t="s">
        <v>35</v>
      </c>
      <c r="F1119" s="2">
        <v>212901001</v>
      </c>
      <c r="G1119" s="2" t="s">
        <v>91</v>
      </c>
      <c r="I1119" s="95" t="s">
        <v>7231</v>
      </c>
      <c r="J1119" t="s">
        <v>61</v>
      </c>
      <c r="K1119" t="s">
        <v>62</v>
      </c>
      <c r="M1119">
        <v>64.239999999999995</v>
      </c>
      <c r="N1119" s="4">
        <f t="shared" si="17"/>
        <v>-4.9828767123287676</v>
      </c>
      <c r="O1119" t="s">
        <v>83</v>
      </c>
      <c r="R1119">
        <v>6</v>
      </c>
      <c r="S1119" t="e">
        <f>VLOOKUP(Tabla3[[#This Row],[Nº]],[1]!NOMINA[#Data],4,FALSE)</f>
        <v>#REF!</v>
      </c>
      <c r="T1119" t="e">
        <f>VLOOKUP(Tabla3[[#This Row],[Nº]],[1]!NOMINA[#Data],5,FALSE)</f>
        <v>#REF!</v>
      </c>
    </row>
    <row r="1120" spans="1:20" x14ac:dyDescent="0.25">
      <c r="A1120" s="38">
        <v>45715</v>
      </c>
      <c r="B1120" s="1">
        <v>719084088</v>
      </c>
      <c r="C1120" t="s">
        <v>1077</v>
      </c>
      <c r="D1120" s="23">
        <v>-320.10000000000002</v>
      </c>
      <c r="E1120" t="s">
        <v>35</v>
      </c>
      <c r="F1120" s="2">
        <v>212901001</v>
      </c>
      <c r="G1120" s="2" t="s">
        <v>91</v>
      </c>
      <c r="I1120" s="95" t="s">
        <v>7231</v>
      </c>
      <c r="J1120" t="s">
        <v>61</v>
      </c>
      <c r="K1120" t="s">
        <v>62</v>
      </c>
      <c r="M1120">
        <v>64.239999999999995</v>
      </c>
      <c r="N1120" s="4">
        <f t="shared" si="17"/>
        <v>-4.9828767123287676</v>
      </c>
      <c r="O1120" t="s">
        <v>83</v>
      </c>
      <c r="R1120">
        <v>7</v>
      </c>
      <c r="S1120" t="e">
        <f>VLOOKUP(Tabla3[[#This Row],[Nº]],[1]!NOMINA[#Data],4,FALSE)</f>
        <v>#REF!</v>
      </c>
      <c r="T1120" t="e">
        <f>VLOOKUP(Tabla3[[#This Row],[Nº]],[1]!NOMINA[#Data],5,FALSE)</f>
        <v>#REF!</v>
      </c>
    </row>
    <row r="1121" spans="1:20" x14ac:dyDescent="0.25">
      <c r="A1121" s="38">
        <v>45715</v>
      </c>
      <c r="B1121" s="1">
        <v>719084089</v>
      </c>
      <c r="C1121" t="s">
        <v>1078</v>
      </c>
      <c r="D1121" s="23">
        <v>-320.10000000000002</v>
      </c>
      <c r="E1121" t="s">
        <v>35</v>
      </c>
      <c r="F1121" s="2">
        <v>212901001</v>
      </c>
      <c r="G1121" s="2" t="s">
        <v>91</v>
      </c>
      <c r="I1121" s="95" t="s">
        <v>7231</v>
      </c>
      <c r="J1121" t="s">
        <v>61</v>
      </c>
      <c r="K1121" t="s">
        <v>62</v>
      </c>
      <c r="M1121">
        <v>64.239999999999995</v>
      </c>
      <c r="N1121" s="4">
        <f t="shared" si="17"/>
        <v>-4.9828767123287676</v>
      </c>
      <c r="O1121" t="s">
        <v>83</v>
      </c>
      <c r="R1121">
        <v>40</v>
      </c>
      <c r="S1121" t="e">
        <f>VLOOKUP(R1121,[1]!NOMINA[#Data],4,FALSE)</f>
        <v>#REF!</v>
      </c>
      <c r="T1121" t="e">
        <f>VLOOKUP(R1121,[1]!NOMINA[#Data],5,FALSE)</f>
        <v>#REF!</v>
      </c>
    </row>
    <row r="1122" spans="1:20" x14ac:dyDescent="0.25">
      <c r="A1122" s="38">
        <v>45715</v>
      </c>
      <c r="B1122" s="1">
        <v>719084091</v>
      </c>
      <c r="C1122" t="s">
        <v>1079</v>
      </c>
      <c r="D1122" s="23">
        <v>-320.10000000000002</v>
      </c>
      <c r="E1122" t="s">
        <v>35</v>
      </c>
      <c r="F1122" s="2">
        <v>212901001</v>
      </c>
      <c r="G1122" s="2" t="s">
        <v>91</v>
      </c>
      <c r="I1122" s="95" t="s">
        <v>7231</v>
      </c>
      <c r="J1122" t="s">
        <v>61</v>
      </c>
      <c r="K1122" t="s">
        <v>62</v>
      </c>
      <c r="M1122">
        <v>64.239999999999995</v>
      </c>
      <c r="N1122" s="4">
        <f t="shared" si="17"/>
        <v>-4.9828767123287676</v>
      </c>
      <c r="O1122" t="s">
        <v>83</v>
      </c>
      <c r="R1122">
        <v>37</v>
      </c>
      <c r="S1122" t="e">
        <f>VLOOKUP(R1122,[1]!NOMINA[#Data],4,FALSE)</f>
        <v>#REF!</v>
      </c>
      <c r="T1122" t="e">
        <f>VLOOKUP(R1122,[1]!NOMINA[#Data],5,FALSE)</f>
        <v>#REF!</v>
      </c>
    </row>
    <row r="1123" spans="1:20" x14ac:dyDescent="0.25">
      <c r="A1123" s="38">
        <v>45715</v>
      </c>
      <c r="B1123" s="1">
        <v>719084093</v>
      </c>
      <c r="C1123" t="s">
        <v>1080</v>
      </c>
      <c r="D1123" s="23">
        <v>-320.10000000000002</v>
      </c>
      <c r="E1123" t="s">
        <v>35</v>
      </c>
      <c r="F1123" s="2">
        <v>212901001</v>
      </c>
      <c r="G1123" s="2" t="s">
        <v>91</v>
      </c>
      <c r="I1123" s="95" t="s">
        <v>7231</v>
      </c>
      <c r="J1123" t="s">
        <v>61</v>
      </c>
      <c r="K1123" t="s">
        <v>62</v>
      </c>
      <c r="M1123">
        <v>64.239999999999995</v>
      </c>
      <c r="N1123" s="4">
        <f t="shared" si="17"/>
        <v>-4.9828767123287676</v>
      </c>
      <c r="O1123" t="s">
        <v>83</v>
      </c>
      <c r="R1123">
        <v>11</v>
      </c>
      <c r="S1123" t="e">
        <f>VLOOKUP(Tabla3[[#This Row],[Nº]],[1]!NOMINA[#Data],4,FALSE)</f>
        <v>#REF!</v>
      </c>
      <c r="T1123" t="e">
        <f>VLOOKUP(Tabla3[[#This Row],[Nº]],[1]!NOMINA[#Data],5,FALSE)</f>
        <v>#REF!</v>
      </c>
    </row>
    <row r="1124" spans="1:20" x14ac:dyDescent="0.25">
      <c r="A1124" s="38">
        <v>45715</v>
      </c>
      <c r="B1124" s="1">
        <v>719084092</v>
      </c>
      <c r="C1124" t="s">
        <v>1081</v>
      </c>
      <c r="D1124" s="23">
        <v>-320.10000000000002</v>
      </c>
      <c r="E1124" t="s">
        <v>35</v>
      </c>
      <c r="F1124" s="2">
        <v>212901001</v>
      </c>
      <c r="G1124" s="2" t="s">
        <v>91</v>
      </c>
      <c r="I1124" s="95" t="s">
        <v>7231</v>
      </c>
      <c r="J1124" t="s">
        <v>61</v>
      </c>
      <c r="K1124" t="s">
        <v>62</v>
      </c>
      <c r="M1124">
        <v>64.239999999999995</v>
      </c>
      <c r="N1124" s="4">
        <f t="shared" si="17"/>
        <v>-4.9828767123287676</v>
      </c>
      <c r="O1124" t="s">
        <v>83</v>
      </c>
      <c r="R1124">
        <v>29</v>
      </c>
      <c r="S1124" t="e">
        <f>VLOOKUP(R1124,[1]!NOMINA[#Data],4,FALSE)</f>
        <v>#REF!</v>
      </c>
      <c r="T1124" t="e">
        <f>VLOOKUP(R1124,[1]!NOMINA[#Data],5,FALSE)</f>
        <v>#REF!</v>
      </c>
    </row>
    <row r="1125" spans="1:20" x14ac:dyDescent="0.25">
      <c r="A1125" s="38">
        <v>45715</v>
      </c>
      <c r="B1125" s="1">
        <v>719084094</v>
      </c>
      <c r="C1125" t="s">
        <v>1082</v>
      </c>
      <c r="D1125" s="23">
        <v>-320.10000000000002</v>
      </c>
      <c r="E1125" t="s">
        <v>35</v>
      </c>
      <c r="F1125" s="2">
        <v>212901001</v>
      </c>
      <c r="G1125" s="2" t="s">
        <v>91</v>
      </c>
      <c r="I1125" s="95" t="s">
        <v>7231</v>
      </c>
      <c r="J1125" t="s">
        <v>61</v>
      </c>
      <c r="K1125" t="s">
        <v>62</v>
      </c>
      <c r="M1125">
        <v>64.239999999999995</v>
      </c>
      <c r="N1125" s="4">
        <f t="shared" si="17"/>
        <v>-4.9828767123287676</v>
      </c>
      <c r="O1125" t="s">
        <v>83</v>
      </c>
      <c r="R1125">
        <v>10</v>
      </c>
      <c r="S1125" t="e">
        <f>VLOOKUP(Tabla3[[#This Row],[Nº]],[1]!NOMINA[#Data],4,FALSE)</f>
        <v>#REF!</v>
      </c>
      <c r="T1125" t="e">
        <f>VLOOKUP(Tabla3[[#This Row],[Nº]],[1]!NOMINA[#Data],5,FALSE)</f>
        <v>#REF!</v>
      </c>
    </row>
    <row r="1126" spans="1:20" x14ac:dyDescent="0.25">
      <c r="A1126" s="38">
        <v>45715</v>
      </c>
      <c r="B1126" s="1">
        <v>819084097</v>
      </c>
      <c r="C1126" t="s">
        <v>1083</v>
      </c>
      <c r="D1126" s="23">
        <v>-3201</v>
      </c>
      <c r="E1126" t="s">
        <v>35</v>
      </c>
      <c r="F1126" s="2">
        <v>212901001</v>
      </c>
      <c r="G1126" s="2" t="s">
        <v>91</v>
      </c>
      <c r="I1126" s="95" t="s">
        <v>7231</v>
      </c>
      <c r="J1126" t="s">
        <v>61</v>
      </c>
      <c r="K1126" t="s">
        <v>62</v>
      </c>
      <c r="M1126">
        <v>64.239999999999995</v>
      </c>
      <c r="N1126" s="4">
        <f t="shared" si="17"/>
        <v>-49.828767123287676</v>
      </c>
      <c r="O1126" t="s">
        <v>83</v>
      </c>
    </row>
    <row r="1127" spans="1:20" x14ac:dyDescent="0.25">
      <c r="A1127" s="38">
        <v>45715</v>
      </c>
      <c r="B1127" s="1">
        <v>719084090</v>
      </c>
      <c r="C1127" t="s">
        <v>1084</v>
      </c>
      <c r="D1127" s="23">
        <v>-320.10000000000002</v>
      </c>
      <c r="E1127" t="s">
        <v>35</v>
      </c>
      <c r="F1127" s="2">
        <v>212901001</v>
      </c>
      <c r="G1127" s="2" t="s">
        <v>91</v>
      </c>
      <c r="I1127" s="95" t="s">
        <v>7231</v>
      </c>
      <c r="J1127" t="s">
        <v>61</v>
      </c>
      <c r="K1127" t="s">
        <v>62</v>
      </c>
      <c r="M1127">
        <v>64.239999999999995</v>
      </c>
      <c r="N1127" s="4">
        <f t="shared" si="17"/>
        <v>-4.9828767123287676</v>
      </c>
      <c r="O1127" t="s">
        <v>83</v>
      </c>
      <c r="R1127">
        <v>38</v>
      </c>
      <c r="S1127" t="e">
        <f>VLOOKUP(R1127,[1]!NOMINA[#Data],4,FALSE)</f>
        <v>#REF!</v>
      </c>
      <c r="T1127" t="e">
        <f>VLOOKUP(R1127,[1]!NOMINA[#Data],5,FALSE)</f>
        <v>#REF!</v>
      </c>
    </row>
    <row r="1128" spans="1:20" x14ac:dyDescent="0.25">
      <c r="A1128" s="38">
        <v>45715</v>
      </c>
      <c r="B1128" s="1">
        <v>819084100</v>
      </c>
      <c r="C1128" t="s">
        <v>1085</v>
      </c>
      <c r="D1128" s="23">
        <v>-4753.49</v>
      </c>
      <c r="E1128" t="s">
        <v>35</v>
      </c>
      <c r="F1128" s="2">
        <v>212901001</v>
      </c>
      <c r="G1128" s="2" t="s">
        <v>91</v>
      </c>
      <c r="I1128" s="95" t="s">
        <v>7231</v>
      </c>
      <c r="J1128" t="s">
        <v>61</v>
      </c>
      <c r="K1128" t="s">
        <v>62</v>
      </c>
      <c r="M1128">
        <v>64.239999999999995</v>
      </c>
      <c r="N1128" s="4">
        <f t="shared" si="17"/>
        <v>-73.995797011207969</v>
      </c>
      <c r="O1128" t="s">
        <v>83</v>
      </c>
      <c r="R1128">
        <v>9</v>
      </c>
      <c r="S1128" t="e">
        <f>VLOOKUP(R1128,[1]!NOMINA[#Data],4,FALSE)</f>
        <v>#REF!</v>
      </c>
      <c r="T1128" t="e">
        <f>VLOOKUP(R1128,[1]!NOMINA[#Data],5,FALSE)</f>
        <v>#REF!</v>
      </c>
    </row>
    <row r="1129" spans="1:20" x14ac:dyDescent="0.25">
      <c r="A1129" s="38">
        <v>45715</v>
      </c>
      <c r="B1129" s="1">
        <v>819084096</v>
      </c>
      <c r="C1129" t="s">
        <v>1086</v>
      </c>
      <c r="D1129" s="23">
        <v>-320.10000000000002</v>
      </c>
      <c r="E1129" t="s">
        <v>35</v>
      </c>
      <c r="F1129" s="2">
        <v>212901001</v>
      </c>
      <c r="G1129" s="2" t="s">
        <v>91</v>
      </c>
      <c r="I1129" s="95" t="s">
        <v>7231</v>
      </c>
      <c r="J1129" t="s">
        <v>61</v>
      </c>
      <c r="K1129" t="s">
        <v>62</v>
      </c>
      <c r="M1129">
        <v>64.239999999999995</v>
      </c>
      <c r="N1129" s="4">
        <f t="shared" si="17"/>
        <v>-4.9828767123287676</v>
      </c>
      <c r="O1129" t="s">
        <v>83</v>
      </c>
      <c r="R1129">
        <v>9</v>
      </c>
      <c r="S1129" t="e">
        <f>VLOOKUP(Tabla3[[#This Row],[Nº]],[1]!NOMINA[#Data],4,FALSE)</f>
        <v>#REF!</v>
      </c>
      <c r="T1129" t="e">
        <f>VLOOKUP(Tabla3[[#This Row],[Nº]],[1]!NOMINA[#Data],5,FALSE)</f>
        <v>#REF!</v>
      </c>
    </row>
    <row r="1130" spans="1:20" x14ac:dyDescent="0.25">
      <c r="A1130" s="38">
        <v>45715</v>
      </c>
      <c r="B1130" s="1">
        <v>719084095</v>
      </c>
      <c r="C1130" t="s">
        <v>1087</v>
      </c>
      <c r="D1130" s="23">
        <v>-320.10000000000002</v>
      </c>
      <c r="E1130" t="s">
        <v>35</v>
      </c>
      <c r="F1130" s="2">
        <v>212901001</v>
      </c>
      <c r="G1130" s="2" t="s">
        <v>91</v>
      </c>
      <c r="I1130" s="95" t="s">
        <v>7231</v>
      </c>
      <c r="J1130" t="s">
        <v>61</v>
      </c>
      <c r="K1130" t="s">
        <v>62</v>
      </c>
      <c r="M1130">
        <v>64.239999999999995</v>
      </c>
      <c r="N1130" s="4">
        <f t="shared" si="17"/>
        <v>-4.9828767123287676</v>
      </c>
      <c r="O1130" t="s">
        <v>83</v>
      </c>
      <c r="R1130">
        <v>44</v>
      </c>
      <c r="S1130" t="e">
        <f>VLOOKUP(R1130,[1]!NOMINA[#Data],4,FALSE)</f>
        <v>#REF!</v>
      </c>
      <c r="T1130" t="e">
        <f>VLOOKUP(R1130,[1]!NOMINA[#Data],5,FALSE)</f>
        <v>#REF!</v>
      </c>
    </row>
    <row r="1131" spans="1:20" x14ac:dyDescent="0.25">
      <c r="A1131" s="38">
        <v>45715</v>
      </c>
      <c r="B1131" s="1">
        <v>819084098</v>
      </c>
      <c r="C1131" t="s">
        <v>1088</v>
      </c>
      <c r="D1131" s="23">
        <v>-3201</v>
      </c>
      <c r="E1131" t="s">
        <v>35</v>
      </c>
      <c r="F1131" s="2">
        <v>212901001</v>
      </c>
      <c r="G1131" s="2" t="s">
        <v>91</v>
      </c>
      <c r="I1131" s="95" t="s">
        <v>7231</v>
      </c>
      <c r="J1131" t="s">
        <v>61</v>
      </c>
      <c r="K1131" t="s">
        <v>62</v>
      </c>
      <c r="M1131">
        <v>64.239999999999995</v>
      </c>
      <c r="N1131" s="4">
        <f t="shared" si="17"/>
        <v>-49.828767123287676</v>
      </c>
      <c r="O1131" t="s">
        <v>83</v>
      </c>
    </row>
    <row r="1132" spans="1:20" x14ac:dyDescent="0.25">
      <c r="A1132" s="38">
        <v>45715</v>
      </c>
      <c r="B1132" s="1">
        <v>819084099</v>
      </c>
      <c r="C1132" t="s">
        <v>1089</v>
      </c>
      <c r="D1132" s="23">
        <v>-3201</v>
      </c>
      <c r="E1132" t="s">
        <v>35</v>
      </c>
      <c r="F1132" s="2">
        <v>212901001</v>
      </c>
      <c r="G1132" s="2" t="s">
        <v>91</v>
      </c>
      <c r="I1132" s="95" t="s">
        <v>7231</v>
      </c>
      <c r="J1132" t="s">
        <v>61</v>
      </c>
      <c r="K1132" t="s">
        <v>62</v>
      </c>
      <c r="M1132">
        <v>64.239999999999995</v>
      </c>
      <c r="N1132" s="4">
        <f t="shared" si="17"/>
        <v>-49.828767123287676</v>
      </c>
      <c r="O1132" t="s">
        <v>83</v>
      </c>
    </row>
    <row r="1133" spans="1:20" x14ac:dyDescent="0.25">
      <c r="A1133" s="38">
        <v>45715</v>
      </c>
      <c r="B1133" s="1">
        <v>819084101</v>
      </c>
      <c r="C1133" t="s">
        <v>1090</v>
      </c>
      <c r="D1133" s="23">
        <v>-2184.36</v>
      </c>
      <c r="E1133" t="s">
        <v>35</v>
      </c>
      <c r="F1133" s="2">
        <v>212901001</v>
      </c>
      <c r="G1133" s="2" t="s">
        <v>91</v>
      </c>
      <c r="I1133" s="95" t="s">
        <v>7231</v>
      </c>
      <c r="J1133" t="s">
        <v>61</v>
      </c>
      <c r="K1133" t="s">
        <v>62</v>
      </c>
      <c r="M1133">
        <v>64.239999999999995</v>
      </c>
      <c r="N1133" s="4">
        <f t="shared" si="17"/>
        <v>-34.003113325031137</v>
      </c>
      <c r="O1133" t="s">
        <v>83</v>
      </c>
      <c r="R1133">
        <v>26</v>
      </c>
      <c r="S1133" t="e">
        <f>VLOOKUP(Tabla3[[#This Row],[Nº]],[1]!NOMINA[#Data],4,FALSE)</f>
        <v>#REF!</v>
      </c>
      <c r="T1133" t="e">
        <f>VLOOKUP(Tabla3[[#This Row],[Nº]],[1]!NOMINA[#Data],5,FALSE)</f>
        <v>#REF!</v>
      </c>
    </row>
    <row r="1134" spans="1:20" x14ac:dyDescent="0.25">
      <c r="A1134" s="38">
        <v>45715</v>
      </c>
      <c r="B1134" s="1">
        <v>819084103</v>
      </c>
      <c r="C1134" t="s">
        <v>1091</v>
      </c>
      <c r="D1134" s="23">
        <v>-2505.1</v>
      </c>
      <c r="E1134" t="s">
        <v>35</v>
      </c>
      <c r="F1134" s="2">
        <v>212901001</v>
      </c>
      <c r="G1134" s="2" t="s">
        <v>91</v>
      </c>
      <c r="I1134" s="95" t="s">
        <v>7231</v>
      </c>
      <c r="J1134" t="s">
        <v>61</v>
      </c>
      <c r="K1134" t="s">
        <v>62</v>
      </c>
      <c r="M1134">
        <v>64.239999999999995</v>
      </c>
      <c r="N1134" s="4">
        <f t="shared" si="17"/>
        <v>-38.995952677459528</v>
      </c>
      <c r="O1134" t="s">
        <v>83</v>
      </c>
      <c r="R1134">
        <v>29</v>
      </c>
      <c r="S1134" t="e">
        <f>VLOOKUP(R1134,[1]!NOMINA[#Data],4,FALSE)</f>
        <v>#REF!</v>
      </c>
      <c r="T1134" t="e">
        <f>VLOOKUP(R1134,[1]!NOMINA[#Data],5,FALSE)</f>
        <v>#REF!</v>
      </c>
    </row>
    <row r="1135" spans="1:20" x14ac:dyDescent="0.25">
      <c r="A1135" s="38">
        <v>45715</v>
      </c>
      <c r="B1135" s="1">
        <v>819084102</v>
      </c>
      <c r="C1135" t="s">
        <v>1092</v>
      </c>
      <c r="D1135" s="23">
        <v>-2505.1</v>
      </c>
      <c r="E1135" t="s">
        <v>35</v>
      </c>
      <c r="F1135" s="2">
        <v>212901001</v>
      </c>
      <c r="G1135" s="2" t="s">
        <v>91</v>
      </c>
      <c r="I1135" s="95" t="s">
        <v>7231</v>
      </c>
      <c r="J1135" t="s">
        <v>61</v>
      </c>
      <c r="K1135" t="s">
        <v>62</v>
      </c>
      <c r="M1135">
        <v>64.239999999999995</v>
      </c>
      <c r="N1135" s="4">
        <f t="shared" si="17"/>
        <v>-38.995952677459528</v>
      </c>
      <c r="O1135" t="s">
        <v>83</v>
      </c>
      <c r="R1135">
        <v>44</v>
      </c>
      <c r="S1135" t="e">
        <f>VLOOKUP(R1135,[1]!NOMINA[#Data],4,FALSE)</f>
        <v>#REF!</v>
      </c>
      <c r="T1135" t="e">
        <f>VLOOKUP(R1135,[1]!NOMINA[#Data],5,FALSE)</f>
        <v>#REF!</v>
      </c>
    </row>
    <row r="1136" spans="1:20" x14ac:dyDescent="0.25">
      <c r="A1136" s="38">
        <v>45715</v>
      </c>
      <c r="B1136" s="1">
        <v>819084104</v>
      </c>
      <c r="C1136" t="s">
        <v>1093</v>
      </c>
      <c r="D1136" s="23">
        <v>-4753.49</v>
      </c>
      <c r="E1136" t="s">
        <v>35</v>
      </c>
      <c r="F1136" s="2">
        <v>212901001</v>
      </c>
      <c r="G1136" s="2" t="s">
        <v>91</v>
      </c>
      <c r="I1136" s="95" t="s">
        <v>7231</v>
      </c>
      <c r="J1136" t="s">
        <v>61</v>
      </c>
      <c r="K1136" t="s">
        <v>62</v>
      </c>
      <c r="M1136">
        <v>64.239999999999995</v>
      </c>
      <c r="N1136" s="4">
        <f t="shared" si="17"/>
        <v>-73.995797011207969</v>
      </c>
      <c r="O1136" t="s">
        <v>83</v>
      </c>
      <c r="R1136">
        <v>10</v>
      </c>
      <c r="S1136" t="e">
        <f>VLOOKUP(R1136,[1]!NOMINA[#Data],4,FALSE)</f>
        <v>#REF!</v>
      </c>
      <c r="T1136" t="e">
        <f>VLOOKUP(R1136,[1]!NOMINA[#Data],5,FALSE)</f>
        <v>#REF!</v>
      </c>
    </row>
    <row r="1137" spans="1:20" x14ac:dyDescent="0.25">
      <c r="A1137" s="38">
        <v>45715</v>
      </c>
      <c r="B1137" s="1">
        <v>819084105</v>
      </c>
      <c r="C1137" t="s">
        <v>1094</v>
      </c>
      <c r="D1137" s="23">
        <v>-4762.45</v>
      </c>
      <c r="E1137" t="s">
        <v>35</v>
      </c>
      <c r="F1137" s="2">
        <v>212901001</v>
      </c>
      <c r="G1137" s="2" t="s">
        <v>91</v>
      </c>
      <c r="I1137" s="95" t="s">
        <v>7231</v>
      </c>
      <c r="J1137" t="s">
        <v>61</v>
      </c>
      <c r="K1137" t="s">
        <v>62</v>
      </c>
      <c r="M1137">
        <v>64.239999999999995</v>
      </c>
      <c r="N1137" s="4">
        <f t="shared" si="17"/>
        <v>-74.135273972602747</v>
      </c>
      <c r="O1137" t="s">
        <v>83</v>
      </c>
      <c r="R1137">
        <v>18</v>
      </c>
      <c r="S1137" t="e">
        <f>VLOOKUP(Tabla3[[#This Row],[Nº]],[1]!NOMINA[#Data],4,FALSE)</f>
        <v>#REF!</v>
      </c>
      <c r="T1137" t="e">
        <f>VLOOKUP(Tabla3[[#This Row],[Nº]],[1]!NOMINA[#Data],5,FALSE)</f>
        <v>#REF!</v>
      </c>
    </row>
    <row r="1138" spans="1:20" x14ac:dyDescent="0.25">
      <c r="A1138" s="38">
        <v>45715</v>
      </c>
      <c r="B1138" s="1">
        <v>919084109</v>
      </c>
      <c r="C1138" t="s">
        <v>1095</v>
      </c>
      <c r="D1138" s="23">
        <v>-2505.1</v>
      </c>
      <c r="E1138" t="s">
        <v>35</v>
      </c>
      <c r="F1138" s="2">
        <v>212901001</v>
      </c>
      <c r="G1138" s="2" t="s">
        <v>91</v>
      </c>
      <c r="I1138" s="95" t="s">
        <v>7231</v>
      </c>
      <c r="J1138" t="s">
        <v>61</v>
      </c>
      <c r="K1138" t="s">
        <v>62</v>
      </c>
      <c r="M1138">
        <v>64.239999999999995</v>
      </c>
      <c r="N1138" s="4">
        <f t="shared" si="17"/>
        <v>-38.995952677459528</v>
      </c>
      <c r="O1138" t="s">
        <v>83</v>
      </c>
      <c r="R1138">
        <v>41</v>
      </c>
      <c r="S1138" t="e">
        <f>VLOOKUP(R1138,[1]!NOMINA[#Data],4,FALSE)</f>
        <v>#REF!</v>
      </c>
      <c r="T1138" t="e">
        <f>VLOOKUP(R1138,[1]!NOMINA[#Data],5,FALSE)</f>
        <v>#REF!</v>
      </c>
    </row>
    <row r="1139" spans="1:20" x14ac:dyDescent="0.25">
      <c r="A1139" s="38">
        <v>45715</v>
      </c>
      <c r="B1139" s="1">
        <v>819084106</v>
      </c>
      <c r="C1139" t="s">
        <v>1096</v>
      </c>
      <c r="D1139" s="23">
        <v>-4736.2</v>
      </c>
      <c r="E1139" t="s">
        <v>35</v>
      </c>
      <c r="F1139" s="2">
        <v>212901001</v>
      </c>
      <c r="G1139" s="2" t="s">
        <v>91</v>
      </c>
      <c r="I1139" s="95" t="s">
        <v>7231</v>
      </c>
      <c r="J1139" t="s">
        <v>61</v>
      </c>
      <c r="K1139" t="s">
        <v>62</v>
      </c>
      <c r="M1139">
        <v>64.239999999999995</v>
      </c>
      <c r="N1139" s="4">
        <f t="shared" si="17"/>
        <v>-73.726650062266501</v>
      </c>
      <c r="O1139" t="s">
        <v>83</v>
      </c>
      <c r="R1139">
        <v>38</v>
      </c>
      <c r="S1139" t="e">
        <f>VLOOKUP(R1139,[1]!NOMINA[#Data],4,FALSE)</f>
        <v>#REF!</v>
      </c>
      <c r="T1139" t="e">
        <f>VLOOKUP(R1139,[1]!NOMINA[#Data],5,FALSE)</f>
        <v>#REF!</v>
      </c>
    </row>
    <row r="1140" spans="1:20" x14ac:dyDescent="0.25">
      <c r="A1140" s="38">
        <v>45715</v>
      </c>
      <c r="B1140" s="1">
        <v>919084112</v>
      </c>
      <c r="C1140" t="s">
        <v>1097</v>
      </c>
      <c r="D1140" s="23">
        <v>-4753.49</v>
      </c>
      <c r="E1140" t="s">
        <v>35</v>
      </c>
      <c r="F1140" s="2">
        <v>212901001</v>
      </c>
      <c r="G1140" s="2" t="s">
        <v>91</v>
      </c>
      <c r="I1140" s="95" t="s">
        <v>7231</v>
      </c>
      <c r="J1140" t="s">
        <v>61</v>
      </c>
      <c r="K1140" t="s">
        <v>62</v>
      </c>
      <c r="M1140">
        <v>64.239999999999995</v>
      </c>
      <c r="N1140" s="4">
        <f t="shared" si="17"/>
        <v>-73.995797011207969</v>
      </c>
      <c r="O1140" t="s">
        <v>83</v>
      </c>
      <c r="R1140">
        <v>8</v>
      </c>
      <c r="S1140" t="e">
        <f>VLOOKUP(R1140,[1]!NOMINA[#Data],4,FALSE)</f>
        <v>#REF!</v>
      </c>
      <c r="T1140" t="e">
        <f>VLOOKUP(R1140,[1]!NOMINA[#Data],5,FALSE)</f>
        <v>#REF!</v>
      </c>
    </row>
    <row r="1141" spans="1:20" x14ac:dyDescent="0.25">
      <c r="A1141" s="38">
        <v>45715</v>
      </c>
      <c r="B1141" s="1">
        <v>919084110</v>
      </c>
      <c r="C1141" t="s">
        <v>1098</v>
      </c>
      <c r="D1141" s="23">
        <v>-4736.2</v>
      </c>
      <c r="E1141" t="s">
        <v>35</v>
      </c>
      <c r="F1141" s="2">
        <v>212901001</v>
      </c>
      <c r="G1141" s="2" t="s">
        <v>91</v>
      </c>
      <c r="I1141" s="95" t="s">
        <v>7231</v>
      </c>
      <c r="J1141" t="s">
        <v>61</v>
      </c>
      <c r="K1141" t="s">
        <v>62</v>
      </c>
      <c r="M1141">
        <v>64.239999999999995</v>
      </c>
      <c r="N1141" s="4">
        <f t="shared" si="17"/>
        <v>-73.726650062266501</v>
      </c>
      <c r="O1141" t="s">
        <v>83</v>
      </c>
      <c r="R1141">
        <v>13</v>
      </c>
      <c r="S1141" t="e">
        <f>VLOOKUP(R1141,[1]!NOMINA[#Data],4,FALSE)</f>
        <v>#REF!</v>
      </c>
      <c r="T1141" t="e">
        <f>VLOOKUP(R1141,[1]!NOMINA[#Data],5,FALSE)</f>
        <v>#REF!</v>
      </c>
    </row>
    <row r="1142" spans="1:20" x14ac:dyDescent="0.25">
      <c r="A1142" s="38">
        <v>45715</v>
      </c>
      <c r="B1142" s="1">
        <v>919084113</v>
      </c>
      <c r="C1142" t="s">
        <v>1099</v>
      </c>
      <c r="D1142" s="23">
        <v>-4753.49</v>
      </c>
      <c r="E1142" t="s">
        <v>35</v>
      </c>
      <c r="F1142" s="2">
        <v>212901001</v>
      </c>
      <c r="G1142" s="2" t="s">
        <v>91</v>
      </c>
      <c r="I1142" s="95" t="s">
        <v>7231</v>
      </c>
      <c r="J1142" t="s">
        <v>61</v>
      </c>
      <c r="K1142" t="s">
        <v>62</v>
      </c>
      <c r="M1142">
        <v>64.239999999999995</v>
      </c>
      <c r="N1142" s="4">
        <f t="shared" si="17"/>
        <v>-73.995797011207969</v>
      </c>
      <c r="O1142" t="s">
        <v>83</v>
      </c>
      <c r="R1142">
        <v>11</v>
      </c>
      <c r="S1142" t="e">
        <f>VLOOKUP(R1142,[1]!NOMINA[#Data],4,FALSE)</f>
        <v>#REF!</v>
      </c>
      <c r="T1142" t="e">
        <f>VLOOKUP(R1142,[1]!NOMINA[#Data],5,FALSE)</f>
        <v>#REF!</v>
      </c>
    </row>
    <row r="1143" spans="1:20" x14ac:dyDescent="0.25">
      <c r="A1143" s="38">
        <v>45715</v>
      </c>
      <c r="B1143" s="1">
        <v>919084107</v>
      </c>
      <c r="C1143" t="s">
        <v>1100</v>
      </c>
      <c r="D1143" s="23">
        <v>-4762.45</v>
      </c>
      <c r="E1143" t="s">
        <v>35</v>
      </c>
      <c r="F1143" s="2">
        <v>212901001</v>
      </c>
      <c r="G1143" s="2" t="s">
        <v>91</v>
      </c>
      <c r="I1143" s="95" t="s">
        <v>7231</v>
      </c>
      <c r="J1143" t="s">
        <v>61</v>
      </c>
      <c r="K1143" t="s">
        <v>62</v>
      </c>
      <c r="M1143">
        <v>64.239999999999995</v>
      </c>
      <c r="N1143" s="4">
        <f t="shared" si="17"/>
        <v>-74.135273972602747</v>
      </c>
      <c r="O1143" t="s">
        <v>83</v>
      </c>
      <c r="R1143">
        <v>15</v>
      </c>
      <c r="S1143" t="e">
        <f>VLOOKUP(R1143,[1]!NOMINA[#Data],4,FALSE)</f>
        <v>#REF!</v>
      </c>
      <c r="T1143" t="e">
        <f>VLOOKUP(R1143,[1]!NOMINA[#Data],5,FALSE)</f>
        <v>#REF!</v>
      </c>
    </row>
    <row r="1144" spans="1:20" x14ac:dyDescent="0.25">
      <c r="A1144" s="38">
        <v>45715</v>
      </c>
      <c r="B1144" s="1">
        <v>919084111</v>
      </c>
      <c r="C1144" t="s">
        <v>1101</v>
      </c>
      <c r="D1144" s="23">
        <v>-31944.7</v>
      </c>
      <c r="E1144" t="s">
        <v>35</v>
      </c>
      <c r="F1144" s="2">
        <v>212901001</v>
      </c>
      <c r="G1144" s="2" t="s">
        <v>91</v>
      </c>
      <c r="I1144" s="95" t="s">
        <v>7231</v>
      </c>
      <c r="J1144" t="s">
        <v>61</v>
      </c>
      <c r="K1144" t="s">
        <v>62</v>
      </c>
      <c r="M1144">
        <v>64.239999999999995</v>
      </c>
      <c r="N1144" s="4">
        <f t="shared" si="17"/>
        <v>-497.27117061021175</v>
      </c>
      <c r="O1144" t="s">
        <v>83</v>
      </c>
      <c r="R1144">
        <v>13</v>
      </c>
      <c r="S1144" t="e">
        <f>VLOOKUP(R1144,[1]!NOMINA[#Data],4,FALSE)</f>
        <v>#REF!</v>
      </c>
      <c r="T1144" t="e">
        <f>VLOOKUP(R1144,[1]!NOMINA[#Data],5,FALSE)</f>
        <v>#REF!</v>
      </c>
    </row>
    <row r="1145" spans="1:20" x14ac:dyDescent="0.25">
      <c r="A1145" s="38">
        <v>45715</v>
      </c>
      <c r="B1145" s="1">
        <v>919084108</v>
      </c>
      <c r="C1145" t="s">
        <v>1102</v>
      </c>
      <c r="D1145" s="23">
        <v>-4582.55</v>
      </c>
      <c r="E1145" t="s">
        <v>35</v>
      </c>
      <c r="F1145" s="2">
        <v>212901001</v>
      </c>
      <c r="G1145" s="2" t="s">
        <v>91</v>
      </c>
      <c r="I1145" s="95" t="s">
        <v>7231</v>
      </c>
      <c r="J1145" t="s">
        <v>61</v>
      </c>
      <c r="K1145" t="s">
        <v>62</v>
      </c>
      <c r="M1145">
        <v>64.239999999999995</v>
      </c>
      <c r="N1145" s="4">
        <f t="shared" si="17"/>
        <v>-71.334838107098392</v>
      </c>
      <c r="O1145" t="s">
        <v>83</v>
      </c>
      <c r="R1145">
        <v>20</v>
      </c>
      <c r="S1145" t="e">
        <f>VLOOKUP(Tabla3[[#This Row],[Nº]],[1]!NOMINA[#Data],4,FALSE)</f>
        <v>#REF!</v>
      </c>
      <c r="T1145" t="e">
        <f>VLOOKUP(Tabla3[[#This Row],[Nº]],[1]!NOMINA[#Data],5,FALSE)</f>
        <v>#REF!</v>
      </c>
    </row>
    <row r="1146" spans="1:20" x14ac:dyDescent="0.25">
      <c r="A1146" s="38">
        <v>45715</v>
      </c>
      <c r="B1146" s="1">
        <v>919084115</v>
      </c>
      <c r="C1146" t="s">
        <v>1103</v>
      </c>
      <c r="D1146" s="23">
        <v>-12738.7</v>
      </c>
      <c r="E1146" t="s">
        <v>35</v>
      </c>
      <c r="F1146" s="2">
        <v>212901001</v>
      </c>
      <c r="G1146" s="2" t="s">
        <v>91</v>
      </c>
      <c r="I1146" s="95" t="s">
        <v>7231</v>
      </c>
      <c r="J1146" t="s">
        <v>61</v>
      </c>
      <c r="K1146" t="s">
        <v>62</v>
      </c>
      <c r="M1146">
        <v>64.239999999999995</v>
      </c>
      <c r="N1146" s="4">
        <f t="shared" si="17"/>
        <v>-198.2985678704857</v>
      </c>
      <c r="O1146" t="s">
        <v>83</v>
      </c>
      <c r="R1146">
        <v>43</v>
      </c>
      <c r="S1146" t="e">
        <f>VLOOKUP(R1146,[1]!NOMINA[#Data],4,FALSE)</f>
        <v>#REF!</v>
      </c>
      <c r="T1146" t="e">
        <f>VLOOKUP(R1146,[1]!NOMINA[#Data],5,FALSE)</f>
        <v>#REF!</v>
      </c>
    </row>
    <row r="1147" spans="1:20" x14ac:dyDescent="0.25">
      <c r="A1147" s="38">
        <v>45715</v>
      </c>
      <c r="B1147" s="1">
        <v>919084114</v>
      </c>
      <c r="C1147" t="s">
        <v>1104</v>
      </c>
      <c r="D1147" s="23">
        <v>-2183.7199999999998</v>
      </c>
      <c r="E1147" t="s">
        <v>35</v>
      </c>
      <c r="F1147" s="2">
        <v>212901001</v>
      </c>
      <c r="G1147" s="2" t="s">
        <v>91</v>
      </c>
      <c r="I1147" s="95" t="s">
        <v>7231</v>
      </c>
      <c r="J1147" t="s">
        <v>61</v>
      </c>
      <c r="K1147" t="s">
        <v>62</v>
      </c>
      <c r="M1147">
        <v>64.239999999999995</v>
      </c>
      <c r="N1147" s="4">
        <f t="shared" si="17"/>
        <v>-33.993150684931507</v>
      </c>
      <c r="O1147" t="s">
        <v>83</v>
      </c>
      <c r="R1147">
        <v>23</v>
      </c>
      <c r="S1147" t="e">
        <f>VLOOKUP(R1147,[1]!NOMINA[#Data],4,FALSE)</f>
        <v>#REF!</v>
      </c>
      <c r="T1147" t="e">
        <f>VLOOKUP(R1147,[1]!NOMINA[#Data],5,FALSE)</f>
        <v>#REF!</v>
      </c>
    </row>
    <row r="1148" spans="1:20" x14ac:dyDescent="0.25">
      <c r="A1148" s="38">
        <v>45715</v>
      </c>
      <c r="B1148" s="1">
        <v>919084116</v>
      </c>
      <c r="C1148" t="s">
        <v>1105</v>
      </c>
      <c r="D1148" s="23">
        <v>-4762.45</v>
      </c>
      <c r="E1148" t="s">
        <v>35</v>
      </c>
      <c r="F1148" s="2">
        <v>212901001</v>
      </c>
      <c r="G1148" s="2" t="s">
        <v>91</v>
      </c>
      <c r="I1148" s="95" t="s">
        <v>7231</v>
      </c>
      <c r="J1148" t="s">
        <v>61</v>
      </c>
      <c r="K1148" t="s">
        <v>62</v>
      </c>
      <c r="M1148">
        <v>64.239999999999995</v>
      </c>
      <c r="N1148" s="4">
        <f t="shared" si="17"/>
        <v>-74.135273972602747</v>
      </c>
      <c r="O1148" t="s">
        <v>83</v>
      </c>
      <c r="R1148">
        <v>17</v>
      </c>
      <c r="S1148" t="e">
        <f>VLOOKUP(R1148,[1]!NOMINA[#Data],4,FALSE)</f>
        <v>#REF!</v>
      </c>
      <c r="T1148" t="e">
        <f>VLOOKUP(R1148,[1]!NOMINA[#Data],5,FALSE)</f>
        <v>#REF!</v>
      </c>
    </row>
    <row r="1149" spans="1:20" x14ac:dyDescent="0.25">
      <c r="A1149" s="38">
        <v>45715</v>
      </c>
      <c r="B1149" s="1">
        <v>19084120</v>
      </c>
      <c r="C1149" t="s">
        <v>1106</v>
      </c>
      <c r="D1149" s="23">
        <v>-4754.13</v>
      </c>
      <c r="E1149" t="s">
        <v>35</v>
      </c>
      <c r="F1149" s="2">
        <v>212901001</v>
      </c>
      <c r="G1149" s="2" t="s">
        <v>91</v>
      </c>
      <c r="I1149" s="95" t="s">
        <v>7231</v>
      </c>
      <c r="J1149" t="s">
        <v>61</v>
      </c>
      <c r="K1149" t="s">
        <v>62</v>
      </c>
      <c r="M1149">
        <v>64.239999999999995</v>
      </c>
      <c r="N1149" s="4">
        <f t="shared" si="17"/>
        <v>-74.005759651307599</v>
      </c>
      <c r="O1149" t="s">
        <v>83</v>
      </c>
      <c r="R1149">
        <v>39</v>
      </c>
      <c r="S1149" t="e">
        <f>VLOOKUP(R1149,[1]!NOMINA[#Data],4,FALSE)</f>
        <v>#REF!</v>
      </c>
      <c r="T1149" t="e">
        <f>VLOOKUP(R1149,[1]!NOMINA[#Data],5,FALSE)</f>
        <v>#REF!</v>
      </c>
    </row>
    <row r="1150" spans="1:20" x14ac:dyDescent="0.25">
      <c r="A1150" s="38">
        <v>45715</v>
      </c>
      <c r="B1150" s="1">
        <v>19084118</v>
      </c>
      <c r="C1150" t="s">
        <v>1107</v>
      </c>
      <c r="D1150" s="23">
        <v>-3145.94</v>
      </c>
      <c r="E1150" t="s">
        <v>35</v>
      </c>
      <c r="F1150" s="2">
        <v>212901001</v>
      </c>
      <c r="G1150" s="2" t="s">
        <v>91</v>
      </c>
      <c r="I1150" s="95" t="s">
        <v>7231</v>
      </c>
      <c r="J1150" t="s">
        <v>61</v>
      </c>
      <c r="K1150" t="s">
        <v>62</v>
      </c>
      <c r="M1150">
        <v>64.239999999999995</v>
      </c>
      <c r="N1150" s="4">
        <f t="shared" si="17"/>
        <v>-48.971668742216693</v>
      </c>
      <c r="O1150" t="s">
        <v>83</v>
      </c>
      <c r="R1150">
        <v>22</v>
      </c>
      <c r="S1150" t="e">
        <f>VLOOKUP(Tabla3[[#This Row],[Nº]],[1]!NOMINA[#Data],4,FALSE)</f>
        <v>#REF!</v>
      </c>
      <c r="T1150" t="e">
        <f>VLOOKUP(R1150,[1]!NOMINA[#Data],5,FALSE)</f>
        <v>#REF!</v>
      </c>
    </row>
    <row r="1151" spans="1:20" x14ac:dyDescent="0.25">
      <c r="A1151" s="38">
        <v>45715</v>
      </c>
      <c r="B1151" s="1">
        <v>19084117</v>
      </c>
      <c r="C1151" t="s">
        <v>1108</v>
      </c>
      <c r="D1151" s="23">
        <v>-4762.45</v>
      </c>
      <c r="E1151" t="s">
        <v>35</v>
      </c>
      <c r="F1151" s="2">
        <v>212901001</v>
      </c>
      <c r="G1151" s="2" t="s">
        <v>91</v>
      </c>
      <c r="I1151" s="95" t="s">
        <v>7231</v>
      </c>
      <c r="J1151" t="s">
        <v>61</v>
      </c>
      <c r="K1151" t="s">
        <v>62</v>
      </c>
      <c r="M1151">
        <v>64.239999999999995</v>
      </c>
      <c r="N1151" s="4">
        <f t="shared" si="17"/>
        <v>-74.135273972602747</v>
      </c>
      <c r="O1151" t="s">
        <v>83</v>
      </c>
      <c r="R1151">
        <v>14</v>
      </c>
      <c r="S1151" t="e">
        <f>VLOOKUP(Tabla3[[#This Row],[Nº]],[1]!NOMINA[#Data],4,FALSE)</f>
        <v>#REF!</v>
      </c>
      <c r="T1151" t="e">
        <f>VLOOKUP(Tabla3[[#This Row],[Nº]],[1]!NOMINA[#Data],5,FALSE)</f>
        <v>#REF!</v>
      </c>
    </row>
    <row r="1152" spans="1:20" x14ac:dyDescent="0.25">
      <c r="A1152" s="38">
        <v>45715</v>
      </c>
      <c r="B1152" s="1">
        <v>19084119</v>
      </c>
      <c r="C1152" t="s">
        <v>1109</v>
      </c>
      <c r="D1152" s="23">
        <v>-3142.74</v>
      </c>
      <c r="E1152" t="s">
        <v>35</v>
      </c>
      <c r="F1152" s="2">
        <v>212901001</v>
      </c>
      <c r="G1152" s="2" t="s">
        <v>91</v>
      </c>
      <c r="I1152" s="95" t="s">
        <v>7231</v>
      </c>
      <c r="J1152" t="s">
        <v>61</v>
      </c>
      <c r="K1152" t="s">
        <v>62</v>
      </c>
      <c r="M1152">
        <v>64.239999999999995</v>
      </c>
      <c r="N1152" s="4">
        <f t="shared" si="17"/>
        <v>-48.921855541718557</v>
      </c>
      <c r="O1152" t="s">
        <v>83</v>
      </c>
      <c r="R1152">
        <v>42</v>
      </c>
      <c r="S1152" t="e">
        <f>VLOOKUP(R1152,[1]!NOMINA[#Data],4,FALSE)</f>
        <v>#REF!</v>
      </c>
      <c r="T1152" t="e">
        <f>VLOOKUP(R1152,[1]!NOMINA[#Data],5,FALSE)</f>
        <v>#REF!</v>
      </c>
    </row>
    <row r="1153" spans="1:20" x14ac:dyDescent="0.25">
      <c r="A1153" s="38">
        <v>45715</v>
      </c>
      <c r="B1153" s="1">
        <v>19084121</v>
      </c>
      <c r="C1153" t="s">
        <v>1110</v>
      </c>
      <c r="D1153" s="23">
        <v>-3145.94</v>
      </c>
      <c r="E1153" t="s">
        <v>35</v>
      </c>
      <c r="F1153" s="2">
        <v>212901001</v>
      </c>
      <c r="G1153" s="2" t="s">
        <v>91</v>
      </c>
      <c r="I1153" s="95" t="s">
        <v>7231</v>
      </c>
      <c r="J1153" t="s">
        <v>61</v>
      </c>
      <c r="K1153" t="s">
        <v>62</v>
      </c>
      <c r="M1153">
        <v>64.239999999999995</v>
      </c>
      <c r="N1153" s="4">
        <f t="shared" si="17"/>
        <v>-48.971668742216693</v>
      </c>
      <c r="O1153" t="s">
        <v>83</v>
      </c>
      <c r="R1153">
        <v>21</v>
      </c>
      <c r="S1153" t="e">
        <f>VLOOKUP(R1153,[1]!NOMINA[#Data],4,FALSE)</f>
        <v>#REF!</v>
      </c>
      <c r="T1153" t="e">
        <f>VLOOKUP(R1153,[1]!NOMINA[#Data],5,FALSE)</f>
        <v>#REF!</v>
      </c>
    </row>
    <row r="1154" spans="1:20" x14ac:dyDescent="0.25">
      <c r="A1154" s="38">
        <v>45715</v>
      </c>
      <c r="B1154" s="1">
        <v>19084122</v>
      </c>
      <c r="C1154" t="s">
        <v>1111</v>
      </c>
      <c r="D1154" s="23">
        <v>-2184.36</v>
      </c>
      <c r="E1154" t="s">
        <v>35</v>
      </c>
      <c r="F1154" s="2">
        <v>212901001</v>
      </c>
      <c r="G1154" s="2" t="s">
        <v>91</v>
      </c>
      <c r="I1154" s="95" t="s">
        <v>7231</v>
      </c>
      <c r="J1154" t="s">
        <v>61</v>
      </c>
      <c r="K1154" t="s">
        <v>62</v>
      </c>
      <c r="M1154">
        <v>64.239999999999995</v>
      </c>
      <c r="N1154" s="4">
        <f t="shared" si="17"/>
        <v>-34.003113325031137</v>
      </c>
      <c r="O1154" t="s">
        <v>83</v>
      </c>
      <c r="R1154">
        <v>25</v>
      </c>
      <c r="S1154" t="e">
        <f>VLOOKUP(R1154,[1]!NOMINA[#Data],4,FALSE)</f>
        <v>#REF!</v>
      </c>
      <c r="T1154" t="e">
        <f>VLOOKUP(R1154,[1]!NOMINA[#Data],5,FALSE)</f>
        <v>#REF!</v>
      </c>
    </row>
    <row r="1155" spans="1:20" x14ac:dyDescent="0.25">
      <c r="A1155" s="38">
        <v>45715</v>
      </c>
      <c r="B1155" s="1">
        <v>19084126</v>
      </c>
      <c r="C1155" t="s">
        <v>1112</v>
      </c>
      <c r="D1155" s="23">
        <v>-2505.1</v>
      </c>
      <c r="E1155" t="s">
        <v>35</v>
      </c>
      <c r="F1155" s="2">
        <v>212901001</v>
      </c>
      <c r="G1155" s="2" t="s">
        <v>91</v>
      </c>
      <c r="I1155" s="95" t="s">
        <v>7231</v>
      </c>
      <c r="J1155" t="s">
        <v>61</v>
      </c>
      <c r="K1155" t="s">
        <v>62</v>
      </c>
      <c r="M1155">
        <v>64.239999999999995</v>
      </c>
      <c r="N1155" s="4">
        <f t="shared" si="17"/>
        <v>-38.995952677459528</v>
      </c>
      <c r="O1155" t="s">
        <v>83</v>
      </c>
      <c r="R1155">
        <v>28</v>
      </c>
      <c r="S1155" t="e">
        <f>VLOOKUP(R1155,[1]!NOMINA[#Data],4,FALSE)</f>
        <v>#REF!</v>
      </c>
      <c r="T1155" t="e">
        <f>VLOOKUP(R1155,[1]!NOMINA[#Data],5,FALSE)</f>
        <v>#REF!</v>
      </c>
    </row>
    <row r="1156" spans="1:20" x14ac:dyDescent="0.25">
      <c r="A1156" s="38">
        <v>45715</v>
      </c>
      <c r="B1156" s="1">
        <v>19084123</v>
      </c>
      <c r="C1156" t="s">
        <v>1113</v>
      </c>
      <c r="D1156" s="23">
        <v>-4736.2</v>
      </c>
      <c r="E1156" t="s">
        <v>35</v>
      </c>
      <c r="F1156" s="2">
        <v>212901001</v>
      </c>
      <c r="G1156" s="2" t="s">
        <v>91</v>
      </c>
      <c r="I1156" s="95" t="s">
        <v>7231</v>
      </c>
      <c r="J1156" t="s">
        <v>61</v>
      </c>
      <c r="K1156" t="s">
        <v>62</v>
      </c>
      <c r="M1156">
        <v>64.239999999999995</v>
      </c>
      <c r="N1156" s="4">
        <f t="shared" si="17"/>
        <v>-73.726650062266501</v>
      </c>
      <c r="O1156" t="s">
        <v>83</v>
      </c>
      <c r="R1156">
        <v>12</v>
      </c>
      <c r="S1156" t="e">
        <f>VLOOKUP(R1156,[1]!NOMINA[#Data],4,FALSE)</f>
        <v>#REF!</v>
      </c>
      <c r="T1156" t="e">
        <f>VLOOKUP(R1156,[1]!NOMINA[#Data],5,FALSE)</f>
        <v>#REF!</v>
      </c>
    </row>
    <row r="1157" spans="1:20" x14ac:dyDescent="0.25">
      <c r="A1157" s="38">
        <v>45715</v>
      </c>
      <c r="B1157" s="1">
        <v>19084129</v>
      </c>
      <c r="C1157" t="s">
        <v>1114</v>
      </c>
      <c r="D1157" s="23">
        <v>-3149.78</v>
      </c>
      <c r="E1157" t="s">
        <v>35</v>
      </c>
      <c r="F1157" s="2">
        <v>212901001</v>
      </c>
      <c r="G1157" s="2" t="s">
        <v>91</v>
      </c>
      <c r="I1157" s="95" t="s">
        <v>7231</v>
      </c>
      <c r="J1157" t="s">
        <v>61</v>
      </c>
      <c r="K1157" t="s">
        <v>62</v>
      </c>
      <c r="M1157">
        <v>64.239999999999995</v>
      </c>
      <c r="N1157" s="4">
        <f t="shared" si="17"/>
        <v>-49.031444582814451</v>
      </c>
      <c r="O1157" t="s">
        <v>83</v>
      </c>
      <c r="R1157">
        <v>24</v>
      </c>
      <c r="S1157" t="e">
        <f>VLOOKUP(R1157,[1]!NOMINA[#Data],4,FALSE)</f>
        <v>#REF!</v>
      </c>
      <c r="T1157" t="e">
        <f>VLOOKUP(R1157,[1]!NOMINA[#Data],5,FALSE)</f>
        <v>#REF!</v>
      </c>
    </row>
    <row r="1158" spans="1:20" x14ac:dyDescent="0.25">
      <c r="A1158" s="38">
        <v>45715</v>
      </c>
      <c r="B1158" s="1">
        <v>119084130</v>
      </c>
      <c r="C1158" t="s">
        <v>1115</v>
      </c>
      <c r="D1158" s="23">
        <v>-2184.36</v>
      </c>
      <c r="E1158" t="s">
        <v>35</v>
      </c>
      <c r="F1158" s="2">
        <v>212901001</v>
      </c>
      <c r="G1158" s="2" t="s">
        <v>91</v>
      </c>
      <c r="I1158" s="95" t="s">
        <v>7231</v>
      </c>
      <c r="J1158" t="s">
        <v>61</v>
      </c>
      <c r="K1158" t="s">
        <v>62</v>
      </c>
      <c r="M1158">
        <v>64.239999999999995</v>
      </c>
      <c r="N1158" s="4">
        <f t="shared" si="17"/>
        <v>-34.003113325031137</v>
      </c>
      <c r="O1158" t="s">
        <v>83</v>
      </c>
      <c r="R1158">
        <v>27</v>
      </c>
      <c r="S1158" t="e">
        <f>VLOOKUP(R1158,[1]!NOMINA[#Data],4,FALSE)</f>
        <v>#REF!</v>
      </c>
      <c r="T1158" t="e">
        <f>VLOOKUP(R1158,[1]!NOMINA[#Data],5,FALSE)</f>
        <v>#REF!</v>
      </c>
    </row>
    <row r="1159" spans="1:20" x14ac:dyDescent="0.25">
      <c r="A1159" s="38">
        <v>45715</v>
      </c>
      <c r="B1159" s="1">
        <v>19084124</v>
      </c>
      <c r="C1159" t="s">
        <v>1116</v>
      </c>
      <c r="D1159" s="23">
        <v>-30158.54</v>
      </c>
      <c r="E1159" t="s">
        <v>35</v>
      </c>
      <c r="F1159" s="2">
        <v>212901001</v>
      </c>
      <c r="G1159" s="2" t="s">
        <v>91</v>
      </c>
      <c r="I1159" s="95" t="s">
        <v>7231</v>
      </c>
      <c r="J1159" t="s">
        <v>61</v>
      </c>
      <c r="K1159" t="s">
        <v>62</v>
      </c>
      <c r="M1159">
        <v>64.239999999999995</v>
      </c>
      <c r="N1159" s="4">
        <f t="shared" si="17"/>
        <v>-469.4666874221669</v>
      </c>
      <c r="O1159" t="s">
        <v>83</v>
      </c>
      <c r="R1159">
        <v>2</v>
      </c>
      <c r="S1159" t="e">
        <f>VLOOKUP(Tabla3[[#This Row],[Nº]],[1]!NOMINA[#Data],4,FALSE)</f>
        <v>#REF!</v>
      </c>
      <c r="T1159" t="e">
        <f>VLOOKUP(Tabla3[[#This Row],[Nº]],[1]!NOMINA[#Data],5,FALSE)</f>
        <v>#REF!</v>
      </c>
    </row>
    <row r="1160" spans="1:20" x14ac:dyDescent="0.25">
      <c r="A1160" s="38">
        <v>45715</v>
      </c>
      <c r="B1160" s="1">
        <v>19084127</v>
      </c>
      <c r="C1160" t="s">
        <v>1117</v>
      </c>
      <c r="D1160" s="23">
        <v>-7937.2</v>
      </c>
      <c r="E1160" t="s">
        <v>35</v>
      </c>
      <c r="F1160" s="2">
        <v>212901001</v>
      </c>
      <c r="G1160" s="2" t="s">
        <v>91</v>
      </c>
      <c r="I1160" s="95" t="s">
        <v>7231</v>
      </c>
      <c r="J1160" t="s">
        <v>61</v>
      </c>
      <c r="K1160" t="s">
        <v>62</v>
      </c>
      <c r="M1160">
        <v>64.239999999999995</v>
      </c>
      <c r="N1160" s="4">
        <f t="shared" si="17"/>
        <v>-123.55541718555418</v>
      </c>
      <c r="O1160" t="s">
        <v>83</v>
      </c>
      <c r="R1160">
        <v>6</v>
      </c>
      <c r="S1160" t="e">
        <f>VLOOKUP(R1160,[1]!NOMINA[#Data],4,FALSE)</f>
        <v>#REF!</v>
      </c>
      <c r="T1160" t="e">
        <f>VLOOKUP(R1160,[1]!NOMINA[#Data],5,FALSE)</f>
        <v>#REF!</v>
      </c>
    </row>
    <row r="1161" spans="1:20" x14ac:dyDescent="0.25">
      <c r="A1161" s="38">
        <v>45715</v>
      </c>
      <c r="B1161" s="1">
        <v>119084132</v>
      </c>
      <c r="C1161" t="s">
        <v>1118</v>
      </c>
      <c r="D1161" s="23">
        <v>-4107.5200000000004</v>
      </c>
      <c r="E1161" t="s">
        <v>35</v>
      </c>
      <c r="F1161" s="2">
        <v>212901001</v>
      </c>
      <c r="G1161" s="2" t="s">
        <v>91</v>
      </c>
      <c r="I1161" s="95" t="s">
        <v>7231</v>
      </c>
      <c r="J1161" t="s">
        <v>61</v>
      </c>
      <c r="K1161" t="s">
        <v>62</v>
      </c>
      <c r="M1161">
        <v>64.239999999999995</v>
      </c>
      <c r="N1161" s="4">
        <f t="shared" si="17"/>
        <v>-63.940224159402256</v>
      </c>
      <c r="O1161" t="s">
        <v>83</v>
      </c>
      <c r="R1161">
        <v>5</v>
      </c>
      <c r="S1161" t="e">
        <f>VLOOKUP(R1161,[1]!NOMINA[#Data],4,FALSE)</f>
        <v>#REF!</v>
      </c>
      <c r="T1161" t="e">
        <f>VLOOKUP(R1161,[1]!NOMINA[#Data],5,FALSE)</f>
        <v>#REF!</v>
      </c>
    </row>
    <row r="1162" spans="1:20" x14ac:dyDescent="0.25">
      <c r="A1162" s="38">
        <v>45715</v>
      </c>
      <c r="B1162" s="1">
        <v>119084133</v>
      </c>
      <c r="C1162" t="s">
        <v>1119</v>
      </c>
      <c r="D1162" s="23">
        <v>-4762.45</v>
      </c>
      <c r="E1162" t="s">
        <v>35</v>
      </c>
      <c r="F1162" s="2">
        <v>212901001</v>
      </c>
      <c r="G1162" s="2" t="s">
        <v>91</v>
      </c>
      <c r="I1162" s="95" t="s">
        <v>7231</v>
      </c>
      <c r="J1162" t="s">
        <v>61</v>
      </c>
      <c r="K1162" t="s">
        <v>62</v>
      </c>
      <c r="M1162">
        <v>64.239999999999995</v>
      </c>
      <c r="N1162" s="4">
        <f t="shared" si="17"/>
        <v>-74.135273972602747</v>
      </c>
      <c r="O1162" t="s">
        <v>83</v>
      </c>
      <c r="R1162">
        <v>16</v>
      </c>
      <c r="S1162" t="e">
        <f>VLOOKUP(Tabla3[[#This Row],[Nº]],[1]!NOMINA[#Data],4,FALSE)</f>
        <v>#REF!</v>
      </c>
      <c r="T1162" t="e">
        <f>VLOOKUP(Tabla3[[#This Row],[Nº]],[1]!NOMINA[#Data],5,FALSE)</f>
        <v>#REF!</v>
      </c>
    </row>
    <row r="1163" spans="1:20" x14ac:dyDescent="0.25">
      <c r="A1163" s="38">
        <v>45715</v>
      </c>
      <c r="B1163" s="1">
        <v>119084131</v>
      </c>
      <c r="C1163" t="s">
        <v>1120</v>
      </c>
      <c r="D1163" s="23">
        <v>-3153.63</v>
      </c>
      <c r="E1163" t="s">
        <v>35</v>
      </c>
      <c r="F1163" s="2">
        <v>212901001</v>
      </c>
      <c r="G1163" s="2" t="s">
        <v>91</v>
      </c>
      <c r="I1163" s="95" t="s">
        <v>7231</v>
      </c>
      <c r="J1163" t="s">
        <v>61</v>
      </c>
      <c r="K1163" t="s">
        <v>62</v>
      </c>
      <c r="M1163">
        <v>64.239999999999995</v>
      </c>
      <c r="N1163" s="4">
        <f t="shared" si="17"/>
        <v>-49.091376089663768</v>
      </c>
      <c r="O1163" t="s">
        <v>83</v>
      </c>
      <c r="R1163">
        <v>19</v>
      </c>
      <c r="S1163" t="e">
        <f>VLOOKUP(R1163,[1]!NOMINA[#Data],4,FALSE)</f>
        <v>#REF!</v>
      </c>
      <c r="T1163" t="e">
        <f>VLOOKUP(R1163,[1]!NOMINA[#Data],5,FALSE)</f>
        <v>#REF!</v>
      </c>
    </row>
    <row r="1164" spans="1:20" x14ac:dyDescent="0.25">
      <c r="A1164" s="38">
        <v>45715</v>
      </c>
      <c r="B1164" s="1">
        <v>119084135</v>
      </c>
      <c r="C1164" t="s">
        <v>1121</v>
      </c>
      <c r="D1164" s="23">
        <v>-2505.1</v>
      </c>
      <c r="E1164" t="s">
        <v>35</v>
      </c>
      <c r="F1164" s="2">
        <v>212901001</v>
      </c>
      <c r="G1164" s="2" t="s">
        <v>91</v>
      </c>
      <c r="I1164" s="95" t="s">
        <v>7231</v>
      </c>
      <c r="J1164" t="s">
        <v>61</v>
      </c>
      <c r="K1164" t="s">
        <v>62</v>
      </c>
      <c r="M1164">
        <v>64.239999999999995</v>
      </c>
      <c r="N1164" s="4">
        <f t="shared" ref="N1164:N1227" si="18">D1164/M1164</f>
        <v>-38.995952677459528</v>
      </c>
      <c r="O1164" t="s">
        <v>83</v>
      </c>
      <c r="R1164">
        <v>37</v>
      </c>
      <c r="S1164" t="e">
        <f>VLOOKUP(Tabla3[[#This Row],[Nº]],[1]!NOMINA[#Data],4,FALSE)</f>
        <v>#REF!</v>
      </c>
      <c r="T1164" t="e">
        <f>VLOOKUP(Tabla3[[#This Row],[Nº]],[1]!NOMINA[#Data],5,FALSE)</f>
        <v>#REF!</v>
      </c>
    </row>
    <row r="1165" spans="1:20" x14ac:dyDescent="0.25">
      <c r="A1165" s="38">
        <v>45715</v>
      </c>
      <c r="B1165" s="1">
        <v>119084137</v>
      </c>
      <c r="C1165" t="s">
        <v>1122</v>
      </c>
      <c r="D1165" s="23">
        <v>-25542.7</v>
      </c>
      <c r="E1165" t="s">
        <v>35</v>
      </c>
      <c r="F1165" s="2">
        <v>212901001</v>
      </c>
      <c r="G1165" s="2" t="s">
        <v>91</v>
      </c>
      <c r="I1165" s="95" t="s">
        <v>7231</v>
      </c>
      <c r="J1165" t="s">
        <v>61</v>
      </c>
      <c r="K1165" t="s">
        <v>62</v>
      </c>
      <c r="M1165">
        <v>64.239999999999995</v>
      </c>
      <c r="N1165" s="4">
        <f t="shared" si="18"/>
        <v>-397.61363636363643</v>
      </c>
      <c r="O1165" t="s">
        <v>83</v>
      </c>
      <c r="R1165">
        <v>1</v>
      </c>
      <c r="S1165" t="e">
        <f>VLOOKUP(R1165,[1]!NOMINA[#Data],4,FALSE)</f>
        <v>#REF!</v>
      </c>
      <c r="T1165" t="e">
        <f>VLOOKUP(R1165,[1]!NOMINA[#Data],5,FALSE)</f>
        <v>#REF!</v>
      </c>
    </row>
    <row r="1166" spans="1:20" x14ac:dyDescent="0.25">
      <c r="A1166" s="38">
        <v>45715</v>
      </c>
      <c r="B1166" s="1">
        <v>119084139</v>
      </c>
      <c r="C1166" t="s">
        <v>1123</v>
      </c>
      <c r="D1166" s="23">
        <v>-1280.4000000000001</v>
      </c>
      <c r="E1166" t="s">
        <v>35</v>
      </c>
      <c r="F1166" s="2">
        <v>212901001</v>
      </c>
      <c r="G1166" s="2" t="s">
        <v>91</v>
      </c>
      <c r="I1166" s="95" t="s">
        <v>7231</v>
      </c>
      <c r="J1166" t="s">
        <v>61</v>
      </c>
      <c r="K1166" t="s">
        <v>62</v>
      </c>
      <c r="M1166">
        <v>64.239999999999995</v>
      </c>
      <c r="N1166" s="4">
        <f t="shared" si="18"/>
        <v>-19.93150684931507</v>
      </c>
      <c r="O1166" t="s">
        <v>83</v>
      </c>
      <c r="R1166">
        <v>9</v>
      </c>
      <c r="S1166" t="e">
        <f>VLOOKUP(R1166,[1]!NOMINA[#Data],4,FALSE)</f>
        <v>#REF!</v>
      </c>
      <c r="T1166" t="e">
        <f>VLOOKUP(R1166,[1]!NOMINA[#Data],5,FALSE)</f>
        <v>#REF!</v>
      </c>
    </row>
    <row r="1167" spans="1:20" x14ac:dyDescent="0.25">
      <c r="A1167" s="38">
        <v>45715</v>
      </c>
      <c r="B1167" s="1">
        <v>119084140</v>
      </c>
      <c r="C1167" t="s">
        <v>1124</v>
      </c>
      <c r="D1167" s="23">
        <v>-1280.4000000000001</v>
      </c>
      <c r="E1167" t="s">
        <v>35</v>
      </c>
      <c r="F1167" s="2">
        <v>212901001</v>
      </c>
      <c r="G1167" s="2" t="s">
        <v>91</v>
      </c>
      <c r="I1167" s="95" t="s">
        <v>7231</v>
      </c>
      <c r="J1167" t="s">
        <v>61</v>
      </c>
      <c r="K1167" t="s">
        <v>62</v>
      </c>
      <c r="M1167">
        <v>64.239999999999995</v>
      </c>
      <c r="N1167" s="4">
        <f t="shared" si="18"/>
        <v>-19.93150684931507</v>
      </c>
      <c r="O1167" t="s">
        <v>83</v>
      </c>
      <c r="R1167">
        <v>26</v>
      </c>
      <c r="S1167" t="e">
        <f>VLOOKUP(Tabla3[[#This Row],[Nº]],[1]!NOMINA[#Data],4,FALSE)</f>
        <v>#REF!</v>
      </c>
      <c r="T1167" t="e">
        <f>VLOOKUP(Tabla3[[#This Row],[Nº]],[1]!NOMINA[#Data],5,FALSE)</f>
        <v>#REF!</v>
      </c>
    </row>
    <row r="1168" spans="1:20" x14ac:dyDescent="0.25">
      <c r="A1168" s="38">
        <v>45715</v>
      </c>
      <c r="B1168" s="1">
        <v>119084136</v>
      </c>
      <c r="C1168" t="s">
        <v>1125</v>
      </c>
      <c r="D1168" s="23">
        <v>-2185</v>
      </c>
      <c r="E1168" t="s">
        <v>35</v>
      </c>
      <c r="F1168" s="2">
        <v>212901001</v>
      </c>
      <c r="G1168" s="2" t="s">
        <v>91</v>
      </c>
      <c r="I1168" s="95" t="s">
        <v>7231</v>
      </c>
      <c r="J1168" t="s">
        <v>61</v>
      </c>
      <c r="K1168" t="s">
        <v>62</v>
      </c>
      <c r="M1168">
        <v>64.239999999999995</v>
      </c>
      <c r="N1168" s="4">
        <f t="shared" si="18"/>
        <v>-34.01307596513076</v>
      </c>
      <c r="O1168" t="s">
        <v>83</v>
      </c>
      <c r="R1168">
        <v>7</v>
      </c>
      <c r="S1168" t="e">
        <f>VLOOKUP(R1168,[1]!NOMINA[#Data],4,FALSE)</f>
        <v>#REF!</v>
      </c>
      <c r="T1168" t="e">
        <f>VLOOKUP(R1168,[1]!NOMINA[#Data],5,FALSE)</f>
        <v>#REF!</v>
      </c>
    </row>
    <row r="1169" spans="1:20" x14ac:dyDescent="0.25">
      <c r="A1169" s="38">
        <v>45715</v>
      </c>
      <c r="B1169" s="1">
        <v>119084138</v>
      </c>
      <c r="C1169" t="s">
        <v>1126</v>
      </c>
      <c r="D1169" s="23">
        <v>-3153.63</v>
      </c>
      <c r="E1169" t="s">
        <v>35</v>
      </c>
      <c r="F1169" s="2">
        <v>212901001</v>
      </c>
      <c r="G1169" s="2" t="s">
        <v>91</v>
      </c>
      <c r="I1169" s="95" t="s">
        <v>7231</v>
      </c>
      <c r="J1169" t="s">
        <v>61</v>
      </c>
      <c r="K1169" t="s">
        <v>62</v>
      </c>
      <c r="M1169">
        <v>64.239999999999995</v>
      </c>
      <c r="N1169" s="4">
        <f t="shared" si="18"/>
        <v>-49.091376089663768</v>
      </c>
      <c r="O1169" t="s">
        <v>83</v>
      </c>
      <c r="R1169">
        <v>36</v>
      </c>
      <c r="S1169" t="e">
        <f>VLOOKUP(R1169,[1]!NOMINA[#Data],4,FALSE)</f>
        <v>#REF!</v>
      </c>
      <c r="T1169" t="e">
        <f>VLOOKUP(R1169,[1]!NOMINA[#Data],5,FALSE)</f>
        <v>#REF!</v>
      </c>
    </row>
    <row r="1170" spans="1:20" x14ac:dyDescent="0.25">
      <c r="A1170" s="38">
        <v>45715</v>
      </c>
      <c r="B1170" s="1">
        <v>119084141</v>
      </c>
      <c r="C1170" t="s">
        <v>1127</v>
      </c>
      <c r="D1170" s="23">
        <v>-1280.4000000000001</v>
      </c>
      <c r="E1170" t="s">
        <v>35</v>
      </c>
      <c r="F1170" s="2">
        <v>212901001</v>
      </c>
      <c r="G1170" s="2" t="s">
        <v>91</v>
      </c>
      <c r="I1170" s="95" t="s">
        <v>7231</v>
      </c>
      <c r="J1170" t="s">
        <v>61</v>
      </c>
      <c r="K1170" t="s">
        <v>62</v>
      </c>
      <c r="M1170">
        <v>64.239999999999995</v>
      </c>
      <c r="N1170" s="4">
        <f t="shared" si="18"/>
        <v>-19.93150684931507</v>
      </c>
      <c r="O1170" t="s">
        <v>83</v>
      </c>
      <c r="R1170">
        <v>29</v>
      </c>
      <c r="S1170" t="e">
        <f>VLOOKUP(R1170,[1]!NOMINA[#Data],4,FALSE)</f>
        <v>#REF!</v>
      </c>
      <c r="T1170" t="e">
        <f>VLOOKUP(R1170,[1]!NOMINA[#Data],5,FALSE)</f>
        <v>#REF!</v>
      </c>
    </row>
    <row r="1171" spans="1:20" x14ac:dyDescent="0.25">
      <c r="A1171" s="38">
        <v>45715</v>
      </c>
      <c r="B1171" s="1">
        <v>219084144</v>
      </c>
      <c r="C1171" t="s">
        <v>1128</v>
      </c>
      <c r="D1171" s="23">
        <v>-1280.4000000000001</v>
      </c>
      <c r="E1171" t="s">
        <v>35</v>
      </c>
      <c r="F1171" s="2">
        <v>212901001</v>
      </c>
      <c r="G1171" s="2" t="s">
        <v>91</v>
      </c>
      <c r="I1171" s="95" t="s">
        <v>7231</v>
      </c>
      <c r="J1171" t="s">
        <v>61</v>
      </c>
      <c r="K1171" t="s">
        <v>62</v>
      </c>
      <c r="M1171">
        <v>64.239999999999995</v>
      </c>
      <c r="N1171" s="4">
        <f t="shared" si="18"/>
        <v>-19.93150684931507</v>
      </c>
      <c r="O1171" t="s">
        <v>83</v>
      </c>
      <c r="R1171">
        <v>44</v>
      </c>
      <c r="S1171" t="e">
        <f>VLOOKUP(R1171,[1]!NOMINA[#Data],4,FALSE)</f>
        <v>#REF!</v>
      </c>
      <c r="T1171" t="e">
        <f>VLOOKUP(R1171,[1]!NOMINA[#Data],5,FALSE)</f>
        <v>#REF!</v>
      </c>
    </row>
    <row r="1172" spans="1:20" x14ac:dyDescent="0.25">
      <c r="A1172" s="38">
        <v>45715</v>
      </c>
      <c r="B1172" s="1">
        <v>219084143</v>
      </c>
      <c r="C1172" t="s">
        <v>1129</v>
      </c>
      <c r="D1172" s="23">
        <v>-1280.4000000000001</v>
      </c>
      <c r="E1172" t="s">
        <v>35</v>
      </c>
      <c r="F1172" s="2">
        <v>212901001</v>
      </c>
      <c r="G1172" s="2" t="s">
        <v>91</v>
      </c>
      <c r="I1172" s="95" t="s">
        <v>7231</v>
      </c>
      <c r="J1172" t="s">
        <v>61</v>
      </c>
      <c r="K1172" t="s">
        <v>62</v>
      </c>
      <c r="M1172">
        <v>64.239999999999995</v>
      </c>
      <c r="N1172" s="4">
        <f t="shared" si="18"/>
        <v>-19.93150684931507</v>
      </c>
      <c r="O1172" t="s">
        <v>83</v>
      </c>
      <c r="R1172">
        <v>10</v>
      </c>
      <c r="S1172" t="e">
        <f>VLOOKUP(R1172,[1]!NOMINA[#Data],4,FALSE)</f>
        <v>#REF!</v>
      </c>
      <c r="T1172" t="e">
        <f>VLOOKUP(R1172,[1]!NOMINA[#Data],5,FALSE)</f>
        <v>#REF!</v>
      </c>
    </row>
    <row r="1173" spans="1:20" x14ac:dyDescent="0.25">
      <c r="A1173" s="38">
        <v>45715</v>
      </c>
      <c r="B1173" s="1">
        <v>219084148</v>
      </c>
      <c r="C1173" t="s">
        <v>1130</v>
      </c>
      <c r="D1173" s="23">
        <v>-1280.4000000000001</v>
      </c>
      <c r="E1173" t="s">
        <v>35</v>
      </c>
      <c r="F1173" s="2">
        <v>212901001</v>
      </c>
      <c r="G1173" s="2" t="s">
        <v>91</v>
      </c>
      <c r="I1173" s="95" t="s">
        <v>7231</v>
      </c>
      <c r="J1173" t="s">
        <v>61</v>
      </c>
      <c r="K1173" t="s">
        <v>62</v>
      </c>
      <c r="M1173">
        <v>64.239999999999995</v>
      </c>
      <c r="N1173" s="4">
        <f t="shared" si="18"/>
        <v>-19.93150684931507</v>
      </c>
      <c r="O1173" t="s">
        <v>83</v>
      </c>
      <c r="R1173">
        <v>18</v>
      </c>
      <c r="S1173" t="e">
        <f>VLOOKUP(Tabla3[[#This Row],[Nº]],[1]!NOMINA[#Data],4,FALSE)</f>
        <v>#REF!</v>
      </c>
      <c r="T1173" t="e">
        <f>VLOOKUP(Tabla3[[#This Row],[Nº]],[1]!NOMINA[#Data],5,FALSE)</f>
        <v>#REF!</v>
      </c>
    </row>
    <row r="1174" spans="1:20" x14ac:dyDescent="0.25">
      <c r="A1174" s="38">
        <v>45715</v>
      </c>
      <c r="B1174" s="1">
        <v>219084145</v>
      </c>
      <c r="C1174" t="s">
        <v>1131</v>
      </c>
      <c r="D1174" s="23">
        <v>-1280.4000000000001</v>
      </c>
      <c r="E1174" t="s">
        <v>35</v>
      </c>
      <c r="F1174" s="2">
        <v>212901001</v>
      </c>
      <c r="G1174" s="2" t="s">
        <v>91</v>
      </c>
      <c r="I1174" s="95" t="s">
        <v>7231</v>
      </c>
      <c r="J1174" t="s">
        <v>61</v>
      </c>
      <c r="K1174" t="s">
        <v>62</v>
      </c>
      <c r="M1174">
        <v>64.239999999999995</v>
      </c>
      <c r="N1174" s="4">
        <f t="shared" si="18"/>
        <v>-19.93150684931507</v>
      </c>
      <c r="O1174" t="s">
        <v>83</v>
      </c>
      <c r="R1174">
        <v>38</v>
      </c>
      <c r="S1174" t="e">
        <f>VLOOKUP(R1174,[1]!NOMINA[#Data],4,FALSE)</f>
        <v>#REF!</v>
      </c>
      <c r="T1174" t="e">
        <f>VLOOKUP(R1174,[1]!NOMINA[#Data],5,FALSE)</f>
        <v>#REF!</v>
      </c>
    </row>
    <row r="1175" spans="1:20" x14ac:dyDescent="0.25">
      <c r="A1175" s="38">
        <v>45715</v>
      </c>
      <c r="B1175" s="1">
        <v>219084146</v>
      </c>
      <c r="C1175" t="s">
        <v>1132</v>
      </c>
      <c r="D1175" s="23">
        <v>-1280.4000000000001</v>
      </c>
      <c r="E1175" t="s">
        <v>35</v>
      </c>
      <c r="F1175" s="2">
        <v>212901001</v>
      </c>
      <c r="G1175" s="2" t="s">
        <v>91</v>
      </c>
      <c r="I1175" s="95" t="s">
        <v>7231</v>
      </c>
      <c r="J1175" t="s">
        <v>61</v>
      </c>
      <c r="K1175" t="s">
        <v>62</v>
      </c>
      <c r="M1175">
        <v>64.239999999999995</v>
      </c>
      <c r="N1175" s="4">
        <f t="shared" si="18"/>
        <v>-19.93150684931507</v>
      </c>
      <c r="O1175" t="s">
        <v>83</v>
      </c>
      <c r="R1175">
        <v>15</v>
      </c>
      <c r="S1175" t="e">
        <f>VLOOKUP(R1175,[1]!NOMINA[#Data],4,FALSE)</f>
        <v>#REF!</v>
      </c>
      <c r="T1175" t="e">
        <f>VLOOKUP(R1175,[1]!NOMINA[#Data],5,FALSE)</f>
        <v>#REF!</v>
      </c>
    </row>
    <row r="1176" spans="1:20" x14ac:dyDescent="0.25">
      <c r="A1176" s="38">
        <v>45715</v>
      </c>
      <c r="B1176" s="1">
        <v>219084147</v>
      </c>
      <c r="C1176" t="s">
        <v>1133</v>
      </c>
      <c r="D1176" s="23">
        <v>-1280.4000000000001</v>
      </c>
      <c r="E1176" t="s">
        <v>35</v>
      </c>
      <c r="F1176" s="2">
        <v>212901001</v>
      </c>
      <c r="G1176" s="2" t="s">
        <v>91</v>
      </c>
      <c r="I1176" s="95" t="s">
        <v>7231</v>
      </c>
      <c r="J1176" t="s">
        <v>61</v>
      </c>
      <c r="K1176" t="s">
        <v>62</v>
      </c>
      <c r="M1176">
        <v>64.239999999999995</v>
      </c>
      <c r="N1176" s="4">
        <f t="shared" si="18"/>
        <v>-19.93150684931507</v>
      </c>
      <c r="O1176" t="s">
        <v>83</v>
      </c>
      <c r="R1176">
        <v>20</v>
      </c>
      <c r="S1176" t="e">
        <f>VLOOKUP(Tabla3[[#This Row],[Nº]],[1]!NOMINA[#Data],4,FALSE)</f>
        <v>#REF!</v>
      </c>
      <c r="T1176" t="e">
        <f>VLOOKUP(Tabla3[[#This Row],[Nº]],[1]!NOMINA[#Data],5,FALSE)</f>
        <v>#REF!</v>
      </c>
    </row>
    <row r="1177" spans="1:20" x14ac:dyDescent="0.25">
      <c r="A1177" s="38">
        <v>45715</v>
      </c>
      <c r="B1177" s="1">
        <v>219084142</v>
      </c>
      <c r="C1177" t="s">
        <v>1134</v>
      </c>
      <c r="D1177" s="23">
        <v>-1280.4000000000001</v>
      </c>
      <c r="E1177" t="s">
        <v>35</v>
      </c>
      <c r="F1177" s="2">
        <v>212901001</v>
      </c>
      <c r="G1177" s="2" t="s">
        <v>91</v>
      </c>
      <c r="I1177" s="95" t="s">
        <v>7231</v>
      </c>
      <c r="J1177" t="s">
        <v>61</v>
      </c>
      <c r="K1177" t="s">
        <v>62</v>
      </c>
      <c r="M1177">
        <v>64.239999999999995</v>
      </c>
      <c r="N1177" s="4">
        <f t="shared" si="18"/>
        <v>-19.93150684931507</v>
      </c>
      <c r="O1177" t="s">
        <v>83</v>
      </c>
      <c r="R1177">
        <v>41</v>
      </c>
      <c r="S1177" t="e">
        <f>VLOOKUP(R1177,[1]!NOMINA[#Data],4,FALSE)</f>
        <v>#REF!</v>
      </c>
      <c r="T1177" t="e">
        <f>VLOOKUP(R1177,[1]!NOMINA[#Data],5,FALSE)</f>
        <v>#REF!</v>
      </c>
    </row>
    <row r="1178" spans="1:20" x14ac:dyDescent="0.25">
      <c r="A1178" s="38">
        <v>45715</v>
      </c>
      <c r="B1178" s="1">
        <v>219084150</v>
      </c>
      <c r="C1178" t="s">
        <v>1135</v>
      </c>
      <c r="D1178" s="23">
        <v>-1280.4000000000001</v>
      </c>
      <c r="E1178" t="s">
        <v>35</v>
      </c>
      <c r="F1178" s="2">
        <v>212901001</v>
      </c>
      <c r="G1178" s="2" t="s">
        <v>91</v>
      </c>
      <c r="I1178" s="95" t="s">
        <v>7231</v>
      </c>
      <c r="J1178" t="s">
        <v>61</v>
      </c>
      <c r="K1178" t="s">
        <v>62</v>
      </c>
      <c r="M1178">
        <v>64.239999999999995</v>
      </c>
      <c r="N1178" s="4">
        <f t="shared" si="18"/>
        <v>-19.93150684931507</v>
      </c>
      <c r="O1178" t="s">
        <v>83</v>
      </c>
      <c r="R1178">
        <v>13</v>
      </c>
      <c r="S1178" t="e">
        <f>VLOOKUP(R1178,[1]!NOMINA[#Data],4,FALSE)</f>
        <v>#REF!</v>
      </c>
      <c r="T1178" t="e">
        <f>VLOOKUP(R1178,[1]!NOMINA[#Data],5,FALSE)</f>
        <v>#REF!</v>
      </c>
    </row>
    <row r="1179" spans="1:20" x14ac:dyDescent="0.25">
      <c r="A1179" s="38">
        <v>45715</v>
      </c>
      <c r="B1179" s="1">
        <v>219084149</v>
      </c>
      <c r="C1179" t="s">
        <v>1136</v>
      </c>
      <c r="D1179" s="23">
        <v>-1280.4000000000001</v>
      </c>
      <c r="E1179" t="s">
        <v>35</v>
      </c>
      <c r="F1179" s="2">
        <v>212901001</v>
      </c>
      <c r="G1179" s="2" t="s">
        <v>91</v>
      </c>
      <c r="I1179" s="95" t="s">
        <v>7231</v>
      </c>
      <c r="J1179" t="s">
        <v>61</v>
      </c>
      <c r="K1179" t="s">
        <v>62</v>
      </c>
      <c r="M1179">
        <v>64.239999999999995</v>
      </c>
      <c r="N1179" s="4">
        <f t="shared" si="18"/>
        <v>-19.93150684931507</v>
      </c>
      <c r="O1179" t="s">
        <v>83</v>
      </c>
      <c r="R1179">
        <v>36</v>
      </c>
      <c r="S1179" t="e">
        <f>VLOOKUP(R1179,[1]!NOMINA[#Data],4,FALSE)</f>
        <v>#REF!</v>
      </c>
      <c r="T1179" t="e">
        <f>VLOOKUP(R1179,[1]!NOMINA[#Data],5,FALSE)</f>
        <v>#REF!</v>
      </c>
    </row>
    <row r="1180" spans="1:20" x14ac:dyDescent="0.25">
      <c r="A1180" s="38">
        <v>45715</v>
      </c>
      <c r="B1180" s="1">
        <v>319084154</v>
      </c>
      <c r="C1180" t="s">
        <v>1137</v>
      </c>
      <c r="D1180" s="23">
        <v>-1280.4000000000001</v>
      </c>
      <c r="E1180" t="s">
        <v>35</v>
      </c>
      <c r="F1180" s="2">
        <v>212901001</v>
      </c>
      <c r="G1180" s="2" t="s">
        <v>91</v>
      </c>
      <c r="I1180" s="95" t="s">
        <v>7231</v>
      </c>
      <c r="J1180" t="s">
        <v>61</v>
      </c>
      <c r="K1180" t="s">
        <v>62</v>
      </c>
      <c r="M1180">
        <v>64.239999999999995</v>
      </c>
      <c r="N1180" s="4">
        <f t="shared" si="18"/>
        <v>-19.93150684931507</v>
      </c>
      <c r="O1180" t="s">
        <v>83</v>
      </c>
      <c r="R1180">
        <v>8</v>
      </c>
      <c r="S1180" t="e">
        <f>VLOOKUP(R1180,[1]!NOMINA[#Data],4,FALSE)</f>
        <v>#REF!</v>
      </c>
      <c r="T1180" t="e">
        <f>VLOOKUP(R1180,[1]!NOMINA[#Data],5,FALSE)</f>
        <v>#REF!</v>
      </c>
    </row>
    <row r="1181" spans="1:20" x14ac:dyDescent="0.25">
      <c r="A1181" s="38">
        <v>45715</v>
      </c>
      <c r="B1181" s="1">
        <v>219084153</v>
      </c>
      <c r="C1181" t="s">
        <v>1138</v>
      </c>
      <c r="D1181" s="23">
        <v>-1280.4000000000001</v>
      </c>
      <c r="E1181" t="s">
        <v>35</v>
      </c>
      <c r="F1181" s="2">
        <v>212901001</v>
      </c>
      <c r="G1181" s="2" t="s">
        <v>91</v>
      </c>
      <c r="I1181" s="95" t="s">
        <v>7231</v>
      </c>
      <c r="J1181" t="s">
        <v>61</v>
      </c>
      <c r="K1181" t="s">
        <v>62</v>
      </c>
      <c r="M1181">
        <v>64.239999999999995</v>
      </c>
      <c r="N1181" s="4">
        <f t="shared" si="18"/>
        <v>-19.93150684931507</v>
      </c>
      <c r="O1181" t="s">
        <v>83</v>
      </c>
      <c r="R1181">
        <v>11</v>
      </c>
      <c r="S1181" t="e">
        <f>VLOOKUP(R1181,[1]!NOMINA[#Data],4,FALSE)</f>
        <v>#REF!</v>
      </c>
      <c r="T1181" t="e">
        <f>VLOOKUP(R1181,[1]!NOMINA[#Data],5,FALSE)</f>
        <v>#REF!</v>
      </c>
    </row>
    <row r="1182" spans="1:20" x14ac:dyDescent="0.25">
      <c r="A1182" s="38">
        <v>45715</v>
      </c>
      <c r="B1182" s="1">
        <v>219084152</v>
      </c>
      <c r="C1182" t="s">
        <v>1139</v>
      </c>
      <c r="D1182" s="23">
        <v>-1280.4000000000001</v>
      </c>
      <c r="E1182" t="s">
        <v>35</v>
      </c>
      <c r="F1182" s="2">
        <v>212901001</v>
      </c>
      <c r="G1182" s="2" t="s">
        <v>91</v>
      </c>
      <c r="I1182" s="95" t="s">
        <v>7231</v>
      </c>
      <c r="J1182" t="s">
        <v>61</v>
      </c>
      <c r="K1182" t="s">
        <v>62</v>
      </c>
      <c r="M1182">
        <v>64.239999999999995</v>
      </c>
      <c r="N1182" s="4">
        <f t="shared" si="18"/>
        <v>-19.93150684931507</v>
      </c>
      <c r="O1182" t="s">
        <v>83</v>
      </c>
      <c r="R1182">
        <v>23</v>
      </c>
      <c r="S1182" t="e">
        <f>VLOOKUP(R1182,[1]!NOMINA[#Data],4,FALSE)</f>
        <v>#REF!</v>
      </c>
      <c r="T1182" t="e">
        <f>VLOOKUP(R1182,[1]!NOMINA[#Data],5,FALSE)</f>
        <v>#REF!</v>
      </c>
    </row>
    <row r="1183" spans="1:20" x14ac:dyDescent="0.25">
      <c r="A1183" s="38">
        <v>45715</v>
      </c>
      <c r="B1183" s="1">
        <v>319084156</v>
      </c>
      <c r="C1183" t="s">
        <v>1140</v>
      </c>
      <c r="D1183" s="23">
        <v>-1280.4000000000001</v>
      </c>
      <c r="E1183" t="s">
        <v>35</v>
      </c>
      <c r="F1183" s="2">
        <v>212901001</v>
      </c>
      <c r="G1183" s="2" t="s">
        <v>91</v>
      </c>
      <c r="I1183" s="95" t="s">
        <v>7231</v>
      </c>
      <c r="J1183" t="s">
        <v>61</v>
      </c>
      <c r="K1183" t="s">
        <v>62</v>
      </c>
      <c r="M1183">
        <v>64.239999999999995</v>
      </c>
      <c r="N1183" s="4">
        <f t="shared" si="18"/>
        <v>-19.93150684931507</v>
      </c>
      <c r="O1183" t="s">
        <v>83</v>
      </c>
      <c r="R1183">
        <v>43</v>
      </c>
      <c r="S1183" t="e">
        <f>VLOOKUP(R1183,[1]!NOMINA[#Data],4,FALSE)</f>
        <v>#REF!</v>
      </c>
      <c r="T1183" t="e">
        <f>VLOOKUP(R1183,[1]!NOMINA[#Data],5,FALSE)</f>
        <v>#REF!</v>
      </c>
    </row>
    <row r="1184" spans="1:20" x14ac:dyDescent="0.25">
      <c r="A1184" s="38">
        <v>45715</v>
      </c>
      <c r="B1184" s="1">
        <v>219084151</v>
      </c>
      <c r="C1184" t="s">
        <v>1141</v>
      </c>
      <c r="D1184" s="23">
        <v>-1280.4000000000001</v>
      </c>
      <c r="E1184" t="s">
        <v>35</v>
      </c>
      <c r="F1184" s="2">
        <v>212901001</v>
      </c>
      <c r="G1184" s="2" t="s">
        <v>91</v>
      </c>
      <c r="I1184" s="95" t="s">
        <v>7231</v>
      </c>
      <c r="J1184" t="s">
        <v>61</v>
      </c>
      <c r="K1184" t="s">
        <v>62</v>
      </c>
      <c r="M1184">
        <v>64.239999999999995</v>
      </c>
      <c r="N1184" s="4">
        <f t="shared" si="18"/>
        <v>-19.93150684931507</v>
      </c>
      <c r="O1184" t="s">
        <v>83</v>
      </c>
      <c r="R1184">
        <v>17</v>
      </c>
      <c r="S1184" t="e">
        <f>VLOOKUP(R1184,[1]!NOMINA[#Data],4,FALSE)</f>
        <v>#REF!</v>
      </c>
      <c r="T1184" t="e">
        <f>VLOOKUP(R1184,[1]!NOMINA[#Data],5,FALSE)</f>
        <v>#REF!</v>
      </c>
    </row>
    <row r="1185" spans="1:20" x14ac:dyDescent="0.25">
      <c r="A1185" s="38">
        <v>45715</v>
      </c>
      <c r="B1185" s="1">
        <v>319084155</v>
      </c>
      <c r="C1185" t="s">
        <v>1142</v>
      </c>
      <c r="D1185" s="23">
        <v>-1280.4000000000001</v>
      </c>
      <c r="E1185" t="s">
        <v>35</v>
      </c>
      <c r="F1185" s="2">
        <v>212901001</v>
      </c>
      <c r="G1185" s="2" t="s">
        <v>91</v>
      </c>
      <c r="I1185" s="95" t="s">
        <v>7231</v>
      </c>
      <c r="J1185" t="s">
        <v>61</v>
      </c>
      <c r="K1185" t="s">
        <v>62</v>
      </c>
      <c r="M1185">
        <v>64.239999999999995</v>
      </c>
      <c r="N1185" s="4">
        <f t="shared" si="18"/>
        <v>-19.93150684931507</v>
      </c>
      <c r="O1185" t="s">
        <v>83</v>
      </c>
      <c r="R1185">
        <v>14</v>
      </c>
      <c r="S1185" t="e">
        <f>VLOOKUP(Tabla3[[#This Row],[Nº]],[1]!NOMINA[#Data],4,FALSE)</f>
        <v>#REF!</v>
      </c>
      <c r="T1185" t="e">
        <f>VLOOKUP(Tabla3[[#This Row],[Nº]],[1]!NOMINA[#Data],5,FALSE)</f>
        <v>#REF!</v>
      </c>
    </row>
    <row r="1186" spans="1:20" x14ac:dyDescent="0.25">
      <c r="A1186" s="38">
        <v>45715</v>
      </c>
      <c r="B1186" s="1">
        <v>319084158</v>
      </c>
      <c r="C1186" t="s">
        <v>1143</v>
      </c>
      <c r="D1186" s="23">
        <v>-1280.4000000000001</v>
      </c>
      <c r="E1186" t="s">
        <v>35</v>
      </c>
      <c r="F1186" s="2">
        <v>212901001</v>
      </c>
      <c r="G1186" s="2" t="s">
        <v>91</v>
      </c>
      <c r="I1186" s="95" t="s">
        <v>7231</v>
      </c>
      <c r="J1186" t="s">
        <v>61</v>
      </c>
      <c r="K1186" t="s">
        <v>62</v>
      </c>
      <c r="M1186">
        <v>64.239999999999995</v>
      </c>
      <c r="N1186" s="4">
        <f t="shared" si="18"/>
        <v>-19.93150684931507</v>
      </c>
      <c r="O1186" t="s">
        <v>83</v>
      </c>
      <c r="R1186">
        <v>22</v>
      </c>
      <c r="S1186" t="e">
        <f>VLOOKUP(Tabla3[[#This Row],[Nº]],[1]!NOMINA[#Data],4,FALSE)</f>
        <v>#REF!</v>
      </c>
      <c r="T1186" t="e">
        <f>VLOOKUP(R1186,[1]!NOMINA[#Data],5,FALSE)</f>
        <v>#REF!</v>
      </c>
    </row>
    <row r="1187" spans="1:20" x14ac:dyDescent="0.25">
      <c r="A1187" s="38">
        <v>45715</v>
      </c>
      <c r="B1187" s="1">
        <v>319084159</v>
      </c>
      <c r="C1187" t="s">
        <v>1144</v>
      </c>
      <c r="D1187" s="23">
        <v>-1280.4000000000001</v>
      </c>
      <c r="E1187" t="s">
        <v>35</v>
      </c>
      <c r="F1187" s="2">
        <v>212901001</v>
      </c>
      <c r="G1187" s="2" t="s">
        <v>91</v>
      </c>
      <c r="I1187" s="95" t="s">
        <v>7231</v>
      </c>
      <c r="J1187" t="s">
        <v>61</v>
      </c>
      <c r="K1187" t="s">
        <v>62</v>
      </c>
      <c r="M1187">
        <v>64.239999999999995</v>
      </c>
      <c r="N1187" s="4">
        <f t="shared" si="18"/>
        <v>-19.93150684931507</v>
      </c>
      <c r="O1187" t="s">
        <v>83</v>
      </c>
      <c r="R1187">
        <v>42</v>
      </c>
      <c r="S1187" t="e">
        <f>VLOOKUP(R1187,[1]!NOMINA[#Data],4,FALSE)</f>
        <v>#REF!</v>
      </c>
      <c r="T1187" t="e">
        <f>VLOOKUP(R1187,[1]!NOMINA[#Data],5,FALSE)</f>
        <v>#REF!</v>
      </c>
    </row>
    <row r="1188" spans="1:20" x14ac:dyDescent="0.25">
      <c r="A1188" s="38">
        <v>45715</v>
      </c>
      <c r="B1188" s="1">
        <v>319084163</v>
      </c>
      <c r="C1188" t="s">
        <v>1145</v>
      </c>
      <c r="D1188" s="23">
        <v>-1280.4000000000001</v>
      </c>
      <c r="E1188" t="s">
        <v>35</v>
      </c>
      <c r="F1188" s="2">
        <v>212901001</v>
      </c>
      <c r="G1188" s="2" t="s">
        <v>91</v>
      </c>
      <c r="I1188" s="95" t="s">
        <v>7231</v>
      </c>
      <c r="J1188" t="s">
        <v>61</v>
      </c>
      <c r="K1188" t="s">
        <v>62</v>
      </c>
      <c r="M1188">
        <v>64.239999999999995</v>
      </c>
      <c r="N1188" s="4">
        <f t="shared" si="18"/>
        <v>-19.93150684931507</v>
      </c>
      <c r="O1188" t="s">
        <v>83</v>
      </c>
      <c r="R1188">
        <v>39</v>
      </c>
      <c r="S1188" t="e">
        <f>VLOOKUP(R1188,[1]!NOMINA[#Data],4,FALSE)</f>
        <v>#REF!</v>
      </c>
      <c r="T1188" t="e">
        <f>VLOOKUP(R1188,[1]!NOMINA[#Data],5,FALSE)</f>
        <v>#REF!</v>
      </c>
    </row>
    <row r="1189" spans="1:20" x14ac:dyDescent="0.25">
      <c r="A1189" s="38">
        <v>45715</v>
      </c>
      <c r="B1189" s="1">
        <v>319084164</v>
      </c>
      <c r="C1189" t="s">
        <v>1146</v>
      </c>
      <c r="D1189" s="23">
        <v>-2560.8000000000002</v>
      </c>
      <c r="E1189" t="s">
        <v>35</v>
      </c>
      <c r="F1189" s="2">
        <v>212901001</v>
      </c>
      <c r="G1189" s="2" t="s">
        <v>91</v>
      </c>
      <c r="I1189" s="95" t="s">
        <v>7231</v>
      </c>
      <c r="J1189" t="s">
        <v>61</v>
      </c>
      <c r="K1189" t="s">
        <v>62</v>
      </c>
      <c r="M1189">
        <v>64.239999999999995</v>
      </c>
      <c r="N1189" s="4">
        <f t="shared" si="18"/>
        <v>-39.863013698630141</v>
      </c>
      <c r="O1189" t="s">
        <v>83</v>
      </c>
      <c r="R1189">
        <v>2</v>
      </c>
      <c r="S1189" t="e">
        <f>VLOOKUP(Tabla3[[#This Row],[Nº]],[1]!NOMINA[#Data],4,FALSE)</f>
        <v>#REF!</v>
      </c>
      <c r="T1189" t="e">
        <f>VLOOKUP(Tabla3[[#This Row],[Nº]],[1]!NOMINA[#Data],5,FALSE)</f>
        <v>#REF!</v>
      </c>
    </row>
    <row r="1190" spans="1:20" x14ac:dyDescent="0.25">
      <c r="A1190" s="38">
        <v>45715</v>
      </c>
      <c r="B1190" s="1">
        <v>319084160</v>
      </c>
      <c r="C1190" t="s">
        <v>1147</v>
      </c>
      <c r="D1190" s="23">
        <v>-1280.4000000000001</v>
      </c>
      <c r="E1190" t="s">
        <v>35</v>
      </c>
      <c r="F1190" s="2">
        <v>212901001</v>
      </c>
      <c r="G1190" s="2" t="s">
        <v>91</v>
      </c>
      <c r="I1190" s="95" t="s">
        <v>7231</v>
      </c>
      <c r="J1190" t="s">
        <v>61</v>
      </c>
      <c r="K1190" t="s">
        <v>62</v>
      </c>
      <c r="M1190">
        <v>64.239999999999995</v>
      </c>
      <c r="N1190" s="4">
        <f t="shared" si="18"/>
        <v>-19.93150684931507</v>
      </c>
      <c r="O1190" t="s">
        <v>83</v>
      </c>
      <c r="R1190">
        <v>21</v>
      </c>
      <c r="S1190" t="e">
        <f>VLOOKUP(R1190,[1]!NOMINA[#Data],4,FALSE)</f>
        <v>#REF!</v>
      </c>
      <c r="T1190" t="e">
        <f>VLOOKUP(R1190,[1]!NOMINA[#Data],5,FALSE)</f>
        <v>#REF!</v>
      </c>
    </row>
    <row r="1191" spans="1:20" x14ac:dyDescent="0.25">
      <c r="A1191" s="38">
        <v>45715</v>
      </c>
      <c r="B1191" s="1">
        <v>319084162</v>
      </c>
      <c r="C1191" t="s">
        <v>1148</v>
      </c>
      <c r="D1191" s="23">
        <v>-1280.4000000000001</v>
      </c>
      <c r="E1191" t="s">
        <v>35</v>
      </c>
      <c r="F1191" s="2">
        <v>212901001</v>
      </c>
      <c r="G1191" s="2" t="s">
        <v>91</v>
      </c>
      <c r="I1191" s="95" t="s">
        <v>7231</v>
      </c>
      <c r="J1191" t="s">
        <v>61</v>
      </c>
      <c r="K1191" t="s">
        <v>62</v>
      </c>
      <c r="M1191">
        <v>64.239999999999995</v>
      </c>
      <c r="N1191" s="4">
        <f t="shared" si="18"/>
        <v>-19.93150684931507</v>
      </c>
      <c r="O1191" t="s">
        <v>83</v>
      </c>
      <c r="R1191">
        <v>25</v>
      </c>
      <c r="S1191" t="e">
        <f>VLOOKUP(R1191,[1]!NOMINA[#Data],4,FALSE)</f>
        <v>#REF!</v>
      </c>
      <c r="T1191" t="e">
        <f>VLOOKUP(R1191,[1]!NOMINA[#Data],5,FALSE)</f>
        <v>#REF!</v>
      </c>
    </row>
    <row r="1192" spans="1:20" x14ac:dyDescent="0.25">
      <c r="A1192" s="38">
        <v>45715</v>
      </c>
      <c r="B1192" s="1">
        <v>319084165</v>
      </c>
      <c r="C1192" t="s">
        <v>1149</v>
      </c>
      <c r="D1192" s="23">
        <v>-1280.4000000000001</v>
      </c>
      <c r="E1192" t="s">
        <v>35</v>
      </c>
      <c r="F1192" s="2">
        <v>212901001</v>
      </c>
      <c r="G1192" s="2" t="s">
        <v>91</v>
      </c>
      <c r="I1192" s="95" t="s">
        <v>7231</v>
      </c>
      <c r="J1192" t="s">
        <v>61</v>
      </c>
      <c r="K1192" t="s">
        <v>62</v>
      </c>
      <c r="M1192">
        <v>64.239999999999995</v>
      </c>
      <c r="N1192" s="4">
        <f t="shared" si="18"/>
        <v>-19.93150684931507</v>
      </c>
      <c r="O1192" t="s">
        <v>83</v>
      </c>
      <c r="R1192">
        <v>12</v>
      </c>
      <c r="S1192" t="e">
        <f>VLOOKUP(R1192,[1]!NOMINA[#Data],4,FALSE)</f>
        <v>#REF!</v>
      </c>
      <c r="T1192" t="e">
        <f>VLOOKUP(R1192,[1]!NOMINA[#Data],5,FALSE)</f>
        <v>#REF!</v>
      </c>
    </row>
    <row r="1193" spans="1:20" x14ac:dyDescent="0.25">
      <c r="A1193" s="38">
        <v>45715</v>
      </c>
      <c r="B1193" s="1">
        <v>419084168</v>
      </c>
      <c r="C1193" t="s">
        <v>1150</v>
      </c>
      <c r="D1193" s="23">
        <v>-1280.4000000000001</v>
      </c>
      <c r="E1193" t="s">
        <v>35</v>
      </c>
      <c r="F1193" s="2">
        <v>212901001</v>
      </c>
      <c r="G1193" s="2" t="s">
        <v>91</v>
      </c>
      <c r="I1193" s="95" t="s">
        <v>7231</v>
      </c>
      <c r="J1193" t="s">
        <v>61</v>
      </c>
      <c r="K1193" t="s">
        <v>62</v>
      </c>
      <c r="M1193">
        <v>64.239999999999995</v>
      </c>
      <c r="N1193" s="4">
        <f t="shared" si="18"/>
        <v>-19.93150684931507</v>
      </c>
      <c r="O1193" t="s">
        <v>83</v>
      </c>
      <c r="R1193">
        <v>28</v>
      </c>
      <c r="S1193" t="e">
        <f>VLOOKUP(R1193,[1]!NOMINA[#Data],4,FALSE)</f>
        <v>#REF!</v>
      </c>
      <c r="T1193" t="e">
        <f>VLOOKUP(R1193,[1]!NOMINA[#Data],5,FALSE)</f>
        <v>#REF!</v>
      </c>
    </row>
    <row r="1194" spans="1:20" x14ac:dyDescent="0.25">
      <c r="A1194" s="38">
        <v>45715</v>
      </c>
      <c r="B1194" s="1">
        <v>319084166</v>
      </c>
      <c r="C1194" t="s">
        <v>1151</v>
      </c>
      <c r="D1194" s="23">
        <v>-1280.4000000000001</v>
      </c>
      <c r="E1194" t="s">
        <v>35</v>
      </c>
      <c r="F1194" s="2">
        <v>212901001</v>
      </c>
      <c r="G1194" s="2" t="s">
        <v>91</v>
      </c>
      <c r="I1194" s="95" t="s">
        <v>7231</v>
      </c>
      <c r="J1194" t="s">
        <v>61</v>
      </c>
      <c r="K1194" t="s">
        <v>62</v>
      </c>
      <c r="M1194">
        <v>64.239999999999995</v>
      </c>
      <c r="N1194" s="4">
        <f t="shared" si="18"/>
        <v>-19.93150684931507</v>
      </c>
      <c r="O1194" t="s">
        <v>83</v>
      </c>
      <c r="R1194">
        <v>6</v>
      </c>
      <c r="S1194" t="e">
        <f>VLOOKUP(R1194,[1]!NOMINA[#Data],4,FALSE)</f>
        <v>#REF!</v>
      </c>
      <c r="T1194" t="e">
        <f>VLOOKUP(R1194,[1]!NOMINA[#Data],5,FALSE)</f>
        <v>#REF!</v>
      </c>
    </row>
    <row r="1195" spans="1:20" x14ac:dyDescent="0.25">
      <c r="A1195" s="38">
        <v>45715</v>
      </c>
      <c r="B1195" s="1">
        <v>419084169</v>
      </c>
      <c r="C1195" t="s">
        <v>1152</v>
      </c>
      <c r="D1195" s="23">
        <v>-1280.4000000000001</v>
      </c>
      <c r="E1195" t="s">
        <v>35</v>
      </c>
      <c r="F1195" s="2">
        <v>212901001</v>
      </c>
      <c r="G1195" s="2" t="s">
        <v>91</v>
      </c>
      <c r="I1195" s="95" t="s">
        <v>7231</v>
      </c>
      <c r="J1195" t="s">
        <v>61</v>
      </c>
      <c r="K1195" t="s">
        <v>62</v>
      </c>
      <c r="M1195">
        <v>64.239999999999995</v>
      </c>
      <c r="N1195" s="4">
        <f t="shared" si="18"/>
        <v>-19.93150684931507</v>
      </c>
      <c r="O1195" t="s">
        <v>83</v>
      </c>
      <c r="R1195">
        <v>24</v>
      </c>
      <c r="S1195" t="e">
        <f>VLOOKUP(R1195,[1]!NOMINA[#Data],4,FALSE)</f>
        <v>#REF!</v>
      </c>
      <c r="T1195" t="e">
        <f>VLOOKUP(R1195,[1]!NOMINA[#Data],5,FALSE)</f>
        <v>#REF!</v>
      </c>
    </row>
    <row r="1196" spans="1:20" x14ac:dyDescent="0.25">
      <c r="A1196" s="38">
        <v>45715</v>
      </c>
      <c r="B1196" s="1">
        <v>419084171</v>
      </c>
      <c r="C1196" t="s">
        <v>1153</v>
      </c>
      <c r="D1196" s="23">
        <v>-1280.4000000000001</v>
      </c>
      <c r="E1196" t="s">
        <v>35</v>
      </c>
      <c r="F1196" s="2">
        <v>212901001</v>
      </c>
      <c r="G1196" s="2" t="s">
        <v>91</v>
      </c>
      <c r="I1196" s="95" t="s">
        <v>7231</v>
      </c>
      <c r="J1196" t="s">
        <v>61</v>
      </c>
      <c r="K1196" t="s">
        <v>62</v>
      </c>
      <c r="M1196">
        <v>64.239999999999995</v>
      </c>
      <c r="N1196" s="4">
        <f t="shared" si="18"/>
        <v>-19.93150684931507</v>
      </c>
      <c r="O1196" t="s">
        <v>83</v>
      </c>
      <c r="R1196">
        <v>27</v>
      </c>
      <c r="S1196" t="e">
        <f>VLOOKUP(R1196,[1]!NOMINA[#Data],4,FALSE)</f>
        <v>#REF!</v>
      </c>
      <c r="T1196" t="e">
        <f>VLOOKUP(R1196,[1]!NOMINA[#Data],5,FALSE)</f>
        <v>#REF!</v>
      </c>
    </row>
    <row r="1197" spans="1:20" x14ac:dyDescent="0.25">
      <c r="A1197" s="38">
        <v>45715</v>
      </c>
      <c r="B1197" s="1">
        <v>419084172</v>
      </c>
      <c r="C1197" t="s">
        <v>1154</v>
      </c>
      <c r="D1197" s="23">
        <v>-1280.4000000000001</v>
      </c>
      <c r="E1197" t="s">
        <v>35</v>
      </c>
      <c r="F1197" s="2">
        <v>212901001</v>
      </c>
      <c r="G1197" s="2" t="s">
        <v>91</v>
      </c>
      <c r="I1197" s="95" t="s">
        <v>7231</v>
      </c>
      <c r="J1197" t="s">
        <v>61</v>
      </c>
      <c r="K1197" t="s">
        <v>62</v>
      </c>
      <c r="M1197">
        <v>64.239999999999995</v>
      </c>
      <c r="N1197" s="4">
        <f t="shared" si="18"/>
        <v>-19.93150684931507</v>
      </c>
      <c r="O1197" t="s">
        <v>83</v>
      </c>
      <c r="R1197">
        <v>19</v>
      </c>
      <c r="S1197" t="e">
        <f>VLOOKUP(R1197,[1]!NOMINA[#Data],4,FALSE)</f>
        <v>#REF!</v>
      </c>
      <c r="T1197" t="e">
        <f>VLOOKUP(R1197,[1]!NOMINA[#Data],5,FALSE)</f>
        <v>#REF!</v>
      </c>
    </row>
    <row r="1198" spans="1:20" x14ac:dyDescent="0.25">
      <c r="A1198" s="38">
        <v>45715</v>
      </c>
      <c r="B1198" s="1">
        <v>419084170</v>
      </c>
      <c r="C1198" t="s">
        <v>1155</v>
      </c>
      <c r="D1198" s="23">
        <v>-1280.4000000000001</v>
      </c>
      <c r="E1198" t="s">
        <v>35</v>
      </c>
      <c r="F1198" s="2">
        <v>212901001</v>
      </c>
      <c r="G1198" s="2" t="s">
        <v>91</v>
      </c>
      <c r="I1198" s="95" t="s">
        <v>7231</v>
      </c>
      <c r="J1198" t="s">
        <v>61</v>
      </c>
      <c r="K1198" t="s">
        <v>62</v>
      </c>
      <c r="M1198">
        <v>64.239999999999995</v>
      </c>
      <c r="N1198" s="4">
        <f t="shared" si="18"/>
        <v>-19.93150684931507</v>
      </c>
      <c r="O1198" t="s">
        <v>83</v>
      </c>
      <c r="R1198">
        <v>5</v>
      </c>
      <c r="S1198" t="e">
        <f>VLOOKUP(R1198,[1]!NOMINA[#Data],4,FALSE)</f>
        <v>#REF!</v>
      </c>
      <c r="T1198" t="e">
        <f>VLOOKUP(R1198,[1]!NOMINA[#Data],5,FALSE)</f>
        <v>#REF!</v>
      </c>
    </row>
    <row r="1199" spans="1:20" x14ac:dyDescent="0.25">
      <c r="A1199" s="38">
        <v>45715</v>
      </c>
      <c r="B1199" s="1">
        <v>319084167</v>
      </c>
      <c r="C1199" t="s">
        <v>1156</v>
      </c>
      <c r="D1199" s="23">
        <v>-1280.4000000000001</v>
      </c>
      <c r="E1199" t="s">
        <v>35</v>
      </c>
      <c r="F1199" s="2">
        <v>212901001</v>
      </c>
      <c r="G1199" s="2" t="s">
        <v>91</v>
      </c>
      <c r="I1199" s="95" t="s">
        <v>7231</v>
      </c>
      <c r="J1199" t="s">
        <v>61</v>
      </c>
      <c r="K1199" t="s">
        <v>62</v>
      </c>
      <c r="M1199">
        <v>64.239999999999995</v>
      </c>
      <c r="N1199" s="4">
        <f t="shared" si="18"/>
        <v>-19.93150684931507</v>
      </c>
      <c r="O1199" t="s">
        <v>83</v>
      </c>
      <c r="R1199">
        <v>16</v>
      </c>
      <c r="S1199" t="e">
        <f>VLOOKUP(Tabla3[[#This Row],[Nº]],[1]!NOMINA[#Data],4,FALSE)</f>
        <v>#REF!</v>
      </c>
      <c r="T1199" t="e">
        <f>VLOOKUP(Tabla3[[#This Row],[Nº]],[1]!NOMINA[#Data],5,FALSE)</f>
        <v>#REF!</v>
      </c>
    </row>
    <row r="1200" spans="1:20" x14ac:dyDescent="0.25">
      <c r="A1200" s="38">
        <v>45715</v>
      </c>
      <c r="B1200" s="1">
        <v>419084175</v>
      </c>
      <c r="C1200" t="s">
        <v>1157</v>
      </c>
      <c r="D1200" s="23">
        <v>-2560.8000000000002</v>
      </c>
      <c r="E1200" t="s">
        <v>35</v>
      </c>
      <c r="F1200" s="2">
        <v>212901001</v>
      </c>
      <c r="G1200" s="2" t="s">
        <v>91</v>
      </c>
      <c r="I1200" s="95" t="s">
        <v>7231</v>
      </c>
      <c r="J1200" t="s">
        <v>61</v>
      </c>
      <c r="K1200" t="s">
        <v>62</v>
      </c>
      <c r="M1200">
        <v>64.239999999999995</v>
      </c>
      <c r="N1200" s="4">
        <f t="shared" si="18"/>
        <v>-39.863013698630141</v>
      </c>
      <c r="O1200" t="s">
        <v>83</v>
      </c>
      <c r="R1200">
        <v>1</v>
      </c>
      <c r="S1200" t="e">
        <f>VLOOKUP(R1200,[1]!NOMINA[#Data],4,FALSE)</f>
        <v>#REF!</v>
      </c>
      <c r="T1200" t="e">
        <f>VLOOKUP(R1200,[1]!NOMINA[#Data],5,FALSE)</f>
        <v>#REF!</v>
      </c>
    </row>
    <row r="1201" spans="1:20" x14ac:dyDescent="0.25">
      <c r="A1201" s="38">
        <v>45715</v>
      </c>
      <c r="B1201" s="1">
        <v>419084173</v>
      </c>
      <c r="C1201" t="s">
        <v>1158</v>
      </c>
      <c r="D1201" s="23">
        <v>-1280.4000000000001</v>
      </c>
      <c r="E1201" t="s">
        <v>35</v>
      </c>
      <c r="F1201" s="2">
        <v>212901001</v>
      </c>
      <c r="G1201" s="2" t="s">
        <v>91</v>
      </c>
      <c r="I1201" s="95" t="s">
        <v>7231</v>
      </c>
      <c r="J1201" t="s">
        <v>61</v>
      </c>
      <c r="K1201" t="s">
        <v>62</v>
      </c>
      <c r="M1201">
        <v>64.239999999999995</v>
      </c>
      <c r="N1201" s="4">
        <f t="shared" si="18"/>
        <v>-19.93150684931507</v>
      </c>
      <c r="O1201" t="s">
        <v>83</v>
      </c>
      <c r="R1201">
        <v>37</v>
      </c>
      <c r="S1201" t="e">
        <f>VLOOKUP(Tabla3[[#This Row],[Nº]],[1]!NOMINA[#Data],4,FALSE)</f>
        <v>#REF!</v>
      </c>
      <c r="T1201" t="e">
        <f>VLOOKUP(Tabla3[[#This Row],[Nº]],[1]!NOMINA[#Data],5,FALSE)</f>
        <v>#REF!</v>
      </c>
    </row>
    <row r="1202" spans="1:20" x14ac:dyDescent="0.25">
      <c r="A1202" s="38">
        <v>45715</v>
      </c>
      <c r="B1202" s="1">
        <v>419084176</v>
      </c>
      <c r="C1202" t="s">
        <v>1159</v>
      </c>
      <c r="D1202" s="23">
        <v>-1280.4000000000001</v>
      </c>
      <c r="E1202" t="s">
        <v>35</v>
      </c>
      <c r="F1202" s="2">
        <v>212901001</v>
      </c>
      <c r="G1202" s="2" t="s">
        <v>91</v>
      </c>
      <c r="I1202" s="95" t="s">
        <v>7231</v>
      </c>
      <c r="J1202" t="s">
        <v>61</v>
      </c>
      <c r="K1202" t="s">
        <v>62</v>
      </c>
      <c r="M1202">
        <v>64.239999999999995</v>
      </c>
      <c r="N1202" s="4">
        <f t="shared" si="18"/>
        <v>-19.93150684931507</v>
      </c>
      <c r="O1202" t="s">
        <v>83</v>
      </c>
      <c r="R1202">
        <v>7</v>
      </c>
      <c r="S1202" t="e">
        <f>VLOOKUP(R1202,[1]!NOMINA[#Data],4,FALSE)</f>
        <v>#REF!</v>
      </c>
      <c r="T1202" t="e">
        <f>VLOOKUP(R1202,[1]!NOMINA[#Data],5,FALSE)</f>
        <v>#REF!</v>
      </c>
    </row>
    <row r="1203" spans="1:20" x14ac:dyDescent="0.25">
      <c r="A1203" s="38">
        <v>45715</v>
      </c>
      <c r="B1203" s="1">
        <v>50270362</v>
      </c>
      <c r="C1203" t="s">
        <v>1160</v>
      </c>
      <c r="D1203" s="23">
        <v>-9599.35</v>
      </c>
      <c r="E1203" t="s">
        <v>35</v>
      </c>
      <c r="F1203" s="2">
        <v>212901001</v>
      </c>
      <c r="G1203" s="2" t="s">
        <v>91</v>
      </c>
      <c r="I1203" s="95" t="s">
        <v>7231</v>
      </c>
      <c r="J1203" t="s">
        <v>61</v>
      </c>
      <c r="K1203" t="s">
        <v>62</v>
      </c>
      <c r="M1203">
        <v>64.239999999999995</v>
      </c>
      <c r="N1203" s="4">
        <f t="shared" si="18"/>
        <v>-149.42948318804486</v>
      </c>
      <c r="O1203" t="s">
        <v>83</v>
      </c>
      <c r="R1203">
        <v>40</v>
      </c>
      <c r="S1203" t="e">
        <f>VLOOKUP(R1203,[1]!NOMINA[#Data],4,FALSE)</f>
        <v>#REF!</v>
      </c>
      <c r="T1203" t="e">
        <f>VLOOKUP(R1203,[1]!NOMINA[#Data],5,FALSE)</f>
        <v>#REF!</v>
      </c>
    </row>
    <row r="1204" spans="1:20" x14ac:dyDescent="0.25">
      <c r="A1204" s="38">
        <v>45715</v>
      </c>
      <c r="B1204" s="1">
        <v>50270362</v>
      </c>
      <c r="C1204" t="s">
        <v>179</v>
      </c>
      <c r="D1204" s="23">
        <v>-14.39</v>
      </c>
      <c r="E1204" t="s">
        <v>35</v>
      </c>
      <c r="F1204" s="2">
        <v>610148001</v>
      </c>
      <c r="G1204" s="2" t="s">
        <v>41</v>
      </c>
      <c r="I1204" s="95" t="s">
        <v>7231</v>
      </c>
      <c r="J1204" t="s">
        <v>42</v>
      </c>
      <c r="K1204" t="s">
        <v>41</v>
      </c>
      <c r="M1204">
        <v>64.239999999999995</v>
      </c>
      <c r="N1204" s="4">
        <f t="shared" si="18"/>
        <v>-0.22400373599003739</v>
      </c>
      <c r="O1204" t="s">
        <v>83</v>
      </c>
      <c r="Q1204" s="24" t="s">
        <v>677</v>
      </c>
    </row>
    <row r="1205" spans="1:20" x14ac:dyDescent="0.25">
      <c r="A1205" s="38">
        <v>45715</v>
      </c>
      <c r="B1205" s="1">
        <v>50270362</v>
      </c>
      <c r="C1205" t="s">
        <v>89</v>
      </c>
      <c r="D1205" s="23">
        <v>-811.27</v>
      </c>
      <c r="E1205" t="s">
        <v>35</v>
      </c>
      <c r="F1205" s="2">
        <v>610148001</v>
      </c>
      <c r="G1205" s="2" t="s">
        <v>41</v>
      </c>
      <c r="I1205" s="95" t="s">
        <v>7231</v>
      </c>
      <c r="J1205" t="s">
        <v>42</v>
      </c>
      <c r="K1205" t="s">
        <v>41</v>
      </c>
      <c r="M1205">
        <v>64.239999999999995</v>
      </c>
      <c r="N1205" s="4">
        <f t="shared" si="18"/>
        <v>-12.628735990037361</v>
      </c>
      <c r="O1205" t="s">
        <v>83</v>
      </c>
      <c r="Q1205" s="24" t="s">
        <v>677</v>
      </c>
    </row>
    <row r="1206" spans="1:20" x14ac:dyDescent="0.25">
      <c r="A1206" s="38">
        <v>45716</v>
      </c>
      <c r="B1206" s="1">
        <v>60601816</v>
      </c>
      <c r="C1206" t="s">
        <v>498</v>
      </c>
      <c r="D1206" s="23">
        <v>-96.37</v>
      </c>
      <c r="E1206" t="s">
        <v>35</v>
      </c>
      <c r="F1206" s="2">
        <v>610148001</v>
      </c>
      <c r="G1206" s="2" t="s">
        <v>41</v>
      </c>
      <c r="I1206" s="95" t="s">
        <v>7231</v>
      </c>
      <c r="J1206" t="s">
        <v>42</v>
      </c>
      <c r="K1206" t="s">
        <v>41</v>
      </c>
      <c r="M1206">
        <v>64.25</v>
      </c>
      <c r="N1206" s="4">
        <f t="shared" si="18"/>
        <v>-1.499922178988327</v>
      </c>
      <c r="O1206" t="s">
        <v>83</v>
      </c>
      <c r="Q1206" s="24" t="s">
        <v>677</v>
      </c>
    </row>
    <row r="1207" spans="1:20" x14ac:dyDescent="0.25">
      <c r="A1207" s="38">
        <v>45716</v>
      </c>
      <c r="B1207" s="1">
        <v>298121901</v>
      </c>
      <c r="C1207" t="s">
        <v>1161</v>
      </c>
      <c r="D1207" s="23">
        <v>2563.6</v>
      </c>
      <c r="E1207" t="s">
        <v>45</v>
      </c>
      <c r="F1207" s="2">
        <v>110114001</v>
      </c>
      <c r="G1207" s="2" t="s">
        <v>181</v>
      </c>
      <c r="I1207" s="95" t="s">
        <v>7231</v>
      </c>
      <c r="K1207" t="s">
        <v>1162</v>
      </c>
      <c r="M1207">
        <v>64.25</v>
      </c>
      <c r="N1207" s="4">
        <f t="shared" si="18"/>
        <v>39.900389105058366</v>
      </c>
      <c r="O1207" t="s">
        <v>83</v>
      </c>
    </row>
    <row r="1208" spans="1:20" x14ac:dyDescent="0.25">
      <c r="A1208" s="38">
        <v>45716</v>
      </c>
      <c r="B1208" s="1">
        <v>132036558</v>
      </c>
      <c r="C1208" t="s">
        <v>82</v>
      </c>
      <c r="D1208" s="23">
        <v>1210000</v>
      </c>
      <c r="E1208" t="s">
        <v>45</v>
      </c>
      <c r="F1208" s="2">
        <v>210115002</v>
      </c>
      <c r="G1208" s="2" t="s">
        <v>46</v>
      </c>
      <c r="I1208" s="95" t="s">
        <v>7231</v>
      </c>
      <c r="K1208" t="s">
        <v>82</v>
      </c>
      <c r="M1208">
        <v>64.25</v>
      </c>
      <c r="N1208" s="4">
        <f t="shared" si="18"/>
        <v>18832.684824902724</v>
      </c>
      <c r="O1208" t="s">
        <v>83</v>
      </c>
    </row>
    <row r="1209" spans="1:20" x14ac:dyDescent="0.25">
      <c r="A1209" s="40">
        <v>45716</v>
      </c>
      <c r="B1209" s="27">
        <v>19128826</v>
      </c>
      <c r="C1209" s="28" t="s">
        <v>52</v>
      </c>
      <c r="D1209" s="29">
        <v>-7710</v>
      </c>
      <c r="E1209" s="28" t="s">
        <v>35</v>
      </c>
      <c r="F1209" s="30">
        <v>610129001</v>
      </c>
      <c r="G1209" s="30" t="s">
        <v>53</v>
      </c>
      <c r="H1209" s="30"/>
      <c r="I1209" s="95" t="s">
        <v>7231</v>
      </c>
      <c r="J1209" s="28" t="s">
        <v>54</v>
      </c>
      <c r="K1209" s="28" t="s">
        <v>55</v>
      </c>
      <c r="L1209" s="28" t="s">
        <v>56</v>
      </c>
      <c r="M1209" s="28">
        <v>64.25</v>
      </c>
      <c r="N1209" s="4">
        <f t="shared" si="18"/>
        <v>-120</v>
      </c>
      <c r="O1209" t="s">
        <v>83</v>
      </c>
      <c r="Q1209" s="24" t="s">
        <v>1163</v>
      </c>
    </row>
    <row r="1210" spans="1:20" x14ac:dyDescent="0.25">
      <c r="A1210" s="38">
        <v>45716</v>
      </c>
      <c r="B1210" s="1">
        <v>19128825</v>
      </c>
      <c r="C1210" t="s">
        <v>1164</v>
      </c>
      <c r="D1210" s="23">
        <v>-200000</v>
      </c>
      <c r="E1210" t="s">
        <v>35</v>
      </c>
      <c r="F1210" s="2">
        <v>110114001</v>
      </c>
      <c r="G1210" s="2" t="s">
        <v>181</v>
      </c>
      <c r="I1210" s="95" t="s">
        <v>7231</v>
      </c>
      <c r="J1210" t="s">
        <v>61</v>
      </c>
      <c r="K1210" t="s">
        <v>62</v>
      </c>
      <c r="M1210">
        <v>64.25</v>
      </c>
      <c r="N1210" s="4">
        <f t="shared" si="18"/>
        <v>-3112.8404669260699</v>
      </c>
      <c r="O1210" t="s">
        <v>83</v>
      </c>
      <c r="P1210" s="34" t="s">
        <v>694</v>
      </c>
    </row>
    <row r="1211" spans="1:20" x14ac:dyDescent="0.25">
      <c r="A1211" s="38">
        <v>45716</v>
      </c>
      <c r="B1211" s="1">
        <v>19128830</v>
      </c>
      <c r="C1211" t="s">
        <v>1164</v>
      </c>
      <c r="D1211" s="23">
        <v>-72195.08</v>
      </c>
      <c r="E1211" t="s">
        <v>35</v>
      </c>
      <c r="F1211" s="2">
        <v>110114001</v>
      </c>
      <c r="G1211" s="2" t="s">
        <v>181</v>
      </c>
      <c r="I1211" s="95" t="s">
        <v>7231</v>
      </c>
      <c r="J1211" t="s">
        <v>37</v>
      </c>
      <c r="K1211" t="s">
        <v>38</v>
      </c>
      <c r="M1211">
        <v>64.25</v>
      </c>
      <c r="N1211" s="4">
        <f t="shared" si="18"/>
        <v>-1123.658832684825</v>
      </c>
      <c r="O1211" t="s">
        <v>83</v>
      </c>
      <c r="P1211" s="34" t="s">
        <v>694</v>
      </c>
    </row>
    <row r="1212" spans="1:20" x14ac:dyDescent="0.25">
      <c r="A1212" s="40">
        <v>45716</v>
      </c>
      <c r="B1212" s="27">
        <v>19128828</v>
      </c>
      <c r="C1212" s="28" t="s">
        <v>1165</v>
      </c>
      <c r="D1212" s="29">
        <v>-7710</v>
      </c>
      <c r="E1212" s="28" t="s">
        <v>35</v>
      </c>
      <c r="F1212" s="30">
        <v>610156001</v>
      </c>
      <c r="G1212" s="30" t="s">
        <v>72</v>
      </c>
      <c r="H1212" s="30"/>
      <c r="I1212" s="95" t="s">
        <v>7231</v>
      </c>
      <c r="J1212" s="28" t="s">
        <v>73</v>
      </c>
      <c r="K1212" s="28" t="s">
        <v>74</v>
      </c>
      <c r="L1212" s="28" t="s">
        <v>56</v>
      </c>
      <c r="M1212" s="28">
        <v>64.25</v>
      </c>
      <c r="N1212" s="4">
        <f t="shared" si="18"/>
        <v>-120</v>
      </c>
      <c r="O1212" t="s">
        <v>83</v>
      </c>
      <c r="Q1212" s="24" t="s">
        <v>1166</v>
      </c>
    </row>
    <row r="1213" spans="1:20" x14ac:dyDescent="0.25">
      <c r="A1213" s="38">
        <v>45716</v>
      </c>
      <c r="B1213" s="1">
        <v>19128833</v>
      </c>
      <c r="C1213" t="s">
        <v>1167</v>
      </c>
      <c r="D1213" s="23">
        <v>-4497.5</v>
      </c>
      <c r="E1213" t="s">
        <v>35</v>
      </c>
      <c r="F1213" s="2">
        <v>212901001</v>
      </c>
      <c r="G1213" s="2" t="s">
        <v>91</v>
      </c>
      <c r="I1213" s="95" t="s">
        <v>7231</v>
      </c>
      <c r="J1213" t="s">
        <v>61</v>
      </c>
      <c r="K1213" t="s">
        <v>62</v>
      </c>
      <c r="M1213">
        <v>64.25</v>
      </c>
      <c r="N1213" s="4">
        <f t="shared" si="18"/>
        <v>-70</v>
      </c>
      <c r="O1213" t="s">
        <v>83</v>
      </c>
    </row>
    <row r="1214" spans="1:20" x14ac:dyDescent="0.25">
      <c r="A1214" s="38">
        <v>45716</v>
      </c>
      <c r="B1214" s="1">
        <v>119128835</v>
      </c>
      <c r="C1214" t="s">
        <v>1168</v>
      </c>
      <c r="D1214" s="23">
        <v>-6746.25</v>
      </c>
      <c r="E1214" t="s">
        <v>35</v>
      </c>
      <c r="F1214" s="2">
        <v>212901001</v>
      </c>
      <c r="G1214" s="2" t="s">
        <v>91</v>
      </c>
      <c r="I1214" s="95" t="s">
        <v>7231</v>
      </c>
      <c r="J1214" t="s">
        <v>61</v>
      </c>
      <c r="K1214" t="s">
        <v>62</v>
      </c>
      <c r="M1214">
        <v>64.25</v>
      </c>
      <c r="N1214" s="4">
        <f t="shared" si="18"/>
        <v>-105</v>
      </c>
      <c r="O1214" t="s">
        <v>83</v>
      </c>
    </row>
    <row r="1215" spans="1:20" x14ac:dyDescent="0.25">
      <c r="A1215" s="38">
        <v>45716</v>
      </c>
      <c r="B1215" s="1">
        <v>119128836</v>
      </c>
      <c r="C1215" t="s">
        <v>1169</v>
      </c>
      <c r="D1215" s="23">
        <v>-1285</v>
      </c>
      <c r="E1215" t="s">
        <v>35</v>
      </c>
      <c r="F1215" s="2">
        <v>212901001</v>
      </c>
      <c r="G1215" s="2" t="s">
        <v>91</v>
      </c>
      <c r="I1215" s="95" t="s">
        <v>7231</v>
      </c>
      <c r="J1215" t="s">
        <v>61</v>
      </c>
      <c r="K1215" t="s">
        <v>62</v>
      </c>
      <c r="M1215">
        <v>64.25</v>
      </c>
      <c r="N1215" s="4">
        <f t="shared" si="18"/>
        <v>-20</v>
      </c>
      <c r="O1215" t="s">
        <v>83</v>
      </c>
    </row>
    <row r="1216" spans="1:20" x14ac:dyDescent="0.25">
      <c r="A1216" s="38">
        <v>45716</v>
      </c>
      <c r="B1216" s="1">
        <v>19128832</v>
      </c>
      <c r="C1216" t="s">
        <v>913</v>
      </c>
      <c r="D1216" s="23">
        <v>-3084</v>
      </c>
      <c r="E1216" t="s">
        <v>35</v>
      </c>
      <c r="F1216" s="2">
        <v>212901001</v>
      </c>
      <c r="G1216" s="2" t="s">
        <v>91</v>
      </c>
      <c r="I1216" s="95" t="s">
        <v>7231</v>
      </c>
      <c r="J1216" t="s">
        <v>61</v>
      </c>
      <c r="K1216" t="s">
        <v>62</v>
      </c>
      <c r="M1216">
        <v>64.25</v>
      </c>
      <c r="N1216" s="4">
        <f t="shared" si="18"/>
        <v>-48</v>
      </c>
      <c r="O1216" t="s">
        <v>83</v>
      </c>
    </row>
    <row r="1217" spans="1:17" x14ac:dyDescent="0.25">
      <c r="A1217" s="38">
        <v>45716</v>
      </c>
      <c r="B1217" s="1">
        <v>19128831</v>
      </c>
      <c r="C1217" t="s">
        <v>1170</v>
      </c>
      <c r="D1217" s="23">
        <v>-20991.360000000001</v>
      </c>
      <c r="E1217" t="s">
        <v>35</v>
      </c>
      <c r="F1217" s="2">
        <v>110114001</v>
      </c>
      <c r="G1217" s="2" t="s">
        <v>181</v>
      </c>
      <c r="I1217" s="95" t="s">
        <v>7231</v>
      </c>
      <c r="J1217" t="s">
        <v>182</v>
      </c>
      <c r="K1217" t="s">
        <v>183</v>
      </c>
      <c r="M1217">
        <v>64.25</v>
      </c>
      <c r="N1217" s="4">
        <f t="shared" si="18"/>
        <v>-326.71377431906615</v>
      </c>
      <c r="O1217" t="s">
        <v>83</v>
      </c>
      <c r="P1217" s="34" t="s">
        <v>694</v>
      </c>
    </row>
    <row r="1218" spans="1:17" x14ac:dyDescent="0.25">
      <c r="A1218" s="38">
        <v>45716</v>
      </c>
      <c r="B1218" s="1">
        <v>19128829</v>
      </c>
      <c r="C1218" t="s">
        <v>77</v>
      </c>
      <c r="D1218" s="31">
        <v>-6425</v>
      </c>
      <c r="E1218" t="s">
        <v>35</v>
      </c>
      <c r="F1218" s="2">
        <v>610124003</v>
      </c>
      <c r="G1218" s="2" t="s">
        <v>78</v>
      </c>
      <c r="I1218" s="95" t="s">
        <v>7231</v>
      </c>
      <c r="J1218" t="s">
        <v>79</v>
      </c>
      <c r="K1218" t="s">
        <v>80</v>
      </c>
      <c r="L1218" s="28" t="s">
        <v>56</v>
      </c>
      <c r="M1218">
        <v>64.25</v>
      </c>
      <c r="N1218" s="4">
        <f t="shared" si="18"/>
        <v>-100</v>
      </c>
      <c r="O1218" t="s">
        <v>83</v>
      </c>
      <c r="Q1218" s="24" t="s">
        <v>1171</v>
      </c>
    </row>
    <row r="1219" spans="1:17" x14ac:dyDescent="0.25">
      <c r="A1219" s="38">
        <v>45716</v>
      </c>
      <c r="B1219" s="1">
        <v>19128834</v>
      </c>
      <c r="C1219" t="s">
        <v>1172</v>
      </c>
      <c r="D1219" s="23">
        <v>-3212.5</v>
      </c>
      <c r="E1219" t="s">
        <v>35</v>
      </c>
      <c r="F1219" s="2">
        <v>212901001</v>
      </c>
      <c r="G1219" s="2" t="s">
        <v>91</v>
      </c>
      <c r="I1219" s="95" t="s">
        <v>7231</v>
      </c>
      <c r="J1219" t="s">
        <v>61</v>
      </c>
      <c r="K1219" t="s">
        <v>62</v>
      </c>
      <c r="M1219">
        <v>64.25</v>
      </c>
      <c r="N1219" s="4">
        <f t="shared" si="18"/>
        <v>-50</v>
      </c>
      <c r="O1219" t="s">
        <v>83</v>
      </c>
    </row>
    <row r="1220" spans="1:17" x14ac:dyDescent="0.25">
      <c r="A1220" s="38">
        <v>45716</v>
      </c>
      <c r="B1220" s="1">
        <v>119128840</v>
      </c>
      <c r="C1220" t="s">
        <v>1173</v>
      </c>
      <c r="D1220" s="23">
        <v>-59193.21</v>
      </c>
      <c r="E1220" t="s">
        <v>35</v>
      </c>
      <c r="F1220" s="2">
        <v>110114001</v>
      </c>
      <c r="G1220" s="2" t="s">
        <v>181</v>
      </c>
      <c r="I1220" s="95" t="s">
        <v>7231</v>
      </c>
      <c r="J1220" t="s">
        <v>37</v>
      </c>
      <c r="K1220" t="s">
        <v>38</v>
      </c>
      <c r="M1220">
        <v>64.25</v>
      </c>
      <c r="N1220" s="4">
        <f t="shared" si="18"/>
        <v>-921.29509727626453</v>
      </c>
      <c r="O1220" t="s">
        <v>83</v>
      </c>
      <c r="P1220" s="34" t="s">
        <v>694</v>
      </c>
    </row>
    <row r="1221" spans="1:17" x14ac:dyDescent="0.25">
      <c r="A1221" s="38">
        <v>45716</v>
      </c>
      <c r="B1221" s="1">
        <v>119128839</v>
      </c>
      <c r="C1221" t="s">
        <v>1174</v>
      </c>
      <c r="D1221" s="23">
        <v>-1285</v>
      </c>
      <c r="E1221" t="s">
        <v>35</v>
      </c>
      <c r="F1221" s="2">
        <v>212901001</v>
      </c>
      <c r="G1221" s="2" t="s">
        <v>91</v>
      </c>
      <c r="I1221" s="95" t="s">
        <v>7231</v>
      </c>
      <c r="J1221" t="s">
        <v>61</v>
      </c>
      <c r="K1221" t="s">
        <v>62</v>
      </c>
      <c r="M1221">
        <v>64.25</v>
      </c>
      <c r="N1221" s="4">
        <f t="shared" si="18"/>
        <v>-20</v>
      </c>
      <c r="O1221" t="s">
        <v>83</v>
      </c>
    </row>
    <row r="1222" spans="1:17" x14ac:dyDescent="0.25">
      <c r="A1222" s="38">
        <v>45716</v>
      </c>
      <c r="B1222" s="1">
        <v>119128843</v>
      </c>
      <c r="C1222" t="s">
        <v>1173</v>
      </c>
      <c r="D1222" s="23">
        <v>-200000</v>
      </c>
      <c r="E1222" t="s">
        <v>35</v>
      </c>
      <c r="F1222" s="2">
        <v>110114001</v>
      </c>
      <c r="G1222" s="2" t="s">
        <v>181</v>
      </c>
      <c r="I1222" s="95" t="s">
        <v>7231</v>
      </c>
      <c r="J1222" t="s">
        <v>37</v>
      </c>
      <c r="K1222" t="s">
        <v>38</v>
      </c>
      <c r="M1222">
        <v>64.25</v>
      </c>
      <c r="N1222" s="4">
        <f t="shared" si="18"/>
        <v>-3112.8404669260699</v>
      </c>
      <c r="O1222" t="s">
        <v>83</v>
      </c>
      <c r="P1222" s="34" t="s">
        <v>694</v>
      </c>
    </row>
    <row r="1223" spans="1:17" x14ac:dyDescent="0.25">
      <c r="A1223" s="38">
        <v>45716</v>
      </c>
      <c r="B1223" s="1">
        <v>119128838</v>
      </c>
      <c r="C1223" t="s">
        <v>1175</v>
      </c>
      <c r="D1223" s="23">
        <v>-1285</v>
      </c>
      <c r="E1223" t="s">
        <v>35</v>
      </c>
      <c r="F1223" s="2">
        <v>212901001</v>
      </c>
      <c r="G1223" s="2" t="s">
        <v>91</v>
      </c>
      <c r="I1223" s="95" t="s">
        <v>7231</v>
      </c>
      <c r="J1223" t="s">
        <v>61</v>
      </c>
      <c r="K1223" t="s">
        <v>62</v>
      </c>
      <c r="M1223">
        <v>64.25</v>
      </c>
      <c r="N1223" s="4">
        <f t="shared" si="18"/>
        <v>-20</v>
      </c>
      <c r="O1223" t="s">
        <v>83</v>
      </c>
    </row>
    <row r="1224" spans="1:17" x14ac:dyDescent="0.25">
      <c r="A1224" s="38">
        <v>45716</v>
      </c>
      <c r="B1224" s="1">
        <v>119128837</v>
      </c>
      <c r="C1224" t="s">
        <v>1176</v>
      </c>
      <c r="D1224" s="23">
        <v>-1285</v>
      </c>
      <c r="E1224" t="s">
        <v>35</v>
      </c>
      <c r="F1224" s="2">
        <v>212901001</v>
      </c>
      <c r="G1224" s="2" t="s">
        <v>91</v>
      </c>
      <c r="I1224" s="95" t="s">
        <v>7231</v>
      </c>
      <c r="J1224" t="s">
        <v>61</v>
      </c>
      <c r="K1224" t="s">
        <v>62</v>
      </c>
      <c r="M1224">
        <v>64.25</v>
      </c>
      <c r="N1224" s="4">
        <f t="shared" si="18"/>
        <v>-20</v>
      </c>
      <c r="O1224" t="s">
        <v>83</v>
      </c>
    </row>
    <row r="1225" spans="1:17" x14ac:dyDescent="0.25">
      <c r="A1225" s="38">
        <v>45716</v>
      </c>
      <c r="B1225" s="1">
        <v>119128841</v>
      </c>
      <c r="C1225" t="s">
        <v>1173</v>
      </c>
      <c r="D1225" s="23">
        <v>-200000</v>
      </c>
      <c r="E1225" t="s">
        <v>35</v>
      </c>
      <c r="F1225" s="2">
        <v>110114001</v>
      </c>
      <c r="G1225" s="2" t="s">
        <v>181</v>
      </c>
      <c r="I1225" s="95" t="s">
        <v>7231</v>
      </c>
      <c r="J1225" t="s">
        <v>37</v>
      </c>
      <c r="K1225" t="s">
        <v>38</v>
      </c>
      <c r="M1225">
        <v>64.25</v>
      </c>
      <c r="N1225" s="4">
        <f t="shared" si="18"/>
        <v>-3112.8404669260699</v>
      </c>
      <c r="O1225" t="s">
        <v>83</v>
      </c>
      <c r="P1225" s="34" t="s">
        <v>694</v>
      </c>
    </row>
    <row r="1226" spans="1:17" x14ac:dyDescent="0.25">
      <c r="A1226" s="38">
        <v>45716</v>
      </c>
      <c r="B1226" s="1">
        <v>119128842</v>
      </c>
      <c r="C1226" t="s">
        <v>1173</v>
      </c>
      <c r="D1226" s="23">
        <v>-200000</v>
      </c>
      <c r="E1226" t="s">
        <v>35</v>
      </c>
      <c r="F1226" s="2">
        <v>110114001</v>
      </c>
      <c r="G1226" s="2" t="s">
        <v>181</v>
      </c>
      <c r="I1226" s="95" t="s">
        <v>7231</v>
      </c>
      <c r="J1226" t="s">
        <v>37</v>
      </c>
      <c r="K1226" t="s">
        <v>38</v>
      </c>
      <c r="M1226">
        <v>64.25</v>
      </c>
      <c r="N1226" s="4">
        <f t="shared" si="18"/>
        <v>-3112.8404669260699</v>
      </c>
      <c r="O1226" t="s">
        <v>83</v>
      </c>
      <c r="P1226" s="34" t="s">
        <v>694</v>
      </c>
    </row>
    <row r="1227" spans="1:17" x14ac:dyDescent="0.25">
      <c r="A1227" s="38">
        <v>45716</v>
      </c>
      <c r="B1227" s="1">
        <v>119128844</v>
      </c>
      <c r="C1227" t="s">
        <v>1173</v>
      </c>
      <c r="D1227" s="23">
        <v>-200000</v>
      </c>
      <c r="E1227" t="s">
        <v>35</v>
      </c>
      <c r="F1227" s="2">
        <v>110114001</v>
      </c>
      <c r="G1227" s="2" t="s">
        <v>181</v>
      </c>
      <c r="I1227" s="95" t="s">
        <v>7231</v>
      </c>
      <c r="J1227" t="s">
        <v>37</v>
      </c>
      <c r="K1227" t="s">
        <v>38</v>
      </c>
      <c r="M1227">
        <v>64.25</v>
      </c>
      <c r="N1227" s="4">
        <f t="shared" si="18"/>
        <v>-3112.8404669260699</v>
      </c>
      <c r="O1227" t="s">
        <v>83</v>
      </c>
      <c r="P1227" s="34" t="s">
        <v>694</v>
      </c>
    </row>
    <row r="1228" spans="1:17" x14ac:dyDescent="0.25">
      <c r="A1228" s="38">
        <v>45716</v>
      </c>
      <c r="B1228" s="1">
        <v>50218560</v>
      </c>
      <c r="C1228" t="s">
        <v>89</v>
      </c>
      <c r="D1228" s="23">
        <v>-2992.26</v>
      </c>
      <c r="E1228" t="s">
        <v>35</v>
      </c>
      <c r="F1228" s="2">
        <v>610148001</v>
      </c>
      <c r="G1228" s="2" t="s">
        <v>41</v>
      </c>
      <c r="I1228" s="95" t="s">
        <v>7231</v>
      </c>
      <c r="J1228" t="s">
        <v>42</v>
      </c>
      <c r="K1228" t="s">
        <v>41</v>
      </c>
      <c r="M1228">
        <v>64.25</v>
      </c>
      <c r="N1228" s="4">
        <f t="shared" ref="N1228:N1291" si="19">D1228/M1228</f>
        <v>-46.572140077821018</v>
      </c>
      <c r="O1228" t="s">
        <v>83</v>
      </c>
      <c r="Q1228" s="24" t="s">
        <v>677</v>
      </c>
    </row>
    <row r="1229" spans="1:17" x14ac:dyDescent="0.25">
      <c r="A1229" s="38">
        <v>45716</v>
      </c>
      <c r="B1229" s="1">
        <v>140426441</v>
      </c>
      <c r="C1229" t="s">
        <v>82</v>
      </c>
      <c r="D1229" s="23">
        <v>470000</v>
      </c>
      <c r="E1229" t="s">
        <v>45</v>
      </c>
      <c r="F1229" s="2">
        <v>210115002</v>
      </c>
      <c r="G1229" s="2" t="s">
        <v>46</v>
      </c>
      <c r="I1229" s="95" t="s">
        <v>7231</v>
      </c>
      <c r="K1229" t="s">
        <v>82</v>
      </c>
      <c r="M1229">
        <v>64.25</v>
      </c>
      <c r="N1229" s="4">
        <f t="shared" si="19"/>
        <v>7315.1750972762648</v>
      </c>
      <c r="O1229" t="s">
        <v>83</v>
      </c>
    </row>
    <row r="1230" spans="1:17" x14ac:dyDescent="0.25">
      <c r="A1230" s="38">
        <v>45716</v>
      </c>
      <c r="B1230" s="1">
        <v>219132031</v>
      </c>
      <c r="C1230" t="s">
        <v>1177</v>
      </c>
      <c r="D1230" s="23">
        <v>-6425</v>
      </c>
      <c r="E1230" t="s">
        <v>35</v>
      </c>
      <c r="F1230" s="2">
        <v>212901001</v>
      </c>
      <c r="G1230" s="2" t="s">
        <v>91</v>
      </c>
      <c r="I1230" s="95" t="s">
        <v>7231</v>
      </c>
      <c r="J1230" t="s">
        <v>61</v>
      </c>
      <c r="K1230" t="s">
        <v>62</v>
      </c>
      <c r="M1230">
        <v>64.25</v>
      </c>
      <c r="N1230" s="4">
        <f t="shared" si="19"/>
        <v>-100</v>
      </c>
      <c r="O1230" t="s">
        <v>83</v>
      </c>
    </row>
    <row r="1231" spans="1:17" x14ac:dyDescent="0.25">
      <c r="A1231" s="38">
        <v>45716</v>
      </c>
      <c r="B1231" s="1">
        <v>219132029</v>
      </c>
      <c r="C1231" t="s">
        <v>1178</v>
      </c>
      <c r="D1231" s="23">
        <v>-6425</v>
      </c>
      <c r="E1231" t="s">
        <v>35</v>
      </c>
      <c r="F1231" s="2">
        <v>212901001</v>
      </c>
      <c r="G1231" s="2" t="s">
        <v>91</v>
      </c>
      <c r="I1231" s="95" t="s">
        <v>7231</v>
      </c>
      <c r="J1231" t="s">
        <v>61</v>
      </c>
      <c r="K1231" t="s">
        <v>62</v>
      </c>
      <c r="M1231">
        <v>64.25</v>
      </c>
      <c r="N1231" s="4">
        <f t="shared" si="19"/>
        <v>-100</v>
      </c>
      <c r="O1231" t="s">
        <v>83</v>
      </c>
    </row>
    <row r="1232" spans="1:17" x14ac:dyDescent="0.25">
      <c r="A1232" s="38">
        <v>45716</v>
      </c>
      <c r="B1232" s="1">
        <v>219132030</v>
      </c>
      <c r="C1232" t="s">
        <v>1179</v>
      </c>
      <c r="D1232" s="23">
        <v>-6425</v>
      </c>
      <c r="E1232" t="s">
        <v>35</v>
      </c>
      <c r="F1232" s="2">
        <v>212901001</v>
      </c>
      <c r="G1232" s="2" t="s">
        <v>91</v>
      </c>
      <c r="I1232" s="95" t="s">
        <v>7231</v>
      </c>
      <c r="J1232" t="s">
        <v>61</v>
      </c>
      <c r="K1232" t="s">
        <v>62</v>
      </c>
      <c r="M1232">
        <v>64.25</v>
      </c>
      <c r="N1232" s="4">
        <f t="shared" si="19"/>
        <v>-100</v>
      </c>
      <c r="O1232" t="s">
        <v>83</v>
      </c>
    </row>
    <row r="1233" spans="1:15" x14ac:dyDescent="0.25">
      <c r="A1233" s="38">
        <v>45716</v>
      </c>
      <c r="B1233" s="1">
        <v>219132032</v>
      </c>
      <c r="C1233" t="s">
        <v>1180</v>
      </c>
      <c r="D1233" s="23">
        <v>-6425</v>
      </c>
      <c r="E1233" t="s">
        <v>35</v>
      </c>
      <c r="F1233" s="2">
        <v>212901001</v>
      </c>
      <c r="G1233" s="2" t="s">
        <v>91</v>
      </c>
      <c r="I1233" s="95" t="s">
        <v>7231</v>
      </c>
      <c r="J1233" t="s">
        <v>61</v>
      </c>
      <c r="K1233" t="s">
        <v>62</v>
      </c>
      <c r="M1233">
        <v>64.25</v>
      </c>
      <c r="N1233" s="4">
        <f t="shared" si="19"/>
        <v>-100</v>
      </c>
      <c r="O1233" t="s">
        <v>83</v>
      </c>
    </row>
    <row r="1234" spans="1:15" x14ac:dyDescent="0.25">
      <c r="A1234" s="38">
        <v>45716</v>
      </c>
      <c r="B1234" s="1">
        <v>219132034</v>
      </c>
      <c r="C1234" t="s">
        <v>1181</v>
      </c>
      <c r="D1234" s="23">
        <v>-6425</v>
      </c>
      <c r="E1234" t="s">
        <v>35</v>
      </c>
      <c r="F1234" s="2">
        <v>212901001</v>
      </c>
      <c r="G1234" s="2" t="s">
        <v>91</v>
      </c>
      <c r="I1234" s="95" t="s">
        <v>7231</v>
      </c>
      <c r="J1234" t="s">
        <v>61</v>
      </c>
      <c r="K1234" t="s">
        <v>62</v>
      </c>
      <c r="M1234">
        <v>64.25</v>
      </c>
      <c r="N1234" s="4">
        <f t="shared" si="19"/>
        <v>-100</v>
      </c>
      <c r="O1234" t="s">
        <v>83</v>
      </c>
    </row>
    <row r="1235" spans="1:15" x14ac:dyDescent="0.25">
      <c r="A1235" s="38">
        <v>45716</v>
      </c>
      <c r="B1235" s="1">
        <v>319132041</v>
      </c>
      <c r="C1235" t="s">
        <v>1182</v>
      </c>
      <c r="D1235" s="23">
        <v>-6425</v>
      </c>
      <c r="E1235" t="s">
        <v>35</v>
      </c>
      <c r="F1235" s="2">
        <v>212901001</v>
      </c>
      <c r="G1235" s="2" t="s">
        <v>91</v>
      </c>
      <c r="I1235" s="95" t="s">
        <v>7231</v>
      </c>
      <c r="J1235" t="s">
        <v>61</v>
      </c>
      <c r="K1235" t="s">
        <v>62</v>
      </c>
      <c r="M1235">
        <v>64.25</v>
      </c>
      <c r="N1235" s="4">
        <f t="shared" si="19"/>
        <v>-100</v>
      </c>
      <c r="O1235" t="s">
        <v>83</v>
      </c>
    </row>
    <row r="1236" spans="1:15" x14ac:dyDescent="0.25">
      <c r="A1236" s="38">
        <v>45716</v>
      </c>
      <c r="B1236" s="1">
        <v>219132035</v>
      </c>
      <c r="C1236" t="s">
        <v>1183</v>
      </c>
      <c r="D1236" s="23">
        <v>-6425</v>
      </c>
      <c r="E1236" t="s">
        <v>35</v>
      </c>
      <c r="F1236" s="2">
        <v>212901001</v>
      </c>
      <c r="G1236" s="2" t="s">
        <v>91</v>
      </c>
      <c r="I1236" s="95" t="s">
        <v>7231</v>
      </c>
      <c r="J1236" t="s">
        <v>61</v>
      </c>
      <c r="K1236" t="s">
        <v>62</v>
      </c>
      <c r="M1236">
        <v>64.25</v>
      </c>
      <c r="N1236" s="4">
        <f t="shared" si="19"/>
        <v>-100</v>
      </c>
      <c r="O1236" t="s">
        <v>83</v>
      </c>
    </row>
    <row r="1237" spans="1:15" x14ac:dyDescent="0.25">
      <c r="A1237" s="38">
        <v>45716</v>
      </c>
      <c r="B1237" s="1">
        <v>319132042</v>
      </c>
      <c r="C1237" t="s">
        <v>1184</v>
      </c>
      <c r="D1237" s="23">
        <v>-6425</v>
      </c>
      <c r="E1237" t="s">
        <v>35</v>
      </c>
      <c r="F1237" s="2">
        <v>212901001</v>
      </c>
      <c r="G1237" s="2" t="s">
        <v>91</v>
      </c>
      <c r="I1237" s="95" t="s">
        <v>7231</v>
      </c>
      <c r="J1237" t="s">
        <v>61</v>
      </c>
      <c r="K1237" t="s">
        <v>62</v>
      </c>
      <c r="M1237">
        <v>64.25</v>
      </c>
      <c r="N1237" s="4">
        <f t="shared" si="19"/>
        <v>-100</v>
      </c>
      <c r="O1237" t="s">
        <v>83</v>
      </c>
    </row>
    <row r="1238" spans="1:15" x14ac:dyDescent="0.25">
      <c r="A1238" s="38">
        <v>45716</v>
      </c>
      <c r="B1238" s="1">
        <v>219132039</v>
      </c>
      <c r="C1238" t="s">
        <v>1185</v>
      </c>
      <c r="D1238" s="23">
        <v>-6425</v>
      </c>
      <c r="E1238" t="s">
        <v>35</v>
      </c>
      <c r="F1238" s="2">
        <v>212901001</v>
      </c>
      <c r="G1238" s="2" t="s">
        <v>91</v>
      </c>
      <c r="I1238" s="95" t="s">
        <v>7231</v>
      </c>
      <c r="J1238" t="s">
        <v>61</v>
      </c>
      <c r="K1238" t="s">
        <v>62</v>
      </c>
      <c r="M1238">
        <v>64.25</v>
      </c>
      <c r="N1238" s="4">
        <f t="shared" si="19"/>
        <v>-100</v>
      </c>
      <c r="O1238" t="s">
        <v>83</v>
      </c>
    </row>
    <row r="1239" spans="1:15" x14ac:dyDescent="0.25">
      <c r="A1239" s="38">
        <v>45716</v>
      </c>
      <c r="B1239" s="1">
        <v>219132038</v>
      </c>
      <c r="C1239" t="s">
        <v>1186</v>
      </c>
      <c r="D1239" s="23">
        <v>-6425</v>
      </c>
      <c r="E1239" t="s">
        <v>35</v>
      </c>
      <c r="F1239" s="2">
        <v>212901001</v>
      </c>
      <c r="G1239" s="2" t="s">
        <v>91</v>
      </c>
      <c r="I1239" s="95" t="s">
        <v>7231</v>
      </c>
      <c r="J1239" t="s">
        <v>61</v>
      </c>
      <c r="K1239" t="s">
        <v>62</v>
      </c>
      <c r="M1239">
        <v>64.25</v>
      </c>
      <c r="N1239" s="4">
        <f t="shared" si="19"/>
        <v>-100</v>
      </c>
      <c r="O1239" t="s">
        <v>83</v>
      </c>
    </row>
    <row r="1240" spans="1:15" x14ac:dyDescent="0.25">
      <c r="A1240" s="38">
        <v>45716</v>
      </c>
      <c r="B1240" s="1">
        <v>219132036</v>
      </c>
      <c r="C1240" t="s">
        <v>1187</v>
      </c>
      <c r="D1240" s="23">
        <v>-6425</v>
      </c>
      <c r="E1240" t="s">
        <v>35</v>
      </c>
      <c r="F1240" s="2">
        <v>212901001</v>
      </c>
      <c r="G1240" s="2" t="s">
        <v>91</v>
      </c>
      <c r="I1240" s="95" t="s">
        <v>7231</v>
      </c>
      <c r="J1240" t="s">
        <v>61</v>
      </c>
      <c r="K1240" t="s">
        <v>62</v>
      </c>
      <c r="M1240">
        <v>64.25</v>
      </c>
      <c r="N1240" s="4">
        <f t="shared" si="19"/>
        <v>-100</v>
      </c>
      <c r="O1240" t="s">
        <v>83</v>
      </c>
    </row>
    <row r="1241" spans="1:15" x14ac:dyDescent="0.25">
      <c r="A1241" s="38">
        <v>45716</v>
      </c>
      <c r="B1241" s="1">
        <v>219132040</v>
      </c>
      <c r="C1241" t="s">
        <v>1188</v>
      </c>
      <c r="D1241" s="23">
        <v>-6425</v>
      </c>
      <c r="E1241" t="s">
        <v>35</v>
      </c>
      <c r="F1241" s="2">
        <v>212901001</v>
      </c>
      <c r="G1241" s="2" t="s">
        <v>91</v>
      </c>
      <c r="I1241" s="95" t="s">
        <v>7231</v>
      </c>
      <c r="J1241" t="s">
        <v>61</v>
      </c>
      <c r="K1241" t="s">
        <v>62</v>
      </c>
      <c r="M1241">
        <v>64.25</v>
      </c>
      <c r="N1241" s="4">
        <f t="shared" si="19"/>
        <v>-100</v>
      </c>
      <c r="O1241" t="s">
        <v>83</v>
      </c>
    </row>
    <row r="1242" spans="1:15" x14ac:dyDescent="0.25">
      <c r="A1242" s="38">
        <v>45716</v>
      </c>
      <c r="B1242" s="1">
        <v>319132044</v>
      </c>
      <c r="C1242" t="s">
        <v>1189</v>
      </c>
      <c r="D1242" s="23">
        <v>-6425</v>
      </c>
      <c r="E1242" t="s">
        <v>35</v>
      </c>
      <c r="F1242" s="2">
        <v>212901001</v>
      </c>
      <c r="G1242" s="2" t="s">
        <v>91</v>
      </c>
      <c r="I1242" s="95" t="s">
        <v>7231</v>
      </c>
      <c r="J1242" t="s">
        <v>61</v>
      </c>
      <c r="K1242" t="s">
        <v>62</v>
      </c>
      <c r="M1242">
        <v>64.25</v>
      </c>
      <c r="N1242" s="4">
        <f t="shared" si="19"/>
        <v>-100</v>
      </c>
      <c r="O1242" t="s">
        <v>83</v>
      </c>
    </row>
    <row r="1243" spans="1:15" x14ac:dyDescent="0.25">
      <c r="A1243" s="38">
        <v>45716</v>
      </c>
      <c r="B1243" s="1">
        <v>319132047</v>
      </c>
      <c r="C1243" t="s">
        <v>1190</v>
      </c>
      <c r="D1243" s="23">
        <v>-6425</v>
      </c>
      <c r="E1243" t="s">
        <v>35</v>
      </c>
      <c r="F1243" s="2">
        <v>212901001</v>
      </c>
      <c r="G1243" s="2" t="s">
        <v>91</v>
      </c>
      <c r="I1243" s="95" t="s">
        <v>7231</v>
      </c>
      <c r="J1243" t="s">
        <v>61</v>
      </c>
      <c r="K1243" t="s">
        <v>62</v>
      </c>
      <c r="M1243">
        <v>64.25</v>
      </c>
      <c r="N1243" s="4">
        <f t="shared" si="19"/>
        <v>-100</v>
      </c>
      <c r="O1243" t="s">
        <v>83</v>
      </c>
    </row>
    <row r="1244" spans="1:15" x14ac:dyDescent="0.25">
      <c r="A1244" s="38">
        <v>45716</v>
      </c>
      <c r="B1244" s="1">
        <v>319132045</v>
      </c>
      <c r="C1244" t="s">
        <v>1191</v>
      </c>
      <c r="D1244" s="23">
        <v>-6425</v>
      </c>
      <c r="E1244" t="s">
        <v>35</v>
      </c>
      <c r="F1244" s="2">
        <v>212901001</v>
      </c>
      <c r="G1244" s="2" t="s">
        <v>91</v>
      </c>
      <c r="I1244" s="95" t="s">
        <v>7231</v>
      </c>
      <c r="J1244" t="s">
        <v>61</v>
      </c>
      <c r="K1244" t="s">
        <v>62</v>
      </c>
      <c r="M1244">
        <v>64.25</v>
      </c>
      <c r="N1244" s="4">
        <f t="shared" si="19"/>
        <v>-100</v>
      </c>
      <c r="O1244" t="s">
        <v>83</v>
      </c>
    </row>
    <row r="1245" spans="1:15" x14ac:dyDescent="0.25">
      <c r="A1245" s="38">
        <v>45716</v>
      </c>
      <c r="B1245" s="1">
        <v>319132043</v>
      </c>
      <c r="C1245" t="s">
        <v>1192</v>
      </c>
      <c r="D1245" s="23">
        <v>-6425</v>
      </c>
      <c r="E1245" t="s">
        <v>35</v>
      </c>
      <c r="F1245" s="2">
        <v>212901001</v>
      </c>
      <c r="G1245" s="2" t="s">
        <v>91</v>
      </c>
      <c r="I1245" s="95" t="s">
        <v>7231</v>
      </c>
      <c r="J1245" t="s">
        <v>61</v>
      </c>
      <c r="K1245" t="s">
        <v>62</v>
      </c>
      <c r="M1245">
        <v>64.25</v>
      </c>
      <c r="N1245" s="4">
        <f t="shared" si="19"/>
        <v>-100</v>
      </c>
      <c r="O1245" t="s">
        <v>83</v>
      </c>
    </row>
    <row r="1246" spans="1:15" x14ac:dyDescent="0.25">
      <c r="A1246" s="38">
        <v>45716</v>
      </c>
      <c r="B1246" s="1">
        <v>319132052</v>
      </c>
      <c r="C1246" t="s">
        <v>1193</v>
      </c>
      <c r="D1246" s="23">
        <v>-7710</v>
      </c>
      <c r="E1246" t="s">
        <v>35</v>
      </c>
      <c r="F1246" s="2">
        <v>212901001</v>
      </c>
      <c r="G1246" s="2" t="s">
        <v>91</v>
      </c>
      <c r="I1246" s="95" t="s">
        <v>7231</v>
      </c>
      <c r="J1246" t="s">
        <v>61</v>
      </c>
      <c r="K1246" t="s">
        <v>62</v>
      </c>
      <c r="M1246">
        <v>64.25</v>
      </c>
      <c r="N1246" s="4">
        <f t="shared" si="19"/>
        <v>-120</v>
      </c>
      <c r="O1246" t="s">
        <v>83</v>
      </c>
    </row>
    <row r="1247" spans="1:15" x14ac:dyDescent="0.25">
      <c r="A1247" s="38">
        <v>45716</v>
      </c>
      <c r="B1247" s="1">
        <v>419132054</v>
      </c>
      <c r="C1247" t="s">
        <v>1194</v>
      </c>
      <c r="D1247" s="23">
        <v>-7710</v>
      </c>
      <c r="E1247" t="s">
        <v>35</v>
      </c>
      <c r="F1247" s="2">
        <v>212901001</v>
      </c>
      <c r="G1247" s="2" t="s">
        <v>91</v>
      </c>
      <c r="I1247" s="95" t="s">
        <v>7231</v>
      </c>
      <c r="J1247" t="s">
        <v>61</v>
      </c>
      <c r="K1247" t="s">
        <v>62</v>
      </c>
      <c r="M1247">
        <v>64.25</v>
      </c>
      <c r="N1247" s="4">
        <f t="shared" si="19"/>
        <v>-120</v>
      </c>
      <c r="O1247" t="s">
        <v>83</v>
      </c>
    </row>
    <row r="1248" spans="1:15" x14ac:dyDescent="0.25">
      <c r="A1248" s="38">
        <v>45716</v>
      </c>
      <c r="B1248" s="1">
        <v>319132048</v>
      </c>
      <c r="C1248" t="s">
        <v>1195</v>
      </c>
      <c r="D1248" s="23">
        <v>-12207.5</v>
      </c>
      <c r="E1248" t="s">
        <v>35</v>
      </c>
      <c r="F1248" s="2">
        <v>212901001</v>
      </c>
      <c r="G1248" s="2" t="s">
        <v>91</v>
      </c>
      <c r="I1248" s="95" t="s">
        <v>7231</v>
      </c>
      <c r="J1248" t="s">
        <v>61</v>
      </c>
      <c r="K1248" t="s">
        <v>62</v>
      </c>
      <c r="M1248">
        <v>64.25</v>
      </c>
      <c r="N1248" s="4">
        <f t="shared" si="19"/>
        <v>-190</v>
      </c>
      <c r="O1248" t="s">
        <v>83</v>
      </c>
    </row>
    <row r="1249" spans="1:15" x14ac:dyDescent="0.25">
      <c r="A1249" s="38">
        <v>45716</v>
      </c>
      <c r="B1249" s="1">
        <v>319132050</v>
      </c>
      <c r="C1249" t="s">
        <v>1196</v>
      </c>
      <c r="D1249" s="23">
        <v>-7710</v>
      </c>
      <c r="E1249" t="s">
        <v>35</v>
      </c>
      <c r="F1249" s="2">
        <v>212901001</v>
      </c>
      <c r="G1249" s="2" t="s">
        <v>91</v>
      </c>
      <c r="I1249" s="95" t="s">
        <v>7231</v>
      </c>
      <c r="J1249" t="s">
        <v>61</v>
      </c>
      <c r="K1249" t="s">
        <v>62</v>
      </c>
      <c r="M1249">
        <v>64.25</v>
      </c>
      <c r="N1249" s="4">
        <f t="shared" si="19"/>
        <v>-120</v>
      </c>
      <c r="O1249" t="s">
        <v>83</v>
      </c>
    </row>
    <row r="1250" spans="1:15" x14ac:dyDescent="0.25">
      <c r="A1250" s="38">
        <v>45716</v>
      </c>
      <c r="B1250" s="1">
        <v>319132049</v>
      </c>
      <c r="C1250" t="s">
        <v>1197</v>
      </c>
      <c r="D1250" s="23">
        <v>-8995</v>
      </c>
      <c r="E1250" t="s">
        <v>35</v>
      </c>
      <c r="F1250" s="2">
        <v>212901001</v>
      </c>
      <c r="G1250" s="2" t="s">
        <v>91</v>
      </c>
      <c r="I1250" s="95" t="s">
        <v>7231</v>
      </c>
      <c r="J1250" t="s">
        <v>61</v>
      </c>
      <c r="K1250" t="s">
        <v>62</v>
      </c>
      <c r="M1250">
        <v>64.25</v>
      </c>
      <c r="N1250" s="4">
        <f t="shared" si="19"/>
        <v>-140</v>
      </c>
      <c r="O1250" t="s">
        <v>83</v>
      </c>
    </row>
    <row r="1251" spans="1:15" x14ac:dyDescent="0.25">
      <c r="A1251" s="38">
        <v>45716</v>
      </c>
      <c r="B1251" s="1">
        <v>419132057</v>
      </c>
      <c r="C1251" t="s">
        <v>1198</v>
      </c>
      <c r="D1251" s="23">
        <v>-7710</v>
      </c>
      <c r="E1251" t="s">
        <v>35</v>
      </c>
      <c r="F1251" s="2">
        <v>212901001</v>
      </c>
      <c r="G1251" s="2" t="s">
        <v>91</v>
      </c>
      <c r="I1251" s="95" t="s">
        <v>7231</v>
      </c>
      <c r="J1251" t="s">
        <v>61</v>
      </c>
      <c r="K1251" t="s">
        <v>62</v>
      </c>
      <c r="M1251">
        <v>64.25</v>
      </c>
      <c r="N1251" s="4">
        <f t="shared" si="19"/>
        <v>-120</v>
      </c>
      <c r="O1251" t="s">
        <v>83</v>
      </c>
    </row>
    <row r="1252" spans="1:15" x14ac:dyDescent="0.25">
      <c r="A1252" s="38">
        <v>45716</v>
      </c>
      <c r="B1252" s="1">
        <v>419132059</v>
      </c>
      <c r="C1252" t="s">
        <v>1199</v>
      </c>
      <c r="D1252" s="23">
        <v>-5268.5</v>
      </c>
      <c r="E1252" t="s">
        <v>35</v>
      </c>
      <c r="F1252" s="2">
        <v>212901001</v>
      </c>
      <c r="G1252" s="2" t="s">
        <v>91</v>
      </c>
      <c r="I1252" s="95" t="s">
        <v>7231</v>
      </c>
      <c r="J1252" t="s">
        <v>61</v>
      </c>
      <c r="K1252" t="s">
        <v>62</v>
      </c>
      <c r="M1252">
        <v>64.25</v>
      </c>
      <c r="N1252" s="4">
        <f t="shared" si="19"/>
        <v>-82</v>
      </c>
      <c r="O1252" t="s">
        <v>83</v>
      </c>
    </row>
    <row r="1253" spans="1:15" x14ac:dyDescent="0.25">
      <c r="A1253" s="38">
        <v>45716</v>
      </c>
      <c r="B1253" s="1">
        <v>419132055</v>
      </c>
      <c r="C1253" t="s">
        <v>1200</v>
      </c>
      <c r="D1253" s="23">
        <v>-7710</v>
      </c>
      <c r="E1253" t="s">
        <v>35</v>
      </c>
      <c r="F1253" s="2">
        <v>212901001</v>
      </c>
      <c r="G1253" s="2" t="s">
        <v>91</v>
      </c>
      <c r="I1253" s="95" t="s">
        <v>7231</v>
      </c>
      <c r="J1253" t="s">
        <v>61</v>
      </c>
      <c r="K1253" t="s">
        <v>62</v>
      </c>
      <c r="M1253">
        <v>64.25</v>
      </c>
      <c r="N1253" s="4">
        <f t="shared" si="19"/>
        <v>-120</v>
      </c>
      <c r="O1253" t="s">
        <v>83</v>
      </c>
    </row>
    <row r="1254" spans="1:15" x14ac:dyDescent="0.25">
      <c r="A1254" s="38">
        <v>45716</v>
      </c>
      <c r="B1254" s="1">
        <v>419132063</v>
      </c>
      <c r="C1254" t="s">
        <v>1201</v>
      </c>
      <c r="D1254" s="23">
        <v>-5782.5</v>
      </c>
      <c r="E1254" t="s">
        <v>35</v>
      </c>
      <c r="F1254" s="2">
        <v>212901001</v>
      </c>
      <c r="G1254" s="2" t="s">
        <v>91</v>
      </c>
      <c r="I1254" s="95" t="s">
        <v>7231</v>
      </c>
      <c r="J1254" t="s">
        <v>61</v>
      </c>
      <c r="K1254" t="s">
        <v>62</v>
      </c>
      <c r="M1254">
        <v>64.25</v>
      </c>
      <c r="N1254" s="4">
        <f t="shared" si="19"/>
        <v>-90</v>
      </c>
      <c r="O1254" t="s">
        <v>83</v>
      </c>
    </row>
    <row r="1255" spans="1:15" x14ac:dyDescent="0.25">
      <c r="A1255" s="38">
        <v>45716</v>
      </c>
      <c r="B1255" s="1">
        <v>419132064</v>
      </c>
      <c r="C1255" t="s">
        <v>1202</v>
      </c>
      <c r="D1255" s="23">
        <v>-5268.5</v>
      </c>
      <c r="E1255" t="s">
        <v>35</v>
      </c>
      <c r="F1255" s="2">
        <v>212901001</v>
      </c>
      <c r="G1255" s="2" t="s">
        <v>91</v>
      </c>
      <c r="I1255" s="95" t="s">
        <v>7231</v>
      </c>
      <c r="J1255" t="s">
        <v>61</v>
      </c>
      <c r="K1255" t="s">
        <v>62</v>
      </c>
      <c r="M1255">
        <v>64.25</v>
      </c>
      <c r="N1255" s="4">
        <f t="shared" si="19"/>
        <v>-82</v>
      </c>
      <c r="O1255" t="s">
        <v>83</v>
      </c>
    </row>
    <row r="1256" spans="1:15" x14ac:dyDescent="0.25">
      <c r="A1256" s="38">
        <v>45716</v>
      </c>
      <c r="B1256" s="1">
        <v>419132060</v>
      </c>
      <c r="C1256" t="s">
        <v>1203</v>
      </c>
      <c r="D1256" s="23">
        <v>-5782.5</v>
      </c>
      <c r="E1256" t="s">
        <v>35</v>
      </c>
      <c r="F1256" s="2">
        <v>212901001</v>
      </c>
      <c r="G1256" s="2" t="s">
        <v>91</v>
      </c>
      <c r="I1256" s="95" t="s">
        <v>7231</v>
      </c>
      <c r="J1256" t="s">
        <v>61</v>
      </c>
      <c r="K1256" t="s">
        <v>62</v>
      </c>
      <c r="M1256">
        <v>64.25</v>
      </c>
      <c r="N1256" s="4">
        <f t="shared" si="19"/>
        <v>-90</v>
      </c>
      <c r="O1256" t="s">
        <v>83</v>
      </c>
    </row>
    <row r="1257" spans="1:15" x14ac:dyDescent="0.25">
      <c r="A1257" s="38">
        <v>45716</v>
      </c>
      <c r="B1257" s="1">
        <v>419132065</v>
      </c>
      <c r="C1257" t="s">
        <v>1204</v>
      </c>
      <c r="D1257" s="23">
        <v>-5782.5</v>
      </c>
      <c r="E1257" t="s">
        <v>35</v>
      </c>
      <c r="F1257" s="2">
        <v>212901001</v>
      </c>
      <c r="G1257" s="2" t="s">
        <v>91</v>
      </c>
      <c r="I1257" s="95" t="s">
        <v>7231</v>
      </c>
      <c r="J1257" t="s">
        <v>61</v>
      </c>
      <c r="K1257" t="s">
        <v>62</v>
      </c>
      <c r="M1257">
        <v>64.25</v>
      </c>
      <c r="N1257" s="4">
        <f t="shared" si="19"/>
        <v>-90</v>
      </c>
      <c r="O1257" t="s">
        <v>83</v>
      </c>
    </row>
    <row r="1258" spans="1:15" x14ac:dyDescent="0.25">
      <c r="A1258" s="38">
        <v>45716</v>
      </c>
      <c r="B1258" s="1">
        <v>419132053</v>
      </c>
      <c r="C1258" t="s">
        <v>1205</v>
      </c>
      <c r="D1258" s="23">
        <v>-7710</v>
      </c>
      <c r="E1258" t="s">
        <v>35</v>
      </c>
      <c r="F1258" s="2">
        <v>212901001</v>
      </c>
      <c r="G1258" s="2" t="s">
        <v>91</v>
      </c>
      <c r="I1258" s="95" t="s">
        <v>7231</v>
      </c>
      <c r="J1258" t="s">
        <v>61</v>
      </c>
      <c r="K1258" t="s">
        <v>62</v>
      </c>
      <c r="M1258">
        <v>64.25</v>
      </c>
      <c r="N1258" s="4">
        <f t="shared" si="19"/>
        <v>-120</v>
      </c>
      <c r="O1258" t="s">
        <v>83</v>
      </c>
    </row>
    <row r="1259" spans="1:15" x14ac:dyDescent="0.25">
      <c r="A1259" s="38">
        <v>45716</v>
      </c>
      <c r="B1259" s="1">
        <v>519132067</v>
      </c>
      <c r="C1259" t="s">
        <v>1206</v>
      </c>
      <c r="D1259" s="23">
        <v>-5140</v>
      </c>
      <c r="E1259" t="s">
        <v>35</v>
      </c>
      <c r="F1259" s="2">
        <v>212901001</v>
      </c>
      <c r="G1259" s="2" t="s">
        <v>91</v>
      </c>
      <c r="I1259" s="95" t="s">
        <v>7231</v>
      </c>
      <c r="J1259" t="s">
        <v>61</v>
      </c>
      <c r="K1259" t="s">
        <v>62</v>
      </c>
      <c r="M1259">
        <v>64.25</v>
      </c>
      <c r="N1259" s="4">
        <f t="shared" si="19"/>
        <v>-80</v>
      </c>
      <c r="O1259" t="s">
        <v>83</v>
      </c>
    </row>
    <row r="1260" spans="1:15" x14ac:dyDescent="0.25">
      <c r="A1260" s="38">
        <v>45716</v>
      </c>
      <c r="B1260" s="1">
        <v>419132062</v>
      </c>
      <c r="C1260" t="s">
        <v>1207</v>
      </c>
      <c r="D1260" s="23">
        <v>-5782.5</v>
      </c>
      <c r="E1260" t="s">
        <v>35</v>
      </c>
      <c r="F1260" s="2">
        <v>212901001</v>
      </c>
      <c r="G1260" s="2" t="s">
        <v>91</v>
      </c>
      <c r="I1260" s="95" t="s">
        <v>7231</v>
      </c>
      <c r="J1260" t="s">
        <v>61</v>
      </c>
      <c r="K1260" t="s">
        <v>62</v>
      </c>
      <c r="M1260">
        <v>64.25</v>
      </c>
      <c r="N1260" s="4">
        <f t="shared" si="19"/>
        <v>-90</v>
      </c>
      <c r="O1260" t="s">
        <v>83</v>
      </c>
    </row>
    <row r="1261" spans="1:15" x14ac:dyDescent="0.25">
      <c r="A1261" s="38">
        <v>45716</v>
      </c>
      <c r="B1261" s="1">
        <v>519132066</v>
      </c>
      <c r="C1261" t="s">
        <v>1208</v>
      </c>
      <c r="D1261" s="23">
        <v>-5140</v>
      </c>
      <c r="E1261" t="s">
        <v>35</v>
      </c>
      <c r="F1261" s="2">
        <v>212901001</v>
      </c>
      <c r="G1261" s="2" t="s">
        <v>91</v>
      </c>
      <c r="I1261" s="95" t="s">
        <v>7231</v>
      </c>
      <c r="J1261" t="s">
        <v>61</v>
      </c>
      <c r="K1261" t="s">
        <v>62</v>
      </c>
      <c r="M1261">
        <v>64.25</v>
      </c>
      <c r="N1261" s="4">
        <f t="shared" si="19"/>
        <v>-80</v>
      </c>
      <c r="O1261" t="s">
        <v>83</v>
      </c>
    </row>
    <row r="1262" spans="1:15" x14ac:dyDescent="0.25">
      <c r="A1262" s="38">
        <v>45716</v>
      </c>
      <c r="B1262" s="1">
        <v>519132070</v>
      </c>
      <c r="C1262" t="s">
        <v>1209</v>
      </c>
      <c r="D1262" s="23">
        <v>-5140</v>
      </c>
      <c r="E1262" t="s">
        <v>35</v>
      </c>
      <c r="F1262" s="2">
        <v>212901001</v>
      </c>
      <c r="G1262" s="2" t="s">
        <v>91</v>
      </c>
      <c r="I1262" s="95" t="s">
        <v>7231</v>
      </c>
      <c r="J1262" t="s">
        <v>61</v>
      </c>
      <c r="K1262" t="s">
        <v>62</v>
      </c>
      <c r="M1262">
        <v>64.25</v>
      </c>
      <c r="N1262" s="4">
        <f t="shared" si="19"/>
        <v>-80</v>
      </c>
      <c r="O1262" t="s">
        <v>83</v>
      </c>
    </row>
    <row r="1263" spans="1:15" x14ac:dyDescent="0.25">
      <c r="A1263" s="38">
        <v>45716</v>
      </c>
      <c r="B1263" s="1">
        <v>519132069</v>
      </c>
      <c r="C1263" t="s">
        <v>1210</v>
      </c>
      <c r="D1263" s="23">
        <v>-5140</v>
      </c>
      <c r="E1263" t="s">
        <v>35</v>
      </c>
      <c r="F1263" s="2">
        <v>212901001</v>
      </c>
      <c r="G1263" s="2" t="s">
        <v>91</v>
      </c>
      <c r="I1263" s="95" t="s">
        <v>7231</v>
      </c>
      <c r="J1263" t="s">
        <v>61</v>
      </c>
      <c r="K1263" t="s">
        <v>62</v>
      </c>
      <c r="M1263">
        <v>64.25</v>
      </c>
      <c r="N1263" s="4">
        <f t="shared" si="19"/>
        <v>-80</v>
      </c>
      <c r="O1263" t="s">
        <v>83</v>
      </c>
    </row>
    <row r="1264" spans="1:15" x14ac:dyDescent="0.25">
      <c r="A1264" s="38">
        <v>45716</v>
      </c>
      <c r="B1264" s="1">
        <v>519132073</v>
      </c>
      <c r="C1264" t="s">
        <v>1211</v>
      </c>
      <c r="D1264" s="23">
        <v>-5140</v>
      </c>
      <c r="E1264" t="s">
        <v>35</v>
      </c>
      <c r="F1264" s="2">
        <v>212901001</v>
      </c>
      <c r="G1264" s="2" t="s">
        <v>91</v>
      </c>
      <c r="I1264" s="95" t="s">
        <v>7231</v>
      </c>
      <c r="J1264" t="s">
        <v>61</v>
      </c>
      <c r="K1264" t="s">
        <v>62</v>
      </c>
      <c r="M1264">
        <v>64.25</v>
      </c>
      <c r="N1264" s="4">
        <f t="shared" si="19"/>
        <v>-80</v>
      </c>
      <c r="O1264" t="s">
        <v>83</v>
      </c>
    </row>
    <row r="1265" spans="1:15" x14ac:dyDescent="0.25">
      <c r="A1265" s="38">
        <v>45716</v>
      </c>
      <c r="B1265" s="1">
        <v>519132072</v>
      </c>
      <c r="C1265" t="s">
        <v>1212</v>
      </c>
      <c r="D1265" s="23">
        <v>-5140</v>
      </c>
      <c r="E1265" t="s">
        <v>35</v>
      </c>
      <c r="F1265" s="2">
        <v>212901001</v>
      </c>
      <c r="G1265" s="2" t="s">
        <v>91</v>
      </c>
      <c r="I1265" s="95" t="s">
        <v>7231</v>
      </c>
      <c r="J1265" t="s">
        <v>61</v>
      </c>
      <c r="K1265" t="s">
        <v>62</v>
      </c>
      <c r="M1265">
        <v>64.25</v>
      </c>
      <c r="N1265" s="4">
        <f t="shared" si="19"/>
        <v>-80</v>
      </c>
      <c r="O1265" t="s">
        <v>83</v>
      </c>
    </row>
    <row r="1266" spans="1:15" x14ac:dyDescent="0.25">
      <c r="A1266" s="38">
        <v>45716</v>
      </c>
      <c r="B1266" s="1">
        <v>519132074</v>
      </c>
      <c r="C1266" t="s">
        <v>1213</v>
      </c>
      <c r="D1266" s="23">
        <v>-6425</v>
      </c>
      <c r="E1266" t="s">
        <v>35</v>
      </c>
      <c r="F1266" s="2">
        <v>212901001</v>
      </c>
      <c r="G1266" s="2" t="s">
        <v>91</v>
      </c>
      <c r="I1266" s="95" t="s">
        <v>7231</v>
      </c>
      <c r="J1266" t="s">
        <v>61</v>
      </c>
      <c r="K1266" t="s">
        <v>62</v>
      </c>
      <c r="M1266">
        <v>64.25</v>
      </c>
      <c r="N1266" s="4">
        <f t="shared" si="19"/>
        <v>-100</v>
      </c>
      <c r="O1266" t="s">
        <v>83</v>
      </c>
    </row>
    <row r="1267" spans="1:15" x14ac:dyDescent="0.25">
      <c r="A1267" s="38">
        <v>45716</v>
      </c>
      <c r="B1267" s="1">
        <v>519132076</v>
      </c>
      <c r="C1267" t="s">
        <v>1214</v>
      </c>
      <c r="D1267" s="23">
        <v>-12207.5</v>
      </c>
      <c r="E1267" t="s">
        <v>35</v>
      </c>
      <c r="F1267" s="2">
        <v>212901001</v>
      </c>
      <c r="G1267" s="2" t="s">
        <v>91</v>
      </c>
      <c r="I1267" s="95" t="s">
        <v>7231</v>
      </c>
      <c r="J1267" t="s">
        <v>61</v>
      </c>
      <c r="K1267" t="s">
        <v>62</v>
      </c>
      <c r="M1267">
        <v>64.25</v>
      </c>
      <c r="N1267" s="4">
        <f t="shared" si="19"/>
        <v>-190</v>
      </c>
      <c r="O1267" t="s">
        <v>83</v>
      </c>
    </row>
    <row r="1268" spans="1:15" x14ac:dyDescent="0.25">
      <c r="A1268" s="38">
        <v>45716</v>
      </c>
      <c r="B1268" s="1">
        <v>519132077</v>
      </c>
      <c r="C1268" t="s">
        <v>1215</v>
      </c>
      <c r="D1268" s="23">
        <v>-4497.5</v>
      </c>
      <c r="E1268" t="s">
        <v>35</v>
      </c>
      <c r="F1268" s="2">
        <v>212901001</v>
      </c>
      <c r="G1268" s="2" t="s">
        <v>91</v>
      </c>
      <c r="I1268" s="95" t="s">
        <v>7231</v>
      </c>
      <c r="J1268" t="s">
        <v>61</v>
      </c>
      <c r="K1268" t="s">
        <v>62</v>
      </c>
      <c r="M1268">
        <v>64.25</v>
      </c>
      <c r="N1268" s="4">
        <f t="shared" si="19"/>
        <v>-70</v>
      </c>
      <c r="O1268" t="s">
        <v>83</v>
      </c>
    </row>
    <row r="1269" spans="1:15" x14ac:dyDescent="0.25">
      <c r="A1269" s="38">
        <v>45716</v>
      </c>
      <c r="B1269" s="1">
        <v>519132075</v>
      </c>
      <c r="C1269" t="s">
        <v>1216</v>
      </c>
      <c r="D1269" s="23">
        <v>-8995</v>
      </c>
      <c r="E1269" t="s">
        <v>35</v>
      </c>
      <c r="F1269" s="2">
        <v>212901001</v>
      </c>
      <c r="G1269" s="2" t="s">
        <v>91</v>
      </c>
      <c r="I1269" s="95" t="s">
        <v>7231</v>
      </c>
      <c r="J1269" t="s">
        <v>61</v>
      </c>
      <c r="K1269" t="s">
        <v>62</v>
      </c>
      <c r="M1269">
        <v>64.25</v>
      </c>
      <c r="N1269" s="4">
        <f t="shared" si="19"/>
        <v>-140</v>
      </c>
      <c r="O1269" t="s">
        <v>83</v>
      </c>
    </row>
    <row r="1270" spans="1:15" x14ac:dyDescent="0.25">
      <c r="A1270" s="38">
        <v>45716</v>
      </c>
      <c r="B1270" s="1">
        <v>619132080</v>
      </c>
      <c r="C1270" t="s">
        <v>1217</v>
      </c>
      <c r="D1270" s="23">
        <v>-8995</v>
      </c>
      <c r="E1270" t="s">
        <v>35</v>
      </c>
      <c r="F1270" s="2">
        <v>212901001</v>
      </c>
      <c r="G1270" s="2" t="s">
        <v>91</v>
      </c>
      <c r="I1270" s="95" t="s">
        <v>7231</v>
      </c>
      <c r="J1270" t="s">
        <v>61</v>
      </c>
      <c r="K1270" t="s">
        <v>62</v>
      </c>
      <c r="M1270">
        <v>64.25</v>
      </c>
      <c r="N1270" s="4">
        <f t="shared" si="19"/>
        <v>-140</v>
      </c>
      <c r="O1270" t="s">
        <v>83</v>
      </c>
    </row>
    <row r="1271" spans="1:15" x14ac:dyDescent="0.25">
      <c r="A1271" s="38">
        <v>45716</v>
      </c>
      <c r="B1271" s="1">
        <v>619132081</v>
      </c>
      <c r="C1271" t="s">
        <v>1218</v>
      </c>
      <c r="D1271" s="23">
        <v>-963.75</v>
      </c>
      <c r="E1271" t="s">
        <v>35</v>
      </c>
      <c r="F1271" s="2">
        <v>212901001</v>
      </c>
      <c r="G1271" s="2" t="s">
        <v>91</v>
      </c>
      <c r="I1271" s="95" t="s">
        <v>7231</v>
      </c>
      <c r="J1271" t="s">
        <v>61</v>
      </c>
      <c r="K1271" t="s">
        <v>62</v>
      </c>
      <c r="M1271">
        <v>64.25</v>
      </c>
      <c r="N1271" s="4">
        <f t="shared" si="19"/>
        <v>-15</v>
      </c>
      <c r="O1271" t="s">
        <v>83</v>
      </c>
    </row>
    <row r="1272" spans="1:15" x14ac:dyDescent="0.25">
      <c r="A1272" s="38">
        <v>45716</v>
      </c>
      <c r="B1272" s="1">
        <v>519132071</v>
      </c>
      <c r="C1272" t="s">
        <v>1219</v>
      </c>
      <c r="D1272" s="23">
        <v>-5140</v>
      </c>
      <c r="E1272" t="s">
        <v>35</v>
      </c>
      <c r="F1272" s="2">
        <v>212901001</v>
      </c>
      <c r="G1272" s="2" t="s">
        <v>91</v>
      </c>
      <c r="I1272" s="95" t="s">
        <v>7231</v>
      </c>
      <c r="J1272" t="s">
        <v>61</v>
      </c>
      <c r="K1272" t="s">
        <v>62</v>
      </c>
      <c r="M1272">
        <v>64.25</v>
      </c>
      <c r="N1272" s="4">
        <f t="shared" si="19"/>
        <v>-80</v>
      </c>
      <c r="O1272" t="s">
        <v>83</v>
      </c>
    </row>
    <row r="1273" spans="1:15" x14ac:dyDescent="0.25">
      <c r="A1273" s="38">
        <v>45716</v>
      </c>
      <c r="B1273" s="1">
        <v>619132078</v>
      </c>
      <c r="C1273" t="s">
        <v>1220</v>
      </c>
      <c r="D1273" s="23">
        <v>-9637.5</v>
      </c>
      <c r="E1273" t="s">
        <v>35</v>
      </c>
      <c r="F1273" s="2">
        <v>212901001</v>
      </c>
      <c r="G1273" s="2" t="s">
        <v>91</v>
      </c>
      <c r="I1273" s="95" t="s">
        <v>7231</v>
      </c>
      <c r="J1273" t="s">
        <v>61</v>
      </c>
      <c r="K1273" t="s">
        <v>62</v>
      </c>
      <c r="M1273">
        <v>64.25</v>
      </c>
      <c r="N1273" s="4">
        <f t="shared" si="19"/>
        <v>-150</v>
      </c>
      <c r="O1273" t="s">
        <v>83</v>
      </c>
    </row>
    <row r="1274" spans="1:15" x14ac:dyDescent="0.25">
      <c r="A1274" s="38">
        <v>45716</v>
      </c>
      <c r="B1274" s="1">
        <v>619132079</v>
      </c>
      <c r="C1274" t="s">
        <v>1221</v>
      </c>
      <c r="D1274" s="23">
        <v>-7710</v>
      </c>
      <c r="E1274" t="s">
        <v>35</v>
      </c>
      <c r="F1274" s="2">
        <v>212901001</v>
      </c>
      <c r="G1274" s="2" t="s">
        <v>91</v>
      </c>
      <c r="I1274" s="95" t="s">
        <v>7231</v>
      </c>
      <c r="J1274" t="s">
        <v>61</v>
      </c>
      <c r="K1274" t="s">
        <v>62</v>
      </c>
      <c r="M1274">
        <v>64.25</v>
      </c>
      <c r="N1274" s="4">
        <f t="shared" si="19"/>
        <v>-120</v>
      </c>
      <c r="O1274" t="s">
        <v>83</v>
      </c>
    </row>
    <row r="1275" spans="1:15" x14ac:dyDescent="0.25">
      <c r="A1275" s="38">
        <v>45716</v>
      </c>
      <c r="B1275" s="1">
        <v>619132083</v>
      </c>
      <c r="C1275" t="s">
        <v>1222</v>
      </c>
      <c r="D1275" s="23">
        <v>-7067.5</v>
      </c>
      <c r="E1275" t="s">
        <v>35</v>
      </c>
      <c r="F1275" s="2">
        <v>212901001</v>
      </c>
      <c r="G1275" s="2" t="s">
        <v>91</v>
      </c>
      <c r="I1275" s="95" t="s">
        <v>7231</v>
      </c>
      <c r="J1275" t="s">
        <v>61</v>
      </c>
      <c r="K1275" t="s">
        <v>62</v>
      </c>
      <c r="M1275">
        <v>64.25</v>
      </c>
      <c r="N1275" s="4">
        <f t="shared" si="19"/>
        <v>-110</v>
      </c>
      <c r="O1275" t="s">
        <v>83</v>
      </c>
    </row>
    <row r="1276" spans="1:15" x14ac:dyDescent="0.25">
      <c r="A1276" s="38">
        <v>45716</v>
      </c>
      <c r="B1276" s="1">
        <v>619132082</v>
      </c>
      <c r="C1276" t="s">
        <v>1223</v>
      </c>
      <c r="D1276" s="23">
        <v>-7067.5</v>
      </c>
      <c r="E1276" t="s">
        <v>35</v>
      </c>
      <c r="F1276" s="2">
        <v>212901001</v>
      </c>
      <c r="G1276" s="2" t="s">
        <v>91</v>
      </c>
      <c r="I1276" s="95" t="s">
        <v>7231</v>
      </c>
      <c r="J1276" t="s">
        <v>61</v>
      </c>
      <c r="K1276" t="s">
        <v>62</v>
      </c>
      <c r="M1276">
        <v>64.25</v>
      </c>
      <c r="N1276" s="4">
        <f t="shared" si="19"/>
        <v>-110</v>
      </c>
      <c r="O1276" t="s">
        <v>83</v>
      </c>
    </row>
    <row r="1277" spans="1:15" x14ac:dyDescent="0.25">
      <c r="A1277" s="38">
        <v>45716</v>
      </c>
      <c r="B1277" s="1">
        <v>619132085</v>
      </c>
      <c r="C1277" t="s">
        <v>1224</v>
      </c>
      <c r="D1277" s="23">
        <v>-5782.5</v>
      </c>
      <c r="E1277" t="s">
        <v>35</v>
      </c>
      <c r="F1277" s="2">
        <v>212901001</v>
      </c>
      <c r="G1277" s="2" t="s">
        <v>91</v>
      </c>
      <c r="I1277" s="95" t="s">
        <v>7231</v>
      </c>
      <c r="J1277" t="s">
        <v>61</v>
      </c>
      <c r="K1277" t="s">
        <v>62</v>
      </c>
      <c r="M1277">
        <v>64.25</v>
      </c>
      <c r="N1277" s="4">
        <f t="shared" si="19"/>
        <v>-90</v>
      </c>
      <c r="O1277" t="s">
        <v>83</v>
      </c>
    </row>
    <row r="1278" spans="1:15" x14ac:dyDescent="0.25">
      <c r="A1278" s="38">
        <v>45716</v>
      </c>
      <c r="B1278" s="1">
        <v>619132086</v>
      </c>
      <c r="C1278" t="s">
        <v>1225</v>
      </c>
      <c r="D1278" s="23">
        <v>-5782.5</v>
      </c>
      <c r="E1278" t="s">
        <v>35</v>
      </c>
      <c r="F1278" s="2">
        <v>212901001</v>
      </c>
      <c r="G1278" s="2" t="s">
        <v>91</v>
      </c>
      <c r="I1278" s="95" t="s">
        <v>7231</v>
      </c>
      <c r="J1278" t="s">
        <v>61</v>
      </c>
      <c r="K1278" t="s">
        <v>62</v>
      </c>
      <c r="M1278">
        <v>64.25</v>
      </c>
      <c r="N1278" s="4">
        <f t="shared" si="19"/>
        <v>-90</v>
      </c>
      <c r="O1278" t="s">
        <v>83</v>
      </c>
    </row>
    <row r="1279" spans="1:15" x14ac:dyDescent="0.25">
      <c r="A1279" s="38">
        <v>45716</v>
      </c>
      <c r="B1279" s="1">
        <v>619132084</v>
      </c>
      <c r="C1279" t="s">
        <v>1226</v>
      </c>
      <c r="D1279" s="23">
        <v>-7067.5</v>
      </c>
      <c r="E1279" t="s">
        <v>35</v>
      </c>
      <c r="F1279" s="2">
        <v>212901001</v>
      </c>
      <c r="G1279" s="2" t="s">
        <v>91</v>
      </c>
      <c r="I1279" s="95" t="s">
        <v>7231</v>
      </c>
      <c r="J1279" t="s">
        <v>61</v>
      </c>
      <c r="K1279" t="s">
        <v>62</v>
      </c>
      <c r="M1279">
        <v>64.25</v>
      </c>
      <c r="N1279" s="4">
        <f t="shared" si="19"/>
        <v>-110</v>
      </c>
      <c r="O1279" t="s">
        <v>83</v>
      </c>
    </row>
    <row r="1280" spans="1:15" x14ac:dyDescent="0.25">
      <c r="A1280" s="38">
        <v>45716</v>
      </c>
      <c r="B1280" s="1">
        <v>619132087</v>
      </c>
      <c r="C1280" t="s">
        <v>1227</v>
      </c>
      <c r="D1280" s="23">
        <v>-5782.5</v>
      </c>
      <c r="E1280" t="s">
        <v>35</v>
      </c>
      <c r="F1280" s="2">
        <v>212901001</v>
      </c>
      <c r="G1280" s="2" t="s">
        <v>91</v>
      </c>
      <c r="I1280" s="95" t="s">
        <v>7231</v>
      </c>
      <c r="J1280" t="s">
        <v>61</v>
      </c>
      <c r="K1280" t="s">
        <v>62</v>
      </c>
      <c r="M1280">
        <v>64.25</v>
      </c>
      <c r="N1280" s="4">
        <f t="shared" si="19"/>
        <v>-90</v>
      </c>
      <c r="O1280" t="s">
        <v>83</v>
      </c>
    </row>
    <row r="1281" spans="1:15" x14ac:dyDescent="0.25">
      <c r="A1281" s="38">
        <v>45716</v>
      </c>
      <c r="B1281" s="1">
        <v>719132089</v>
      </c>
      <c r="C1281" t="s">
        <v>1228</v>
      </c>
      <c r="D1281" s="23">
        <v>-5782.5</v>
      </c>
      <c r="E1281" t="s">
        <v>35</v>
      </c>
      <c r="F1281" s="2">
        <v>212901001</v>
      </c>
      <c r="G1281" s="2" t="s">
        <v>91</v>
      </c>
      <c r="I1281" s="95" t="s">
        <v>7231</v>
      </c>
      <c r="J1281" t="s">
        <v>61</v>
      </c>
      <c r="K1281" t="s">
        <v>62</v>
      </c>
      <c r="M1281">
        <v>64.25</v>
      </c>
      <c r="N1281" s="4">
        <f t="shared" si="19"/>
        <v>-90</v>
      </c>
      <c r="O1281" t="s">
        <v>83</v>
      </c>
    </row>
    <row r="1282" spans="1:15" x14ac:dyDescent="0.25">
      <c r="A1282" s="38">
        <v>45716</v>
      </c>
      <c r="B1282" s="1">
        <v>719132090</v>
      </c>
      <c r="C1282" t="s">
        <v>1229</v>
      </c>
      <c r="D1282" s="23">
        <v>-5782.5</v>
      </c>
      <c r="E1282" t="s">
        <v>35</v>
      </c>
      <c r="F1282" s="2">
        <v>212901001</v>
      </c>
      <c r="G1282" s="2" t="s">
        <v>91</v>
      </c>
      <c r="I1282" s="95" t="s">
        <v>7231</v>
      </c>
      <c r="J1282" t="s">
        <v>61</v>
      </c>
      <c r="K1282" t="s">
        <v>62</v>
      </c>
      <c r="M1282">
        <v>64.25</v>
      </c>
      <c r="N1282" s="4">
        <f t="shared" si="19"/>
        <v>-90</v>
      </c>
      <c r="O1282" t="s">
        <v>83</v>
      </c>
    </row>
    <row r="1283" spans="1:15" x14ac:dyDescent="0.25">
      <c r="A1283" s="38">
        <v>45716</v>
      </c>
      <c r="B1283" s="1">
        <v>719132088</v>
      </c>
      <c r="C1283" t="s">
        <v>1230</v>
      </c>
      <c r="D1283" s="23">
        <v>-5782.5</v>
      </c>
      <c r="E1283" t="s">
        <v>35</v>
      </c>
      <c r="F1283" s="2">
        <v>212901001</v>
      </c>
      <c r="G1283" s="2" t="s">
        <v>91</v>
      </c>
      <c r="I1283" s="95" t="s">
        <v>7231</v>
      </c>
      <c r="J1283" t="s">
        <v>61</v>
      </c>
      <c r="K1283" t="s">
        <v>62</v>
      </c>
      <c r="M1283">
        <v>64.25</v>
      </c>
      <c r="N1283" s="4">
        <f t="shared" si="19"/>
        <v>-90</v>
      </c>
      <c r="O1283" t="s">
        <v>83</v>
      </c>
    </row>
    <row r="1284" spans="1:15" x14ac:dyDescent="0.25">
      <c r="A1284" s="38">
        <v>45716</v>
      </c>
      <c r="B1284" s="1">
        <v>719132092</v>
      </c>
      <c r="C1284" t="s">
        <v>1225</v>
      </c>
      <c r="D1284" s="23">
        <v>-5782.5</v>
      </c>
      <c r="E1284" t="s">
        <v>35</v>
      </c>
      <c r="F1284" s="2">
        <v>212901001</v>
      </c>
      <c r="G1284" s="2" t="s">
        <v>91</v>
      </c>
      <c r="I1284" s="95" t="s">
        <v>7231</v>
      </c>
      <c r="J1284" t="s">
        <v>61</v>
      </c>
      <c r="K1284" t="s">
        <v>62</v>
      </c>
      <c r="M1284">
        <v>64.25</v>
      </c>
      <c r="N1284" s="4">
        <f t="shared" si="19"/>
        <v>-90</v>
      </c>
      <c r="O1284" t="s">
        <v>83</v>
      </c>
    </row>
    <row r="1285" spans="1:15" x14ac:dyDescent="0.25">
      <c r="A1285" s="38">
        <v>45716</v>
      </c>
      <c r="B1285" s="1">
        <v>719132096</v>
      </c>
      <c r="C1285" t="s">
        <v>1231</v>
      </c>
      <c r="D1285" s="23">
        <v>-5782.5</v>
      </c>
      <c r="E1285" t="s">
        <v>35</v>
      </c>
      <c r="F1285" s="2">
        <v>212901001</v>
      </c>
      <c r="G1285" s="2" t="s">
        <v>91</v>
      </c>
      <c r="I1285" s="95" t="s">
        <v>7231</v>
      </c>
      <c r="J1285" t="s">
        <v>61</v>
      </c>
      <c r="K1285" t="s">
        <v>62</v>
      </c>
      <c r="M1285">
        <v>64.25</v>
      </c>
      <c r="N1285" s="4">
        <f t="shared" si="19"/>
        <v>-90</v>
      </c>
      <c r="O1285" t="s">
        <v>83</v>
      </c>
    </row>
    <row r="1286" spans="1:15" x14ac:dyDescent="0.25">
      <c r="A1286" s="38">
        <v>45716</v>
      </c>
      <c r="B1286" s="1">
        <v>719132093</v>
      </c>
      <c r="C1286" t="s">
        <v>1232</v>
      </c>
      <c r="D1286" s="23">
        <v>-5782.5</v>
      </c>
      <c r="E1286" t="s">
        <v>35</v>
      </c>
      <c r="F1286" s="2">
        <v>212901001</v>
      </c>
      <c r="G1286" s="2" t="s">
        <v>91</v>
      </c>
      <c r="I1286" s="95" t="s">
        <v>7231</v>
      </c>
      <c r="J1286" t="s">
        <v>61</v>
      </c>
      <c r="K1286" t="s">
        <v>62</v>
      </c>
      <c r="M1286">
        <v>64.25</v>
      </c>
      <c r="N1286" s="4">
        <f t="shared" si="19"/>
        <v>-90</v>
      </c>
      <c r="O1286" t="s">
        <v>83</v>
      </c>
    </row>
    <row r="1287" spans="1:15" x14ac:dyDescent="0.25">
      <c r="A1287" s="38">
        <v>45716</v>
      </c>
      <c r="B1287" s="1">
        <v>719132094</v>
      </c>
      <c r="C1287" t="s">
        <v>1233</v>
      </c>
      <c r="D1287" s="23">
        <v>-5782.5</v>
      </c>
      <c r="E1287" t="s">
        <v>35</v>
      </c>
      <c r="F1287" s="2">
        <v>212901001</v>
      </c>
      <c r="G1287" s="2" t="s">
        <v>91</v>
      </c>
      <c r="I1287" s="95" t="s">
        <v>7231</v>
      </c>
      <c r="J1287" t="s">
        <v>61</v>
      </c>
      <c r="K1287" t="s">
        <v>62</v>
      </c>
      <c r="M1287">
        <v>64.25</v>
      </c>
      <c r="N1287" s="4">
        <f t="shared" si="19"/>
        <v>-90</v>
      </c>
      <c r="O1287" t="s">
        <v>83</v>
      </c>
    </row>
    <row r="1288" spans="1:15" x14ac:dyDescent="0.25">
      <c r="A1288" s="38">
        <v>45716</v>
      </c>
      <c r="B1288" s="1">
        <v>719132095</v>
      </c>
      <c r="C1288" t="s">
        <v>1234</v>
      </c>
      <c r="D1288" s="23">
        <v>-5268.5</v>
      </c>
      <c r="E1288" t="s">
        <v>35</v>
      </c>
      <c r="F1288" s="2">
        <v>212901001</v>
      </c>
      <c r="G1288" s="2" t="s">
        <v>91</v>
      </c>
      <c r="I1288" s="95" t="s">
        <v>7231</v>
      </c>
      <c r="J1288" t="s">
        <v>61</v>
      </c>
      <c r="K1288" t="s">
        <v>62</v>
      </c>
      <c r="M1288">
        <v>64.25</v>
      </c>
      <c r="N1288" s="4">
        <f t="shared" si="19"/>
        <v>-82</v>
      </c>
      <c r="O1288" t="s">
        <v>83</v>
      </c>
    </row>
    <row r="1289" spans="1:15" x14ac:dyDescent="0.25">
      <c r="A1289" s="38">
        <v>45716</v>
      </c>
      <c r="B1289" s="1">
        <v>819132099</v>
      </c>
      <c r="C1289" t="s">
        <v>1235</v>
      </c>
      <c r="D1289" s="23">
        <v>-5782.5</v>
      </c>
      <c r="E1289" t="s">
        <v>35</v>
      </c>
      <c r="F1289" s="2">
        <v>212901001</v>
      </c>
      <c r="G1289" s="2" t="s">
        <v>91</v>
      </c>
      <c r="I1289" s="95" t="s">
        <v>7231</v>
      </c>
      <c r="J1289" t="s">
        <v>61</v>
      </c>
      <c r="K1289" t="s">
        <v>62</v>
      </c>
      <c r="M1289">
        <v>64.25</v>
      </c>
      <c r="N1289" s="4">
        <f t="shared" si="19"/>
        <v>-90</v>
      </c>
      <c r="O1289" t="s">
        <v>83</v>
      </c>
    </row>
    <row r="1290" spans="1:15" x14ac:dyDescent="0.25">
      <c r="A1290" s="38">
        <v>45716</v>
      </c>
      <c r="B1290" s="1">
        <v>719132091</v>
      </c>
      <c r="C1290" t="s">
        <v>1236</v>
      </c>
      <c r="D1290" s="23">
        <v>-5782.5</v>
      </c>
      <c r="E1290" t="s">
        <v>35</v>
      </c>
      <c r="F1290" s="2">
        <v>212901001</v>
      </c>
      <c r="G1290" s="2" t="s">
        <v>91</v>
      </c>
      <c r="I1290" s="95" t="s">
        <v>7231</v>
      </c>
      <c r="J1290" t="s">
        <v>61</v>
      </c>
      <c r="K1290" t="s">
        <v>62</v>
      </c>
      <c r="M1290">
        <v>64.25</v>
      </c>
      <c r="N1290" s="4">
        <f t="shared" si="19"/>
        <v>-90</v>
      </c>
      <c r="O1290" t="s">
        <v>83</v>
      </c>
    </row>
    <row r="1291" spans="1:15" x14ac:dyDescent="0.25">
      <c r="A1291" s="38">
        <v>45716</v>
      </c>
      <c r="B1291" s="1">
        <v>819132101</v>
      </c>
      <c r="C1291" t="s">
        <v>1237</v>
      </c>
      <c r="D1291" s="23">
        <v>-3855</v>
      </c>
      <c r="E1291" t="s">
        <v>35</v>
      </c>
      <c r="F1291" s="2">
        <v>212901001</v>
      </c>
      <c r="G1291" s="2" t="s">
        <v>91</v>
      </c>
      <c r="I1291" s="95" t="s">
        <v>7231</v>
      </c>
      <c r="J1291" t="s">
        <v>61</v>
      </c>
      <c r="K1291" t="s">
        <v>62</v>
      </c>
      <c r="M1291">
        <v>64.25</v>
      </c>
      <c r="N1291" s="4">
        <f t="shared" si="19"/>
        <v>-60</v>
      </c>
      <c r="O1291" t="s">
        <v>83</v>
      </c>
    </row>
    <row r="1292" spans="1:15" x14ac:dyDescent="0.25">
      <c r="A1292" s="38">
        <v>45716</v>
      </c>
      <c r="B1292" s="1">
        <v>819132104</v>
      </c>
      <c r="C1292" t="s">
        <v>1238</v>
      </c>
      <c r="D1292" s="23">
        <v>-3855</v>
      </c>
      <c r="E1292" t="s">
        <v>35</v>
      </c>
      <c r="F1292" s="2">
        <v>212901001</v>
      </c>
      <c r="G1292" s="2" t="s">
        <v>91</v>
      </c>
      <c r="I1292" s="95" t="s">
        <v>7231</v>
      </c>
      <c r="J1292" t="s">
        <v>61</v>
      </c>
      <c r="K1292" t="s">
        <v>62</v>
      </c>
      <c r="M1292">
        <v>64.25</v>
      </c>
      <c r="N1292" s="4">
        <f t="shared" ref="N1292:N1355" si="20">D1292/M1292</f>
        <v>-60</v>
      </c>
      <c r="O1292" t="s">
        <v>83</v>
      </c>
    </row>
    <row r="1293" spans="1:15" x14ac:dyDescent="0.25">
      <c r="A1293" s="38">
        <v>45716</v>
      </c>
      <c r="B1293" s="1">
        <v>819132100</v>
      </c>
      <c r="C1293" t="s">
        <v>1239</v>
      </c>
      <c r="D1293" s="23">
        <v>-5782.5</v>
      </c>
      <c r="E1293" t="s">
        <v>35</v>
      </c>
      <c r="F1293" s="2">
        <v>212901001</v>
      </c>
      <c r="G1293" s="2" t="s">
        <v>91</v>
      </c>
      <c r="I1293" s="95" t="s">
        <v>7231</v>
      </c>
      <c r="J1293" t="s">
        <v>61</v>
      </c>
      <c r="K1293" t="s">
        <v>62</v>
      </c>
      <c r="M1293">
        <v>64.25</v>
      </c>
      <c r="N1293" s="4">
        <f t="shared" si="20"/>
        <v>-90</v>
      </c>
      <c r="O1293" t="s">
        <v>83</v>
      </c>
    </row>
    <row r="1294" spans="1:15" x14ac:dyDescent="0.25">
      <c r="A1294" s="38">
        <v>45716</v>
      </c>
      <c r="B1294" s="1">
        <v>819132109</v>
      </c>
      <c r="C1294" t="s">
        <v>1240</v>
      </c>
      <c r="D1294" s="23">
        <v>-7581.5</v>
      </c>
      <c r="E1294" t="s">
        <v>35</v>
      </c>
      <c r="F1294" s="2">
        <v>212901001</v>
      </c>
      <c r="G1294" s="2" t="s">
        <v>91</v>
      </c>
      <c r="I1294" s="95" t="s">
        <v>7231</v>
      </c>
      <c r="J1294" t="s">
        <v>61</v>
      </c>
      <c r="K1294" t="s">
        <v>62</v>
      </c>
      <c r="M1294">
        <v>64.25</v>
      </c>
      <c r="N1294" s="4">
        <f t="shared" si="20"/>
        <v>-118</v>
      </c>
      <c r="O1294" t="s">
        <v>83</v>
      </c>
    </row>
    <row r="1295" spans="1:15" x14ac:dyDescent="0.25">
      <c r="A1295" s="38">
        <v>45716</v>
      </c>
      <c r="B1295" s="1">
        <v>819132108</v>
      </c>
      <c r="C1295" t="s">
        <v>1241</v>
      </c>
      <c r="D1295" s="23">
        <v>-12850</v>
      </c>
      <c r="E1295" t="s">
        <v>35</v>
      </c>
      <c r="F1295" s="2">
        <v>212901001</v>
      </c>
      <c r="G1295" s="2" t="s">
        <v>91</v>
      </c>
      <c r="I1295" s="95" t="s">
        <v>7231</v>
      </c>
      <c r="J1295" t="s">
        <v>61</v>
      </c>
      <c r="K1295" t="s">
        <v>62</v>
      </c>
      <c r="M1295">
        <v>64.25</v>
      </c>
      <c r="N1295" s="4">
        <f t="shared" si="20"/>
        <v>-200</v>
      </c>
      <c r="O1295" t="s">
        <v>83</v>
      </c>
    </row>
    <row r="1296" spans="1:15" x14ac:dyDescent="0.25">
      <c r="A1296" s="38">
        <v>45716</v>
      </c>
      <c r="B1296" s="1">
        <v>819132107</v>
      </c>
      <c r="C1296" t="s">
        <v>1242</v>
      </c>
      <c r="D1296" s="23">
        <v>-6425</v>
      </c>
      <c r="E1296" t="s">
        <v>35</v>
      </c>
      <c r="F1296" s="2">
        <v>212901001</v>
      </c>
      <c r="G1296" s="2" t="s">
        <v>91</v>
      </c>
      <c r="I1296" s="95" t="s">
        <v>7231</v>
      </c>
      <c r="J1296" t="s">
        <v>61</v>
      </c>
      <c r="K1296" t="s">
        <v>62</v>
      </c>
      <c r="M1296">
        <v>64.25</v>
      </c>
      <c r="N1296" s="4">
        <f t="shared" si="20"/>
        <v>-100</v>
      </c>
      <c r="O1296" t="s">
        <v>83</v>
      </c>
    </row>
    <row r="1297" spans="1:17" x14ac:dyDescent="0.25">
      <c r="A1297" s="38">
        <v>45716</v>
      </c>
      <c r="B1297" s="1">
        <v>919132111</v>
      </c>
      <c r="C1297" t="s">
        <v>1243</v>
      </c>
      <c r="D1297" s="23">
        <v>-5140</v>
      </c>
      <c r="E1297" t="s">
        <v>35</v>
      </c>
      <c r="F1297" s="2">
        <v>212901001</v>
      </c>
      <c r="G1297" s="2" t="s">
        <v>91</v>
      </c>
      <c r="I1297" s="95" t="s">
        <v>7231</v>
      </c>
      <c r="J1297" t="s">
        <v>61</v>
      </c>
      <c r="K1297" t="s">
        <v>62</v>
      </c>
      <c r="M1297">
        <v>64.25</v>
      </c>
      <c r="N1297" s="4">
        <f t="shared" si="20"/>
        <v>-80</v>
      </c>
      <c r="O1297" t="s">
        <v>83</v>
      </c>
    </row>
    <row r="1298" spans="1:17" x14ac:dyDescent="0.25">
      <c r="A1298" s="38">
        <v>45716</v>
      </c>
      <c r="B1298" s="1">
        <v>819132105</v>
      </c>
      <c r="C1298" t="s">
        <v>1244</v>
      </c>
      <c r="D1298" s="23">
        <v>-3855</v>
      </c>
      <c r="E1298" t="s">
        <v>35</v>
      </c>
      <c r="F1298" s="2">
        <v>212901001</v>
      </c>
      <c r="G1298" s="2" t="s">
        <v>91</v>
      </c>
      <c r="I1298" s="95" t="s">
        <v>7231</v>
      </c>
      <c r="J1298" t="s">
        <v>61</v>
      </c>
      <c r="K1298" t="s">
        <v>62</v>
      </c>
      <c r="M1298">
        <v>64.25</v>
      </c>
      <c r="N1298" s="4">
        <f t="shared" si="20"/>
        <v>-60</v>
      </c>
      <c r="O1298" t="s">
        <v>83</v>
      </c>
    </row>
    <row r="1299" spans="1:17" x14ac:dyDescent="0.25">
      <c r="A1299" s="38">
        <v>45716</v>
      </c>
      <c r="B1299" s="1">
        <v>719132098</v>
      </c>
      <c r="C1299" t="s">
        <v>1245</v>
      </c>
      <c r="D1299" s="23">
        <v>-5782.5</v>
      </c>
      <c r="E1299" t="s">
        <v>35</v>
      </c>
      <c r="F1299" s="2">
        <v>212901001</v>
      </c>
      <c r="G1299" s="2" t="s">
        <v>91</v>
      </c>
      <c r="I1299" s="95" t="s">
        <v>7231</v>
      </c>
      <c r="J1299" t="s">
        <v>61</v>
      </c>
      <c r="K1299" t="s">
        <v>62</v>
      </c>
      <c r="M1299">
        <v>64.25</v>
      </c>
      <c r="N1299" s="4">
        <f t="shared" si="20"/>
        <v>-90</v>
      </c>
      <c r="O1299" t="s">
        <v>83</v>
      </c>
    </row>
    <row r="1300" spans="1:17" x14ac:dyDescent="0.25">
      <c r="A1300" s="38">
        <v>45716</v>
      </c>
      <c r="B1300" s="1">
        <v>819132106</v>
      </c>
      <c r="C1300" t="s">
        <v>1246</v>
      </c>
      <c r="D1300" s="23">
        <v>-3855</v>
      </c>
      <c r="E1300" t="s">
        <v>35</v>
      </c>
      <c r="F1300" s="2">
        <v>212901001</v>
      </c>
      <c r="G1300" s="2" t="s">
        <v>91</v>
      </c>
      <c r="I1300" s="95" t="s">
        <v>7231</v>
      </c>
      <c r="J1300" t="s">
        <v>61</v>
      </c>
      <c r="K1300" t="s">
        <v>62</v>
      </c>
      <c r="M1300">
        <v>64.25</v>
      </c>
      <c r="N1300" s="4">
        <f t="shared" si="20"/>
        <v>-60</v>
      </c>
      <c r="O1300" t="s">
        <v>83</v>
      </c>
    </row>
    <row r="1301" spans="1:17" x14ac:dyDescent="0.25">
      <c r="A1301" s="38">
        <v>45716</v>
      </c>
      <c r="B1301" s="1">
        <v>819132110</v>
      </c>
      <c r="C1301" t="s">
        <v>1247</v>
      </c>
      <c r="D1301" s="23">
        <v>-4497.5</v>
      </c>
      <c r="E1301" t="s">
        <v>35</v>
      </c>
      <c r="F1301" s="2">
        <v>212901001</v>
      </c>
      <c r="G1301" s="2" t="s">
        <v>91</v>
      </c>
      <c r="I1301" s="95" t="s">
        <v>7231</v>
      </c>
      <c r="J1301" t="s">
        <v>61</v>
      </c>
      <c r="K1301" t="s">
        <v>62</v>
      </c>
      <c r="M1301">
        <v>64.25</v>
      </c>
      <c r="N1301" s="4">
        <f t="shared" si="20"/>
        <v>-70</v>
      </c>
      <c r="O1301" t="s">
        <v>83</v>
      </c>
    </row>
    <row r="1302" spans="1:17" x14ac:dyDescent="0.25">
      <c r="A1302" s="38">
        <v>45716</v>
      </c>
      <c r="B1302" s="1">
        <v>50213878</v>
      </c>
      <c r="C1302" t="s">
        <v>1248</v>
      </c>
      <c r="D1302" s="23">
        <v>-11565</v>
      </c>
      <c r="E1302" t="s">
        <v>35</v>
      </c>
      <c r="F1302" s="2">
        <v>212901001</v>
      </c>
      <c r="G1302" s="2" t="s">
        <v>91</v>
      </c>
      <c r="I1302" s="95" t="s">
        <v>7231</v>
      </c>
      <c r="J1302" t="s">
        <v>61</v>
      </c>
      <c r="K1302" t="s">
        <v>62</v>
      </c>
      <c r="M1302">
        <v>64.25</v>
      </c>
      <c r="N1302" s="4">
        <f t="shared" si="20"/>
        <v>-180</v>
      </c>
      <c r="O1302" t="s">
        <v>83</v>
      </c>
    </row>
    <row r="1303" spans="1:17" x14ac:dyDescent="0.25">
      <c r="A1303" s="38">
        <v>45716</v>
      </c>
      <c r="B1303" s="1">
        <v>50213878</v>
      </c>
      <c r="C1303" t="s">
        <v>179</v>
      </c>
      <c r="D1303" s="23">
        <v>-17.34</v>
      </c>
      <c r="E1303" t="s">
        <v>35</v>
      </c>
      <c r="F1303" s="2">
        <v>610148001</v>
      </c>
      <c r="G1303" s="2" t="s">
        <v>41</v>
      </c>
      <c r="I1303" s="95" t="s">
        <v>7231</v>
      </c>
      <c r="J1303" t="s">
        <v>42</v>
      </c>
      <c r="K1303" t="s">
        <v>41</v>
      </c>
      <c r="M1303">
        <v>64.25</v>
      </c>
      <c r="N1303" s="4">
        <f t="shared" si="20"/>
        <v>-0.26988326848249028</v>
      </c>
      <c r="O1303" t="s">
        <v>83</v>
      </c>
      <c r="Q1303" s="24" t="s">
        <v>677</v>
      </c>
    </row>
    <row r="1304" spans="1:17" x14ac:dyDescent="0.25">
      <c r="A1304" s="38">
        <v>45716</v>
      </c>
      <c r="B1304" s="1">
        <v>50213878</v>
      </c>
      <c r="C1304" t="s">
        <v>89</v>
      </c>
      <c r="D1304" s="23">
        <v>-1146.7</v>
      </c>
      <c r="E1304" t="s">
        <v>35</v>
      </c>
      <c r="F1304" s="2">
        <v>610148001</v>
      </c>
      <c r="G1304" s="2" t="s">
        <v>41</v>
      </c>
      <c r="I1304" s="95" t="s">
        <v>7231</v>
      </c>
      <c r="J1304" t="s">
        <v>42</v>
      </c>
      <c r="K1304" t="s">
        <v>41</v>
      </c>
      <c r="M1304">
        <v>64.25</v>
      </c>
      <c r="N1304" s="4">
        <f t="shared" si="20"/>
        <v>-17.847470817120623</v>
      </c>
      <c r="O1304" t="s">
        <v>83</v>
      </c>
      <c r="Q1304" s="24" t="s">
        <v>677</v>
      </c>
    </row>
    <row r="1305" spans="1:17" x14ac:dyDescent="0.25">
      <c r="A1305" s="38">
        <v>45716</v>
      </c>
      <c r="B1305" s="1">
        <v>0</v>
      </c>
      <c r="C1305" t="s">
        <v>602</v>
      </c>
      <c r="D1305" s="23">
        <v>-0.5</v>
      </c>
      <c r="E1305" t="s">
        <v>35</v>
      </c>
      <c r="F1305" s="2">
        <v>610148001</v>
      </c>
      <c r="G1305" s="2" t="s">
        <v>41</v>
      </c>
      <c r="I1305" s="95" t="s">
        <v>7231</v>
      </c>
      <c r="J1305" t="s">
        <v>42</v>
      </c>
      <c r="K1305" t="s">
        <v>41</v>
      </c>
      <c r="M1305">
        <v>64.25</v>
      </c>
      <c r="N1305" s="4">
        <f t="shared" si="20"/>
        <v>-7.7821011673151752E-3</v>
      </c>
      <c r="O1305" t="s">
        <v>83</v>
      </c>
      <c r="Q1305" s="24" t="s">
        <v>677</v>
      </c>
    </row>
    <row r="1306" spans="1:17" x14ac:dyDescent="0.25">
      <c r="A1306" s="38">
        <v>45716</v>
      </c>
      <c r="B1306" s="1">
        <v>0</v>
      </c>
      <c r="C1306" t="s">
        <v>603</v>
      </c>
      <c r="D1306" s="23">
        <v>-0.5</v>
      </c>
      <c r="E1306" t="s">
        <v>35</v>
      </c>
      <c r="F1306" s="2">
        <v>610148001</v>
      </c>
      <c r="G1306" s="2" t="s">
        <v>41</v>
      </c>
      <c r="I1306" s="95" t="s">
        <v>7231</v>
      </c>
      <c r="J1306" t="s">
        <v>42</v>
      </c>
      <c r="K1306" t="s">
        <v>41</v>
      </c>
      <c r="M1306">
        <v>64.25</v>
      </c>
      <c r="N1306" s="4">
        <f t="shared" si="20"/>
        <v>-7.7821011673151752E-3</v>
      </c>
      <c r="O1306" t="s">
        <v>83</v>
      </c>
      <c r="Q1306" s="24" t="s">
        <v>677</v>
      </c>
    </row>
    <row r="1307" spans="1:17" x14ac:dyDescent="0.25">
      <c r="A1307" s="43">
        <v>45689</v>
      </c>
      <c r="B1307" s="1" t="s">
        <v>1249</v>
      </c>
      <c r="C1307" t="s">
        <v>1250</v>
      </c>
      <c r="D1307" s="44">
        <v>-0.5</v>
      </c>
      <c r="E1307" s="23" t="s">
        <v>35</v>
      </c>
      <c r="F1307" s="2">
        <v>610148001</v>
      </c>
      <c r="G1307" s="2" t="s">
        <v>41</v>
      </c>
      <c r="I1307" s="95" t="s">
        <v>7231</v>
      </c>
      <c r="J1307" t="s">
        <v>42</v>
      </c>
      <c r="K1307" t="s">
        <v>41</v>
      </c>
      <c r="M1307">
        <v>58.44</v>
      </c>
      <c r="N1307" s="4">
        <f t="shared" si="20"/>
        <v>-8.5557837097878162E-3</v>
      </c>
      <c r="O1307" t="s">
        <v>605</v>
      </c>
      <c r="Q1307" s="24" t="s">
        <v>677</v>
      </c>
    </row>
    <row r="1308" spans="1:17" x14ac:dyDescent="0.25">
      <c r="A1308" s="43">
        <v>45692</v>
      </c>
      <c r="B1308" s="1" t="s">
        <v>1251</v>
      </c>
      <c r="C1308" t="s">
        <v>293</v>
      </c>
      <c r="D1308" s="44">
        <v>4200000</v>
      </c>
      <c r="E1308" s="23" t="s">
        <v>45</v>
      </c>
      <c r="F1308" s="2">
        <v>210115002</v>
      </c>
      <c r="G1308" s="2" t="s">
        <v>46</v>
      </c>
      <c r="I1308" s="95" t="s">
        <v>7231</v>
      </c>
      <c r="K1308" t="s">
        <v>293</v>
      </c>
      <c r="M1308">
        <v>58.54</v>
      </c>
      <c r="N1308" s="4">
        <f t="shared" si="20"/>
        <v>71745.814827468392</v>
      </c>
      <c r="O1308" t="s">
        <v>605</v>
      </c>
    </row>
    <row r="1309" spans="1:17" x14ac:dyDescent="0.25">
      <c r="A1309" s="43">
        <v>45692</v>
      </c>
      <c r="B1309" s="1" t="s">
        <v>1252</v>
      </c>
      <c r="C1309" t="s">
        <v>1253</v>
      </c>
      <c r="D1309" s="44">
        <v>-9808.52</v>
      </c>
      <c r="E1309" s="23" t="s">
        <v>35</v>
      </c>
      <c r="F1309" s="2">
        <v>213401001</v>
      </c>
      <c r="G1309" s="2" t="s">
        <v>94</v>
      </c>
      <c r="I1309" s="95" t="s">
        <v>7231</v>
      </c>
      <c r="J1309" t="s">
        <v>95</v>
      </c>
      <c r="K1309" t="s">
        <v>96</v>
      </c>
      <c r="M1309">
        <v>58.54</v>
      </c>
      <c r="N1309" s="4">
        <f t="shared" si="20"/>
        <v>-167.55244277417151</v>
      </c>
      <c r="O1309" t="s">
        <v>605</v>
      </c>
      <c r="Q1309" s="24" t="s">
        <v>1254</v>
      </c>
    </row>
    <row r="1310" spans="1:17" x14ac:dyDescent="0.25">
      <c r="A1310" s="43">
        <v>45692</v>
      </c>
      <c r="B1310" s="1" t="s">
        <v>617</v>
      </c>
      <c r="C1310" t="s">
        <v>924</v>
      </c>
      <c r="D1310" s="44">
        <v>-57193.58</v>
      </c>
      <c r="E1310" s="23" t="s">
        <v>35</v>
      </c>
      <c r="F1310" s="2">
        <v>210101001</v>
      </c>
      <c r="G1310" s="2" t="s">
        <v>36</v>
      </c>
      <c r="I1310" s="95" t="s">
        <v>7231</v>
      </c>
      <c r="J1310" t="s">
        <v>37</v>
      </c>
      <c r="K1310" t="s">
        <v>38</v>
      </c>
      <c r="M1310">
        <v>58.54</v>
      </c>
      <c r="N1310" s="4">
        <f t="shared" si="20"/>
        <v>-977</v>
      </c>
      <c r="O1310" t="s">
        <v>605</v>
      </c>
    </row>
    <row r="1311" spans="1:17" x14ac:dyDescent="0.25">
      <c r="A1311" s="43">
        <v>45692</v>
      </c>
      <c r="B1311" s="1" t="s">
        <v>613</v>
      </c>
      <c r="C1311" t="s">
        <v>1255</v>
      </c>
      <c r="D1311" s="44">
        <v>-1170800</v>
      </c>
      <c r="E1311" s="23" t="s">
        <v>35</v>
      </c>
      <c r="F1311" s="2">
        <v>110114001</v>
      </c>
      <c r="G1311" s="2" t="s">
        <v>181</v>
      </c>
      <c r="I1311" s="95" t="s">
        <v>7231</v>
      </c>
      <c r="K1311" t="s">
        <v>1256</v>
      </c>
      <c r="M1311">
        <v>58.54</v>
      </c>
      <c r="N1311" s="4">
        <f t="shared" si="20"/>
        <v>-20000</v>
      </c>
      <c r="O1311" t="s">
        <v>605</v>
      </c>
    </row>
    <row r="1312" spans="1:17" x14ac:dyDescent="0.25">
      <c r="A1312" s="43">
        <v>45692</v>
      </c>
      <c r="B1312" s="1" t="s">
        <v>615</v>
      </c>
      <c r="C1312" t="s">
        <v>1257</v>
      </c>
      <c r="D1312" s="44">
        <v>-2882246.76</v>
      </c>
      <c r="E1312" s="23" t="s">
        <v>35</v>
      </c>
      <c r="F1312" s="2">
        <v>110114001</v>
      </c>
      <c r="G1312" s="2" t="s">
        <v>181</v>
      </c>
      <c r="I1312" s="95" t="s">
        <v>7231</v>
      </c>
      <c r="J1312" t="s">
        <v>37</v>
      </c>
      <c r="K1312" t="s">
        <v>38</v>
      </c>
      <c r="M1312">
        <v>58.54</v>
      </c>
      <c r="N1312" s="4">
        <f t="shared" si="20"/>
        <v>-49235.510078578744</v>
      </c>
      <c r="O1312" t="s">
        <v>605</v>
      </c>
      <c r="P1312" s="34" t="s">
        <v>694</v>
      </c>
    </row>
    <row r="1313" spans="1:17" x14ac:dyDescent="0.25">
      <c r="A1313" s="43">
        <v>45692</v>
      </c>
      <c r="B1313" s="1" t="s">
        <v>623</v>
      </c>
      <c r="C1313" t="s">
        <v>622</v>
      </c>
      <c r="D1313" s="44">
        <v>-2927</v>
      </c>
      <c r="E1313" s="23" t="s">
        <v>35</v>
      </c>
      <c r="F1313" s="2">
        <v>610148001</v>
      </c>
      <c r="G1313" s="2" t="s">
        <v>41</v>
      </c>
      <c r="I1313" s="95" t="s">
        <v>7231</v>
      </c>
      <c r="J1313" t="s">
        <v>42</v>
      </c>
      <c r="K1313" t="s">
        <v>41</v>
      </c>
      <c r="M1313">
        <v>58.54</v>
      </c>
      <c r="N1313" s="4">
        <f t="shared" si="20"/>
        <v>-50</v>
      </c>
      <c r="O1313" t="s">
        <v>605</v>
      </c>
      <c r="Q1313" s="24" t="s">
        <v>677</v>
      </c>
    </row>
    <row r="1314" spans="1:17" x14ac:dyDescent="0.25">
      <c r="A1314" s="43">
        <v>45692</v>
      </c>
      <c r="B1314" s="1" t="s">
        <v>625</v>
      </c>
      <c r="C1314" t="s">
        <v>622</v>
      </c>
      <c r="D1314" s="44">
        <v>-7205.61</v>
      </c>
      <c r="E1314" s="23" t="s">
        <v>35</v>
      </c>
      <c r="F1314" s="2">
        <v>610148001</v>
      </c>
      <c r="G1314" s="2" t="s">
        <v>41</v>
      </c>
      <c r="I1314" s="95" t="s">
        <v>7231</v>
      </c>
      <c r="J1314" t="s">
        <v>42</v>
      </c>
      <c r="K1314" t="s">
        <v>41</v>
      </c>
      <c r="M1314">
        <v>58.54</v>
      </c>
      <c r="N1314" s="4">
        <f t="shared" si="20"/>
        <v>-123.08865732832251</v>
      </c>
      <c r="O1314" t="s">
        <v>605</v>
      </c>
      <c r="Q1314" s="24" t="s">
        <v>677</v>
      </c>
    </row>
    <row r="1315" spans="1:17" x14ac:dyDescent="0.25">
      <c r="A1315" s="43">
        <v>45692</v>
      </c>
      <c r="B1315" s="1" t="s">
        <v>624</v>
      </c>
      <c r="C1315" t="s">
        <v>622</v>
      </c>
      <c r="D1315" s="44">
        <v>-142.97999999999999</v>
      </c>
      <c r="E1315" s="23" t="s">
        <v>35</v>
      </c>
      <c r="F1315" s="2">
        <v>610148001</v>
      </c>
      <c r="G1315" s="2" t="s">
        <v>41</v>
      </c>
      <c r="I1315" s="95" t="s">
        <v>7231</v>
      </c>
      <c r="J1315" t="s">
        <v>42</v>
      </c>
      <c r="K1315" t="s">
        <v>41</v>
      </c>
      <c r="M1315">
        <v>58.54</v>
      </c>
      <c r="N1315" s="4">
        <f t="shared" si="20"/>
        <v>-2.4424325247693881</v>
      </c>
      <c r="O1315" t="s">
        <v>605</v>
      </c>
      <c r="Q1315" s="24" t="s">
        <v>677</v>
      </c>
    </row>
    <row r="1316" spans="1:17" x14ac:dyDescent="0.25">
      <c r="A1316" s="43">
        <v>45693</v>
      </c>
      <c r="B1316" s="1" t="s">
        <v>1258</v>
      </c>
      <c r="C1316" t="s">
        <v>1259</v>
      </c>
      <c r="D1316" s="44">
        <v>-10.1</v>
      </c>
      <c r="E1316" s="23" t="s">
        <v>35</v>
      </c>
      <c r="F1316" s="2">
        <v>213201001</v>
      </c>
      <c r="G1316" s="2" t="s">
        <v>636</v>
      </c>
      <c r="I1316" s="95" t="s">
        <v>7231</v>
      </c>
      <c r="J1316" t="s">
        <v>637</v>
      </c>
      <c r="K1316" t="s">
        <v>638</v>
      </c>
      <c r="M1316">
        <v>58.79</v>
      </c>
      <c r="N1316" s="4">
        <f t="shared" si="20"/>
        <v>-0.17179792481714576</v>
      </c>
      <c r="O1316" t="s">
        <v>605</v>
      </c>
      <c r="Q1316" s="42" t="s">
        <v>1260</v>
      </c>
    </row>
    <row r="1317" spans="1:17" x14ac:dyDescent="0.25">
      <c r="A1317" s="43">
        <v>45693</v>
      </c>
      <c r="B1317" s="1" t="s">
        <v>1261</v>
      </c>
      <c r="C1317" t="s">
        <v>1262</v>
      </c>
      <c r="D1317" s="44">
        <v>-59.4</v>
      </c>
      <c r="E1317" s="23" t="s">
        <v>35</v>
      </c>
      <c r="F1317" s="2">
        <v>213101001</v>
      </c>
      <c r="G1317" s="2" t="s">
        <v>642</v>
      </c>
      <c r="I1317" s="95" t="s">
        <v>7231</v>
      </c>
      <c r="J1317" t="s">
        <v>643</v>
      </c>
      <c r="K1317" t="s">
        <v>644</v>
      </c>
      <c r="M1317">
        <v>58.79</v>
      </c>
      <c r="N1317" s="4">
        <f t="shared" si="20"/>
        <v>-1.0103759142711346</v>
      </c>
      <c r="O1317" t="s">
        <v>605</v>
      </c>
      <c r="Q1317" s="24" t="s">
        <v>1260</v>
      </c>
    </row>
    <row r="1318" spans="1:17" x14ac:dyDescent="0.25">
      <c r="A1318" s="43">
        <v>45694</v>
      </c>
      <c r="B1318" s="1" t="s">
        <v>1263</v>
      </c>
      <c r="C1318" t="s">
        <v>1264</v>
      </c>
      <c r="D1318" s="44">
        <v>-22757.41</v>
      </c>
      <c r="E1318" s="23" t="s">
        <v>35</v>
      </c>
      <c r="F1318" s="2">
        <v>210601001</v>
      </c>
      <c r="G1318" s="2" t="s">
        <v>272</v>
      </c>
      <c r="I1318" s="95" t="s">
        <v>7231</v>
      </c>
      <c r="J1318" t="s">
        <v>273</v>
      </c>
      <c r="K1318" t="s">
        <v>274</v>
      </c>
      <c r="M1318">
        <v>59.46</v>
      </c>
      <c r="N1318" s="4">
        <f t="shared" si="20"/>
        <v>-382.73477968382105</v>
      </c>
      <c r="O1318" t="s">
        <v>605</v>
      </c>
      <c r="Q1318" s="24" t="s">
        <v>1265</v>
      </c>
    </row>
    <row r="1319" spans="1:17" x14ac:dyDescent="0.25">
      <c r="A1319" s="43">
        <v>45699</v>
      </c>
      <c r="B1319" s="1" t="s">
        <v>1266</v>
      </c>
      <c r="C1319" t="s">
        <v>293</v>
      </c>
      <c r="D1319" s="44">
        <v>830000</v>
      </c>
      <c r="E1319" s="23" t="s">
        <v>45</v>
      </c>
      <c r="F1319" s="2">
        <v>210115002</v>
      </c>
      <c r="G1319" s="2" t="s">
        <v>46</v>
      </c>
      <c r="I1319" s="95" t="s">
        <v>7231</v>
      </c>
      <c r="K1319" t="s">
        <v>293</v>
      </c>
      <c r="M1319">
        <v>60.54</v>
      </c>
      <c r="N1319" s="4">
        <f t="shared" si="20"/>
        <v>13709.943838784275</v>
      </c>
      <c r="O1319" t="s">
        <v>605</v>
      </c>
    </row>
    <row r="1320" spans="1:17" x14ac:dyDescent="0.25">
      <c r="A1320" s="43">
        <v>45699</v>
      </c>
      <c r="B1320" s="1" t="s">
        <v>617</v>
      </c>
      <c r="C1320" t="s">
        <v>1164</v>
      </c>
      <c r="D1320" s="44">
        <v>-200000</v>
      </c>
      <c r="E1320" s="23" t="s">
        <v>35</v>
      </c>
      <c r="F1320" s="2">
        <v>110114001</v>
      </c>
      <c r="G1320" s="2" t="s">
        <v>181</v>
      </c>
      <c r="I1320" s="95" t="s">
        <v>7231</v>
      </c>
      <c r="J1320" t="s">
        <v>37</v>
      </c>
      <c r="K1320" t="s">
        <v>38</v>
      </c>
      <c r="M1320">
        <v>60.54</v>
      </c>
      <c r="N1320" s="4">
        <f t="shared" si="20"/>
        <v>-3303.6009250082589</v>
      </c>
      <c r="O1320" t="s">
        <v>605</v>
      </c>
      <c r="P1320" s="34" t="s">
        <v>682</v>
      </c>
    </row>
    <row r="1321" spans="1:17" x14ac:dyDescent="0.25">
      <c r="A1321" s="43">
        <v>45699</v>
      </c>
      <c r="B1321" s="1" t="s">
        <v>1267</v>
      </c>
      <c r="C1321" t="s">
        <v>1164</v>
      </c>
      <c r="D1321" s="44">
        <v>-200000</v>
      </c>
      <c r="E1321" s="23" t="s">
        <v>35</v>
      </c>
      <c r="F1321" s="2">
        <v>110114001</v>
      </c>
      <c r="G1321" s="2" t="s">
        <v>181</v>
      </c>
      <c r="I1321" s="95" t="s">
        <v>7231</v>
      </c>
      <c r="J1321" t="s">
        <v>37</v>
      </c>
      <c r="K1321" t="s">
        <v>38</v>
      </c>
      <c r="M1321">
        <v>60.54</v>
      </c>
      <c r="N1321" s="4">
        <f t="shared" si="20"/>
        <v>-3303.6009250082589</v>
      </c>
      <c r="O1321" t="s">
        <v>605</v>
      </c>
      <c r="P1321" s="34" t="s">
        <v>682</v>
      </c>
    </row>
    <row r="1322" spans="1:17" x14ac:dyDescent="0.25">
      <c r="A1322" s="43">
        <v>45699</v>
      </c>
      <c r="B1322" s="1" t="s">
        <v>1268</v>
      </c>
      <c r="C1322" t="s">
        <v>1269</v>
      </c>
      <c r="D1322" s="44">
        <v>-200000</v>
      </c>
      <c r="E1322" s="23" t="s">
        <v>35</v>
      </c>
      <c r="F1322" s="2">
        <v>110114001</v>
      </c>
      <c r="G1322" s="2" t="s">
        <v>181</v>
      </c>
      <c r="I1322" s="95" t="s">
        <v>7231</v>
      </c>
      <c r="J1322" t="s">
        <v>37</v>
      </c>
      <c r="K1322" t="s">
        <v>38</v>
      </c>
      <c r="M1322">
        <v>60.54</v>
      </c>
      <c r="N1322" s="4">
        <f t="shared" si="20"/>
        <v>-3303.6009250082589</v>
      </c>
      <c r="O1322" t="s">
        <v>605</v>
      </c>
      <c r="P1322" s="34" t="s">
        <v>1270</v>
      </c>
    </row>
    <row r="1323" spans="1:17" x14ac:dyDescent="0.25">
      <c r="A1323" s="43">
        <v>45699</v>
      </c>
      <c r="B1323" s="1" t="s">
        <v>619</v>
      </c>
      <c r="C1323" t="s">
        <v>1269</v>
      </c>
      <c r="D1323" s="44">
        <v>-200000</v>
      </c>
      <c r="E1323" s="23" t="s">
        <v>35</v>
      </c>
      <c r="F1323" s="2">
        <v>110114001</v>
      </c>
      <c r="G1323" s="2" t="s">
        <v>181</v>
      </c>
      <c r="I1323" s="95" t="s">
        <v>7231</v>
      </c>
      <c r="J1323" t="s">
        <v>37</v>
      </c>
      <c r="K1323" t="s">
        <v>38</v>
      </c>
      <c r="M1323">
        <v>60.54</v>
      </c>
      <c r="N1323" s="4">
        <f t="shared" si="20"/>
        <v>-3303.6009250082589</v>
      </c>
      <c r="O1323" t="s">
        <v>605</v>
      </c>
      <c r="P1323" s="34" t="s">
        <v>1270</v>
      </c>
    </row>
    <row r="1324" spans="1:17" x14ac:dyDescent="0.25">
      <c r="A1324" s="43">
        <v>45699</v>
      </c>
      <c r="B1324" s="1" t="s">
        <v>615</v>
      </c>
      <c r="C1324" t="s">
        <v>1269</v>
      </c>
      <c r="D1324" s="44">
        <v>-54050</v>
      </c>
      <c r="E1324" s="23" t="s">
        <v>35</v>
      </c>
      <c r="F1324" s="2">
        <v>110114001</v>
      </c>
      <c r="G1324" s="2" t="s">
        <v>181</v>
      </c>
      <c r="I1324" s="95" t="s">
        <v>7231</v>
      </c>
      <c r="J1324" t="s">
        <v>37</v>
      </c>
      <c r="K1324" t="s">
        <v>38</v>
      </c>
      <c r="M1324">
        <v>60.54</v>
      </c>
      <c r="N1324" s="4">
        <f t="shared" si="20"/>
        <v>-892.79814998348206</v>
      </c>
      <c r="O1324" t="s">
        <v>605</v>
      </c>
      <c r="P1324" s="34" t="s">
        <v>1270</v>
      </c>
    </row>
    <row r="1325" spans="1:17" x14ac:dyDescent="0.25">
      <c r="A1325" s="43">
        <v>45699</v>
      </c>
      <c r="B1325" s="1" t="s">
        <v>613</v>
      </c>
      <c r="C1325" t="s">
        <v>1164</v>
      </c>
      <c r="D1325" s="44">
        <v>-8657.11</v>
      </c>
      <c r="E1325" s="23" t="s">
        <v>35</v>
      </c>
      <c r="F1325" s="2">
        <v>110114001</v>
      </c>
      <c r="G1325" s="2" t="s">
        <v>181</v>
      </c>
      <c r="I1325" s="95" t="s">
        <v>7231</v>
      </c>
      <c r="J1325" t="s">
        <v>37</v>
      </c>
      <c r="K1325" t="s">
        <v>38</v>
      </c>
      <c r="M1325">
        <v>60.54</v>
      </c>
      <c r="N1325" s="4">
        <f t="shared" si="20"/>
        <v>-142.99818301949125</v>
      </c>
      <c r="O1325" t="s">
        <v>605</v>
      </c>
      <c r="P1325" s="34" t="s">
        <v>682</v>
      </c>
    </row>
    <row r="1326" spans="1:17" x14ac:dyDescent="0.25">
      <c r="A1326" s="43">
        <v>45699</v>
      </c>
      <c r="B1326" s="1" t="s">
        <v>621</v>
      </c>
      <c r="C1326" t="s">
        <v>622</v>
      </c>
      <c r="D1326" s="44">
        <v>-500</v>
      </c>
      <c r="E1326" s="23" t="s">
        <v>35</v>
      </c>
      <c r="F1326" s="2">
        <v>610148001</v>
      </c>
      <c r="G1326" s="2" t="s">
        <v>41</v>
      </c>
      <c r="I1326" s="95" t="s">
        <v>7231</v>
      </c>
      <c r="J1326" t="s">
        <v>42</v>
      </c>
      <c r="K1326" t="s">
        <v>41</v>
      </c>
      <c r="M1326">
        <v>60.54</v>
      </c>
      <c r="N1326" s="4">
        <f t="shared" si="20"/>
        <v>-8.2590023125206482</v>
      </c>
      <c r="O1326" t="s">
        <v>605</v>
      </c>
      <c r="Q1326" s="24" t="s">
        <v>677</v>
      </c>
    </row>
    <row r="1327" spans="1:17" x14ac:dyDescent="0.25">
      <c r="A1327" s="43">
        <v>45699</v>
      </c>
      <c r="B1327" s="1" t="s">
        <v>624</v>
      </c>
      <c r="C1327" t="s">
        <v>622</v>
      </c>
      <c r="D1327" s="44">
        <v>-500</v>
      </c>
      <c r="E1327" s="23" t="s">
        <v>35</v>
      </c>
      <c r="F1327" s="2">
        <v>610148001</v>
      </c>
      <c r="G1327" s="2" t="s">
        <v>41</v>
      </c>
      <c r="I1327" s="95" t="s">
        <v>7231</v>
      </c>
      <c r="J1327" t="s">
        <v>42</v>
      </c>
      <c r="K1327" t="s">
        <v>41</v>
      </c>
      <c r="M1327">
        <v>60.54</v>
      </c>
      <c r="N1327" s="4">
        <f t="shared" si="20"/>
        <v>-8.2590023125206482</v>
      </c>
      <c r="O1327" t="s">
        <v>605</v>
      </c>
      <c r="Q1327" s="24" t="s">
        <v>677</v>
      </c>
    </row>
    <row r="1328" spans="1:17" x14ac:dyDescent="0.25">
      <c r="A1328" s="43">
        <v>45699</v>
      </c>
      <c r="B1328" s="1" t="s">
        <v>1271</v>
      </c>
      <c r="C1328" t="s">
        <v>622</v>
      </c>
      <c r="D1328" s="44">
        <v>-500</v>
      </c>
      <c r="E1328" s="23" t="s">
        <v>35</v>
      </c>
      <c r="F1328" s="2">
        <v>610148001</v>
      </c>
      <c r="G1328" s="2" t="s">
        <v>41</v>
      </c>
      <c r="I1328" s="95" t="s">
        <v>7231</v>
      </c>
      <c r="J1328" t="s">
        <v>42</v>
      </c>
      <c r="K1328" t="s">
        <v>41</v>
      </c>
      <c r="M1328">
        <v>60.54</v>
      </c>
      <c r="N1328" s="4">
        <f t="shared" si="20"/>
        <v>-8.2590023125206482</v>
      </c>
      <c r="O1328" t="s">
        <v>605</v>
      </c>
      <c r="Q1328" s="24" t="s">
        <v>677</v>
      </c>
    </row>
    <row r="1329" spans="1:17" x14ac:dyDescent="0.25">
      <c r="A1329" s="43">
        <v>45699</v>
      </c>
      <c r="B1329" s="1" t="s">
        <v>623</v>
      </c>
      <c r="C1329" t="s">
        <v>622</v>
      </c>
      <c r="D1329" s="44">
        <v>-21.64</v>
      </c>
      <c r="E1329" s="23" t="s">
        <v>35</v>
      </c>
      <c r="F1329" s="2">
        <v>610148001</v>
      </c>
      <c r="G1329" s="2" t="s">
        <v>41</v>
      </c>
      <c r="I1329" s="95" t="s">
        <v>7231</v>
      </c>
      <c r="J1329" t="s">
        <v>42</v>
      </c>
      <c r="K1329" t="s">
        <v>41</v>
      </c>
      <c r="M1329">
        <v>60.54</v>
      </c>
      <c r="N1329" s="4">
        <f t="shared" si="20"/>
        <v>-0.35744962008589365</v>
      </c>
      <c r="O1329" t="s">
        <v>605</v>
      </c>
      <c r="Q1329" s="24" t="s">
        <v>677</v>
      </c>
    </row>
    <row r="1330" spans="1:17" x14ac:dyDescent="0.25">
      <c r="A1330" s="43">
        <v>45699</v>
      </c>
      <c r="B1330" s="1" t="s">
        <v>1272</v>
      </c>
      <c r="C1330" t="s">
        <v>622</v>
      </c>
      <c r="D1330" s="44">
        <v>-500</v>
      </c>
      <c r="E1330" s="23" t="s">
        <v>35</v>
      </c>
      <c r="F1330" s="2">
        <v>610148001</v>
      </c>
      <c r="G1330" s="2" t="s">
        <v>41</v>
      </c>
      <c r="I1330" s="95" t="s">
        <v>7231</v>
      </c>
      <c r="J1330" t="s">
        <v>42</v>
      </c>
      <c r="K1330" t="s">
        <v>41</v>
      </c>
      <c r="M1330">
        <v>60.54</v>
      </c>
      <c r="N1330" s="4">
        <f t="shared" si="20"/>
        <v>-8.2590023125206482</v>
      </c>
      <c r="O1330" t="s">
        <v>605</v>
      </c>
      <c r="Q1330" s="24" t="s">
        <v>677</v>
      </c>
    </row>
    <row r="1331" spans="1:17" x14ac:dyDescent="0.25">
      <c r="A1331" s="43">
        <v>45699</v>
      </c>
      <c r="B1331" s="1" t="s">
        <v>625</v>
      </c>
      <c r="C1331" t="s">
        <v>622</v>
      </c>
      <c r="D1331" s="44">
        <v>-135.12</v>
      </c>
      <c r="E1331" s="23" t="s">
        <v>35</v>
      </c>
      <c r="F1331" s="2">
        <v>610148001</v>
      </c>
      <c r="G1331" s="2" t="s">
        <v>41</v>
      </c>
      <c r="I1331" s="95" t="s">
        <v>7231</v>
      </c>
      <c r="J1331" t="s">
        <v>42</v>
      </c>
      <c r="K1331" t="s">
        <v>41</v>
      </c>
      <c r="M1331">
        <v>60.54</v>
      </c>
      <c r="N1331" s="4">
        <f t="shared" si="20"/>
        <v>-2.23191278493558</v>
      </c>
      <c r="O1331" t="s">
        <v>605</v>
      </c>
      <c r="Q1331" s="24" t="s">
        <v>677</v>
      </c>
    </row>
    <row r="1332" spans="1:17" x14ac:dyDescent="0.25">
      <c r="A1332" s="43">
        <v>45706</v>
      </c>
      <c r="B1332" s="1" t="s">
        <v>1273</v>
      </c>
      <c r="C1332" t="s">
        <v>293</v>
      </c>
      <c r="D1332" s="44">
        <v>2280000</v>
      </c>
      <c r="E1332" s="23" t="s">
        <v>45</v>
      </c>
      <c r="F1332" s="2">
        <v>210115002</v>
      </c>
      <c r="G1332" s="2" t="s">
        <v>46</v>
      </c>
      <c r="I1332" s="95" t="s">
        <v>7231</v>
      </c>
      <c r="K1332" t="s">
        <v>293</v>
      </c>
      <c r="M1332">
        <v>62.09</v>
      </c>
      <c r="N1332" s="4">
        <f t="shared" si="20"/>
        <v>36720.889032050247</v>
      </c>
      <c r="O1332" t="s">
        <v>605</v>
      </c>
    </row>
    <row r="1333" spans="1:17" x14ac:dyDescent="0.25">
      <c r="A1333" s="43">
        <v>45706</v>
      </c>
      <c r="B1333" s="1" t="s">
        <v>1274</v>
      </c>
      <c r="C1333" t="s">
        <v>1257</v>
      </c>
      <c r="D1333" s="44">
        <v>-2276169.31</v>
      </c>
      <c r="E1333" s="23" t="s">
        <v>35</v>
      </c>
      <c r="F1333" s="2">
        <v>110114001</v>
      </c>
      <c r="G1333" s="2" t="s">
        <v>181</v>
      </c>
      <c r="I1333" s="95" t="s">
        <v>7231</v>
      </c>
      <c r="J1333" t="s">
        <v>37</v>
      </c>
      <c r="K1333" t="s">
        <v>38</v>
      </c>
      <c r="M1333">
        <v>62.09</v>
      </c>
      <c r="N1333" s="4">
        <f t="shared" si="20"/>
        <v>-36659.193267837007</v>
      </c>
      <c r="O1333" t="s">
        <v>605</v>
      </c>
      <c r="P1333" s="34" t="s">
        <v>694</v>
      </c>
    </row>
    <row r="1334" spans="1:17" x14ac:dyDescent="0.25">
      <c r="A1334" s="43">
        <v>45706</v>
      </c>
      <c r="B1334" s="1" t="s">
        <v>1275</v>
      </c>
      <c r="C1334" t="s">
        <v>622</v>
      </c>
      <c r="D1334" s="44">
        <v>-5690.42</v>
      </c>
      <c r="E1334" s="23" t="s">
        <v>35</v>
      </c>
      <c r="F1334" s="2">
        <v>610148001</v>
      </c>
      <c r="G1334" s="2" t="s">
        <v>41</v>
      </c>
      <c r="I1334" s="95" t="s">
        <v>7231</v>
      </c>
      <c r="J1334" t="s">
        <v>42</v>
      </c>
      <c r="K1334" t="s">
        <v>41</v>
      </c>
      <c r="M1334">
        <v>62.09</v>
      </c>
      <c r="N1334" s="4">
        <f t="shared" si="20"/>
        <v>-91.647930423578671</v>
      </c>
      <c r="O1334" t="s">
        <v>605</v>
      </c>
      <c r="Q1334" s="24" t="s">
        <v>677</v>
      </c>
    </row>
    <row r="1335" spans="1:17" x14ac:dyDescent="0.25">
      <c r="A1335" s="43">
        <v>45707</v>
      </c>
      <c r="B1335" s="1" t="s">
        <v>1276</v>
      </c>
      <c r="C1335" t="s">
        <v>293</v>
      </c>
      <c r="D1335" s="44">
        <v>3000000</v>
      </c>
      <c r="E1335" s="23" t="s">
        <v>45</v>
      </c>
      <c r="F1335" s="2">
        <v>210115002</v>
      </c>
      <c r="G1335" s="2" t="s">
        <v>46</v>
      </c>
      <c r="I1335" s="95" t="s">
        <v>7231</v>
      </c>
      <c r="K1335" t="s">
        <v>293</v>
      </c>
      <c r="M1335">
        <v>62.18</v>
      </c>
      <c r="N1335" s="4">
        <f t="shared" si="20"/>
        <v>48247.024766806047</v>
      </c>
      <c r="O1335" t="s">
        <v>605</v>
      </c>
    </row>
    <row r="1336" spans="1:17" x14ac:dyDescent="0.25">
      <c r="A1336" s="43">
        <v>45707</v>
      </c>
      <c r="B1336" s="1" t="s">
        <v>1277</v>
      </c>
      <c r="C1336" t="s">
        <v>1278</v>
      </c>
      <c r="D1336" s="45">
        <v>-2922460</v>
      </c>
      <c r="E1336" s="23" t="s">
        <v>35</v>
      </c>
      <c r="F1336" s="2">
        <v>110114001</v>
      </c>
      <c r="G1336" s="2" t="s">
        <v>181</v>
      </c>
      <c r="I1336" s="95" t="s">
        <v>7231</v>
      </c>
      <c r="J1336" t="s">
        <v>37</v>
      </c>
      <c r="K1336" t="s">
        <v>38</v>
      </c>
      <c r="M1336">
        <v>62.18</v>
      </c>
      <c r="N1336" s="4">
        <f t="shared" si="20"/>
        <v>-47000</v>
      </c>
      <c r="O1336" t="s">
        <v>605</v>
      </c>
      <c r="P1336" s="34" t="s">
        <v>1279</v>
      </c>
    </row>
    <row r="1337" spans="1:17" x14ac:dyDescent="0.25">
      <c r="A1337" s="43">
        <v>45707</v>
      </c>
      <c r="B1337" s="1" t="s">
        <v>1280</v>
      </c>
      <c r="C1337" t="s">
        <v>622</v>
      </c>
      <c r="D1337" s="44">
        <v>-7306.15</v>
      </c>
      <c r="E1337" s="23" t="s">
        <v>35</v>
      </c>
      <c r="F1337" s="2">
        <v>610148001</v>
      </c>
      <c r="G1337" s="2" t="s">
        <v>41</v>
      </c>
      <c r="I1337" s="95" t="s">
        <v>7231</v>
      </c>
      <c r="J1337" t="s">
        <v>42</v>
      </c>
      <c r="K1337" t="s">
        <v>41</v>
      </c>
      <c r="M1337">
        <v>62.18</v>
      </c>
      <c r="N1337" s="4">
        <f t="shared" si="20"/>
        <v>-117.5</v>
      </c>
      <c r="O1337" t="s">
        <v>605</v>
      </c>
      <c r="Q1337" s="24" t="s">
        <v>677</v>
      </c>
    </row>
    <row r="1338" spans="1:17" x14ac:dyDescent="0.25">
      <c r="A1338" s="43">
        <v>45707</v>
      </c>
      <c r="B1338" s="1" t="s">
        <v>1281</v>
      </c>
      <c r="C1338" t="s">
        <v>1282</v>
      </c>
      <c r="D1338" s="44">
        <v>-4410</v>
      </c>
      <c r="E1338" s="23" t="s">
        <v>35</v>
      </c>
      <c r="F1338" s="2">
        <v>110114001</v>
      </c>
      <c r="G1338" s="2" t="s">
        <v>181</v>
      </c>
      <c r="I1338" s="95" t="s">
        <v>7231</v>
      </c>
      <c r="J1338" t="s">
        <v>414</v>
      </c>
      <c r="K1338" t="s">
        <v>415</v>
      </c>
      <c r="M1338">
        <v>62.18</v>
      </c>
      <c r="N1338" s="4">
        <f t="shared" si="20"/>
        <v>-70.92312640720489</v>
      </c>
      <c r="O1338" t="s">
        <v>605</v>
      </c>
      <c r="P1338" s="34" t="s">
        <v>694</v>
      </c>
    </row>
    <row r="1339" spans="1:17" x14ac:dyDescent="0.25">
      <c r="A1339" s="43">
        <v>45707</v>
      </c>
      <c r="B1339" s="1" t="s">
        <v>1283</v>
      </c>
      <c r="C1339" t="s">
        <v>622</v>
      </c>
      <c r="D1339" s="44">
        <v>-11.02</v>
      </c>
      <c r="E1339" s="23" t="s">
        <v>35</v>
      </c>
      <c r="F1339" s="2">
        <v>610148001</v>
      </c>
      <c r="G1339" s="2" t="s">
        <v>41</v>
      </c>
      <c r="I1339" s="95" t="s">
        <v>7231</v>
      </c>
      <c r="J1339" t="s">
        <v>42</v>
      </c>
      <c r="K1339" t="s">
        <v>41</v>
      </c>
      <c r="M1339">
        <v>62.18</v>
      </c>
      <c r="N1339" s="4">
        <f t="shared" si="20"/>
        <v>-0.17722740431006753</v>
      </c>
      <c r="O1339" t="s">
        <v>605</v>
      </c>
      <c r="Q1339" s="24" t="s">
        <v>677</v>
      </c>
    </row>
    <row r="1340" spans="1:17" x14ac:dyDescent="0.25">
      <c r="A1340" s="43">
        <v>45713</v>
      </c>
      <c r="B1340" s="1" t="s">
        <v>1284</v>
      </c>
      <c r="C1340" t="s">
        <v>1285</v>
      </c>
      <c r="D1340" s="44">
        <v>18853.990000000002</v>
      </c>
      <c r="E1340" s="23" t="s">
        <v>45</v>
      </c>
      <c r="F1340" s="2">
        <v>110106001</v>
      </c>
      <c r="G1340" s="2" t="s">
        <v>1011</v>
      </c>
      <c r="I1340" s="95" t="s">
        <v>7231</v>
      </c>
      <c r="K1340" t="s">
        <v>1286</v>
      </c>
      <c r="M1340">
        <v>63.49</v>
      </c>
      <c r="N1340" s="4">
        <f t="shared" si="20"/>
        <v>296.95999369979523</v>
      </c>
      <c r="O1340" t="s">
        <v>605</v>
      </c>
    </row>
    <row r="1341" spans="1:17" x14ac:dyDescent="0.25">
      <c r="A1341" s="43">
        <v>45714</v>
      </c>
      <c r="B1341" s="1" t="s">
        <v>1287</v>
      </c>
      <c r="C1341" t="s">
        <v>1288</v>
      </c>
      <c r="D1341" s="44">
        <v>101889.11</v>
      </c>
      <c r="E1341" s="23" t="s">
        <v>45</v>
      </c>
      <c r="F1341" s="2">
        <v>110106001</v>
      </c>
      <c r="G1341" s="2" t="s">
        <v>1011</v>
      </c>
      <c r="I1341" s="95" t="s">
        <v>7231</v>
      </c>
      <c r="K1341" t="s">
        <v>1289</v>
      </c>
      <c r="M1341">
        <v>64.02</v>
      </c>
      <c r="N1341" s="4">
        <f t="shared" si="20"/>
        <v>1591.5199937519526</v>
      </c>
      <c r="O1341" t="s">
        <v>605</v>
      </c>
    </row>
    <row r="1342" spans="1:17" x14ac:dyDescent="0.25">
      <c r="A1342" s="43">
        <v>45714</v>
      </c>
      <c r="B1342" s="1" t="s">
        <v>1290</v>
      </c>
      <c r="C1342" t="s">
        <v>1291</v>
      </c>
      <c r="D1342" s="44">
        <v>19011.38</v>
      </c>
      <c r="E1342" s="23" t="s">
        <v>45</v>
      </c>
      <c r="F1342" s="2">
        <v>110106001</v>
      </c>
      <c r="G1342" s="2" t="s">
        <v>1011</v>
      </c>
      <c r="I1342" s="95" t="s">
        <v>7231</v>
      </c>
      <c r="K1342" t="s">
        <v>1012</v>
      </c>
      <c r="M1342">
        <v>64.02</v>
      </c>
      <c r="N1342" s="4">
        <f t="shared" si="20"/>
        <v>296.96001249609503</v>
      </c>
      <c r="O1342" t="s">
        <v>605</v>
      </c>
    </row>
    <row r="1343" spans="1:17" x14ac:dyDescent="0.25">
      <c r="A1343" s="43">
        <v>45714</v>
      </c>
      <c r="B1343" s="1" t="s">
        <v>1292</v>
      </c>
      <c r="C1343" t="s">
        <v>1293</v>
      </c>
      <c r="D1343" s="44">
        <v>19011.38</v>
      </c>
      <c r="E1343" s="23" t="s">
        <v>45</v>
      </c>
      <c r="F1343" s="2">
        <v>110106001</v>
      </c>
      <c r="G1343" s="2" t="s">
        <v>1011</v>
      </c>
      <c r="I1343" s="95" t="s">
        <v>7231</v>
      </c>
      <c r="K1343" t="s">
        <v>1012</v>
      </c>
      <c r="M1343">
        <v>64.02</v>
      </c>
      <c r="N1343" s="4">
        <f t="shared" si="20"/>
        <v>296.96001249609503</v>
      </c>
      <c r="O1343" t="s">
        <v>605</v>
      </c>
      <c r="P1343" t="s">
        <v>1294</v>
      </c>
    </row>
    <row r="1344" spans="1:17" x14ac:dyDescent="0.25">
      <c r="A1344" s="46">
        <v>45715</v>
      </c>
      <c r="B1344" s="27" t="s">
        <v>615</v>
      </c>
      <c r="C1344" s="28" t="s">
        <v>1295</v>
      </c>
      <c r="D1344" s="47">
        <v>-876.46</v>
      </c>
      <c r="E1344" s="48" t="s">
        <v>35</v>
      </c>
      <c r="F1344" s="30">
        <v>610122005</v>
      </c>
      <c r="G1344" s="30" t="s">
        <v>401</v>
      </c>
      <c r="H1344" s="30"/>
      <c r="I1344" s="95" t="s">
        <v>7231</v>
      </c>
      <c r="J1344" s="28" t="s">
        <v>608</v>
      </c>
      <c r="K1344" s="28" t="s">
        <v>609</v>
      </c>
      <c r="L1344" s="28" t="s">
        <v>56</v>
      </c>
      <c r="M1344" s="28">
        <v>64.239999999999995</v>
      </c>
      <c r="N1344" s="4">
        <f t="shared" si="20"/>
        <v>-13.643524283935244</v>
      </c>
      <c r="O1344" t="s">
        <v>605</v>
      </c>
      <c r="Q1344" s="24" t="s">
        <v>1296</v>
      </c>
    </row>
    <row r="1345" spans="1:17" x14ac:dyDescent="0.25">
      <c r="A1345" s="43">
        <v>45715</v>
      </c>
      <c r="B1345" s="1" t="s">
        <v>617</v>
      </c>
      <c r="C1345" t="s">
        <v>1297</v>
      </c>
      <c r="D1345" s="44">
        <v>-35768.83</v>
      </c>
      <c r="E1345" s="23" t="s">
        <v>35</v>
      </c>
      <c r="F1345" s="2">
        <v>110114001</v>
      </c>
      <c r="G1345" s="2" t="s">
        <v>181</v>
      </c>
      <c r="I1345" s="95" t="s">
        <v>7231</v>
      </c>
      <c r="J1345" t="s">
        <v>704</v>
      </c>
      <c r="K1345" t="s">
        <v>705</v>
      </c>
      <c r="M1345">
        <v>64.239999999999995</v>
      </c>
      <c r="N1345" s="4">
        <f t="shared" si="20"/>
        <v>-556.79996886674974</v>
      </c>
      <c r="O1345" t="s">
        <v>605</v>
      </c>
      <c r="P1345" s="34" t="s">
        <v>682</v>
      </c>
    </row>
    <row r="1346" spans="1:17" x14ac:dyDescent="0.25">
      <c r="A1346" s="43">
        <v>45715</v>
      </c>
      <c r="B1346" s="1" t="s">
        <v>613</v>
      </c>
      <c r="C1346" t="s">
        <v>1298</v>
      </c>
      <c r="D1346" s="44">
        <v>-6424</v>
      </c>
      <c r="E1346" s="23" t="s">
        <v>35</v>
      </c>
      <c r="F1346" s="2">
        <v>210101001</v>
      </c>
      <c r="G1346" s="2" t="s">
        <v>36</v>
      </c>
      <c r="I1346" s="95" t="s">
        <v>7231</v>
      </c>
      <c r="J1346" t="s">
        <v>1299</v>
      </c>
      <c r="K1346" t="s">
        <v>87</v>
      </c>
      <c r="M1346">
        <v>64.239999999999995</v>
      </c>
      <c r="N1346" s="4">
        <f t="shared" si="20"/>
        <v>-100.00000000000001</v>
      </c>
      <c r="O1346" t="s">
        <v>605</v>
      </c>
      <c r="P1346" t="s">
        <v>682</v>
      </c>
    </row>
    <row r="1347" spans="1:17" x14ac:dyDescent="0.25">
      <c r="A1347" s="43">
        <v>45715</v>
      </c>
      <c r="B1347" s="1" t="s">
        <v>624</v>
      </c>
      <c r="C1347" t="s">
        <v>622</v>
      </c>
      <c r="D1347" s="44">
        <v>-89.42</v>
      </c>
      <c r="E1347" s="23" t="s">
        <v>35</v>
      </c>
      <c r="F1347" s="2">
        <v>610148001</v>
      </c>
      <c r="G1347" s="2" t="s">
        <v>41</v>
      </c>
      <c r="I1347" s="95" t="s">
        <v>7231</v>
      </c>
      <c r="J1347" t="s">
        <v>42</v>
      </c>
      <c r="K1347" t="s">
        <v>41</v>
      </c>
      <c r="M1347">
        <v>64.239999999999995</v>
      </c>
      <c r="N1347" s="4">
        <f t="shared" si="20"/>
        <v>-1.3919676214196763</v>
      </c>
      <c r="O1347" t="s">
        <v>605</v>
      </c>
      <c r="Q1347" s="24" t="s">
        <v>677</v>
      </c>
    </row>
    <row r="1348" spans="1:17" x14ac:dyDescent="0.25">
      <c r="A1348" s="43">
        <v>45715</v>
      </c>
      <c r="B1348" s="1" t="s">
        <v>625</v>
      </c>
      <c r="C1348" t="s">
        <v>622</v>
      </c>
      <c r="D1348" s="44">
        <v>-2.19</v>
      </c>
      <c r="E1348" s="23" t="s">
        <v>35</v>
      </c>
      <c r="F1348" s="2">
        <v>610148001</v>
      </c>
      <c r="G1348" s="2" t="s">
        <v>41</v>
      </c>
      <c r="I1348" s="95" t="s">
        <v>7231</v>
      </c>
      <c r="J1348" t="s">
        <v>42</v>
      </c>
      <c r="K1348" t="s">
        <v>41</v>
      </c>
      <c r="M1348">
        <v>64.239999999999995</v>
      </c>
      <c r="N1348" s="4">
        <f t="shared" si="20"/>
        <v>-3.4090909090909095E-2</v>
      </c>
      <c r="O1348" t="s">
        <v>605</v>
      </c>
      <c r="Q1348" s="24" t="s">
        <v>677</v>
      </c>
    </row>
    <row r="1349" spans="1:17" x14ac:dyDescent="0.25">
      <c r="A1349" s="43">
        <v>45715</v>
      </c>
      <c r="B1349" s="1" t="s">
        <v>623</v>
      </c>
      <c r="C1349" t="s">
        <v>622</v>
      </c>
      <c r="D1349" s="44">
        <v>-16.059999999999999</v>
      </c>
      <c r="E1349" s="23" t="s">
        <v>35</v>
      </c>
      <c r="F1349" s="2">
        <v>610148001</v>
      </c>
      <c r="G1349" s="2" t="s">
        <v>41</v>
      </c>
      <c r="I1349" s="95" t="s">
        <v>7231</v>
      </c>
      <c r="J1349" t="s">
        <v>42</v>
      </c>
      <c r="K1349" t="s">
        <v>41</v>
      </c>
      <c r="M1349">
        <v>64.239999999999995</v>
      </c>
      <c r="N1349" s="4">
        <f t="shared" si="20"/>
        <v>-0.25</v>
      </c>
      <c r="O1349" t="s">
        <v>605</v>
      </c>
      <c r="Q1349" s="24" t="s">
        <v>677</v>
      </c>
    </row>
    <row r="1350" spans="1:17" x14ac:dyDescent="0.25">
      <c r="A1350" s="43">
        <v>45715</v>
      </c>
      <c r="B1350" s="1" t="s">
        <v>613</v>
      </c>
      <c r="C1350" t="s">
        <v>1300</v>
      </c>
      <c r="D1350" s="44">
        <v>-17473.57</v>
      </c>
      <c r="E1350" s="23" t="s">
        <v>35</v>
      </c>
      <c r="F1350" s="2">
        <v>210101001</v>
      </c>
      <c r="G1350" s="2" t="s">
        <v>36</v>
      </c>
      <c r="I1350" s="95" t="s">
        <v>7231</v>
      </c>
      <c r="J1350" t="s">
        <v>1301</v>
      </c>
      <c r="K1350" t="s">
        <v>1302</v>
      </c>
      <c r="M1350">
        <v>64.239999999999995</v>
      </c>
      <c r="N1350" s="4">
        <f t="shared" si="20"/>
        <v>-272.00451432129518</v>
      </c>
      <c r="O1350" t="s">
        <v>605</v>
      </c>
    </row>
    <row r="1351" spans="1:17" x14ac:dyDescent="0.25">
      <c r="A1351" s="43">
        <v>45715</v>
      </c>
      <c r="B1351" s="1" t="s">
        <v>623</v>
      </c>
      <c r="C1351" t="s">
        <v>622</v>
      </c>
      <c r="D1351" s="44">
        <v>-43.68</v>
      </c>
      <c r="E1351" s="23" t="s">
        <v>35</v>
      </c>
      <c r="F1351" s="2">
        <v>610148001</v>
      </c>
      <c r="G1351" s="2" t="s">
        <v>41</v>
      </c>
      <c r="I1351" s="95" t="s">
        <v>7231</v>
      </c>
      <c r="J1351" t="s">
        <v>42</v>
      </c>
      <c r="K1351" t="s">
        <v>41</v>
      </c>
      <c r="M1351">
        <v>64.239999999999995</v>
      </c>
      <c r="N1351" s="4">
        <f t="shared" si="20"/>
        <v>-0.67995018679950192</v>
      </c>
      <c r="O1351" t="s">
        <v>605</v>
      </c>
      <c r="Q1351" s="24" t="s">
        <v>677</v>
      </c>
    </row>
    <row r="1352" spans="1:17" x14ac:dyDescent="0.25">
      <c r="A1352" s="43">
        <v>45716</v>
      </c>
      <c r="B1352" s="1" t="s">
        <v>1303</v>
      </c>
      <c r="C1352" t="s">
        <v>293</v>
      </c>
      <c r="D1352" s="44">
        <v>50000</v>
      </c>
      <c r="E1352" s="23" t="s">
        <v>45</v>
      </c>
      <c r="F1352" s="2">
        <v>210115002</v>
      </c>
      <c r="G1352" s="2" t="s">
        <v>46</v>
      </c>
      <c r="I1352" s="95" t="s">
        <v>7231</v>
      </c>
      <c r="K1352" t="s">
        <v>293</v>
      </c>
      <c r="M1352">
        <v>64.25</v>
      </c>
      <c r="N1352" s="4">
        <f t="shared" si="20"/>
        <v>778.21011673151747</v>
      </c>
      <c r="O1352" t="s">
        <v>605</v>
      </c>
    </row>
    <row r="1353" spans="1:17" x14ac:dyDescent="0.25">
      <c r="A1353" s="43">
        <v>45716</v>
      </c>
      <c r="B1353" s="1" t="s">
        <v>1304</v>
      </c>
      <c r="C1353" t="s">
        <v>293</v>
      </c>
      <c r="D1353" s="44">
        <v>20000</v>
      </c>
      <c r="E1353" s="23" t="s">
        <v>45</v>
      </c>
      <c r="F1353" s="2">
        <v>210115002</v>
      </c>
      <c r="G1353" s="2" t="s">
        <v>46</v>
      </c>
      <c r="I1353" s="95" t="s">
        <v>7231</v>
      </c>
      <c r="K1353" t="s">
        <v>293</v>
      </c>
      <c r="M1353">
        <v>64.25</v>
      </c>
      <c r="N1353" s="4">
        <f t="shared" si="20"/>
        <v>311.28404669260698</v>
      </c>
      <c r="O1353" t="s">
        <v>605</v>
      </c>
    </row>
    <row r="1354" spans="1:17" x14ac:dyDescent="0.25">
      <c r="A1354" s="43">
        <v>45716</v>
      </c>
      <c r="B1354" s="1" t="s">
        <v>613</v>
      </c>
      <c r="C1354" t="s">
        <v>791</v>
      </c>
      <c r="D1354" s="44">
        <v>-2004.3</v>
      </c>
      <c r="E1354" s="23" t="s">
        <v>35</v>
      </c>
      <c r="F1354" s="2">
        <v>210101001</v>
      </c>
      <c r="G1354" s="2" t="s">
        <v>36</v>
      </c>
      <c r="I1354" s="95" t="s">
        <v>7231</v>
      </c>
      <c r="J1354" t="s">
        <v>86</v>
      </c>
      <c r="K1354" t="s">
        <v>87</v>
      </c>
      <c r="M1354">
        <v>64.25</v>
      </c>
      <c r="N1354" s="4">
        <f t="shared" si="20"/>
        <v>-31.19533073929961</v>
      </c>
      <c r="O1354" t="s">
        <v>605</v>
      </c>
    </row>
    <row r="1355" spans="1:17" x14ac:dyDescent="0.25">
      <c r="A1355" s="43">
        <v>45716</v>
      </c>
      <c r="B1355" s="1" t="s">
        <v>615</v>
      </c>
      <c r="C1355" t="s">
        <v>1305</v>
      </c>
      <c r="D1355" s="44">
        <v>-33366.26</v>
      </c>
      <c r="E1355" s="23" t="s">
        <v>35</v>
      </c>
      <c r="F1355" s="2">
        <v>210101001</v>
      </c>
      <c r="G1355" s="2" t="s">
        <v>36</v>
      </c>
      <c r="I1355" s="95" t="s">
        <v>7231</v>
      </c>
      <c r="J1355" t="s">
        <v>1306</v>
      </c>
      <c r="K1355" t="s">
        <v>600</v>
      </c>
      <c r="M1355">
        <v>64.25</v>
      </c>
      <c r="N1355" s="4">
        <f t="shared" si="20"/>
        <v>-519.31922178988327</v>
      </c>
      <c r="O1355" t="s">
        <v>605</v>
      </c>
    </row>
    <row r="1356" spans="1:17" x14ac:dyDescent="0.25">
      <c r="A1356" s="43">
        <v>45716</v>
      </c>
      <c r="B1356" s="1" t="s">
        <v>619</v>
      </c>
      <c r="C1356" t="s">
        <v>1307</v>
      </c>
      <c r="D1356" s="44">
        <v>-184488.58</v>
      </c>
      <c r="E1356" s="23" t="s">
        <v>35</v>
      </c>
      <c r="F1356" s="2">
        <v>110114001</v>
      </c>
      <c r="G1356" s="2" t="s">
        <v>181</v>
      </c>
      <c r="I1356" s="95" t="s">
        <v>7231</v>
      </c>
      <c r="J1356" t="s">
        <v>182</v>
      </c>
      <c r="K1356" t="s">
        <v>183</v>
      </c>
      <c r="M1356">
        <v>64.25</v>
      </c>
      <c r="N1356" s="4">
        <f t="shared" ref="N1356:N1419" si="21">D1356/M1356</f>
        <v>-2871.417587548638</v>
      </c>
      <c r="O1356" t="s">
        <v>605</v>
      </c>
      <c r="P1356" s="34" t="s">
        <v>694</v>
      </c>
    </row>
    <row r="1357" spans="1:17" x14ac:dyDescent="0.25">
      <c r="A1357" s="43">
        <v>45716</v>
      </c>
      <c r="B1357" s="1" t="s">
        <v>1268</v>
      </c>
      <c r="C1357" t="s">
        <v>1308</v>
      </c>
      <c r="D1357" s="44">
        <v>-4036.8</v>
      </c>
      <c r="E1357" s="23" t="s">
        <v>35</v>
      </c>
      <c r="F1357" s="2">
        <v>110114001</v>
      </c>
      <c r="G1357" s="2" t="s">
        <v>181</v>
      </c>
      <c r="I1357" s="95" t="s">
        <v>7231</v>
      </c>
      <c r="J1357" t="s">
        <v>380</v>
      </c>
      <c r="K1357" t="s">
        <v>381</v>
      </c>
      <c r="M1357">
        <v>64.25</v>
      </c>
      <c r="N1357" s="4">
        <f t="shared" si="21"/>
        <v>-62.829571984435802</v>
      </c>
      <c r="O1357" t="s">
        <v>605</v>
      </c>
      <c r="P1357" s="34" t="s">
        <v>694</v>
      </c>
    </row>
    <row r="1358" spans="1:17" x14ac:dyDescent="0.25">
      <c r="A1358" s="43">
        <v>45716</v>
      </c>
      <c r="B1358" s="1" t="s">
        <v>617</v>
      </c>
      <c r="C1358" t="s">
        <v>1309</v>
      </c>
      <c r="D1358" s="44">
        <v>-11035.2</v>
      </c>
      <c r="E1358" s="23" t="s">
        <v>35</v>
      </c>
      <c r="F1358" s="2">
        <v>110114001</v>
      </c>
      <c r="G1358" s="2" t="s">
        <v>181</v>
      </c>
      <c r="I1358" s="95" t="s">
        <v>7231</v>
      </c>
      <c r="J1358" t="s">
        <v>86</v>
      </c>
      <c r="K1358" t="s">
        <v>87</v>
      </c>
      <c r="M1358">
        <v>64.25</v>
      </c>
      <c r="N1358" s="4">
        <f t="shared" si="21"/>
        <v>-171.75408560311286</v>
      </c>
      <c r="O1358" t="s">
        <v>605</v>
      </c>
      <c r="P1358" s="34" t="s">
        <v>694</v>
      </c>
    </row>
    <row r="1359" spans="1:17" x14ac:dyDescent="0.25">
      <c r="A1359" s="43">
        <v>45716</v>
      </c>
      <c r="B1359" s="1" t="s">
        <v>621</v>
      </c>
      <c r="C1359" t="s">
        <v>622</v>
      </c>
      <c r="D1359" s="44">
        <v>-461.22</v>
      </c>
      <c r="E1359" s="23" t="s">
        <v>35</v>
      </c>
      <c r="F1359" s="2">
        <v>610148001</v>
      </c>
      <c r="G1359" s="2" t="s">
        <v>41</v>
      </c>
      <c r="I1359" s="95" t="s">
        <v>7231</v>
      </c>
      <c r="J1359" t="s">
        <v>42</v>
      </c>
      <c r="K1359" t="s">
        <v>41</v>
      </c>
      <c r="M1359">
        <v>64.25</v>
      </c>
      <c r="N1359" s="4">
        <f t="shared" si="21"/>
        <v>-7.1785214007782105</v>
      </c>
      <c r="O1359" t="s">
        <v>605</v>
      </c>
      <c r="Q1359" s="24" t="s">
        <v>677</v>
      </c>
    </row>
    <row r="1360" spans="1:17" x14ac:dyDescent="0.25">
      <c r="A1360" s="43">
        <v>45716</v>
      </c>
      <c r="B1360" s="1" t="s">
        <v>624</v>
      </c>
      <c r="C1360" t="s">
        <v>622</v>
      </c>
      <c r="D1360" s="44">
        <v>-27.58</v>
      </c>
      <c r="E1360" s="23" t="s">
        <v>35</v>
      </c>
      <c r="F1360" s="2">
        <v>610148001</v>
      </c>
      <c r="G1360" s="2" t="s">
        <v>41</v>
      </c>
      <c r="I1360" s="95" t="s">
        <v>7231</v>
      </c>
      <c r="J1360" t="s">
        <v>42</v>
      </c>
      <c r="K1360" t="s">
        <v>41</v>
      </c>
      <c r="M1360">
        <v>64.25</v>
      </c>
      <c r="N1360" s="4">
        <f t="shared" si="21"/>
        <v>-0.42926070038910502</v>
      </c>
      <c r="O1360" t="s">
        <v>605</v>
      </c>
      <c r="Q1360" s="24" t="s">
        <v>677</v>
      </c>
    </row>
    <row r="1361" spans="1:17" x14ac:dyDescent="0.25">
      <c r="A1361" s="43">
        <v>45716</v>
      </c>
      <c r="B1361" s="1" t="s">
        <v>1271</v>
      </c>
      <c r="C1361" t="s">
        <v>622</v>
      </c>
      <c r="D1361" s="44">
        <v>-10.09</v>
      </c>
      <c r="E1361" s="23" t="s">
        <v>35</v>
      </c>
      <c r="F1361" s="2">
        <v>610148001</v>
      </c>
      <c r="G1361" s="2" t="s">
        <v>41</v>
      </c>
      <c r="I1361" s="95" t="s">
        <v>7231</v>
      </c>
      <c r="J1361" t="s">
        <v>42</v>
      </c>
      <c r="K1361" t="s">
        <v>41</v>
      </c>
      <c r="M1361">
        <v>64.25</v>
      </c>
      <c r="N1361" s="4">
        <f t="shared" si="21"/>
        <v>-0.15704280155642023</v>
      </c>
      <c r="O1361" t="s">
        <v>605</v>
      </c>
      <c r="Q1361" s="24" t="s">
        <v>677</v>
      </c>
    </row>
    <row r="1362" spans="1:17" x14ac:dyDescent="0.25">
      <c r="A1362" s="43">
        <v>45716</v>
      </c>
      <c r="B1362" s="1" t="s">
        <v>623</v>
      </c>
      <c r="C1362" t="s">
        <v>622</v>
      </c>
      <c r="D1362" s="44">
        <v>-5.01</v>
      </c>
      <c r="E1362" s="23" t="s">
        <v>35</v>
      </c>
      <c r="F1362" s="2">
        <v>610148001</v>
      </c>
      <c r="G1362" s="2" t="s">
        <v>41</v>
      </c>
      <c r="I1362" s="95" t="s">
        <v>7231</v>
      </c>
      <c r="J1362" t="s">
        <v>42</v>
      </c>
      <c r="K1362" t="s">
        <v>41</v>
      </c>
      <c r="M1362">
        <v>64.25</v>
      </c>
      <c r="N1362" s="4">
        <f t="shared" si="21"/>
        <v>-7.7976653696498047E-2</v>
      </c>
      <c r="O1362" t="s">
        <v>605</v>
      </c>
      <c r="Q1362" s="24" t="s">
        <v>677</v>
      </c>
    </row>
    <row r="1363" spans="1:17" x14ac:dyDescent="0.25">
      <c r="A1363" s="43">
        <v>45716</v>
      </c>
      <c r="B1363" s="1" t="s">
        <v>625</v>
      </c>
      <c r="C1363" t="s">
        <v>622</v>
      </c>
      <c r="D1363" s="44">
        <v>-83.41</v>
      </c>
      <c r="E1363" s="23" t="s">
        <v>35</v>
      </c>
      <c r="F1363" s="2">
        <v>610148001</v>
      </c>
      <c r="G1363" s="2" t="s">
        <v>41</v>
      </c>
      <c r="I1363" s="95" t="s">
        <v>7231</v>
      </c>
      <c r="J1363" t="s">
        <v>42</v>
      </c>
      <c r="K1363" t="s">
        <v>41</v>
      </c>
      <c r="M1363">
        <v>64.25</v>
      </c>
      <c r="N1363" s="4">
        <f t="shared" si="21"/>
        <v>-1.2982101167315174</v>
      </c>
      <c r="O1363" t="s">
        <v>605</v>
      </c>
      <c r="Q1363" s="24" t="s">
        <v>677</v>
      </c>
    </row>
    <row r="1364" spans="1:17" x14ac:dyDescent="0.25">
      <c r="A1364" s="43">
        <v>45729</v>
      </c>
      <c r="B1364" s="1">
        <v>82</v>
      </c>
      <c r="C1364" t="s">
        <v>50</v>
      </c>
      <c r="D1364" s="23">
        <v>-49.22</v>
      </c>
      <c r="E1364" t="s">
        <v>35</v>
      </c>
      <c r="F1364" s="2">
        <v>610148001</v>
      </c>
      <c r="G1364" s="2" t="s">
        <v>41</v>
      </c>
      <c r="I1364" s="95" t="s">
        <v>7231</v>
      </c>
      <c r="J1364" t="s">
        <v>42</v>
      </c>
      <c r="K1364" t="s">
        <v>41</v>
      </c>
      <c r="M1364">
        <v>66.25</v>
      </c>
      <c r="N1364" s="4">
        <f t="shared" si="21"/>
        <v>-0.74294339622641503</v>
      </c>
      <c r="O1364" t="s">
        <v>51</v>
      </c>
      <c r="Q1364" s="24" t="s">
        <v>1310</v>
      </c>
    </row>
    <row r="1365" spans="1:17" x14ac:dyDescent="0.25">
      <c r="A1365" s="43">
        <v>45729</v>
      </c>
      <c r="B1365" s="1">
        <v>81</v>
      </c>
      <c r="C1365" t="s">
        <v>1311</v>
      </c>
      <c r="D1365" s="23">
        <v>-16407.5</v>
      </c>
      <c r="E1365" t="s">
        <v>35</v>
      </c>
      <c r="F1365" s="2">
        <v>840101001</v>
      </c>
      <c r="G1365" s="2" t="s">
        <v>60</v>
      </c>
      <c r="I1365" s="95" t="s">
        <v>7231</v>
      </c>
      <c r="J1365" t="s">
        <v>61</v>
      </c>
      <c r="K1365" t="s">
        <v>62</v>
      </c>
      <c r="M1365">
        <v>66.25</v>
      </c>
      <c r="N1365" s="4">
        <f t="shared" si="21"/>
        <v>-247.66037735849056</v>
      </c>
      <c r="O1365" t="s">
        <v>51</v>
      </c>
    </row>
    <row r="1366" spans="1:17" x14ac:dyDescent="0.25">
      <c r="A1366" s="43">
        <v>45729</v>
      </c>
      <c r="B1366" s="1">
        <v>80</v>
      </c>
      <c r="C1366" t="s">
        <v>82</v>
      </c>
      <c r="D1366" s="23">
        <v>17000</v>
      </c>
      <c r="E1366" t="s">
        <v>45</v>
      </c>
      <c r="F1366" s="2">
        <v>210115002</v>
      </c>
      <c r="G1366" s="2" t="s">
        <v>46</v>
      </c>
      <c r="I1366" s="95" t="s">
        <v>7231</v>
      </c>
      <c r="K1366" t="s">
        <v>82</v>
      </c>
      <c r="M1366">
        <v>66.25</v>
      </c>
      <c r="N1366" s="4">
        <f t="shared" si="21"/>
        <v>256.60377358490564</v>
      </c>
      <c r="O1366" t="s">
        <v>51</v>
      </c>
    </row>
    <row r="1367" spans="1:17" x14ac:dyDescent="0.25">
      <c r="A1367" s="43">
        <v>45743</v>
      </c>
      <c r="B1367" s="1">
        <v>85</v>
      </c>
      <c r="C1367" t="s">
        <v>50</v>
      </c>
      <c r="D1367" s="23">
        <v>-51.52</v>
      </c>
      <c r="E1367" t="s">
        <v>35</v>
      </c>
      <c r="F1367" s="2">
        <v>610148001</v>
      </c>
      <c r="G1367" s="2" t="s">
        <v>41</v>
      </c>
      <c r="I1367" s="95" t="s">
        <v>7231</v>
      </c>
      <c r="J1367" t="s">
        <v>42</v>
      </c>
      <c r="K1367" t="s">
        <v>41</v>
      </c>
      <c r="M1367">
        <v>69.02</v>
      </c>
      <c r="N1367" s="4">
        <f t="shared" si="21"/>
        <v>-0.74645030425963499</v>
      </c>
      <c r="O1367" t="s">
        <v>51</v>
      </c>
      <c r="Q1367" s="24" t="s">
        <v>1310</v>
      </c>
    </row>
    <row r="1368" spans="1:17" x14ac:dyDescent="0.25">
      <c r="A1368" s="43">
        <v>45743</v>
      </c>
      <c r="B1368" s="1">
        <v>84</v>
      </c>
      <c r="C1368" t="s">
        <v>1312</v>
      </c>
      <c r="D1368" s="23">
        <v>-17175</v>
      </c>
      <c r="E1368" t="s">
        <v>35</v>
      </c>
      <c r="F1368" s="2">
        <v>840101001</v>
      </c>
      <c r="G1368" s="2" t="s">
        <v>60</v>
      </c>
      <c r="I1368" s="95" t="s">
        <v>7231</v>
      </c>
      <c r="J1368" t="s">
        <v>61</v>
      </c>
      <c r="K1368" t="s">
        <v>62</v>
      </c>
      <c r="M1368">
        <v>69.02</v>
      </c>
      <c r="N1368" s="4">
        <f t="shared" si="21"/>
        <v>-248.84091567661548</v>
      </c>
      <c r="O1368" t="s">
        <v>51</v>
      </c>
    </row>
    <row r="1369" spans="1:17" x14ac:dyDescent="0.25">
      <c r="A1369" s="43">
        <v>45743</v>
      </c>
      <c r="B1369" s="1">
        <v>83</v>
      </c>
      <c r="C1369" t="s">
        <v>82</v>
      </c>
      <c r="D1369" s="23">
        <v>20000</v>
      </c>
      <c r="E1369" t="s">
        <v>45</v>
      </c>
      <c r="F1369" s="2">
        <v>210115002</v>
      </c>
      <c r="G1369" s="2" t="s">
        <v>46</v>
      </c>
      <c r="I1369" s="95" t="s">
        <v>7231</v>
      </c>
      <c r="K1369" t="s">
        <v>82</v>
      </c>
      <c r="M1369">
        <v>69.02</v>
      </c>
      <c r="N1369" s="4">
        <f t="shared" si="21"/>
        <v>289.77108084613155</v>
      </c>
      <c r="O1369" t="s">
        <v>51</v>
      </c>
    </row>
    <row r="1370" spans="1:17" x14ac:dyDescent="0.25">
      <c r="A1370" s="43">
        <v>45747</v>
      </c>
      <c r="B1370" s="1">
        <v>87</v>
      </c>
      <c r="C1370" t="s">
        <v>68</v>
      </c>
      <c r="D1370" s="23">
        <v>-0.5</v>
      </c>
      <c r="E1370" t="s">
        <v>35</v>
      </c>
      <c r="F1370" s="2">
        <v>610148001</v>
      </c>
      <c r="G1370" s="2" t="s">
        <v>41</v>
      </c>
      <c r="I1370" s="95" t="s">
        <v>7231</v>
      </c>
      <c r="J1370" t="s">
        <v>42</v>
      </c>
      <c r="K1370" t="s">
        <v>41</v>
      </c>
      <c r="M1370">
        <v>69.569999999999993</v>
      </c>
      <c r="N1370" s="4">
        <f t="shared" si="21"/>
        <v>-7.1870058933448337E-3</v>
      </c>
      <c r="O1370" t="s">
        <v>51</v>
      </c>
      <c r="Q1370" s="24" t="s">
        <v>1310</v>
      </c>
    </row>
    <row r="1371" spans="1:17" x14ac:dyDescent="0.25">
      <c r="A1371" s="43">
        <v>45747</v>
      </c>
      <c r="B1371" s="1">
        <v>86</v>
      </c>
      <c r="C1371" t="s">
        <v>69</v>
      </c>
      <c r="D1371" s="23">
        <v>-0.5</v>
      </c>
      <c r="E1371" t="s">
        <v>35</v>
      </c>
      <c r="F1371" s="2">
        <v>610148001</v>
      </c>
      <c r="G1371" s="2" t="s">
        <v>41</v>
      </c>
      <c r="I1371" s="95" t="s">
        <v>7231</v>
      </c>
      <c r="J1371" t="s">
        <v>42</v>
      </c>
      <c r="K1371" t="s">
        <v>41</v>
      </c>
      <c r="M1371">
        <v>69.569999999999993</v>
      </c>
      <c r="N1371" s="4">
        <f t="shared" si="21"/>
        <v>-7.1870058933448337E-3</v>
      </c>
      <c r="O1371" t="s">
        <v>51</v>
      </c>
      <c r="Q1371" s="24" t="s">
        <v>1310</v>
      </c>
    </row>
    <row r="1372" spans="1:17" x14ac:dyDescent="0.25">
      <c r="A1372" s="43">
        <v>45721</v>
      </c>
      <c r="B1372" s="1">
        <v>140256027</v>
      </c>
      <c r="C1372" t="s">
        <v>82</v>
      </c>
      <c r="D1372" s="23">
        <v>40000</v>
      </c>
      <c r="E1372" t="s">
        <v>45</v>
      </c>
      <c r="F1372" s="2">
        <v>210115002</v>
      </c>
      <c r="G1372" s="2" t="s">
        <v>46</v>
      </c>
      <c r="I1372" s="95" t="s">
        <v>7231</v>
      </c>
      <c r="K1372" t="s">
        <v>82</v>
      </c>
      <c r="M1372">
        <v>64.48</v>
      </c>
      <c r="N1372" s="4">
        <f t="shared" si="21"/>
        <v>620.3473945409429</v>
      </c>
      <c r="O1372" t="s">
        <v>83</v>
      </c>
    </row>
    <row r="1373" spans="1:17" x14ac:dyDescent="0.25">
      <c r="A1373" s="43">
        <v>45721</v>
      </c>
      <c r="B1373" s="1">
        <v>519384155</v>
      </c>
      <c r="C1373" t="s">
        <v>1313</v>
      </c>
      <c r="D1373" s="23">
        <v>-58411.14</v>
      </c>
      <c r="E1373" t="s">
        <v>35</v>
      </c>
      <c r="F1373" s="2">
        <v>210101001</v>
      </c>
      <c r="G1373" s="2" t="s">
        <v>36</v>
      </c>
      <c r="I1373" s="95" t="s">
        <v>7231</v>
      </c>
      <c r="J1373" t="s">
        <v>804</v>
      </c>
      <c r="K1373" t="s">
        <v>805</v>
      </c>
      <c r="M1373">
        <v>64.48</v>
      </c>
      <c r="N1373" s="4">
        <f t="shared" si="21"/>
        <v>-905.87996277915624</v>
      </c>
      <c r="O1373" t="s">
        <v>83</v>
      </c>
    </row>
    <row r="1374" spans="1:17" x14ac:dyDescent="0.25">
      <c r="A1374" s="43">
        <v>45721</v>
      </c>
      <c r="B1374" s="1">
        <v>50312996</v>
      </c>
      <c r="C1374" t="s">
        <v>1314</v>
      </c>
      <c r="D1374" s="23">
        <v>-2295.5</v>
      </c>
      <c r="E1374" t="s">
        <v>35</v>
      </c>
      <c r="F1374" s="2">
        <v>210101001</v>
      </c>
      <c r="G1374" s="2" t="s">
        <v>36</v>
      </c>
      <c r="I1374" s="95" t="s">
        <v>7231</v>
      </c>
      <c r="J1374" t="s">
        <v>389</v>
      </c>
      <c r="K1374" t="s">
        <v>390</v>
      </c>
      <c r="M1374">
        <v>64.48</v>
      </c>
      <c r="N1374" s="4">
        <f t="shared" si="21"/>
        <v>-35.600186104218359</v>
      </c>
      <c r="O1374" t="s">
        <v>83</v>
      </c>
    </row>
    <row r="1375" spans="1:17" x14ac:dyDescent="0.25">
      <c r="A1375" s="43">
        <v>45721</v>
      </c>
      <c r="B1375" s="1">
        <v>50312996</v>
      </c>
      <c r="C1375" t="s">
        <v>179</v>
      </c>
      <c r="D1375" s="23">
        <v>-3.44</v>
      </c>
      <c r="E1375" t="s">
        <v>35</v>
      </c>
      <c r="F1375" s="2">
        <v>610148001</v>
      </c>
      <c r="G1375" s="2" t="s">
        <v>41</v>
      </c>
      <c r="I1375" s="95" t="s">
        <v>7231</v>
      </c>
      <c r="J1375" t="s">
        <v>42</v>
      </c>
      <c r="K1375" t="s">
        <v>41</v>
      </c>
      <c r="M1375">
        <v>64.48</v>
      </c>
      <c r="N1375" s="4">
        <f t="shared" si="21"/>
        <v>-5.3349875930521089E-2</v>
      </c>
      <c r="O1375" t="s">
        <v>83</v>
      </c>
      <c r="Q1375" s="24" t="s">
        <v>1310</v>
      </c>
    </row>
    <row r="1376" spans="1:17" x14ac:dyDescent="0.25">
      <c r="A1376" s="43">
        <v>45721</v>
      </c>
      <c r="B1376" s="1">
        <v>50312996</v>
      </c>
      <c r="C1376" t="s">
        <v>89</v>
      </c>
      <c r="D1376" s="23">
        <v>-146.02000000000001</v>
      </c>
      <c r="E1376" t="s">
        <v>35</v>
      </c>
      <c r="F1376" s="2">
        <v>610148001</v>
      </c>
      <c r="G1376" s="2" t="s">
        <v>41</v>
      </c>
      <c r="I1376" s="95" t="s">
        <v>7231</v>
      </c>
      <c r="J1376" t="s">
        <v>42</v>
      </c>
      <c r="K1376" t="s">
        <v>41</v>
      </c>
      <c r="M1376">
        <v>64.48</v>
      </c>
      <c r="N1376" s="4">
        <f t="shared" si="21"/>
        <v>-2.2645781637717124</v>
      </c>
      <c r="O1376" t="s">
        <v>83</v>
      </c>
      <c r="Q1376" s="24" t="s">
        <v>1310</v>
      </c>
    </row>
    <row r="1377" spans="1:17" x14ac:dyDescent="0.25">
      <c r="A1377" s="43">
        <v>45722</v>
      </c>
      <c r="B1377" s="1">
        <v>152718273</v>
      </c>
      <c r="C1377" t="s">
        <v>82</v>
      </c>
      <c r="D1377" s="23">
        <v>238000</v>
      </c>
      <c r="E1377" t="s">
        <v>45</v>
      </c>
      <c r="F1377" s="2">
        <v>210115002</v>
      </c>
      <c r="G1377" s="2" t="s">
        <v>46</v>
      </c>
      <c r="I1377" s="95" t="s">
        <v>7231</v>
      </c>
      <c r="K1377" t="s">
        <v>82</v>
      </c>
      <c r="M1377">
        <v>64.61</v>
      </c>
      <c r="N1377" s="4">
        <f t="shared" si="21"/>
        <v>3683.6403033586134</v>
      </c>
      <c r="O1377" t="s">
        <v>83</v>
      </c>
    </row>
    <row r="1378" spans="1:17" x14ac:dyDescent="0.25">
      <c r="A1378" s="43">
        <v>45722</v>
      </c>
      <c r="B1378" s="1">
        <v>319435486</v>
      </c>
      <c r="C1378" t="s">
        <v>1315</v>
      </c>
      <c r="D1378" s="23">
        <v>-31010.86</v>
      </c>
      <c r="E1378" t="s">
        <v>35</v>
      </c>
      <c r="F1378" s="2">
        <v>210101001</v>
      </c>
      <c r="G1378" s="2" t="s">
        <v>36</v>
      </c>
      <c r="I1378" s="95" t="s">
        <v>7231</v>
      </c>
      <c r="J1378" t="s">
        <v>1007</v>
      </c>
      <c r="K1378" t="s">
        <v>1008</v>
      </c>
      <c r="M1378">
        <v>64.61</v>
      </c>
      <c r="N1378" s="4">
        <f t="shared" si="21"/>
        <v>-479.96997368828357</v>
      </c>
      <c r="O1378" t="s">
        <v>83</v>
      </c>
    </row>
    <row r="1379" spans="1:17" x14ac:dyDescent="0.25">
      <c r="A1379" s="43">
        <v>45722</v>
      </c>
      <c r="B1379" s="1">
        <v>319435486</v>
      </c>
      <c r="C1379" t="s">
        <v>185</v>
      </c>
      <c r="D1379" s="23">
        <v>-93.03</v>
      </c>
      <c r="E1379" t="s">
        <v>35</v>
      </c>
      <c r="F1379" s="2">
        <v>610148001</v>
      </c>
      <c r="G1379" s="2" t="s">
        <v>41</v>
      </c>
      <c r="I1379" s="95" t="s">
        <v>7231</v>
      </c>
      <c r="J1379" t="s">
        <v>42</v>
      </c>
      <c r="K1379" t="s">
        <v>41</v>
      </c>
      <c r="M1379">
        <v>64.61</v>
      </c>
      <c r="N1379" s="4">
        <f t="shared" si="21"/>
        <v>-1.4398699891657638</v>
      </c>
      <c r="O1379" t="s">
        <v>83</v>
      </c>
      <c r="Q1379" s="24" t="s">
        <v>1310</v>
      </c>
    </row>
    <row r="1380" spans="1:17" x14ac:dyDescent="0.25">
      <c r="A1380" s="43">
        <v>45722</v>
      </c>
      <c r="B1380" s="1">
        <v>153032951</v>
      </c>
      <c r="C1380" t="s">
        <v>1316</v>
      </c>
      <c r="D1380" s="23">
        <v>-206660.25</v>
      </c>
      <c r="E1380" t="s">
        <v>35</v>
      </c>
      <c r="I1380" s="95" t="s">
        <v>7231</v>
      </c>
      <c r="K1380" t="s">
        <v>1317</v>
      </c>
      <c r="M1380">
        <v>64.61</v>
      </c>
      <c r="N1380" s="4">
        <f t="shared" si="21"/>
        <v>-3198.5799411855751</v>
      </c>
      <c r="O1380" t="s">
        <v>83</v>
      </c>
      <c r="P1380" s="3" t="s">
        <v>901</v>
      </c>
    </row>
    <row r="1381" spans="1:17" x14ac:dyDescent="0.25">
      <c r="A1381" s="43">
        <v>45723</v>
      </c>
      <c r="B1381" s="1">
        <v>113039780</v>
      </c>
      <c r="C1381" t="s">
        <v>82</v>
      </c>
      <c r="D1381" s="23">
        <v>54000</v>
      </c>
      <c r="E1381" t="s">
        <v>45</v>
      </c>
      <c r="F1381" s="2">
        <v>210115002</v>
      </c>
      <c r="G1381" s="2" t="s">
        <v>46</v>
      </c>
      <c r="I1381" s="95" t="s">
        <v>7231</v>
      </c>
      <c r="K1381" t="s">
        <v>82</v>
      </c>
      <c r="M1381">
        <v>64.75</v>
      </c>
      <c r="N1381" s="4">
        <f t="shared" si="21"/>
        <v>833.97683397683397</v>
      </c>
      <c r="O1381" t="s">
        <v>83</v>
      </c>
    </row>
    <row r="1382" spans="1:17" x14ac:dyDescent="0.25">
      <c r="A1382" s="43">
        <v>45723</v>
      </c>
      <c r="B1382" s="1">
        <v>719461217</v>
      </c>
      <c r="C1382" t="s">
        <v>1318</v>
      </c>
      <c r="D1382" s="23">
        <v>-12667.2</v>
      </c>
      <c r="E1382" t="s">
        <v>35</v>
      </c>
      <c r="F1382" s="2">
        <v>210101001</v>
      </c>
      <c r="G1382" s="2" t="s">
        <v>36</v>
      </c>
      <c r="I1382" s="95" t="s">
        <v>7231</v>
      </c>
      <c r="J1382" t="s">
        <v>414</v>
      </c>
      <c r="K1382" t="s">
        <v>415</v>
      </c>
      <c r="M1382">
        <v>64.75</v>
      </c>
      <c r="N1382" s="4">
        <f t="shared" si="21"/>
        <v>-195.63243243243244</v>
      </c>
      <c r="O1382" t="s">
        <v>83</v>
      </c>
    </row>
    <row r="1383" spans="1:17" x14ac:dyDescent="0.25">
      <c r="A1383" s="43">
        <v>45723</v>
      </c>
      <c r="B1383" s="1">
        <v>719461218</v>
      </c>
      <c r="C1383" t="s">
        <v>1319</v>
      </c>
      <c r="D1383" s="23">
        <v>-1554</v>
      </c>
      <c r="E1383" t="s">
        <v>35</v>
      </c>
      <c r="F1383" s="2">
        <v>212901001</v>
      </c>
      <c r="G1383" s="2" t="s">
        <v>91</v>
      </c>
      <c r="I1383" s="95" t="s">
        <v>7231</v>
      </c>
      <c r="J1383" t="s">
        <v>61</v>
      </c>
      <c r="K1383" t="s">
        <v>62</v>
      </c>
      <c r="M1383">
        <v>64.75</v>
      </c>
      <c r="N1383" s="4">
        <f t="shared" si="21"/>
        <v>-24</v>
      </c>
      <c r="O1383" t="s">
        <v>83</v>
      </c>
    </row>
    <row r="1384" spans="1:17" x14ac:dyDescent="0.25">
      <c r="A1384" s="43">
        <v>45723</v>
      </c>
      <c r="B1384" s="1">
        <v>819461219</v>
      </c>
      <c r="C1384" t="s">
        <v>1320</v>
      </c>
      <c r="D1384" s="23">
        <v>-3237.5</v>
      </c>
      <c r="E1384" t="s">
        <v>35</v>
      </c>
      <c r="F1384" s="2">
        <v>212901001</v>
      </c>
      <c r="G1384" s="2" t="s">
        <v>91</v>
      </c>
      <c r="I1384" s="95" t="s">
        <v>7231</v>
      </c>
      <c r="J1384" t="s">
        <v>61</v>
      </c>
      <c r="K1384" t="s">
        <v>62</v>
      </c>
      <c r="M1384">
        <v>64.75</v>
      </c>
      <c r="N1384" s="4">
        <f t="shared" si="21"/>
        <v>-50</v>
      </c>
      <c r="O1384" t="s">
        <v>83</v>
      </c>
    </row>
    <row r="1385" spans="1:17" x14ac:dyDescent="0.25">
      <c r="A1385" s="43">
        <v>45723</v>
      </c>
      <c r="B1385" s="1">
        <v>819461222</v>
      </c>
      <c r="C1385" t="s">
        <v>1321</v>
      </c>
      <c r="D1385" s="23">
        <v>-3885</v>
      </c>
      <c r="E1385" t="s">
        <v>35</v>
      </c>
      <c r="F1385" s="2">
        <v>212901001</v>
      </c>
      <c r="G1385" s="2" t="s">
        <v>91</v>
      </c>
      <c r="I1385" s="95" t="s">
        <v>7231</v>
      </c>
      <c r="J1385" t="s">
        <v>61</v>
      </c>
      <c r="K1385" t="s">
        <v>62</v>
      </c>
      <c r="M1385">
        <v>64.75</v>
      </c>
      <c r="N1385" s="4">
        <f t="shared" si="21"/>
        <v>-60</v>
      </c>
      <c r="O1385" t="s">
        <v>83</v>
      </c>
    </row>
    <row r="1386" spans="1:17" x14ac:dyDescent="0.25">
      <c r="A1386" s="43">
        <v>45723</v>
      </c>
      <c r="B1386" s="1">
        <v>819461223</v>
      </c>
      <c r="C1386" t="s">
        <v>1322</v>
      </c>
      <c r="D1386" s="23">
        <v>-1295</v>
      </c>
      <c r="E1386" t="s">
        <v>35</v>
      </c>
      <c r="F1386" s="2">
        <v>212901001</v>
      </c>
      <c r="G1386" s="2" t="s">
        <v>91</v>
      </c>
      <c r="I1386" s="95" t="s">
        <v>7231</v>
      </c>
      <c r="J1386" t="s">
        <v>61</v>
      </c>
      <c r="K1386" t="s">
        <v>62</v>
      </c>
      <c r="M1386">
        <v>64.75</v>
      </c>
      <c r="N1386" s="4">
        <f t="shared" si="21"/>
        <v>-20</v>
      </c>
      <c r="O1386" t="s">
        <v>83</v>
      </c>
    </row>
    <row r="1387" spans="1:17" x14ac:dyDescent="0.25">
      <c r="A1387" s="43">
        <v>45723</v>
      </c>
      <c r="B1387" s="1">
        <v>819461225</v>
      </c>
      <c r="C1387" t="s">
        <v>1323</v>
      </c>
      <c r="D1387" s="23">
        <v>-1295</v>
      </c>
      <c r="E1387" t="s">
        <v>35</v>
      </c>
      <c r="F1387" s="2">
        <v>212901001</v>
      </c>
      <c r="G1387" s="2" t="s">
        <v>91</v>
      </c>
      <c r="I1387" s="95" t="s">
        <v>7231</v>
      </c>
      <c r="J1387" t="s">
        <v>61</v>
      </c>
      <c r="K1387" t="s">
        <v>62</v>
      </c>
      <c r="M1387">
        <v>64.75</v>
      </c>
      <c r="N1387" s="4">
        <f t="shared" si="21"/>
        <v>-20</v>
      </c>
      <c r="O1387" t="s">
        <v>83</v>
      </c>
    </row>
    <row r="1388" spans="1:17" x14ac:dyDescent="0.25">
      <c r="A1388" s="43">
        <v>45723</v>
      </c>
      <c r="B1388" s="1">
        <v>819461224</v>
      </c>
      <c r="C1388" t="s">
        <v>1324</v>
      </c>
      <c r="D1388" s="23">
        <v>-1295</v>
      </c>
      <c r="E1388" t="s">
        <v>35</v>
      </c>
      <c r="F1388" s="2">
        <v>212901001</v>
      </c>
      <c r="G1388" s="2" t="s">
        <v>91</v>
      </c>
      <c r="I1388" s="95" t="s">
        <v>7231</v>
      </c>
      <c r="J1388" t="s">
        <v>61</v>
      </c>
      <c r="K1388" t="s">
        <v>62</v>
      </c>
      <c r="M1388">
        <v>64.75</v>
      </c>
      <c r="N1388" s="4">
        <f t="shared" si="21"/>
        <v>-20</v>
      </c>
      <c r="O1388" t="s">
        <v>83</v>
      </c>
    </row>
    <row r="1389" spans="1:17" x14ac:dyDescent="0.25">
      <c r="A1389" s="43">
        <v>45723</v>
      </c>
      <c r="B1389" s="1">
        <v>819461226</v>
      </c>
      <c r="C1389" t="s">
        <v>1325</v>
      </c>
      <c r="D1389" s="23">
        <v>-1295</v>
      </c>
      <c r="E1389" t="s">
        <v>35</v>
      </c>
      <c r="F1389" s="2">
        <v>212901001</v>
      </c>
      <c r="G1389" s="2" t="s">
        <v>91</v>
      </c>
      <c r="I1389" s="95" t="s">
        <v>7231</v>
      </c>
      <c r="J1389" t="s">
        <v>61</v>
      </c>
      <c r="K1389" t="s">
        <v>62</v>
      </c>
      <c r="M1389">
        <v>64.75</v>
      </c>
      <c r="N1389" s="4">
        <f t="shared" si="21"/>
        <v>-20</v>
      </c>
      <c r="O1389" t="s">
        <v>83</v>
      </c>
    </row>
    <row r="1390" spans="1:17" x14ac:dyDescent="0.25">
      <c r="A1390" s="43">
        <v>45723</v>
      </c>
      <c r="B1390" s="1">
        <v>819461227</v>
      </c>
      <c r="C1390" t="s">
        <v>1326</v>
      </c>
      <c r="D1390" s="23">
        <v>-4446</v>
      </c>
      <c r="E1390" t="s">
        <v>35</v>
      </c>
      <c r="F1390" s="2">
        <v>210101001</v>
      </c>
      <c r="G1390" s="2" t="s">
        <v>36</v>
      </c>
      <c r="I1390" s="95" t="s">
        <v>7231</v>
      </c>
      <c r="J1390" t="s">
        <v>86</v>
      </c>
      <c r="K1390" t="s">
        <v>87</v>
      </c>
      <c r="M1390">
        <v>64.75</v>
      </c>
      <c r="N1390" s="4">
        <f t="shared" si="21"/>
        <v>-68.664092664092664</v>
      </c>
      <c r="O1390" t="s">
        <v>83</v>
      </c>
    </row>
    <row r="1391" spans="1:17" x14ac:dyDescent="0.25">
      <c r="A1391" s="46">
        <v>45723</v>
      </c>
      <c r="B1391" s="27">
        <v>819461228</v>
      </c>
      <c r="C1391" s="28" t="s">
        <v>52</v>
      </c>
      <c r="D1391" s="29">
        <v>-7770</v>
      </c>
      <c r="E1391" s="28" t="s">
        <v>35</v>
      </c>
      <c r="F1391" s="30">
        <v>610129001</v>
      </c>
      <c r="G1391" s="30" t="s">
        <v>53</v>
      </c>
      <c r="H1391" s="30"/>
      <c r="I1391" s="95" t="s">
        <v>7231</v>
      </c>
      <c r="J1391" s="28" t="s">
        <v>54</v>
      </c>
      <c r="K1391" s="28" t="s">
        <v>55</v>
      </c>
      <c r="L1391" s="28" t="s">
        <v>56</v>
      </c>
      <c r="M1391" s="28">
        <v>64.75</v>
      </c>
      <c r="N1391" s="4">
        <f t="shared" si="21"/>
        <v>-120</v>
      </c>
      <c r="O1391" t="s">
        <v>83</v>
      </c>
      <c r="Q1391" s="24" t="s">
        <v>1327</v>
      </c>
    </row>
    <row r="1392" spans="1:17" x14ac:dyDescent="0.25">
      <c r="A1392" s="43">
        <v>45723</v>
      </c>
      <c r="B1392" s="1">
        <v>819461229</v>
      </c>
      <c r="C1392" t="s">
        <v>1328</v>
      </c>
      <c r="D1392" s="23">
        <v>-8038.03</v>
      </c>
      <c r="E1392" t="s">
        <v>35</v>
      </c>
      <c r="F1392" s="2">
        <v>210101001</v>
      </c>
      <c r="G1392" s="2" t="s">
        <v>36</v>
      </c>
      <c r="I1392" s="95" t="s">
        <v>7231</v>
      </c>
      <c r="J1392" t="s">
        <v>86</v>
      </c>
      <c r="K1392" t="s">
        <v>87</v>
      </c>
      <c r="M1392">
        <v>64.75</v>
      </c>
      <c r="N1392" s="4">
        <f t="shared" si="21"/>
        <v>-124.13945945945946</v>
      </c>
      <c r="O1392" t="s">
        <v>83</v>
      </c>
    </row>
    <row r="1393" spans="1:17" x14ac:dyDescent="0.25">
      <c r="A1393" s="43">
        <v>45723</v>
      </c>
      <c r="B1393" s="1">
        <v>50371222</v>
      </c>
      <c r="C1393" t="s">
        <v>89</v>
      </c>
      <c r="D1393" s="23">
        <v>-116.94</v>
      </c>
      <c r="E1393" t="s">
        <v>35</v>
      </c>
      <c r="F1393" s="2">
        <v>610148001</v>
      </c>
      <c r="G1393" s="2" t="s">
        <v>41</v>
      </c>
      <c r="I1393" s="95" t="s">
        <v>7231</v>
      </c>
      <c r="J1393" t="s">
        <v>42</v>
      </c>
      <c r="K1393" t="s">
        <v>41</v>
      </c>
      <c r="M1393">
        <v>64.75</v>
      </c>
      <c r="N1393" s="4">
        <f t="shared" si="21"/>
        <v>-1.806023166023166</v>
      </c>
      <c r="O1393" t="s">
        <v>83</v>
      </c>
      <c r="Q1393" s="24" t="s">
        <v>1310</v>
      </c>
    </row>
    <row r="1394" spans="1:17" x14ac:dyDescent="0.25">
      <c r="A1394" s="43">
        <v>45723</v>
      </c>
      <c r="B1394" s="1">
        <v>50371222</v>
      </c>
      <c r="C1394" t="s">
        <v>792</v>
      </c>
      <c r="D1394" s="23">
        <v>-0.13</v>
      </c>
      <c r="E1394" t="s">
        <v>35</v>
      </c>
      <c r="F1394" s="2">
        <v>610148001</v>
      </c>
      <c r="G1394" s="2" t="s">
        <v>41</v>
      </c>
      <c r="I1394" s="95" t="s">
        <v>7231</v>
      </c>
      <c r="J1394" t="s">
        <v>42</v>
      </c>
      <c r="K1394" t="s">
        <v>41</v>
      </c>
      <c r="M1394">
        <v>64.75</v>
      </c>
      <c r="N1394" s="4">
        <f t="shared" si="21"/>
        <v>-2.0077220077220079E-3</v>
      </c>
      <c r="O1394" t="s">
        <v>83</v>
      </c>
      <c r="Q1394" s="24" t="s">
        <v>1310</v>
      </c>
    </row>
    <row r="1395" spans="1:17" x14ac:dyDescent="0.25">
      <c r="A1395" s="43">
        <v>45723</v>
      </c>
      <c r="B1395" s="1">
        <v>0</v>
      </c>
      <c r="C1395" t="s">
        <v>92</v>
      </c>
      <c r="D1395" s="23">
        <v>-58.79</v>
      </c>
      <c r="E1395" t="s">
        <v>35</v>
      </c>
      <c r="F1395" s="2">
        <v>610148001</v>
      </c>
      <c r="G1395" s="2" t="s">
        <v>41</v>
      </c>
      <c r="I1395" s="95" t="s">
        <v>7231</v>
      </c>
      <c r="J1395" t="s">
        <v>42</v>
      </c>
      <c r="K1395" t="s">
        <v>41</v>
      </c>
      <c r="M1395">
        <v>64.75</v>
      </c>
      <c r="N1395" s="4">
        <f t="shared" si="21"/>
        <v>-0.90795366795366794</v>
      </c>
      <c r="O1395" t="s">
        <v>83</v>
      </c>
      <c r="Q1395" s="24" t="s">
        <v>1310</v>
      </c>
    </row>
    <row r="1396" spans="1:17" x14ac:dyDescent="0.25">
      <c r="A1396" s="43">
        <v>45723</v>
      </c>
      <c r="B1396" s="1">
        <v>956808</v>
      </c>
      <c r="C1396" t="s">
        <v>1329</v>
      </c>
      <c r="D1396" s="23">
        <v>-10871.1</v>
      </c>
      <c r="E1396" t="s">
        <v>35</v>
      </c>
      <c r="F1396" s="2">
        <v>213401001</v>
      </c>
      <c r="G1396" s="2" t="s">
        <v>94</v>
      </c>
      <c r="I1396" s="95" t="s">
        <v>7231</v>
      </c>
      <c r="J1396" t="s">
        <v>95</v>
      </c>
      <c r="K1396" t="s">
        <v>96</v>
      </c>
      <c r="M1396">
        <v>64.75</v>
      </c>
      <c r="N1396" s="4">
        <f t="shared" si="21"/>
        <v>-167.89343629343631</v>
      </c>
      <c r="O1396" t="s">
        <v>83</v>
      </c>
      <c r="Q1396" s="24" t="s">
        <v>1330</v>
      </c>
    </row>
    <row r="1397" spans="1:17" x14ac:dyDescent="0.25">
      <c r="A1397" s="43">
        <v>45723</v>
      </c>
      <c r="B1397" s="1">
        <v>142112708</v>
      </c>
      <c r="C1397" t="s">
        <v>82</v>
      </c>
      <c r="D1397" s="23">
        <v>605000</v>
      </c>
      <c r="E1397" t="s">
        <v>45</v>
      </c>
      <c r="F1397" s="2">
        <v>210115002</v>
      </c>
      <c r="G1397" s="2" t="s">
        <v>46</v>
      </c>
      <c r="I1397" s="95" t="s">
        <v>7231</v>
      </c>
      <c r="K1397" t="s">
        <v>82</v>
      </c>
      <c r="M1397">
        <v>64.75</v>
      </c>
      <c r="N1397" s="4">
        <f t="shared" si="21"/>
        <v>9343.6293436293436</v>
      </c>
      <c r="O1397" t="s">
        <v>83</v>
      </c>
    </row>
    <row r="1398" spans="1:17" x14ac:dyDescent="0.25">
      <c r="A1398" s="43">
        <v>45723</v>
      </c>
      <c r="B1398" s="1">
        <v>19474826</v>
      </c>
      <c r="C1398" t="s">
        <v>1331</v>
      </c>
      <c r="D1398" s="23">
        <v>-2254.04</v>
      </c>
      <c r="E1398" t="s">
        <v>35</v>
      </c>
      <c r="F1398" s="2">
        <v>210101001</v>
      </c>
      <c r="G1398" s="2" t="s">
        <v>36</v>
      </c>
      <c r="I1398" s="95" t="s">
        <v>7231</v>
      </c>
      <c r="J1398" t="s">
        <v>599</v>
      </c>
      <c r="K1398" t="s">
        <v>600</v>
      </c>
      <c r="M1398">
        <v>64.75</v>
      </c>
      <c r="N1398" s="4">
        <f t="shared" si="21"/>
        <v>-34.811428571428571</v>
      </c>
      <c r="O1398" t="s">
        <v>83</v>
      </c>
    </row>
    <row r="1399" spans="1:17" x14ac:dyDescent="0.25">
      <c r="A1399" s="43">
        <v>45723</v>
      </c>
      <c r="B1399" s="1">
        <v>19474825</v>
      </c>
      <c r="C1399" t="s">
        <v>1332</v>
      </c>
      <c r="D1399" s="23">
        <v>-15998.43</v>
      </c>
      <c r="E1399" t="s">
        <v>35</v>
      </c>
      <c r="F1399" s="2">
        <v>210101001</v>
      </c>
      <c r="G1399" s="2" t="s">
        <v>36</v>
      </c>
      <c r="I1399" s="95" t="s">
        <v>7231</v>
      </c>
      <c r="J1399" t="s">
        <v>1007</v>
      </c>
      <c r="K1399" t="s">
        <v>1008</v>
      </c>
      <c r="M1399">
        <v>64.75</v>
      </c>
      <c r="N1399" s="4">
        <f t="shared" si="21"/>
        <v>-247.08</v>
      </c>
      <c r="O1399" t="s">
        <v>83</v>
      </c>
    </row>
    <row r="1400" spans="1:17" x14ac:dyDescent="0.25">
      <c r="A1400" s="43">
        <v>45723</v>
      </c>
      <c r="B1400" s="1">
        <v>19474828</v>
      </c>
      <c r="C1400" t="s">
        <v>1333</v>
      </c>
      <c r="D1400" s="23">
        <v>-200000</v>
      </c>
      <c r="E1400" t="s">
        <v>35</v>
      </c>
      <c r="F1400" s="2">
        <v>210101001</v>
      </c>
      <c r="G1400" s="2" t="s">
        <v>36</v>
      </c>
      <c r="I1400" s="95" t="s">
        <v>7231</v>
      </c>
      <c r="J1400" t="s">
        <v>37</v>
      </c>
      <c r="K1400" t="s">
        <v>38</v>
      </c>
      <c r="M1400">
        <v>64.75</v>
      </c>
      <c r="N1400" s="4">
        <f t="shared" si="21"/>
        <v>-3088.8030888030889</v>
      </c>
      <c r="O1400" t="s">
        <v>83</v>
      </c>
    </row>
    <row r="1401" spans="1:17" x14ac:dyDescent="0.25">
      <c r="A1401" s="43">
        <v>45723</v>
      </c>
      <c r="B1401" s="1">
        <v>119474832</v>
      </c>
      <c r="C1401" t="s">
        <v>1334</v>
      </c>
      <c r="D1401" s="23">
        <v>-4532.5</v>
      </c>
      <c r="E1401" t="s">
        <v>35</v>
      </c>
      <c r="F1401" s="2">
        <v>212901001</v>
      </c>
      <c r="G1401" s="2" t="s">
        <v>91</v>
      </c>
      <c r="I1401" s="95" t="s">
        <v>7231</v>
      </c>
      <c r="J1401" t="s">
        <v>61</v>
      </c>
      <c r="K1401" t="s">
        <v>62</v>
      </c>
      <c r="M1401">
        <v>64.75</v>
      </c>
      <c r="N1401" s="4">
        <f t="shared" si="21"/>
        <v>-70</v>
      </c>
      <c r="O1401" t="s">
        <v>83</v>
      </c>
    </row>
    <row r="1402" spans="1:17" x14ac:dyDescent="0.25">
      <c r="A1402" s="43">
        <v>45723</v>
      </c>
      <c r="B1402" s="1">
        <v>119474833</v>
      </c>
      <c r="C1402" t="s">
        <v>1335</v>
      </c>
      <c r="D1402" s="23">
        <v>-47655.35</v>
      </c>
      <c r="E1402" t="s">
        <v>35</v>
      </c>
      <c r="F1402" s="2">
        <v>110110001</v>
      </c>
      <c r="G1402" s="2" t="s">
        <v>655</v>
      </c>
      <c r="I1402" s="95" t="s">
        <v>7231</v>
      </c>
      <c r="J1402" t="s">
        <v>1336</v>
      </c>
      <c r="K1402" t="s">
        <v>657</v>
      </c>
      <c r="M1402">
        <v>64.75</v>
      </c>
      <c r="N1402" s="4">
        <f t="shared" si="21"/>
        <v>-735.98996138996142</v>
      </c>
      <c r="O1402" t="s">
        <v>83</v>
      </c>
      <c r="Q1402" s="24" t="s">
        <v>1337</v>
      </c>
    </row>
    <row r="1403" spans="1:17" x14ac:dyDescent="0.25">
      <c r="A1403" s="43">
        <v>45723</v>
      </c>
      <c r="B1403" s="1">
        <v>19474827</v>
      </c>
      <c r="C1403" t="s">
        <v>1338</v>
      </c>
      <c r="D1403" s="23">
        <v>-96158.69</v>
      </c>
      <c r="E1403" t="s">
        <v>35</v>
      </c>
      <c r="F1403" s="2">
        <v>110114001</v>
      </c>
      <c r="G1403" s="2" t="s">
        <v>181</v>
      </c>
      <c r="I1403" s="95" t="s">
        <v>7231</v>
      </c>
      <c r="J1403" t="s">
        <v>37</v>
      </c>
      <c r="K1403" s="49" t="s">
        <v>38</v>
      </c>
      <c r="L1403" s="49"/>
      <c r="M1403">
        <v>64.75</v>
      </c>
      <c r="N1403" s="4">
        <f t="shared" si="21"/>
        <v>-1485.0762934362936</v>
      </c>
      <c r="O1403" t="s">
        <v>83</v>
      </c>
      <c r="P1403" s="34" t="s">
        <v>1339</v>
      </c>
    </row>
    <row r="1404" spans="1:17" x14ac:dyDescent="0.25">
      <c r="A1404" s="43">
        <v>45723</v>
      </c>
      <c r="B1404" s="1">
        <v>119474830</v>
      </c>
      <c r="C1404" t="s">
        <v>1340</v>
      </c>
      <c r="D1404" s="23">
        <v>-11793.17</v>
      </c>
      <c r="E1404" t="s">
        <v>35</v>
      </c>
      <c r="F1404" s="2">
        <v>210101001</v>
      </c>
      <c r="G1404" s="2" t="s">
        <v>36</v>
      </c>
      <c r="I1404" s="95" t="s">
        <v>7231</v>
      </c>
      <c r="J1404" t="s">
        <v>37</v>
      </c>
      <c r="K1404" t="s">
        <v>38</v>
      </c>
      <c r="M1404">
        <v>64.75</v>
      </c>
      <c r="N1404" s="4">
        <f t="shared" si="21"/>
        <v>-182.13389961389962</v>
      </c>
      <c r="O1404" t="s">
        <v>83</v>
      </c>
    </row>
    <row r="1405" spans="1:17" x14ac:dyDescent="0.25">
      <c r="A1405" s="43">
        <v>45723</v>
      </c>
      <c r="B1405" s="1">
        <v>19474829</v>
      </c>
      <c r="C1405" t="s">
        <v>1340</v>
      </c>
      <c r="D1405" s="23">
        <v>-200000</v>
      </c>
      <c r="E1405" t="s">
        <v>35</v>
      </c>
      <c r="F1405" s="2">
        <v>210101001</v>
      </c>
      <c r="G1405" s="2" t="s">
        <v>36</v>
      </c>
      <c r="I1405" s="95" t="s">
        <v>7231</v>
      </c>
      <c r="J1405" t="s">
        <v>37</v>
      </c>
      <c r="K1405" t="s">
        <v>38</v>
      </c>
      <c r="M1405">
        <v>64.75</v>
      </c>
      <c r="N1405" s="4">
        <f t="shared" si="21"/>
        <v>-3088.8030888030889</v>
      </c>
      <c r="O1405" t="s">
        <v>83</v>
      </c>
    </row>
    <row r="1406" spans="1:17" x14ac:dyDescent="0.25">
      <c r="A1406" s="43">
        <v>45723</v>
      </c>
      <c r="B1406" s="1">
        <v>119474831</v>
      </c>
      <c r="C1406" t="s">
        <v>1333</v>
      </c>
      <c r="D1406" s="23">
        <v>-22719.42</v>
      </c>
      <c r="E1406" t="s">
        <v>35</v>
      </c>
      <c r="F1406" s="2">
        <v>210101001</v>
      </c>
      <c r="G1406" s="2" t="s">
        <v>36</v>
      </c>
      <c r="I1406" s="95" t="s">
        <v>7231</v>
      </c>
      <c r="J1406" t="s">
        <v>37</v>
      </c>
      <c r="K1406" t="s">
        <v>38</v>
      </c>
      <c r="M1406">
        <v>64.75</v>
      </c>
      <c r="N1406" s="4">
        <f t="shared" si="21"/>
        <v>-350.87907335907335</v>
      </c>
      <c r="O1406" t="s">
        <v>83</v>
      </c>
    </row>
    <row r="1407" spans="1:17" x14ac:dyDescent="0.25">
      <c r="A1407" s="43">
        <v>45723</v>
      </c>
      <c r="B1407" s="1">
        <v>50313998</v>
      </c>
      <c r="C1407" t="s">
        <v>89</v>
      </c>
      <c r="D1407" s="23">
        <v>-1502.77</v>
      </c>
      <c r="E1407" t="s">
        <v>35</v>
      </c>
      <c r="F1407" s="2">
        <v>610148001</v>
      </c>
      <c r="G1407" s="2" t="s">
        <v>41</v>
      </c>
      <c r="I1407" s="95" t="s">
        <v>7231</v>
      </c>
      <c r="J1407" t="s">
        <v>42</v>
      </c>
      <c r="K1407" t="s">
        <v>41</v>
      </c>
      <c r="M1407">
        <v>64.75</v>
      </c>
      <c r="N1407" s="4">
        <f t="shared" si="21"/>
        <v>-23.208803088803087</v>
      </c>
      <c r="O1407" t="s">
        <v>83</v>
      </c>
      <c r="Q1407" s="24" t="s">
        <v>1310</v>
      </c>
    </row>
    <row r="1408" spans="1:17" x14ac:dyDescent="0.25">
      <c r="A1408" s="43">
        <v>45723</v>
      </c>
      <c r="B1408" s="1">
        <v>154812587</v>
      </c>
      <c r="C1408" t="s">
        <v>82</v>
      </c>
      <c r="D1408" s="23">
        <v>490000</v>
      </c>
      <c r="E1408" t="s">
        <v>45</v>
      </c>
      <c r="F1408" s="2">
        <v>210115002</v>
      </c>
      <c r="G1408" s="2" t="s">
        <v>46</v>
      </c>
      <c r="I1408" s="95" t="s">
        <v>7231</v>
      </c>
      <c r="K1408" t="s">
        <v>82</v>
      </c>
      <c r="M1408">
        <v>64.75</v>
      </c>
      <c r="N1408" s="4">
        <f t="shared" si="21"/>
        <v>7567.5675675675675</v>
      </c>
      <c r="O1408" t="s">
        <v>83</v>
      </c>
    </row>
    <row r="1409" spans="1:15" x14ac:dyDescent="0.25">
      <c r="A1409" s="43">
        <v>45723</v>
      </c>
      <c r="B1409" s="1">
        <v>919481039</v>
      </c>
      <c r="C1409" t="s">
        <v>1341</v>
      </c>
      <c r="D1409" s="23">
        <v>-3885</v>
      </c>
      <c r="E1409" t="s">
        <v>35</v>
      </c>
      <c r="F1409" s="2">
        <v>212901001</v>
      </c>
      <c r="G1409" s="2" t="s">
        <v>91</v>
      </c>
      <c r="I1409" s="95" t="s">
        <v>7231</v>
      </c>
      <c r="J1409" t="s">
        <v>61</v>
      </c>
      <c r="K1409" t="s">
        <v>62</v>
      </c>
      <c r="M1409">
        <v>64.75</v>
      </c>
      <c r="N1409" s="4">
        <f t="shared" si="21"/>
        <v>-60</v>
      </c>
      <c r="O1409" t="s">
        <v>83</v>
      </c>
    </row>
    <row r="1410" spans="1:15" x14ac:dyDescent="0.25">
      <c r="A1410" s="43">
        <v>45723</v>
      </c>
      <c r="B1410" s="1">
        <v>919481042</v>
      </c>
      <c r="C1410" t="s">
        <v>1342</v>
      </c>
      <c r="D1410" s="23">
        <v>-3885</v>
      </c>
      <c r="E1410" t="s">
        <v>35</v>
      </c>
      <c r="F1410" s="2">
        <v>212901001</v>
      </c>
      <c r="G1410" s="2" t="s">
        <v>91</v>
      </c>
      <c r="I1410" s="95" t="s">
        <v>7231</v>
      </c>
      <c r="J1410" t="s">
        <v>61</v>
      </c>
      <c r="K1410" t="s">
        <v>62</v>
      </c>
      <c r="M1410">
        <v>64.75</v>
      </c>
      <c r="N1410" s="4">
        <f t="shared" si="21"/>
        <v>-60</v>
      </c>
      <c r="O1410" t="s">
        <v>83</v>
      </c>
    </row>
    <row r="1411" spans="1:15" x14ac:dyDescent="0.25">
      <c r="A1411" s="43">
        <v>45723</v>
      </c>
      <c r="B1411" s="1">
        <v>919481040</v>
      </c>
      <c r="C1411" t="s">
        <v>1343</v>
      </c>
      <c r="D1411" s="23">
        <v>-3885</v>
      </c>
      <c r="E1411" t="s">
        <v>35</v>
      </c>
      <c r="F1411" s="2">
        <v>212901001</v>
      </c>
      <c r="G1411" s="2" t="s">
        <v>91</v>
      </c>
      <c r="I1411" s="95" t="s">
        <v>7231</v>
      </c>
      <c r="J1411" t="s">
        <v>61</v>
      </c>
      <c r="K1411" t="s">
        <v>62</v>
      </c>
      <c r="M1411">
        <v>64.75</v>
      </c>
      <c r="N1411" s="4">
        <f t="shared" si="21"/>
        <v>-60</v>
      </c>
      <c r="O1411" t="s">
        <v>83</v>
      </c>
    </row>
    <row r="1412" spans="1:15" x14ac:dyDescent="0.25">
      <c r="A1412" s="43">
        <v>45723</v>
      </c>
      <c r="B1412" s="1">
        <v>919481041</v>
      </c>
      <c r="C1412" t="s">
        <v>1344</v>
      </c>
      <c r="D1412" s="23">
        <v>-3885</v>
      </c>
      <c r="E1412" t="s">
        <v>35</v>
      </c>
      <c r="F1412" s="2">
        <v>212901001</v>
      </c>
      <c r="G1412" s="2" t="s">
        <v>91</v>
      </c>
      <c r="I1412" s="95" t="s">
        <v>7231</v>
      </c>
      <c r="J1412" t="s">
        <v>61</v>
      </c>
      <c r="K1412" t="s">
        <v>62</v>
      </c>
      <c r="M1412">
        <v>64.75</v>
      </c>
      <c r="N1412" s="4">
        <f t="shared" si="21"/>
        <v>-60</v>
      </c>
      <c r="O1412" t="s">
        <v>83</v>
      </c>
    </row>
    <row r="1413" spans="1:15" x14ac:dyDescent="0.25">
      <c r="A1413" s="43">
        <v>45723</v>
      </c>
      <c r="B1413" s="1">
        <v>919481044</v>
      </c>
      <c r="C1413" t="s">
        <v>1345</v>
      </c>
      <c r="D1413" s="23">
        <v>-3885</v>
      </c>
      <c r="E1413" t="s">
        <v>35</v>
      </c>
      <c r="F1413" s="2">
        <v>212901001</v>
      </c>
      <c r="G1413" s="2" t="s">
        <v>91</v>
      </c>
      <c r="I1413" s="95" t="s">
        <v>7231</v>
      </c>
      <c r="J1413" t="s">
        <v>61</v>
      </c>
      <c r="K1413" t="s">
        <v>62</v>
      </c>
      <c r="M1413">
        <v>64.75</v>
      </c>
      <c r="N1413" s="4">
        <f t="shared" si="21"/>
        <v>-60</v>
      </c>
      <c r="O1413" t="s">
        <v>83</v>
      </c>
    </row>
    <row r="1414" spans="1:15" x14ac:dyDescent="0.25">
      <c r="A1414" s="43">
        <v>45723</v>
      </c>
      <c r="B1414" s="1">
        <v>919481043</v>
      </c>
      <c r="C1414" t="s">
        <v>1346</v>
      </c>
      <c r="D1414" s="23">
        <v>-3885</v>
      </c>
      <c r="E1414" t="s">
        <v>35</v>
      </c>
      <c r="F1414" s="2">
        <v>212901001</v>
      </c>
      <c r="G1414" s="2" t="s">
        <v>91</v>
      </c>
      <c r="I1414" s="95" t="s">
        <v>7231</v>
      </c>
      <c r="J1414" t="s">
        <v>61</v>
      </c>
      <c r="K1414" t="s">
        <v>62</v>
      </c>
      <c r="M1414">
        <v>64.75</v>
      </c>
      <c r="N1414" s="4">
        <f t="shared" si="21"/>
        <v>-60</v>
      </c>
      <c r="O1414" t="s">
        <v>83</v>
      </c>
    </row>
    <row r="1415" spans="1:15" x14ac:dyDescent="0.25">
      <c r="A1415" s="43">
        <v>45723</v>
      </c>
      <c r="B1415" s="1">
        <v>19481045</v>
      </c>
      <c r="C1415" t="s">
        <v>1347</v>
      </c>
      <c r="D1415" s="23">
        <v>-3885</v>
      </c>
      <c r="E1415" t="s">
        <v>35</v>
      </c>
      <c r="F1415" s="2">
        <v>212901001</v>
      </c>
      <c r="G1415" s="2" t="s">
        <v>91</v>
      </c>
      <c r="I1415" s="95" t="s">
        <v>7231</v>
      </c>
      <c r="J1415" t="s">
        <v>61</v>
      </c>
      <c r="K1415" t="s">
        <v>62</v>
      </c>
      <c r="M1415">
        <v>64.75</v>
      </c>
      <c r="N1415" s="4">
        <f t="shared" si="21"/>
        <v>-60</v>
      </c>
      <c r="O1415" t="s">
        <v>83</v>
      </c>
    </row>
    <row r="1416" spans="1:15" x14ac:dyDescent="0.25">
      <c r="A1416" s="43">
        <v>45723</v>
      </c>
      <c r="B1416" s="1">
        <v>19481046</v>
      </c>
      <c r="C1416" t="s">
        <v>1348</v>
      </c>
      <c r="D1416" s="23">
        <v>-3885</v>
      </c>
      <c r="E1416" t="s">
        <v>35</v>
      </c>
      <c r="F1416" s="2">
        <v>212901001</v>
      </c>
      <c r="G1416" s="2" t="s">
        <v>91</v>
      </c>
      <c r="I1416" s="95" t="s">
        <v>7231</v>
      </c>
      <c r="J1416" t="s">
        <v>61</v>
      </c>
      <c r="K1416" t="s">
        <v>62</v>
      </c>
      <c r="M1416">
        <v>64.75</v>
      </c>
      <c r="N1416" s="4">
        <f t="shared" si="21"/>
        <v>-60</v>
      </c>
      <c r="O1416" t="s">
        <v>83</v>
      </c>
    </row>
    <row r="1417" spans="1:15" x14ac:dyDescent="0.25">
      <c r="A1417" s="43">
        <v>45723</v>
      </c>
      <c r="B1417" s="1">
        <v>19481049</v>
      </c>
      <c r="C1417" t="s">
        <v>1349</v>
      </c>
      <c r="D1417" s="23">
        <v>-3885</v>
      </c>
      <c r="E1417" t="s">
        <v>35</v>
      </c>
      <c r="F1417" s="2">
        <v>212901001</v>
      </c>
      <c r="G1417" s="2" t="s">
        <v>91</v>
      </c>
      <c r="I1417" s="95" t="s">
        <v>7231</v>
      </c>
      <c r="J1417" t="s">
        <v>61</v>
      </c>
      <c r="K1417" t="s">
        <v>62</v>
      </c>
      <c r="M1417">
        <v>64.75</v>
      </c>
      <c r="N1417" s="4">
        <f t="shared" si="21"/>
        <v>-60</v>
      </c>
      <c r="O1417" t="s">
        <v>83</v>
      </c>
    </row>
    <row r="1418" spans="1:15" x14ac:dyDescent="0.25">
      <c r="A1418" s="43">
        <v>45723</v>
      </c>
      <c r="B1418" s="1">
        <v>19481048</v>
      </c>
      <c r="C1418" t="s">
        <v>1350</v>
      </c>
      <c r="D1418" s="23">
        <v>-3885</v>
      </c>
      <c r="E1418" t="s">
        <v>35</v>
      </c>
      <c r="F1418" s="2">
        <v>212901001</v>
      </c>
      <c r="G1418" s="2" t="s">
        <v>91</v>
      </c>
      <c r="I1418" s="95" t="s">
        <v>7231</v>
      </c>
      <c r="J1418" t="s">
        <v>61</v>
      </c>
      <c r="K1418" t="s">
        <v>62</v>
      </c>
      <c r="M1418">
        <v>64.75</v>
      </c>
      <c r="N1418" s="4">
        <f t="shared" si="21"/>
        <v>-60</v>
      </c>
      <c r="O1418" t="s">
        <v>83</v>
      </c>
    </row>
    <row r="1419" spans="1:15" x14ac:dyDescent="0.25">
      <c r="A1419" s="43">
        <v>45723</v>
      </c>
      <c r="B1419" s="1">
        <v>19481051</v>
      </c>
      <c r="C1419" t="s">
        <v>1351</v>
      </c>
      <c r="D1419" s="23">
        <v>-3885</v>
      </c>
      <c r="E1419" t="s">
        <v>35</v>
      </c>
      <c r="F1419" s="2">
        <v>212901001</v>
      </c>
      <c r="G1419" s="2" t="s">
        <v>91</v>
      </c>
      <c r="I1419" s="95" t="s">
        <v>7231</v>
      </c>
      <c r="J1419" t="s">
        <v>61</v>
      </c>
      <c r="K1419" t="s">
        <v>62</v>
      </c>
      <c r="M1419">
        <v>64.75</v>
      </c>
      <c r="N1419" s="4">
        <f t="shared" si="21"/>
        <v>-60</v>
      </c>
      <c r="O1419" t="s">
        <v>83</v>
      </c>
    </row>
    <row r="1420" spans="1:15" x14ac:dyDescent="0.25">
      <c r="A1420" s="43">
        <v>45723</v>
      </c>
      <c r="B1420" s="1">
        <v>19481050</v>
      </c>
      <c r="C1420" t="s">
        <v>1352</v>
      </c>
      <c r="D1420" s="23">
        <v>-3885</v>
      </c>
      <c r="E1420" t="s">
        <v>35</v>
      </c>
      <c r="F1420" s="2">
        <v>212901001</v>
      </c>
      <c r="G1420" s="2" t="s">
        <v>91</v>
      </c>
      <c r="I1420" s="95" t="s">
        <v>7231</v>
      </c>
      <c r="J1420" t="s">
        <v>61</v>
      </c>
      <c r="K1420" t="s">
        <v>62</v>
      </c>
      <c r="M1420">
        <v>64.75</v>
      </c>
      <c r="N1420" s="4">
        <f t="shared" ref="N1420:N1483" si="22">D1420/M1420</f>
        <v>-60</v>
      </c>
      <c r="O1420" t="s">
        <v>83</v>
      </c>
    </row>
    <row r="1421" spans="1:15" x14ac:dyDescent="0.25">
      <c r="A1421" s="43">
        <v>45723</v>
      </c>
      <c r="B1421" s="1">
        <v>19481053</v>
      </c>
      <c r="C1421" t="s">
        <v>1353</v>
      </c>
      <c r="D1421" s="23">
        <v>-3885</v>
      </c>
      <c r="E1421" t="s">
        <v>35</v>
      </c>
      <c r="F1421" s="2">
        <v>212901001</v>
      </c>
      <c r="G1421" s="2" t="s">
        <v>91</v>
      </c>
      <c r="I1421" s="95" t="s">
        <v>7231</v>
      </c>
      <c r="J1421" t="s">
        <v>61</v>
      </c>
      <c r="K1421" t="s">
        <v>62</v>
      </c>
      <c r="M1421">
        <v>64.75</v>
      </c>
      <c r="N1421" s="4">
        <f t="shared" si="22"/>
        <v>-60</v>
      </c>
      <c r="O1421" t="s">
        <v>83</v>
      </c>
    </row>
    <row r="1422" spans="1:15" x14ac:dyDescent="0.25">
      <c r="A1422" s="43">
        <v>45723</v>
      </c>
      <c r="B1422" s="1">
        <v>19481052</v>
      </c>
      <c r="C1422" t="s">
        <v>1354</v>
      </c>
      <c r="D1422" s="23">
        <v>-3885</v>
      </c>
      <c r="E1422" t="s">
        <v>35</v>
      </c>
      <c r="F1422" s="2">
        <v>212901001</v>
      </c>
      <c r="G1422" s="2" t="s">
        <v>91</v>
      </c>
      <c r="I1422" s="95" t="s">
        <v>7231</v>
      </c>
      <c r="J1422" t="s">
        <v>61</v>
      </c>
      <c r="K1422" t="s">
        <v>62</v>
      </c>
      <c r="M1422">
        <v>64.75</v>
      </c>
      <c r="N1422" s="4">
        <f t="shared" si="22"/>
        <v>-60</v>
      </c>
      <c r="O1422" t="s">
        <v>83</v>
      </c>
    </row>
    <row r="1423" spans="1:15" x14ac:dyDescent="0.25">
      <c r="A1423" s="43">
        <v>45723</v>
      </c>
      <c r="B1423" s="1">
        <v>19481055</v>
      </c>
      <c r="C1423" t="s">
        <v>1355</v>
      </c>
      <c r="D1423" s="23">
        <v>-3885</v>
      </c>
      <c r="E1423" t="s">
        <v>35</v>
      </c>
      <c r="F1423" s="2">
        <v>212901001</v>
      </c>
      <c r="G1423" s="2" t="s">
        <v>91</v>
      </c>
      <c r="I1423" s="95" t="s">
        <v>7231</v>
      </c>
      <c r="J1423" t="s">
        <v>61</v>
      </c>
      <c r="K1423" t="s">
        <v>62</v>
      </c>
      <c r="M1423">
        <v>64.75</v>
      </c>
      <c r="N1423" s="4">
        <f t="shared" si="22"/>
        <v>-60</v>
      </c>
      <c r="O1423" t="s">
        <v>83</v>
      </c>
    </row>
    <row r="1424" spans="1:15" x14ac:dyDescent="0.25">
      <c r="A1424" s="43">
        <v>45723</v>
      </c>
      <c r="B1424" s="1">
        <v>19481054</v>
      </c>
      <c r="C1424" t="s">
        <v>1356</v>
      </c>
      <c r="D1424" s="23">
        <v>-3885</v>
      </c>
      <c r="E1424" t="s">
        <v>35</v>
      </c>
      <c r="F1424" s="2">
        <v>212901001</v>
      </c>
      <c r="G1424" s="2" t="s">
        <v>91</v>
      </c>
      <c r="I1424" s="95" t="s">
        <v>7231</v>
      </c>
      <c r="J1424" t="s">
        <v>61</v>
      </c>
      <c r="K1424" t="s">
        <v>62</v>
      </c>
      <c r="M1424">
        <v>64.75</v>
      </c>
      <c r="N1424" s="4">
        <f t="shared" si="22"/>
        <v>-60</v>
      </c>
      <c r="O1424" t="s">
        <v>83</v>
      </c>
    </row>
    <row r="1425" spans="1:15" x14ac:dyDescent="0.25">
      <c r="A1425" s="43">
        <v>45723</v>
      </c>
      <c r="B1425" s="1">
        <v>119481056</v>
      </c>
      <c r="C1425" t="s">
        <v>1357</v>
      </c>
      <c r="D1425" s="23">
        <v>-9712.5</v>
      </c>
      <c r="E1425" t="s">
        <v>35</v>
      </c>
      <c r="F1425" s="2">
        <v>212901001</v>
      </c>
      <c r="G1425" s="2" t="s">
        <v>91</v>
      </c>
      <c r="I1425" s="95" t="s">
        <v>7231</v>
      </c>
      <c r="J1425" t="s">
        <v>61</v>
      </c>
      <c r="K1425" t="s">
        <v>62</v>
      </c>
      <c r="M1425">
        <v>64.75</v>
      </c>
      <c r="N1425" s="4">
        <f t="shared" si="22"/>
        <v>-150</v>
      </c>
      <c r="O1425" t="s">
        <v>83</v>
      </c>
    </row>
    <row r="1426" spans="1:15" x14ac:dyDescent="0.25">
      <c r="A1426" s="43">
        <v>45723</v>
      </c>
      <c r="B1426" s="1">
        <v>119481061</v>
      </c>
      <c r="C1426" t="s">
        <v>1358</v>
      </c>
      <c r="D1426" s="23">
        <v>-5180</v>
      </c>
      <c r="E1426" t="s">
        <v>35</v>
      </c>
      <c r="F1426" s="2">
        <v>212901001</v>
      </c>
      <c r="G1426" s="2" t="s">
        <v>91</v>
      </c>
      <c r="I1426" s="95" t="s">
        <v>7231</v>
      </c>
      <c r="J1426" t="s">
        <v>61</v>
      </c>
      <c r="K1426" t="s">
        <v>62</v>
      </c>
      <c r="M1426">
        <v>64.75</v>
      </c>
      <c r="N1426" s="4">
        <f t="shared" si="22"/>
        <v>-80</v>
      </c>
      <c r="O1426" t="s">
        <v>83</v>
      </c>
    </row>
    <row r="1427" spans="1:15" x14ac:dyDescent="0.25">
      <c r="A1427" s="43">
        <v>45723</v>
      </c>
      <c r="B1427" s="1">
        <v>119481059</v>
      </c>
      <c r="C1427" t="s">
        <v>1359</v>
      </c>
      <c r="D1427" s="23">
        <v>-5180</v>
      </c>
      <c r="E1427" t="s">
        <v>35</v>
      </c>
      <c r="F1427" s="2">
        <v>212901001</v>
      </c>
      <c r="G1427" s="2" t="s">
        <v>91</v>
      </c>
      <c r="I1427" s="95" t="s">
        <v>7231</v>
      </c>
      <c r="J1427" t="s">
        <v>61</v>
      </c>
      <c r="K1427" t="s">
        <v>62</v>
      </c>
      <c r="M1427">
        <v>64.75</v>
      </c>
      <c r="N1427" s="4">
        <f t="shared" si="22"/>
        <v>-80</v>
      </c>
      <c r="O1427" t="s">
        <v>83</v>
      </c>
    </row>
    <row r="1428" spans="1:15" x14ac:dyDescent="0.25">
      <c r="A1428" s="43">
        <v>45723</v>
      </c>
      <c r="B1428" s="1">
        <v>119481057</v>
      </c>
      <c r="C1428" t="s">
        <v>1360</v>
      </c>
      <c r="D1428" s="23">
        <v>-6475</v>
      </c>
      <c r="E1428" t="s">
        <v>35</v>
      </c>
      <c r="F1428" s="2">
        <v>212901001</v>
      </c>
      <c r="G1428" s="2" t="s">
        <v>91</v>
      </c>
      <c r="I1428" s="95" t="s">
        <v>7231</v>
      </c>
      <c r="J1428" t="s">
        <v>61</v>
      </c>
      <c r="K1428" t="s">
        <v>62</v>
      </c>
      <c r="M1428">
        <v>64.75</v>
      </c>
      <c r="N1428" s="4">
        <f t="shared" si="22"/>
        <v>-100</v>
      </c>
      <c r="O1428" t="s">
        <v>83</v>
      </c>
    </row>
    <row r="1429" spans="1:15" x14ac:dyDescent="0.25">
      <c r="A1429" s="43">
        <v>45723</v>
      </c>
      <c r="B1429" s="1">
        <v>119481060</v>
      </c>
      <c r="C1429" t="s">
        <v>1361</v>
      </c>
      <c r="D1429" s="23">
        <v>-5180</v>
      </c>
      <c r="E1429" t="s">
        <v>35</v>
      </c>
      <c r="F1429" s="2">
        <v>212901001</v>
      </c>
      <c r="G1429" s="2" t="s">
        <v>91</v>
      </c>
      <c r="I1429" s="95" t="s">
        <v>7231</v>
      </c>
      <c r="J1429" t="s">
        <v>61</v>
      </c>
      <c r="K1429" t="s">
        <v>62</v>
      </c>
      <c r="M1429">
        <v>64.75</v>
      </c>
      <c r="N1429" s="4">
        <f t="shared" si="22"/>
        <v>-80</v>
      </c>
      <c r="O1429" t="s">
        <v>83</v>
      </c>
    </row>
    <row r="1430" spans="1:15" x14ac:dyDescent="0.25">
      <c r="A1430" s="43">
        <v>45723</v>
      </c>
      <c r="B1430" s="1">
        <v>119481058</v>
      </c>
      <c r="C1430" t="s">
        <v>1362</v>
      </c>
      <c r="D1430" s="23">
        <v>-5180</v>
      </c>
      <c r="E1430" t="s">
        <v>35</v>
      </c>
      <c r="F1430" s="2">
        <v>212901001</v>
      </c>
      <c r="G1430" s="2" t="s">
        <v>91</v>
      </c>
      <c r="I1430" s="95" t="s">
        <v>7231</v>
      </c>
      <c r="J1430" t="s">
        <v>61</v>
      </c>
      <c r="K1430" t="s">
        <v>62</v>
      </c>
      <c r="M1430">
        <v>64.75</v>
      </c>
      <c r="N1430" s="4">
        <f t="shared" si="22"/>
        <v>-80</v>
      </c>
      <c r="O1430" t="s">
        <v>83</v>
      </c>
    </row>
    <row r="1431" spans="1:15" x14ac:dyDescent="0.25">
      <c r="A1431" s="43">
        <v>45723</v>
      </c>
      <c r="B1431" s="1">
        <v>119481062</v>
      </c>
      <c r="C1431" t="s">
        <v>1363</v>
      </c>
      <c r="D1431" s="23">
        <v>-5180</v>
      </c>
      <c r="E1431" t="s">
        <v>35</v>
      </c>
      <c r="F1431" s="2">
        <v>212901001</v>
      </c>
      <c r="G1431" s="2" t="s">
        <v>91</v>
      </c>
      <c r="I1431" s="95" t="s">
        <v>7231</v>
      </c>
      <c r="J1431" t="s">
        <v>61</v>
      </c>
      <c r="K1431" t="s">
        <v>62</v>
      </c>
      <c r="M1431">
        <v>64.75</v>
      </c>
      <c r="N1431" s="4">
        <f t="shared" si="22"/>
        <v>-80</v>
      </c>
      <c r="O1431" t="s">
        <v>83</v>
      </c>
    </row>
    <row r="1432" spans="1:15" x14ac:dyDescent="0.25">
      <c r="A1432" s="43">
        <v>45723</v>
      </c>
      <c r="B1432" s="1">
        <v>119481063</v>
      </c>
      <c r="C1432" t="s">
        <v>1364</v>
      </c>
      <c r="D1432" s="23">
        <v>-5180</v>
      </c>
      <c r="E1432" t="s">
        <v>35</v>
      </c>
      <c r="F1432" s="2">
        <v>212901001</v>
      </c>
      <c r="G1432" s="2" t="s">
        <v>91</v>
      </c>
      <c r="I1432" s="95" t="s">
        <v>7231</v>
      </c>
      <c r="J1432" t="s">
        <v>61</v>
      </c>
      <c r="K1432" t="s">
        <v>62</v>
      </c>
      <c r="M1432">
        <v>64.75</v>
      </c>
      <c r="N1432" s="4">
        <f t="shared" si="22"/>
        <v>-80</v>
      </c>
      <c r="O1432" t="s">
        <v>83</v>
      </c>
    </row>
    <row r="1433" spans="1:15" x14ac:dyDescent="0.25">
      <c r="A1433" s="43">
        <v>45723</v>
      </c>
      <c r="B1433" s="1">
        <v>219481066</v>
      </c>
      <c r="C1433" t="s">
        <v>1365</v>
      </c>
      <c r="D1433" s="23">
        <v>-3237.5</v>
      </c>
      <c r="E1433" t="s">
        <v>35</v>
      </c>
      <c r="F1433" s="2">
        <v>212901001</v>
      </c>
      <c r="G1433" s="2" t="s">
        <v>91</v>
      </c>
      <c r="I1433" s="95" t="s">
        <v>7231</v>
      </c>
      <c r="J1433" t="s">
        <v>61</v>
      </c>
      <c r="K1433" t="s">
        <v>62</v>
      </c>
      <c r="M1433">
        <v>64.75</v>
      </c>
      <c r="N1433" s="4">
        <f t="shared" si="22"/>
        <v>-50</v>
      </c>
      <c r="O1433" t="s">
        <v>83</v>
      </c>
    </row>
    <row r="1434" spans="1:15" x14ac:dyDescent="0.25">
      <c r="A1434" s="43">
        <v>45723</v>
      </c>
      <c r="B1434" s="1">
        <v>119481064</v>
      </c>
      <c r="C1434" t="s">
        <v>1366</v>
      </c>
      <c r="D1434" s="23">
        <v>-2719.5</v>
      </c>
      <c r="E1434" t="s">
        <v>35</v>
      </c>
      <c r="F1434" s="2">
        <v>212901001</v>
      </c>
      <c r="G1434" s="2" t="s">
        <v>91</v>
      </c>
      <c r="I1434" s="95" t="s">
        <v>7231</v>
      </c>
      <c r="J1434" t="s">
        <v>61</v>
      </c>
      <c r="K1434" t="s">
        <v>62</v>
      </c>
      <c r="M1434">
        <v>64.75</v>
      </c>
      <c r="N1434" s="4">
        <f t="shared" si="22"/>
        <v>-42</v>
      </c>
      <c r="O1434" t="s">
        <v>83</v>
      </c>
    </row>
    <row r="1435" spans="1:15" x14ac:dyDescent="0.25">
      <c r="A1435" s="43">
        <v>45723</v>
      </c>
      <c r="B1435" s="1">
        <v>219481067</v>
      </c>
      <c r="C1435" t="s">
        <v>1367</v>
      </c>
      <c r="D1435" s="23">
        <v>-2719.5</v>
      </c>
      <c r="E1435" t="s">
        <v>35</v>
      </c>
      <c r="F1435" s="2">
        <v>212901001</v>
      </c>
      <c r="G1435" s="2" t="s">
        <v>91</v>
      </c>
      <c r="I1435" s="95" t="s">
        <v>7231</v>
      </c>
      <c r="J1435" t="s">
        <v>61</v>
      </c>
      <c r="K1435" t="s">
        <v>62</v>
      </c>
      <c r="M1435">
        <v>64.75</v>
      </c>
      <c r="N1435" s="4">
        <f t="shared" si="22"/>
        <v>-42</v>
      </c>
      <c r="O1435" t="s">
        <v>83</v>
      </c>
    </row>
    <row r="1436" spans="1:15" x14ac:dyDescent="0.25">
      <c r="A1436" s="43">
        <v>45723</v>
      </c>
      <c r="B1436" s="1">
        <v>119481065</v>
      </c>
      <c r="C1436" t="s">
        <v>1368</v>
      </c>
      <c r="D1436" s="23">
        <v>-3237.5</v>
      </c>
      <c r="E1436" t="s">
        <v>35</v>
      </c>
      <c r="F1436" s="2">
        <v>212901001</v>
      </c>
      <c r="G1436" s="2" t="s">
        <v>91</v>
      </c>
      <c r="I1436" s="95" t="s">
        <v>7231</v>
      </c>
      <c r="J1436" t="s">
        <v>61</v>
      </c>
      <c r="K1436" t="s">
        <v>62</v>
      </c>
      <c r="M1436">
        <v>64.75</v>
      </c>
      <c r="N1436" s="4">
        <f t="shared" si="22"/>
        <v>-50</v>
      </c>
      <c r="O1436" t="s">
        <v>83</v>
      </c>
    </row>
    <row r="1437" spans="1:15" x14ac:dyDescent="0.25">
      <c r="A1437" s="43">
        <v>45723</v>
      </c>
      <c r="B1437" s="1">
        <v>219481069</v>
      </c>
      <c r="C1437" t="s">
        <v>1369</v>
      </c>
      <c r="D1437" s="23">
        <v>-3237.5</v>
      </c>
      <c r="E1437" t="s">
        <v>35</v>
      </c>
      <c r="F1437" s="2">
        <v>212901001</v>
      </c>
      <c r="G1437" s="2" t="s">
        <v>91</v>
      </c>
      <c r="I1437" s="95" t="s">
        <v>7231</v>
      </c>
      <c r="J1437" t="s">
        <v>61</v>
      </c>
      <c r="K1437" t="s">
        <v>62</v>
      </c>
      <c r="M1437">
        <v>64.75</v>
      </c>
      <c r="N1437" s="4">
        <f t="shared" si="22"/>
        <v>-50</v>
      </c>
      <c r="O1437" t="s">
        <v>83</v>
      </c>
    </row>
    <row r="1438" spans="1:15" x14ac:dyDescent="0.25">
      <c r="A1438" s="43">
        <v>45723</v>
      </c>
      <c r="B1438" s="1">
        <v>219481070</v>
      </c>
      <c r="C1438" t="s">
        <v>1370</v>
      </c>
      <c r="D1438" s="23">
        <v>-2590</v>
      </c>
      <c r="E1438" t="s">
        <v>35</v>
      </c>
      <c r="F1438" s="2">
        <v>212901001</v>
      </c>
      <c r="G1438" s="2" t="s">
        <v>91</v>
      </c>
      <c r="I1438" s="95" t="s">
        <v>7231</v>
      </c>
      <c r="J1438" t="s">
        <v>61</v>
      </c>
      <c r="K1438" t="s">
        <v>62</v>
      </c>
      <c r="M1438">
        <v>64.75</v>
      </c>
      <c r="N1438" s="4">
        <f t="shared" si="22"/>
        <v>-40</v>
      </c>
      <c r="O1438" t="s">
        <v>83</v>
      </c>
    </row>
    <row r="1439" spans="1:15" x14ac:dyDescent="0.25">
      <c r="A1439" s="43">
        <v>45723</v>
      </c>
      <c r="B1439" s="1">
        <v>219481068</v>
      </c>
      <c r="C1439" t="s">
        <v>1371</v>
      </c>
      <c r="D1439" s="23">
        <v>-3237.5</v>
      </c>
      <c r="E1439" t="s">
        <v>35</v>
      </c>
      <c r="F1439" s="2">
        <v>212901001</v>
      </c>
      <c r="G1439" s="2" t="s">
        <v>91</v>
      </c>
      <c r="I1439" s="95" t="s">
        <v>7231</v>
      </c>
      <c r="J1439" t="s">
        <v>61</v>
      </c>
      <c r="K1439" t="s">
        <v>62</v>
      </c>
      <c r="M1439">
        <v>64.75</v>
      </c>
      <c r="N1439" s="4">
        <f t="shared" si="22"/>
        <v>-50</v>
      </c>
      <c r="O1439" t="s">
        <v>83</v>
      </c>
    </row>
    <row r="1440" spans="1:15" x14ac:dyDescent="0.25">
      <c r="A1440" s="43">
        <v>45723</v>
      </c>
      <c r="B1440" s="1">
        <v>219481071</v>
      </c>
      <c r="C1440" t="s">
        <v>1372</v>
      </c>
      <c r="D1440" s="23">
        <v>-2590</v>
      </c>
      <c r="E1440" t="s">
        <v>35</v>
      </c>
      <c r="F1440" s="2">
        <v>212901001</v>
      </c>
      <c r="G1440" s="2" t="s">
        <v>91</v>
      </c>
      <c r="I1440" s="95" t="s">
        <v>7231</v>
      </c>
      <c r="J1440" t="s">
        <v>61</v>
      </c>
      <c r="K1440" t="s">
        <v>62</v>
      </c>
      <c r="M1440">
        <v>64.75</v>
      </c>
      <c r="N1440" s="4">
        <f t="shared" si="22"/>
        <v>-40</v>
      </c>
      <c r="O1440" t="s">
        <v>83</v>
      </c>
    </row>
    <row r="1441" spans="1:15" x14ac:dyDescent="0.25">
      <c r="A1441" s="43">
        <v>45723</v>
      </c>
      <c r="B1441" s="1">
        <v>219481072</v>
      </c>
      <c r="C1441" t="s">
        <v>1373</v>
      </c>
      <c r="D1441" s="23">
        <v>-2590</v>
      </c>
      <c r="E1441" t="s">
        <v>35</v>
      </c>
      <c r="F1441" s="2">
        <v>212901001</v>
      </c>
      <c r="G1441" s="2" t="s">
        <v>91</v>
      </c>
      <c r="I1441" s="95" t="s">
        <v>7231</v>
      </c>
      <c r="J1441" t="s">
        <v>61</v>
      </c>
      <c r="K1441" t="s">
        <v>62</v>
      </c>
      <c r="M1441">
        <v>64.75</v>
      </c>
      <c r="N1441" s="4">
        <f t="shared" si="22"/>
        <v>-40</v>
      </c>
      <c r="O1441" t="s">
        <v>83</v>
      </c>
    </row>
    <row r="1442" spans="1:15" x14ac:dyDescent="0.25">
      <c r="A1442" s="43">
        <v>45723</v>
      </c>
      <c r="B1442" s="1">
        <v>219481073</v>
      </c>
      <c r="C1442" t="s">
        <v>1374</v>
      </c>
      <c r="D1442" s="23">
        <v>-2590</v>
      </c>
      <c r="E1442" t="s">
        <v>35</v>
      </c>
      <c r="F1442" s="2">
        <v>212901001</v>
      </c>
      <c r="G1442" s="2" t="s">
        <v>91</v>
      </c>
      <c r="I1442" s="95" t="s">
        <v>7231</v>
      </c>
      <c r="J1442" t="s">
        <v>61</v>
      </c>
      <c r="K1442" t="s">
        <v>62</v>
      </c>
      <c r="M1442">
        <v>64.75</v>
      </c>
      <c r="N1442" s="4">
        <f t="shared" si="22"/>
        <v>-40</v>
      </c>
      <c r="O1442" t="s">
        <v>83</v>
      </c>
    </row>
    <row r="1443" spans="1:15" x14ac:dyDescent="0.25">
      <c r="A1443" s="43">
        <v>45723</v>
      </c>
      <c r="B1443" s="1">
        <v>319481076</v>
      </c>
      <c r="C1443" t="s">
        <v>1375</v>
      </c>
      <c r="D1443" s="23">
        <v>-2590</v>
      </c>
      <c r="E1443" t="s">
        <v>35</v>
      </c>
      <c r="F1443" s="2">
        <v>212901001</v>
      </c>
      <c r="G1443" s="2" t="s">
        <v>91</v>
      </c>
      <c r="I1443" s="95" t="s">
        <v>7231</v>
      </c>
      <c r="J1443" t="s">
        <v>61</v>
      </c>
      <c r="K1443" t="s">
        <v>62</v>
      </c>
      <c r="M1443">
        <v>64.75</v>
      </c>
      <c r="N1443" s="4">
        <f t="shared" si="22"/>
        <v>-40</v>
      </c>
      <c r="O1443" t="s">
        <v>83</v>
      </c>
    </row>
    <row r="1444" spans="1:15" x14ac:dyDescent="0.25">
      <c r="A1444" s="43">
        <v>45723</v>
      </c>
      <c r="B1444" s="1">
        <v>219481075</v>
      </c>
      <c r="C1444" t="s">
        <v>1376</v>
      </c>
      <c r="D1444" s="23">
        <v>-2590</v>
      </c>
      <c r="E1444" t="s">
        <v>35</v>
      </c>
      <c r="F1444" s="2">
        <v>212901001</v>
      </c>
      <c r="G1444" s="2" t="s">
        <v>91</v>
      </c>
      <c r="I1444" s="95" t="s">
        <v>7231</v>
      </c>
      <c r="J1444" t="s">
        <v>61</v>
      </c>
      <c r="K1444" t="s">
        <v>62</v>
      </c>
      <c r="M1444">
        <v>64.75</v>
      </c>
      <c r="N1444" s="4">
        <f t="shared" si="22"/>
        <v>-40</v>
      </c>
      <c r="O1444" t="s">
        <v>83</v>
      </c>
    </row>
    <row r="1445" spans="1:15" x14ac:dyDescent="0.25">
      <c r="A1445" s="43">
        <v>45723</v>
      </c>
      <c r="B1445" s="1">
        <v>219481074</v>
      </c>
      <c r="C1445" t="s">
        <v>1377</v>
      </c>
      <c r="D1445" s="23">
        <v>-2590</v>
      </c>
      <c r="E1445" t="s">
        <v>35</v>
      </c>
      <c r="F1445" s="2">
        <v>212901001</v>
      </c>
      <c r="G1445" s="2" t="s">
        <v>91</v>
      </c>
      <c r="I1445" s="95" t="s">
        <v>7231</v>
      </c>
      <c r="J1445" t="s">
        <v>61</v>
      </c>
      <c r="K1445" t="s">
        <v>62</v>
      </c>
      <c r="M1445">
        <v>64.75</v>
      </c>
      <c r="N1445" s="4">
        <f t="shared" si="22"/>
        <v>-40</v>
      </c>
      <c r="O1445" t="s">
        <v>83</v>
      </c>
    </row>
    <row r="1446" spans="1:15" x14ac:dyDescent="0.25">
      <c r="A1446" s="43">
        <v>45723</v>
      </c>
      <c r="B1446" s="1">
        <v>319481077</v>
      </c>
      <c r="C1446" t="s">
        <v>1378</v>
      </c>
      <c r="D1446" s="23">
        <v>-6475</v>
      </c>
      <c r="E1446" t="s">
        <v>35</v>
      </c>
      <c r="F1446" s="2">
        <v>212901001</v>
      </c>
      <c r="G1446" s="2" t="s">
        <v>91</v>
      </c>
      <c r="I1446" s="95" t="s">
        <v>7231</v>
      </c>
      <c r="J1446" t="s">
        <v>61</v>
      </c>
      <c r="K1446" t="s">
        <v>62</v>
      </c>
      <c r="M1446">
        <v>64.75</v>
      </c>
      <c r="N1446" s="4">
        <f t="shared" si="22"/>
        <v>-100</v>
      </c>
      <c r="O1446" t="s">
        <v>83</v>
      </c>
    </row>
    <row r="1447" spans="1:15" x14ac:dyDescent="0.25">
      <c r="A1447" s="43">
        <v>45723</v>
      </c>
      <c r="B1447" s="1">
        <v>319481078</v>
      </c>
      <c r="C1447" t="s">
        <v>1379</v>
      </c>
      <c r="D1447" s="23">
        <v>-6475</v>
      </c>
      <c r="E1447" t="s">
        <v>35</v>
      </c>
      <c r="F1447" s="2">
        <v>212901001</v>
      </c>
      <c r="G1447" s="2" t="s">
        <v>91</v>
      </c>
      <c r="I1447" s="95" t="s">
        <v>7231</v>
      </c>
      <c r="J1447" t="s">
        <v>61</v>
      </c>
      <c r="K1447" t="s">
        <v>62</v>
      </c>
      <c r="M1447">
        <v>64.75</v>
      </c>
      <c r="N1447" s="4">
        <f t="shared" si="22"/>
        <v>-100</v>
      </c>
      <c r="O1447" t="s">
        <v>83</v>
      </c>
    </row>
    <row r="1448" spans="1:15" x14ac:dyDescent="0.25">
      <c r="A1448" s="43">
        <v>45723</v>
      </c>
      <c r="B1448" s="1">
        <v>319481080</v>
      </c>
      <c r="C1448" t="s">
        <v>1380</v>
      </c>
      <c r="D1448" s="23">
        <v>-1942.5</v>
      </c>
      <c r="E1448" t="s">
        <v>35</v>
      </c>
      <c r="F1448" s="2">
        <v>212901001</v>
      </c>
      <c r="G1448" s="2" t="s">
        <v>91</v>
      </c>
      <c r="I1448" s="95" t="s">
        <v>7231</v>
      </c>
      <c r="J1448" t="s">
        <v>61</v>
      </c>
      <c r="K1448" t="s">
        <v>62</v>
      </c>
      <c r="M1448">
        <v>64.75</v>
      </c>
      <c r="N1448" s="4">
        <f t="shared" si="22"/>
        <v>-30</v>
      </c>
      <c r="O1448" t="s">
        <v>83</v>
      </c>
    </row>
    <row r="1449" spans="1:15" x14ac:dyDescent="0.25">
      <c r="A1449" s="43">
        <v>45723</v>
      </c>
      <c r="B1449" s="1">
        <v>319481079</v>
      </c>
      <c r="C1449" t="s">
        <v>1381</v>
      </c>
      <c r="D1449" s="23">
        <v>-9712.5</v>
      </c>
      <c r="E1449" t="s">
        <v>35</v>
      </c>
      <c r="F1449" s="2">
        <v>212901001</v>
      </c>
      <c r="G1449" s="2" t="s">
        <v>91</v>
      </c>
      <c r="I1449" s="95" t="s">
        <v>7231</v>
      </c>
      <c r="J1449" t="s">
        <v>61</v>
      </c>
      <c r="K1449" t="s">
        <v>62</v>
      </c>
      <c r="M1449">
        <v>64.75</v>
      </c>
      <c r="N1449" s="4">
        <f t="shared" si="22"/>
        <v>-150</v>
      </c>
      <c r="O1449" t="s">
        <v>83</v>
      </c>
    </row>
    <row r="1450" spans="1:15" x14ac:dyDescent="0.25">
      <c r="A1450" s="43">
        <v>45723</v>
      </c>
      <c r="B1450" s="1">
        <v>319481083</v>
      </c>
      <c r="C1450" t="s">
        <v>1382</v>
      </c>
      <c r="D1450" s="23">
        <v>-6475</v>
      </c>
      <c r="E1450" t="s">
        <v>35</v>
      </c>
      <c r="F1450" s="2">
        <v>212901001</v>
      </c>
      <c r="G1450" s="2" t="s">
        <v>91</v>
      </c>
      <c r="I1450" s="95" t="s">
        <v>7231</v>
      </c>
      <c r="J1450" t="s">
        <v>61</v>
      </c>
      <c r="K1450" t="s">
        <v>62</v>
      </c>
      <c r="M1450">
        <v>64.75</v>
      </c>
      <c r="N1450" s="4">
        <f t="shared" si="22"/>
        <v>-100</v>
      </c>
      <c r="O1450" t="s">
        <v>83</v>
      </c>
    </row>
    <row r="1451" spans="1:15" x14ac:dyDescent="0.25">
      <c r="A1451" s="43">
        <v>45723</v>
      </c>
      <c r="B1451" s="1">
        <v>319481082</v>
      </c>
      <c r="C1451" t="s">
        <v>1383</v>
      </c>
      <c r="D1451" s="23">
        <v>-5180</v>
      </c>
      <c r="E1451" t="s">
        <v>35</v>
      </c>
      <c r="F1451" s="2">
        <v>212901001</v>
      </c>
      <c r="G1451" s="2" t="s">
        <v>91</v>
      </c>
      <c r="I1451" s="95" t="s">
        <v>7231</v>
      </c>
      <c r="J1451" t="s">
        <v>61</v>
      </c>
      <c r="K1451" t="s">
        <v>62</v>
      </c>
      <c r="M1451">
        <v>64.75</v>
      </c>
      <c r="N1451" s="4">
        <f t="shared" si="22"/>
        <v>-80</v>
      </c>
      <c r="O1451" t="s">
        <v>83</v>
      </c>
    </row>
    <row r="1452" spans="1:15" x14ac:dyDescent="0.25">
      <c r="A1452" s="43">
        <v>45723</v>
      </c>
      <c r="B1452" s="1">
        <v>319481081</v>
      </c>
      <c r="C1452" t="s">
        <v>1384</v>
      </c>
      <c r="D1452" s="23">
        <v>-7122.5</v>
      </c>
      <c r="E1452" t="s">
        <v>35</v>
      </c>
      <c r="F1452" s="2">
        <v>212901001</v>
      </c>
      <c r="G1452" s="2" t="s">
        <v>91</v>
      </c>
      <c r="I1452" s="95" t="s">
        <v>7231</v>
      </c>
      <c r="J1452" t="s">
        <v>61</v>
      </c>
      <c r="K1452" t="s">
        <v>62</v>
      </c>
      <c r="M1452">
        <v>64.75</v>
      </c>
      <c r="N1452" s="4">
        <f t="shared" si="22"/>
        <v>-110</v>
      </c>
      <c r="O1452" t="s">
        <v>83</v>
      </c>
    </row>
    <row r="1453" spans="1:15" x14ac:dyDescent="0.25">
      <c r="A1453" s="43">
        <v>45723</v>
      </c>
      <c r="B1453" s="1">
        <v>419481086</v>
      </c>
      <c r="C1453" t="s">
        <v>1385</v>
      </c>
      <c r="D1453" s="23">
        <v>-4532.5</v>
      </c>
      <c r="E1453" t="s">
        <v>35</v>
      </c>
      <c r="F1453" s="2">
        <v>212901001</v>
      </c>
      <c r="G1453" s="2" t="s">
        <v>91</v>
      </c>
      <c r="I1453" s="95" t="s">
        <v>7231</v>
      </c>
      <c r="J1453" t="s">
        <v>61</v>
      </c>
      <c r="K1453" t="s">
        <v>62</v>
      </c>
      <c r="M1453">
        <v>64.75</v>
      </c>
      <c r="N1453" s="4">
        <f t="shared" si="22"/>
        <v>-70</v>
      </c>
      <c r="O1453" t="s">
        <v>83</v>
      </c>
    </row>
    <row r="1454" spans="1:15" x14ac:dyDescent="0.25">
      <c r="A1454" s="43">
        <v>45723</v>
      </c>
      <c r="B1454" s="1">
        <v>319481085</v>
      </c>
      <c r="C1454" t="s">
        <v>1386</v>
      </c>
      <c r="D1454" s="23">
        <v>-4532.5</v>
      </c>
      <c r="E1454" t="s">
        <v>35</v>
      </c>
      <c r="F1454" s="2">
        <v>212901001</v>
      </c>
      <c r="G1454" s="2" t="s">
        <v>91</v>
      </c>
      <c r="I1454" s="95" t="s">
        <v>7231</v>
      </c>
      <c r="J1454" t="s">
        <v>61</v>
      </c>
      <c r="K1454" t="s">
        <v>62</v>
      </c>
      <c r="M1454">
        <v>64.75</v>
      </c>
      <c r="N1454" s="4">
        <f t="shared" si="22"/>
        <v>-70</v>
      </c>
      <c r="O1454" t="s">
        <v>83</v>
      </c>
    </row>
    <row r="1455" spans="1:15" x14ac:dyDescent="0.25">
      <c r="A1455" s="43">
        <v>45723</v>
      </c>
      <c r="B1455" s="1">
        <v>319481084</v>
      </c>
      <c r="C1455" t="s">
        <v>1387</v>
      </c>
      <c r="D1455" s="23">
        <v>-582.75</v>
      </c>
      <c r="E1455" t="s">
        <v>35</v>
      </c>
      <c r="F1455" s="2">
        <v>212901001</v>
      </c>
      <c r="G1455" s="2" t="s">
        <v>91</v>
      </c>
      <c r="I1455" s="95" t="s">
        <v>7231</v>
      </c>
      <c r="J1455" t="s">
        <v>61</v>
      </c>
      <c r="K1455" t="s">
        <v>62</v>
      </c>
      <c r="M1455">
        <v>64.75</v>
      </c>
      <c r="N1455" s="4">
        <f t="shared" si="22"/>
        <v>-9</v>
      </c>
      <c r="O1455" t="s">
        <v>83</v>
      </c>
    </row>
    <row r="1456" spans="1:15" x14ac:dyDescent="0.25">
      <c r="A1456" s="43">
        <v>45723</v>
      </c>
      <c r="B1456" s="1">
        <v>419481087</v>
      </c>
      <c r="C1456" t="s">
        <v>1388</v>
      </c>
      <c r="D1456" s="23">
        <v>-4532.5</v>
      </c>
      <c r="E1456" t="s">
        <v>35</v>
      </c>
      <c r="F1456" s="2">
        <v>212901001</v>
      </c>
      <c r="G1456" s="2" t="s">
        <v>91</v>
      </c>
      <c r="I1456" s="95" t="s">
        <v>7231</v>
      </c>
      <c r="J1456" t="s">
        <v>61</v>
      </c>
      <c r="K1456" t="s">
        <v>62</v>
      </c>
      <c r="M1456">
        <v>64.75</v>
      </c>
      <c r="N1456" s="4">
        <f t="shared" si="22"/>
        <v>-70</v>
      </c>
      <c r="O1456" t="s">
        <v>83</v>
      </c>
    </row>
    <row r="1457" spans="1:15" x14ac:dyDescent="0.25">
      <c r="A1457" s="43">
        <v>45723</v>
      </c>
      <c r="B1457" s="1">
        <v>419481088</v>
      </c>
      <c r="C1457" t="s">
        <v>1389</v>
      </c>
      <c r="D1457" s="23">
        <v>-3237.5</v>
      </c>
      <c r="E1457" t="s">
        <v>35</v>
      </c>
      <c r="F1457" s="2">
        <v>212901001</v>
      </c>
      <c r="G1457" s="2" t="s">
        <v>91</v>
      </c>
      <c r="I1457" s="95" t="s">
        <v>7231</v>
      </c>
      <c r="J1457" t="s">
        <v>61</v>
      </c>
      <c r="K1457" t="s">
        <v>62</v>
      </c>
      <c r="M1457">
        <v>64.75</v>
      </c>
      <c r="N1457" s="4">
        <f t="shared" si="22"/>
        <v>-50</v>
      </c>
      <c r="O1457" t="s">
        <v>83</v>
      </c>
    </row>
    <row r="1458" spans="1:15" x14ac:dyDescent="0.25">
      <c r="A1458" s="43">
        <v>45723</v>
      </c>
      <c r="B1458" s="1">
        <v>419481090</v>
      </c>
      <c r="C1458" t="s">
        <v>1390</v>
      </c>
      <c r="D1458" s="23">
        <v>-2719.5</v>
      </c>
      <c r="E1458" t="s">
        <v>35</v>
      </c>
      <c r="F1458" s="2">
        <v>212901001</v>
      </c>
      <c r="G1458" s="2" t="s">
        <v>91</v>
      </c>
      <c r="I1458" s="95" t="s">
        <v>7231</v>
      </c>
      <c r="J1458" t="s">
        <v>61</v>
      </c>
      <c r="K1458" t="s">
        <v>62</v>
      </c>
      <c r="M1458">
        <v>64.75</v>
      </c>
      <c r="N1458" s="4">
        <f t="shared" si="22"/>
        <v>-42</v>
      </c>
      <c r="O1458" t="s">
        <v>83</v>
      </c>
    </row>
    <row r="1459" spans="1:15" x14ac:dyDescent="0.25">
      <c r="A1459" s="43">
        <v>45723</v>
      </c>
      <c r="B1459" s="1">
        <v>419481091</v>
      </c>
      <c r="C1459" t="s">
        <v>1391</v>
      </c>
      <c r="D1459" s="23">
        <v>-3237.5</v>
      </c>
      <c r="E1459" t="s">
        <v>35</v>
      </c>
      <c r="F1459" s="2">
        <v>212901001</v>
      </c>
      <c r="G1459" s="2" t="s">
        <v>91</v>
      </c>
      <c r="I1459" s="95" t="s">
        <v>7231</v>
      </c>
      <c r="J1459" t="s">
        <v>61</v>
      </c>
      <c r="K1459" t="s">
        <v>62</v>
      </c>
      <c r="M1459">
        <v>64.75</v>
      </c>
      <c r="N1459" s="4">
        <f t="shared" si="22"/>
        <v>-50</v>
      </c>
      <c r="O1459" t="s">
        <v>83</v>
      </c>
    </row>
    <row r="1460" spans="1:15" x14ac:dyDescent="0.25">
      <c r="A1460" s="43">
        <v>45723</v>
      </c>
      <c r="B1460" s="1">
        <v>419481094</v>
      </c>
      <c r="C1460" t="s">
        <v>1392</v>
      </c>
      <c r="D1460" s="23">
        <v>-3237.5</v>
      </c>
      <c r="E1460" t="s">
        <v>35</v>
      </c>
      <c r="F1460" s="2">
        <v>212901001</v>
      </c>
      <c r="G1460" s="2" t="s">
        <v>91</v>
      </c>
      <c r="I1460" s="95" t="s">
        <v>7231</v>
      </c>
      <c r="J1460" t="s">
        <v>61</v>
      </c>
      <c r="K1460" t="s">
        <v>62</v>
      </c>
      <c r="M1460">
        <v>64.75</v>
      </c>
      <c r="N1460" s="4">
        <f t="shared" si="22"/>
        <v>-50</v>
      </c>
      <c r="O1460" t="s">
        <v>83</v>
      </c>
    </row>
    <row r="1461" spans="1:15" x14ac:dyDescent="0.25">
      <c r="A1461" s="43">
        <v>45723</v>
      </c>
      <c r="B1461" s="1">
        <v>419481097</v>
      </c>
      <c r="C1461" t="s">
        <v>1393</v>
      </c>
      <c r="D1461" s="23">
        <v>-3237.5</v>
      </c>
      <c r="E1461" t="s">
        <v>35</v>
      </c>
      <c r="F1461" s="2">
        <v>212901001</v>
      </c>
      <c r="G1461" s="2" t="s">
        <v>91</v>
      </c>
      <c r="I1461" s="95" t="s">
        <v>7231</v>
      </c>
      <c r="J1461" t="s">
        <v>61</v>
      </c>
      <c r="K1461" t="s">
        <v>62</v>
      </c>
      <c r="M1461">
        <v>64.75</v>
      </c>
      <c r="N1461" s="4">
        <f t="shared" si="22"/>
        <v>-50</v>
      </c>
      <c r="O1461" t="s">
        <v>83</v>
      </c>
    </row>
    <row r="1462" spans="1:15" x14ac:dyDescent="0.25">
      <c r="A1462" s="43">
        <v>45723</v>
      </c>
      <c r="B1462" s="1">
        <v>419481092</v>
      </c>
      <c r="C1462" t="s">
        <v>1389</v>
      </c>
      <c r="D1462" s="23">
        <v>-3237.5</v>
      </c>
      <c r="E1462" t="s">
        <v>35</v>
      </c>
      <c r="F1462" s="2">
        <v>212901001</v>
      </c>
      <c r="G1462" s="2" t="s">
        <v>91</v>
      </c>
      <c r="I1462" s="95" t="s">
        <v>7231</v>
      </c>
      <c r="J1462" t="s">
        <v>61</v>
      </c>
      <c r="K1462" t="s">
        <v>62</v>
      </c>
      <c r="M1462">
        <v>64.75</v>
      </c>
      <c r="N1462" s="4">
        <f t="shared" si="22"/>
        <v>-50</v>
      </c>
      <c r="O1462" t="s">
        <v>83</v>
      </c>
    </row>
    <row r="1463" spans="1:15" x14ac:dyDescent="0.25">
      <c r="A1463" s="43">
        <v>45723</v>
      </c>
      <c r="B1463" s="1">
        <v>419481089</v>
      </c>
      <c r="C1463" t="s">
        <v>1394</v>
      </c>
      <c r="D1463" s="23">
        <v>-3237.5</v>
      </c>
      <c r="E1463" t="s">
        <v>35</v>
      </c>
      <c r="F1463" s="2">
        <v>212901001</v>
      </c>
      <c r="G1463" s="2" t="s">
        <v>91</v>
      </c>
      <c r="I1463" s="95" t="s">
        <v>7231</v>
      </c>
      <c r="J1463" t="s">
        <v>61</v>
      </c>
      <c r="K1463" t="s">
        <v>62</v>
      </c>
      <c r="M1463">
        <v>64.75</v>
      </c>
      <c r="N1463" s="4">
        <f t="shared" si="22"/>
        <v>-50</v>
      </c>
      <c r="O1463" t="s">
        <v>83</v>
      </c>
    </row>
    <row r="1464" spans="1:15" x14ac:dyDescent="0.25">
      <c r="A1464" s="43">
        <v>45723</v>
      </c>
      <c r="B1464" s="1">
        <v>419481095</v>
      </c>
      <c r="C1464" t="s">
        <v>1395</v>
      </c>
      <c r="D1464" s="23">
        <v>-3237.5</v>
      </c>
      <c r="E1464" t="s">
        <v>35</v>
      </c>
      <c r="F1464" s="2">
        <v>212901001</v>
      </c>
      <c r="G1464" s="2" t="s">
        <v>91</v>
      </c>
      <c r="I1464" s="95" t="s">
        <v>7231</v>
      </c>
      <c r="J1464" t="s">
        <v>61</v>
      </c>
      <c r="K1464" t="s">
        <v>62</v>
      </c>
      <c r="M1464">
        <v>64.75</v>
      </c>
      <c r="N1464" s="4">
        <f t="shared" si="22"/>
        <v>-50</v>
      </c>
      <c r="O1464" t="s">
        <v>83</v>
      </c>
    </row>
    <row r="1465" spans="1:15" x14ac:dyDescent="0.25">
      <c r="A1465" s="43">
        <v>45723</v>
      </c>
      <c r="B1465" s="1">
        <v>519481100</v>
      </c>
      <c r="C1465" t="s">
        <v>1396</v>
      </c>
      <c r="D1465" s="23">
        <v>-2719.5</v>
      </c>
      <c r="E1465" t="s">
        <v>35</v>
      </c>
      <c r="F1465" s="2">
        <v>212901001</v>
      </c>
      <c r="G1465" s="2" t="s">
        <v>91</v>
      </c>
      <c r="I1465" s="95" t="s">
        <v>7231</v>
      </c>
      <c r="J1465" t="s">
        <v>61</v>
      </c>
      <c r="K1465" t="s">
        <v>62</v>
      </c>
      <c r="M1465">
        <v>64.75</v>
      </c>
      <c r="N1465" s="4">
        <f t="shared" si="22"/>
        <v>-42</v>
      </c>
      <c r="O1465" t="s">
        <v>83</v>
      </c>
    </row>
    <row r="1466" spans="1:15" x14ac:dyDescent="0.25">
      <c r="A1466" s="43">
        <v>45723</v>
      </c>
      <c r="B1466" s="1">
        <v>519481099</v>
      </c>
      <c r="C1466" t="s">
        <v>1397</v>
      </c>
      <c r="D1466" s="23">
        <v>-2719.5</v>
      </c>
      <c r="E1466" t="s">
        <v>35</v>
      </c>
      <c r="F1466" s="2">
        <v>212901001</v>
      </c>
      <c r="G1466" s="2" t="s">
        <v>91</v>
      </c>
      <c r="I1466" s="95" t="s">
        <v>7231</v>
      </c>
      <c r="J1466" t="s">
        <v>61</v>
      </c>
      <c r="K1466" t="s">
        <v>62</v>
      </c>
      <c r="M1466">
        <v>64.75</v>
      </c>
      <c r="N1466" s="4">
        <f t="shared" si="22"/>
        <v>-42</v>
      </c>
      <c r="O1466" t="s">
        <v>83</v>
      </c>
    </row>
    <row r="1467" spans="1:15" x14ac:dyDescent="0.25">
      <c r="A1467" s="43">
        <v>45723</v>
      </c>
      <c r="B1467" s="1">
        <v>519481101</v>
      </c>
      <c r="C1467" t="s">
        <v>1398</v>
      </c>
      <c r="D1467" s="23">
        <v>-3237.5</v>
      </c>
      <c r="E1467" t="s">
        <v>35</v>
      </c>
      <c r="F1467" s="2">
        <v>212901001</v>
      </c>
      <c r="G1467" s="2" t="s">
        <v>91</v>
      </c>
      <c r="I1467" s="95" t="s">
        <v>7231</v>
      </c>
      <c r="J1467" t="s">
        <v>61</v>
      </c>
      <c r="K1467" t="s">
        <v>62</v>
      </c>
      <c r="M1467">
        <v>64.75</v>
      </c>
      <c r="N1467" s="4">
        <f t="shared" si="22"/>
        <v>-50</v>
      </c>
      <c r="O1467" t="s">
        <v>83</v>
      </c>
    </row>
    <row r="1468" spans="1:15" x14ac:dyDescent="0.25">
      <c r="A1468" s="43">
        <v>45723</v>
      </c>
      <c r="B1468" s="1">
        <v>519481102</v>
      </c>
      <c r="C1468" t="s">
        <v>1399</v>
      </c>
      <c r="D1468" s="23">
        <v>-3237.5</v>
      </c>
      <c r="E1468" t="s">
        <v>35</v>
      </c>
      <c r="F1468" s="2">
        <v>212901001</v>
      </c>
      <c r="G1468" s="2" t="s">
        <v>91</v>
      </c>
      <c r="I1468" s="95" t="s">
        <v>7231</v>
      </c>
      <c r="J1468" t="s">
        <v>61</v>
      </c>
      <c r="K1468" t="s">
        <v>62</v>
      </c>
      <c r="M1468">
        <v>64.75</v>
      </c>
      <c r="N1468" s="4">
        <f t="shared" si="22"/>
        <v>-50</v>
      </c>
      <c r="O1468" t="s">
        <v>83</v>
      </c>
    </row>
    <row r="1469" spans="1:15" x14ac:dyDescent="0.25">
      <c r="A1469" s="43">
        <v>45723</v>
      </c>
      <c r="B1469" s="1">
        <v>519481098</v>
      </c>
      <c r="C1469" t="s">
        <v>1400</v>
      </c>
      <c r="D1469" s="23">
        <v>-3237.5</v>
      </c>
      <c r="E1469" t="s">
        <v>35</v>
      </c>
      <c r="F1469" s="2">
        <v>212901001</v>
      </c>
      <c r="G1469" s="2" t="s">
        <v>91</v>
      </c>
      <c r="I1469" s="95" t="s">
        <v>7231</v>
      </c>
      <c r="J1469" t="s">
        <v>61</v>
      </c>
      <c r="K1469" t="s">
        <v>62</v>
      </c>
      <c r="M1469">
        <v>64.75</v>
      </c>
      <c r="N1469" s="4">
        <f t="shared" si="22"/>
        <v>-50</v>
      </c>
      <c r="O1469" t="s">
        <v>83</v>
      </c>
    </row>
    <row r="1470" spans="1:15" x14ac:dyDescent="0.25">
      <c r="A1470" s="43">
        <v>45723</v>
      </c>
      <c r="B1470" s="1">
        <v>519481103</v>
      </c>
      <c r="C1470" t="s">
        <v>1401</v>
      </c>
      <c r="D1470" s="23">
        <v>-3237.5</v>
      </c>
      <c r="E1470" t="s">
        <v>35</v>
      </c>
      <c r="F1470" s="2">
        <v>212901001</v>
      </c>
      <c r="G1470" s="2" t="s">
        <v>91</v>
      </c>
      <c r="I1470" s="95" t="s">
        <v>7231</v>
      </c>
      <c r="J1470" t="s">
        <v>61</v>
      </c>
      <c r="K1470" t="s">
        <v>62</v>
      </c>
      <c r="M1470">
        <v>64.75</v>
      </c>
      <c r="N1470" s="4">
        <f t="shared" si="22"/>
        <v>-50</v>
      </c>
      <c r="O1470" t="s">
        <v>83</v>
      </c>
    </row>
    <row r="1471" spans="1:15" x14ac:dyDescent="0.25">
      <c r="A1471" s="43">
        <v>45723</v>
      </c>
      <c r="B1471" s="1">
        <v>519481105</v>
      </c>
      <c r="C1471" t="s">
        <v>1402</v>
      </c>
      <c r="D1471" s="23">
        <v>-3237.5</v>
      </c>
      <c r="E1471" t="s">
        <v>35</v>
      </c>
      <c r="F1471" s="2">
        <v>212901001</v>
      </c>
      <c r="G1471" s="2" t="s">
        <v>91</v>
      </c>
      <c r="I1471" s="95" t="s">
        <v>7231</v>
      </c>
      <c r="J1471" t="s">
        <v>61</v>
      </c>
      <c r="K1471" t="s">
        <v>62</v>
      </c>
      <c r="M1471">
        <v>64.75</v>
      </c>
      <c r="N1471" s="4">
        <f t="shared" si="22"/>
        <v>-50</v>
      </c>
      <c r="O1471" t="s">
        <v>83</v>
      </c>
    </row>
    <row r="1472" spans="1:15" x14ac:dyDescent="0.25">
      <c r="A1472" s="43">
        <v>45723</v>
      </c>
      <c r="B1472" s="1">
        <v>519481106</v>
      </c>
      <c r="C1472" t="s">
        <v>1403</v>
      </c>
      <c r="D1472" s="23">
        <v>-1295</v>
      </c>
      <c r="E1472" t="s">
        <v>35</v>
      </c>
      <c r="F1472" s="2">
        <v>212901001</v>
      </c>
      <c r="G1472" s="2" t="s">
        <v>91</v>
      </c>
      <c r="I1472" s="95" t="s">
        <v>7231</v>
      </c>
      <c r="J1472" t="s">
        <v>61</v>
      </c>
      <c r="K1472" t="s">
        <v>62</v>
      </c>
      <c r="M1472">
        <v>64.75</v>
      </c>
      <c r="N1472" s="4">
        <f t="shared" si="22"/>
        <v>-20</v>
      </c>
      <c r="O1472" t="s">
        <v>83</v>
      </c>
    </row>
    <row r="1473" spans="1:17" x14ac:dyDescent="0.25">
      <c r="A1473" s="43">
        <v>45723</v>
      </c>
      <c r="B1473" s="1">
        <v>519481107</v>
      </c>
      <c r="C1473" t="s">
        <v>1404</v>
      </c>
      <c r="D1473" s="23">
        <v>-1295</v>
      </c>
      <c r="E1473" t="s">
        <v>35</v>
      </c>
      <c r="F1473" s="2">
        <v>212901001</v>
      </c>
      <c r="G1473" s="2" t="s">
        <v>91</v>
      </c>
      <c r="I1473" s="95" t="s">
        <v>7231</v>
      </c>
      <c r="J1473" t="s">
        <v>61</v>
      </c>
      <c r="K1473" t="s">
        <v>62</v>
      </c>
      <c r="M1473">
        <v>64.75</v>
      </c>
      <c r="N1473" s="4">
        <f t="shared" si="22"/>
        <v>-20</v>
      </c>
      <c r="O1473" t="s">
        <v>83</v>
      </c>
    </row>
    <row r="1474" spans="1:17" x14ac:dyDescent="0.25">
      <c r="A1474" s="43">
        <v>45723</v>
      </c>
      <c r="B1474" s="1">
        <v>619481108</v>
      </c>
      <c r="C1474" t="s">
        <v>1405</v>
      </c>
      <c r="D1474" s="23">
        <v>-1295</v>
      </c>
      <c r="E1474" t="s">
        <v>35</v>
      </c>
      <c r="F1474" s="2">
        <v>212901001</v>
      </c>
      <c r="G1474" s="2" t="s">
        <v>91</v>
      </c>
      <c r="I1474" s="95" t="s">
        <v>7231</v>
      </c>
      <c r="J1474" t="s">
        <v>61</v>
      </c>
      <c r="K1474" t="s">
        <v>62</v>
      </c>
      <c r="M1474">
        <v>64.75</v>
      </c>
      <c r="N1474" s="4">
        <f t="shared" si="22"/>
        <v>-20</v>
      </c>
      <c r="O1474" t="s">
        <v>83</v>
      </c>
    </row>
    <row r="1475" spans="1:17" x14ac:dyDescent="0.25">
      <c r="A1475" s="43">
        <v>45723</v>
      </c>
      <c r="B1475" s="1">
        <v>619481109</v>
      </c>
      <c r="C1475" t="s">
        <v>1406</v>
      </c>
      <c r="D1475" s="23">
        <v>-1295</v>
      </c>
      <c r="E1475" t="s">
        <v>35</v>
      </c>
      <c r="F1475" s="2">
        <v>212901001</v>
      </c>
      <c r="G1475" s="2" t="s">
        <v>91</v>
      </c>
      <c r="I1475" s="95" t="s">
        <v>7231</v>
      </c>
      <c r="J1475" t="s">
        <v>61</v>
      </c>
      <c r="K1475" t="s">
        <v>62</v>
      </c>
      <c r="M1475">
        <v>64.75</v>
      </c>
      <c r="N1475" s="4">
        <f t="shared" si="22"/>
        <v>-20</v>
      </c>
      <c r="O1475" t="s">
        <v>83</v>
      </c>
    </row>
    <row r="1476" spans="1:17" x14ac:dyDescent="0.25">
      <c r="A1476" s="43">
        <v>45723</v>
      </c>
      <c r="B1476" s="1">
        <v>619481110</v>
      </c>
      <c r="C1476" t="s">
        <v>1407</v>
      </c>
      <c r="D1476" s="23">
        <v>-6475</v>
      </c>
      <c r="E1476" t="s">
        <v>35</v>
      </c>
      <c r="F1476" s="2">
        <v>212901001</v>
      </c>
      <c r="G1476" s="2" t="s">
        <v>91</v>
      </c>
      <c r="I1476" s="95" t="s">
        <v>7231</v>
      </c>
      <c r="J1476" t="s">
        <v>61</v>
      </c>
      <c r="K1476" t="s">
        <v>62</v>
      </c>
      <c r="M1476">
        <v>64.75</v>
      </c>
      <c r="N1476" s="4">
        <f t="shared" si="22"/>
        <v>-100</v>
      </c>
      <c r="O1476" t="s">
        <v>83</v>
      </c>
    </row>
    <row r="1477" spans="1:17" x14ac:dyDescent="0.25">
      <c r="A1477" s="43">
        <v>45723</v>
      </c>
      <c r="B1477" s="1">
        <v>619481111</v>
      </c>
      <c r="C1477" t="s">
        <v>1408</v>
      </c>
      <c r="D1477" s="23">
        <v>-12950</v>
      </c>
      <c r="E1477" t="s">
        <v>35</v>
      </c>
      <c r="F1477" s="2">
        <v>212901001</v>
      </c>
      <c r="G1477" s="2" t="s">
        <v>91</v>
      </c>
      <c r="I1477" s="95" t="s">
        <v>7231</v>
      </c>
      <c r="J1477" t="s">
        <v>61</v>
      </c>
      <c r="K1477" t="s">
        <v>62</v>
      </c>
      <c r="M1477">
        <v>64.75</v>
      </c>
      <c r="N1477" s="4">
        <f t="shared" si="22"/>
        <v>-200</v>
      </c>
      <c r="O1477" t="s">
        <v>83</v>
      </c>
    </row>
    <row r="1478" spans="1:17" x14ac:dyDescent="0.25">
      <c r="A1478" s="43">
        <v>45723</v>
      </c>
      <c r="B1478" s="1">
        <v>619481113</v>
      </c>
      <c r="C1478" t="s">
        <v>1409</v>
      </c>
      <c r="D1478" s="23">
        <v>-1942.5</v>
      </c>
      <c r="E1478" t="s">
        <v>35</v>
      </c>
      <c r="F1478" s="2">
        <v>212901001</v>
      </c>
      <c r="G1478" s="2" t="s">
        <v>91</v>
      </c>
      <c r="I1478" s="95" t="s">
        <v>7231</v>
      </c>
      <c r="J1478" t="s">
        <v>61</v>
      </c>
      <c r="K1478" t="s">
        <v>62</v>
      </c>
      <c r="M1478">
        <v>64.75</v>
      </c>
      <c r="N1478" s="4">
        <f t="shared" si="22"/>
        <v>-30</v>
      </c>
      <c r="O1478" t="s">
        <v>83</v>
      </c>
    </row>
    <row r="1479" spans="1:17" x14ac:dyDescent="0.25">
      <c r="A1479" s="43">
        <v>45723</v>
      </c>
      <c r="B1479" s="1">
        <v>619481112</v>
      </c>
      <c r="C1479" t="s">
        <v>1410</v>
      </c>
      <c r="D1479" s="23">
        <v>-7640.5</v>
      </c>
      <c r="E1479" t="s">
        <v>35</v>
      </c>
      <c r="F1479" s="2">
        <v>212901001</v>
      </c>
      <c r="G1479" s="2" t="s">
        <v>91</v>
      </c>
      <c r="I1479" s="95" t="s">
        <v>7231</v>
      </c>
      <c r="J1479" t="s">
        <v>61</v>
      </c>
      <c r="K1479" t="s">
        <v>62</v>
      </c>
      <c r="M1479">
        <v>64.75</v>
      </c>
      <c r="N1479" s="4">
        <f t="shared" si="22"/>
        <v>-118</v>
      </c>
      <c r="O1479" t="s">
        <v>83</v>
      </c>
    </row>
    <row r="1480" spans="1:17" x14ac:dyDescent="0.25">
      <c r="A1480" s="43">
        <v>45723</v>
      </c>
      <c r="B1480" s="1">
        <v>619481114</v>
      </c>
      <c r="C1480" t="s">
        <v>1411</v>
      </c>
      <c r="D1480" s="23">
        <v>-2590</v>
      </c>
      <c r="E1480" t="s">
        <v>35</v>
      </c>
      <c r="F1480" s="2">
        <v>212901001</v>
      </c>
      <c r="G1480" s="2" t="s">
        <v>91</v>
      </c>
      <c r="I1480" s="95" t="s">
        <v>7231</v>
      </c>
      <c r="J1480" t="s">
        <v>61</v>
      </c>
      <c r="K1480" t="s">
        <v>62</v>
      </c>
      <c r="M1480">
        <v>64.75</v>
      </c>
      <c r="N1480" s="4">
        <f t="shared" si="22"/>
        <v>-40</v>
      </c>
      <c r="O1480" t="s">
        <v>83</v>
      </c>
    </row>
    <row r="1481" spans="1:17" x14ac:dyDescent="0.25">
      <c r="A1481" s="43">
        <v>45723</v>
      </c>
      <c r="B1481" s="1">
        <v>50310654</v>
      </c>
      <c r="C1481" t="s">
        <v>1412</v>
      </c>
      <c r="D1481" s="23">
        <v>-9065</v>
      </c>
      <c r="E1481" t="s">
        <v>35</v>
      </c>
      <c r="F1481" s="2">
        <v>212901001</v>
      </c>
      <c r="G1481" s="2" t="s">
        <v>91</v>
      </c>
      <c r="I1481" s="95" t="s">
        <v>7231</v>
      </c>
      <c r="J1481" t="s">
        <v>61</v>
      </c>
      <c r="K1481" t="s">
        <v>62</v>
      </c>
      <c r="M1481">
        <v>64.75</v>
      </c>
      <c r="N1481" s="4">
        <f t="shared" si="22"/>
        <v>-140</v>
      </c>
      <c r="O1481" t="s">
        <v>83</v>
      </c>
    </row>
    <row r="1482" spans="1:17" x14ac:dyDescent="0.25">
      <c r="A1482" s="43">
        <v>45723</v>
      </c>
      <c r="B1482" s="1">
        <v>50310654</v>
      </c>
      <c r="C1482" t="s">
        <v>179</v>
      </c>
      <c r="D1482" s="23">
        <v>-13.59</v>
      </c>
      <c r="E1482" t="s">
        <v>35</v>
      </c>
      <c r="F1482" s="2">
        <v>610148001</v>
      </c>
      <c r="G1482" s="2" t="s">
        <v>41</v>
      </c>
      <c r="I1482" s="95" t="s">
        <v>7231</v>
      </c>
      <c r="J1482" t="s">
        <v>42</v>
      </c>
      <c r="K1482" t="s">
        <v>41</v>
      </c>
      <c r="M1482">
        <v>64.75</v>
      </c>
      <c r="N1482" s="4">
        <f t="shared" si="22"/>
        <v>-0.20988416988416989</v>
      </c>
      <c r="O1482" t="s">
        <v>83</v>
      </c>
      <c r="Q1482" s="24" t="s">
        <v>1310</v>
      </c>
    </row>
    <row r="1483" spans="1:17" x14ac:dyDescent="0.25">
      <c r="A1483" s="43">
        <v>45723</v>
      </c>
      <c r="B1483" s="1">
        <v>50310654</v>
      </c>
      <c r="C1483" t="s">
        <v>89</v>
      </c>
      <c r="D1483" s="23">
        <v>-718.23</v>
      </c>
      <c r="E1483" t="s">
        <v>35</v>
      </c>
      <c r="F1483" s="2">
        <v>610148001</v>
      </c>
      <c r="G1483" s="2" t="s">
        <v>41</v>
      </c>
      <c r="I1483" s="95" t="s">
        <v>7231</v>
      </c>
      <c r="J1483" t="s">
        <v>42</v>
      </c>
      <c r="K1483" t="s">
        <v>41</v>
      </c>
      <c r="M1483">
        <v>64.75</v>
      </c>
      <c r="N1483" s="4">
        <f t="shared" si="22"/>
        <v>-11.092355212355212</v>
      </c>
      <c r="O1483" t="s">
        <v>83</v>
      </c>
      <c r="Q1483" s="24" t="s">
        <v>1310</v>
      </c>
    </row>
    <row r="1484" spans="1:17" x14ac:dyDescent="0.25">
      <c r="A1484" s="43">
        <v>45723</v>
      </c>
      <c r="B1484" s="1">
        <v>619481182</v>
      </c>
      <c r="C1484" t="s">
        <v>1413</v>
      </c>
      <c r="D1484" s="23">
        <v>-189846.75</v>
      </c>
      <c r="E1484" t="s">
        <v>35</v>
      </c>
      <c r="F1484" s="2">
        <v>210101001</v>
      </c>
      <c r="G1484" s="2" t="s">
        <v>36</v>
      </c>
      <c r="I1484" s="95" t="s">
        <v>7231</v>
      </c>
      <c r="J1484" t="s">
        <v>37</v>
      </c>
      <c r="K1484" t="s">
        <v>38</v>
      </c>
      <c r="M1484">
        <v>64.75</v>
      </c>
      <c r="N1484" s="4">
        <f t="shared" ref="N1484:N1547" si="23">D1484/M1484</f>
        <v>-2931.9961389961391</v>
      </c>
      <c r="O1484" t="s">
        <v>83</v>
      </c>
    </row>
    <row r="1485" spans="1:17" x14ac:dyDescent="0.25">
      <c r="A1485" s="43">
        <v>45723</v>
      </c>
      <c r="B1485" s="1">
        <v>619481182</v>
      </c>
      <c r="C1485" t="s">
        <v>185</v>
      </c>
      <c r="D1485" s="23">
        <v>-569.54</v>
      </c>
      <c r="E1485" t="s">
        <v>35</v>
      </c>
      <c r="F1485" s="2">
        <v>610148001</v>
      </c>
      <c r="G1485" s="2" t="s">
        <v>41</v>
      </c>
      <c r="I1485" s="95" t="s">
        <v>7231</v>
      </c>
      <c r="J1485" t="s">
        <v>42</v>
      </c>
      <c r="K1485" t="s">
        <v>41</v>
      </c>
      <c r="M1485">
        <v>64.75</v>
      </c>
      <c r="N1485" s="4">
        <f t="shared" si="23"/>
        <v>-8.7959845559845551</v>
      </c>
      <c r="O1485" t="s">
        <v>83</v>
      </c>
      <c r="Q1485" s="24" t="s">
        <v>1310</v>
      </c>
    </row>
    <row r="1486" spans="1:17" x14ac:dyDescent="0.25">
      <c r="A1486" s="43">
        <v>45726</v>
      </c>
      <c r="B1486" s="1">
        <v>105417620</v>
      </c>
      <c r="C1486" t="s">
        <v>82</v>
      </c>
      <c r="D1486" s="23">
        <v>827000</v>
      </c>
      <c r="E1486" t="s">
        <v>45</v>
      </c>
      <c r="F1486" s="2">
        <v>210115002</v>
      </c>
      <c r="G1486" s="2" t="s">
        <v>46</v>
      </c>
      <c r="I1486" s="95" t="s">
        <v>7231</v>
      </c>
      <c r="K1486" t="s">
        <v>82</v>
      </c>
      <c r="M1486">
        <v>65.27</v>
      </c>
      <c r="N1486" s="4">
        <f t="shared" si="23"/>
        <v>12670.445840355447</v>
      </c>
      <c r="O1486" t="s">
        <v>83</v>
      </c>
    </row>
    <row r="1487" spans="1:17" x14ac:dyDescent="0.25">
      <c r="A1487" s="43">
        <v>45726</v>
      </c>
      <c r="B1487" s="1">
        <v>719586617</v>
      </c>
      <c r="C1487" t="s">
        <v>1414</v>
      </c>
      <c r="D1487" s="23">
        <v>-200000</v>
      </c>
      <c r="E1487" t="s">
        <v>35</v>
      </c>
      <c r="F1487" s="2">
        <v>210101001</v>
      </c>
      <c r="G1487" s="2" t="s">
        <v>36</v>
      </c>
      <c r="I1487" s="95" t="s">
        <v>7231</v>
      </c>
      <c r="J1487" t="s">
        <v>37</v>
      </c>
      <c r="K1487" t="s">
        <v>38</v>
      </c>
      <c r="M1487">
        <v>65.27</v>
      </c>
      <c r="N1487" s="4">
        <f t="shared" si="23"/>
        <v>-3064.1948827945457</v>
      </c>
      <c r="O1487" t="s">
        <v>83</v>
      </c>
    </row>
    <row r="1488" spans="1:17" x14ac:dyDescent="0.25">
      <c r="A1488" s="43">
        <v>45726</v>
      </c>
      <c r="B1488" s="1">
        <v>719586615</v>
      </c>
      <c r="C1488" t="s">
        <v>1414</v>
      </c>
      <c r="D1488" s="23">
        <v>-69584.13</v>
      </c>
      <c r="E1488" t="s">
        <v>35</v>
      </c>
      <c r="F1488" s="2">
        <v>210101001</v>
      </c>
      <c r="G1488" s="2" t="s">
        <v>36</v>
      </c>
      <c r="I1488" s="95" t="s">
        <v>7231</v>
      </c>
      <c r="J1488" t="s">
        <v>37</v>
      </c>
      <c r="K1488" t="s">
        <v>38</v>
      </c>
      <c r="M1488">
        <v>65.27</v>
      </c>
      <c r="N1488" s="4">
        <f t="shared" si="23"/>
        <v>-1066.0966753485523</v>
      </c>
      <c r="O1488" t="s">
        <v>83</v>
      </c>
    </row>
    <row r="1489" spans="1:17" x14ac:dyDescent="0.25">
      <c r="A1489" s="43">
        <v>45726</v>
      </c>
      <c r="B1489" s="1">
        <v>719586618</v>
      </c>
      <c r="C1489" t="s">
        <v>1414</v>
      </c>
      <c r="D1489" s="23">
        <v>-200000</v>
      </c>
      <c r="E1489" t="s">
        <v>35</v>
      </c>
      <c r="F1489" s="2">
        <v>210101001</v>
      </c>
      <c r="G1489" s="2" t="s">
        <v>36</v>
      </c>
      <c r="I1489" s="95" t="s">
        <v>7231</v>
      </c>
      <c r="J1489" t="s">
        <v>37</v>
      </c>
      <c r="K1489" t="s">
        <v>38</v>
      </c>
      <c r="M1489">
        <v>65.27</v>
      </c>
      <c r="N1489" s="4">
        <f t="shared" si="23"/>
        <v>-3064.1948827945457</v>
      </c>
      <c r="O1489" t="s">
        <v>83</v>
      </c>
    </row>
    <row r="1490" spans="1:17" x14ac:dyDescent="0.25">
      <c r="A1490" s="43">
        <v>45726</v>
      </c>
      <c r="B1490" s="1">
        <v>719586619</v>
      </c>
      <c r="C1490" t="s">
        <v>1414</v>
      </c>
      <c r="D1490" s="23">
        <v>-200000</v>
      </c>
      <c r="E1490" t="s">
        <v>35</v>
      </c>
      <c r="F1490" s="2">
        <v>210101001</v>
      </c>
      <c r="G1490" s="2" t="s">
        <v>36</v>
      </c>
      <c r="I1490" s="95" t="s">
        <v>7231</v>
      </c>
      <c r="J1490" t="s">
        <v>37</v>
      </c>
      <c r="K1490" t="s">
        <v>38</v>
      </c>
      <c r="M1490">
        <v>65.27</v>
      </c>
      <c r="N1490" s="4">
        <f t="shared" si="23"/>
        <v>-3064.1948827945457</v>
      </c>
      <c r="O1490" t="s">
        <v>83</v>
      </c>
    </row>
    <row r="1491" spans="1:17" x14ac:dyDescent="0.25">
      <c r="A1491" s="43">
        <v>45726</v>
      </c>
      <c r="B1491" s="1">
        <v>719586620</v>
      </c>
      <c r="C1491" t="s">
        <v>1415</v>
      </c>
      <c r="D1491" s="23">
        <v>-156256.38</v>
      </c>
      <c r="E1491" t="s">
        <v>35</v>
      </c>
      <c r="F1491" s="2">
        <v>210101001</v>
      </c>
      <c r="G1491" s="2" t="s">
        <v>36</v>
      </c>
      <c r="I1491" s="95" t="s">
        <v>7231</v>
      </c>
      <c r="J1491" t="s">
        <v>376</v>
      </c>
      <c r="K1491" t="s">
        <v>377</v>
      </c>
      <c r="M1491">
        <v>65.27</v>
      </c>
      <c r="N1491" s="4">
        <f t="shared" si="23"/>
        <v>-2394</v>
      </c>
      <c r="O1491" t="s">
        <v>83</v>
      </c>
    </row>
    <row r="1492" spans="1:17" x14ac:dyDescent="0.25">
      <c r="A1492" s="43">
        <v>45726</v>
      </c>
      <c r="B1492" s="1">
        <v>50360503</v>
      </c>
      <c r="C1492" t="s">
        <v>89</v>
      </c>
      <c r="D1492" s="23">
        <v>-2064.6</v>
      </c>
      <c r="E1492" t="s">
        <v>35</v>
      </c>
      <c r="F1492" s="2">
        <v>610148001</v>
      </c>
      <c r="G1492" s="2" t="s">
        <v>41</v>
      </c>
      <c r="I1492" s="95" t="s">
        <v>7231</v>
      </c>
      <c r="J1492" t="s">
        <v>42</v>
      </c>
      <c r="K1492" t="s">
        <v>41</v>
      </c>
      <c r="M1492">
        <v>65.27</v>
      </c>
      <c r="N1492" s="4">
        <f t="shared" si="23"/>
        <v>-31.631683775088096</v>
      </c>
      <c r="O1492" t="s">
        <v>83</v>
      </c>
      <c r="Q1492" s="24" t="s">
        <v>1310</v>
      </c>
    </row>
    <row r="1493" spans="1:17" x14ac:dyDescent="0.25">
      <c r="A1493" s="43">
        <v>45726</v>
      </c>
      <c r="B1493" s="1">
        <v>132600000</v>
      </c>
      <c r="C1493" t="s">
        <v>82</v>
      </c>
      <c r="D1493" s="23">
        <v>58000</v>
      </c>
      <c r="E1493" t="s">
        <v>45</v>
      </c>
      <c r="F1493" s="2">
        <v>210115002</v>
      </c>
      <c r="G1493" s="2" t="s">
        <v>46</v>
      </c>
      <c r="I1493" s="95" t="s">
        <v>7231</v>
      </c>
      <c r="K1493" t="s">
        <v>82</v>
      </c>
      <c r="M1493">
        <v>65.27</v>
      </c>
      <c r="N1493" s="4">
        <f t="shared" si="23"/>
        <v>888.61651601041831</v>
      </c>
      <c r="O1493" t="s">
        <v>83</v>
      </c>
    </row>
    <row r="1494" spans="1:17" x14ac:dyDescent="0.25">
      <c r="A1494" s="43">
        <v>45726</v>
      </c>
      <c r="B1494" s="1">
        <v>719594629</v>
      </c>
      <c r="C1494" t="s">
        <v>1416</v>
      </c>
      <c r="D1494" s="23">
        <v>-57507.21</v>
      </c>
      <c r="E1494" t="s">
        <v>35</v>
      </c>
      <c r="F1494" s="2">
        <v>210101001</v>
      </c>
      <c r="G1494" s="2" t="s">
        <v>36</v>
      </c>
      <c r="I1494" s="95" t="s">
        <v>7231</v>
      </c>
      <c r="J1494" t="s">
        <v>398</v>
      </c>
      <c r="K1494" t="s">
        <v>399</v>
      </c>
      <c r="M1494">
        <v>65.27</v>
      </c>
      <c r="N1494" s="4">
        <f t="shared" si="23"/>
        <v>-881.06649302895664</v>
      </c>
      <c r="O1494" t="s">
        <v>83</v>
      </c>
    </row>
    <row r="1495" spans="1:17" x14ac:dyDescent="0.25">
      <c r="A1495" s="43">
        <v>45726</v>
      </c>
      <c r="B1495" s="1">
        <v>719594629</v>
      </c>
      <c r="C1495" t="s">
        <v>185</v>
      </c>
      <c r="D1495" s="23">
        <v>-172.52</v>
      </c>
      <c r="E1495" t="s">
        <v>35</v>
      </c>
      <c r="F1495" s="2">
        <v>610148001</v>
      </c>
      <c r="G1495" s="2" t="s">
        <v>41</v>
      </c>
      <c r="I1495" s="95" t="s">
        <v>7231</v>
      </c>
      <c r="J1495" t="s">
        <v>42</v>
      </c>
      <c r="K1495" t="s">
        <v>41</v>
      </c>
      <c r="M1495">
        <v>65.27</v>
      </c>
      <c r="N1495" s="4">
        <f t="shared" si="23"/>
        <v>-2.6431745058985756</v>
      </c>
      <c r="O1495" t="s">
        <v>83</v>
      </c>
      <c r="Q1495" s="24" t="s">
        <v>1310</v>
      </c>
    </row>
    <row r="1496" spans="1:17" x14ac:dyDescent="0.25">
      <c r="A1496" s="43">
        <v>45726</v>
      </c>
      <c r="B1496" s="1">
        <v>175434643</v>
      </c>
      <c r="C1496" t="s">
        <v>82</v>
      </c>
      <c r="D1496" s="23">
        <v>20000</v>
      </c>
      <c r="E1496" t="s">
        <v>45</v>
      </c>
      <c r="F1496" s="2">
        <v>210115002</v>
      </c>
      <c r="G1496" s="2" t="s">
        <v>46</v>
      </c>
      <c r="I1496" s="95" t="s">
        <v>7231</v>
      </c>
      <c r="K1496" t="s">
        <v>82</v>
      </c>
      <c r="M1496">
        <v>65.27</v>
      </c>
      <c r="N1496" s="4">
        <f t="shared" si="23"/>
        <v>306.41948827945458</v>
      </c>
      <c r="O1496" t="s">
        <v>83</v>
      </c>
    </row>
    <row r="1497" spans="1:17" x14ac:dyDescent="0.25">
      <c r="A1497" s="43">
        <v>45726</v>
      </c>
      <c r="B1497" s="1">
        <v>0</v>
      </c>
      <c r="C1497" t="s">
        <v>92</v>
      </c>
      <c r="D1497" s="23">
        <v>-58.79</v>
      </c>
      <c r="E1497" t="s">
        <v>35</v>
      </c>
      <c r="F1497" s="2">
        <v>610148001</v>
      </c>
      <c r="G1497" s="2" t="s">
        <v>41</v>
      </c>
      <c r="I1497" s="95" t="s">
        <v>7231</v>
      </c>
      <c r="J1497" t="s">
        <v>42</v>
      </c>
      <c r="K1497" t="s">
        <v>41</v>
      </c>
      <c r="M1497">
        <v>65.27</v>
      </c>
      <c r="N1497" s="4">
        <f t="shared" si="23"/>
        <v>-0.90072008579745677</v>
      </c>
      <c r="O1497" t="s">
        <v>83</v>
      </c>
      <c r="Q1497" s="24" t="s">
        <v>1310</v>
      </c>
    </row>
    <row r="1498" spans="1:17" x14ac:dyDescent="0.25">
      <c r="A1498" s="43">
        <v>45726</v>
      </c>
      <c r="B1498" s="1">
        <v>156800</v>
      </c>
      <c r="C1498" t="s">
        <v>1417</v>
      </c>
      <c r="D1498" s="23">
        <v>-22050.9</v>
      </c>
      <c r="E1498" t="s">
        <v>35</v>
      </c>
      <c r="F1498" s="2">
        <v>210601001</v>
      </c>
      <c r="G1498" s="2" t="s">
        <v>272</v>
      </c>
      <c r="I1498" s="95" t="s">
        <v>7231</v>
      </c>
      <c r="J1498" t="s">
        <v>273</v>
      </c>
      <c r="K1498" t="s">
        <v>274</v>
      </c>
      <c r="M1498">
        <v>65.27</v>
      </c>
      <c r="N1498" s="4">
        <f t="shared" si="23"/>
        <v>-337.84127470507127</v>
      </c>
      <c r="O1498" t="s">
        <v>83</v>
      </c>
      <c r="Q1498" s="24" t="s">
        <v>1418</v>
      </c>
    </row>
    <row r="1499" spans="1:17" x14ac:dyDescent="0.25">
      <c r="A1499" s="43">
        <v>45727</v>
      </c>
      <c r="B1499" s="1">
        <v>104329088</v>
      </c>
      <c r="C1499" t="s">
        <v>82</v>
      </c>
      <c r="D1499" s="23">
        <v>548000</v>
      </c>
      <c r="E1499" t="s">
        <v>45</v>
      </c>
      <c r="F1499" s="2">
        <v>210115002</v>
      </c>
      <c r="G1499" s="2" t="s">
        <v>46</v>
      </c>
      <c r="I1499" s="95" t="s">
        <v>7231</v>
      </c>
      <c r="K1499" s="49" t="s">
        <v>82</v>
      </c>
      <c r="L1499" s="49"/>
      <c r="M1499">
        <v>65.42</v>
      </c>
      <c r="N1499" s="4">
        <f t="shared" si="23"/>
        <v>8376.643228370529</v>
      </c>
      <c r="O1499" t="s">
        <v>83</v>
      </c>
    </row>
    <row r="1500" spans="1:17" x14ac:dyDescent="0.25">
      <c r="A1500" s="43">
        <v>45727</v>
      </c>
      <c r="B1500" s="1">
        <v>719631169</v>
      </c>
      <c r="C1500" t="s">
        <v>1419</v>
      </c>
      <c r="D1500" s="23">
        <v>-16165.4</v>
      </c>
      <c r="E1500" t="s">
        <v>35</v>
      </c>
      <c r="F1500" s="2">
        <v>210101001</v>
      </c>
      <c r="G1500" s="2" t="s">
        <v>36</v>
      </c>
      <c r="I1500" s="95" t="s">
        <v>7231</v>
      </c>
      <c r="J1500" t="s">
        <v>37</v>
      </c>
      <c r="K1500" s="49" t="s">
        <v>38</v>
      </c>
      <c r="L1500" s="49"/>
      <c r="M1500">
        <v>65.42</v>
      </c>
      <c r="N1500" s="4">
        <f t="shared" si="23"/>
        <v>-247.10180372974625</v>
      </c>
      <c r="O1500" t="s">
        <v>83</v>
      </c>
    </row>
    <row r="1501" spans="1:17" x14ac:dyDescent="0.25">
      <c r="A1501" s="43">
        <v>45727</v>
      </c>
      <c r="B1501" s="1">
        <v>719631171</v>
      </c>
      <c r="C1501" t="s">
        <v>1420</v>
      </c>
      <c r="D1501" s="23">
        <v>-95614.02</v>
      </c>
      <c r="E1501" t="s">
        <v>35</v>
      </c>
      <c r="F1501" s="2">
        <v>210101001</v>
      </c>
      <c r="G1501" s="2" t="s">
        <v>36</v>
      </c>
      <c r="I1501" s="95" t="s">
        <v>7231</v>
      </c>
      <c r="J1501" t="s">
        <v>414</v>
      </c>
      <c r="K1501" t="s">
        <v>415</v>
      </c>
      <c r="M1501">
        <v>65.42</v>
      </c>
      <c r="N1501" s="4">
        <f t="shared" si="23"/>
        <v>-1461.5411189238764</v>
      </c>
      <c r="O1501" t="s">
        <v>83</v>
      </c>
    </row>
    <row r="1502" spans="1:17" x14ac:dyDescent="0.25">
      <c r="A1502" s="43">
        <v>45727</v>
      </c>
      <c r="B1502" s="1">
        <v>719631170</v>
      </c>
      <c r="C1502" t="s">
        <v>1421</v>
      </c>
      <c r="D1502" s="23">
        <v>-6602.48</v>
      </c>
      <c r="E1502" t="s">
        <v>35</v>
      </c>
      <c r="F1502" s="2">
        <v>210101001</v>
      </c>
      <c r="G1502" s="2" t="s">
        <v>36</v>
      </c>
      <c r="I1502" s="95" t="s">
        <v>7231</v>
      </c>
      <c r="J1502" t="s">
        <v>414</v>
      </c>
      <c r="K1502" t="s">
        <v>415</v>
      </c>
      <c r="M1502">
        <v>65.42</v>
      </c>
      <c r="N1502" s="4">
        <f t="shared" si="23"/>
        <v>-100.9244879241822</v>
      </c>
      <c r="O1502" t="s">
        <v>83</v>
      </c>
    </row>
    <row r="1503" spans="1:17" x14ac:dyDescent="0.25">
      <c r="A1503" s="43">
        <v>45727</v>
      </c>
      <c r="B1503" s="1">
        <v>719631173</v>
      </c>
      <c r="C1503" t="s">
        <v>1422</v>
      </c>
      <c r="D1503" s="23">
        <v>-15141.71</v>
      </c>
      <c r="E1503" t="s">
        <v>35</v>
      </c>
      <c r="F1503" s="2">
        <v>210101001</v>
      </c>
      <c r="G1503" s="2" t="s">
        <v>36</v>
      </c>
      <c r="I1503" s="95" t="s">
        <v>7231</v>
      </c>
      <c r="J1503" t="s">
        <v>182</v>
      </c>
      <c r="K1503" t="s">
        <v>183</v>
      </c>
      <c r="M1503">
        <v>65.42</v>
      </c>
      <c r="N1503" s="4">
        <f t="shared" si="23"/>
        <v>-231.45383674717209</v>
      </c>
      <c r="O1503" t="s">
        <v>83</v>
      </c>
    </row>
    <row r="1504" spans="1:17" x14ac:dyDescent="0.25">
      <c r="A1504" s="43">
        <v>45727</v>
      </c>
      <c r="B1504" s="1">
        <v>719631172</v>
      </c>
      <c r="C1504" t="s">
        <v>1423</v>
      </c>
      <c r="D1504" s="23">
        <v>-15023.9</v>
      </c>
      <c r="E1504" t="s">
        <v>35</v>
      </c>
      <c r="F1504" s="2">
        <v>210101001</v>
      </c>
      <c r="G1504" s="2" t="s">
        <v>36</v>
      </c>
      <c r="I1504" s="95" t="s">
        <v>7231</v>
      </c>
      <c r="J1504" t="s">
        <v>1424</v>
      </c>
      <c r="K1504" t="s">
        <v>1425</v>
      </c>
      <c r="M1504">
        <v>65.42</v>
      </c>
      <c r="N1504" s="4">
        <f t="shared" si="23"/>
        <v>-229.65301131152552</v>
      </c>
      <c r="O1504" t="s">
        <v>83</v>
      </c>
    </row>
    <row r="1505" spans="1:17" x14ac:dyDescent="0.25">
      <c r="A1505" s="43">
        <v>45727</v>
      </c>
      <c r="B1505" s="1">
        <v>719631175</v>
      </c>
      <c r="C1505" t="s">
        <v>1419</v>
      </c>
      <c r="D1505" s="23">
        <v>-200000</v>
      </c>
      <c r="E1505" t="s">
        <v>35</v>
      </c>
      <c r="F1505" s="2">
        <v>210101001</v>
      </c>
      <c r="G1505" s="2" t="s">
        <v>36</v>
      </c>
      <c r="I1505" s="95" t="s">
        <v>7231</v>
      </c>
      <c r="J1505" t="s">
        <v>37</v>
      </c>
      <c r="K1505" t="s">
        <v>38</v>
      </c>
      <c r="M1505">
        <v>65.42</v>
      </c>
      <c r="N1505" s="4">
        <f t="shared" si="23"/>
        <v>-3057.1690614490981</v>
      </c>
      <c r="O1505" t="s">
        <v>83</v>
      </c>
    </row>
    <row r="1506" spans="1:17" x14ac:dyDescent="0.25">
      <c r="A1506" s="43">
        <v>45727</v>
      </c>
      <c r="B1506" s="1">
        <v>719631174</v>
      </c>
      <c r="C1506" t="s">
        <v>1419</v>
      </c>
      <c r="D1506" s="23">
        <v>-200000</v>
      </c>
      <c r="E1506" t="s">
        <v>35</v>
      </c>
      <c r="F1506" s="2">
        <v>210101001</v>
      </c>
      <c r="G1506" s="2" t="s">
        <v>36</v>
      </c>
      <c r="I1506" s="95" t="s">
        <v>7231</v>
      </c>
      <c r="J1506" t="s">
        <v>37</v>
      </c>
      <c r="K1506" t="s">
        <v>38</v>
      </c>
      <c r="M1506">
        <v>65.42</v>
      </c>
      <c r="N1506" s="4">
        <f t="shared" si="23"/>
        <v>-3057.1690614490981</v>
      </c>
      <c r="O1506" t="s">
        <v>83</v>
      </c>
    </row>
    <row r="1507" spans="1:17" x14ac:dyDescent="0.25">
      <c r="A1507" s="43">
        <v>45727</v>
      </c>
      <c r="B1507" s="1">
        <v>50339268</v>
      </c>
      <c r="C1507" t="s">
        <v>89</v>
      </c>
      <c r="D1507" s="23">
        <v>-1371.36</v>
      </c>
      <c r="E1507" t="s">
        <v>35</v>
      </c>
      <c r="F1507" s="2">
        <v>610148001</v>
      </c>
      <c r="G1507" s="2" t="s">
        <v>41</v>
      </c>
      <c r="I1507" s="95" t="s">
        <v>7231</v>
      </c>
      <c r="J1507" t="s">
        <v>42</v>
      </c>
      <c r="K1507" t="s">
        <v>41</v>
      </c>
      <c r="M1507">
        <v>65.42</v>
      </c>
      <c r="N1507" s="4">
        <f t="shared" si="23"/>
        <v>-20.962396820544175</v>
      </c>
      <c r="O1507" t="s">
        <v>83</v>
      </c>
      <c r="Q1507" s="24" t="s">
        <v>1310</v>
      </c>
    </row>
    <row r="1508" spans="1:17" x14ac:dyDescent="0.25">
      <c r="A1508" s="43">
        <v>45727</v>
      </c>
      <c r="B1508" s="1">
        <v>151010727</v>
      </c>
      <c r="C1508" t="s">
        <v>82</v>
      </c>
      <c r="D1508" s="23">
        <v>420000</v>
      </c>
      <c r="E1508" t="s">
        <v>45</v>
      </c>
      <c r="F1508" s="2">
        <v>210115002</v>
      </c>
      <c r="G1508" s="2" t="s">
        <v>46</v>
      </c>
      <c r="I1508" s="95" t="s">
        <v>7231</v>
      </c>
      <c r="K1508" s="49" t="s">
        <v>82</v>
      </c>
      <c r="L1508" s="49"/>
      <c r="M1508">
        <v>65.42</v>
      </c>
      <c r="N1508" s="4">
        <f t="shared" si="23"/>
        <v>6420.0550290431056</v>
      </c>
      <c r="O1508" t="s">
        <v>83</v>
      </c>
    </row>
    <row r="1509" spans="1:17" x14ac:dyDescent="0.25">
      <c r="A1509" s="43">
        <v>45727</v>
      </c>
      <c r="B1509" s="1">
        <v>319643847</v>
      </c>
      <c r="C1509" t="s">
        <v>1426</v>
      </c>
      <c r="D1509" s="23">
        <v>-200000</v>
      </c>
      <c r="E1509" t="s">
        <v>35</v>
      </c>
      <c r="F1509" s="2">
        <v>210101001</v>
      </c>
      <c r="G1509" s="2" t="s">
        <v>36</v>
      </c>
      <c r="I1509" s="95" t="s">
        <v>7231</v>
      </c>
      <c r="J1509" t="s">
        <v>37</v>
      </c>
      <c r="K1509" s="49" t="s">
        <v>38</v>
      </c>
      <c r="L1509" s="49"/>
      <c r="M1509">
        <v>65.42</v>
      </c>
      <c r="N1509" s="4">
        <f t="shared" si="23"/>
        <v>-3057.1690614490981</v>
      </c>
      <c r="O1509" t="s">
        <v>83</v>
      </c>
      <c r="P1509" t="s">
        <v>694</v>
      </c>
    </row>
    <row r="1510" spans="1:17" x14ac:dyDescent="0.25">
      <c r="A1510" s="43">
        <v>45727</v>
      </c>
      <c r="B1510" s="1">
        <v>319643848</v>
      </c>
      <c r="C1510" t="s">
        <v>1426</v>
      </c>
      <c r="D1510" s="23">
        <v>-200000</v>
      </c>
      <c r="E1510" t="s">
        <v>35</v>
      </c>
      <c r="F1510" s="2">
        <v>210101001</v>
      </c>
      <c r="G1510" s="2" t="s">
        <v>36</v>
      </c>
      <c r="I1510" s="95" t="s">
        <v>7231</v>
      </c>
      <c r="J1510" t="s">
        <v>37</v>
      </c>
      <c r="K1510" s="49" t="s">
        <v>38</v>
      </c>
      <c r="L1510" s="49"/>
      <c r="M1510">
        <v>65.42</v>
      </c>
      <c r="N1510" s="4">
        <f t="shared" si="23"/>
        <v>-3057.1690614490981</v>
      </c>
      <c r="O1510" t="s">
        <v>83</v>
      </c>
      <c r="P1510" t="s">
        <v>694</v>
      </c>
    </row>
    <row r="1511" spans="1:17" x14ac:dyDescent="0.25">
      <c r="A1511" s="43">
        <v>45727</v>
      </c>
      <c r="B1511" s="1">
        <v>319643849</v>
      </c>
      <c r="C1511" t="s">
        <v>1426</v>
      </c>
      <c r="D1511" s="23">
        <v>-7944.77</v>
      </c>
      <c r="E1511" t="s">
        <v>35</v>
      </c>
      <c r="F1511" s="2">
        <v>210101001</v>
      </c>
      <c r="G1511" s="2" t="s">
        <v>36</v>
      </c>
      <c r="I1511" s="95" t="s">
        <v>7231</v>
      </c>
      <c r="J1511" t="s">
        <v>37</v>
      </c>
      <c r="K1511" s="49" t="s">
        <v>38</v>
      </c>
      <c r="L1511" s="49"/>
      <c r="M1511">
        <v>65.42</v>
      </c>
      <c r="N1511" s="4">
        <f t="shared" si="23"/>
        <v>-121.44252522164476</v>
      </c>
      <c r="O1511" t="s">
        <v>83</v>
      </c>
      <c r="P1511" t="s">
        <v>694</v>
      </c>
    </row>
    <row r="1512" spans="1:17" x14ac:dyDescent="0.25">
      <c r="A1512" s="43">
        <v>45727</v>
      </c>
      <c r="B1512" s="1">
        <v>50312286</v>
      </c>
      <c r="C1512" t="s">
        <v>1427</v>
      </c>
      <c r="D1512" s="23">
        <v>-8613.67</v>
      </c>
      <c r="E1512" t="s">
        <v>35</v>
      </c>
      <c r="F1512" s="2">
        <v>210101001</v>
      </c>
      <c r="G1512" s="2" t="s">
        <v>36</v>
      </c>
      <c r="I1512" s="95" t="s">
        <v>7231</v>
      </c>
      <c r="J1512" t="s">
        <v>182</v>
      </c>
      <c r="K1512" t="s">
        <v>183</v>
      </c>
      <c r="M1512">
        <v>65.42</v>
      </c>
      <c r="N1512" s="4">
        <f t="shared" si="23"/>
        <v>-131.66722714766127</v>
      </c>
      <c r="O1512" t="s">
        <v>83</v>
      </c>
    </row>
    <row r="1513" spans="1:17" x14ac:dyDescent="0.25">
      <c r="A1513" s="43">
        <v>45727</v>
      </c>
      <c r="B1513" s="1">
        <v>50312286</v>
      </c>
      <c r="C1513" t="s">
        <v>179</v>
      </c>
      <c r="D1513" s="23">
        <v>-12.92</v>
      </c>
      <c r="E1513" t="s">
        <v>35</v>
      </c>
      <c r="F1513" s="2">
        <v>610148001</v>
      </c>
      <c r="G1513" s="2" t="s">
        <v>41</v>
      </c>
      <c r="I1513" s="95" t="s">
        <v>7231</v>
      </c>
      <c r="J1513" t="s">
        <v>42</v>
      </c>
      <c r="K1513" t="s">
        <v>41</v>
      </c>
      <c r="M1513">
        <v>65.42</v>
      </c>
      <c r="N1513" s="4">
        <f t="shared" si="23"/>
        <v>-0.19749312136961172</v>
      </c>
      <c r="O1513" t="s">
        <v>83</v>
      </c>
      <c r="Q1513" s="24" t="s">
        <v>1310</v>
      </c>
    </row>
    <row r="1514" spans="1:17" x14ac:dyDescent="0.25">
      <c r="A1514" s="43">
        <v>45727</v>
      </c>
      <c r="B1514" s="1">
        <v>50312286</v>
      </c>
      <c r="C1514" t="s">
        <v>89</v>
      </c>
      <c r="D1514" s="23">
        <v>-1019.86</v>
      </c>
      <c r="E1514" t="s">
        <v>35</v>
      </c>
      <c r="F1514" s="2">
        <v>610148001</v>
      </c>
      <c r="G1514" s="2" t="s">
        <v>41</v>
      </c>
      <c r="I1514" s="95" t="s">
        <v>7231</v>
      </c>
      <c r="J1514" t="s">
        <v>42</v>
      </c>
      <c r="K1514" t="s">
        <v>41</v>
      </c>
      <c r="M1514">
        <v>65.42</v>
      </c>
      <c r="N1514" s="4">
        <f t="shared" si="23"/>
        <v>-15.589422195047385</v>
      </c>
      <c r="O1514" t="s">
        <v>83</v>
      </c>
      <c r="Q1514" s="24" t="s">
        <v>1310</v>
      </c>
    </row>
    <row r="1515" spans="1:17" x14ac:dyDescent="0.25">
      <c r="A1515" s="43">
        <v>45728</v>
      </c>
      <c r="B1515" s="1">
        <v>590934494</v>
      </c>
      <c r="C1515" t="s">
        <v>1428</v>
      </c>
      <c r="D1515" s="23">
        <v>47955.1</v>
      </c>
      <c r="E1515" t="s">
        <v>45</v>
      </c>
      <c r="F1515" s="2">
        <v>110106001</v>
      </c>
      <c r="G1515" s="2" t="s">
        <v>1011</v>
      </c>
      <c r="I1515" s="95" t="s">
        <v>7231</v>
      </c>
      <c r="K1515" s="49" t="s">
        <v>1429</v>
      </c>
      <c r="L1515" s="49"/>
      <c r="M1515">
        <v>65.63</v>
      </c>
      <c r="N1515" s="4">
        <f t="shared" si="23"/>
        <v>730.68870943166235</v>
      </c>
      <c r="O1515" t="s">
        <v>83</v>
      </c>
    </row>
    <row r="1516" spans="1:17" x14ac:dyDescent="0.25">
      <c r="A1516" s="43">
        <v>45728</v>
      </c>
      <c r="B1516" s="1">
        <v>590934494</v>
      </c>
      <c r="C1516" t="s">
        <v>1430</v>
      </c>
      <c r="D1516" s="23">
        <v>-719.32</v>
      </c>
      <c r="E1516" t="s">
        <v>35</v>
      </c>
      <c r="F1516" s="2">
        <v>610148001</v>
      </c>
      <c r="G1516" s="2" t="s">
        <v>41</v>
      </c>
      <c r="I1516" s="95" t="s">
        <v>7231</v>
      </c>
      <c r="J1516" t="s">
        <v>42</v>
      </c>
      <c r="K1516" t="s">
        <v>41</v>
      </c>
      <c r="M1516">
        <v>65.63</v>
      </c>
      <c r="N1516" s="4">
        <f t="shared" si="23"/>
        <v>-10.9602316014018</v>
      </c>
      <c r="O1516" t="s">
        <v>83</v>
      </c>
      <c r="Q1516" s="24" t="s">
        <v>1310</v>
      </c>
    </row>
    <row r="1517" spans="1:17" x14ac:dyDescent="0.25">
      <c r="A1517" s="43">
        <v>45728</v>
      </c>
      <c r="B1517" s="1">
        <v>111305787</v>
      </c>
      <c r="C1517" t="s">
        <v>82</v>
      </c>
      <c r="D1517" s="23">
        <v>220000</v>
      </c>
      <c r="E1517" t="s">
        <v>45</v>
      </c>
      <c r="F1517" s="2">
        <v>210115002</v>
      </c>
      <c r="G1517" s="2" t="s">
        <v>46</v>
      </c>
      <c r="I1517" s="95" t="s">
        <v>7231</v>
      </c>
      <c r="K1517" t="s">
        <v>82</v>
      </c>
      <c r="M1517">
        <v>65.63</v>
      </c>
      <c r="N1517" s="4">
        <f t="shared" si="23"/>
        <v>3352.1255523388695</v>
      </c>
      <c r="O1517" t="s">
        <v>83</v>
      </c>
    </row>
    <row r="1518" spans="1:17" x14ac:dyDescent="0.25">
      <c r="A1518" s="43">
        <v>45728</v>
      </c>
      <c r="B1518" s="1">
        <v>519669711</v>
      </c>
      <c r="C1518" t="s">
        <v>1431</v>
      </c>
      <c r="D1518" s="23">
        <v>-105</v>
      </c>
      <c r="E1518" t="s">
        <v>35</v>
      </c>
      <c r="F1518" s="2">
        <v>210101001</v>
      </c>
      <c r="G1518" s="2" t="s">
        <v>36</v>
      </c>
      <c r="I1518" s="95" t="s">
        <v>7231</v>
      </c>
      <c r="J1518" t="s">
        <v>182</v>
      </c>
      <c r="K1518" t="s">
        <v>183</v>
      </c>
      <c r="M1518">
        <v>65.63</v>
      </c>
      <c r="N1518" s="4">
        <f t="shared" si="23"/>
        <v>-1.5998781045253696</v>
      </c>
      <c r="O1518" t="s">
        <v>83</v>
      </c>
    </row>
    <row r="1519" spans="1:17" x14ac:dyDescent="0.25">
      <c r="A1519" s="46">
        <v>45728</v>
      </c>
      <c r="B1519" s="27">
        <v>519669713</v>
      </c>
      <c r="C1519" s="28" t="s">
        <v>1432</v>
      </c>
      <c r="D1519" s="29">
        <v>-164075</v>
      </c>
      <c r="E1519" s="28" t="s">
        <v>35</v>
      </c>
      <c r="F1519" s="30">
        <v>610122005</v>
      </c>
      <c r="G1519" s="30" t="s">
        <v>401</v>
      </c>
      <c r="H1519" s="30"/>
      <c r="I1519" s="95" t="s">
        <v>7231</v>
      </c>
      <c r="J1519" s="50" t="s">
        <v>608</v>
      </c>
      <c r="K1519" s="28" t="s">
        <v>609</v>
      </c>
      <c r="L1519" s="28" t="s">
        <v>56</v>
      </c>
      <c r="M1519" s="28">
        <v>65.63</v>
      </c>
      <c r="N1519" s="4">
        <f t="shared" si="23"/>
        <v>-2500</v>
      </c>
      <c r="O1519" t="s">
        <v>83</v>
      </c>
      <c r="P1519" s="3" t="s">
        <v>901</v>
      </c>
      <c r="Q1519" s="24" t="s">
        <v>1433</v>
      </c>
    </row>
    <row r="1520" spans="1:17" x14ac:dyDescent="0.25">
      <c r="A1520" s="43">
        <v>45728</v>
      </c>
      <c r="B1520" s="1">
        <v>519669712</v>
      </c>
      <c r="C1520" t="s">
        <v>1434</v>
      </c>
      <c r="D1520" s="23">
        <v>-1141.9000000000001</v>
      </c>
      <c r="E1520" t="s">
        <v>35</v>
      </c>
      <c r="F1520" s="2">
        <v>210101001</v>
      </c>
      <c r="G1520" s="2" t="s">
        <v>36</v>
      </c>
      <c r="I1520" s="95" t="s">
        <v>7231</v>
      </c>
      <c r="J1520" t="s">
        <v>680</v>
      </c>
      <c r="K1520" t="s">
        <v>681</v>
      </c>
      <c r="M1520">
        <v>65.63</v>
      </c>
      <c r="N1520" s="4">
        <f t="shared" si="23"/>
        <v>-17.399055310071617</v>
      </c>
      <c r="O1520" t="s">
        <v>83</v>
      </c>
    </row>
    <row r="1521" spans="1:17" x14ac:dyDescent="0.25">
      <c r="A1521" s="43">
        <v>45728</v>
      </c>
      <c r="B1521" s="1">
        <v>519669714</v>
      </c>
      <c r="C1521" t="s">
        <v>1435</v>
      </c>
      <c r="D1521" s="31">
        <v>-52504</v>
      </c>
      <c r="E1521" t="s">
        <v>35</v>
      </c>
      <c r="I1521" s="95" t="s">
        <v>7231</v>
      </c>
      <c r="J1521" s="51" t="s">
        <v>899</v>
      </c>
      <c r="K1521" t="s">
        <v>900</v>
      </c>
      <c r="L1521" s="28" t="s">
        <v>56</v>
      </c>
      <c r="M1521">
        <v>65.63</v>
      </c>
      <c r="N1521" s="4">
        <f t="shared" si="23"/>
        <v>-800</v>
      </c>
      <c r="O1521" t="s">
        <v>83</v>
      </c>
      <c r="P1521" s="3" t="s">
        <v>901</v>
      </c>
      <c r="Q1521" s="24" t="s">
        <v>1436</v>
      </c>
    </row>
    <row r="1522" spans="1:17" x14ac:dyDescent="0.25">
      <c r="A1522" s="43">
        <v>45728</v>
      </c>
      <c r="B1522" s="1">
        <v>50314882</v>
      </c>
      <c r="C1522" t="s">
        <v>89</v>
      </c>
      <c r="D1522" s="23">
        <v>-544.55999999999995</v>
      </c>
      <c r="E1522" t="s">
        <v>35</v>
      </c>
      <c r="F1522" s="2">
        <v>610148001</v>
      </c>
      <c r="G1522" s="2" t="s">
        <v>41</v>
      </c>
      <c r="I1522" s="95" t="s">
        <v>7231</v>
      </c>
      <c r="J1522" t="s">
        <v>42</v>
      </c>
      <c r="K1522" t="s">
        <v>41</v>
      </c>
      <c r="M1522">
        <v>65.63</v>
      </c>
      <c r="N1522" s="4">
        <f t="shared" si="23"/>
        <v>-8.2974249580984303</v>
      </c>
      <c r="O1522" t="s">
        <v>83</v>
      </c>
      <c r="Q1522" s="24" t="s">
        <v>1310</v>
      </c>
    </row>
    <row r="1523" spans="1:17" x14ac:dyDescent="0.25">
      <c r="A1523" s="43">
        <v>45728</v>
      </c>
      <c r="B1523" s="1">
        <v>219680023</v>
      </c>
      <c r="C1523" t="s">
        <v>1437</v>
      </c>
      <c r="D1523" s="23">
        <v>-27711.61</v>
      </c>
      <c r="E1523" t="s">
        <v>35</v>
      </c>
      <c r="F1523" s="2">
        <v>210101001</v>
      </c>
      <c r="G1523" s="2" t="s">
        <v>36</v>
      </c>
      <c r="I1523" s="95" t="s">
        <v>7231</v>
      </c>
      <c r="J1523" t="s">
        <v>398</v>
      </c>
      <c r="K1523" t="s">
        <v>399</v>
      </c>
      <c r="M1523">
        <v>65.63</v>
      </c>
      <c r="N1523" s="4">
        <f t="shared" si="23"/>
        <v>-422.23998171567882</v>
      </c>
      <c r="O1523" t="s">
        <v>83</v>
      </c>
    </row>
    <row r="1524" spans="1:17" x14ac:dyDescent="0.25">
      <c r="A1524" s="43">
        <v>45728</v>
      </c>
      <c r="B1524" s="1">
        <v>219680023</v>
      </c>
      <c r="C1524" t="s">
        <v>185</v>
      </c>
      <c r="D1524" s="23">
        <v>-83.13</v>
      </c>
      <c r="E1524" t="s">
        <v>35</v>
      </c>
      <c r="F1524" s="2">
        <v>610148001</v>
      </c>
      <c r="G1524" s="2" t="s">
        <v>41</v>
      </c>
      <c r="I1524" s="95" t="s">
        <v>7231</v>
      </c>
      <c r="J1524" t="s">
        <v>42</v>
      </c>
      <c r="K1524" t="s">
        <v>41</v>
      </c>
      <c r="M1524">
        <v>65.63</v>
      </c>
      <c r="N1524" s="4">
        <f t="shared" si="23"/>
        <v>-1.2666463507542283</v>
      </c>
      <c r="O1524" t="s">
        <v>83</v>
      </c>
      <c r="Q1524" s="24" t="s">
        <v>1310</v>
      </c>
    </row>
    <row r="1525" spans="1:17" x14ac:dyDescent="0.25">
      <c r="A1525" s="43">
        <v>45729</v>
      </c>
      <c r="B1525" s="1">
        <v>0</v>
      </c>
      <c r="C1525" t="s">
        <v>792</v>
      </c>
      <c r="D1525" s="23">
        <v>-0.13</v>
      </c>
      <c r="E1525" t="s">
        <v>35</v>
      </c>
      <c r="F1525" s="2">
        <v>610148001</v>
      </c>
      <c r="G1525" s="2" t="s">
        <v>41</v>
      </c>
      <c r="I1525" s="95" t="s">
        <v>7231</v>
      </c>
      <c r="J1525" t="s">
        <v>42</v>
      </c>
      <c r="K1525" t="s">
        <v>41</v>
      </c>
      <c r="M1525">
        <v>66.25</v>
      </c>
      <c r="N1525" s="4">
        <f t="shared" si="23"/>
        <v>-1.9622641509433963E-3</v>
      </c>
      <c r="O1525" t="s">
        <v>83</v>
      </c>
      <c r="Q1525" s="24" t="s">
        <v>1310</v>
      </c>
    </row>
    <row r="1526" spans="1:17" x14ac:dyDescent="0.25">
      <c r="A1526" s="43">
        <v>45729</v>
      </c>
      <c r="B1526" s="1">
        <v>0</v>
      </c>
      <c r="C1526" t="s">
        <v>792</v>
      </c>
      <c r="D1526" s="23">
        <v>-0.13</v>
      </c>
      <c r="E1526" t="s">
        <v>35</v>
      </c>
      <c r="F1526" s="2">
        <v>610148001</v>
      </c>
      <c r="G1526" s="2" t="s">
        <v>41</v>
      </c>
      <c r="I1526" s="95" t="s">
        <v>7231</v>
      </c>
      <c r="J1526" t="s">
        <v>42</v>
      </c>
      <c r="K1526" t="s">
        <v>41</v>
      </c>
      <c r="M1526">
        <v>66.25</v>
      </c>
      <c r="N1526" s="4">
        <f t="shared" si="23"/>
        <v>-1.9622641509433963E-3</v>
      </c>
      <c r="O1526" t="s">
        <v>83</v>
      </c>
      <c r="Q1526" s="24" t="s">
        <v>1310</v>
      </c>
    </row>
    <row r="1527" spans="1:17" x14ac:dyDescent="0.25">
      <c r="A1527" s="46">
        <v>45729</v>
      </c>
      <c r="B1527" s="27">
        <v>119697916</v>
      </c>
      <c r="C1527" s="28" t="s">
        <v>1438</v>
      </c>
      <c r="D1527" s="29">
        <v>-216.93</v>
      </c>
      <c r="E1527" s="28" t="s">
        <v>35</v>
      </c>
      <c r="F1527" s="30"/>
      <c r="G1527" s="30"/>
      <c r="H1527" s="30"/>
      <c r="I1527" s="95" t="s">
        <v>7231</v>
      </c>
      <c r="J1527" s="51" t="s">
        <v>908</v>
      </c>
      <c r="K1527" s="28" t="s">
        <v>909</v>
      </c>
      <c r="L1527" s="28" t="s">
        <v>56</v>
      </c>
      <c r="M1527" s="28">
        <v>66.25</v>
      </c>
      <c r="N1527" s="4">
        <f t="shared" si="23"/>
        <v>-3.2744150943396226</v>
      </c>
      <c r="O1527" t="s">
        <v>83</v>
      </c>
      <c r="P1527" s="3" t="s">
        <v>901</v>
      </c>
      <c r="Q1527" s="24" t="s">
        <v>1439</v>
      </c>
    </row>
    <row r="1528" spans="1:17" x14ac:dyDescent="0.25">
      <c r="A1528" s="43">
        <v>45729</v>
      </c>
      <c r="B1528" s="1">
        <v>119697916</v>
      </c>
      <c r="C1528" t="s">
        <v>185</v>
      </c>
      <c r="D1528" s="23">
        <v>-0.65</v>
      </c>
      <c r="E1528" t="s">
        <v>35</v>
      </c>
      <c r="F1528" s="2">
        <v>610148001</v>
      </c>
      <c r="G1528" s="2" t="s">
        <v>41</v>
      </c>
      <c r="I1528" s="95" t="s">
        <v>7231</v>
      </c>
      <c r="J1528" t="s">
        <v>42</v>
      </c>
      <c r="K1528" t="s">
        <v>41</v>
      </c>
      <c r="M1528">
        <v>66.25</v>
      </c>
      <c r="N1528" s="4">
        <f t="shared" si="23"/>
        <v>-9.8113207547169817E-3</v>
      </c>
      <c r="O1528" t="s">
        <v>83</v>
      </c>
      <c r="Q1528" s="24" t="s">
        <v>1310</v>
      </c>
    </row>
    <row r="1529" spans="1:17" x14ac:dyDescent="0.25">
      <c r="A1529" s="46">
        <v>45729</v>
      </c>
      <c r="B1529" s="27">
        <v>919697963</v>
      </c>
      <c r="C1529" s="28" t="s">
        <v>1440</v>
      </c>
      <c r="D1529" s="29">
        <v>-723.1</v>
      </c>
      <c r="E1529" s="28" t="s">
        <v>35</v>
      </c>
      <c r="F1529" s="30"/>
      <c r="G1529" s="30"/>
      <c r="H1529" s="30"/>
      <c r="I1529" s="95" t="s">
        <v>7231</v>
      </c>
      <c r="J1529" s="51" t="s">
        <v>908</v>
      </c>
      <c r="K1529" s="28" t="s">
        <v>909</v>
      </c>
      <c r="L1529" s="28" t="s">
        <v>56</v>
      </c>
      <c r="M1529" s="28">
        <v>66.25</v>
      </c>
      <c r="N1529" s="4">
        <f t="shared" si="23"/>
        <v>-10.914716981132075</v>
      </c>
      <c r="O1529" t="s">
        <v>83</v>
      </c>
      <c r="P1529" s="3" t="s">
        <v>901</v>
      </c>
      <c r="Q1529" s="24" t="s">
        <v>1439</v>
      </c>
    </row>
    <row r="1530" spans="1:17" x14ac:dyDescent="0.25">
      <c r="A1530" s="43">
        <v>45729</v>
      </c>
      <c r="B1530" s="1">
        <v>919697963</v>
      </c>
      <c r="C1530" t="s">
        <v>185</v>
      </c>
      <c r="D1530" s="23">
        <v>-2.17</v>
      </c>
      <c r="E1530" t="s">
        <v>35</v>
      </c>
      <c r="F1530" s="2">
        <v>610148001</v>
      </c>
      <c r="G1530" s="2" t="s">
        <v>41</v>
      </c>
      <c r="I1530" s="95" t="s">
        <v>7231</v>
      </c>
      <c r="J1530" t="s">
        <v>42</v>
      </c>
      <c r="K1530" t="s">
        <v>41</v>
      </c>
      <c r="M1530">
        <v>66.25</v>
      </c>
      <c r="N1530" s="4">
        <f t="shared" si="23"/>
        <v>-3.2754716981132075E-2</v>
      </c>
      <c r="O1530" t="s">
        <v>83</v>
      </c>
      <c r="Q1530" s="24" t="s">
        <v>1310</v>
      </c>
    </row>
    <row r="1531" spans="1:17" x14ac:dyDescent="0.25">
      <c r="A1531" s="43">
        <v>45729</v>
      </c>
      <c r="B1531" s="1">
        <v>113543906</v>
      </c>
      <c r="C1531" t="s">
        <v>1441</v>
      </c>
      <c r="D1531" s="23">
        <v>-3856.62</v>
      </c>
      <c r="E1531" t="s">
        <v>35</v>
      </c>
      <c r="F1531" s="2">
        <v>210101001</v>
      </c>
      <c r="G1531" s="2" t="s">
        <v>36</v>
      </c>
      <c r="I1531" s="95" t="s">
        <v>7231</v>
      </c>
      <c r="J1531" t="s">
        <v>599</v>
      </c>
      <c r="K1531" t="s">
        <v>600</v>
      </c>
      <c r="M1531">
        <v>66.25</v>
      </c>
      <c r="N1531" s="4">
        <f t="shared" si="23"/>
        <v>-58.213132075471698</v>
      </c>
      <c r="O1531" t="s">
        <v>83</v>
      </c>
    </row>
    <row r="1532" spans="1:17" x14ac:dyDescent="0.25">
      <c r="A1532" s="43">
        <v>45729</v>
      </c>
      <c r="B1532" s="1">
        <v>120334715</v>
      </c>
      <c r="C1532" t="s">
        <v>1442</v>
      </c>
      <c r="D1532" s="23">
        <v>-15003.35</v>
      </c>
      <c r="E1532" t="s">
        <v>35</v>
      </c>
      <c r="F1532" s="2">
        <v>210101001</v>
      </c>
      <c r="G1532" s="2" t="s">
        <v>36</v>
      </c>
      <c r="I1532" s="95" t="s">
        <v>7231</v>
      </c>
      <c r="J1532" t="s">
        <v>1301</v>
      </c>
      <c r="K1532" t="s">
        <v>1302</v>
      </c>
      <c r="M1532">
        <v>66.25</v>
      </c>
      <c r="N1532" s="4">
        <f t="shared" si="23"/>
        <v>-226.46566037735849</v>
      </c>
      <c r="O1532" t="s">
        <v>83</v>
      </c>
    </row>
    <row r="1533" spans="1:17" x14ac:dyDescent="0.25">
      <c r="A1533" s="43">
        <v>45729</v>
      </c>
      <c r="B1533" s="1">
        <v>719713510</v>
      </c>
      <c r="C1533" t="s">
        <v>1443</v>
      </c>
      <c r="D1533" s="23">
        <v>-5379.22</v>
      </c>
      <c r="E1533" t="s">
        <v>35</v>
      </c>
      <c r="F1533" s="2">
        <v>210101001</v>
      </c>
      <c r="G1533" s="2" t="s">
        <v>36</v>
      </c>
      <c r="I1533" s="95" t="s">
        <v>7231</v>
      </c>
      <c r="J1533" t="s">
        <v>1007</v>
      </c>
      <c r="K1533" t="s">
        <v>1008</v>
      </c>
      <c r="M1533">
        <v>66.25</v>
      </c>
      <c r="N1533" s="4">
        <f t="shared" si="23"/>
        <v>-81.195773584905666</v>
      </c>
      <c r="O1533" t="s">
        <v>83</v>
      </c>
    </row>
    <row r="1534" spans="1:17" x14ac:dyDescent="0.25">
      <c r="A1534" s="43">
        <v>45729</v>
      </c>
      <c r="B1534" s="1">
        <v>719713510</v>
      </c>
      <c r="C1534" t="s">
        <v>185</v>
      </c>
      <c r="D1534" s="23">
        <v>-16.14</v>
      </c>
      <c r="E1534" t="s">
        <v>35</v>
      </c>
      <c r="F1534" s="2">
        <v>610148001</v>
      </c>
      <c r="G1534" s="2" t="s">
        <v>41</v>
      </c>
      <c r="I1534" s="95" t="s">
        <v>7231</v>
      </c>
      <c r="J1534" t="s">
        <v>42</v>
      </c>
      <c r="K1534" t="s">
        <v>41</v>
      </c>
      <c r="M1534">
        <v>66.25</v>
      </c>
      <c r="N1534" s="4">
        <f t="shared" si="23"/>
        <v>-0.24362264150943397</v>
      </c>
      <c r="O1534" t="s">
        <v>83</v>
      </c>
      <c r="Q1534" s="24" t="s">
        <v>1310</v>
      </c>
    </row>
    <row r="1535" spans="1:17" x14ac:dyDescent="0.25">
      <c r="A1535" s="43">
        <v>45729</v>
      </c>
      <c r="B1535" s="1">
        <v>144133512</v>
      </c>
      <c r="C1535" t="s">
        <v>82</v>
      </c>
      <c r="D1535" s="23">
        <v>255000</v>
      </c>
      <c r="E1535" t="s">
        <v>45</v>
      </c>
      <c r="F1535" s="2">
        <v>210115002</v>
      </c>
      <c r="G1535" s="2" t="s">
        <v>46</v>
      </c>
      <c r="I1535" s="95" t="s">
        <v>7231</v>
      </c>
      <c r="K1535" t="s">
        <v>82</v>
      </c>
      <c r="M1535">
        <v>66.25</v>
      </c>
      <c r="N1535" s="4">
        <f t="shared" si="23"/>
        <v>3849.0566037735848</v>
      </c>
      <c r="O1535" t="s">
        <v>83</v>
      </c>
    </row>
    <row r="1536" spans="1:17" x14ac:dyDescent="0.25">
      <c r="A1536" s="43">
        <v>45729</v>
      </c>
      <c r="B1536" s="1">
        <v>144232523</v>
      </c>
      <c r="C1536" t="s">
        <v>1444</v>
      </c>
      <c r="D1536" s="23">
        <v>-3308.03</v>
      </c>
      <c r="E1536" t="s">
        <v>35</v>
      </c>
      <c r="F1536" s="2">
        <v>210101001</v>
      </c>
      <c r="G1536" s="2" t="s">
        <v>36</v>
      </c>
      <c r="I1536" s="95" t="s">
        <v>7231</v>
      </c>
      <c r="J1536" t="s">
        <v>599</v>
      </c>
      <c r="K1536" t="s">
        <v>600</v>
      </c>
      <c r="M1536">
        <v>66.25</v>
      </c>
      <c r="N1536" s="4">
        <f t="shared" si="23"/>
        <v>-49.932528301886798</v>
      </c>
      <c r="O1536" t="s">
        <v>83</v>
      </c>
    </row>
    <row r="1537" spans="1:20" x14ac:dyDescent="0.25">
      <c r="A1537" s="43">
        <v>45729</v>
      </c>
      <c r="B1537" s="1">
        <v>619720661</v>
      </c>
      <c r="C1537" t="s">
        <v>1445</v>
      </c>
      <c r="D1537" s="23">
        <v>-4875</v>
      </c>
      <c r="E1537" t="s">
        <v>35</v>
      </c>
      <c r="F1537" s="2">
        <v>212901001</v>
      </c>
      <c r="G1537" s="2" t="s">
        <v>91</v>
      </c>
      <c r="I1537" s="95" t="s">
        <v>7231</v>
      </c>
      <c r="J1537" t="s">
        <v>61</v>
      </c>
      <c r="K1537" t="s">
        <v>62</v>
      </c>
      <c r="M1537">
        <v>66.25</v>
      </c>
      <c r="N1537" s="4">
        <f t="shared" si="23"/>
        <v>-73.584905660377359</v>
      </c>
      <c r="O1537" t="s">
        <v>83</v>
      </c>
      <c r="R1537">
        <v>9</v>
      </c>
      <c r="S1537" t="e">
        <f>VLOOKUP(R1537,[1]!NOMINA[#Data],4,FALSE)</f>
        <v>#REF!</v>
      </c>
      <c r="T1537" t="e">
        <f>VLOOKUP(R1537,[1]!NOMINA[#Data],5,FALSE)</f>
        <v>#REF!</v>
      </c>
    </row>
    <row r="1538" spans="1:20" x14ac:dyDescent="0.25">
      <c r="A1538" s="43">
        <v>45729</v>
      </c>
      <c r="B1538" s="1">
        <v>619720663</v>
      </c>
      <c r="C1538" t="s">
        <v>1446</v>
      </c>
      <c r="D1538" s="23">
        <v>-2241.2600000000002</v>
      </c>
      <c r="E1538" t="s">
        <v>35</v>
      </c>
      <c r="F1538" s="2">
        <v>212901001</v>
      </c>
      <c r="G1538" s="2" t="s">
        <v>91</v>
      </c>
      <c r="I1538" s="95" t="s">
        <v>7231</v>
      </c>
      <c r="J1538" t="s">
        <v>61</v>
      </c>
      <c r="K1538" t="s">
        <v>62</v>
      </c>
      <c r="M1538">
        <v>66.25</v>
      </c>
      <c r="N1538" s="4">
        <f t="shared" si="23"/>
        <v>-33.83033962264151</v>
      </c>
      <c r="O1538" t="s">
        <v>83</v>
      </c>
      <c r="R1538">
        <v>26</v>
      </c>
      <c r="S1538" t="e">
        <f>VLOOKUP(Tabla3[[#This Row],[Nº]],[1]!NOMINA[#Data],4,FALSE)</f>
        <v>#REF!</v>
      </c>
      <c r="T1538" t="e">
        <f>VLOOKUP(Tabla3[[#This Row],[Nº]],[1]!NOMINA[#Data],5,FALSE)</f>
        <v>#REF!</v>
      </c>
    </row>
    <row r="1539" spans="1:20" x14ac:dyDescent="0.25">
      <c r="A1539" s="43">
        <v>45729</v>
      </c>
      <c r="B1539" s="1">
        <v>619720664</v>
      </c>
      <c r="C1539" t="s">
        <v>1447</v>
      </c>
      <c r="D1539" s="23">
        <v>-2570.0700000000002</v>
      </c>
      <c r="E1539" t="s">
        <v>35</v>
      </c>
      <c r="F1539" s="2">
        <v>212901001</v>
      </c>
      <c r="G1539" s="2" t="s">
        <v>91</v>
      </c>
      <c r="I1539" s="95" t="s">
        <v>7231</v>
      </c>
      <c r="J1539" t="s">
        <v>61</v>
      </c>
      <c r="K1539" t="s">
        <v>62</v>
      </c>
      <c r="M1539">
        <v>66.25</v>
      </c>
      <c r="N1539" s="4">
        <f t="shared" si="23"/>
        <v>-38.793509433962264</v>
      </c>
      <c r="O1539" t="s">
        <v>83</v>
      </c>
      <c r="R1539">
        <v>29</v>
      </c>
      <c r="S1539" t="e">
        <f>VLOOKUP(R1539,[1]!NOMINA[#Data],4,FALSE)</f>
        <v>#REF!</v>
      </c>
      <c r="T1539" t="e">
        <f>VLOOKUP(R1539,[1]!NOMINA[#Data],5,FALSE)</f>
        <v>#REF!</v>
      </c>
    </row>
    <row r="1540" spans="1:20" x14ac:dyDescent="0.25">
      <c r="A1540" s="43">
        <v>45729</v>
      </c>
      <c r="B1540" s="1">
        <v>719720666</v>
      </c>
      <c r="C1540" t="s">
        <v>1448</v>
      </c>
      <c r="D1540" s="23">
        <v>-4875</v>
      </c>
      <c r="E1540" t="s">
        <v>35</v>
      </c>
      <c r="F1540" s="2">
        <v>212901001</v>
      </c>
      <c r="G1540" s="2" t="s">
        <v>91</v>
      </c>
      <c r="I1540" s="95" t="s">
        <v>7231</v>
      </c>
      <c r="J1540" t="s">
        <v>61</v>
      </c>
      <c r="K1540" t="s">
        <v>62</v>
      </c>
      <c r="M1540">
        <v>66.25</v>
      </c>
      <c r="N1540" s="4">
        <f t="shared" si="23"/>
        <v>-73.584905660377359</v>
      </c>
      <c r="O1540" t="s">
        <v>83</v>
      </c>
      <c r="R1540">
        <v>10</v>
      </c>
      <c r="S1540" t="e">
        <f>VLOOKUP(R1540,[1]!NOMINA[#Data],4,FALSE)</f>
        <v>#REF!</v>
      </c>
      <c r="T1540" t="e">
        <f>VLOOKUP(R1540,[1]!NOMINA[#Data],5,FALSE)</f>
        <v>#REF!</v>
      </c>
    </row>
    <row r="1541" spans="1:20" x14ac:dyDescent="0.25">
      <c r="A1541" s="43">
        <v>45729</v>
      </c>
      <c r="B1541" s="1">
        <v>719720668</v>
      </c>
      <c r="C1541" t="s">
        <v>1449</v>
      </c>
      <c r="D1541" s="23">
        <v>-4857.28</v>
      </c>
      <c r="E1541" t="s">
        <v>35</v>
      </c>
      <c r="F1541" s="2">
        <v>212901001</v>
      </c>
      <c r="G1541" s="2" t="s">
        <v>91</v>
      </c>
      <c r="I1541" s="95" t="s">
        <v>7231</v>
      </c>
      <c r="J1541" t="s">
        <v>61</v>
      </c>
      <c r="K1541" t="s">
        <v>62</v>
      </c>
      <c r="M1541">
        <v>66.25</v>
      </c>
      <c r="N1541" s="4">
        <f t="shared" si="23"/>
        <v>-73.317433962264147</v>
      </c>
      <c r="O1541" t="s">
        <v>83</v>
      </c>
      <c r="R1541">
        <v>38</v>
      </c>
      <c r="S1541" t="e">
        <f>VLOOKUP(R1541,[1]!NOMINA[#Data],4,FALSE)</f>
        <v>#REF!</v>
      </c>
      <c r="T1541" t="e">
        <f>VLOOKUP(R1541,[1]!NOMINA[#Data],5,FALSE)</f>
        <v>#REF!</v>
      </c>
    </row>
    <row r="1542" spans="1:20" x14ac:dyDescent="0.25">
      <c r="A1542" s="43">
        <v>45729</v>
      </c>
      <c r="B1542" s="1">
        <v>719720665</v>
      </c>
      <c r="C1542" t="s">
        <v>1450</v>
      </c>
      <c r="D1542" s="23">
        <v>-2570.0700000000002</v>
      </c>
      <c r="E1542" t="s">
        <v>35</v>
      </c>
      <c r="F1542" s="2">
        <v>212901001</v>
      </c>
      <c r="G1542" s="2" t="s">
        <v>91</v>
      </c>
      <c r="I1542" s="95" t="s">
        <v>7231</v>
      </c>
      <c r="J1542" t="s">
        <v>61</v>
      </c>
      <c r="K1542" t="s">
        <v>62</v>
      </c>
      <c r="M1542">
        <v>66.25</v>
      </c>
      <c r="N1542" s="4">
        <f t="shared" si="23"/>
        <v>-38.793509433962264</v>
      </c>
      <c r="O1542" t="s">
        <v>83</v>
      </c>
      <c r="R1542">
        <v>44</v>
      </c>
      <c r="S1542" t="e">
        <f>VLOOKUP(R1542,[1]!NOMINA[#Data],4,FALSE)</f>
        <v>#REF!</v>
      </c>
      <c r="T1542" t="e">
        <f>VLOOKUP(R1542,[1]!NOMINA[#Data],5,FALSE)</f>
        <v>#REF!</v>
      </c>
    </row>
    <row r="1543" spans="1:20" x14ac:dyDescent="0.25">
      <c r="A1543" s="43">
        <v>45729</v>
      </c>
      <c r="B1543" s="1">
        <v>719720669</v>
      </c>
      <c r="C1543" t="s">
        <v>1451</v>
      </c>
      <c r="D1543" s="23">
        <v>-4884.18</v>
      </c>
      <c r="E1543" t="s">
        <v>35</v>
      </c>
      <c r="F1543" s="2">
        <v>212901001</v>
      </c>
      <c r="G1543" s="2" t="s">
        <v>91</v>
      </c>
      <c r="I1543" s="95" t="s">
        <v>7231</v>
      </c>
      <c r="J1543" t="s">
        <v>61</v>
      </c>
      <c r="K1543" t="s">
        <v>62</v>
      </c>
      <c r="M1543">
        <v>66.25</v>
      </c>
      <c r="N1543" s="4">
        <f t="shared" si="23"/>
        <v>-73.723471698113215</v>
      </c>
      <c r="O1543" t="s">
        <v>83</v>
      </c>
      <c r="R1543">
        <v>18</v>
      </c>
      <c r="S1543" t="e">
        <f>VLOOKUP(Tabla3[[#This Row],[Nº]],[1]!NOMINA[#Data],4,FALSE)</f>
        <v>#REF!</v>
      </c>
      <c r="T1543" t="e">
        <f>VLOOKUP(Tabla3[[#This Row],[Nº]],[1]!NOMINA[#Data],5,FALSE)</f>
        <v>#REF!</v>
      </c>
    </row>
    <row r="1544" spans="1:20" x14ac:dyDescent="0.25">
      <c r="A1544" s="43">
        <v>45729</v>
      </c>
      <c r="B1544" s="1">
        <v>719720670</v>
      </c>
      <c r="C1544" t="s">
        <v>1452</v>
      </c>
      <c r="D1544" s="23">
        <v>-4699.76</v>
      </c>
      <c r="E1544" t="s">
        <v>35</v>
      </c>
      <c r="F1544" s="2">
        <v>212901001</v>
      </c>
      <c r="G1544" s="2" t="s">
        <v>91</v>
      </c>
      <c r="I1544" s="95" t="s">
        <v>7231</v>
      </c>
      <c r="J1544" t="s">
        <v>61</v>
      </c>
      <c r="K1544" t="s">
        <v>62</v>
      </c>
      <c r="M1544">
        <v>66.25</v>
      </c>
      <c r="N1544" s="4">
        <f t="shared" si="23"/>
        <v>-70.939773584905666</v>
      </c>
      <c r="O1544" t="s">
        <v>83</v>
      </c>
      <c r="R1544">
        <v>20</v>
      </c>
      <c r="S1544" t="e">
        <f>VLOOKUP(Tabla3[[#This Row],[Nº]],[1]!NOMINA[#Data],4,FALSE)</f>
        <v>#REF!</v>
      </c>
      <c r="T1544" t="e">
        <f>VLOOKUP(Tabla3[[#This Row],[Nº]],[1]!NOMINA[#Data],5,FALSE)</f>
        <v>#REF!</v>
      </c>
    </row>
    <row r="1545" spans="1:20" x14ac:dyDescent="0.25">
      <c r="A1545" s="43">
        <v>45729</v>
      </c>
      <c r="B1545" s="1">
        <v>719720667</v>
      </c>
      <c r="C1545" t="s">
        <v>1453</v>
      </c>
      <c r="D1545" s="23">
        <v>-4884.18</v>
      </c>
      <c r="E1545" t="s">
        <v>35</v>
      </c>
      <c r="F1545" s="2">
        <v>212901001</v>
      </c>
      <c r="G1545" s="2" t="s">
        <v>91</v>
      </c>
      <c r="I1545" s="95" t="s">
        <v>7231</v>
      </c>
      <c r="J1545" t="s">
        <v>61</v>
      </c>
      <c r="K1545" t="s">
        <v>62</v>
      </c>
      <c r="M1545">
        <v>66.25</v>
      </c>
      <c r="N1545" s="4">
        <f t="shared" si="23"/>
        <v>-73.723471698113215</v>
      </c>
      <c r="O1545" t="s">
        <v>83</v>
      </c>
      <c r="R1545">
        <v>15</v>
      </c>
      <c r="S1545" t="e">
        <f>VLOOKUP(R1545,[1]!NOMINA[#Data],4,FALSE)</f>
        <v>#REF!</v>
      </c>
      <c r="T1545" t="e">
        <f>VLOOKUP(R1545,[1]!NOMINA[#Data],5,FALSE)</f>
        <v>#REF!</v>
      </c>
    </row>
    <row r="1546" spans="1:20" x14ac:dyDescent="0.25">
      <c r="A1546" s="43">
        <v>45729</v>
      </c>
      <c r="B1546" s="1">
        <v>719720671</v>
      </c>
      <c r="C1546" t="s">
        <v>1454</v>
      </c>
      <c r="D1546" s="23">
        <v>-2570.0700000000002</v>
      </c>
      <c r="E1546" t="s">
        <v>35</v>
      </c>
      <c r="F1546" s="2">
        <v>212901001</v>
      </c>
      <c r="G1546" s="2" t="s">
        <v>91</v>
      </c>
      <c r="I1546" s="95" t="s">
        <v>7231</v>
      </c>
      <c r="J1546" t="s">
        <v>61</v>
      </c>
      <c r="K1546" t="s">
        <v>62</v>
      </c>
      <c r="M1546">
        <v>66.25</v>
      </c>
      <c r="N1546" s="4">
        <f t="shared" si="23"/>
        <v>-38.793509433962264</v>
      </c>
      <c r="O1546" t="s">
        <v>83</v>
      </c>
      <c r="R1546">
        <v>41</v>
      </c>
      <c r="S1546" t="e">
        <f>VLOOKUP(R1546,[1]!NOMINA[#Data],4,FALSE)</f>
        <v>#REF!</v>
      </c>
      <c r="T1546" t="e">
        <f>VLOOKUP(R1546,[1]!NOMINA[#Data],5,FALSE)</f>
        <v>#REF!</v>
      </c>
    </row>
    <row r="1547" spans="1:20" x14ac:dyDescent="0.25">
      <c r="A1547" s="43">
        <v>45729</v>
      </c>
      <c r="B1547" s="1">
        <v>719720672</v>
      </c>
      <c r="C1547" t="s">
        <v>1455</v>
      </c>
      <c r="D1547" s="23">
        <v>-4857.28</v>
      </c>
      <c r="E1547" t="s">
        <v>35</v>
      </c>
      <c r="F1547" s="2">
        <v>212901001</v>
      </c>
      <c r="G1547" s="2" t="s">
        <v>91</v>
      </c>
      <c r="I1547" s="95" t="s">
        <v>7231</v>
      </c>
      <c r="J1547" t="s">
        <v>61</v>
      </c>
      <c r="K1547" t="s">
        <v>62</v>
      </c>
      <c r="M1547">
        <v>66.25</v>
      </c>
      <c r="N1547" s="4">
        <f t="shared" si="23"/>
        <v>-73.317433962264147</v>
      </c>
      <c r="O1547" t="s">
        <v>83</v>
      </c>
      <c r="R1547">
        <v>13</v>
      </c>
      <c r="S1547" t="e">
        <f>VLOOKUP(R1547,[1]!NOMINA[#Data],4,FALSE)</f>
        <v>#REF!</v>
      </c>
      <c r="T1547" t="e">
        <f>VLOOKUP(R1547,[1]!NOMINA[#Data],5,FALSE)</f>
        <v>#REF!</v>
      </c>
    </row>
    <row r="1548" spans="1:20" x14ac:dyDescent="0.25">
      <c r="A1548" s="43">
        <v>45729</v>
      </c>
      <c r="B1548" s="1">
        <v>719720673</v>
      </c>
      <c r="C1548" t="s">
        <v>1456</v>
      </c>
      <c r="D1548" s="23">
        <v>-32750.03</v>
      </c>
      <c r="E1548" t="s">
        <v>35</v>
      </c>
      <c r="F1548" s="2">
        <v>212901001</v>
      </c>
      <c r="G1548" s="2" t="s">
        <v>91</v>
      </c>
      <c r="I1548" s="95" t="s">
        <v>7231</v>
      </c>
      <c r="J1548" t="s">
        <v>61</v>
      </c>
      <c r="K1548" t="s">
        <v>62</v>
      </c>
      <c r="M1548">
        <v>66.25</v>
      </c>
      <c r="N1548" s="4">
        <f t="shared" ref="N1548:N1611" si="24">D1548/M1548</f>
        <v>-494.34007547169807</v>
      </c>
      <c r="O1548" t="s">
        <v>83</v>
      </c>
      <c r="R1548">
        <v>13</v>
      </c>
      <c r="S1548" t="e">
        <f>VLOOKUP(R1548,[1]!NOMINA[#Data],4,FALSE)</f>
        <v>#REF!</v>
      </c>
      <c r="T1548" t="e">
        <f>VLOOKUP(R1548,[1]!NOMINA[#Data],5,FALSE)</f>
        <v>#REF!</v>
      </c>
    </row>
    <row r="1549" spans="1:20" x14ac:dyDescent="0.25">
      <c r="A1549" s="43">
        <v>45729</v>
      </c>
      <c r="B1549" s="1">
        <v>719720674</v>
      </c>
      <c r="C1549" t="s">
        <v>1457</v>
      </c>
      <c r="D1549" s="23">
        <v>-4875</v>
      </c>
      <c r="E1549" t="s">
        <v>35</v>
      </c>
      <c r="F1549" s="2">
        <v>212901001</v>
      </c>
      <c r="G1549" s="2" t="s">
        <v>91</v>
      </c>
      <c r="I1549" s="95" t="s">
        <v>7231</v>
      </c>
      <c r="J1549" t="s">
        <v>61</v>
      </c>
      <c r="K1549" t="s">
        <v>62</v>
      </c>
      <c r="M1549">
        <v>66.25</v>
      </c>
      <c r="N1549" s="4">
        <f t="shared" si="24"/>
        <v>-73.584905660377359</v>
      </c>
      <c r="O1549" t="s">
        <v>83</v>
      </c>
      <c r="R1549">
        <v>8</v>
      </c>
      <c r="S1549" t="e">
        <f>VLOOKUP(R1549,[1]!NOMINA[#Data],4,FALSE)</f>
        <v>#REF!</v>
      </c>
      <c r="T1549" t="e">
        <f>VLOOKUP(R1549,[1]!NOMINA[#Data],5,FALSE)</f>
        <v>#REF!</v>
      </c>
    </row>
    <row r="1550" spans="1:20" x14ac:dyDescent="0.25">
      <c r="A1550" s="43">
        <v>45729</v>
      </c>
      <c r="B1550" s="1">
        <v>719720675</v>
      </c>
      <c r="C1550" t="s">
        <v>1458</v>
      </c>
      <c r="D1550" s="23">
        <v>-4875</v>
      </c>
      <c r="E1550" t="s">
        <v>35</v>
      </c>
      <c r="F1550" s="2">
        <v>212901001</v>
      </c>
      <c r="G1550" s="2" t="s">
        <v>91</v>
      </c>
      <c r="I1550" s="95" t="s">
        <v>7231</v>
      </c>
      <c r="J1550" t="s">
        <v>61</v>
      </c>
      <c r="K1550" t="s">
        <v>62</v>
      </c>
      <c r="M1550">
        <v>66.25</v>
      </c>
      <c r="N1550" s="4">
        <f t="shared" si="24"/>
        <v>-73.584905660377359</v>
      </c>
      <c r="O1550" t="s">
        <v>83</v>
      </c>
      <c r="R1550">
        <v>11</v>
      </c>
      <c r="S1550" t="e">
        <f>VLOOKUP(R1550,[1]!NOMINA[#Data],4,FALSE)</f>
        <v>#REF!</v>
      </c>
      <c r="T1550" t="e">
        <f>VLOOKUP(R1550,[1]!NOMINA[#Data],5,FALSE)</f>
        <v>#REF!</v>
      </c>
    </row>
    <row r="1551" spans="1:20" x14ac:dyDescent="0.25">
      <c r="A1551" s="43">
        <v>45729</v>
      </c>
      <c r="B1551" s="1">
        <v>819720676</v>
      </c>
      <c r="C1551" t="s">
        <v>1459</v>
      </c>
      <c r="D1551" s="23">
        <v>-2240.61</v>
      </c>
      <c r="E1551" t="s">
        <v>35</v>
      </c>
      <c r="F1551" s="2">
        <v>212901001</v>
      </c>
      <c r="G1551" s="2" t="s">
        <v>91</v>
      </c>
      <c r="I1551" s="95" t="s">
        <v>7231</v>
      </c>
      <c r="J1551" t="s">
        <v>61</v>
      </c>
      <c r="K1551" t="s">
        <v>62</v>
      </c>
      <c r="M1551">
        <v>66.25</v>
      </c>
      <c r="N1551" s="4">
        <f t="shared" si="24"/>
        <v>-33.820528301886796</v>
      </c>
      <c r="O1551" t="s">
        <v>83</v>
      </c>
      <c r="R1551">
        <v>23</v>
      </c>
      <c r="S1551" t="e">
        <f>VLOOKUP(R1551,[1]!NOMINA[#Data],4,FALSE)</f>
        <v>#REF!</v>
      </c>
      <c r="T1551" t="e">
        <f>VLOOKUP(R1551,[1]!NOMINA[#Data],5,FALSE)</f>
        <v>#REF!</v>
      </c>
    </row>
    <row r="1552" spans="1:20" x14ac:dyDescent="0.25">
      <c r="A1552" s="43">
        <v>45729</v>
      </c>
      <c r="B1552" s="1">
        <v>819720679</v>
      </c>
      <c r="C1552" t="s">
        <v>1460</v>
      </c>
      <c r="D1552" s="23">
        <v>-3227.03</v>
      </c>
      <c r="E1552" t="s">
        <v>35</v>
      </c>
      <c r="F1552" s="2">
        <v>212901001</v>
      </c>
      <c r="G1552" s="2" t="s">
        <v>91</v>
      </c>
      <c r="I1552" s="95" t="s">
        <v>7231</v>
      </c>
      <c r="J1552" t="s">
        <v>61</v>
      </c>
      <c r="K1552" t="s">
        <v>62</v>
      </c>
      <c r="M1552">
        <v>66.25</v>
      </c>
      <c r="N1552" s="4">
        <f t="shared" si="24"/>
        <v>-48.709886792452835</v>
      </c>
      <c r="O1552" t="s">
        <v>83</v>
      </c>
      <c r="R1552">
        <v>22</v>
      </c>
      <c r="S1552" t="e">
        <f>VLOOKUP(Tabla3[[#This Row],[Nº]],[1]!NOMINA[#Data],4,FALSE)</f>
        <v>#REF!</v>
      </c>
      <c r="T1552" t="e">
        <f>VLOOKUP(R1552,[1]!NOMINA[#Data],5,FALSE)</f>
        <v>#REF!</v>
      </c>
    </row>
    <row r="1553" spans="1:20" x14ac:dyDescent="0.25">
      <c r="A1553" s="43">
        <v>45729</v>
      </c>
      <c r="B1553" s="1">
        <v>819720678</v>
      </c>
      <c r="C1553" t="s">
        <v>1461</v>
      </c>
      <c r="D1553" s="23">
        <v>-4884.18</v>
      </c>
      <c r="E1553" t="s">
        <v>35</v>
      </c>
      <c r="F1553" s="2">
        <v>212901001</v>
      </c>
      <c r="G1553" s="2" t="s">
        <v>91</v>
      </c>
      <c r="I1553" s="95" t="s">
        <v>7231</v>
      </c>
      <c r="J1553" t="s">
        <v>61</v>
      </c>
      <c r="K1553" t="s">
        <v>62</v>
      </c>
      <c r="M1553">
        <v>66.25</v>
      </c>
      <c r="N1553" s="4">
        <f t="shared" si="24"/>
        <v>-73.723471698113215</v>
      </c>
      <c r="O1553" t="s">
        <v>83</v>
      </c>
      <c r="R1553">
        <v>17</v>
      </c>
      <c r="S1553" t="e">
        <f>VLOOKUP(R1553,[1]!NOMINA[#Data],4,FALSE)</f>
        <v>#REF!</v>
      </c>
      <c r="T1553" t="e">
        <f>VLOOKUP(R1553,[1]!NOMINA[#Data],5,FALSE)</f>
        <v>#REF!</v>
      </c>
    </row>
    <row r="1554" spans="1:20" x14ac:dyDescent="0.25">
      <c r="A1554" s="43">
        <v>45729</v>
      </c>
      <c r="B1554" s="1">
        <v>819720677</v>
      </c>
      <c r="C1554" t="s">
        <v>1462</v>
      </c>
      <c r="D1554" s="23">
        <v>-13061.03</v>
      </c>
      <c r="E1554" t="s">
        <v>35</v>
      </c>
      <c r="F1554" s="2">
        <v>212901001</v>
      </c>
      <c r="G1554" s="2" t="s">
        <v>91</v>
      </c>
      <c r="I1554" s="95" t="s">
        <v>7231</v>
      </c>
      <c r="J1554" t="s">
        <v>61</v>
      </c>
      <c r="K1554" t="s">
        <v>62</v>
      </c>
      <c r="M1554">
        <v>66.25</v>
      </c>
      <c r="N1554" s="4">
        <f t="shared" si="24"/>
        <v>-197.14762264150946</v>
      </c>
      <c r="O1554" t="s">
        <v>83</v>
      </c>
      <c r="R1554">
        <v>43</v>
      </c>
      <c r="S1554" t="e">
        <f>VLOOKUP(R1554,[1]!NOMINA[#Data],4,FALSE)</f>
        <v>#REF!</v>
      </c>
      <c r="T1554" t="e">
        <f>VLOOKUP(R1554,[1]!NOMINA[#Data],5,FALSE)</f>
        <v>#REF!</v>
      </c>
    </row>
    <row r="1555" spans="1:20" x14ac:dyDescent="0.25">
      <c r="A1555" s="43">
        <v>45729</v>
      </c>
      <c r="B1555" s="1">
        <v>819720682</v>
      </c>
      <c r="C1555" t="s">
        <v>1463</v>
      </c>
      <c r="D1555" s="23">
        <v>-3223.75</v>
      </c>
      <c r="E1555" t="s">
        <v>35</v>
      </c>
      <c r="F1555" s="2">
        <v>212901001</v>
      </c>
      <c r="G1555" s="2" t="s">
        <v>91</v>
      </c>
      <c r="I1555" s="95" t="s">
        <v>7231</v>
      </c>
      <c r="J1555" t="s">
        <v>61</v>
      </c>
      <c r="K1555" t="s">
        <v>62</v>
      </c>
      <c r="M1555">
        <v>66.25</v>
      </c>
      <c r="N1555" s="4">
        <f t="shared" si="24"/>
        <v>-48.660377358490564</v>
      </c>
      <c r="O1555" t="s">
        <v>83</v>
      </c>
      <c r="R1555">
        <v>42</v>
      </c>
      <c r="S1555" t="e">
        <f>VLOOKUP(R1555,[1]!NOMINA[#Data],4,FALSE)</f>
        <v>#REF!</v>
      </c>
      <c r="T1555" t="e">
        <f>VLOOKUP(R1555,[1]!NOMINA[#Data],5,FALSE)</f>
        <v>#REF!</v>
      </c>
    </row>
    <row r="1556" spans="1:20" x14ac:dyDescent="0.25">
      <c r="A1556" s="43">
        <v>45729</v>
      </c>
      <c r="B1556" s="1">
        <v>819720681</v>
      </c>
      <c r="C1556" t="s">
        <v>1464</v>
      </c>
      <c r="D1556" s="23">
        <v>-4884.18</v>
      </c>
      <c r="E1556" t="s">
        <v>35</v>
      </c>
      <c r="F1556" s="2">
        <v>212901001</v>
      </c>
      <c r="G1556" s="2" t="s">
        <v>91</v>
      </c>
      <c r="I1556" s="95" t="s">
        <v>7231</v>
      </c>
      <c r="J1556" t="s">
        <v>61</v>
      </c>
      <c r="K1556" t="s">
        <v>62</v>
      </c>
      <c r="M1556">
        <v>66.25</v>
      </c>
      <c r="N1556" s="4">
        <f t="shared" si="24"/>
        <v>-73.723471698113215</v>
      </c>
      <c r="O1556" t="s">
        <v>83</v>
      </c>
      <c r="R1556">
        <v>14</v>
      </c>
      <c r="S1556" t="e">
        <f>VLOOKUP(R1556,[1]!NOMINA[#Data],4,FALSE)</f>
        <v>#REF!</v>
      </c>
      <c r="T1556" t="e">
        <f>VLOOKUP(R1556,[1]!NOMINA[#Data],5,FALSE)</f>
        <v>#REF!</v>
      </c>
    </row>
    <row r="1557" spans="1:20" x14ac:dyDescent="0.25">
      <c r="A1557" s="43">
        <v>45729</v>
      </c>
      <c r="B1557" s="1">
        <v>819720683</v>
      </c>
      <c r="C1557" t="s">
        <v>1465</v>
      </c>
      <c r="D1557" s="23">
        <v>-4875.6499999999996</v>
      </c>
      <c r="E1557" t="s">
        <v>35</v>
      </c>
      <c r="F1557" s="2">
        <v>212901001</v>
      </c>
      <c r="G1557" s="2" t="s">
        <v>91</v>
      </c>
      <c r="I1557" s="95" t="s">
        <v>7231</v>
      </c>
      <c r="J1557" t="s">
        <v>61</v>
      </c>
      <c r="K1557" t="s">
        <v>62</v>
      </c>
      <c r="M1557">
        <v>66.25</v>
      </c>
      <c r="N1557" s="4">
        <f t="shared" si="24"/>
        <v>-73.594716981132066</v>
      </c>
      <c r="O1557" t="s">
        <v>83</v>
      </c>
      <c r="R1557">
        <v>39</v>
      </c>
      <c r="S1557" t="e">
        <f>VLOOKUP(R1557,[1]!NOMINA[#Data],4,FALSE)</f>
        <v>#REF!</v>
      </c>
      <c r="T1557" t="e">
        <f>VLOOKUP(R1557,[1]!NOMINA[#Data],5,FALSE)</f>
        <v>#REF!</v>
      </c>
    </row>
    <row r="1558" spans="1:20" x14ac:dyDescent="0.25">
      <c r="A1558" s="43">
        <v>45729</v>
      </c>
      <c r="B1558" s="1">
        <v>819720684</v>
      </c>
      <c r="C1558" t="s">
        <v>1466</v>
      </c>
      <c r="D1558" s="23">
        <v>-3227.03</v>
      </c>
      <c r="E1558" t="s">
        <v>35</v>
      </c>
      <c r="F1558" s="2">
        <v>212901001</v>
      </c>
      <c r="G1558" s="2" t="s">
        <v>91</v>
      </c>
      <c r="I1558" s="95" t="s">
        <v>7231</v>
      </c>
      <c r="J1558" t="s">
        <v>61</v>
      </c>
      <c r="K1558" t="s">
        <v>62</v>
      </c>
      <c r="M1558">
        <v>66.25</v>
      </c>
      <c r="N1558" s="4">
        <f t="shared" si="24"/>
        <v>-48.709886792452835</v>
      </c>
      <c r="O1558" t="s">
        <v>83</v>
      </c>
      <c r="R1558">
        <v>21</v>
      </c>
      <c r="S1558" t="e">
        <f>VLOOKUP(R1558,[1]!NOMINA[#Data],4,FALSE)</f>
        <v>#REF!</v>
      </c>
      <c r="T1558" t="e">
        <f>VLOOKUP(R1558,[1]!NOMINA[#Data],5,FALSE)</f>
        <v>#REF!</v>
      </c>
    </row>
    <row r="1559" spans="1:20" x14ac:dyDescent="0.25">
      <c r="A1559" s="43">
        <v>45729</v>
      </c>
      <c r="B1559" s="1">
        <v>819720685</v>
      </c>
      <c r="C1559" t="s">
        <v>1467</v>
      </c>
      <c r="D1559" s="23">
        <v>-2241.2600000000002</v>
      </c>
      <c r="E1559" t="s">
        <v>35</v>
      </c>
      <c r="F1559" s="2">
        <v>212901001</v>
      </c>
      <c r="G1559" s="2" t="s">
        <v>91</v>
      </c>
      <c r="I1559" s="95" t="s">
        <v>7231</v>
      </c>
      <c r="J1559" t="s">
        <v>61</v>
      </c>
      <c r="K1559" t="s">
        <v>62</v>
      </c>
      <c r="M1559">
        <v>66.25</v>
      </c>
      <c r="N1559" s="4">
        <f t="shared" si="24"/>
        <v>-33.83033962264151</v>
      </c>
      <c r="O1559" t="s">
        <v>83</v>
      </c>
      <c r="R1559">
        <v>25</v>
      </c>
      <c r="S1559" t="e">
        <f>VLOOKUP(R1559,[1]!NOMINA[#Data],4,FALSE)</f>
        <v>#REF!</v>
      </c>
      <c r="T1559" t="e">
        <f>VLOOKUP(R1559,[1]!NOMINA[#Data],5,FALSE)</f>
        <v>#REF!</v>
      </c>
    </row>
    <row r="1560" spans="1:20" x14ac:dyDescent="0.25">
      <c r="A1560" s="43">
        <v>45729</v>
      </c>
      <c r="B1560" s="1">
        <v>819720687</v>
      </c>
      <c r="C1560" t="s">
        <v>1468</v>
      </c>
      <c r="D1560" s="23">
        <v>-32750.03</v>
      </c>
      <c r="E1560" t="s">
        <v>35</v>
      </c>
      <c r="F1560" s="2">
        <v>212901001</v>
      </c>
      <c r="G1560" s="2" t="s">
        <v>91</v>
      </c>
      <c r="I1560" s="95" t="s">
        <v>7231</v>
      </c>
      <c r="J1560" t="s">
        <v>61</v>
      </c>
      <c r="K1560" t="s">
        <v>62</v>
      </c>
      <c r="M1560">
        <v>66.25</v>
      </c>
      <c r="N1560" s="4">
        <f t="shared" si="24"/>
        <v>-494.34007547169807</v>
      </c>
      <c r="O1560" t="s">
        <v>83</v>
      </c>
      <c r="R1560">
        <v>2</v>
      </c>
      <c r="S1560" t="e">
        <f>VLOOKUP(Tabla3[[#This Row],[Nº]],[1]!NOMINA[#Data],4,FALSE)</f>
        <v>#REF!</v>
      </c>
      <c r="T1560" t="e">
        <f>VLOOKUP(Tabla3[[#This Row],[Nº]],[1]!NOMINA[#Data],5,FALSE)</f>
        <v>#REF!</v>
      </c>
    </row>
    <row r="1561" spans="1:20" x14ac:dyDescent="0.25">
      <c r="A1561" s="43">
        <v>45729</v>
      </c>
      <c r="B1561" s="1">
        <v>919720688</v>
      </c>
      <c r="C1561" t="s">
        <v>1469</v>
      </c>
      <c r="D1561" s="23">
        <v>-2570.0700000000002</v>
      </c>
      <c r="E1561" t="s">
        <v>35</v>
      </c>
      <c r="F1561" s="2">
        <v>212901001</v>
      </c>
      <c r="G1561" s="2" t="s">
        <v>91</v>
      </c>
      <c r="I1561" s="95" t="s">
        <v>7231</v>
      </c>
      <c r="J1561" t="s">
        <v>61</v>
      </c>
      <c r="K1561" t="s">
        <v>62</v>
      </c>
      <c r="M1561">
        <v>66.25</v>
      </c>
      <c r="N1561" s="4">
        <f t="shared" si="24"/>
        <v>-38.793509433962264</v>
      </c>
      <c r="O1561" t="s">
        <v>83</v>
      </c>
      <c r="R1561">
        <v>28</v>
      </c>
      <c r="S1561" t="e">
        <f>VLOOKUP(R1561,[1]!NOMINA[#Data],4,FALSE)</f>
        <v>#REF!</v>
      </c>
      <c r="T1561" t="e">
        <f>VLOOKUP(R1561,[1]!NOMINA[#Data],5,FALSE)</f>
        <v>#REF!</v>
      </c>
    </row>
    <row r="1562" spans="1:20" x14ac:dyDescent="0.25">
      <c r="A1562" s="43">
        <v>45729</v>
      </c>
      <c r="B1562" s="1">
        <v>819720686</v>
      </c>
      <c r="C1562" t="s">
        <v>1470</v>
      </c>
      <c r="D1562" s="23">
        <v>-4857.28</v>
      </c>
      <c r="E1562" t="s">
        <v>35</v>
      </c>
      <c r="F1562" s="2">
        <v>212901001</v>
      </c>
      <c r="G1562" s="2" t="s">
        <v>91</v>
      </c>
      <c r="I1562" s="95" t="s">
        <v>7231</v>
      </c>
      <c r="J1562" t="s">
        <v>61</v>
      </c>
      <c r="K1562" t="s">
        <v>62</v>
      </c>
      <c r="M1562">
        <v>66.25</v>
      </c>
      <c r="N1562" s="4">
        <f t="shared" si="24"/>
        <v>-73.317433962264147</v>
      </c>
      <c r="O1562" t="s">
        <v>83</v>
      </c>
      <c r="R1562">
        <v>12</v>
      </c>
      <c r="S1562" t="e">
        <f>VLOOKUP(R1562,[1]!NOMINA[#Data],4,FALSE)</f>
        <v>#REF!</v>
      </c>
      <c r="T1562" t="e">
        <f>VLOOKUP(R1562,[1]!NOMINA[#Data],5,FALSE)</f>
        <v>#REF!</v>
      </c>
    </row>
    <row r="1563" spans="1:20" x14ac:dyDescent="0.25">
      <c r="A1563" s="43">
        <v>45729</v>
      </c>
      <c r="B1563" s="1">
        <v>919720689</v>
      </c>
      <c r="C1563" t="s">
        <v>1471</v>
      </c>
      <c r="D1563" s="23">
        <v>-8138.78</v>
      </c>
      <c r="E1563" t="s">
        <v>35</v>
      </c>
      <c r="F1563" s="2">
        <v>212901001</v>
      </c>
      <c r="G1563" s="2" t="s">
        <v>91</v>
      </c>
      <c r="I1563" s="95" t="s">
        <v>7231</v>
      </c>
      <c r="J1563" t="s">
        <v>61</v>
      </c>
      <c r="K1563" t="s">
        <v>62</v>
      </c>
      <c r="M1563">
        <v>66.25</v>
      </c>
      <c r="N1563" s="4">
        <f t="shared" si="24"/>
        <v>-122.84950943396225</v>
      </c>
      <c r="O1563" t="s">
        <v>83</v>
      </c>
      <c r="R1563">
        <v>6</v>
      </c>
      <c r="S1563" t="e">
        <f>VLOOKUP(R1563,[1]!NOMINA[#Data],4,FALSE)</f>
        <v>#REF!</v>
      </c>
      <c r="T1563" t="e">
        <f>VLOOKUP(R1563,[1]!NOMINA[#Data],5,FALSE)</f>
        <v>#REF!</v>
      </c>
    </row>
    <row r="1564" spans="1:20" x14ac:dyDescent="0.25">
      <c r="A1564" s="43">
        <v>45729</v>
      </c>
      <c r="B1564" s="1">
        <v>919720690</v>
      </c>
      <c r="C1564" t="s">
        <v>1472</v>
      </c>
      <c r="D1564" s="23">
        <v>-3230.96</v>
      </c>
      <c r="E1564" t="s">
        <v>35</v>
      </c>
      <c r="F1564" s="2">
        <v>212901001</v>
      </c>
      <c r="G1564" s="2" t="s">
        <v>91</v>
      </c>
      <c r="I1564" s="95" t="s">
        <v>7231</v>
      </c>
      <c r="J1564" t="s">
        <v>61</v>
      </c>
      <c r="K1564" t="s">
        <v>62</v>
      </c>
      <c r="M1564">
        <v>66.25</v>
      </c>
      <c r="N1564" s="4">
        <f t="shared" si="24"/>
        <v>-48.769207547169813</v>
      </c>
      <c r="O1564" t="s">
        <v>83</v>
      </c>
      <c r="R1564">
        <v>24</v>
      </c>
      <c r="S1564" t="e">
        <f>VLOOKUP(R1564,[1]!NOMINA[#Data],4,FALSE)</f>
        <v>#REF!</v>
      </c>
      <c r="T1564" t="e">
        <f>VLOOKUP(R1564,[1]!NOMINA[#Data],5,FALSE)</f>
        <v>#REF!</v>
      </c>
    </row>
    <row r="1565" spans="1:20" x14ac:dyDescent="0.25">
      <c r="A1565" s="43">
        <v>45729</v>
      </c>
      <c r="B1565" s="1">
        <v>919720691</v>
      </c>
      <c r="C1565" t="s">
        <v>1473</v>
      </c>
      <c r="D1565" s="23">
        <v>-16342.53</v>
      </c>
      <c r="E1565" t="s">
        <v>35</v>
      </c>
      <c r="F1565" s="2">
        <v>212901001</v>
      </c>
      <c r="G1565" s="2" t="s">
        <v>91</v>
      </c>
      <c r="I1565" s="95" t="s">
        <v>7231</v>
      </c>
      <c r="J1565" t="s">
        <v>61</v>
      </c>
      <c r="K1565" t="s">
        <v>62</v>
      </c>
      <c r="M1565">
        <v>66.25</v>
      </c>
      <c r="N1565" s="4">
        <f t="shared" si="24"/>
        <v>-246.67969811320756</v>
      </c>
      <c r="O1565" t="s">
        <v>83</v>
      </c>
      <c r="R1565">
        <v>3</v>
      </c>
      <c r="S1565" t="e">
        <f>VLOOKUP(R1565,[1]!NOMINA[#Data],4,FALSE)</f>
        <v>#REF!</v>
      </c>
      <c r="T1565" t="e">
        <f>VLOOKUP(R1565,[1]!NOMINA[#Data],5,FALSE)</f>
        <v>#REF!</v>
      </c>
    </row>
    <row r="1566" spans="1:20" x14ac:dyDescent="0.25">
      <c r="A1566" s="43">
        <v>45729</v>
      </c>
      <c r="B1566" s="1">
        <v>919720693</v>
      </c>
      <c r="C1566" t="s">
        <v>1474</v>
      </c>
      <c r="D1566" s="23">
        <v>-3234.9</v>
      </c>
      <c r="E1566" t="s">
        <v>35</v>
      </c>
      <c r="F1566" s="2">
        <v>212901001</v>
      </c>
      <c r="G1566" s="2" t="s">
        <v>91</v>
      </c>
      <c r="I1566" s="95" t="s">
        <v>7231</v>
      </c>
      <c r="J1566" t="s">
        <v>61</v>
      </c>
      <c r="K1566" t="s">
        <v>62</v>
      </c>
      <c r="M1566">
        <v>66.25</v>
      </c>
      <c r="N1566" s="4">
        <f t="shared" si="24"/>
        <v>-48.82867924528302</v>
      </c>
      <c r="O1566" t="s">
        <v>83</v>
      </c>
      <c r="R1566">
        <v>19</v>
      </c>
      <c r="S1566" t="e">
        <f>VLOOKUP(R1566,[1]!NOMINA[#Data],4,FALSE)</f>
        <v>#REF!</v>
      </c>
      <c r="T1566" t="e">
        <f>VLOOKUP(R1566,[1]!NOMINA[#Data],5,FALSE)</f>
        <v>#REF!</v>
      </c>
    </row>
    <row r="1567" spans="1:20" x14ac:dyDescent="0.25">
      <c r="A1567" s="43">
        <v>45729</v>
      </c>
      <c r="B1567" s="1">
        <v>919720692</v>
      </c>
      <c r="C1567" t="s">
        <v>1475</v>
      </c>
      <c r="D1567" s="23">
        <v>-2241.2600000000002</v>
      </c>
      <c r="E1567" t="s">
        <v>35</v>
      </c>
      <c r="F1567" s="2">
        <v>212901001</v>
      </c>
      <c r="G1567" s="2" t="s">
        <v>91</v>
      </c>
      <c r="I1567" s="95" t="s">
        <v>7231</v>
      </c>
      <c r="J1567" t="s">
        <v>61</v>
      </c>
      <c r="K1567" t="s">
        <v>62</v>
      </c>
      <c r="M1567">
        <v>66.25</v>
      </c>
      <c r="N1567" s="4">
        <f t="shared" si="24"/>
        <v>-33.83033962264151</v>
      </c>
      <c r="O1567" t="s">
        <v>83</v>
      </c>
      <c r="R1567">
        <v>27</v>
      </c>
      <c r="S1567" t="e">
        <f>VLOOKUP(R1567,[1]!NOMINA[#Data],4,FALSE)</f>
        <v>#REF!</v>
      </c>
      <c r="T1567" t="e">
        <f>VLOOKUP(R1567,[1]!NOMINA[#Data],5,FALSE)</f>
        <v>#REF!</v>
      </c>
    </row>
    <row r="1568" spans="1:20" x14ac:dyDescent="0.25">
      <c r="A1568" s="43">
        <v>45729</v>
      </c>
      <c r="B1568" s="1">
        <v>919720694</v>
      </c>
      <c r="C1568" t="s">
        <v>1476</v>
      </c>
      <c r="D1568" s="23">
        <v>-4212.79</v>
      </c>
      <c r="E1568" t="s">
        <v>35</v>
      </c>
      <c r="F1568" s="2">
        <v>212901001</v>
      </c>
      <c r="G1568" s="2" t="s">
        <v>91</v>
      </c>
      <c r="I1568" s="95" t="s">
        <v>7231</v>
      </c>
      <c r="J1568" t="s">
        <v>61</v>
      </c>
      <c r="K1568" t="s">
        <v>62</v>
      </c>
      <c r="M1568">
        <v>66.25</v>
      </c>
      <c r="N1568" s="4">
        <f t="shared" si="24"/>
        <v>-63.589283018867924</v>
      </c>
      <c r="O1568" t="s">
        <v>83</v>
      </c>
      <c r="R1568">
        <v>5</v>
      </c>
      <c r="S1568" t="e">
        <f>VLOOKUP(R1568,[1]!NOMINA[#Data],4,FALSE)</f>
        <v>#REF!</v>
      </c>
      <c r="T1568" t="e">
        <f>VLOOKUP(R1568,[1]!NOMINA[#Data],5,FALSE)</f>
        <v>#REF!</v>
      </c>
    </row>
    <row r="1569" spans="1:20" x14ac:dyDescent="0.25">
      <c r="A1569" s="43">
        <v>45729</v>
      </c>
      <c r="B1569" s="1">
        <v>919720695</v>
      </c>
      <c r="C1569" t="s">
        <v>1477</v>
      </c>
      <c r="D1569" s="23">
        <v>-4884.18</v>
      </c>
      <c r="E1569" t="s">
        <v>35</v>
      </c>
      <c r="F1569" s="2">
        <v>212901001</v>
      </c>
      <c r="G1569" s="2" t="s">
        <v>91</v>
      </c>
      <c r="I1569" s="95" t="s">
        <v>7231</v>
      </c>
      <c r="J1569" t="s">
        <v>61</v>
      </c>
      <c r="K1569" t="s">
        <v>62</v>
      </c>
      <c r="M1569">
        <v>66.25</v>
      </c>
      <c r="N1569" s="4">
        <f t="shared" si="24"/>
        <v>-73.723471698113215</v>
      </c>
      <c r="O1569" t="s">
        <v>83</v>
      </c>
      <c r="R1569">
        <v>16</v>
      </c>
      <c r="S1569" t="e">
        <f>VLOOKUP(Tabla3[[#This Row],[Nº]],[1]!NOMINA[#Data],4,FALSE)</f>
        <v>#REF!</v>
      </c>
      <c r="T1569" t="e">
        <f>VLOOKUP(Tabla3[[#This Row],[Nº]],[1]!NOMINA[#Data],5,FALSE)</f>
        <v>#REF!</v>
      </c>
    </row>
    <row r="1570" spans="1:20" x14ac:dyDescent="0.25">
      <c r="A1570" s="43">
        <v>45729</v>
      </c>
      <c r="B1570" s="1">
        <v>19720698</v>
      </c>
      <c r="C1570" t="s">
        <v>1478</v>
      </c>
      <c r="D1570" s="23">
        <v>-23850.6</v>
      </c>
      <c r="E1570" t="s">
        <v>35</v>
      </c>
      <c r="F1570" s="2">
        <v>212901001</v>
      </c>
      <c r="G1570" s="2" t="s">
        <v>91</v>
      </c>
      <c r="I1570" s="95" t="s">
        <v>7231</v>
      </c>
      <c r="J1570" t="s">
        <v>61</v>
      </c>
      <c r="K1570" t="s">
        <v>62</v>
      </c>
      <c r="M1570">
        <v>66.25</v>
      </c>
      <c r="N1570" s="4">
        <f t="shared" si="24"/>
        <v>-360.00905660377356</v>
      </c>
      <c r="O1570" t="s">
        <v>83</v>
      </c>
      <c r="R1570">
        <v>1</v>
      </c>
      <c r="S1570" t="e">
        <f>VLOOKUP(R1570,[1]!NOMINA[#Data],4,FALSE)</f>
        <v>#REF!</v>
      </c>
      <c r="T1570" t="e">
        <f>VLOOKUP(R1570,[1]!NOMINA[#Data],5,FALSE)</f>
        <v>#REF!</v>
      </c>
    </row>
    <row r="1571" spans="1:20" x14ac:dyDescent="0.25">
      <c r="A1571" s="43">
        <v>45729</v>
      </c>
      <c r="B1571" s="1">
        <v>919720696</v>
      </c>
      <c r="C1571" t="s">
        <v>1479</v>
      </c>
      <c r="D1571" s="23">
        <v>-2570.0700000000002</v>
      </c>
      <c r="E1571" t="s">
        <v>35</v>
      </c>
      <c r="F1571" s="2">
        <v>212901001</v>
      </c>
      <c r="G1571" s="2" t="s">
        <v>91</v>
      </c>
      <c r="I1571" s="95" t="s">
        <v>7231</v>
      </c>
      <c r="J1571" t="s">
        <v>61</v>
      </c>
      <c r="K1571" t="s">
        <v>62</v>
      </c>
      <c r="M1571">
        <v>66.25</v>
      </c>
      <c r="N1571" s="4">
        <f t="shared" si="24"/>
        <v>-38.793509433962264</v>
      </c>
      <c r="O1571" t="s">
        <v>83</v>
      </c>
      <c r="R1571">
        <v>37</v>
      </c>
      <c r="S1571" t="e">
        <f>VLOOKUP(Tabla3[[#This Row],[Nº]],[1]!NOMINA[#Data],4,FALSE)</f>
        <v>#REF!</v>
      </c>
      <c r="T1571" t="e">
        <f>VLOOKUP(Tabla3[[#This Row],[Nº]],[1]!NOMINA[#Data],5,FALSE)</f>
        <v>#REF!</v>
      </c>
    </row>
    <row r="1572" spans="1:20" x14ac:dyDescent="0.25">
      <c r="A1572" s="43">
        <v>45729</v>
      </c>
      <c r="B1572" s="1">
        <v>919720697</v>
      </c>
      <c r="C1572" t="s">
        <v>1480</v>
      </c>
      <c r="D1572" s="23">
        <v>-2241.92</v>
      </c>
      <c r="E1572" t="s">
        <v>35</v>
      </c>
      <c r="F1572" s="2">
        <v>212901001</v>
      </c>
      <c r="G1572" s="2" t="s">
        <v>91</v>
      </c>
      <c r="I1572" s="95" t="s">
        <v>7231</v>
      </c>
      <c r="J1572" t="s">
        <v>61</v>
      </c>
      <c r="K1572" t="s">
        <v>62</v>
      </c>
      <c r="M1572">
        <v>66.25</v>
      </c>
      <c r="N1572" s="4">
        <f t="shared" si="24"/>
        <v>-33.840301886792453</v>
      </c>
      <c r="O1572" t="s">
        <v>83</v>
      </c>
      <c r="R1572">
        <v>7</v>
      </c>
      <c r="S1572" t="e">
        <f>VLOOKUP(R1572,[1]!NOMINA[#Data],4,FALSE)</f>
        <v>#REF!</v>
      </c>
      <c r="T1572" t="e">
        <f>VLOOKUP(R1572,[1]!NOMINA[#Data],5,FALSE)</f>
        <v>#REF!</v>
      </c>
    </row>
    <row r="1573" spans="1:20" x14ac:dyDescent="0.25">
      <c r="A1573" s="43">
        <v>45729</v>
      </c>
      <c r="B1573" s="1">
        <v>19720700</v>
      </c>
      <c r="C1573" t="s">
        <v>1481</v>
      </c>
      <c r="D1573" s="23">
        <v>-61.65</v>
      </c>
      <c r="E1573" t="s">
        <v>35</v>
      </c>
      <c r="F1573" s="2">
        <v>212901001</v>
      </c>
      <c r="G1573" s="2" t="s">
        <v>91</v>
      </c>
      <c r="I1573" s="95" t="s">
        <v>7231</v>
      </c>
      <c r="J1573" t="s">
        <v>61</v>
      </c>
      <c r="K1573" t="s">
        <v>62</v>
      </c>
      <c r="M1573">
        <v>66.25</v>
      </c>
      <c r="N1573" s="4">
        <f t="shared" si="24"/>
        <v>-0.93056603773584901</v>
      </c>
      <c r="O1573" t="s">
        <v>83</v>
      </c>
      <c r="R1573">
        <v>9</v>
      </c>
      <c r="S1573" t="e">
        <f>VLOOKUP(R1573,[1]!NOMINA[#Data],4,FALSE)</f>
        <v>#REF!</v>
      </c>
      <c r="T1573" t="e">
        <f>VLOOKUP(R1573,[1]!NOMINA[#Data],5,FALSE)</f>
        <v>#REF!</v>
      </c>
    </row>
    <row r="1574" spans="1:20" x14ac:dyDescent="0.25">
      <c r="A1574" s="43">
        <v>45729</v>
      </c>
      <c r="B1574" s="1">
        <v>19720699</v>
      </c>
      <c r="C1574" t="s">
        <v>1482</v>
      </c>
      <c r="D1574" s="23">
        <v>-3234.9</v>
      </c>
      <c r="E1574" t="s">
        <v>35</v>
      </c>
      <c r="F1574" s="2">
        <v>212901001</v>
      </c>
      <c r="G1574" s="2" t="s">
        <v>91</v>
      </c>
      <c r="I1574" s="95" t="s">
        <v>7231</v>
      </c>
      <c r="J1574" t="s">
        <v>61</v>
      </c>
      <c r="K1574" t="s">
        <v>62</v>
      </c>
      <c r="M1574">
        <v>66.25</v>
      </c>
      <c r="N1574" s="4">
        <f t="shared" si="24"/>
        <v>-48.82867924528302</v>
      </c>
      <c r="O1574" t="s">
        <v>83</v>
      </c>
      <c r="R1574">
        <v>36</v>
      </c>
      <c r="S1574" t="e">
        <f>VLOOKUP(R1574,[1]!NOMINA[#Data],4,FALSE)</f>
        <v>#REF!</v>
      </c>
      <c r="T1574" t="e">
        <f>VLOOKUP(R1574,[1]!NOMINA[#Data],5,FALSE)</f>
        <v>#REF!</v>
      </c>
    </row>
    <row r="1575" spans="1:20" x14ac:dyDescent="0.25">
      <c r="A1575" s="43">
        <v>45729</v>
      </c>
      <c r="B1575" s="1">
        <v>19720701</v>
      </c>
      <c r="C1575" t="s">
        <v>1483</v>
      </c>
      <c r="D1575" s="23">
        <v>-61.65</v>
      </c>
      <c r="E1575" t="s">
        <v>35</v>
      </c>
      <c r="F1575" s="2">
        <v>212901001</v>
      </c>
      <c r="G1575" s="2" t="s">
        <v>91</v>
      </c>
      <c r="I1575" s="95" t="s">
        <v>7231</v>
      </c>
      <c r="J1575" t="s">
        <v>61</v>
      </c>
      <c r="K1575" t="s">
        <v>62</v>
      </c>
      <c r="M1575">
        <v>66.25</v>
      </c>
      <c r="N1575" s="4">
        <f t="shared" si="24"/>
        <v>-0.93056603773584901</v>
      </c>
      <c r="O1575" t="s">
        <v>83</v>
      </c>
      <c r="R1575">
        <v>26</v>
      </c>
      <c r="S1575" t="e">
        <f>VLOOKUP(Tabla3[[#This Row],[Nº]],[1]!NOMINA[#Data],4,FALSE)</f>
        <v>#REF!</v>
      </c>
      <c r="T1575" t="e">
        <f>VLOOKUP(Tabla3[[#This Row],[Nº]],[1]!NOMINA[#Data],5,FALSE)</f>
        <v>#REF!</v>
      </c>
    </row>
    <row r="1576" spans="1:20" x14ac:dyDescent="0.25">
      <c r="A1576" s="43">
        <v>45729</v>
      </c>
      <c r="B1576" s="1">
        <v>19720704</v>
      </c>
      <c r="C1576" t="s">
        <v>1484</v>
      </c>
      <c r="D1576" s="23">
        <v>-61.65</v>
      </c>
      <c r="E1576" t="s">
        <v>35</v>
      </c>
      <c r="F1576" s="2">
        <v>212901001</v>
      </c>
      <c r="G1576" s="2" t="s">
        <v>91</v>
      </c>
      <c r="I1576" s="95" t="s">
        <v>7231</v>
      </c>
      <c r="J1576" t="s">
        <v>61</v>
      </c>
      <c r="K1576" t="s">
        <v>62</v>
      </c>
      <c r="M1576">
        <v>66.25</v>
      </c>
      <c r="N1576" s="4">
        <f t="shared" si="24"/>
        <v>-0.93056603773584901</v>
      </c>
      <c r="O1576" t="s">
        <v>83</v>
      </c>
      <c r="R1576">
        <v>29</v>
      </c>
      <c r="S1576" t="e">
        <f>VLOOKUP(R1576,[1]!NOMINA[#Data],4,FALSE)</f>
        <v>#REF!</v>
      </c>
      <c r="T1576" t="e">
        <f>VLOOKUP(R1576,[1]!NOMINA[#Data],5,FALSE)</f>
        <v>#REF!</v>
      </c>
    </row>
    <row r="1577" spans="1:20" x14ac:dyDescent="0.25">
      <c r="A1577" s="43">
        <v>45729</v>
      </c>
      <c r="B1577" s="1">
        <v>19720702</v>
      </c>
      <c r="C1577" t="s">
        <v>1485</v>
      </c>
      <c r="D1577" s="23">
        <v>-61.65</v>
      </c>
      <c r="E1577" t="s">
        <v>35</v>
      </c>
      <c r="F1577" s="2">
        <v>212901001</v>
      </c>
      <c r="G1577" s="2" t="s">
        <v>91</v>
      </c>
      <c r="I1577" s="95" t="s">
        <v>7231</v>
      </c>
      <c r="J1577" t="s">
        <v>61</v>
      </c>
      <c r="K1577" t="s">
        <v>62</v>
      </c>
      <c r="M1577">
        <v>66.25</v>
      </c>
      <c r="N1577" s="4">
        <f t="shared" si="24"/>
        <v>-0.93056603773584901</v>
      </c>
      <c r="O1577" t="s">
        <v>83</v>
      </c>
      <c r="R1577">
        <v>44</v>
      </c>
      <c r="S1577" t="e">
        <f>VLOOKUP(R1577,[1]!NOMINA[#Data],4,FALSE)</f>
        <v>#REF!</v>
      </c>
      <c r="T1577" t="e">
        <f>VLOOKUP(R1577,[1]!NOMINA[#Data],5,FALSE)</f>
        <v>#REF!</v>
      </c>
    </row>
    <row r="1578" spans="1:20" x14ac:dyDescent="0.25">
      <c r="A1578" s="43">
        <v>45729</v>
      </c>
      <c r="B1578" s="1">
        <v>19720703</v>
      </c>
      <c r="C1578" t="s">
        <v>1486</v>
      </c>
      <c r="D1578" s="23">
        <v>-61.65</v>
      </c>
      <c r="E1578" t="s">
        <v>35</v>
      </c>
      <c r="F1578" s="2">
        <v>212901001</v>
      </c>
      <c r="G1578" s="2" t="s">
        <v>91</v>
      </c>
      <c r="I1578" s="95" t="s">
        <v>7231</v>
      </c>
      <c r="J1578" t="s">
        <v>61</v>
      </c>
      <c r="K1578" t="s">
        <v>62</v>
      </c>
      <c r="M1578">
        <v>66.25</v>
      </c>
      <c r="N1578" s="4">
        <f t="shared" si="24"/>
        <v>-0.93056603773584901</v>
      </c>
      <c r="O1578" t="s">
        <v>83</v>
      </c>
      <c r="R1578">
        <v>10</v>
      </c>
      <c r="S1578" t="e">
        <f>VLOOKUP(R1578,[1]!NOMINA[#Data],4,FALSE)</f>
        <v>#REF!</v>
      </c>
      <c r="T1578" t="e">
        <f>VLOOKUP(R1578,[1]!NOMINA[#Data],5,FALSE)</f>
        <v>#REF!</v>
      </c>
    </row>
    <row r="1579" spans="1:20" x14ac:dyDescent="0.25">
      <c r="A1579" s="43">
        <v>45729</v>
      </c>
      <c r="B1579" s="1">
        <v>19720705</v>
      </c>
      <c r="C1579" t="s">
        <v>1487</v>
      </c>
      <c r="D1579" s="23">
        <v>-61.65</v>
      </c>
      <c r="E1579" t="s">
        <v>35</v>
      </c>
      <c r="F1579" s="2">
        <v>212901001</v>
      </c>
      <c r="G1579" s="2" t="s">
        <v>91</v>
      </c>
      <c r="I1579" s="95" t="s">
        <v>7231</v>
      </c>
      <c r="J1579" t="s">
        <v>61</v>
      </c>
      <c r="K1579" t="s">
        <v>62</v>
      </c>
      <c r="M1579">
        <v>66.25</v>
      </c>
      <c r="N1579" s="4">
        <f t="shared" si="24"/>
        <v>-0.93056603773584901</v>
      </c>
      <c r="O1579" t="s">
        <v>83</v>
      </c>
      <c r="R1579">
        <v>18</v>
      </c>
      <c r="S1579" t="e">
        <f>VLOOKUP(Tabla3[[#This Row],[Nº]],[1]!NOMINA[#Data],4,FALSE)</f>
        <v>#REF!</v>
      </c>
      <c r="T1579" t="e">
        <f>VLOOKUP(Tabla3[[#This Row],[Nº]],[1]!NOMINA[#Data],5,FALSE)</f>
        <v>#REF!</v>
      </c>
    </row>
    <row r="1580" spans="1:20" x14ac:dyDescent="0.25">
      <c r="A1580" s="43">
        <v>45729</v>
      </c>
      <c r="B1580" s="1">
        <v>19720707</v>
      </c>
      <c r="C1580" t="s">
        <v>1488</v>
      </c>
      <c r="D1580" s="23">
        <v>-61.65</v>
      </c>
      <c r="E1580" t="s">
        <v>35</v>
      </c>
      <c r="F1580" s="2">
        <v>212901001</v>
      </c>
      <c r="G1580" s="2" t="s">
        <v>91</v>
      </c>
      <c r="I1580" s="95" t="s">
        <v>7231</v>
      </c>
      <c r="J1580" t="s">
        <v>61</v>
      </c>
      <c r="K1580" t="s">
        <v>62</v>
      </c>
      <c r="M1580">
        <v>66.25</v>
      </c>
      <c r="N1580" s="4">
        <f t="shared" si="24"/>
        <v>-0.93056603773584901</v>
      </c>
      <c r="O1580" t="s">
        <v>83</v>
      </c>
      <c r="R1580">
        <v>38</v>
      </c>
      <c r="S1580" t="e">
        <f>VLOOKUP(R1580,[1]!NOMINA[#Data],4,FALSE)</f>
        <v>#REF!</v>
      </c>
      <c r="T1580" t="e">
        <f>VLOOKUP(R1580,[1]!NOMINA[#Data],5,FALSE)</f>
        <v>#REF!</v>
      </c>
    </row>
    <row r="1581" spans="1:20" x14ac:dyDescent="0.25">
      <c r="A1581" s="43">
        <v>45729</v>
      </c>
      <c r="B1581" s="1">
        <v>19720706</v>
      </c>
      <c r="C1581" t="s">
        <v>1489</v>
      </c>
      <c r="D1581" s="23">
        <v>-61.65</v>
      </c>
      <c r="E1581" t="s">
        <v>35</v>
      </c>
      <c r="F1581" s="2">
        <v>212901001</v>
      </c>
      <c r="G1581" s="2" t="s">
        <v>91</v>
      </c>
      <c r="I1581" s="95" t="s">
        <v>7231</v>
      </c>
      <c r="J1581" t="s">
        <v>61</v>
      </c>
      <c r="K1581" t="s">
        <v>62</v>
      </c>
      <c r="M1581">
        <v>66.25</v>
      </c>
      <c r="N1581" s="4">
        <f t="shared" si="24"/>
        <v>-0.93056603773584901</v>
      </c>
      <c r="O1581" t="s">
        <v>83</v>
      </c>
      <c r="R1581">
        <v>15</v>
      </c>
      <c r="S1581" t="e">
        <f>VLOOKUP(R1581,[1]!NOMINA[#Data],4,FALSE)</f>
        <v>#REF!</v>
      </c>
      <c r="T1581" t="e">
        <f>VLOOKUP(R1581,[1]!NOMINA[#Data],5,FALSE)</f>
        <v>#REF!</v>
      </c>
    </row>
    <row r="1582" spans="1:20" x14ac:dyDescent="0.25">
      <c r="A1582" s="43">
        <v>45729</v>
      </c>
      <c r="B1582" s="1">
        <v>19720708</v>
      </c>
      <c r="C1582" t="s">
        <v>1490</v>
      </c>
      <c r="D1582" s="23">
        <v>-61.65</v>
      </c>
      <c r="E1582" t="s">
        <v>35</v>
      </c>
      <c r="F1582" s="2">
        <v>212901001</v>
      </c>
      <c r="G1582" s="2" t="s">
        <v>91</v>
      </c>
      <c r="I1582" s="95" t="s">
        <v>7231</v>
      </c>
      <c r="J1582" t="s">
        <v>61</v>
      </c>
      <c r="K1582" s="2" t="s">
        <v>62</v>
      </c>
      <c r="L1582" s="2"/>
      <c r="M1582">
        <v>66.25</v>
      </c>
      <c r="N1582" s="4">
        <f t="shared" si="24"/>
        <v>-0.93056603773584901</v>
      </c>
      <c r="O1582" t="s">
        <v>83</v>
      </c>
      <c r="R1582">
        <v>36</v>
      </c>
      <c r="S1582" t="e">
        <f>VLOOKUP(R1582,[1]!NOMINA[#Data],4,FALSE)</f>
        <v>#REF!</v>
      </c>
      <c r="T1582" t="e">
        <f>VLOOKUP(R1582,[1]!NOMINA[#Data],5,FALSE)</f>
        <v>#REF!</v>
      </c>
    </row>
    <row r="1583" spans="1:20" x14ac:dyDescent="0.25">
      <c r="A1583" s="43">
        <v>45729</v>
      </c>
      <c r="B1583" s="1">
        <v>19720709</v>
      </c>
      <c r="C1583" t="s">
        <v>1491</v>
      </c>
      <c r="D1583" s="23">
        <v>-61.65</v>
      </c>
      <c r="E1583" t="s">
        <v>35</v>
      </c>
      <c r="F1583" s="2">
        <v>212901001</v>
      </c>
      <c r="G1583" s="2" t="s">
        <v>91</v>
      </c>
      <c r="I1583" s="95" t="s">
        <v>7231</v>
      </c>
      <c r="J1583" t="s">
        <v>61</v>
      </c>
      <c r="K1583" t="s">
        <v>62</v>
      </c>
      <c r="M1583">
        <v>66.25</v>
      </c>
      <c r="N1583" s="4">
        <f t="shared" si="24"/>
        <v>-0.93056603773584901</v>
      </c>
      <c r="O1583" t="s">
        <v>83</v>
      </c>
      <c r="R1583">
        <v>20</v>
      </c>
      <c r="S1583" t="e">
        <f>VLOOKUP(Tabla3[[#This Row],[Nº]],[1]!NOMINA[#Data],4,FALSE)</f>
        <v>#REF!</v>
      </c>
      <c r="T1583" t="e">
        <f>VLOOKUP(Tabla3[[#This Row],[Nº]],[1]!NOMINA[#Data],5,FALSE)</f>
        <v>#REF!</v>
      </c>
    </row>
    <row r="1584" spans="1:20" x14ac:dyDescent="0.25">
      <c r="A1584" s="43">
        <v>45729</v>
      </c>
      <c r="B1584" s="1">
        <v>19720710</v>
      </c>
      <c r="C1584" t="s">
        <v>1492</v>
      </c>
      <c r="D1584" s="23">
        <v>-61.65</v>
      </c>
      <c r="E1584" t="s">
        <v>35</v>
      </c>
      <c r="F1584" s="2">
        <v>212901001</v>
      </c>
      <c r="G1584" s="2" t="s">
        <v>91</v>
      </c>
      <c r="I1584" s="95" t="s">
        <v>7231</v>
      </c>
      <c r="J1584" t="s">
        <v>61</v>
      </c>
      <c r="K1584" t="s">
        <v>62</v>
      </c>
      <c r="M1584">
        <v>66.25</v>
      </c>
      <c r="N1584" s="4">
        <f t="shared" si="24"/>
        <v>-0.93056603773584901</v>
      </c>
      <c r="O1584" t="s">
        <v>83</v>
      </c>
      <c r="R1584">
        <v>41</v>
      </c>
      <c r="S1584" t="e">
        <f>VLOOKUP(R1584,[1]!NOMINA[#Data],4,FALSE)</f>
        <v>#REF!</v>
      </c>
      <c r="T1584" t="e">
        <f>VLOOKUP(R1584,[1]!NOMINA[#Data],5,FALSE)</f>
        <v>#REF!</v>
      </c>
    </row>
    <row r="1585" spans="1:20" x14ac:dyDescent="0.25">
      <c r="A1585" s="43">
        <v>45729</v>
      </c>
      <c r="B1585" s="1">
        <v>119720711</v>
      </c>
      <c r="C1585" t="s">
        <v>1493</v>
      </c>
      <c r="D1585" s="23">
        <v>-61.65</v>
      </c>
      <c r="E1585" t="s">
        <v>35</v>
      </c>
      <c r="F1585" s="2">
        <v>212901001</v>
      </c>
      <c r="G1585" s="2" t="s">
        <v>91</v>
      </c>
      <c r="I1585" s="95" t="s">
        <v>7231</v>
      </c>
      <c r="J1585" t="s">
        <v>61</v>
      </c>
      <c r="K1585" t="s">
        <v>62</v>
      </c>
      <c r="M1585">
        <v>66.25</v>
      </c>
      <c r="N1585" s="4">
        <f t="shared" si="24"/>
        <v>-0.93056603773584901</v>
      </c>
      <c r="O1585" t="s">
        <v>83</v>
      </c>
      <c r="R1585">
        <v>13</v>
      </c>
      <c r="S1585" t="e">
        <f>VLOOKUP(R1585,[1]!NOMINA[#Data],4,FALSE)</f>
        <v>#REF!</v>
      </c>
      <c r="T1585" t="e">
        <f>VLOOKUP(R1585,[1]!NOMINA[#Data],5,FALSE)</f>
        <v>#REF!</v>
      </c>
    </row>
    <row r="1586" spans="1:20" x14ac:dyDescent="0.25">
      <c r="A1586" s="43">
        <v>45729</v>
      </c>
      <c r="B1586" s="1">
        <v>119720712</v>
      </c>
      <c r="C1586" t="s">
        <v>1494</v>
      </c>
      <c r="D1586" s="23">
        <v>-61.65</v>
      </c>
      <c r="E1586" t="s">
        <v>35</v>
      </c>
      <c r="F1586" s="2">
        <v>212901001</v>
      </c>
      <c r="G1586" s="2" t="s">
        <v>91</v>
      </c>
      <c r="I1586" s="95" t="s">
        <v>7231</v>
      </c>
      <c r="J1586" t="s">
        <v>61</v>
      </c>
      <c r="K1586" t="s">
        <v>62</v>
      </c>
      <c r="M1586">
        <v>66.25</v>
      </c>
      <c r="N1586" s="4">
        <f t="shared" si="24"/>
        <v>-0.93056603773584901</v>
      </c>
      <c r="O1586" t="s">
        <v>83</v>
      </c>
      <c r="R1586">
        <v>13</v>
      </c>
      <c r="S1586" t="e">
        <f>VLOOKUP(R1586,[1]!NOMINA[#Data],4,FALSE)</f>
        <v>#REF!</v>
      </c>
      <c r="T1586" t="e">
        <f>VLOOKUP(R1586,[1]!NOMINA[#Data],5,FALSE)</f>
        <v>#REF!</v>
      </c>
    </row>
    <row r="1587" spans="1:20" x14ac:dyDescent="0.25">
      <c r="A1587" s="43">
        <v>45729</v>
      </c>
      <c r="B1587" s="1">
        <v>119720713</v>
      </c>
      <c r="C1587" t="s">
        <v>1495</v>
      </c>
      <c r="D1587" s="23">
        <v>-61.65</v>
      </c>
      <c r="E1587" t="s">
        <v>35</v>
      </c>
      <c r="F1587" s="2">
        <v>212901001</v>
      </c>
      <c r="G1587" s="2" t="s">
        <v>91</v>
      </c>
      <c r="I1587" s="95" t="s">
        <v>7231</v>
      </c>
      <c r="J1587" t="s">
        <v>61</v>
      </c>
      <c r="K1587" t="s">
        <v>62</v>
      </c>
      <c r="M1587">
        <v>66.25</v>
      </c>
      <c r="N1587" s="4">
        <f t="shared" si="24"/>
        <v>-0.93056603773584901</v>
      </c>
      <c r="O1587" t="s">
        <v>83</v>
      </c>
      <c r="R1587">
        <v>8</v>
      </c>
      <c r="S1587" t="e">
        <f>VLOOKUP(R1587,[1]!NOMINA[#Data],4,FALSE)</f>
        <v>#REF!</v>
      </c>
      <c r="T1587" t="e">
        <f>VLOOKUP(R1587,[1]!NOMINA[#Data],5,FALSE)</f>
        <v>#REF!</v>
      </c>
    </row>
    <row r="1588" spans="1:20" x14ac:dyDescent="0.25">
      <c r="A1588" s="43">
        <v>45729</v>
      </c>
      <c r="B1588" s="1">
        <v>119720714</v>
      </c>
      <c r="C1588" t="s">
        <v>1496</v>
      </c>
      <c r="D1588" s="23">
        <v>-61.65</v>
      </c>
      <c r="E1588" t="s">
        <v>35</v>
      </c>
      <c r="F1588" s="2">
        <v>212901001</v>
      </c>
      <c r="G1588" s="2" t="s">
        <v>91</v>
      </c>
      <c r="I1588" s="95" t="s">
        <v>7231</v>
      </c>
      <c r="J1588" t="s">
        <v>61</v>
      </c>
      <c r="K1588" t="s">
        <v>62</v>
      </c>
      <c r="M1588">
        <v>66.25</v>
      </c>
      <c r="N1588" s="4">
        <f t="shared" si="24"/>
        <v>-0.93056603773584901</v>
      </c>
      <c r="O1588" t="s">
        <v>83</v>
      </c>
      <c r="R1588">
        <v>11</v>
      </c>
      <c r="S1588" t="e">
        <f>VLOOKUP(R1588,[1]!NOMINA[#Data],4,FALSE)</f>
        <v>#REF!</v>
      </c>
      <c r="T1588" t="e">
        <f>VLOOKUP(R1588,[1]!NOMINA[#Data],5,FALSE)</f>
        <v>#REF!</v>
      </c>
    </row>
    <row r="1589" spans="1:20" x14ac:dyDescent="0.25">
      <c r="A1589" s="43">
        <v>45729</v>
      </c>
      <c r="B1589" s="1">
        <v>119720716</v>
      </c>
      <c r="C1589" t="s">
        <v>1497</v>
      </c>
      <c r="D1589" s="23">
        <v>-61.65</v>
      </c>
      <c r="E1589" t="s">
        <v>35</v>
      </c>
      <c r="F1589" s="2">
        <v>212901001</v>
      </c>
      <c r="G1589" s="2" t="s">
        <v>91</v>
      </c>
      <c r="I1589" s="95" t="s">
        <v>7231</v>
      </c>
      <c r="J1589" t="s">
        <v>61</v>
      </c>
      <c r="K1589" t="s">
        <v>62</v>
      </c>
      <c r="M1589">
        <v>66.25</v>
      </c>
      <c r="N1589" s="4">
        <f t="shared" si="24"/>
        <v>-0.93056603773584901</v>
      </c>
      <c r="O1589" t="s">
        <v>83</v>
      </c>
      <c r="R1589">
        <v>23</v>
      </c>
      <c r="S1589" t="e">
        <f>VLOOKUP(R1589,[1]!NOMINA[#Data],4,FALSE)</f>
        <v>#REF!</v>
      </c>
      <c r="T1589" t="e">
        <f>VLOOKUP(R1589,[1]!NOMINA[#Data],5,FALSE)</f>
        <v>#REF!</v>
      </c>
    </row>
    <row r="1590" spans="1:20" x14ac:dyDescent="0.25">
      <c r="A1590" s="43">
        <v>45729</v>
      </c>
      <c r="B1590" s="1">
        <v>119720715</v>
      </c>
      <c r="C1590" t="s">
        <v>1498</v>
      </c>
      <c r="D1590" s="23">
        <v>-61.65</v>
      </c>
      <c r="E1590" t="s">
        <v>35</v>
      </c>
      <c r="F1590" s="2">
        <v>212901001</v>
      </c>
      <c r="G1590" s="2" t="s">
        <v>91</v>
      </c>
      <c r="I1590" s="95" t="s">
        <v>7231</v>
      </c>
      <c r="J1590" t="s">
        <v>61</v>
      </c>
      <c r="K1590" t="s">
        <v>62</v>
      </c>
      <c r="M1590">
        <v>66.25</v>
      </c>
      <c r="N1590" s="4">
        <f t="shared" si="24"/>
        <v>-0.93056603773584901</v>
      </c>
      <c r="O1590" t="s">
        <v>83</v>
      </c>
      <c r="R1590">
        <v>43</v>
      </c>
      <c r="S1590" t="e">
        <f>VLOOKUP(R1590,[1]!NOMINA[#Data],4,FALSE)</f>
        <v>#REF!</v>
      </c>
      <c r="T1590" t="e">
        <f>VLOOKUP(R1590,[1]!NOMINA[#Data],5,FALSE)</f>
        <v>#REF!</v>
      </c>
    </row>
    <row r="1591" spans="1:20" x14ac:dyDescent="0.25">
      <c r="A1591" s="43">
        <v>45729</v>
      </c>
      <c r="B1591" s="1">
        <v>119720718</v>
      </c>
      <c r="C1591" t="s">
        <v>1499</v>
      </c>
      <c r="D1591" s="23">
        <v>-61.65</v>
      </c>
      <c r="E1591" t="s">
        <v>35</v>
      </c>
      <c r="F1591" s="2">
        <v>212901001</v>
      </c>
      <c r="G1591" s="2" t="s">
        <v>91</v>
      </c>
      <c r="I1591" s="95" t="s">
        <v>7231</v>
      </c>
      <c r="J1591" t="s">
        <v>61</v>
      </c>
      <c r="K1591" t="s">
        <v>62</v>
      </c>
      <c r="M1591">
        <v>66.25</v>
      </c>
      <c r="N1591" s="4">
        <f t="shared" si="24"/>
        <v>-0.93056603773584901</v>
      </c>
      <c r="O1591" t="s">
        <v>83</v>
      </c>
      <c r="R1591">
        <v>17</v>
      </c>
      <c r="S1591" t="e">
        <f>VLOOKUP(R1591,[1]!NOMINA[#Data],4,FALSE)</f>
        <v>#REF!</v>
      </c>
      <c r="T1591" t="e">
        <f>VLOOKUP(R1591,[1]!NOMINA[#Data],5,FALSE)</f>
        <v>#REF!</v>
      </c>
    </row>
    <row r="1592" spans="1:20" x14ac:dyDescent="0.25">
      <c r="A1592" s="43">
        <v>45729</v>
      </c>
      <c r="B1592" s="1">
        <v>119720717</v>
      </c>
      <c r="C1592" t="s">
        <v>1500</v>
      </c>
      <c r="D1592" s="23">
        <v>-61.65</v>
      </c>
      <c r="E1592" t="s">
        <v>35</v>
      </c>
      <c r="F1592" s="2">
        <v>212901001</v>
      </c>
      <c r="G1592" s="2" t="s">
        <v>91</v>
      </c>
      <c r="I1592" s="95" t="s">
        <v>7231</v>
      </c>
      <c r="J1592" t="s">
        <v>61</v>
      </c>
      <c r="K1592" t="s">
        <v>62</v>
      </c>
      <c r="M1592">
        <v>66.25</v>
      </c>
      <c r="N1592" s="4">
        <f t="shared" si="24"/>
        <v>-0.93056603773584901</v>
      </c>
      <c r="O1592" t="s">
        <v>83</v>
      </c>
      <c r="R1592">
        <v>22</v>
      </c>
      <c r="S1592" t="e">
        <f>VLOOKUP(Tabla3[[#This Row],[Nº]],[1]!NOMINA[#Data],4,FALSE)</f>
        <v>#REF!</v>
      </c>
      <c r="T1592" t="e">
        <f>VLOOKUP(R1592,[1]!NOMINA[#Data],5,FALSE)</f>
        <v>#REF!</v>
      </c>
    </row>
    <row r="1593" spans="1:20" x14ac:dyDescent="0.25">
      <c r="A1593" s="43">
        <v>45729</v>
      </c>
      <c r="B1593" s="1">
        <v>119720719</v>
      </c>
      <c r="C1593" t="s">
        <v>1501</v>
      </c>
      <c r="D1593" s="23">
        <v>-61.65</v>
      </c>
      <c r="E1593" t="s">
        <v>35</v>
      </c>
      <c r="F1593" s="2">
        <v>212901001</v>
      </c>
      <c r="G1593" s="2" t="s">
        <v>91</v>
      </c>
      <c r="I1593" s="95" t="s">
        <v>7231</v>
      </c>
      <c r="J1593" t="s">
        <v>61</v>
      </c>
      <c r="K1593" t="s">
        <v>62</v>
      </c>
      <c r="M1593">
        <v>66.25</v>
      </c>
      <c r="N1593" s="4">
        <f t="shared" si="24"/>
        <v>-0.93056603773584901</v>
      </c>
      <c r="O1593" t="s">
        <v>83</v>
      </c>
      <c r="R1593">
        <v>14</v>
      </c>
      <c r="S1593" t="e">
        <f>VLOOKUP(R1593,[1]!NOMINA[#Data],4,FALSE)</f>
        <v>#REF!</v>
      </c>
      <c r="T1593" t="e">
        <f>VLOOKUP(R1593,[1]!NOMINA[#Data],5,FALSE)</f>
        <v>#REF!</v>
      </c>
    </row>
    <row r="1594" spans="1:20" x14ac:dyDescent="0.25">
      <c r="A1594" s="43">
        <v>45729</v>
      </c>
      <c r="B1594" s="1">
        <v>119720720</v>
      </c>
      <c r="C1594" t="s">
        <v>1502</v>
      </c>
      <c r="D1594" s="23">
        <v>-61.65</v>
      </c>
      <c r="E1594" t="s">
        <v>35</v>
      </c>
      <c r="F1594" s="2">
        <v>212901001</v>
      </c>
      <c r="G1594" s="2" t="s">
        <v>91</v>
      </c>
      <c r="I1594" s="95" t="s">
        <v>7231</v>
      </c>
      <c r="J1594" t="s">
        <v>61</v>
      </c>
      <c r="K1594" t="s">
        <v>62</v>
      </c>
      <c r="M1594">
        <v>66.25</v>
      </c>
      <c r="N1594" s="4">
        <f t="shared" si="24"/>
        <v>-0.93056603773584901</v>
      </c>
      <c r="O1594" t="s">
        <v>83</v>
      </c>
      <c r="R1594">
        <v>42</v>
      </c>
      <c r="S1594" t="e">
        <f>VLOOKUP(R1594,[1]!NOMINA[#Data],4,FALSE)</f>
        <v>#REF!</v>
      </c>
      <c r="T1594" t="e">
        <f>VLOOKUP(R1594,[1]!NOMINA[#Data],5,FALSE)</f>
        <v>#REF!</v>
      </c>
    </row>
    <row r="1595" spans="1:20" x14ac:dyDescent="0.25">
      <c r="A1595" s="43">
        <v>45729</v>
      </c>
      <c r="B1595" s="1">
        <v>219720722</v>
      </c>
      <c r="C1595" t="s">
        <v>1503</v>
      </c>
      <c r="D1595" s="23">
        <v>-61.65</v>
      </c>
      <c r="E1595" t="s">
        <v>35</v>
      </c>
      <c r="F1595" s="2">
        <v>212901001</v>
      </c>
      <c r="G1595" s="2" t="s">
        <v>91</v>
      </c>
      <c r="I1595" s="95" t="s">
        <v>7231</v>
      </c>
      <c r="J1595" t="s">
        <v>61</v>
      </c>
      <c r="K1595" t="s">
        <v>62</v>
      </c>
      <c r="M1595">
        <v>66.25</v>
      </c>
      <c r="N1595" s="4">
        <f t="shared" si="24"/>
        <v>-0.93056603773584901</v>
      </c>
      <c r="O1595" t="s">
        <v>83</v>
      </c>
      <c r="R1595">
        <v>39</v>
      </c>
      <c r="S1595" t="e">
        <f>VLOOKUP(R1595,[1]!NOMINA[#Data],4,FALSE)</f>
        <v>#REF!</v>
      </c>
      <c r="T1595" t="e">
        <f>VLOOKUP(R1595,[1]!NOMINA[#Data],5,FALSE)</f>
        <v>#REF!</v>
      </c>
    </row>
    <row r="1596" spans="1:20" x14ac:dyDescent="0.25">
      <c r="A1596" s="43">
        <v>45729</v>
      </c>
      <c r="B1596" s="1">
        <v>219720721</v>
      </c>
      <c r="C1596" t="s">
        <v>1504</v>
      </c>
      <c r="D1596" s="23">
        <v>-61.65</v>
      </c>
      <c r="E1596" t="s">
        <v>35</v>
      </c>
      <c r="F1596" s="2">
        <v>212901001</v>
      </c>
      <c r="G1596" s="2" t="s">
        <v>91</v>
      </c>
      <c r="I1596" s="95" t="s">
        <v>7231</v>
      </c>
      <c r="J1596" t="s">
        <v>61</v>
      </c>
      <c r="K1596" t="s">
        <v>62</v>
      </c>
      <c r="M1596">
        <v>66.25</v>
      </c>
      <c r="N1596" s="4">
        <f t="shared" si="24"/>
        <v>-0.93056603773584901</v>
      </c>
      <c r="O1596" t="s">
        <v>83</v>
      </c>
      <c r="R1596">
        <v>21</v>
      </c>
      <c r="S1596" t="e">
        <f>VLOOKUP(R1596,[1]!NOMINA[#Data],4,FALSE)</f>
        <v>#REF!</v>
      </c>
      <c r="T1596" t="e">
        <f>VLOOKUP(R1596,[1]!NOMINA[#Data],5,FALSE)</f>
        <v>#REF!</v>
      </c>
    </row>
    <row r="1597" spans="1:20" x14ac:dyDescent="0.25">
      <c r="A1597" s="43">
        <v>45729</v>
      </c>
      <c r="B1597" s="1">
        <v>219720725</v>
      </c>
      <c r="C1597" t="s">
        <v>1505</v>
      </c>
      <c r="D1597" s="23">
        <v>-61.65</v>
      </c>
      <c r="E1597" t="s">
        <v>35</v>
      </c>
      <c r="F1597" s="2">
        <v>212901001</v>
      </c>
      <c r="G1597" s="2" t="s">
        <v>91</v>
      </c>
      <c r="I1597" s="95" t="s">
        <v>7231</v>
      </c>
      <c r="J1597" t="s">
        <v>61</v>
      </c>
      <c r="K1597" t="s">
        <v>62</v>
      </c>
      <c r="M1597">
        <v>66.25</v>
      </c>
      <c r="N1597" s="4">
        <f t="shared" si="24"/>
        <v>-0.93056603773584901</v>
      </c>
      <c r="O1597" t="s">
        <v>83</v>
      </c>
      <c r="R1597">
        <v>25</v>
      </c>
      <c r="S1597" t="e">
        <f>VLOOKUP(R1597,[1]!NOMINA[#Data],4,FALSE)</f>
        <v>#REF!</v>
      </c>
      <c r="T1597" t="e">
        <f>VLOOKUP(R1597,[1]!NOMINA[#Data],5,FALSE)</f>
        <v>#REF!</v>
      </c>
    </row>
    <row r="1598" spans="1:20" x14ac:dyDescent="0.25">
      <c r="A1598" s="43">
        <v>45729</v>
      </c>
      <c r="B1598" s="1">
        <v>219720723</v>
      </c>
      <c r="C1598" t="s">
        <v>1501</v>
      </c>
      <c r="D1598" s="23">
        <v>-61.65</v>
      </c>
      <c r="E1598" t="s">
        <v>35</v>
      </c>
      <c r="F1598" s="2">
        <v>212901001</v>
      </c>
      <c r="G1598" s="2" t="s">
        <v>91</v>
      </c>
      <c r="I1598" s="95" t="s">
        <v>7231</v>
      </c>
      <c r="J1598" t="s">
        <v>61</v>
      </c>
      <c r="K1598" t="s">
        <v>62</v>
      </c>
      <c r="M1598">
        <v>66.25</v>
      </c>
      <c r="N1598" s="4">
        <f t="shared" si="24"/>
        <v>-0.93056603773584901</v>
      </c>
      <c r="O1598" t="s">
        <v>83</v>
      </c>
      <c r="R1598">
        <v>14</v>
      </c>
      <c r="S1598" t="e">
        <f>VLOOKUP(R1598,[1]!NOMINA[#Data],4,FALSE)</f>
        <v>#REF!</v>
      </c>
      <c r="T1598" t="e">
        <f>VLOOKUP(R1598,[1]!NOMINA[#Data],5,FALSE)</f>
        <v>#REF!</v>
      </c>
    </row>
    <row r="1599" spans="1:20" x14ac:dyDescent="0.25">
      <c r="A1599" s="43">
        <v>45729</v>
      </c>
      <c r="B1599" s="1">
        <v>219720727</v>
      </c>
      <c r="C1599" t="s">
        <v>1506</v>
      </c>
      <c r="D1599" s="23">
        <v>-61.65</v>
      </c>
      <c r="E1599" t="s">
        <v>35</v>
      </c>
      <c r="F1599" s="2">
        <v>212901001</v>
      </c>
      <c r="G1599" s="2" t="s">
        <v>91</v>
      </c>
      <c r="I1599" s="95" t="s">
        <v>7231</v>
      </c>
      <c r="J1599" t="s">
        <v>61</v>
      </c>
      <c r="K1599" t="s">
        <v>62</v>
      </c>
      <c r="M1599">
        <v>66.25</v>
      </c>
      <c r="N1599" s="4">
        <f t="shared" si="24"/>
        <v>-0.93056603773584901</v>
      </c>
      <c r="O1599" t="s">
        <v>83</v>
      </c>
      <c r="R1599">
        <v>2</v>
      </c>
      <c r="S1599" t="e">
        <f>VLOOKUP(Tabla3[[#This Row],[Nº]],[1]!NOMINA[#Data],4,FALSE)</f>
        <v>#REF!</v>
      </c>
      <c r="T1599" t="e">
        <f>VLOOKUP(Tabla3[[#This Row],[Nº]],[1]!NOMINA[#Data],5,FALSE)</f>
        <v>#REF!</v>
      </c>
    </row>
    <row r="1600" spans="1:20" x14ac:dyDescent="0.25">
      <c r="A1600" s="43">
        <v>45729</v>
      </c>
      <c r="B1600" s="1">
        <v>219720728</v>
      </c>
      <c r="C1600" t="s">
        <v>1507</v>
      </c>
      <c r="D1600" s="23">
        <v>-61.65</v>
      </c>
      <c r="E1600" t="s">
        <v>35</v>
      </c>
      <c r="F1600" s="2">
        <v>212901001</v>
      </c>
      <c r="G1600" s="2" t="s">
        <v>91</v>
      </c>
      <c r="I1600" s="95" t="s">
        <v>7231</v>
      </c>
      <c r="J1600" t="s">
        <v>61</v>
      </c>
      <c r="K1600" t="s">
        <v>62</v>
      </c>
      <c r="M1600">
        <v>66.25</v>
      </c>
      <c r="N1600" s="4">
        <f t="shared" si="24"/>
        <v>-0.93056603773584901</v>
      </c>
      <c r="O1600" t="s">
        <v>83</v>
      </c>
      <c r="R1600">
        <v>28</v>
      </c>
      <c r="S1600" t="e">
        <f>VLOOKUP(R1600,[1]!NOMINA[#Data],4,FALSE)</f>
        <v>#REF!</v>
      </c>
      <c r="T1600" t="e">
        <f>VLOOKUP(R1600,[1]!NOMINA[#Data],5,FALSE)</f>
        <v>#REF!</v>
      </c>
    </row>
    <row r="1601" spans="1:20" x14ac:dyDescent="0.25">
      <c r="A1601" s="43">
        <v>45729</v>
      </c>
      <c r="B1601" s="1">
        <v>219720726</v>
      </c>
      <c r="C1601" t="s">
        <v>1508</v>
      </c>
      <c r="D1601" s="23">
        <v>-61.65</v>
      </c>
      <c r="E1601" t="s">
        <v>35</v>
      </c>
      <c r="F1601" s="2">
        <v>212901001</v>
      </c>
      <c r="G1601" s="2" t="s">
        <v>91</v>
      </c>
      <c r="I1601" s="95" t="s">
        <v>7231</v>
      </c>
      <c r="J1601" t="s">
        <v>61</v>
      </c>
      <c r="K1601" t="s">
        <v>62</v>
      </c>
      <c r="M1601">
        <v>66.25</v>
      </c>
      <c r="N1601" s="4">
        <f t="shared" si="24"/>
        <v>-0.93056603773584901</v>
      </c>
      <c r="O1601" t="s">
        <v>83</v>
      </c>
      <c r="R1601">
        <v>6</v>
      </c>
      <c r="S1601" t="e">
        <f>VLOOKUP(R1601,[1]!NOMINA[#Data],4,FALSE)</f>
        <v>#REF!</v>
      </c>
      <c r="T1601" t="e">
        <f>VLOOKUP(R1601,[1]!NOMINA[#Data],5,FALSE)</f>
        <v>#REF!</v>
      </c>
    </row>
    <row r="1602" spans="1:20" x14ac:dyDescent="0.25">
      <c r="A1602" s="43">
        <v>45729</v>
      </c>
      <c r="B1602" s="1">
        <v>219720733</v>
      </c>
      <c r="C1602" t="s">
        <v>1509</v>
      </c>
      <c r="D1602" s="23">
        <v>-61.65</v>
      </c>
      <c r="E1602" t="s">
        <v>35</v>
      </c>
      <c r="F1602" s="2">
        <v>212901001</v>
      </c>
      <c r="G1602" s="2" t="s">
        <v>91</v>
      </c>
      <c r="I1602" s="95" t="s">
        <v>7231</v>
      </c>
      <c r="J1602" t="s">
        <v>61</v>
      </c>
      <c r="K1602" t="s">
        <v>62</v>
      </c>
      <c r="M1602">
        <v>66.25</v>
      </c>
      <c r="N1602" s="4">
        <f t="shared" si="24"/>
        <v>-0.93056603773584901</v>
      </c>
      <c r="O1602" t="s">
        <v>83</v>
      </c>
      <c r="R1602">
        <v>24</v>
      </c>
      <c r="S1602" t="e">
        <f>VLOOKUP(R1602,[1]!NOMINA[#Data],4,FALSE)</f>
        <v>#REF!</v>
      </c>
      <c r="T1602" t="e">
        <f>VLOOKUP(R1602,[1]!NOMINA[#Data],5,FALSE)</f>
        <v>#REF!</v>
      </c>
    </row>
    <row r="1603" spans="1:20" x14ac:dyDescent="0.25">
      <c r="A1603" s="43">
        <v>45729</v>
      </c>
      <c r="B1603" s="1">
        <v>219720731</v>
      </c>
      <c r="C1603" t="s">
        <v>1510</v>
      </c>
      <c r="D1603" s="23">
        <v>-61.65</v>
      </c>
      <c r="E1603" t="s">
        <v>35</v>
      </c>
      <c r="F1603" s="2">
        <v>212901001</v>
      </c>
      <c r="G1603" s="2" t="s">
        <v>91</v>
      </c>
      <c r="I1603" s="95" t="s">
        <v>7231</v>
      </c>
      <c r="J1603" t="s">
        <v>61</v>
      </c>
      <c r="K1603" t="s">
        <v>62</v>
      </c>
      <c r="M1603">
        <v>66.25</v>
      </c>
      <c r="N1603" s="4">
        <f t="shared" si="24"/>
        <v>-0.93056603773584901</v>
      </c>
      <c r="O1603" t="s">
        <v>83</v>
      </c>
      <c r="R1603">
        <v>3</v>
      </c>
      <c r="S1603" t="e">
        <f>VLOOKUP(R1603,[1]!NOMINA[#Data],4,FALSE)</f>
        <v>#REF!</v>
      </c>
      <c r="T1603" t="e">
        <f>VLOOKUP(R1603,[1]!NOMINA[#Data],5,FALSE)</f>
        <v>#REF!</v>
      </c>
    </row>
    <row r="1604" spans="1:20" x14ac:dyDescent="0.25">
      <c r="A1604" s="43">
        <v>45729</v>
      </c>
      <c r="B1604" s="1">
        <v>219720730</v>
      </c>
      <c r="C1604" t="s">
        <v>1511</v>
      </c>
      <c r="D1604" s="23">
        <v>-61.65</v>
      </c>
      <c r="E1604" t="s">
        <v>35</v>
      </c>
      <c r="F1604" s="2">
        <v>212901001</v>
      </c>
      <c r="G1604" s="2" t="s">
        <v>91</v>
      </c>
      <c r="I1604" s="95" t="s">
        <v>7231</v>
      </c>
      <c r="J1604" t="s">
        <v>61</v>
      </c>
      <c r="K1604" t="s">
        <v>62</v>
      </c>
      <c r="M1604">
        <v>66.25</v>
      </c>
      <c r="N1604" s="4">
        <f t="shared" si="24"/>
        <v>-0.93056603773584901</v>
      </c>
      <c r="O1604" t="s">
        <v>83</v>
      </c>
      <c r="R1604">
        <v>27</v>
      </c>
      <c r="S1604" t="e">
        <f>VLOOKUP(R1604,[1]!NOMINA[#Data],4,FALSE)</f>
        <v>#REF!</v>
      </c>
      <c r="T1604" t="e">
        <f>VLOOKUP(R1604,[1]!NOMINA[#Data],5,FALSE)</f>
        <v>#REF!</v>
      </c>
    </row>
    <row r="1605" spans="1:20" x14ac:dyDescent="0.25">
      <c r="A1605" s="43">
        <v>45729</v>
      </c>
      <c r="B1605" s="1">
        <v>319720735</v>
      </c>
      <c r="C1605" t="s">
        <v>1512</v>
      </c>
      <c r="D1605" s="23">
        <v>-61.65</v>
      </c>
      <c r="E1605" t="s">
        <v>35</v>
      </c>
      <c r="F1605" s="2">
        <v>212901001</v>
      </c>
      <c r="G1605" s="2" t="s">
        <v>91</v>
      </c>
      <c r="I1605" s="95" t="s">
        <v>7231</v>
      </c>
      <c r="J1605" t="s">
        <v>61</v>
      </c>
      <c r="K1605" t="s">
        <v>62</v>
      </c>
      <c r="M1605">
        <v>66.25</v>
      </c>
      <c r="N1605" s="4">
        <f t="shared" si="24"/>
        <v>-0.93056603773584901</v>
      </c>
      <c r="O1605" t="s">
        <v>83</v>
      </c>
      <c r="R1605">
        <v>19</v>
      </c>
      <c r="S1605" t="e">
        <f>VLOOKUP(R1605,[1]!NOMINA[#Data],4,FALSE)</f>
        <v>#REF!</v>
      </c>
      <c r="T1605" t="e">
        <f>VLOOKUP(R1605,[1]!NOMINA[#Data],5,FALSE)</f>
        <v>#REF!</v>
      </c>
    </row>
    <row r="1606" spans="1:20" x14ac:dyDescent="0.25">
      <c r="A1606" s="43">
        <v>45729</v>
      </c>
      <c r="B1606" s="1">
        <v>219720734</v>
      </c>
      <c r="C1606" t="s">
        <v>1513</v>
      </c>
      <c r="D1606" s="23">
        <v>-61.65</v>
      </c>
      <c r="E1606" t="s">
        <v>35</v>
      </c>
      <c r="F1606" s="2">
        <v>212901001</v>
      </c>
      <c r="G1606" s="2" t="s">
        <v>91</v>
      </c>
      <c r="I1606" s="95" t="s">
        <v>7231</v>
      </c>
      <c r="J1606" t="s">
        <v>61</v>
      </c>
      <c r="K1606" t="s">
        <v>62</v>
      </c>
      <c r="M1606">
        <v>66.25</v>
      </c>
      <c r="N1606" s="4">
        <f t="shared" si="24"/>
        <v>-0.93056603773584901</v>
      </c>
      <c r="O1606" t="s">
        <v>83</v>
      </c>
      <c r="R1606">
        <v>5</v>
      </c>
      <c r="S1606" t="e">
        <f>VLOOKUP(R1606,[1]!NOMINA[#Data],4,FALSE)</f>
        <v>#REF!</v>
      </c>
      <c r="T1606" t="e">
        <f>VLOOKUP(R1606,[1]!NOMINA[#Data],5,FALSE)</f>
        <v>#REF!</v>
      </c>
    </row>
    <row r="1607" spans="1:20" x14ac:dyDescent="0.25">
      <c r="A1607" s="43">
        <v>45729</v>
      </c>
      <c r="B1607" s="1">
        <v>319720737</v>
      </c>
      <c r="C1607" t="s">
        <v>1514</v>
      </c>
      <c r="D1607" s="23">
        <v>-61.65</v>
      </c>
      <c r="E1607" t="s">
        <v>35</v>
      </c>
      <c r="F1607" s="2">
        <v>212901001</v>
      </c>
      <c r="G1607" s="2" t="s">
        <v>91</v>
      </c>
      <c r="I1607" s="95" t="s">
        <v>7231</v>
      </c>
      <c r="J1607" t="s">
        <v>61</v>
      </c>
      <c r="K1607" t="s">
        <v>62</v>
      </c>
      <c r="M1607">
        <v>66.25</v>
      </c>
      <c r="N1607" s="4">
        <f t="shared" si="24"/>
        <v>-0.93056603773584901</v>
      </c>
      <c r="O1607" t="s">
        <v>83</v>
      </c>
      <c r="R1607">
        <v>16</v>
      </c>
      <c r="S1607" t="e">
        <f>VLOOKUP(Tabla3[[#This Row],[Nº]],[1]!NOMINA[#Data],4,FALSE)</f>
        <v>#REF!</v>
      </c>
      <c r="T1607" t="e">
        <f>VLOOKUP(Tabla3[[#This Row],[Nº]],[1]!NOMINA[#Data],5,FALSE)</f>
        <v>#REF!</v>
      </c>
    </row>
    <row r="1608" spans="1:20" x14ac:dyDescent="0.25">
      <c r="A1608" s="43">
        <v>45729</v>
      </c>
      <c r="B1608" s="1">
        <v>319720736</v>
      </c>
      <c r="C1608" t="s">
        <v>1515</v>
      </c>
      <c r="D1608" s="23">
        <v>-61.65</v>
      </c>
      <c r="E1608" t="s">
        <v>35</v>
      </c>
      <c r="F1608" s="2">
        <v>212901001</v>
      </c>
      <c r="G1608" s="2" t="s">
        <v>91</v>
      </c>
      <c r="I1608" s="95" t="s">
        <v>7231</v>
      </c>
      <c r="J1608" t="s">
        <v>61</v>
      </c>
      <c r="K1608" t="s">
        <v>62</v>
      </c>
      <c r="M1608">
        <v>66.25</v>
      </c>
      <c r="N1608" s="4">
        <f t="shared" si="24"/>
        <v>-0.93056603773584901</v>
      </c>
      <c r="O1608" t="s">
        <v>83</v>
      </c>
      <c r="R1608">
        <v>37</v>
      </c>
      <c r="S1608" t="e">
        <f>VLOOKUP(Tabla3[[#This Row],[Nº]],[1]!NOMINA[#Data],4,FALSE)</f>
        <v>#REF!</v>
      </c>
      <c r="T1608" t="e">
        <f>VLOOKUP(Tabla3[[#This Row],[Nº]],[1]!NOMINA[#Data],5,FALSE)</f>
        <v>#REF!</v>
      </c>
    </row>
    <row r="1609" spans="1:20" x14ac:dyDescent="0.25">
      <c r="A1609" s="43">
        <v>45729</v>
      </c>
      <c r="B1609" s="1">
        <v>319720738</v>
      </c>
      <c r="C1609" t="s">
        <v>1516</v>
      </c>
      <c r="D1609" s="23">
        <v>-61.65</v>
      </c>
      <c r="E1609" t="s">
        <v>35</v>
      </c>
      <c r="F1609" s="2">
        <v>212901001</v>
      </c>
      <c r="G1609" s="2" t="s">
        <v>91</v>
      </c>
      <c r="I1609" s="95" t="s">
        <v>7231</v>
      </c>
      <c r="J1609" t="s">
        <v>61</v>
      </c>
      <c r="K1609" t="s">
        <v>62</v>
      </c>
      <c r="M1609">
        <v>66.25</v>
      </c>
      <c r="N1609" s="4">
        <f t="shared" si="24"/>
        <v>-0.93056603773584901</v>
      </c>
      <c r="O1609" t="s">
        <v>83</v>
      </c>
      <c r="R1609">
        <v>7</v>
      </c>
      <c r="S1609" t="e">
        <f>VLOOKUP(R1609,[1]!NOMINA[#Data],4,FALSE)</f>
        <v>#REF!</v>
      </c>
      <c r="T1609" t="e">
        <f>VLOOKUP(R1609,[1]!NOMINA[#Data],5,FALSE)</f>
        <v>#REF!</v>
      </c>
    </row>
    <row r="1610" spans="1:20" x14ac:dyDescent="0.25">
      <c r="A1610" s="43">
        <v>45729</v>
      </c>
      <c r="B1610" s="1">
        <v>319720739</v>
      </c>
      <c r="C1610" t="s">
        <v>1517</v>
      </c>
      <c r="D1610" s="23">
        <v>-61.65</v>
      </c>
      <c r="E1610" t="s">
        <v>35</v>
      </c>
      <c r="F1610" s="2">
        <v>212901001</v>
      </c>
      <c r="G1610" s="2" t="s">
        <v>91</v>
      </c>
      <c r="I1610" s="95" t="s">
        <v>7231</v>
      </c>
      <c r="J1610" t="s">
        <v>61</v>
      </c>
      <c r="K1610" t="s">
        <v>62</v>
      </c>
      <c r="M1610">
        <v>66.25</v>
      </c>
      <c r="N1610" s="4">
        <f t="shared" si="24"/>
        <v>-0.93056603773584901</v>
      </c>
      <c r="O1610" t="s">
        <v>83</v>
      </c>
      <c r="R1610">
        <v>1</v>
      </c>
      <c r="S1610" t="e">
        <f>VLOOKUP(R1610,[1]!NOMINA[#Data],4,FALSE)</f>
        <v>#REF!</v>
      </c>
      <c r="T1610" t="e">
        <f>VLOOKUP(R1610,[1]!NOMINA[#Data],5,FALSE)</f>
        <v>#REF!</v>
      </c>
    </row>
    <row r="1611" spans="1:20" x14ac:dyDescent="0.25">
      <c r="A1611" s="43">
        <v>45729</v>
      </c>
      <c r="B1611" s="1">
        <v>50367051</v>
      </c>
      <c r="C1611" t="s">
        <v>1518</v>
      </c>
      <c r="D1611" s="23">
        <v>-8200.43</v>
      </c>
      <c r="E1611" t="s">
        <v>35</v>
      </c>
      <c r="F1611" s="2">
        <v>212901001</v>
      </c>
      <c r="G1611" s="2" t="s">
        <v>91</v>
      </c>
      <c r="I1611" s="95" t="s">
        <v>7231</v>
      </c>
      <c r="J1611" t="s">
        <v>61</v>
      </c>
      <c r="K1611" t="s">
        <v>62</v>
      </c>
      <c r="M1611">
        <v>66.25</v>
      </c>
      <c r="N1611" s="4">
        <f t="shared" si="24"/>
        <v>-123.78007547169811</v>
      </c>
      <c r="O1611" t="s">
        <v>83</v>
      </c>
      <c r="R1611">
        <v>40</v>
      </c>
      <c r="S1611" t="e">
        <f>VLOOKUP(R1611,[1]!NOMINA[#Data],4,FALSE)</f>
        <v>#REF!</v>
      </c>
      <c r="T1611" t="e">
        <f>VLOOKUP(R1611,[1]!NOMINA[#Data],5,FALSE)</f>
        <v>#REF!</v>
      </c>
    </row>
    <row r="1612" spans="1:20" x14ac:dyDescent="0.25">
      <c r="A1612" s="43">
        <v>45729</v>
      </c>
      <c r="B1612" s="1">
        <v>50367051</v>
      </c>
      <c r="C1612" t="s">
        <v>179</v>
      </c>
      <c r="D1612" s="23">
        <v>-12.3</v>
      </c>
      <c r="E1612" t="s">
        <v>35</v>
      </c>
      <c r="F1612" s="2">
        <v>610148001</v>
      </c>
      <c r="G1612" s="2" t="s">
        <v>41</v>
      </c>
      <c r="I1612" s="95" t="s">
        <v>7231</v>
      </c>
      <c r="J1612" t="s">
        <v>42</v>
      </c>
      <c r="K1612" t="s">
        <v>41</v>
      </c>
      <c r="M1612">
        <v>66.25</v>
      </c>
      <c r="N1612" s="4">
        <f t="shared" ref="N1612:N1675" si="25">D1612/M1612</f>
        <v>-0.18566037735849059</v>
      </c>
      <c r="O1612" t="s">
        <v>83</v>
      </c>
      <c r="Q1612" s="24" t="s">
        <v>1310</v>
      </c>
    </row>
    <row r="1613" spans="1:20" x14ac:dyDescent="0.25">
      <c r="A1613" s="43">
        <v>45729</v>
      </c>
      <c r="B1613" s="1">
        <v>50367051</v>
      </c>
      <c r="C1613" t="s">
        <v>89</v>
      </c>
      <c r="D1613" s="23">
        <v>-612.22</v>
      </c>
      <c r="E1613" t="s">
        <v>35</v>
      </c>
      <c r="F1613" s="2">
        <v>610148001</v>
      </c>
      <c r="G1613" s="2" t="s">
        <v>41</v>
      </c>
      <c r="I1613" s="95" t="s">
        <v>7231</v>
      </c>
      <c r="J1613" t="s">
        <v>42</v>
      </c>
      <c r="K1613" t="s">
        <v>41</v>
      </c>
      <c r="M1613">
        <v>66.25</v>
      </c>
      <c r="N1613" s="4">
        <f t="shared" si="25"/>
        <v>-9.2410566037735862</v>
      </c>
      <c r="O1613" t="s">
        <v>83</v>
      </c>
      <c r="Q1613" s="24" t="s">
        <v>1310</v>
      </c>
    </row>
    <row r="1614" spans="1:20" x14ac:dyDescent="0.25">
      <c r="A1614" s="43">
        <v>45729</v>
      </c>
      <c r="B1614" s="1">
        <v>155113484</v>
      </c>
      <c r="C1614" t="s">
        <v>82</v>
      </c>
      <c r="D1614" s="23">
        <v>20000</v>
      </c>
      <c r="E1614" t="s">
        <v>45</v>
      </c>
      <c r="F1614" s="2">
        <v>210115002</v>
      </c>
      <c r="G1614" s="2" t="s">
        <v>46</v>
      </c>
      <c r="I1614" s="95" t="s">
        <v>7231</v>
      </c>
      <c r="K1614" t="s">
        <v>82</v>
      </c>
      <c r="M1614">
        <v>66.25</v>
      </c>
      <c r="N1614" s="4">
        <f t="shared" si="25"/>
        <v>301.88679245283021</v>
      </c>
      <c r="O1614" t="s">
        <v>83</v>
      </c>
    </row>
    <row r="1615" spans="1:20" x14ac:dyDescent="0.25">
      <c r="A1615" s="43">
        <v>45729</v>
      </c>
      <c r="B1615" s="1">
        <v>819721420</v>
      </c>
      <c r="C1615" t="s">
        <v>1519</v>
      </c>
      <c r="D1615" s="23">
        <v>-6032</v>
      </c>
      <c r="E1615" t="s">
        <v>35</v>
      </c>
      <c r="F1615" s="2">
        <v>210101001</v>
      </c>
      <c r="G1615" s="2" t="s">
        <v>36</v>
      </c>
      <c r="I1615" s="95" t="s">
        <v>7231</v>
      </c>
      <c r="J1615" s="50" t="s">
        <v>631</v>
      </c>
      <c r="K1615" t="s">
        <v>632</v>
      </c>
      <c r="M1615">
        <v>66.25</v>
      </c>
      <c r="N1615" s="4">
        <f t="shared" si="25"/>
        <v>-91.049056603773579</v>
      </c>
      <c r="O1615" t="s">
        <v>83</v>
      </c>
    </row>
    <row r="1616" spans="1:20" x14ac:dyDescent="0.25">
      <c r="A1616" s="43">
        <v>45729</v>
      </c>
      <c r="B1616" s="1">
        <v>819721420</v>
      </c>
      <c r="C1616" t="s">
        <v>185</v>
      </c>
      <c r="D1616" s="23">
        <v>-18.100000000000001</v>
      </c>
      <c r="E1616" t="s">
        <v>35</v>
      </c>
      <c r="F1616" s="2">
        <v>610148001</v>
      </c>
      <c r="G1616" s="2" t="s">
        <v>41</v>
      </c>
      <c r="I1616" s="95" t="s">
        <v>7231</v>
      </c>
      <c r="J1616" t="s">
        <v>42</v>
      </c>
      <c r="K1616" t="s">
        <v>41</v>
      </c>
      <c r="M1616">
        <v>66.25</v>
      </c>
      <c r="N1616" s="4">
        <f t="shared" si="25"/>
        <v>-0.27320754716981133</v>
      </c>
      <c r="O1616" t="s">
        <v>83</v>
      </c>
      <c r="Q1616" s="24" t="s">
        <v>1310</v>
      </c>
    </row>
    <row r="1617" spans="1:17" x14ac:dyDescent="0.25">
      <c r="A1617" s="43">
        <v>45729</v>
      </c>
      <c r="B1617" s="1">
        <v>419721465</v>
      </c>
      <c r="C1617" t="s">
        <v>1520</v>
      </c>
      <c r="D1617" s="23">
        <v>-11528.24</v>
      </c>
      <c r="E1617" t="s">
        <v>35</v>
      </c>
      <c r="F1617" s="2">
        <v>210101001</v>
      </c>
      <c r="G1617" s="2" t="s">
        <v>36</v>
      </c>
      <c r="I1617" s="95" t="s">
        <v>7231</v>
      </c>
      <c r="J1617" t="s">
        <v>1007</v>
      </c>
      <c r="K1617" t="s">
        <v>1008</v>
      </c>
      <c r="M1617">
        <v>66.25</v>
      </c>
      <c r="N1617" s="4">
        <f t="shared" si="25"/>
        <v>-174.01116981132074</v>
      </c>
      <c r="O1617" t="s">
        <v>83</v>
      </c>
    </row>
    <row r="1618" spans="1:17" x14ac:dyDescent="0.25">
      <c r="A1618" s="43">
        <v>45729</v>
      </c>
      <c r="B1618" s="1">
        <v>419721465</v>
      </c>
      <c r="C1618" t="s">
        <v>185</v>
      </c>
      <c r="D1618" s="23">
        <v>-34.58</v>
      </c>
      <c r="E1618" t="s">
        <v>35</v>
      </c>
      <c r="F1618" s="2">
        <v>610148001</v>
      </c>
      <c r="G1618" s="2" t="s">
        <v>41</v>
      </c>
      <c r="I1618" s="95" t="s">
        <v>7231</v>
      </c>
      <c r="J1618" t="s">
        <v>42</v>
      </c>
      <c r="K1618" t="s">
        <v>41</v>
      </c>
      <c r="M1618">
        <v>66.25</v>
      </c>
      <c r="N1618" s="4">
        <f t="shared" si="25"/>
        <v>-0.52196226415094338</v>
      </c>
      <c r="O1618" t="s">
        <v>83</v>
      </c>
      <c r="Q1618" s="24" t="s">
        <v>1310</v>
      </c>
    </row>
    <row r="1619" spans="1:17" x14ac:dyDescent="0.25">
      <c r="A1619" s="43">
        <v>45730</v>
      </c>
      <c r="B1619" s="1">
        <v>819740206</v>
      </c>
      <c r="C1619" t="s">
        <v>1521</v>
      </c>
      <c r="D1619" s="23">
        <v>-1884.3</v>
      </c>
      <c r="E1619" t="s">
        <v>35</v>
      </c>
      <c r="F1619" s="2">
        <v>210101001</v>
      </c>
      <c r="G1619" s="2" t="s">
        <v>36</v>
      </c>
      <c r="I1619" s="95" t="s">
        <v>7231</v>
      </c>
      <c r="J1619" t="s">
        <v>502</v>
      </c>
      <c r="K1619" t="s">
        <v>503</v>
      </c>
      <c r="M1619">
        <v>66.44</v>
      </c>
      <c r="N1619" s="4">
        <f t="shared" si="25"/>
        <v>-28.360927152317881</v>
      </c>
      <c r="O1619" t="s">
        <v>83</v>
      </c>
    </row>
    <row r="1620" spans="1:17" x14ac:dyDescent="0.25">
      <c r="A1620" s="43">
        <v>45730</v>
      </c>
      <c r="B1620" s="1">
        <v>819740206</v>
      </c>
      <c r="C1620" t="s">
        <v>185</v>
      </c>
      <c r="D1620" s="23">
        <v>-5.65</v>
      </c>
      <c r="E1620" t="s">
        <v>35</v>
      </c>
      <c r="F1620" s="2">
        <v>610148001</v>
      </c>
      <c r="G1620" s="2" t="s">
        <v>41</v>
      </c>
      <c r="I1620" s="95" t="s">
        <v>7231</v>
      </c>
      <c r="J1620" t="s">
        <v>42</v>
      </c>
      <c r="K1620" t="s">
        <v>41</v>
      </c>
      <c r="M1620">
        <v>66.44</v>
      </c>
      <c r="N1620" s="4">
        <f t="shared" si="25"/>
        <v>-8.5039133052378091E-2</v>
      </c>
      <c r="O1620" t="s">
        <v>83</v>
      </c>
      <c r="Q1620" s="24" t="s">
        <v>1310</v>
      </c>
    </row>
    <row r="1621" spans="1:17" x14ac:dyDescent="0.25">
      <c r="A1621" s="43">
        <v>45733</v>
      </c>
      <c r="B1621" s="1">
        <v>167662676</v>
      </c>
      <c r="C1621" t="s">
        <v>293</v>
      </c>
      <c r="D1621" s="23">
        <v>150000</v>
      </c>
      <c r="E1621" t="s">
        <v>45</v>
      </c>
      <c r="F1621" s="2">
        <v>210115002</v>
      </c>
      <c r="G1621" s="2" t="s">
        <v>46</v>
      </c>
      <c r="I1621" s="95" t="s">
        <v>7231</v>
      </c>
      <c r="K1621" t="s">
        <v>293</v>
      </c>
      <c r="M1621">
        <v>66.56</v>
      </c>
      <c r="N1621" s="4">
        <f t="shared" si="25"/>
        <v>2253.6057692307691</v>
      </c>
      <c r="O1621" t="s">
        <v>83</v>
      </c>
    </row>
    <row r="1622" spans="1:17" x14ac:dyDescent="0.25">
      <c r="A1622" s="43">
        <v>45733</v>
      </c>
      <c r="B1622" s="1">
        <v>267662657</v>
      </c>
      <c r="C1622" t="s">
        <v>293</v>
      </c>
      <c r="D1622" s="23">
        <v>200000</v>
      </c>
      <c r="E1622" t="s">
        <v>45</v>
      </c>
      <c r="F1622" s="2">
        <v>210115002</v>
      </c>
      <c r="G1622" s="2" t="s">
        <v>46</v>
      </c>
      <c r="I1622" s="95" t="s">
        <v>7231</v>
      </c>
      <c r="K1622" t="s">
        <v>293</v>
      </c>
      <c r="M1622">
        <v>66.56</v>
      </c>
      <c r="N1622" s="4">
        <f t="shared" si="25"/>
        <v>3004.8076923076924</v>
      </c>
      <c r="O1622" t="s">
        <v>83</v>
      </c>
    </row>
    <row r="1623" spans="1:17" x14ac:dyDescent="0.25">
      <c r="A1623" s="43">
        <v>45733</v>
      </c>
      <c r="B1623" s="1">
        <v>619974166</v>
      </c>
      <c r="C1623" t="s">
        <v>1522</v>
      </c>
      <c r="D1623" s="23">
        <v>-7587.84</v>
      </c>
      <c r="E1623" t="s">
        <v>35</v>
      </c>
      <c r="F1623" s="2">
        <v>210101001</v>
      </c>
      <c r="G1623" s="2" t="s">
        <v>36</v>
      </c>
      <c r="I1623" s="95" t="s">
        <v>7231</v>
      </c>
      <c r="J1623" t="s">
        <v>1007</v>
      </c>
      <c r="K1623" t="s">
        <v>1008</v>
      </c>
      <c r="M1623">
        <v>66.56</v>
      </c>
      <c r="N1623" s="4">
        <f t="shared" si="25"/>
        <v>-114</v>
      </c>
      <c r="O1623" t="s">
        <v>83</v>
      </c>
    </row>
    <row r="1624" spans="1:17" x14ac:dyDescent="0.25">
      <c r="A1624" s="43">
        <v>45733</v>
      </c>
      <c r="B1624" s="1">
        <v>619974165</v>
      </c>
      <c r="C1624" t="s">
        <v>1523</v>
      </c>
      <c r="D1624" s="23">
        <v>-200000</v>
      </c>
      <c r="E1624" t="s">
        <v>35</v>
      </c>
      <c r="F1624" s="2">
        <v>110114001</v>
      </c>
      <c r="G1624" s="2" t="s">
        <v>181</v>
      </c>
      <c r="I1624" s="95" t="s">
        <v>7231</v>
      </c>
      <c r="J1624" t="s">
        <v>37</v>
      </c>
      <c r="K1624" t="s">
        <v>38</v>
      </c>
      <c r="M1624">
        <v>66.56</v>
      </c>
      <c r="N1624" s="4">
        <f t="shared" si="25"/>
        <v>-3004.8076923076924</v>
      </c>
      <c r="O1624" t="s">
        <v>83</v>
      </c>
      <c r="P1624" s="34" t="s">
        <v>1339</v>
      </c>
    </row>
    <row r="1625" spans="1:17" x14ac:dyDescent="0.25">
      <c r="A1625" s="43">
        <v>45733</v>
      </c>
      <c r="B1625" s="1">
        <v>619974164</v>
      </c>
      <c r="C1625" t="s">
        <v>1523</v>
      </c>
      <c r="D1625" s="23">
        <v>-99520</v>
      </c>
      <c r="E1625" t="s">
        <v>35</v>
      </c>
      <c r="F1625" s="2">
        <v>110114001</v>
      </c>
      <c r="G1625" s="2" t="s">
        <v>181</v>
      </c>
      <c r="I1625" s="95" t="s">
        <v>7231</v>
      </c>
      <c r="J1625" t="s">
        <v>37</v>
      </c>
      <c r="K1625" t="s">
        <v>38</v>
      </c>
      <c r="M1625">
        <v>66.56</v>
      </c>
      <c r="N1625" s="4">
        <f t="shared" si="25"/>
        <v>-1495.1923076923076</v>
      </c>
      <c r="O1625" t="s">
        <v>83</v>
      </c>
      <c r="P1625" s="34" t="s">
        <v>1339</v>
      </c>
    </row>
    <row r="1626" spans="1:17" x14ac:dyDescent="0.25">
      <c r="A1626" s="43">
        <v>45733</v>
      </c>
      <c r="B1626" s="1">
        <v>619974169</v>
      </c>
      <c r="C1626" t="s">
        <v>1524</v>
      </c>
      <c r="D1626" s="23">
        <v>-2812.63</v>
      </c>
      <c r="E1626" t="s">
        <v>35</v>
      </c>
      <c r="F1626" s="2">
        <v>210101001</v>
      </c>
      <c r="G1626" s="2" t="s">
        <v>36</v>
      </c>
      <c r="I1626" s="95" t="s">
        <v>7231</v>
      </c>
      <c r="J1626" t="s">
        <v>1007</v>
      </c>
      <c r="K1626" t="s">
        <v>1008</v>
      </c>
      <c r="M1626">
        <v>66.56</v>
      </c>
      <c r="N1626" s="4">
        <f t="shared" si="25"/>
        <v>-42.25706129807692</v>
      </c>
      <c r="O1626" t="s">
        <v>83</v>
      </c>
    </row>
    <row r="1627" spans="1:17" x14ac:dyDescent="0.25">
      <c r="A1627" s="43">
        <v>45733</v>
      </c>
      <c r="B1627" s="1">
        <v>619974168</v>
      </c>
      <c r="C1627" t="s">
        <v>1525</v>
      </c>
      <c r="D1627" s="23">
        <v>-2265.75</v>
      </c>
      <c r="E1627" t="s">
        <v>35</v>
      </c>
      <c r="F1627" s="2">
        <v>110114001</v>
      </c>
      <c r="G1627" s="2" t="s">
        <v>181</v>
      </c>
      <c r="I1627" s="95" t="s">
        <v>7231</v>
      </c>
      <c r="J1627" t="s">
        <v>283</v>
      </c>
      <c r="K1627" t="s">
        <v>929</v>
      </c>
      <c r="M1627">
        <v>66.56</v>
      </c>
      <c r="N1627" s="4">
        <f t="shared" si="25"/>
        <v>-34.040715144230766</v>
      </c>
      <c r="O1627" t="s">
        <v>83</v>
      </c>
      <c r="P1627" s="34" t="s">
        <v>1339</v>
      </c>
    </row>
    <row r="1628" spans="1:17" x14ac:dyDescent="0.25">
      <c r="A1628" s="43">
        <v>45733</v>
      </c>
      <c r="B1628" s="1">
        <v>50371824</v>
      </c>
      <c r="C1628" t="s">
        <v>89</v>
      </c>
      <c r="D1628" s="23">
        <v>-780.46</v>
      </c>
      <c r="E1628" t="s">
        <v>35</v>
      </c>
      <c r="F1628" s="2">
        <v>610148001</v>
      </c>
      <c r="G1628" s="2" t="s">
        <v>41</v>
      </c>
      <c r="I1628" s="95" t="s">
        <v>7231</v>
      </c>
      <c r="J1628" t="s">
        <v>42</v>
      </c>
      <c r="K1628" t="s">
        <v>41</v>
      </c>
      <c r="M1628">
        <v>66.56</v>
      </c>
      <c r="N1628" s="4">
        <f t="shared" si="25"/>
        <v>-11.725661057692308</v>
      </c>
      <c r="O1628" t="s">
        <v>83</v>
      </c>
      <c r="Q1628" s="24" t="s">
        <v>1310</v>
      </c>
    </row>
    <row r="1629" spans="1:17" x14ac:dyDescent="0.25">
      <c r="A1629" s="43">
        <v>45734</v>
      </c>
      <c r="B1629" s="1">
        <v>10017488</v>
      </c>
      <c r="C1629" t="s">
        <v>1526</v>
      </c>
      <c r="D1629" s="23">
        <v>-862.49</v>
      </c>
      <c r="E1629" t="s">
        <v>35</v>
      </c>
      <c r="F1629" s="2">
        <v>210101001</v>
      </c>
      <c r="G1629" s="2" t="s">
        <v>36</v>
      </c>
      <c r="I1629" s="95" t="s">
        <v>7231</v>
      </c>
      <c r="J1629" t="s">
        <v>182</v>
      </c>
      <c r="K1629" t="s">
        <v>183</v>
      </c>
      <c r="M1629">
        <v>66.790000000000006</v>
      </c>
      <c r="N1629" s="4">
        <f t="shared" si="25"/>
        <v>-12.913460098817188</v>
      </c>
      <c r="O1629" t="s">
        <v>83</v>
      </c>
    </row>
    <row r="1630" spans="1:17" x14ac:dyDescent="0.25">
      <c r="A1630" s="43">
        <v>45734</v>
      </c>
      <c r="B1630" s="1">
        <v>10017488</v>
      </c>
      <c r="C1630" t="s">
        <v>185</v>
      </c>
      <c r="D1630" s="23">
        <v>-2.59</v>
      </c>
      <c r="E1630" t="s">
        <v>35</v>
      </c>
      <c r="F1630" s="2">
        <v>610148001</v>
      </c>
      <c r="G1630" s="2" t="s">
        <v>41</v>
      </c>
      <c r="I1630" s="95" t="s">
        <v>7231</v>
      </c>
      <c r="J1630" t="s">
        <v>42</v>
      </c>
      <c r="K1630" t="s">
        <v>41</v>
      </c>
      <c r="M1630">
        <v>66.790000000000006</v>
      </c>
      <c r="N1630" s="4">
        <f t="shared" si="25"/>
        <v>-3.8778260218595595E-2</v>
      </c>
      <c r="O1630" t="s">
        <v>83</v>
      </c>
      <c r="Q1630" s="24" t="s">
        <v>1310</v>
      </c>
    </row>
    <row r="1631" spans="1:17" x14ac:dyDescent="0.25">
      <c r="A1631" s="43">
        <v>45736</v>
      </c>
      <c r="B1631" s="1">
        <v>69142969</v>
      </c>
      <c r="C1631" t="s">
        <v>293</v>
      </c>
      <c r="D1631" s="23">
        <v>110000</v>
      </c>
      <c r="E1631" t="s">
        <v>45</v>
      </c>
      <c r="F1631" s="2">
        <v>210115002</v>
      </c>
      <c r="G1631" s="2" t="s">
        <v>46</v>
      </c>
      <c r="I1631" s="95" t="s">
        <v>7231</v>
      </c>
      <c r="K1631" t="s">
        <v>293</v>
      </c>
      <c r="M1631">
        <v>67.63</v>
      </c>
      <c r="N1631" s="4">
        <f t="shared" si="25"/>
        <v>1626.4971166642024</v>
      </c>
      <c r="O1631" t="s">
        <v>83</v>
      </c>
    </row>
    <row r="1632" spans="1:17" x14ac:dyDescent="0.25">
      <c r="A1632" s="43">
        <v>45736</v>
      </c>
      <c r="B1632" s="1">
        <v>141600854</v>
      </c>
      <c r="C1632" t="s">
        <v>82</v>
      </c>
      <c r="D1632" s="23">
        <v>100000</v>
      </c>
      <c r="E1632" t="s">
        <v>45</v>
      </c>
      <c r="F1632" s="2">
        <v>210115002</v>
      </c>
      <c r="G1632" s="2" t="s">
        <v>46</v>
      </c>
      <c r="I1632" s="95" t="s">
        <v>7231</v>
      </c>
      <c r="K1632" t="s">
        <v>82</v>
      </c>
      <c r="M1632">
        <v>67.63</v>
      </c>
      <c r="N1632" s="4">
        <f t="shared" si="25"/>
        <v>1478.6337424220021</v>
      </c>
      <c r="O1632" t="s">
        <v>83</v>
      </c>
    </row>
    <row r="1633" spans="1:17" x14ac:dyDescent="0.25">
      <c r="A1633" s="43">
        <v>45736</v>
      </c>
      <c r="B1633" s="1">
        <v>510074060</v>
      </c>
      <c r="C1633" t="s">
        <v>1527</v>
      </c>
      <c r="D1633" s="23">
        <v>-38843.94</v>
      </c>
      <c r="E1633" t="s">
        <v>35</v>
      </c>
      <c r="F1633" s="2">
        <v>110114001</v>
      </c>
      <c r="G1633" s="2" t="s">
        <v>181</v>
      </c>
      <c r="I1633" s="95" t="s">
        <v>7231</v>
      </c>
      <c r="J1633" t="s">
        <v>414</v>
      </c>
      <c r="K1633" t="s">
        <v>415</v>
      </c>
      <c r="M1633">
        <v>67.63</v>
      </c>
      <c r="N1633" s="4">
        <f t="shared" si="25"/>
        <v>-574.35960372615705</v>
      </c>
      <c r="O1633" t="s">
        <v>83</v>
      </c>
      <c r="P1633" s="34" t="s">
        <v>1339</v>
      </c>
    </row>
    <row r="1634" spans="1:17" x14ac:dyDescent="0.25">
      <c r="A1634" s="43">
        <v>45736</v>
      </c>
      <c r="B1634" s="1">
        <v>510074059</v>
      </c>
      <c r="C1634" t="s">
        <v>1528</v>
      </c>
      <c r="D1634" s="23">
        <v>-64739.9</v>
      </c>
      <c r="E1634" t="s">
        <v>35</v>
      </c>
      <c r="F1634" s="2">
        <v>110114001</v>
      </c>
      <c r="G1634" s="2" t="s">
        <v>181</v>
      </c>
      <c r="I1634" s="95" t="s">
        <v>7231</v>
      </c>
      <c r="J1634" t="s">
        <v>928</v>
      </c>
      <c r="K1634" t="s">
        <v>929</v>
      </c>
      <c r="M1634">
        <v>67.63</v>
      </c>
      <c r="N1634" s="4">
        <f t="shared" si="25"/>
        <v>-957.26600621026182</v>
      </c>
      <c r="O1634" t="s">
        <v>83</v>
      </c>
      <c r="P1634" s="34" t="s">
        <v>1529</v>
      </c>
    </row>
    <row r="1635" spans="1:17" x14ac:dyDescent="0.25">
      <c r="A1635" s="43">
        <v>45736</v>
      </c>
      <c r="B1635" s="1">
        <v>50327894</v>
      </c>
      <c r="C1635" t="s">
        <v>89</v>
      </c>
      <c r="D1635" s="23">
        <v>-258.95</v>
      </c>
      <c r="E1635" t="s">
        <v>35</v>
      </c>
      <c r="F1635" s="2">
        <v>610148001</v>
      </c>
      <c r="G1635" s="2" t="s">
        <v>41</v>
      </c>
      <c r="I1635" s="95" t="s">
        <v>7231</v>
      </c>
      <c r="J1635" t="s">
        <v>42</v>
      </c>
      <c r="K1635" t="s">
        <v>41</v>
      </c>
      <c r="M1635">
        <v>67.63</v>
      </c>
      <c r="N1635" s="4">
        <f t="shared" si="25"/>
        <v>-3.8289220760017746</v>
      </c>
      <c r="O1635" t="s">
        <v>83</v>
      </c>
      <c r="Q1635" s="24" t="s">
        <v>1310</v>
      </c>
    </row>
    <row r="1636" spans="1:17" x14ac:dyDescent="0.25">
      <c r="A1636" s="43">
        <v>45736</v>
      </c>
      <c r="B1636" s="1">
        <v>410116379</v>
      </c>
      <c r="C1636" t="s">
        <v>1530</v>
      </c>
      <c r="D1636" s="23">
        <v>-2553.58</v>
      </c>
      <c r="E1636" t="s">
        <v>35</v>
      </c>
      <c r="F1636" s="2">
        <v>210101001</v>
      </c>
      <c r="G1636" s="2" t="s">
        <v>36</v>
      </c>
      <c r="I1636" s="95" t="s">
        <v>7231</v>
      </c>
      <c r="J1636" t="s">
        <v>804</v>
      </c>
      <c r="K1636" t="s">
        <v>805</v>
      </c>
      <c r="M1636">
        <v>67.63</v>
      </c>
      <c r="N1636" s="4">
        <f t="shared" si="25"/>
        <v>-37.758095519739761</v>
      </c>
      <c r="O1636" t="s">
        <v>83</v>
      </c>
    </row>
    <row r="1637" spans="1:17" x14ac:dyDescent="0.25">
      <c r="A1637" s="43">
        <v>45736</v>
      </c>
      <c r="B1637" s="1">
        <v>410116378</v>
      </c>
      <c r="C1637" t="s">
        <v>1531</v>
      </c>
      <c r="D1637" s="23">
        <v>-90894.720000000001</v>
      </c>
      <c r="E1637" t="s">
        <v>35</v>
      </c>
      <c r="F1637" s="2">
        <v>210101001</v>
      </c>
      <c r="G1637" s="2" t="s">
        <v>36</v>
      </c>
      <c r="I1637" s="95" t="s">
        <v>7231</v>
      </c>
      <c r="J1637" t="s">
        <v>37</v>
      </c>
      <c r="K1637" t="s">
        <v>38</v>
      </c>
      <c r="M1637">
        <v>67.63</v>
      </c>
      <c r="N1637" s="4">
        <f t="shared" si="25"/>
        <v>-1344</v>
      </c>
      <c r="O1637" t="s">
        <v>83</v>
      </c>
    </row>
    <row r="1638" spans="1:17" x14ac:dyDescent="0.25">
      <c r="A1638" s="43">
        <v>45736</v>
      </c>
      <c r="B1638" s="1">
        <v>410116380</v>
      </c>
      <c r="C1638" t="s">
        <v>1532</v>
      </c>
      <c r="D1638" s="23">
        <v>-27228.58</v>
      </c>
      <c r="E1638" t="s">
        <v>35</v>
      </c>
      <c r="F1638" s="2">
        <v>210101001</v>
      </c>
      <c r="G1638" s="2" t="s">
        <v>36</v>
      </c>
      <c r="I1638" s="95" t="s">
        <v>7231</v>
      </c>
      <c r="J1638" t="s">
        <v>394</v>
      </c>
      <c r="K1638" t="s">
        <v>395</v>
      </c>
      <c r="M1638">
        <v>67.63</v>
      </c>
      <c r="N1638" s="4">
        <f t="shared" si="25"/>
        <v>-402.61097146236881</v>
      </c>
      <c r="O1638" t="s">
        <v>83</v>
      </c>
    </row>
    <row r="1639" spans="1:17" x14ac:dyDescent="0.25">
      <c r="A1639" s="43">
        <v>45736</v>
      </c>
      <c r="B1639" s="1">
        <v>410116381</v>
      </c>
      <c r="C1639" t="s">
        <v>1533</v>
      </c>
      <c r="D1639" s="23">
        <v>-12160.28</v>
      </c>
      <c r="E1639" t="s">
        <v>35</v>
      </c>
      <c r="F1639" s="2">
        <v>210101001</v>
      </c>
      <c r="G1639" s="2" t="s">
        <v>36</v>
      </c>
      <c r="I1639" s="95" t="s">
        <v>7231</v>
      </c>
      <c r="J1639" t="s">
        <v>182</v>
      </c>
      <c r="K1639" s="49" t="s">
        <v>183</v>
      </c>
      <c r="L1639" s="49"/>
      <c r="M1639">
        <v>67.63</v>
      </c>
      <c r="N1639" s="4">
        <f t="shared" si="25"/>
        <v>-179.80600325299426</v>
      </c>
      <c r="O1639" t="s">
        <v>83</v>
      </c>
    </row>
    <row r="1640" spans="1:17" x14ac:dyDescent="0.25">
      <c r="A1640" s="43">
        <v>45736</v>
      </c>
      <c r="B1640" s="1">
        <v>50323902</v>
      </c>
      <c r="C1640" t="s">
        <v>89</v>
      </c>
      <c r="D1640" s="23">
        <v>-332.09</v>
      </c>
      <c r="E1640" t="s">
        <v>35</v>
      </c>
      <c r="F1640" s="2">
        <v>610148001</v>
      </c>
      <c r="G1640" s="2" t="s">
        <v>41</v>
      </c>
      <c r="I1640" s="95" t="s">
        <v>7231</v>
      </c>
      <c r="J1640" t="s">
        <v>42</v>
      </c>
      <c r="K1640" t="s">
        <v>41</v>
      </c>
      <c r="M1640">
        <v>67.63</v>
      </c>
      <c r="N1640" s="4">
        <f t="shared" si="25"/>
        <v>-4.9103947952092266</v>
      </c>
      <c r="O1640" t="s">
        <v>83</v>
      </c>
      <c r="Q1640" s="24" t="s">
        <v>1310</v>
      </c>
    </row>
    <row r="1641" spans="1:17" x14ac:dyDescent="0.25">
      <c r="A1641" s="43">
        <v>45736</v>
      </c>
      <c r="B1641" s="1">
        <v>259015090</v>
      </c>
      <c r="C1641" t="s">
        <v>1534</v>
      </c>
      <c r="D1641" s="23">
        <v>84581.96</v>
      </c>
      <c r="E1641" t="s">
        <v>45</v>
      </c>
      <c r="F1641" s="2">
        <v>110106001</v>
      </c>
      <c r="G1641" s="2" t="s">
        <v>1011</v>
      </c>
      <c r="I1641" s="95" t="s">
        <v>7231</v>
      </c>
      <c r="K1641" s="52" t="s">
        <v>1535</v>
      </c>
      <c r="L1641" s="52"/>
      <c r="M1641">
        <v>67.63</v>
      </c>
      <c r="N1641" s="4">
        <f t="shared" si="25"/>
        <v>1250.6574005618811</v>
      </c>
      <c r="O1641" t="s">
        <v>83</v>
      </c>
    </row>
    <row r="1642" spans="1:17" x14ac:dyDescent="0.25">
      <c r="A1642" s="43">
        <v>45736</v>
      </c>
      <c r="B1642" s="1">
        <v>259015090</v>
      </c>
      <c r="C1642" t="s">
        <v>1013</v>
      </c>
      <c r="D1642" s="23">
        <v>-1268.72</v>
      </c>
      <c r="E1642" t="s">
        <v>35</v>
      </c>
      <c r="F1642" s="2">
        <v>610148001</v>
      </c>
      <c r="G1642" s="2" t="s">
        <v>41</v>
      </c>
      <c r="I1642" s="95" t="s">
        <v>7231</v>
      </c>
      <c r="J1642" t="s">
        <v>42</v>
      </c>
      <c r="K1642" t="s">
        <v>41</v>
      </c>
      <c r="M1642">
        <v>67.63</v>
      </c>
      <c r="N1642" s="4">
        <f t="shared" si="25"/>
        <v>-18.759722016856426</v>
      </c>
      <c r="O1642" t="s">
        <v>83</v>
      </c>
      <c r="Q1642" s="24" t="s">
        <v>1310</v>
      </c>
    </row>
    <row r="1643" spans="1:17" x14ac:dyDescent="0.25">
      <c r="A1643" s="43">
        <v>45736</v>
      </c>
      <c r="B1643" s="1">
        <v>341015156</v>
      </c>
      <c r="C1643" t="s">
        <v>1536</v>
      </c>
      <c r="D1643" s="23">
        <v>84581.96</v>
      </c>
      <c r="E1643" t="s">
        <v>45</v>
      </c>
      <c r="F1643" s="2">
        <v>110106001</v>
      </c>
      <c r="G1643" s="2" t="s">
        <v>1011</v>
      </c>
      <c r="I1643" s="95" t="s">
        <v>7231</v>
      </c>
      <c r="K1643" s="52" t="s">
        <v>1535</v>
      </c>
      <c r="L1643" s="52"/>
      <c r="M1643">
        <v>67.63</v>
      </c>
      <c r="N1643" s="4">
        <f t="shared" si="25"/>
        <v>1250.6574005618811</v>
      </c>
      <c r="O1643" t="s">
        <v>83</v>
      </c>
    </row>
    <row r="1644" spans="1:17" x14ac:dyDescent="0.25">
      <c r="A1644" s="43">
        <v>45736</v>
      </c>
      <c r="B1644" s="1">
        <v>341015156</v>
      </c>
      <c r="C1644" t="s">
        <v>1013</v>
      </c>
      <c r="D1644" s="23">
        <v>-1268.72</v>
      </c>
      <c r="E1644" t="s">
        <v>35</v>
      </c>
      <c r="F1644" s="2">
        <v>610148001</v>
      </c>
      <c r="G1644" s="2" t="s">
        <v>41</v>
      </c>
      <c r="I1644" s="95" t="s">
        <v>7231</v>
      </c>
      <c r="J1644" t="s">
        <v>42</v>
      </c>
      <c r="K1644" t="s">
        <v>41</v>
      </c>
      <c r="M1644">
        <v>67.63</v>
      </c>
      <c r="N1644" s="4">
        <f t="shared" si="25"/>
        <v>-18.759722016856426</v>
      </c>
      <c r="O1644" t="s">
        <v>83</v>
      </c>
      <c r="Q1644" s="24" t="s">
        <v>1310</v>
      </c>
    </row>
    <row r="1645" spans="1:17" x14ac:dyDescent="0.25">
      <c r="A1645" s="43">
        <v>45737</v>
      </c>
      <c r="B1645" s="1">
        <v>269402727</v>
      </c>
      <c r="C1645" t="s">
        <v>293</v>
      </c>
      <c r="D1645" s="23">
        <v>199000</v>
      </c>
      <c r="E1645" t="s">
        <v>45</v>
      </c>
      <c r="F1645" s="2">
        <v>210115002</v>
      </c>
      <c r="G1645" s="2" t="s">
        <v>46</v>
      </c>
      <c r="I1645" s="95" t="s">
        <v>7231</v>
      </c>
      <c r="K1645" t="s">
        <v>293</v>
      </c>
      <c r="M1645">
        <v>67.86</v>
      </c>
      <c r="N1645" s="4">
        <f t="shared" si="25"/>
        <v>2932.5081049218979</v>
      </c>
      <c r="O1645" t="s">
        <v>83</v>
      </c>
    </row>
    <row r="1646" spans="1:17" x14ac:dyDescent="0.25">
      <c r="A1646" s="43">
        <v>45737</v>
      </c>
      <c r="B1646" s="1">
        <v>269402758</v>
      </c>
      <c r="C1646" t="s">
        <v>293</v>
      </c>
      <c r="D1646" s="23">
        <v>16000</v>
      </c>
      <c r="E1646" t="s">
        <v>45</v>
      </c>
      <c r="F1646" s="2">
        <v>210115002</v>
      </c>
      <c r="G1646" s="2" t="s">
        <v>46</v>
      </c>
      <c r="I1646" s="95" t="s">
        <v>7231</v>
      </c>
      <c r="K1646" t="s">
        <v>293</v>
      </c>
      <c r="M1646">
        <v>67.86</v>
      </c>
      <c r="N1646" s="4">
        <f t="shared" si="25"/>
        <v>235.77954612437372</v>
      </c>
      <c r="O1646" t="s">
        <v>83</v>
      </c>
    </row>
    <row r="1647" spans="1:17" x14ac:dyDescent="0.25">
      <c r="A1647" s="43">
        <v>45737</v>
      </c>
      <c r="B1647" s="1">
        <v>810176879</v>
      </c>
      <c r="C1647" t="s">
        <v>1537</v>
      </c>
      <c r="D1647" s="23">
        <v>-4071.6</v>
      </c>
      <c r="E1647" t="s">
        <v>35</v>
      </c>
      <c r="F1647" s="2">
        <v>212901001</v>
      </c>
      <c r="G1647" s="2" t="s">
        <v>91</v>
      </c>
      <c r="I1647" s="95" t="s">
        <v>7231</v>
      </c>
      <c r="J1647" t="s">
        <v>61</v>
      </c>
      <c r="K1647" t="s">
        <v>62</v>
      </c>
      <c r="M1647">
        <v>67.86</v>
      </c>
      <c r="N1647" s="4">
        <f t="shared" si="25"/>
        <v>-60</v>
      </c>
      <c r="O1647" t="s">
        <v>83</v>
      </c>
    </row>
    <row r="1648" spans="1:17" x14ac:dyDescent="0.25">
      <c r="A1648" s="43">
        <v>45737</v>
      </c>
      <c r="B1648" s="1">
        <v>810176880</v>
      </c>
      <c r="C1648" t="s">
        <v>1538</v>
      </c>
      <c r="D1648" s="23">
        <v>-4071.6</v>
      </c>
      <c r="E1648" t="s">
        <v>35</v>
      </c>
      <c r="F1648" s="2">
        <v>212901001</v>
      </c>
      <c r="G1648" s="2" t="s">
        <v>91</v>
      </c>
      <c r="I1648" s="95" t="s">
        <v>7231</v>
      </c>
      <c r="J1648" t="s">
        <v>61</v>
      </c>
      <c r="K1648" t="s">
        <v>62</v>
      </c>
      <c r="M1648">
        <v>67.86</v>
      </c>
      <c r="N1648" s="4">
        <f t="shared" si="25"/>
        <v>-60</v>
      </c>
      <c r="O1648" t="s">
        <v>83</v>
      </c>
    </row>
    <row r="1649" spans="1:15" x14ac:dyDescent="0.25">
      <c r="A1649" s="43">
        <v>45737</v>
      </c>
      <c r="B1649" s="1">
        <v>710176876</v>
      </c>
      <c r="C1649" t="s">
        <v>1539</v>
      </c>
      <c r="D1649" s="23">
        <v>-4071.6</v>
      </c>
      <c r="E1649" t="s">
        <v>35</v>
      </c>
      <c r="F1649" s="2">
        <v>212901001</v>
      </c>
      <c r="G1649" s="2" t="s">
        <v>91</v>
      </c>
      <c r="I1649" s="95" t="s">
        <v>7231</v>
      </c>
      <c r="J1649" t="s">
        <v>61</v>
      </c>
      <c r="K1649" t="s">
        <v>62</v>
      </c>
      <c r="M1649">
        <v>67.86</v>
      </c>
      <c r="N1649" s="4">
        <f t="shared" si="25"/>
        <v>-60</v>
      </c>
      <c r="O1649" t="s">
        <v>83</v>
      </c>
    </row>
    <row r="1650" spans="1:15" x14ac:dyDescent="0.25">
      <c r="A1650" s="43">
        <v>45737</v>
      </c>
      <c r="B1650" s="1">
        <v>810176877</v>
      </c>
      <c r="C1650" t="s">
        <v>1540</v>
      </c>
      <c r="D1650" s="23">
        <v>-4071.6</v>
      </c>
      <c r="E1650" t="s">
        <v>35</v>
      </c>
      <c r="F1650" s="2">
        <v>212901001</v>
      </c>
      <c r="G1650" s="2" t="s">
        <v>91</v>
      </c>
      <c r="I1650" s="95" t="s">
        <v>7231</v>
      </c>
      <c r="J1650" t="s">
        <v>61</v>
      </c>
      <c r="K1650" t="s">
        <v>62</v>
      </c>
      <c r="M1650">
        <v>67.86</v>
      </c>
      <c r="N1650" s="4">
        <f t="shared" si="25"/>
        <v>-60</v>
      </c>
      <c r="O1650" t="s">
        <v>83</v>
      </c>
    </row>
    <row r="1651" spans="1:15" x14ac:dyDescent="0.25">
      <c r="A1651" s="43">
        <v>45737</v>
      </c>
      <c r="B1651" s="1">
        <v>810176878</v>
      </c>
      <c r="C1651" t="s">
        <v>1541</v>
      </c>
      <c r="D1651" s="23">
        <v>-4071.6</v>
      </c>
      <c r="E1651" t="s">
        <v>35</v>
      </c>
      <c r="F1651" s="2">
        <v>212901001</v>
      </c>
      <c r="G1651" s="2" t="s">
        <v>91</v>
      </c>
      <c r="I1651" s="95" t="s">
        <v>7231</v>
      </c>
      <c r="J1651" t="s">
        <v>61</v>
      </c>
      <c r="K1651" t="s">
        <v>62</v>
      </c>
      <c r="M1651">
        <v>67.86</v>
      </c>
      <c r="N1651" s="4">
        <f t="shared" si="25"/>
        <v>-60</v>
      </c>
      <c r="O1651" t="s">
        <v>83</v>
      </c>
    </row>
    <row r="1652" spans="1:15" x14ac:dyDescent="0.25">
      <c r="A1652" s="43">
        <v>45737</v>
      </c>
      <c r="B1652" s="1">
        <v>810176883</v>
      </c>
      <c r="C1652" t="s">
        <v>1542</v>
      </c>
      <c r="D1652" s="23">
        <v>-4071.6</v>
      </c>
      <c r="E1652" t="s">
        <v>35</v>
      </c>
      <c r="F1652" s="2">
        <v>212901001</v>
      </c>
      <c r="G1652" s="2" t="s">
        <v>91</v>
      </c>
      <c r="I1652" s="95" t="s">
        <v>7231</v>
      </c>
      <c r="J1652" t="s">
        <v>61</v>
      </c>
      <c r="K1652" t="s">
        <v>62</v>
      </c>
      <c r="M1652">
        <v>67.86</v>
      </c>
      <c r="N1652" s="4">
        <f t="shared" si="25"/>
        <v>-60</v>
      </c>
      <c r="O1652" t="s">
        <v>83</v>
      </c>
    </row>
    <row r="1653" spans="1:15" x14ac:dyDescent="0.25">
      <c r="A1653" s="43">
        <v>45737</v>
      </c>
      <c r="B1653" s="1">
        <v>810176881</v>
      </c>
      <c r="C1653" t="s">
        <v>1543</v>
      </c>
      <c r="D1653" s="23">
        <v>-4071.6</v>
      </c>
      <c r="E1653" t="s">
        <v>35</v>
      </c>
      <c r="F1653" s="2">
        <v>212901001</v>
      </c>
      <c r="G1653" s="2" t="s">
        <v>91</v>
      </c>
      <c r="I1653" s="95" t="s">
        <v>7231</v>
      </c>
      <c r="J1653" t="s">
        <v>61</v>
      </c>
      <c r="K1653" t="s">
        <v>62</v>
      </c>
      <c r="M1653">
        <v>67.86</v>
      </c>
      <c r="N1653" s="4">
        <f t="shared" si="25"/>
        <v>-60</v>
      </c>
      <c r="O1653" t="s">
        <v>83</v>
      </c>
    </row>
    <row r="1654" spans="1:15" x14ac:dyDescent="0.25">
      <c r="A1654" s="43">
        <v>45737</v>
      </c>
      <c r="B1654" s="1">
        <v>910176889</v>
      </c>
      <c r="C1654" t="s">
        <v>1544</v>
      </c>
      <c r="D1654" s="23">
        <v>-4071.6</v>
      </c>
      <c r="E1654" t="s">
        <v>35</v>
      </c>
      <c r="F1654" s="2">
        <v>212901001</v>
      </c>
      <c r="G1654" s="2" t="s">
        <v>91</v>
      </c>
      <c r="I1654" s="95" t="s">
        <v>7231</v>
      </c>
      <c r="J1654" t="s">
        <v>61</v>
      </c>
      <c r="K1654" t="s">
        <v>62</v>
      </c>
      <c r="M1654">
        <v>67.86</v>
      </c>
      <c r="N1654" s="4">
        <f t="shared" si="25"/>
        <v>-60</v>
      </c>
      <c r="O1654" t="s">
        <v>83</v>
      </c>
    </row>
    <row r="1655" spans="1:15" x14ac:dyDescent="0.25">
      <c r="A1655" s="43">
        <v>45737</v>
      </c>
      <c r="B1655" s="1">
        <v>910176887</v>
      </c>
      <c r="C1655" t="s">
        <v>1545</v>
      </c>
      <c r="D1655" s="23">
        <v>-4071.6</v>
      </c>
      <c r="E1655" t="s">
        <v>35</v>
      </c>
      <c r="F1655" s="2">
        <v>212901001</v>
      </c>
      <c r="G1655" s="2" t="s">
        <v>91</v>
      </c>
      <c r="I1655" s="95" t="s">
        <v>7231</v>
      </c>
      <c r="J1655" t="s">
        <v>61</v>
      </c>
      <c r="K1655" t="s">
        <v>62</v>
      </c>
      <c r="M1655">
        <v>67.86</v>
      </c>
      <c r="N1655" s="4">
        <f t="shared" si="25"/>
        <v>-60</v>
      </c>
      <c r="O1655" t="s">
        <v>83</v>
      </c>
    </row>
    <row r="1656" spans="1:15" x14ac:dyDescent="0.25">
      <c r="A1656" s="43">
        <v>45737</v>
      </c>
      <c r="B1656" s="1">
        <v>910176886</v>
      </c>
      <c r="C1656" t="s">
        <v>1546</v>
      </c>
      <c r="D1656" s="23">
        <v>-4071.6</v>
      </c>
      <c r="E1656" t="s">
        <v>35</v>
      </c>
      <c r="F1656" s="2">
        <v>212901001</v>
      </c>
      <c r="G1656" s="2" t="s">
        <v>91</v>
      </c>
      <c r="I1656" s="95" t="s">
        <v>7231</v>
      </c>
      <c r="J1656" t="s">
        <v>61</v>
      </c>
      <c r="K1656" t="s">
        <v>62</v>
      </c>
      <c r="M1656">
        <v>67.86</v>
      </c>
      <c r="N1656" s="4">
        <f t="shared" si="25"/>
        <v>-60</v>
      </c>
      <c r="O1656" t="s">
        <v>83</v>
      </c>
    </row>
    <row r="1657" spans="1:15" x14ac:dyDescent="0.25">
      <c r="A1657" s="43">
        <v>45737</v>
      </c>
      <c r="B1657" s="1">
        <v>810176884</v>
      </c>
      <c r="C1657" t="s">
        <v>1547</v>
      </c>
      <c r="D1657" s="23">
        <v>-4071.6</v>
      </c>
      <c r="E1657" t="s">
        <v>35</v>
      </c>
      <c r="F1657" s="2">
        <v>212901001</v>
      </c>
      <c r="G1657" s="2" t="s">
        <v>91</v>
      </c>
      <c r="I1657" s="95" t="s">
        <v>7231</v>
      </c>
      <c r="J1657" t="s">
        <v>61</v>
      </c>
      <c r="K1657" t="s">
        <v>62</v>
      </c>
      <c r="M1657">
        <v>67.86</v>
      </c>
      <c r="N1657" s="4">
        <f t="shared" si="25"/>
        <v>-60</v>
      </c>
      <c r="O1657" t="s">
        <v>83</v>
      </c>
    </row>
    <row r="1658" spans="1:15" x14ac:dyDescent="0.25">
      <c r="A1658" s="43">
        <v>45737</v>
      </c>
      <c r="B1658" s="1">
        <v>910176890</v>
      </c>
      <c r="C1658" t="s">
        <v>1548</v>
      </c>
      <c r="D1658" s="23">
        <v>-4071.6</v>
      </c>
      <c r="E1658" t="s">
        <v>35</v>
      </c>
      <c r="F1658" s="2">
        <v>212901001</v>
      </c>
      <c r="G1658" s="2" t="s">
        <v>91</v>
      </c>
      <c r="I1658" s="95" t="s">
        <v>7231</v>
      </c>
      <c r="J1658" t="s">
        <v>61</v>
      </c>
      <c r="K1658" t="s">
        <v>62</v>
      </c>
      <c r="M1658">
        <v>67.86</v>
      </c>
      <c r="N1658" s="4">
        <f t="shared" si="25"/>
        <v>-60</v>
      </c>
      <c r="O1658" t="s">
        <v>83</v>
      </c>
    </row>
    <row r="1659" spans="1:15" x14ac:dyDescent="0.25">
      <c r="A1659" s="43">
        <v>45737</v>
      </c>
      <c r="B1659" s="1">
        <v>810176885</v>
      </c>
      <c r="C1659" t="s">
        <v>1549</v>
      </c>
      <c r="D1659" s="23">
        <v>-4071.6</v>
      </c>
      <c r="E1659" t="s">
        <v>35</v>
      </c>
      <c r="F1659" s="2">
        <v>212901001</v>
      </c>
      <c r="G1659" s="2" t="s">
        <v>91</v>
      </c>
      <c r="I1659" s="95" t="s">
        <v>7231</v>
      </c>
      <c r="J1659" t="s">
        <v>61</v>
      </c>
      <c r="K1659" t="s">
        <v>62</v>
      </c>
      <c r="M1659">
        <v>67.86</v>
      </c>
      <c r="N1659" s="4">
        <f t="shared" si="25"/>
        <v>-60</v>
      </c>
      <c r="O1659" t="s">
        <v>83</v>
      </c>
    </row>
    <row r="1660" spans="1:15" x14ac:dyDescent="0.25">
      <c r="A1660" s="43">
        <v>45737</v>
      </c>
      <c r="B1660" s="1">
        <v>810176882</v>
      </c>
      <c r="C1660" t="s">
        <v>1550</v>
      </c>
      <c r="D1660" s="23">
        <v>-4071.6</v>
      </c>
      <c r="E1660" t="s">
        <v>35</v>
      </c>
      <c r="F1660" s="2">
        <v>212901001</v>
      </c>
      <c r="G1660" s="2" t="s">
        <v>91</v>
      </c>
      <c r="I1660" s="95" t="s">
        <v>7231</v>
      </c>
      <c r="J1660" t="s">
        <v>61</v>
      </c>
      <c r="K1660" t="s">
        <v>62</v>
      </c>
      <c r="M1660">
        <v>67.86</v>
      </c>
      <c r="N1660" s="4">
        <f t="shared" si="25"/>
        <v>-60</v>
      </c>
      <c r="O1660" t="s">
        <v>83</v>
      </c>
    </row>
    <row r="1661" spans="1:15" x14ac:dyDescent="0.25">
      <c r="A1661" s="43">
        <v>45737</v>
      </c>
      <c r="B1661" s="1">
        <v>910176888</v>
      </c>
      <c r="C1661" t="s">
        <v>1551</v>
      </c>
      <c r="D1661" s="23">
        <v>-4071.6</v>
      </c>
      <c r="E1661" t="s">
        <v>35</v>
      </c>
      <c r="F1661" s="2">
        <v>212901001</v>
      </c>
      <c r="G1661" s="2" t="s">
        <v>91</v>
      </c>
      <c r="I1661" s="95" t="s">
        <v>7231</v>
      </c>
      <c r="J1661" t="s">
        <v>61</v>
      </c>
      <c r="K1661" t="s">
        <v>62</v>
      </c>
      <c r="M1661">
        <v>67.86</v>
      </c>
      <c r="N1661" s="4">
        <f t="shared" si="25"/>
        <v>-60</v>
      </c>
      <c r="O1661" t="s">
        <v>83</v>
      </c>
    </row>
    <row r="1662" spans="1:15" x14ac:dyDescent="0.25">
      <c r="A1662" s="43">
        <v>45737</v>
      </c>
      <c r="B1662" s="1">
        <v>910176892</v>
      </c>
      <c r="C1662" t="s">
        <v>1552</v>
      </c>
      <c r="D1662" s="23">
        <v>-10179</v>
      </c>
      <c r="E1662" t="s">
        <v>35</v>
      </c>
      <c r="F1662" s="2">
        <v>212901001</v>
      </c>
      <c r="G1662" s="2" t="s">
        <v>91</v>
      </c>
      <c r="I1662" s="95" t="s">
        <v>7231</v>
      </c>
      <c r="J1662" t="s">
        <v>61</v>
      </c>
      <c r="K1662" t="s">
        <v>62</v>
      </c>
      <c r="M1662">
        <v>67.86</v>
      </c>
      <c r="N1662" s="4">
        <f t="shared" si="25"/>
        <v>-150</v>
      </c>
      <c r="O1662" t="s">
        <v>83</v>
      </c>
    </row>
    <row r="1663" spans="1:15" x14ac:dyDescent="0.25">
      <c r="A1663" s="43">
        <v>45737</v>
      </c>
      <c r="B1663" s="1">
        <v>910176891</v>
      </c>
      <c r="C1663" t="s">
        <v>1553</v>
      </c>
      <c r="D1663" s="23">
        <v>-4071.6</v>
      </c>
      <c r="E1663" t="s">
        <v>35</v>
      </c>
      <c r="F1663" s="2">
        <v>212901001</v>
      </c>
      <c r="G1663" s="2" t="s">
        <v>91</v>
      </c>
      <c r="I1663" s="95" t="s">
        <v>7231</v>
      </c>
      <c r="J1663" t="s">
        <v>61</v>
      </c>
      <c r="K1663" t="s">
        <v>62</v>
      </c>
      <c r="M1663">
        <v>67.86</v>
      </c>
      <c r="N1663" s="4">
        <f t="shared" si="25"/>
        <v>-60</v>
      </c>
      <c r="O1663" t="s">
        <v>83</v>
      </c>
    </row>
    <row r="1664" spans="1:15" x14ac:dyDescent="0.25">
      <c r="A1664" s="43">
        <v>45737</v>
      </c>
      <c r="B1664" s="1">
        <v>10176895</v>
      </c>
      <c r="C1664" t="s">
        <v>1554</v>
      </c>
      <c r="D1664" s="23">
        <v>-5428.8</v>
      </c>
      <c r="E1664" t="s">
        <v>35</v>
      </c>
      <c r="F1664" s="2">
        <v>212901001</v>
      </c>
      <c r="G1664" s="2" t="s">
        <v>91</v>
      </c>
      <c r="I1664" s="95" t="s">
        <v>7231</v>
      </c>
      <c r="J1664" t="s">
        <v>61</v>
      </c>
      <c r="K1664" t="s">
        <v>62</v>
      </c>
      <c r="M1664">
        <v>67.86</v>
      </c>
      <c r="N1664" s="4">
        <f t="shared" si="25"/>
        <v>-80</v>
      </c>
      <c r="O1664" t="s">
        <v>83</v>
      </c>
    </row>
    <row r="1665" spans="1:15" x14ac:dyDescent="0.25">
      <c r="A1665" s="43">
        <v>45737</v>
      </c>
      <c r="B1665" s="1">
        <v>910176893</v>
      </c>
      <c r="C1665" t="s">
        <v>1555</v>
      </c>
      <c r="D1665" s="23">
        <v>-6786</v>
      </c>
      <c r="E1665" t="s">
        <v>35</v>
      </c>
      <c r="F1665" s="2">
        <v>212901001</v>
      </c>
      <c r="G1665" s="2" t="s">
        <v>91</v>
      </c>
      <c r="I1665" s="95" t="s">
        <v>7231</v>
      </c>
      <c r="J1665" t="s">
        <v>61</v>
      </c>
      <c r="K1665" t="s">
        <v>62</v>
      </c>
      <c r="M1665">
        <v>67.86</v>
      </c>
      <c r="N1665" s="4">
        <f t="shared" si="25"/>
        <v>-100</v>
      </c>
      <c r="O1665" t="s">
        <v>83</v>
      </c>
    </row>
    <row r="1666" spans="1:15" x14ac:dyDescent="0.25">
      <c r="A1666" s="43">
        <v>45737</v>
      </c>
      <c r="B1666" s="1">
        <v>10176896</v>
      </c>
      <c r="C1666" t="s">
        <v>1556</v>
      </c>
      <c r="D1666" s="23">
        <v>-5428.8</v>
      </c>
      <c r="E1666" t="s">
        <v>35</v>
      </c>
      <c r="F1666" s="2">
        <v>212901001</v>
      </c>
      <c r="G1666" s="2" t="s">
        <v>91</v>
      </c>
      <c r="I1666" s="95" t="s">
        <v>7231</v>
      </c>
      <c r="J1666" t="s">
        <v>61</v>
      </c>
      <c r="K1666" t="s">
        <v>62</v>
      </c>
      <c r="M1666">
        <v>67.86</v>
      </c>
      <c r="N1666" s="4">
        <f t="shared" si="25"/>
        <v>-80</v>
      </c>
      <c r="O1666" t="s">
        <v>83</v>
      </c>
    </row>
    <row r="1667" spans="1:15" x14ac:dyDescent="0.25">
      <c r="A1667" s="43">
        <v>45737</v>
      </c>
      <c r="B1667" s="1">
        <v>910176894</v>
      </c>
      <c r="C1667" t="s">
        <v>1557</v>
      </c>
      <c r="D1667" s="23">
        <v>-5428.8</v>
      </c>
      <c r="E1667" t="s">
        <v>35</v>
      </c>
      <c r="F1667" s="2">
        <v>212901001</v>
      </c>
      <c r="G1667" s="2" t="s">
        <v>91</v>
      </c>
      <c r="I1667" s="95" t="s">
        <v>7231</v>
      </c>
      <c r="J1667" t="s">
        <v>61</v>
      </c>
      <c r="K1667" t="s">
        <v>62</v>
      </c>
      <c r="M1667">
        <v>67.86</v>
      </c>
      <c r="N1667" s="4">
        <f t="shared" si="25"/>
        <v>-80</v>
      </c>
      <c r="O1667" t="s">
        <v>83</v>
      </c>
    </row>
    <row r="1668" spans="1:15" x14ac:dyDescent="0.25">
      <c r="A1668" s="43">
        <v>45737</v>
      </c>
      <c r="B1668" s="1">
        <v>10176897</v>
      </c>
      <c r="C1668" t="s">
        <v>1558</v>
      </c>
      <c r="D1668" s="23">
        <v>-5428.8</v>
      </c>
      <c r="E1668" t="s">
        <v>35</v>
      </c>
      <c r="F1668" s="2">
        <v>212901001</v>
      </c>
      <c r="G1668" s="2" t="s">
        <v>91</v>
      </c>
      <c r="I1668" s="95" t="s">
        <v>7231</v>
      </c>
      <c r="J1668" t="s">
        <v>61</v>
      </c>
      <c r="K1668" t="s">
        <v>62</v>
      </c>
      <c r="M1668">
        <v>67.86</v>
      </c>
      <c r="N1668" s="4">
        <f t="shared" si="25"/>
        <v>-80</v>
      </c>
      <c r="O1668" t="s">
        <v>83</v>
      </c>
    </row>
    <row r="1669" spans="1:15" x14ac:dyDescent="0.25">
      <c r="A1669" s="43">
        <v>45737</v>
      </c>
      <c r="B1669" s="1">
        <v>10176899</v>
      </c>
      <c r="C1669" t="s">
        <v>1559</v>
      </c>
      <c r="D1669" s="23">
        <v>-5428.8</v>
      </c>
      <c r="E1669" t="s">
        <v>35</v>
      </c>
      <c r="F1669" s="2">
        <v>212901001</v>
      </c>
      <c r="G1669" s="2" t="s">
        <v>91</v>
      </c>
      <c r="I1669" s="95" t="s">
        <v>7231</v>
      </c>
      <c r="J1669" t="s">
        <v>61</v>
      </c>
      <c r="K1669" t="s">
        <v>62</v>
      </c>
      <c r="M1669">
        <v>67.86</v>
      </c>
      <c r="N1669" s="4">
        <f t="shared" si="25"/>
        <v>-80</v>
      </c>
      <c r="O1669" t="s">
        <v>83</v>
      </c>
    </row>
    <row r="1670" spans="1:15" x14ac:dyDescent="0.25">
      <c r="A1670" s="43">
        <v>45737</v>
      </c>
      <c r="B1670" s="1">
        <v>10176898</v>
      </c>
      <c r="C1670" t="s">
        <v>1560</v>
      </c>
      <c r="D1670" s="23">
        <v>-5428.8</v>
      </c>
      <c r="E1670" t="s">
        <v>35</v>
      </c>
      <c r="F1670" s="2">
        <v>212901001</v>
      </c>
      <c r="G1670" s="2" t="s">
        <v>91</v>
      </c>
      <c r="I1670" s="95" t="s">
        <v>7231</v>
      </c>
      <c r="J1670" t="s">
        <v>61</v>
      </c>
      <c r="K1670" t="s">
        <v>62</v>
      </c>
      <c r="M1670">
        <v>67.86</v>
      </c>
      <c r="N1670" s="4">
        <f t="shared" si="25"/>
        <v>-80</v>
      </c>
      <c r="O1670" t="s">
        <v>83</v>
      </c>
    </row>
    <row r="1671" spans="1:15" x14ac:dyDescent="0.25">
      <c r="A1671" s="43">
        <v>45737</v>
      </c>
      <c r="B1671" s="1">
        <v>10176900</v>
      </c>
      <c r="C1671" t="s">
        <v>1561</v>
      </c>
      <c r="D1671" s="23">
        <v>-3393</v>
      </c>
      <c r="E1671" t="s">
        <v>35</v>
      </c>
      <c r="F1671" s="2">
        <v>212901001</v>
      </c>
      <c r="G1671" s="2" t="s">
        <v>91</v>
      </c>
      <c r="I1671" s="95" t="s">
        <v>7231</v>
      </c>
      <c r="J1671" t="s">
        <v>61</v>
      </c>
      <c r="K1671" t="s">
        <v>62</v>
      </c>
      <c r="M1671">
        <v>67.86</v>
      </c>
      <c r="N1671" s="4">
        <f t="shared" si="25"/>
        <v>-50</v>
      </c>
      <c r="O1671" t="s">
        <v>83</v>
      </c>
    </row>
    <row r="1672" spans="1:15" x14ac:dyDescent="0.25">
      <c r="A1672" s="43">
        <v>45737</v>
      </c>
      <c r="B1672" s="1">
        <v>10176903</v>
      </c>
      <c r="C1672" t="s">
        <v>1562</v>
      </c>
      <c r="D1672" s="23">
        <v>-3393</v>
      </c>
      <c r="E1672" t="s">
        <v>35</v>
      </c>
      <c r="F1672" s="2">
        <v>212901001</v>
      </c>
      <c r="G1672" s="2" t="s">
        <v>91</v>
      </c>
      <c r="I1672" s="95" t="s">
        <v>7231</v>
      </c>
      <c r="J1672" t="s">
        <v>61</v>
      </c>
      <c r="K1672" t="s">
        <v>62</v>
      </c>
      <c r="M1672">
        <v>67.86</v>
      </c>
      <c r="N1672" s="4">
        <f t="shared" si="25"/>
        <v>-50</v>
      </c>
      <c r="O1672" t="s">
        <v>83</v>
      </c>
    </row>
    <row r="1673" spans="1:15" x14ac:dyDescent="0.25">
      <c r="A1673" s="43">
        <v>45737</v>
      </c>
      <c r="B1673" s="1">
        <v>10176901</v>
      </c>
      <c r="C1673" t="s">
        <v>1563</v>
      </c>
      <c r="D1673" s="23">
        <v>-3393</v>
      </c>
      <c r="E1673" t="s">
        <v>35</v>
      </c>
      <c r="F1673" s="2">
        <v>212901001</v>
      </c>
      <c r="G1673" s="2" t="s">
        <v>91</v>
      </c>
      <c r="I1673" s="95" t="s">
        <v>7231</v>
      </c>
      <c r="J1673" t="s">
        <v>61</v>
      </c>
      <c r="K1673" t="s">
        <v>62</v>
      </c>
      <c r="M1673">
        <v>67.86</v>
      </c>
      <c r="N1673" s="4">
        <f t="shared" si="25"/>
        <v>-50</v>
      </c>
      <c r="O1673" t="s">
        <v>83</v>
      </c>
    </row>
    <row r="1674" spans="1:15" x14ac:dyDescent="0.25">
      <c r="A1674" s="43">
        <v>45737</v>
      </c>
      <c r="B1674" s="1">
        <v>10176902</v>
      </c>
      <c r="C1674" t="s">
        <v>1564</v>
      </c>
      <c r="D1674" s="23">
        <v>-3393</v>
      </c>
      <c r="E1674" t="s">
        <v>35</v>
      </c>
      <c r="F1674" s="2">
        <v>212901001</v>
      </c>
      <c r="G1674" s="2" t="s">
        <v>91</v>
      </c>
      <c r="I1674" s="95" t="s">
        <v>7231</v>
      </c>
      <c r="J1674" t="s">
        <v>61</v>
      </c>
      <c r="K1674" t="s">
        <v>62</v>
      </c>
      <c r="M1674">
        <v>67.86</v>
      </c>
      <c r="N1674" s="4">
        <f t="shared" si="25"/>
        <v>-50</v>
      </c>
      <c r="O1674" t="s">
        <v>83</v>
      </c>
    </row>
    <row r="1675" spans="1:15" x14ac:dyDescent="0.25">
      <c r="A1675" s="43">
        <v>45737</v>
      </c>
      <c r="B1675" s="1">
        <v>110176904</v>
      </c>
      <c r="C1675" t="s">
        <v>1565</v>
      </c>
      <c r="D1675" s="23">
        <v>-3393</v>
      </c>
      <c r="E1675" t="s">
        <v>35</v>
      </c>
      <c r="F1675" s="2">
        <v>212901001</v>
      </c>
      <c r="G1675" s="2" t="s">
        <v>91</v>
      </c>
      <c r="I1675" s="95" t="s">
        <v>7231</v>
      </c>
      <c r="J1675" t="s">
        <v>61</v>
      </c>
      <c r="K1675" t="s">
        <v>62</v>
      </c>
      <c r="M1675">
        <v>67.86</v>
      </c>
      <c r="N1675" s="4">
        <f t="shared" si="25"/>
        <v>-50</v>
      </c>
      <c r="O1675" t="s">
        <v>83</v>
      </c>
    </row>
    <row r="1676" spans="1:15" x14ac:dyDescent="0.25">
      <c r="A1676" s="43">
        <v>45737</v>
      </c>
      <c r="B1676" s="1">
        <v>110176906</v>
      </c>
      <c r="C1676" t="s">
        <v>1566</v>
      </c>
      <c r="D1676" s="23">
        <v>-3393</v>
      </c>
      <c r="E1676" t="s">
        <v>35</v>
      </c>
      <c r="F1676" s="2">
        <v>212901001</v>
      </c>
      <c r="G1676" s="2" t="s">
        <v>91</v>
      </c>
      <c r="I1676" s="95" t="s">
        <v>7231</v>
      </c>
      <c r="J1676" t="s">
        <v>61</v>
      </c>
      <c r="K1676" t="s">
        <v>62</v>
      </c>
      <c r="M1676">
        <v>67.86</v>
      </c>
      <c r="N1676" s="4">
        <f t="shared" ref="N1676:N1739" si="26">D1676/M1676</f>
        <v>-50</v>
      </c>
      <c r="O1676" t="s">
        <v>83</v>
      </c>
    </row>
    <row r="1677" spans="1:15" x14ac:dyDescent="0.25">
      <c r="A1677" s="43">
        <v>45737</v>
      </c>
      <c r="B1677" s="1">
        <v>110176908</v>
      </c>
      <c r="C1677" t="s">
        <v>1567</v>
      </c>
      <c r="D1677" s="23">
        <v>-2714.4</v>
      </c>
      <c r="E1677" t="s">
        <v>35</v>
      </c>
      <c r="F1677" s="2">
        <v>212901001</v>
      </c>
      <c r="G1677" s="2" t="s">
        <v>91</v>
      </c>
      <c r="I1677" s="95" t="s">
        <v>7231</v>
      </c>
      <c r="J1677" t="s">
        <v>61</v>
      </c>
      <c r="K1677" t="s">
        <v>62</v>
      </c>
      <c r="M1677">
        <v>67.86</v>
      </c>
      <c r="N1677" s="4">
        <f t="shared" si="26"/>
        <v>-40</v>
      </c>
      <c r="O1677" t="s">
        <v>83</v>
      </c>
    </row>
    <row r="1678" spans="1:15" x14ac:dyDescent="0.25">
      <c r="A1678" s="43">
        <v>45737</v>
      </c>
      <c r="B1678" s="1">
        <v>110176907</v>
      </c>
      <c r="C1678" t="s">
        <v>1568</v>
      </c>
      <c r="D1678" s="23">
        <v>-2714.4</v>
      </c>
      <c r="E1678" t="s">
        <v>35</v>
      </c>
      <c r="F1678" s="2">
        <v>212901001</v>
      </c>
      <c r="G1678" s="2" t="s">
        <v>91</v>
      </c>
      <c r="I1678" s="95" t="s">
        <v>7231</v>
      </c>
      <c r="J1678" t="s">
        <v>61</v>
      </c>
      <c r="K1678" t="s">
        <v>62</v>
      </c>
      <c r="M1678">
        <v>67.86</v>
      </c>
      <c r="N1678" s="4">
        <f t="shared" si="26"/>
        <v>-40</v>
      </c>
      <c r="O1678" t="s">
        <v>83</v>
      </c>
    </row>
    <row r="1679" spans="1:15" x14ac:dyDescent="0.25">
      <c r="A1679" s="43">
        <v>45737</v>
      </c>
      <c r="B1679" s="1">
        <v>110176910</v>
      </c>
      <c r="C1679" t="s">
        <v>1569</v>
      </c>
      <c r="D1679" s="23">
        <v>-2714.4</v>
      </c>
      <c r="E1679" t="s">
        <v>35</v>
      </c>
      <c r="F1679" s="2">
        <v>212901001</v>
      </c>
      <c r="G1679" s="2" t="s">
        <v>91</v>
      </c>
      <c r="I1679" s="95" t="s">
        <v>7231</v>
      </c>
      <c r="J1679" t="s">
        <v>61</v>
      </c>
      <c r="K1679" t="s">
        <v>62</v>
      </c>
      <c r="M1679">
        <v>67.86</v>
      </c>
      <c r="N1679" s="4">
        <f t="shared" si="26"/>
        <v>-40</v>
      </c>
      <c r="O1679" t="s">
        <v>83</v>
      </c>
    </row>
    <row r="1680" spans="1:15" x14ac:dyDescent="0.25">
      <c r="A1680" s="43">
        <v>45737</v>
      </c>
      <c r="B1680" s="1">
        <v>110176911</v>
      </c>
      <c r="C1680" t="s">
        <v>1570</v>
      </c>
      <c r="D1680" s="23">
        <v>-2714.4</v>
      </c>
      <c r="E1680" t="s">
        <v>35</v>
      </c>
      <c r="F1680" s="2">
        <v>212901001</v>
      </c>
      <c r="G1680" s="2" t="s">
        <v>91</v>
      </c>
      <c r="I1680" s="95" t="s">
        <v>7231</v>
      </c>
      <c r="J1680" t="s">
        <v>61</v>
      </c>
      <c r="K1680" t="s">
        <v>62</v>
      </c>
      <c r="M1680">
        <v>67.86</v>
      </c>
      <c r="N1680" s="4">
        <f t="shared" si="26"/>
        <v>-40</v>
      </c>
      <c r="O1680" t="s">
        <v>83</v>
      </c>
    </row>
    <row r="1681" spans="1:15" x14ac:dyDescent="0.25">
      <c r="A1681" s="43">
        <v>45737</v>
      </c>
      <c r="B1681" s="1">
        <v>110176909</v>
      </c>
      <c r="C1681" t="s">
        <v>1571</v>
      </c>
      <c r="D1681" s="23">
        <v>-2714.4</v>
      </c>
      <c r="E1681" t="s">
        <v>35</v>
      </c>
      <c r="F1681" s="2">
        <v>212901001</v>
      </c>
      <c r="G1681" s="2" t="s">
        <v>91</v>
      </c>
      <c r="I1681" s="95" t="s">
        <v>7231</v>
      </c>
      <c r="J1681" t="s">
        <v>61</v>
      </c>
      <c r="K1681" t="s">
        <v>62</v>
      </c>
      <c r="M1681">
        <v>67.86</v>
      </c>
      <c r="N1681" s="4">
        <f t="shared" si="26"/>
        <v>-40</v>
      </c>
      <c r="O1681" t="s">
        <v>83</v>
      </c>
    </row>
    <row r="1682" spans="1:15" x14ac:dyDescent="0.25">
      <c r="A1682" s="43">
        <v>45737</v>
      </c>
      <c r="B1682" s="1">
        <v>110176912</v>
      </c>
      <c r="C1682" t="s">
        <v>1572</v>
      </c>
      <c r="D1682" s="23">
        <v>-2714.4</v>
      </c>
      <c r="E1682" t="s">
        <v>35</v>
      </c>
      <c r="F1682" s="2">
        <v>212901001</v>
      </c>
      <c r="G1682" s="2" t="s">
        <v>91</v>
      </c>
      <c r="I1682" s="95" t="s">
        <v>7231</v>
      </c>
      <c r="J1682" t="s">
        <v>61</v>
      </c>
      <c r="K1682" t="s">
        <v>62</v>
      </c>
      <c r="M1682">
        <v>67.86</v>
      </c>
      <c r="N1682" s="4">
        <f t="shared" si="26"/>
        <v>-40</v>
      </c>
      <c r="O1682" t="s">
        <v>83</v>
      </c>
    </row>
    <row r="1683" spans="1:15" x14ac:dyDescent="0.25">
      <c r="A1683" s="43">
        <v>45737</v>
      </c>
      <c r="B1683" s="1">
        <v>110176914</v>
      </c>
      <c r="C1683" t="s">
        <v>1573</v>
      </c>
      <c r="D1683" s="23">
        <v>-2714.4</v>
      </c>
      <c r="E1683" t="s">
        <v>35</v>
      </c>
      <c r="F1683" s="2">
        <v>212901001</v>
      </c>
      <c r="G1683" s="2" t="s">
        <v>91</v>
      </c>
      <c r="I1683" s="95" t="s">
        <v>7231</v>
      </c>
      <c r="J1683" t="s">
        <v>61</v>
      </c>
      <c r="K1683" t="s">
        <v>62</v>
      </c>
      <c r="M1683">
        <v>67.86</v>
      </c>
      <c r="N1683" s="4">
        <f t="shared" si="26"/>
        <v>-40</v>
      </c>
      <c r="O1683" t="s">
        <v>83</v>
      </c>
    </row>
    <row r="1684" spans="1:15" x14ac:dyDescent="0.25">
      <c r="A1684" s="43">
        <v>45737</v>
      </c>
      <c r="B1684" s="1">
        <v>210176915</v>
      </c>
      <c r="C1684" t="s">
        <v>1574</v>
      </c>
      <c r="D1684" s="23">
        <v>-6786</v>
      </c>
      <c r="E1684" t="s">
        <v>35</v>
      </c>
      <c r="F1684" s="2">
        <v>212901001</v>
      </c>
      <c r="G1684" s="2" t="s">
        <v>91</v>
      </c>
      <c r="I1684" s="95" t="s">
        <v>7231</v>
      </c>
      <c r="J1684" t="s">
        <v>61</v>
      </c>
      <c r="K1684" t="s">
        <v>62</v>
      </c>
      <c r="M1684">
        <v>67.86</v>
      </c>
      <c r="N1684" s="4">
        <f t="shared" si="26"/>
        <v>-100</v>
      </c>
      <c r="O1684" t="s">
        <v>83</v>
      </c>
    </row>
    <row r="1685" spans="1:15" x14ac:dyDescent="0.25">
      <c r="A1685" s="43">
        <v>45737</v>
      </c>
      <c r="B1685" s="1">
        <v>210176916</v>
      </c>
      <c r="C1685" t="s">
        <v>1575</v>
      </c>
      <c r="D1685" s="23">
        <v>-6786</v>
      </c>
      <c r="E1685" t="s">
        <v>35</v>
      </c>
      <c r="F1685" s="2">
        <v>212901001</v>
      </c>
      <c r="G1685" s="2" t="s">
        <v>91</v>
      </c>
      <c r="I1685" s="95" t="s">
        <v>7231</v>
      </c>
      <c r="J1685" t="s">
        <v>61</v>
      </c>
      <c r="K1685" t="s">
        <v>62</v>
      </c>
      <c r="M1685">
        <v>67.86</v>
      </c>
      <c r="N1685" s="4">
        <f t="shared" si="26"/>
        <v>-100</v>
      </c>
      <c r="O1685" t="s">
        <v>83</v>
      </c>
    </row>
    <row r="1686" spans="1:15" x14ac:dyDescent="0.25">
      <c r="A1686" s="43">
        <v>45737</v>
      </c>
      <c r="B1686" s="1">
        <v>210176917</v>
      </c>
      <c r="C1686" t="s">
        <v>1576</v>
      </c>
      <c r="D1686" s="23">
        <v>-10179</v>
      </c>
      <c r="E1686" t="s">
        <v>35</v>
      </c>
      <c r="F1686" s="2">
        <v>212901001</v>
      </c>
      <c r="G1686" s="2" t="s">
        <v>91</v>
      </c>
      <c r="I1686" s="95" t="s">
        <v>7231</v>
      </c>
      <c r="J1686" t="s">
        <v>61</v>
      </c>
      <c r="K1686" t="s">
        <v>62</v>
      </c>
      <c r="M1686">
        <v>67.86</v>
      </c>
      <c r="N1686" s="4">
        <f t="shared" si="26"/>
        <v>-150</v>
      </c>
      <c r="O1686" t="s">
        <v>83</v>
      </c>
    </row>
    <row r="1687" spans="1:15" x14ac:dyDescent="0.25">
      <c r="A1687" s="43">
        <v>45737</v>
      </c>
      <c r="B1687" s="1">
        <v>210176920</v>
      </c>
      <c r="C1687" t="s">
        <v>1577</v>
      </c>
      <c r="D1687" s="23">
        <v>-7464.6</v>
      </c>
      <c r="E1687" t="s">
        <v>35</v>
      </c>
      <c r="F1687" s="2">
        <v>212901001</v>
      </c>
      <c r="G1687" s="2" t="s">
        <v>91</v>
      </c>
      <c r="I1687" s="95" t="s">
        <v>7231</v>
      </c>
      <c r="J1687" t="s">
        <v>61</v>
      </c>
      <c r="K1687" t="s">
        <v>62</v>
      </c>
      <c r="M1687">
        <v>67.86</v>
      </c>
      <c r="N1687" s="4">
        <f t="shared" si="26"/>
        <v>-110</v>
      </c>
      <c r="O1687" t="s">
        <v>83</v>
      </c>
    </row>
    <row r="1688" spans="1:15" x14ac:dyDescent="0.25">
      <c r="A1688" s="43">
        <v>45737</v>
      </c>
      <c r="B1688" s="1">
        <v>210176918</v>
      </c>
      <c r="C1688" t="s">
        <v>1578</v>
      </c>
      <c r="D1688" s="23">
        <v>-2035.8</v>
      </c>
      <c r="E1688" t="s">
        <v>35</v>
      </c>
      <c r="F1688" s="2">
        <v>212901001</v>
      </c>
      <c r="G1688" s="2" t="s">
        <v>91</v>
      </c>
      <c r="I1688" s="95" t="s">
        <v>7231</v>
      </c>
      <c r="J1688" t="s">
        <v>61</v>
      </c>
      <c r="K1688" t="s">
        <v>62</v>
      </c>
      <c r="M1688">
        <v>67.86</v>
      </c>
      <c r="N1688" s="4">
        <f t="shared" si="26"/>
        <v>-30</v>
      </c>
      <c r="O1688" t="s">
        <v>83</v>
      </c>
    </row>
    <row r="1689" spans="1:15" x14ac:dyDescent="0.25">
      <c r="A1689" s="43">
        <v>45737</v>
      </c>
      <c r="B1689" s="1">
        <v>210176922</v>
      </c>
      <c r="C1689" t="s">
        <v>1579</v>
      </c>
      <c r="D1689" s="23">
        <v>-6786</v>
      </c>
      <c r="E1689" t="s">
        <v>35</v>
      </c>
      <c r="F1689" s="2">
        <v>212901001</v>
      </c>
      <c r="G1689" s="2" t="s">
        <v>91</v>
      </c>
      <c r="I1689" s="95" t="s">
        <v>7231</v>
      </c>
      <c r="J1689" t="s">
        <v>61</v>
      </c>
      <c r="K1689" t="s">
        <v>62</v>
      </c>
      <c r="M1689">
        <v>67.86</v>
      </c>
      <c r="N1689" s="4">
        <f t="shared" si="26"/>
        <v>-100</v>
      </c>
      <c r="O1689" t="s">
        <v>83</v>
      </c>
    </row>
    <row r="1690" spans="1:15" x14ac:dyDescent="0.25">
      <c r="A1690" s="43">
        <v>45737</v>
      </c>
      <c r="B1690" s="1">
        <v>210176921</v>
      </c>
      <c r="C1690" t="s">
        <v>1580</v>
      </c>
      <c r="D1690" s="23">
        <v>-5428.8</v>
      </c>
      <c r="E1690" t="s">
        <v>35</v>
      </c>
      <c r="F1690" s="2">
        <v>212901001</v>
      </c>
      <c r="G1690" s="2" t="s">
        <v>91</v>
      </c>
      <c r="I1690" s="95" t="s">
        <v>7231</v>
      </c>
      <c r="J1690" t="s">
        <v>61</v>
      </c>
      <c r="K1690" t="s">
        <v>62</v>
      </c>
      <c r="M1690">
        <v>67.86</v>
      </c>
      <c r="N1690" s="4">
        <f t="shared" si="26"/>
        <v>-80</v>
      </c>
      <c r="O1690" t="s">
        <v>83</v>
      </c>
    </row>
    <row r="1691" spans="1:15" x14ac:dyDescent="0.25">
      <c r="A1691" s="43">
        <v>45737</v>
      </c>
      <c r="B1691" s="1">
        <v>210176923</v>
      </c>
      <c r="C1691" t="s">
        <v>1581</v>
      </c>
      <c r="D1691" s="23">
        <v>-1017.9</v>
      </c>
      <c r="E1691" t="s">
        <v>35</v>
      </c>
      <c r="F1691" s="2">
        <v>212901001</v>
      </c>
      <c r="G1691" s="2" t="s">
        <v>91</v>
      </c>
      <c r="I1691" s="95" t="s">
        <v>7231</v>
      </c>
      <c r="J1691" t="s">
        <v>61</v>
      </c>
      <c r="K1691" t="s">
        <v>62</v>
      </c>
      <c r="M1691">
        <v>67.86</v>
      </c>
      <c r="N1691" s="4">
        <f t="shared" si="26"/>
        <v>-15</v>
      </c>
      <c r="O1691" t="s">
        <v>83</v>
      </c>
    </row>
    <row r="1692" spans="1:15" x14ac:dyDescent="0.25">
      <c r="A1692" s="43">
        <v>45737</v>
      </c>
      <c r="B1692" s="1">
        <v>310176928</v>
      </c>
      <c r="C1692" t="s">
        <v>1582</v>
      </c>
      <c r="D1692" s="23">
        <v>-2850.12</v>
      </c>
      <c r="E1692" t="s">
        <v>35</v>
      </c>
      <c r="F1692" s="2">
        <v>212901001</v>
      </c>
      <c r="G1692" s="2" t="s">
        <v>91</v>
      </c>
      <c r="I1692" s="95" t="s">
        <v>7231</v>
      </c>
      <c r="J1692" t="s">
        <v>61</v>
      </c>
      <c r="K1692" t="s">
        <v>62</v>
      </c>
      <c r="M1692">
        <v>67.86</v>
      </c>
      <c r="N1692" s="4">
        <f t="shared" si="26"/>
        <v>-42</v>
      </c>
      <c r="O1692" t="s">
        <v>83</v>
      </c>
    </row>
    <row r="1693" spans="1:15" x14ac:dyDescent="0.25">
      <c r="A1693" s="43">
        <v>45737</v>
      </c>
      <c r="B1693" s="1">
        <v>310176927</v>
      </c>
      <c r="C1693" t="s">
        <v>1583</v>
      </c>
      <c r="D1693" s="23">
        <v>-4071.6</v>
      </c>
      <c r="E1693" t="s">
        <v>35</v>
      </c>
      <c r="F1693" s="2">
        <v>212901001</v>
      </c>
      <c r="G1693" s="2" t="s">
        <v>91</v>
      </c>
      <c r="I1693" s="95" t="s">
        <v>7231</v>
      </c>
      <c r="J1693" t="s">
        <v>61</v>
      </c>
      <c r="K1693" t="s">
        <v>62</v>
      </c>
      <c r="M1693">
        <v>67.86</v>
      </c>
      <c r="N1693" s="4">
        <f t="shared" si="26"/>
        <v>-60</v>
      </c>
      <c r="O1693" t="s">
        <v>83</v>
      </c>
    </row>
    <row r="1694" spans="1:15" x14ac:dyDescent="0.25">
      <c r="A1694" s="43">
        <v>45737</v>
      </c>
      <c r="B1694" s="1">
        <v>310176925</v>
      </c>
      <c r="C1694" t="s">
        <v>1584</v>
      </c>
      <c r="D1694" s="23">
        <v>-4750.2</v>
      </c>
      <c r="E1694" t="s">
        <v>35</v>
      </c>
      <c r="F1694" s="2">
        <v>212901001</v>
      </c>
      <c r="G1694" s="2" t="s">
        <v>91</v>
      </c>
      <c r="I1694" s="95" t="s">
        <v>7231</v>
      </c>
      <c r="J1694" t="s">
        <v>61</v>
      </c>
      <c r="K1694" t="s">
        <v>62</v>
      </c>
      <c r="M1694">
        <v>67.86</v>
      </c>
      <c r="N1694" s="4">
        <f t="shared" si="26"/>
        <v>-70</v>
      </c>
      <c r="O1694" t="s">
        <v>83</v>
      </c>
    </row>
    <row r="1695" spans="1:15" x14ac:dyDescent="0.25">
      <c r="A1695" s="43">
        <v>45737</v>
      </c>
      <c r="B1695" s="1">
        <v>310176930</v>
      </c>
      <c r="C1695" t="s">
        <v>1585</v>
      </c>
      <c r="D1695" s="23">
        <v>-3393</v>
      </c>
      <c r="E1695" t="s">
        <v>35</v>
      </c>
      <c r="F1695" s="2">
        <v>212901001</v>
      </c>
      <c r="G1695" s="2" t="s">
        <v>91</v>
      </c>
      <c r="I1695" s="95" t="s">
        <v>7231</v>
      </c>
      <c r="J1695" t="s">
        <v>61</v>
      </c>
      <c r="K1695" t="s">
        <v>62</v>
      </c>
      <c r="M1695">
        <v>67.86</v>
      </c>
      <c r="N1695" s="4">
        <f t="shared" si="26"/>
        <v>-50</v>
      </c>
      <c r="O1695" t="s">
        <v>83</v>
      </c>
    </row>
    <row r="1696" spans="1:15" x14ac:dyDescent="0.25">
      <c r="A1696" s="43">
        <v>45737</v>
      </c>
      <c r="B1696" s="1">
        <v>310176929</v>
      </c>
      <c r="C1696" t="s">
        <v>1586</v>
      </c>
      <c r="D1696" s="23">
        <v>-3393</v>
      </c>
      <c r="E1696" t="s">
        <v>35</v>
      </c>
      <c r="F1696" s="2">
        <v>212901001</v>
      </c>
      <c r="G1696" s="2" t="s">
        <v>91</v>
      </c>
      <c r="I1696" s="95" t="s">
        <v>7231</v>
      </c>
      <c r="J1696" t="s">
        <v>61</v>
      </c>
      <c r="K1696" t="s">
        <v>62</v>
      </c>
      <c r="M1696">
        <v>67.86</v>
      </c>
      <c r="N1696" s="4">
        <f t="shared" si="26"/>
        <v>-50</v>
      </c>
      <c r="O1696" t="s">
        <v>83</v>
      </c>
    </row>
    <row r="1697" spans="1:15" x14ac:dyDescent="0.25">
      <c r="A1697" s="43">
        <v>45737</v>
      </c>
      <c r="B1697" s="1">
        <v>210176924</v>
      </c>
      <c r="C1697" t="s">
        <v>1587</v>
      </c>
      <c r="D1697" s="23">
        <v>-4750.2</v>
      </c>
      <c r="E1697" t="s">
        <v>35</v>
      </c>
      <c r="F1697" s="2">
        <v>212901001</v>
      </c>
      <c r="G1697" s="2" t="s">
        <v>91</v>
      </c>
      <c r="I1697" s="95" t="s">
        <v>7231</v>
      </c>
      <c r="J1697" t="s">
        <v>61</v>
      </c>
      <c r="K1697" t="s">
        <v>62</v>
      </c>
      <c r="M1697">
        <v>67.86</v>
      </c>
      <c r="N1697" s="4">
        <f t="shared" si="26"/>
        <v>-70</v>
      </c>
      <c r="O1697" t="s">
        <v>83</v>
      </c>
    </row>
    <row r="1698" spans="1:15" x14ac:dyDescent="0.25">
      <c r="A1698" s="43">
        <v>45737</v>
      </c>
      <c r="B1698" s="1">
        <v>310176931</v>
      </c>
      <c r="C1698" t="s">
        <v>1588</v>
      </c>
      <c r="D1698" s="23">
        <v>-3393</v>
      </c>
      <c r="E1698" t="s">
        <v>35</v>
      </c>
      <c r="F1698" s="2">
        <v>212901001</v>
      </c>
      <c r="G1698" s="2" t="s">
        <v>91</v>
      </c>
      <c r="I1698" s="95" t="s">
        <v>7231</v>
      </c>
      <c r="J1698" t="s">
        <v>61</v>
      </c>
      <c r="K1698" t="s">
        <v>62</v>
      </c>
      <c r="M1698">
        <v>67.86</v>
      </c>
      <c r="N1698" s="4">
        <f t="shared" si="26"/>
        <v>-50</v>
      </c>
      <c r="O1698" t="s">
        <v>83</v>
      </c>
    </row>
    <row r="1699" spans="1:15" x14ac:dyDescent="0.25">
      <c r="A1699" s="43">
        <v>45737</v>
      </c>
      <c r="B1699" s="1">
        <v>310176933</v>
      </c>
      <c r="C1699" t="s">
        <v>1589</v>
      </c>
      <c r="D1699" s="23">
        <v>-2850.12</v>
      </c>
      <c r="E1699" t="s">
        <v>35</v>
      </c>
      <c r="F1699" s="2">
        <v>212901001</v>
      </c>
      <c r="G1699" s="2" t="s">
        <v>91</v>
      </c>
      <c r="I1699" s="95" t="s">
        <v>7231</v>
      </c>
      <c r="J1699" t="s">
        <v>61</v>
      </c>
      <c r="K1699" t="s">
        <v>62</v>
      </c>
      <c r="M1699">
        <v>67.86</v>
      </c>
      <c r="N1699" s="4">
        <f t="shared" si="26"/>
        <v>-42</v>
      </c>
      <c r="O1699" t="s">
        <v>83</v>
      </c>
    </row>
    <row r="1700" spans="1:15" x14ac:dyDescent="0.25">
      <c r="A1700" s="43">
        <v>45737</v>
      </c>
      <c r="B1700" s="1">
        <v>310176937</v>
      </c>
      <c r="C1700" t="s">
        <v>1590</v>
      </c>
      <c r="D1700" s="23">
        <v>-3393</v>
      </c>
      <c r="E1700" t="s">
        <v>35</v>
      </c>
      <c r="F1700" s="2">
        <v>212901001</v>
      </c>
      <c r="G1700" s="2" t="s">
        <v>91</v>
      </c>
      <c r="I1700" s="95" t="s">
        <v>7231</v>
      </c>
      <c r="J1700" t="s">
        <v>61</v>
      </c>
      <c r="K1700" t="s">
        <v>62</v>
      </c>
      <c r="M1700">
        <v>67.86</v>
      </c>
      <c r="N1700" s="4">
        <f t="shared" si="26"/>
        <v>-50</v>
      </c>
      <c r="O1700" t="s">
        <v>83</v>
      </c>
    </row>
    <row r="1701" spans="1:15" x14ac:dyDescent="0.25">
      <c r="A1701" s="43">
        <v>45737</v>
      </c>
      <c r="B1701" s="1">
        <v>410176938</v>
      </c>
      <c r="C1701" t="s">
        <v>1585</v>
      </c>
      <c r="D1701" s="23">
        <v>-3393</v>
      </c>
      <c r="E1701" t="s">
        <v>35</v>
      </c>
      <c r="F1701" s="2">
        <v>212901001</v>
      </c>
      <c r="G1701" s="2" t="s">
        <v>91</v>
      </c>
      <c r="I1701" s="95" t="s">
        <v>7231</v>
      </c>
      <c r="J1701" t="s">
        <v>61</v>
      </c>
      <c r="K1701" t="s">
        <v>62</v>
      </c>
      <c r="M1701">
        <v>67.86</v>
      </c>
      <c r="N1701" s="4">
        <f t="shared" si="26"/>
        <v>-50</v>
      </c>
      <c r="O1701" t="s">
        <v>83</v>
      </c>
    </row>
    <row r="1702" spans="1:15" x14ac:dyDescent="0.25">
      <c r="A1702" s="43">
        <v>45737</v>
      </c>
      <c r="B1702" s="1">
        <v>310176932</v>
      </c>
      <c r="C1702" t="s">
        <v>1591</v>
      </c>
      <c r="D1702" s="23">
        <v>-3393</v>
      </c>
      <c r="E1702" t="s">
        <v>35</v>
      </c>
      <c r="F1702" s="2">
        <v>212901001</v>
      </c>
      <c r="G1702" s="2" t="s">
        <v>91</v>
      </c>
      <c r="I1702" s="95" t="s">
        <v>7231</v>
      </c>
      <c r="J1702" t="s">
        <v>61</v>
      </c>
      <c r="K1702" t="s">
        <v>62</v>
      </c>
      <c r="M1702">
        <v>67.86</v>
      </c>
      <c r="N1702" s="4">
        <f t="shared" si="26"/>
        <v>-50</v>
      </c>
      <c r="O1702" t="s">
        <v>83</v>
      </c>
    </row>
    <row r="1703" spans="1:15" x14ac:dyDescent="0.25">
      <c r="A1703" s="43">
        <v>45737</v>
      </c>
      <c r="B1703" s="1">
        <v>410176939</v>
      </c>
      <c r="C1703" t="s">
        <v>1592</v>
      </c>
      <c r="D1703" s="23">
        <v>-2850.12</v>
      </c>
      <c r="E1703" t="s">
        <v>35</v>
      </c>
      <c r="F1703" s="2">
        <v>212901001</v>
      </c>
      <c r="G1703" s="2" t="s">
        <v>91</v>
      </c>
      <c r="I1703" s="95" t="s">
        <v>7231</v>
      </c>
      <c r="J1703" t="s">
        <v>61</v>
      </c>
      <c r="K1703" t="s">
        <v>62</v>
      </c>
      <c r="M1703">
        <v>67.86</v>
      </c>
      <c r="N1703" s="4">
        <f t="shared" si="26"/>
        <v>-42</v>
      </c>
      <c r="O1703" t="s">
        <v>83</v>
      </c>
    </row>
    <row r="1704" spans="1:15" x14ac:dyDescent="0.25">
      <c r="A1704" s="43">
        <v>45737</v>
      </c>
      <c r="B1704" s="1">
        <v>410176940</v>
      </c>
      <c r="C1704" t="s">
        <v>1593</v>
      </c>
      <c r="D1704" s="23">
        <v>-3393</v>
      </c>
      <c r="E1704" t="s">
        <v>35</v>
      </c>
      <c r="F1704" s="2">
        <v>212901001</v>
      </c>
      <c r="G1704" s="2" t="s">
        <v>91</v>
      </c>
      <c r="I1704" s="95" t="s">
        <v>7231</v>
      </c>
      <c r="J1704" t="s">
        <v>61</v>
      </c>
      <c r="K1704" t="s">
        <v>62</v>
      </c>
      <c r="M1704">
        <v>67.86</v>
      </c>
      <c r="N1704" s="4">
        <f t="shared" si="26"/>
        <v>-50</v>
      </c>
      <c r="O1704" t="s">
        <v>83</v>
      </c>
    </row>
    <row r="1705" spans="1:15" x14ac:dyDescent="0.25">
      <c r="A1705" s="43">
        <v>45737</v>
      </c>
      <c r="B1705" s="1">
        <v>310176934</v>
      </c>
      <c r="C1705" t="s">
        <v>1594</v>
      </c>
      <c r="D1705" s="23">
        <v>-3393</v>
      </c>
      <c r="E1705" t="s">
        <v>35</v>
      </c>
      <c r="F1705" s="2">
        <v>212901001</v>
      </c>
      <c r="G1705" s="2" t="s">
        <v>91</v>
      </c>
      <c r="I1705" s="95" t="s">
        <v>7231</v>
      </c>
      <c r="J1705" t="s">
        <v>61</v>
      </c>
      <c r="K1705" t="s">
        <v>62</v>
      </c>
      <c r="M1705">
        <v>67.86</v>
      </c>
      <c r="N1705" s="4">
        <f t="shared" si="26"/>
        <v>-50</v>
      </c>
      <c r="O1705" t="s">
        <v>83</v>
      </c>
    </row>
    <row r="1706" spans="1:15" x14ac:dyDescent="0.25">
      <c r="A1706" s="43">
        <v>45737</v>
      </c>
      <c r="B1706" s="1">
        <v>410176943</v>
      </c>
      <c r="C1706" t="s">
        <v>1595</v>
      </c>
      <c r="D1706" s="23">
        <v>-3393</v>
      </c>
      <c r="E1706" t="s">
        <v>35</v>
      </c>
      <c r="F1706" s="2">
        <v>212901001</v>
      </c>
      <c r="G1706" s="2" t="s">
        <v>91</v>
      </c>
      <c r="I1706" s="95" t="s">
        <v>7231</v>
      </c>
      <c r="J1706" t="s">
        <v>61</v>
      </c>
      <c r="K1706" t="s">
        <v>62</v>
      </c>
      <c r="M1706">
        <v>67.86</v>
      </c>
      <c r="N1706" s="4">
        <f t="shared" si="26"/>
        <v>-50</v>
      </c>
      <c r="O1706" t="s">
        <v>83</v>
      </c>
    </row>
    <row r="1707" spans="1:15" x14ac:dyDescent="0.25">
      <c r="A1707" s="43">
        <v>45737</v>
      </c>
      <c r="B1707" s="1">
        <v>410176941</v>
      </c>
      <c r="C1707" t="s">
        <v>1596</v>
      </c>
      <c r="D1707" s="23">
        <v>-3393</v>
      </c>
      <c r="E1707" t="s">
        <v>35</v>
      </c>
      <c r="F1707" s="2">
        <v>212901001</v>
      </c>
      <c r="G1707" s="2" t="s">
        <v>91</v>
      </c>
      <c r="I1707" s="95" t="s">
        <v>7231</v>
      </c>
      <c r="J1707" t="s">
        <v>61</v>
      </c>
      <c r="K1707" t="s">
        <v>62</v>
      </c>
      <c r="M1707">
        <v>67.86</v>
      </c>
      <c r="N1707" s="4">
        <f t="shared" si="26"/>
        <v>-50</v>
      </c>
      <c r="O1707" t="s">
        <v>83</v>
      </c>
    </row>
    <row r="1708" spans="1:15" x14ac:dyDescent="0.25">
      <c r="A1708" s="43">
        <v>45737</v>
      </c>
      <c r="B1708" s="1">
        <v>410176942</v>
      </c>
      <c r="C1708" t="s">
        <v>1597</v>
      </c>
      <c r="D1708" s="23">
        <v>-3393</v>
      </c>
      <c r="E1708" t="s">
        <v>35</v>
      </c>
      <c r="F1708" s="2">
        <v>212901001</v>
      </c>
      <c r="G1708" s="2" t="s">
        <v>91</v>
      </c>
      <c r="I1708" s="95" t="s">
        <v>7231</v>
      </c>
      <c r="J1708" t="s">
        <v>61</v>
      </c>
      <c r="K1708" t="s">
        <v>62</v>
      </c>
      <c r="M1708">
        <v>67.86</v>
      </c>
      <c r="N1708" s="4">
        <f t="shared" si="26"/>
        <v>-50</v>
      </c>
      <c r="O1708" t="s">
        <v>83</v>
      </c>
    </row>
    <row r="1709" spans="1:15" x14ac:dyDescent="0.25">
      <c r="A1709" s="43">
        <v>45737</v>
      </c>
      <c r="B1709" s="1">
        <v>410176944</v>
      </c>
      <c r="C1709" t="s">
        <v>1598</v>
      </c>
      <c r="D1709" s="23">
        <v>-3393</v>
      </c>
      <c r="E1709" t="s">
        <v>35</v>
      </c>
      <c r="F1709" s="2">
        <v>212901001</v>
      </c>
      <c r="G1709" s="2" t="s">
        <v>91</v>
      </c>
      <c r="I1709" s="95" t="s">
        <v>7231</v>
      </c>
      <c r="J1709" t="s">
        <v>61</v>
      </c>
      <c r="K1709" t="s">
        <v>62</v>
      </c>
      <c r="M1709">
        <v>67.86</v>
      </c>
      <c r="N1709" s="4">
        <f t="shared" si="26"/>
        <v>-50</v>
      </c>
      <c r="O1709" t="s">
        <v>83</v>
      </c>
    </row>
    <row r="1710" spans="1:15" x14ac:dyDescent="0.25">
      <c r="A1710" s="43">
        <v>45737</v>
      </c>
      <c r="B1710" s="1">
        <v>410176946</v>
      </c>
      <c r="C1710" t="s">
        <v>1599</v>
      </c>
      <c r="D1710" s="23">
        <v>-1357.2</v>
      </c>
      <c r="E1710" t="s">
        <v>35</v>
      </c>
      <c r="F1710" s="2">
        <v>212901001</v>
      </c>
      <c r="G1710" s="2" t="s">
        <v>91</v>
      </c>
      <c r="I1710" s="95" t="s">
        <v>7231</v>
      </c>
      <c r="J1710" t="s">
        <v>61</v>
      </c>
      <c r="K1710" t="s">
        <v>62</v>
      </c>
      <c r="M1710">
        <v>67.86</v>
      </c>
      <c r="N1710" s="4">
        <f t="shared" si="26"/>
        <v>-20</v>
      </c>
      <c r="O1710" t="s">
        <v>83</v>
      </c>
    </row>
    <row r="1711" spans="1:15" x14ac:dyDescent="0.25">
      <c r="A1711" s="43">
        <v>45737</v>
      </c>
      <c r="B1711" s="1">
        <v>410176945</v>
      </c>
      <c r="C1711" t="s">
        <v>1600</v>
      </c>
      <c r="D1711" s="23">
        <v>-1357.2</v>
      </c>
      <c r="E1711" t="s">
        <v>35</v>
      </c>
      <c r="F1711" s="2">
        <v>212901001</v>
      </c>
      <c r="G1711" s="2" t="s">
        <v>91</v>
      </c>
      <c r="I1711" s="95" t="s">
        <v>7231</v>
      </c>
      <c r="J1711" t="s">
        <v>61</v>
      </c>
      <c r="K1711" t="s">
        <v>62</v>
      </c>
      <c r="M1711">
        <v>67.86</v>
      </c>
      <c r="N1711" s="4">
        <f t="shared" si="26"/>
        <v>-20</v>
      </c>
      <c r="O1711" t="s">
        <v>83</v>
      </c>
    </row>
    <row r="1712" spans="1:15" x14ac:dyDescent="0.25">
      <c r="A1712" s="43">
        <v>45737</v>
      </c>
      <c r="B1712" s="1">
        <v>510176949</v>
      </c>
      <c r="C1712" t="s">
        <v>1601</v>
      </c>
      <c r="D1712" s="23">
        <v>-6786</v>
      </c>
      <c r="E1712" t="s">
        <v>35</v>
      </c>
      <c r="F1712" s="2">
        <v>212901001</v>
      </c>
      <c r="G1712" s="2" t="s">
        <v>91</v>
      </c>
      <c r="I1712" s="95" t="s">
        <v>7231</v>
      </c>
      <c r="J1712" t="s">
        <v>61</v>
      </c>
      <c r="K1712" t="s">
        <v>62</v>
      </c>
      <c r="M1712">
        <v>67.86</v>
      </c>
      <c r="N1712" s="4">
        <f t="shared" si="26"/>
        <v>-100</v>
      </c>
      <c r="O1712" t="s">
        <v>83</v>
      </c>
    </row>
    <row r="1713" spans="1:17" x14ac:dyDescent="0.25">
      <c r="A1713" s="43">
        <v>45737</v>
      </c>
      <c r="B1713" s="1">
        <v>510176950</v>
      </c>
      <c r="C1713" t="s">
        <v>1602</v>
      </c>
      <c r="D1713" s="23">
        <v>-13572</v>
      </c>
      <c r="E1713" t="s">
        <v>35</v>
      </c>
      <c r="F1713" s="2">
        <v>212901001</v>
      </c>
      <c r="G1713" s="2" t="s">
        <v>91</v>
      </c>
      <c r="I1713" s="95" t="s">
        <v>7231</v>
      </c>
      <c r="J1713" t="s">
        <v>61</v>
      </c>
      <c r="K1713" t="s">
        <v>62</v>
      </c>
      <c r="M1713">
        <v>67.86</v>
      </c>
      <c r="N1713" s="4">
        <f t="shared" si="26"/>
        <v>-200</v>
      </c>
      <c r="O1713" t="s">
        <v>83</v>
      </c>
    </row>
    <row r="1714" spans="1:17" x14ac:dyDescent="0.25">
      <c r="A1714" s="43">
        <v>45737</v>
      </c>
      <c r="B1714" s="1">
        <v>510176953</v>
      </c>
      <c r="C1714" t="s">
        <v>1603</v>
      </c>
      <c r="D1714" s="23">
        <v>-2714.4</v>
      </c>
      <c r="E1714" t="s">
        <v>35</v>
      </c>
      <c r="F1714" s="2">
        <v>212901001</v>
      </c>
      <c r="G1714" s="2" t="s">
        <v>91</v>
      </c>
      <c r="I1714" s="95" t="s">
        <v>7231</v>
      </c>
      <c r="J1714" t="s">
        <v>61</v>
      </c>
      <c r="K1714" t="s">
        <v>62</v>
      </c>
      <c r="M1714">
        <v>67.86</v>
      </c>
      <c r="N1714" s="4">
        <f t="shared" si="26"/>
        <v>-40</v>
      </c>
      <c r="O1714" t="s">
        <v>83</v>
      </c>
    </row>
    <row r="1715" spans="1:17" x14ac:dyDescent="0.25">
      <c r="A1715" s="43">
        <v>45737</v>
      </c>
      <c r="B1715" s="1">
        <v>410176948</v>
      </c>
      <c r="C1715" t="s">
        <v>1604</v>
      </c>
      <c r="D1715" s="23">
        <v>-1357.2</v>
      </c>
      <c r="E1715" t="s">
        <v>35</v>
      </c>
      <c r="F1715" s="2">
        <v>212901001</v>
      </c>
      <c r="G1715" s="2" t="s">
        <v>91</v>
      </c>
      <c r="I1715" s="95" t="s">
        <v>7231</v>
      </c>
      <c r="J1715" t="s">
        <v>61</v>
      </c>
      <c r="K1715" t="s">
        <v>62</v>
      </c>
      <c r="M1715">
        <v>67.86</v>
      </c>
      <c r="N1715" s="4">
        <f t="shared" si="26"/>
        <v>-20</v>
      </c>
      <c r="O1715" t="s">
        <v>83</v>
      </c>
    </row>
    <row r="1716" spans="1:17" x14ac:dyDescent="0.25">
      <c r="A1716" s="43">
        <v>45737</v>
      </c>
      <c r="B1716" s="1">
        <v>510176951</v>
      </c>
      <c r="C1716" t="s">
        <v>1605</v>
      </c>
      <c r="D1716" s="23">
        <v>-7736.04</v>
      </c>
      <c r="E1716" t="s">
        <v>35</v>
      </c>
      <c r="F1716" s="2">
        <v>212901001</v>
      </c>
      <c r="G1716" s="2" t="s">
        <v>91</v>
      </c>
      <c r="I1716" s="95" t="s">
        <v>7231</v>
      </c>
      <c r="J1716" t="s">
        <v>61</v>
      </c>
      <c r="K1716" t="s">
        <v>62</v>
      </c>
      <c r="M1716">
        <v>67.86</v>
      </c>
      <c r="N1716" s="4">
        <f t="shared" si="26"/>
        <v>-114</v>
      </c>
      <c r="O1716" t="s">
        <v>83</v>
      </c>
    </row>
    <row r="1717" spans="1:17" x14ac:dyDescent="0.25">
      <c r="A1717" s="43">
        <v>45737</v>
      </c>
      <c r="B1717" s="1">
        <v>510176952</v>
      </c>
      <c r="C1717" t="s">
        <v>1606</v>
      </c>
      <c r="D1717" s="23">
        <v>-2035.8</v>
      </c>
      <c r="E1717" t="s">
        <v>35</v>
      </c>
      <c r="F1717" s="2">
        <v>212901001</v>
      </c>
      <c r="G1717" s="2" t="s">
        <v>91</v>
      </c>
      <c r="I1717" s="95" t="s">
        <v>7231</v>
      </c>
      <c r="J1717" t="s">
        <v>61</v>
      </c>
      <c r="K1717" t="s">
        <v>62</v>
      </c>
      <c r="M1717">
        <v>67.86</v>
      </c>
      <c r="N1717" s="4">
        <f t="shared" si="26"/>
        <v>-30</v>
      </c>
      <c r="O1717" t="s">
        <v>83</v>
      </c>
    </row>
    <row r="1718" spans="1:17" x14ac:dyDescent="0.25">
      <c r="A1718" s="43">
        <v>45737</v>
      </c>
      <c r="B1718" s="1">
        <v>410176947</v>
      </c>
      <c r="C1718" t="s">
        <v>1607</v>
      </c>
      <c r="D1718" s="23">
        <v>-1357.2</v>
      </c>
      <c r="E1718" t="s">
        <v>35</v>
      </c>
      <c r="F1718" s="2">
        <v>212901001</v>
      </c>
      <c r="G1718" s="2" t="s">
        <v>91</v>
      </c>
      <c r="I1718" s="95" t="s">
        <v>7231</v>
      </c>
      <c r="J1718" t="s">
        <v>61</v>
      </c>
      <c r="K1718" t="s">
        <v>62</v>
      </c>
      <c r="M1718">
        <v>67.86</v>
      </c>
      <c r="N1718" s="4">
        <f t="shared" si="26"/>
        <v>-20</v>
      </c>
      <c r="O1718" t="s">
        <v>83</v>
      </c>
    </row>
    <row r="1719" spans="1:17" x14ac:dyDescent="0.25">
      <c r="A1719" s="43">
        <v>45737</v>
      </c>
      <c r="B1719" s="1">
        <v>50377520</v>
      </c>
      <c r="C1719" t="s">
        <v>1608</v>
      </c>
      <c r="D1719" s="23">
        <v>-9500.4</v>
      </c>
      <c r="E1719" t="s">
        <v>35</v>
      </c>
      <c r="F1719" s="2">
        <v>212901001</v>
      </c>
      <c r="G1719" s="2" t="s">
        <v>91</v>
      </c>
      <c r="I1719" s="95" t="s">
        <v>7231</v>
      </c>
      <c r="J1719" t="s">
        <v>61</v>
      </c>
      <c r="K1719" t="s">
        <v>62</v>
      </c>
      <c r="M1719">
        <v>67.86</v>
      </c>
      <c r="N1719" s="4">
        <f t="shared" si="26"/>
        <v>-140</v>
      </c>
      <c r="O1719" t="s">
        <v>83</v>
      </c>
    </row>
    <row r="1720" spans="1:17" x14ac:dyDescent="0.25">
      <c r="A1720" s="43">
        <v>45737</v>
      </c>
      <c r="B1720" s="1">
        <v>50377520</v>
      </c>
      <c r="C1720" t="s">
        <v>179</v>
      </c>
      <c r="D1720" s="23">
        <v>-14.25</v>
      </c>
      <c r="E1720" t="s">
        <v>35</v>
      </c>
      <c r="F1720" s="2">
        <v>610148001</v>
      </c>
      <c r="G1720" s="2" t="s">
        <v>41</v>
      </c>
      <c r="I1720" s="95" t="s">
        <v>7231</v>
      </c>
      <c r="J1720" t="s">
        <v>42</v>
      </c>
      <c r="K1720" t="s">
        <v>41</v>
      </c>
      <c r="M1720">
        <v>67.86</v>
      </c>
      <c r="N1720" s="4">
        <f t="shared" si="26"/>
        <v>-0.20999115826702033</v>
      </c>
      <c r="O1720" t="s">
        <v>83</v>
      </c>
      <c r="Q1720" s="24" t="s">
        <v>1310</v>
      </c>
    </row>
    <row r="1721" spans="1:17" x14ac:dyDescent="0.25">
      <c r="A1721" s="43">
        <v>45737</v>
      </c>
      <c r="B1721" s="1">
        <v>50377520</v>
      </c>
      <c r="C1721" t="s">
        <v>89</v>
      </c>
      <c r="D1721" s="23">
        <v>-754.09</v>
      </c>
      <c r="E1721" t="s">
        <v>35</v>
      </c>
      <c r="F1721" s="2">
        <v>610148001</v>
      </c>
      <c r="G1721" s="2" t="s">
        <v>41</v>
      </c>
      <c r="I1721" s="95" t="s">
        <v>7231</v>
      </c>
      <c r="J1721" t="s">
        <v>42</v>
      </c>
      <c r="K1721" t="s">
        <v>41</v>
      </c>
      <c r="M1721">
        <v>67.86</v>
      </c>
      <c r="N1721" s="4">
        <f t="shared" si="26"/>
        <v>-11.112437371058061</v>
      </c>
      <c r="O1721" t="s">
        <v>83</v>
      </c>
      <c r="Q1721" s="24" t="s">
        <v>1310</v>
      </c>
    </row>
    <row r="1722" spans="1:17" x14ac:dyDescent="0.25">
      <c r="A1722" s="43">
        <v>45740</v>
      </c>
      <c r="B1722" s="1">
        <v>210284833</v>
      </c>
      <c r="C1722" t="s">
        <v>1609</v>
      </c>
      <c r="D1722" s="23">
        <v>-500</v>
      </c>
      <c r="E1722" t="s">
        <v>35</v>
      </c>
      <c r="F1722" s="2">
        <v>110110001</v>
      </c>
      <c r="G1722" s="2" t="s">
        <v>655</v>
      </c>
      <c r="I1722" s="95" t="s">
        <v>7231</v>
      </c>
      <c r="J1722" t="s">
        <v>1299</v>
      </c>
      <c r="K1722" t="s">
        <v>87</v>
      </c>
      <c r="M1722">
        <v>68.31</v>
      </c>
      <c r="N1722" s="4">
        <f t="shared" si="26"/>
        <v>-7.3195725369638414</v>
      </c>
      <c r="O1722" t="s">
        <v>83</v>
      </c>
      <c r="Q1722" s="24" t="s">
        <v>1610</v>
      </c>
    </row>
    <row r="1723" spans="1:17" x14ac:dyDescent="0.25">
      <c r="A1723" s="43">
        <v>45740</v>
      </c>
      <c r="B1723" s="1">
        <v>210284833</v>
      </c>
      <c r="C1723" t="s">
        <v>185</v>
      </c>
      <c r="D1723" s="23">
        <v>-1.5</v>
      </c>
      <c r="E1723" t="s">
        <v>35</v>
      </c>
      <c r="F1723" s="2">
        <v>610148001</v>
      </c>
      <c r="G1723" s="2" t="s">
        <v>41</v>
      </c>
      <c r="I1723" s="95" t="s">
        <v>7231</v>
      </c>
      <c r="J1723" t="s">
        <v>42</v>
      </c>
      <c r="K1723" t="s">
        <v>41</v>
      </c>
      <c r="M1723">
        <v>68.31</v>
      </c>
      <c r="N1723" s="4">
        <f t="shared" si="26"/>
        <v>-2.1958717610891524E-2</v>
      </c>
      <c r="O1723" t="s">
        <v>83</v>
      </c>
      <c r="Q1723" s="24" t="s">
        <v>1310</v>
      </c>
    </row>
    <row r="1724" spans="1:17" x14ac:dyDescent="0.25">
      <c r="A1724" s="43">
        <v>45740</v>
      </c>
      <c r="B1724" s="1">
        <v>110287231</v>
      </c>
      <c r="C1724" t="s">
        <v>1611</v>
      </c>
      <c r="D1724" s="23">
        <v>-27214.02</v>
      </c>
      <c r="E1724" t="s">
        <v>35</v>
      </c>
      <c r="F1724" s="2">
        <v>210101001</v>
      </c>
      <c r="G1724" s="2" t="s">
        <v>36</v>
      </c>
      <c r="I1724" s="95" t="s">
        <v>7231</v>
      </c>
      <c r="J1724" t="s">
        <v>182</v>
      </c>
      <c r="K1724" t="s">
        <v>183</v>
      </c>
      <c r="M1724">
        <v>68.31</v>
      </c>
      <c r="N1724" s="4">
        <f t="shared" si="26"/>
        <v>-398.38998682476944</v>
      </c>
      <c r="O1724" t="s">
        <v>83</v>
      </c>
    </row>
    <row r="1725" spans="1:17" x14ac:dyDescent="0.25">
      <c r="A1725" s="43">
        <v>45740</v>
      </c>
      <c r="B1725" s="1">
        <v>110287231</v>
      </c>
      <c r="C1725" t="s">
        <v>185</v>
      </c>
      <c r="D1725" s="23">
        <v>-81.64</v>
      </c>
      <c r="E1725" t="s">
        <v>35</v>
      </c>
      <c r="F1725" s="2">
        <v>610148001</v>
      </c>
      <c r="G1725" s="2" t="s">
        <v>41</v>
      </c>
      <c r="I1725" s="95" t="s">
        <v>7231</v>
      </c>
      <c r="J1725" t="s">
        <v>42</v>
      </c>
      <c r="K1725" t="s">
        <v>41</v>
      </c>
      <c r="M1725">
        <v>68.31</v>
      </c>
      <c r="N1725" s="4">
        <f t="shared" si="26"/>
        <v>-1.1951398038354559</v>
      </c>
      <c r="O1725" t="s">
        <v>83</v>
      </c>
      <c r="Q1725" s="24" t="s">
        <v>1310</v>
      </c>
    </row>
    <row r="1726" spans="1:17" x14ac:dyDescent="0.25">
      <c r="A1726" s="43">
        <v>45740</v>
      </c>
      <c r="B1726" s="1">
        <v>710292840</v>
      </c>
      <c r="C1726" t="s">
        <v>1612</v>
      </c>
      <c r="D1726" s="23">
        <v>-5979.88</v>
      </c>
      <c r="E1726" t="s">
        <v>35</v>
      </c>
      <c r="F1726" s="2">
        <v>110114001</v>
      </c>
      <c r="G1726" s="2" t="s">
        <v>181</v>
      </c>
      <c r="I1726" s="95" t="s">
        <v>7231</v>
      </c>
      <c r="J1726" t="s">
        <v>37</v>
      </c>
      <c r="K1726" t="s">
        <v>38</v>
      </c>
      <c r="M1726">
        <v>68.31</v>
      </c>
      <c r="N1726" s="4">
        <f t="shared" si="26"/>
        <v>-87.540330844678664</v>
      </c>
      <c r="O1726" t="s">
        <v>83</v>
      </c>
      <c r="P1726" s="34" t="s">
        <v>694</v>
      </c>
    </row>
    <row r="1727" spans="1:17" x14ac:dyDescent="0.25">
      <c r="A1727" s="43">
        <v>45740</v>
      </c>
      <c r="B1727" s="1">
        <v>710292840</v>
      </c>
      <c r="C1727" t="s">
        <v>185</v>
      </c>
      <c r="D1727" s="23">
        <v>-17.940000000000001</v>
      </c>
      <c r="E1727" t="s">
        <v>35</v>
      </c>
      <c r="F1727" s="2">
        <v>610148001</v>
      </c>
      <c r="G1727" s="2" t="s">
        <v>41</v>
      </c>
      <c r="I1727" s="95" t="s">
        <v>7231</v>
      </c>
      <c r="J1727" t="s">
        <v>42</v>
      </c>
      <c r="K1727" t="s">
        <v>41</v>
      </c>
      <c r="M1727">
        <v>68.31</v>
      </c>
      <c r="N1727" s="4">
        <f t="shared" si="26"/>
        <v>-0.26262626262626265</v>
      </c>
      <c r="O1727" t="s">
        <v>83</v>
      </c>
      <c r="Q1727" s="24" t="s">
        <v>1310</v>
      </c>
    </row>
    <row r="1728" spans="1:17" x14ac:dyDescent="0.25">
      <c r="A1728" s="43">
        <v>45740</v>
      </c>
      <c r="B1728" s="1">
        <v>141648306</v>
      </c>
      <c r="C1728" t="s">
        <v>1613</v>
      </c>
      <c r="D1728" s="23">
        <v>-8402.16</v>
      </c>
      <c r="E1728" t="s">
        <v>35</v>
      </c>
      <c r="F1728" s="2">
        <v>210101001</v>
      </c>
      <c r="G1728" s="2" t="s">
        <v>36</v>
      </c>
      <c r="I1728" s="95" t="s">
        <v>7231</v>
      </c>
      <c r="J1728" t="s">
        <v>1614</v>
      </c>
      <c r="K1728" t="s">
        <v>1615</v>
      </c>
      <c r="M1728">
        <v>68.31</v>
      </c>
      <c r="N1728" s="4">
        <f t="shared" si="26"/>
        <v>-123.00043917435221</v>
      </c>
      <c r="O1728" t="s">
        <v>83</v>
      </c>
    </row>
    <row r="1729" spans="1:17" x14ac:dyDescent="0.25">
      <c r="A1729" s="43">
        <v>45740</v>
      </c>
      <c r="B1729" s="1">
        <v>637026637</v>
      </c>
      <c r="C1729" t="s">
        <v>1616</v>
      </c>
      <c r="D1729" s="23">
        <v>13946.17</v>
      </c>
      <c r="E1729" t="s">
        <v>45</v>
      </c>
      <c r="F1729" s="2">
        <v>110106001</v>
      </c>
      <c r="G1729" s="2" t="s">
        <v>1011</v>
      </c>
      <c r="I1729" s="95" t="s">
        <v>7231</v>
      </c>
      <c r="K1729" t="s">
        <v>1617</v>
      </c>
      <c r="M1729">
        <v>68.31</v>
      </c>
      <c r="N1729" s="4">
        <f t="shared" si="26"/>
        <v>204.16000585565803</v>
      </c>
      <c r="O1729" t="s">
        <v>83</v>
      </c>
    </row>
    <row r="1730" spans="1:17" x14ac:dyDescent="0.25">
      <c r="A1730" s="43">
        <v>45740</v>
      </c>
      <c r="B1730" s="1">
        <v>637026637</v>
      </c>
      <c r="C1730" t="s">
        <v>1013</v>
      </c>
      <c r="D1730" s="23">
        <v>-209.19</v>
      </c>
      <c r="E1730" t="s">
        <v>35</v>
      </c>
      <c r="F1730" s="2">
        <v>610148001</v>
      </c>
      <c r="G1730" s="2" t="s">
        <v>41</v>
      </c>
      <c r="I1730" s="95" t="s">
        <v>7231</v>
      </c>
      <c r="J1730" t="s">
        <v>42</v>
      </c>
      <c r="K1730" t="s">
        <v>41</v>
      </c>
      <c r="M1730">
        <v>68.31</v>
      </c>
      <c r="N1730" s="4">
        <f t="shared" si="26"/>
        <v>-3.062362758014932</v>
      </c>
      <c r="O1730" t="s">
        <v>83</v>
      </c>
      <c r="Q1730" s="24" t="s">
        <v>1310</v>
      </c>
    </row>
    <row r="1731" spans="1:17" x14ac:dyDescent="0.25">
      <c r="A1731" s="43">
        <v>45740</v>
      </c>
      <c r="B1731" s="1">
        <v>210301519</v>
      </c>
      <c r="C1731" t="s">
        <v>906</v>
      </c>
      <c r="D1731" s="23">
        <v>-60</v>
      </c>
      <c r="E1731" t="s">
        <v>35</v>
      </c>
      <c r="F1731" s="2">
        <v>210101001</v>
      </c>
      <c r="G1731" s="2" t="s">
        <v>36</v>
      </c>
      <c r="I1731" s="95" t="s">
        <v>7231</v>
      </c>
      <c r="J1731" t="s">
        <v>380</v>
      </c>
      <c r="K1731" t="s">
        <v>381</v>
      </c>
      <c r="M1731">
        <v>68.31</v>
      </c>
      <c r="N1731" s="4">
        <f t="shared" si="26"/>
        <v>-0.87834870443566093</v>
      </c>
      <c r="O1731" t="s">
        <v>83</v>
      </c>
      <c r="P1731" t="s">
        <v>694</v>
      </c>
    </row>
    <row r="1732" spans="1:17" x14ac:dyDescent="0.25">
      <c r="A1732" s="43">
        <v>45740</v>
      </c>
      <c r="B1732" s="1">
        <v>210301519</v>
      </c>
      <c r="C1732" t="s">
        <v>185</v>
      </c>
      <c r="D1732" s="23">
        <v>-0.18</v>
      </c>
      <c r="E1732" t="s">
        <v>35</v>
      </c>
      <c r="F1732" s="2">
        <v>610148001</v>
      </c>
      <c r="G1732" s="2" t="s">
        <v>41</v>
      </c>
      <c r="I1732" s="95" t="s">
        <v>7231</v>
      </c>
      <c r="J1732" t="s">
        <v>42</v>
      </c>
      <c r="K1732" t="s">
        <v>41</v>
      </c>
      <c r="M1732">
        <v>68.31</v>
      </c>
      <c r="N1732" s="4">
        <f t="shared" si="26"/>
        <v>-2.6350461133069825E-3</v>
      </c>
      <c r="O1732" t="s">
        <v>83</v>
      </c>
      <c r="Q1732" s="24" t="s">
        <v>1310</v>
      </c>
    </row>
    <row r="1733" spans="1:17" x14ac:dyDescent="0.25">
      <c r="A1733" s="43">
        <v>45741</v>
      </c>
      <c r="B1733" s="1">
        <v>810026649</v>
      </c>
      <c r="C1733" t="s">
        <v>1618</v>
      </c>
      <c r="D1733" s="23">
        <v>15231.82</v>
      </c>
      <c r="E1733" t="s">
        <v>45</v>
      </c>
      <c r="F1733" s="2">
        <v>110106001</v>
      </c>
      <c r="G1733" s="2" t="s">
        <v>1011</v>
      </c>
      <c r="I1733" s="95" t="s">
        <v>7231</v>
      </c>
      <c r="K1733" t="s">
        <v>1617</v>
      </c>
      <c r="M1733">
        <v>68.39</v>
      </c>
      <c r="N1733" s="4">
        <f t="shared" si="26"/>
        <v>222.71998830238337</v>
      </c>
      <c r="O1733" t="s">
        <v>83</v>
      </c>
    </row>
    <row r="1734" spans="1:17" x14ac:dyDescent="0.25">
      <c r="A1734" s="43">
        <v>45741</v>
      </c>
      <c r="B1734" s="1">
        <v>810026649</v>
      </c>
      <c r="C1734" t="s">
        <v>1013</v>
      </c>
      <c r="D1734" s="23">
        <v>-228.47</v>
      </c>
      <c r="E1734" t="s">
        <v>35</v>
      </c>
      <c r="F1734" s="2">
        <v>610148001</v>
      </c>
      <c r="G1734" s="2" t="s">
        <v>41</v>
      </c>
      <c r="I1734" s="95" t="s">
        <v>7231</v>
      </c>
      <c r="J1734" t="s">
        <v>42</v>
      </c>
      <c r="K1734" t="s">
        <v>41</v>
      </c>
      <c r="M1734">
        <v>68.39</v>
      </c>
      <c r="N1734" s="4">
        <f t="shared" si="26"/>
        <v>-3.3406930837841791</v>
      </c>
      <c r="O1734" t="s">
        <v>83</v>
      </c>
      <c r="Q1734" s="24" t="s">
        <v>1310</v>
      </c>
    </row>
    <row r="1735" spans="1:17" x14ac:dyDescent="0.25">
      <c r="A1735" s="43">
        <v>45741</v>
      </c>
      <c r="B1735" s="1">
        <v>110338653</v>
      </c>
      <c r="C1735" t="s">
        <v>1619</v>
      </c>
      <c r="D1735" s="23">
        <v>-3009.16</v>
      </c>
      <c r="E1735" t="s">
        <v>35</v>
      </c>
      <c r="F1735" s="2">
        <v>210101001</v>
      </c>
      <c r="G1735" s="2" t="s">
        <v>36</v>
      </c>
      <c r="I1735" s="95" t="s">
        <v>7231</v>
      </c>
      <c r="J1735" t="s">
        <v>414</v>
      </c>
      <c r="K1735" t="s">
        <v>415</v>
      </c>
      <c r="M1735">
        <v>68.39</v>
      </c>
      <c r="N1735" s="4">
        <f t="shared" si="26"/>
        <v>-44</v>
      </c>
      <c r="O1735" t="s">
        <v>83</v>
      </c>
    </row>
    <row r="1736" spans="1:17" x14ac:dyDescent="0.25">
      <c r="A1736" s="43">
        <v>45741</v>
      </c>
      <c r="B1736" s="1">
        <v>110338653</v>
      </c>
      <c r="C1736" t="s">
        <v>185</v>
      </c>
      <c r="D1736" s="23">
        <v>-9.0299999999999994</v>
      </c>
      <c r="E1736" t="s">
        <v>35</v>
      </c>
      <c r="F1736" s="2">
        <v>610148001</v>
      </c>
      <c r="G1736" s="2" t="s">
        <v>41</v>
      </c>
      <c r="I1736" s="95" t="s">
        <v>7231</v>
      </c>
      <c r="J1736" t="s">
        <v>42</v>
      </c>
      <c r="K1736" t="s">
        <v>41</v>
      </c>
      <c r="M1736">
        <v>68.39</v>
      </c>
      <c r="N1736" s="4">
        <f t="shared" si="26"/>
        <v>-0.13203684749232342</v>
      </c>
      <c r="O1736" t="s">
        <v>83</v>
      </c>
      <c r="Q1736" s="24" t="s">
        <v>1310</v>
      </c>
    </row>
    <row r="1737" spans="1:17" x14ac:dyDescent="0.25">
      <c r="A1737" s="43">
        <v>45741</v>
      </c>
      <c r="B1737" s="1">
        <v>232026656</v>
      </c>
      <c r="C1737" t="s">
        <v>1620</v>
      </c>
      <c r="D1737" s="23">
        <v>15231.82</v>
      </c>
      <c r="E1737" t="s">
        <v>45</v>
      </c>
      <c r="F1737" s="2">
        <v>110106001</v>
      </c>
      <c r="G1737" s="2" t="s">
        <v>1011</v>
      </c>
      <c r="I1737" s="95" t="s">
        <v>7231</v>
      </c>
      <c r="K1737" t="s">
        <v>1617</v>
      </c>
      <c r="M1737">
        <v>68.39</v>
      </c>
      <c r="N1737" s="4">
        <f t="shared" si="26"/>
        <v>222.71998830238337</v>
      </c>
      <c r="O1737" t="s">
        <v>83</v>
      </c>
    </row>
    <row r="1738" spans="1:17" x14ac:dyDescent="0.25">
      <c r="A1738" s="43">
        <v>45741</v>
      </c>
      <c r="B1738" s="1">
        <v>232026656</v>
      </c>
      <c r="C1738" t="s">
        <v>1013</v>
      </c>
      <c r="D1738" s="23">
        <v>-228.47</v>
      </c>
      <c r="E1738" t="s">
        <v>35</v>
      </c>
      <c r="F1738" s="2">
        <v>610148001</v>
      </c>
      <c r="G1738" s="2" t="s">
        <v>41</v>
      </c>
      <c r="I1738" s="95" t="s">
        <v>7231</v>
      </c>
      <c r="J1738" t="s">
        <v>42</v>
      </c>
      <c r="K1738" t="s">
        <v>41</v>
      </c>
      <c r="M1738">
        <v>68.39</v>
      </c>
      <c r="N1738" s="4">
        <f t="shared" si="26"/>
        <v>-3.3406930837841791</v>
      </c>
      <c r="O1738" t="s">
        <v>83</v>
      </c>
      <c r="Q1738" s="24" t="s">
        <v>1310</v>
      </c>
    </row>
    <row r="1739" spans="1:17" x14ac:dyDescent="0.25">
      <c r="A1739" s="43">
        <v>45741</v>
      </c>
      <c r="B1739" s="1">
        <v>210347130</v>
      </c>
      <c r="C1739" t="s">
        <v>1621</v>
      </c>
      <c r="D1739" s="23">
        <v>-14164.76</v>
      </c>
      <c r="E1739" t="s">
        <v>35</v>
      </c>
      <c r="F1739" s="2">
        <v>210101001</v>
      </c>
      <c r="G1739" s="2" t="s">
        <v>36</v>
      </c>
      <c r="I1739" s="95" t="s">
        <v>7231</v>
      </c>
      <c r="J1739" t="s">
        <v>398</v>
      </c>
      <c r="K1739" t="s">
        <v>399</v>
      </c>
      <c r="M1739">
        <v>68.39</v>
      </c>
      <c r="N1739" s="4">
        <f t="shared" si="26"/>
        <v>-207.11741482672906</v>
      </c>
      <c r="O1739" t="s">
        <v>83</v>
      </c>
    </row>
    <row r="1740" spans="1:17" x14ac:dyDescent="0.25">
      <c r="A1740" s="43">
        <v>45741</v>
      </c>
      <c r="B1740" s="1">
        <v>210347130</v>
      </c>
      <c r="C1740" t="s">
        <v>185</v>
      </c>
      <c r="D1740" s="23">
        <v>-42.49</v>
      </c>
      <c r="E1740" t="s">
        <v>35</v>
      </c>
      <c r="F1740" s="2">
        <v>610148001</v>
      </c>
      <c r="G1740" s="2" t="s">
        <v>41</v>
      </c>
      <c r="I1740" s="95" t="s">
        <v>7231</v>
      </c>
      <c r="J1740" t="s">
        <v>42</v>
      </c>
      <c r="K1740" t="s">
        <v>41</v>
      </c>
      <c r="M1740">
        <v>68.39</v>
      </c>
      <c r="N1740" s="4">
        <f t="shared" ref="N1740:N1803" si="27">D1740/M1740</f>
        <v>-0.62128966223132043</v>
      </c>
      <c r="O1740" t="s">
        <v>83</v>
      </c>
      <c r="Q1740" s="24" t="s">
        <v>1310</v>
      </c>
    </row>
    <row r="1741" spans="1:17" x14ac:dyDescent="0.25">
      <c r="A1741" s="43">
        <v>45741</v>
      </c>
      <c r="B1741" s="1">
        <v>910350139</v>
      </c>
      <c r="C1741" t="s">
        <v>1622</v>
      </c>
      <c r="D1741" s="23">
        <v>-13804.09</v>
      </c>
      <c r="E1741" t="s">
        <v>35</v>
      </c>
      <c r="F1741" s="2">
        <v>210101001</v>
      </c>
      <c r="G1741" s="2" t="s">
        <v>36</v>
      </c>
      <c r="I1741" s="95" t="s">
        <v>7231</v>
      </c>
      <c r="J1741" t="s">
        <v>928</v>
      </c>
      <c r="K1741" t="s">
        <v>929</v>
      </c>
      <c r="M1741">
        <v>68.39</v>
      </c>
      <c r="N1741" s="4">
        <f t="shared" si="27"/>
        <v>-201.84369059804064</v>
      </c>
      <c r="O1741" t="s">
        <v>83</v>
      </c>
    </row>
    <row r="1742" spans="1:17" x14ac:dyDescent="0.25">
      <c r="A1742" s="43">
        <v>45741</v>
      </c>
      <c r="B1742" s="1">
        <v>910350139</v>
      </c>
      <c r="C1742" t="s">
        <v>185</v>
      </c>
      <c r="D1742" s="23">
        <v>-41.41</v>
      </c>
      <c r="E1742" t="s">
        <v>35</v>
      </c>
      <c r="F1742" s="2">
        <v>610148001</v>
      </c>
      <c r="G1742" s="2" t="s">
        <v>41</v>
      </c>
      <c r="I1742" s="95" t="s">
        <v>7231</v>
      </c>
      <c r="J1742" t="s">
        <v>42</v>
      </c>
      <c r="K1742" t="s">
        <v>41</v>
      </c>
      <c r="M1742">
        <v>68.39</v>
      </c>
      <c r="N1742" s="4">
        <f t="shared" si="27"/>
        <v>-0.60549787980698933</v>
      </c>
      <c r="O1742" t="s">
        <v>83</v>
      </c>
      <c r="Q1742" s="24" t="s">
        <v>1310</v>
      </c>
    </row>
    <row r="1743" spans="1:17" x14ac:dyDescent="0.25">
      <c r="A1743" s="43">
        <v>45741</v>
      </c>
      <c r="B1743" s="1">
        <v>910350177</v>
      </c>
      <c r="C1743" t="s">
        <v>1623</v>
      </c>
      <c r="D1743" s="23">
        <v>-992.21</v>
      </c>
      <c r="E1743" t="s">
        <v>35</v>
      </c>
      <c r="F1743" s="2">
        <v>210101001</v>
      </c>
      <c r="G1743" s="2" t="s">
        <v>36</v>
      </c>
      <c r="I1743" s="95" t="s">
        <v>7231</v>
      </c>
      <c r="J1743" t="s">
        <v>414</v>
      </c>
      <c r="K1743" t="s">
        <v>415</v>
      </c>
      <c r="M1743">
        <v>68.39</v>
      </c>
      <c r="N1743" s="4">
        <f t="shared" si="27"/>
        <v>-14.508115221523616</v>
      </c>
      <c r="O1743" t="s">
        <v>83</v>
      </c>
    </row>
    <row r="1744" spans="1:17" x14ac:dyDescent="0.25">
      <c r="A1744" s="43">
        <v>45741</v>
      </c>
      <c r="B1744" s="1">
        <v>910350177</v>
      </c>
      <c r="C1744" t="s">
        <v>185</v>
      </c>
      <c r="D1744" s="23">
        <v>-2.98</v>
      </c>
      <c r="E1744" t="s">
        <v>35</v>
      </c>
      <c r="F1744" s="2">
        <v>610148001</v>
      </c>
      <c r="G1744" s="2" t="s">
        <v>41</v>
      </c>
      <c r="I1744" s="95" t="s">
        <v>7231</v>
      </c>
      <c r="J1744" t="s">
        <v>42</v>
      </c>
      <c r="K1744" t="s">
        <v>41</v>
      </c>
      <c r="M1744">
        <v>68.39</v>
      </c>
      <c r="N1744" s="4">
        <f t="shared" si="27"/>
        <v>-4.3573621874543063E-2</v>
      </c>
      <c r="O1744" t="s">
        <v>83</v>
      </c>
      <c r="Q1744" s="24" t="s">
        <v>1310</v>
      </c>
    </row>
    <row r="1745" spans="1:17" x14ac:dyDescent="0.25">
      <c r="A1745" s="43">
        <v>45741</v>
      </c>
      <c r="B1745" s="1">
        <v>710350919</v>
      </c>
      <c r="C1745" t="s">
        <v>1624</v>
      </c>
      <c r="D1745" s="23">
        <v>-34509.589999999997</v>
      </c>
      <c r="E1745" t="s">
        <v>35</v>
      </c>
      <c r="F1745" s="2">
        <v>210101001</v>
      </c>
      <c r="G1745" s="2" t="s">
        <v>36</v>
      </c>
      <c r="I1745" s="95" t="s">
        <v>7231</v>
      </c>
      <c r="J1745" t="s">
        <v>182</v>
      </c>
      <c r="K1745" t="s">
        <v>183</v>
      </c>
      <c r="M1745">
        <v>68.39</v>
      </c>
      <c r="N1745" s="4">
        <f t="shared" si="27"/>
        <v>-504.59994151191688</v>
      </c>
      <c r="O1745" t="s">
        <v>83</v>
      </c>
    </row>
    <row r="1746" spans="1:17" x14ac:dyDescent="0.25">
      <c r="A1746" s="43">
        <v>45741</v>
      </c>
      <c r="B1746" s="1">
        <v>710350919</v>
      </c>
      <c r="C1746" t="s">
        <v>185</v>
      </c>
      <c r="D1746" s="23">
        <v>-103.53</v>
      </c>
      <c r="E1746" t="s">
        <v>35</v>
      </c>
      <c r="F1746" s="2">
        <v>610148001</v>
      </c>
      <c r="G1746" s="2" t="s">
        <v>41</v>
      </c>
      <c r="I1746" s="95" t="s">
        <v>7231</v>
      </c>
      <c r="J1746" t="s">
        <v>42</v>
      </c>
      <c r="K1746" t="s">
        <v>41</v>
      </c>
      <c r="M1746">
        <v>68.39</v>
      </c>
      <c r="N1746" s="4">
        <f t="shared" si="27"/>
        <v>-1.5138178096212898</v>
      </c>
      <c r="O1746" t="s">
        <v>83</v>
      </c>
      <c r="Q1746" s="24" t="s">
        <v>1310</v>
      </c>
    </row>
    <row r="1747" spans="1:17" x14ac:dyDescent="0.25">
      <c r="A1747" s="43">
        <v>45741</v>
      </c>
      <c r="B1747" s="1">
        <v>410351039</v>
      </c>
      <c r="C1747" t="s">
        <v>1625</v>
      </c>
      <c r="D1747" s="23">
        <v>-3966.67</v>
      </c>
      <c r="E1747" t="s">
        <v>35</v>
      </c>
      <c r="F1747" s="2">
        <v>210101001</v>
      </c>
      <c r="G1747" s="2" t="s">
        <v>36</v>
      </c>
      <c r="I1747" s="95" t="s">
        <v>7231</v>
      </c>
      <c r="J1747" t="s">
        <v>1007</v>
      </c>
      <c r="K1747" t="s">
        <v>1008</v>
      </c>
      <c r="M1747">
        <v>68.39</v>
      </c>
      <c r="N1747" s="4">
        <f t="shared" si="27"/>
        <v>-58.000731101038163</v>
      </c>
      <c r="O1747" t="s">
        <v>83</v>
      </c>
    </row>
    <row r="1748" spans="1:17" x14ac:dyDescent="0.25">
      <c r="A1748" s="43">
        <v>45741</v>
      </c>
      <c r="B1748" s="1">
        <v>410351039</v>
      </c>
      <c r="C1748" t="s">
        <v>185</v>
      </c>
      <c r="D1748" s="23">
        <v>-11.9</v>
      </c>
      <c r="E1748" t="s">
        <v>35</v>
      </c>
      <c r="F1748" s="2">
        <v>610148001</v>
      </c>
      <c r="G1748" s="2" t="s">
        <v>41</v>
      </c>
      <c r="I1748" s="95" t="s">
        <v>7231</v>
      </c>
      <c r="J1748" t="s">
        <v>42</v>
      </c>
      <c r="K1748" t="s">
        <v>41</v>
      </c>
      <c r="M1748">
        <v>68.39</v>
      </c>
      <c r="N1748" s="4">
        <f t="shared" si="27"/>
        <v>-0.17400204708290687</v>
      </c>
      <c r="O1748" t="s">
        <v>83</v>
      </c>
      <c r="Q1748" s="24" t="s">
        <v>1310</v>
      </c>
    </row>
    <row r="1749" spans="1:17" x14ac:dyDescent="0.25">
      <c r="A1749" s="43">
        <v>45741</v>
      </c>
      <c r="B1749" s="1">
        <v>410355996</v>
      </c>
      <c r="C1749" t="s">
        <v>1626</v>
      </c>
      <c r="D1749" s="23">
        <v>-3419.5</v>
      </c>
      <c r="E1749" t="s">
        <v>35</v>
      </c>
      <c r="F1749" s="2">
        <v>210101001</v>
      </c>
      <c r="G1749" s="2" t="s">
        <v>36</v>
      </c>
      <c r="I1749" s="95" t="s">
        <v>7231</v>
      </c>
      <c r="J1749" t="s">
        <v>86</v>
      </c>
      <c r="K1749" t="s">
        <v>87</v>
      </c>
      <c r="M1749">
        <v>68.39</v>
      </c>
      <c r="N1749" s="4">
        <f t="shared" si="27"/>
        <v>-50</v>
      </c>
      <c r="O1749" t="s">
        <v>83</v>
      </c>
    </row>
    <row r="1750" spans="1:17" x14ac:dyDescent="0.25">
      <c r="A1750" s="43">
        <v>45741</v>
      </c>
      <c r="B1750" s="1">
        <v>410355996</v>
      </c>
      <c r="C1750" t="s">
        <v>185</v>
      </c>
      <c r="D1750" s="23">
        <v>-10.26</v>
      </c>
      <c r="E1750" t="s">
        <v>35</v>
      </c>
      <c r="F1750" s="2">
        <v>610148001</v>
      </c>
      <c r="G1750" s="2" t="s">
        <v>41</v>
      </c>
      <c r="I1750" s="95" t="s">
        <v>7231</v>
      </c>
      <c r="J1750" t="s">
        <v>42</v>
      </c>
      <c r="K1750" t="s">
        <v>41</v>
      </c>
      <c r="M1750">
        <v>68.39</v>
      </c>
      <c r="N1750" s="4">
        <f t="shared" si="27"/>
        <v>-0.15002193303114489</v>
      </c>
      <c r="O1750" t="s">
        <v>83</v>
      </c>
      <c r="Q1750" s="24" t="s">
        <v>1310</v>
      </c>
    </row>
    <row r="1751" spans="1:17" x14ac:dyDescent="0.25">
      <c r="A1751" s="43">
        <v>45742</v>
      </c>
      <c r="B1751" s="1">
        <v>0</v>
      </c>
      <c r="C1751" t="s">
        <v>792</v>
      </c>
      <c r="D1751" s="23">
        <v>-0.13</v>
      </c>
      <c r="E1751" t="s">
        <v>35</v>
      </c>
      <c r="F1751" s="2">
        <v>610148001</v>
      </c>
      <c r="G1751" s="2" t="s">
        <v>41</v>
      </c>
      <c r="I1751" s="95" t="s">
        <v>7231</v>
      </c>
      <c r="J1751" t="s">
        <v>42</v>
      </c>
      <c r="K1751" t="s">
        <v>41</v>
      </c>
      <c r="M1751">
        <v>68.7</v>
      </c>
      <c r="N1751" s="4">
        <f t="shared" si="27"/>
        <v>-1.8922852983988354E-3</v>
      </c>
      <c r="O1751" t="s">
        <v>83</v>
      </c>
      <c r="Q1751" s="24" t="s">
        <v>1310</v>
      </c>
    </row>
    <row r="1752" spans="1:17" x14ac:dyDescent="0.25">
      <c r="A1752" s="43">
        <v>45742</v>
      </c>
      <c r="B1752" s="1">
        <v>510411910</v>
      </c>
      <c r="C1752" t="s">
        <v>1627</v>
      </c>
      <c r="D1752" s="23">
        <v>-3898.23</v>
      </c>
      <c r="E1752" t="s">
        <v>35</v>
      </c>
      <c r="F1752" s="2">
        <v>110114001</v>
      </c>
      <c r="G1752" s="2" t="s">
        <v>181</v>
      </c>
      <c r="I1752" s="95" t="s">
        <v>7231</v>
      </c>
      <c r="J1752" s="53" t="s">
        <v>283</v>
      </c>
      <c r="K1752" s="53" t="s">
        <v>1628</v>
      </c>
      <c r="L1752" s="53"/>
      <c r="M1752">
        <v>68.7</v>
      </c>
      <c r="N1752" s="4">
        <f t="shared" si="27"/>
        <v>-56.742794759825323</v>
      </c>
      <c r="O1752" t="s">
        <v>83</v>
      </c>
      <c r="P1752" s="34" t="s">
        <v>1339</v>
      </c>
    </row>
    <row r="1753" spans="1:17" x14ac:dyDescent="0.25">
      <c r="A1753" s="43">
        <v>45742</v>
      </c>
      <c r="B1753" s="1">
        <v>510411910</v>
      </c>
      <c r="C1753" t="s">
        <v>185</v>
      </c>
      <c r="D1753" s="23">
        <v>-11.69</v>
      </c>
      <c r="E1753" t="s">
        <v>35</v>
      </c>
      <c r="F1753" s="2">
        <v>610148001</v>
      </c>
      <c r="G1753" s="2" t="s">
        <v>41</v>
      </c>
      <c r="I1753" s="95" t="s">
        <v>7231</v>
      </c>
      <c r="J1753" t="s">
        <v>42</v>
      </c>
      <c r="K1753" t="s">
        <v>41</v>
      </c>
      <c r="M1753">
        <v>68.7</v>
      </c>
      <c r="N1753" s="4">
        <f t="shared" si="27"/>
        <v>-0.17016011644832604</v>
      </c>
      <c r="O1753" t="s">
        <v>83</v>
      </c>
      <c r="Q1753" s="24" t="s">
        <v>1310</v>
      </c>
    </row>
    <row r="1754" spans="1:17" x14ac:dyDescent="0.25">
      <c r="A1754" s="43">
        <v>45742</v>
      </c>
      <c r="B1754" s="1">
        <v>143021301</v>
      </c>
      <c r="C1754" t="s">
        <v>1629</v>
      </c>
      <c r="D1754" s="23">
        <v>8965.7800000000007</v>
      </c>
      <c r="E1754" t="s">
        <v>45</v>
      </c>
      <c r="F1754" s="2">
        <v>110106001</v>
      </c>
      <c r="G1754" s="2" t="s">
        <v>1011</v>
      </c>
      <c r="I1754" s="95" t="s">
        <v>7231</v>
      </c>
      <c r="K1754" t="s">
        <v>1617</v>
      </c>
      <c r="M1754">
        <v>68.7</v>
      </c>
      <c r="N1754" s="4">
        <f t="shared" si="27"/>
        <v>130.50625909752549</v>
      </c>
      <c r="O1754" t="s">
        <v>83</v>
      </c>
    </row>
    <row r="1755" spans="1:17" x14ac:dyDescent="0.25">
      <c r="A1755" s="43">
        <v>45742</v>
      </c>
      <c r="B1755" s="1">
        <v>143021301</v>
      </c>
      <c r="C1755" t="s">
        <v>1013</v>
      </c>
      <c r="D1755" s="23">
        <v>-134.47999999999999</v>
      </c>
      <c r="E1755" t="s">
        <v>35</v>
      </c>
      <c r="F1755" s="2">
        <v>610148001</v>
      </c>
      <c r="G1755" s="2" t="s">
        <v>41</v>
      </c>
      <c r="I1755" s="95" t="s">
        <v>7231</v>
      </c>
      <c r="J1755" t="s">
        <v>42</v>
      </c>
      <c r="K1755" t="s">
        <v>41</v>
      </c>
      <c r="M1755">
        <v>68.7</v>
      </c>
      <c r="N1755" s="4">
        <f t="shared" si="27"/>
        <v>-1.9574963609898106</v>
      </c>
      <c r="O1755" t="s">
        <v>83</v>
      </c>
      <c r="Q1755" s="24" t="s">
        <v>1310</v>
      </c>
    </row>
    <row r="1756" spans="1:17" x14ac:dyDescent="0.25">
      <c r="A1756" s="43">
        <v>45743</v>
      </c>
      <c r="B1756" s="1">
        <v>141524815</v>
      </c>
      <c r="C1756" t="s">
        <v>1630</v>
      </c>
      <c r="D1756" s="23">
        <v>20000</v>
      </c>
      <c r="E1756" t="s">
        <v>45</v>
      </c>
      <c r="F1756" s="2">
        <v>210115002</v>
      </c>
      <c r="G1756" s="2" t="s">
        <v>46</v>
      </c>
      <c r="I1756" s="95" t="s">
        <v>7231</v>
      </c>
      <c r="K1756" s="49" t="s">
        <v>1630</v>
      </c>
      <c r="L1756" s="49"/>
      <c r="M1756">
        <v>69.02</v>
      </c>
      <c r="N1756" s="4">
        <f t="shared" si="27"/>
        <v>289.77108084613155</v>
      </c>
      <c r="O1756" t="s">
        <v>83</v>
      </c>
    </row>
    <row r="1757" spans="1:17" x14ac:dyDescent="0.25">
      <c r="A1757" s="43">
        <v>45743</v>
      </c>
      <c r="B1757" s="1">
        <v>210471277</v>
      </c>
      <c r="C1757" t="s">
        <v>1631</v>
      </c>
      <c r="D1757" s="23">
        <v>-30904.400000000001</v>
      </c>
      <c r="E1757" t="s">
        <v>35</v>
      </c>
      <c r="F1757" s="2">
        <v>110114001</v>
      </c>
      <c r="G1757" s="2" t="s">
        <v>181</v>
      </c>
      <c r="I1757" s="95" t="s">
        <v>7231</v>
      </c>
      <c r="J1757" t="s">
        <v>398</v>
      </c>
      <c r="K1757" s="49" t="s">
        <v>399</v>
      </c>
      <c r="L1757" s="49"/>
      <c r="M1757">
        <v>69.02</v>
      </c>
      <c r="N1757" s="4">
        <f t="shared" si="27"/>
        <v>-447.76006954505942</v>
      </c>
      <c r="O1757" t="s">
        <v>83</v>
      </c>
      <c r="P1757" s="34" t="s">
        <v>1339</v>
      </c>
    </row>
    <row r="1758" spans="1:17" x14ac:dyDescent="0.25">
      <c r="A1758" s="43">
        <v>45743</v>
      </c>
      <c r="B1758" s="1">
        <v>210471277</v>
      </c>
      <c r="C1758" t="s">
        <v>185</v>
      </c>
      <c r="D1758" s="23">
        <v>-92.71</v>
      </c>
      <c r="E1758" t="s">
        <v>35</v>
      </c>
      <c r="F1758" s="2">
        <v>610148001</v>
      </c>
      <c r="G1758" s="2" t="s">
        <v>41</v>
      </c>
      <c r="I1758" s="95" t="s">
        <v>7231</v>
      </c>
      <c r="J1758" t="s">
        <v>42</v>
      </c>
      <c r="K1758" t="s">
        <v>41</v>
      </c>
      <c r="M1758">
        <v>69.02</v>
      </c>
      <c r="N1758" s="4">
        <f t="shared" si="27"/>
        <v>-1.3432338452622428</v>
      </c>
      <c r="O1758" t="s">
        <v>83</v>
      </c>
      <c r="P1758" s="24" t="s">
        <v>1310</v>
      </c>
    </row>
    <row r="1759" spans="1:17" x14ac:dyDescent="0.25">
      <c r="A1759" s="43">
        <v>45743</v>
      </c>
      <c r="B1759" s="1">
        <v>162454264</v>
      </c>
      <c r="C1759" t="s">
        <v>1630</v>
      </c>
      <c r="D1759" s="23">
        <v>50000</v>
      </c>
      <c r="E1759" t="s">
        <v>45</v>
      </c>
      <c r="F1759" s="2">
        <v>210115002</v>
      </c>
      <c r="G1759" s="2" t="s">
        <v>46</v>
      </c>
      <c r="I1759" s="95" t="s">
        <v>7231</v>
      </c>
      <c r="K1759" s="49" t="s">
        <v>1630</v>
      </c>
      <c r="L1759" s="49"/>
      <c r="M1759">
        <v>69.02</v>
      </c>
      <c r="N1759" s="4">
        <f t="shared" si="27"/>
        <v>724.42770211532888</v>
      </c>
      <c r="O1759" t="s">
        <v>83</v>
      </c>
    </row>
    <row r="1760" spans="1:17" x14ac:dyDescent="0.25">
      <c r="A1760" s="43">
        <v>45743</v>
      </c>
      <c r="B1760" s="1">
        <v>162640758</v>
      </c>
      <c r="C1760" t="s">
        <v>1632</v>
      </c>
      <c r="D1760" s="23">
        <v>-35432.18</v>
      </c>
      <c r="E1760" t="s">
        <v>35</v>
      </c>
      <c r="F1760" s="2">
        <v>210101001</v>
      </c>
      <c r="G1760" s="2" t="s">
        <v>36</v>
      </c>
      <c r="I1760" s="95" t="s">
        <v>7231</v>
      </c>
      <c r="J1760" t="s">
        <v>1301</v>
      </c>
      <c r="K1760" s="49" t="s">
        <v>1302</v>
      </c>
      <c r="L1760" s="49"/>
      <c r="M1760">
        <v>69.02</v>
      </c>
      <c r="N1760" s="4">
        <f t="shared" si="27"/>
        <v>-513.36105476673436</v>
      </c>
      <c r="O1760" t="s">
        <v>83</v>
      </c>
    </row>
    <row r="1761" spans="1:20" x14ac:dyDescent="0.25">
      <c r="A1761" s="43">
        <v>45743</v>
      </c>
      <c r="B1761" s="1">
        <v>195245976</v>
      </c>
      <c r="C1761" t="s">
        <v>1630</v>
      </c>
      <c r="D1761" s="23">
        <v>440000</v>
      </c>
      <c r="E1761" t="s">
        <v>45</v>
      </c>
      <c r="F1761" s="2">
        <v>210115002</v>
      </c>
      <c r="G1761" s="2" t="s">
        <v>46</v>
      </c>
      <c r="I1761" s="95" t="s">
        <v>7231</v>
      </c>
      <c r="K1761" s="49" t="s">
        <v>1630</v>
      </c>
      <c r="L1761" s="49"/>
      <c r="M1761">
        <v>69.02</v>
      </c>
      <c r="N1761" s="4">
        <f t="shared" si="27"/>
        <v>6374.9637786148942</v>
      </c>
      <c r="O1761" t="s">
        <v>83</v>
      </c>
    </row>
    <row r="1762" spans="1:20" x14ac:dyDescent="0.25">
      <c r="A1762" s="43">
        <v>45743</v>
      </c>
      <c r="B1762" s="1">
        <v>810490930</v>
      </c>
      <c r="C1762" t="s">
        <v>1633</v>
      </c>
      <c r="D1762" s="23">
        <v>-2748</v>
      </c>
      <c r="E1762" t="s">
        <v>35</v>
      </c>
      <c r="F1762" s="2">
        <v>212901001</v>
      </c>
      <c r="G1762" s="2" t="s">
        <v>91</v>
      </c>
      <c r="I1762" s="95" t="s">
        <v>7231</v>
      </c>
      <c r="J1762" t="s">
        <v>61</v>
      </c>
      <c r="K1762" s="2" t="s">
        <v>62</v>
      </c>
      <c r="L1762" s="2"/>
      <c r="M1762">
        <v>69.02</v>
      </c>
      <c r="N1762" s="4">
        <f t="shared" si="27"/>
        <v>-39.814546508258481</v>
      </c>
      <c r="O1762" t="s">
        <v>83</v>
      </c>
      <c r="R1762">
        <v>2</v>
      </c>
      <c r="S1762" t="e">
        <f>VLOOKUP(Tabla3[[#This Row],[Nº]],[1]!NOMINA[#Data],4,FALSE)</f>
        <v>#REF!</v>
      </c>
      <c r="T1762" t="e">
        <f>VLOOKUP(Tabla3[[#This Row],[Nº]],[1]!NOMINA[#Data],5,FALSE)</f>
        <v>#REF!</v>
      </c>
    </row>
    <row r="1763" spans="1:20" x14ac:dyDescent="0.25">
      <c r="A1763" s="43">
        <v>45743</v>
      </c>
      <c r="B1763" s="1">
        <v>810490933</v>
      </c>
      <c r="C1763" t="s">
        <v>1634</v>
      </c>
      <c r="D1763" s="23">
        <v>-2748</v>
      </c>
      <c r="E1763" t="s">
        <v>35</v>
      </c>
      <c r="F1763" s="2">
        <v>212901001</v>
      </c>
      <c r="G1763" s="2" t="s">
        <v>91</v>
      </c>
      <c r="I1763" s="95" t="s">
        <v>7231</v>
      </c>
      <c r="J1763" t="s">
        <v>61</v>
      </c>
      <c r="K1763" s="2" t="s">
        <v>62</v>
      </c>
      <c r="L1763" s="2"/>
      <c r="M1763">
        <v>69.02</v>
      </c>
      <c r="N1763" s="4">
        <f t="shared" si="27"/>
        <v>-39.814546508258481</v>
      </c>
      <c r="O1763" t="s">
        <v>83</v>
      </c>
      <c r="R1763">
        <v>3</v>
      </c>
      <c r="S1763" t="e">
        <f>VLOOKUP(R1763,[1]!NOMINA[#Data],4,FALSE)</f>
        <v>#REF!</v>
      </c>
      <c r="T1763" t="e">
        <f>VLOOKUP(R1763,[1]!NOMINA[#Data],5,FALSE)</f>
        <v>#REF!</v>
      </c>
    </row>
    <row r="1764" spans="1:20" x14ac:dyDescent="0.25">
      <c r="A1764" s="43">
        <v>45743</v>
      </c>
      <c r="B1764" s="1">
        <v>810490931</v>
      </c>
      <c r="C1764" t="s">
        <v>1635</v>
      </c>
      <c r="D1764" s="23">
        <v>-2748</v>
      </c>
      <c r="E1764" t="s">
        <v>35</v>
      </c>
      <c r="F1764" s="2">
        <v>212901001</v>
      </c>
      <c r="G1764" s="2" t="s">
        <v>91</v>
      </c>
      <c r="I1764" s="95" t="s">
        <v>7231</v>
      </c>
      <c r="J1764" t="s">
        <v>61</v>
      </c>
      <c r="K1764" s="2" t="s">
        <v>62</v>
      </c>
      <c r="L1764" s="2"/>
      <c r="M1764">
        <v>69.02</v>
      </c>
      <c r="N1764" s="4">
        <f t="shared" si="27"/>
        <v>-39.814546508258481</v>
      </c>
      <c r="O1764" t="s">
        <v>83</v>
      </c>
      <c r="R1764">
        <v>1</v>
      </c>
      <c r="S1764" t="e">
        <f>VLOOKUP(R1764,[1]!NOMINA[#Data],4,FALSE)</f>
        <v>#REF!</v>
      </c>
      <c r="T1764" t="e">
        <f>VLOOKUP(R1764,[1]!NOMINA[#Data],5,FALSE)</f>
        <v>#REF!</v>
      </c>
    </row>
    <row r="1765" spans="1:20" x14ac:dyDescent="0.25">
      <c r="A1765" s="43">
        <v>45743</v>
      </c>
      <c r="B1765" s="1">
        <v>810490936</v>
      </c>
      <c r="C1765" t="s">
        <v>1636</v>
      </c>
      <c r="D1765" s="23">
        <v>-2748</v>
      </c>
      <c r="E1765" t="s">
        <v>35</v>
      </c>
      <c r="F1765" s="2">
        <v>212901001</v>
      </c>
      <c r="G1765" s="2" t="s">
        <v>91</v>
      </c>
      <c r="I1765" s="95" t="s">
        <v>7231</v>
      </c>
      <c r="J1765" t="s">
        <v>61</v>
      </c>
      <c r="K1765" s="49" t="s">
        <v>62</v>
      </c>
      <c r="L1765" s="49"/>
      <c r="M1765">
        <v>69.02</v>
      </c>
      <c r="N1765" s="4">
        <f t="shared" si="27"/>
        <v>-39.814546508258481</v>
      </c>
      <c r="O1765" t="s">
        <v>83</v>
      </c>
      <c r="R1765">
        <v>2</v>
      </c>
      <c r="S1765" t="e">
        <f>VLOOKUP(Tabla3[[#This Row],[Nº]],[1]!NOMINA[#Data],4,FALSE)</f>
        <v>#REF!</v>
      </c>
      <c r="T1765" t="e">
        <f>VLOOKUP(Tabla3[[#This Row],[Nº]],[1]!NOMINA[#Data],5,FALSE)</f>
        <v>#REF!</v>
      </c>
    </row>
    <row r="1766" spans="1:20" x14ac:dyDescent="0.25">
      <c r="A1766" s="43">
        <v>45743</v>
      </c>
      <c r="B1766" s="1">
        <v>810490934</v>
      </c>
      <c r="C1766" t="s">
        <v>1637</v>
      </c>
      <c r="D1766" s="23">
        <v>-2748</v>
      </c>
      <c r="E1766" t="s">
        <v>35</v>
      </c>
      <c r="F1766" s="2">
        <v>212901001</v>
      </c>
      <c r="G1766" s="2" t="s">
        <v>91</v>
      </c>
      <c r="I1766" s="95" t="s">
        <v>7231</v>
      </c>
      <c r="J1766" t="s">
        <v>61</v>
      </c>
      <c r="K1766" s="49" t="s">
        <v>62</v>
      </c>
      <c r="L1766" s="49"/>
      <c r="M1766">
        <v>69.02</v>
      </c>
      <c r="N1766" s="4">
        <f t="shared" si="27"/>
        <v>-39.814546508258481</v>
      </c>
      <c r="O1766" t="s">
        <v>83</v>
      </c>
      <c r="R1766">
        <v>28</v>
      </c>
      <c r="S1766" t="e">
        <f>VLOOKUP(R1766,[1]!NOMINA[#Data],4,FALSE)</f>
        <v>#REF!</v>
      </c>
      <c r="T1766" t="e">
        <f>VLOOKUP(R1766,[1]!NOMINA[#Data],5,FALSE)</f>
        <v>#REF!</v>
      </c>
    </row>
    <row r="1767" spans="1:20" x14ac:dyDescent="0.25">
      <c r="A1767" s="43">
        <v>45743</v>
      </c>
      <c r="B1767" s="1">
        <v>810490935</v>
      </c>
      <c r="C1767" t="s">
        <v>1638</v>
      </c>
      <c r="D1767" s="23">
        <v>-2748</v>
      </c>
      <c r="E1767" t="s">
        <v>35</v>
      </c>
      <c r="F1767" s="2">
        <v>212901001</v>
      </c>
      <c r="G1767" s="2" t="s">
        <v>91</v>
      </c>
      <c r="I1767" s="95" t="s">
        <v>7231</v>
      </c>
      <c r="J1767" t="s">
        <v>61</v>
      </c>
      <c r="K1767" s="49" t="s">
        <v>62</v>
      </c>
      <c r="L1767" s="49"/>
      <c r="M1767">
        <v>69.02</v>
      </c>
      <c r="N1767" s="4">
        <f t="shared" si="27"/>
        <v>-39.814546508258481</v>
      </c>
      <c r="O1767" t="s">
        <v>83</v>
      </c>
      <c r="R1767">
        <v>22</v>
      </c>
      <c r="S1767" t="e">
        <f>VLOOKUP(Tabla3[[#This Row],[Nº]],[1]!NOMINA[#Data],4,FALSE)</f>
        <v>#REF!</v>
      </c>
      <c r="T1767" t="e">
        <f>VLOOKUP(R1767,[1]!NOMINA[#Data],5,FALSE)</f>
        <v>#REF!</v>
      </c>
    </row>
    <row r="1768" spans="1:20" x14ac:dyDescent="0.25">
      <c r="A1768" s="43">
        <v>45743</v>
      </c>
      <c r="B1768" s="1">
        <v>810490937</v>
      </c>
      <c r="C1768" t="s">
        <v>1639</v>
      </c>
      <c r="D1768" s="23">
        <v>-2748</v>
      </c>
      <c r="E1768" t="s">
        <v>35</v>
      </c>
      <c r="F1768" s="2">
        <v>212901001</v>
      </c>
      <c r="G1768" s="2" t="s">
        <v>91</v>
      </c>
      <c r="I1768" s="95" t="s">
        <v>7231</v>
      </c>
      <c r="J1768" t="s">
        <v>61</v>
      </c>
      <c r="K1768" s="49" t="s">
        <v>62</v>
      </c>
      <c r="L1768" s="49"/>
      <c r="M1768">
        <v>69.02</v>
      </c>
      <c r="N1768" s="4">
        <f t="shared" si="27"/>
        <v>-39.814546508258481</v>
      </c>
      <c r="O1768" t="s">
        <v>83</v>
      </c>
      <c r="R1768">
        <v>36</v>
      </c>
      <c r="S1768" t="e">
        <f>VLOOKUP(R1768,[1]!NOMINA[#Data],4,FALSE)</f>
        <v>#REF!</v>
      </c>
      <c r="T1768" t="e">
        <f>VLOOKUP(R1768,[1]!NOMINA[#Data],5,FALSE)</f>
        <v>#REF!</v>
      </c>
    </row>
    <row r="1769" spans="1:20" x14ac:dyDescent="0.25">
      <c r="A1769" s="43">
        <v>45743</v>
      </c>
      <c r="B1769" s="1">
        <v>810490938</v>
      </c>
      <c r="C1769" t="s">
        <v>1640</v>
      </c>
      <c r="D1769" s="23">
        <v>-2748</v>
      </c>
      <c r="E1769" t="s">
        <v>35</v>
      </c>
      <c r="F1769" s="2">
        <v>212901001</v>
      </c>
      <c r="G1769" s="2" t="s">
        <v>91</v>
      </c>
      <c r="I1769" s="95" t="s">
        <v>7231</v>
      </c>
      <c r="J1769" t="s">
        <v>61</v>
      </c>
      <c r="K1769" s="49" t="s">
        <v>62</v>
      </c>
      <c r="L1769" s="49"/>
      <c r="M1769">
        <v>69.02</v>
      </c>
      <c r="N1769" s="4">
        <f t="shared" si="27"/>
        <v>-39.814546508258481</v>
      </c>
      <c r="O1769" t="s">
        <v>83</v>
      </c>
      <c r="R1769">
        <v>39</v>
      </c>
      <c r="S1769" t="e">
        <f>VLOOKUP(R1769,[1]!NOMINA[#Data],4,FALSE)</f>
        <v>#REF!</v>
      </c>
      <c r="T1769" t="e">
        <f>VLOOKUP(R1769,[1]!NOMINA[#Data],5,FALSE)</f>
        <v>#REF!</v>
      </c>
    </row>
    <row r="1770" spans="1:20" x14ac:dyDescent="0.25">
      <c r="A1770" s="43">
        <v>45743</v>
      </c>
      <c r="B1770" s="1">
        <v>910490940</v>
      </c>
      <c r="C1770" t="s">
        <v>1641</v>
      </c>
      <c r="D1770" s="23">
        <v>-2748</v>
      </c>
      <c r="E1770" t="s">
        <v>35</v>
      </c>
      <c r="F1770" s="2">
        <v>212901001</v>
      </c>
      <c r="G1770" s="2" t="s">
        <v>91</v>
      </c>
      <c r="I1770" s="95" t="s">
        <v>7231</v>
      </c>
      <c r="J1770" t="s">
        <v>61</v>
      </c>
      <c r="K1770" s="49" t="s">
        <v>62</v>
      </c>
      <c r="L1770" s="49"/>
      <c r="M1770">
        <v>69.02</v>
      </c>
      <c r="N1770" s="4">
        <f t="shared" si="27"/>
        <v>-39.814546508258481</v>
      </c>
      <c r="O1770" t="s">
        <v>83</v>
      </c>
      <c r="R1770">
        <v>41</v>
      </c>
      <c r="S1770" t="e">
        <f>VLOOKUP(R1770,[1]!NOMINA[#Data],4,FALSE)</f>
        <v>#REF!</v>
      </c>
      <c r="T1770" t="e">
        <f>VLOOKUP(R1770,[1]!NOMINA[#Data],5,FALSE)</f>
        <v>#REF!</v>
      </c>
    </row>
    <row r="1771" spans="1:20" x14ac:dyDescent="0.25">
      <c r="A1771" s="43">
        <v>45743</v>
      </c>
      <c r="B1771" s="1">
        <v>910490941</v>
      </c>
      <c r="C1771" t="s">
        <v>1642</v>
      </c>
      <c r="D1771" s="23">
        <v>-2748</v>
      </c>
      <c r="E1771" t="s">
        <v>35</v>
      </c>
      <c r="F1771" s="2">
        <v>212901001</v>
      </c>
      <c r="G1771" s="2" t="s">
        <v>91</v>
      </c>
      <c r="I1771" s="95" t="s">
        <v>7231</v>
      </c>
      <c r="J1771" t="s">
        <v>61</v>
      </c>
      <c r="K1771" s="49" t="s">
        <v>62</v>
      </c>
      <c r="L1771" s="49"/>
      <c r="M1771">
        <v>69.02</v>
      </c>
      <c r="N1771" s="4">
        <f t="shared" si="27"/>
        <v>-39.814546508258481</v>
      </c>
      <c r="O1771" t="s">
        <v>83</v>
      </c>
      <c r="R1771">
        <v>23</v>
      </c>
      <c r="S1771" t="e">
        <f>VLOOKUP(R1771,[1]!NOMINA[#Data],4,FALSE)</f>
        <v>#REF!</v>
      </c>
      <c r="T1771" t="e">
        <f>VLOOKUP(R1771,[1]!NOMINA[#Data],5,FALSE)</f>
        <v>#REF!</v>
      </c>
    </row>
    <row r="1772" spans="1:20" x14ac:dyDescent="0.25">
      <c r="A1772" s="43">
        <v>45743</v>
      </c>
      <c r="B1772" s="1">
        <v>810490939</v>
      </c>
      <c r="C1772" t="s">
        <v>1643</v>
      </c>
      <c r="D1772" s="23">
        <v>-2748</v>
      </c>
      <c r="E1772" t="s">
        <v>35</v>
      </c>
      <c r="F1772" s="2">
        <v>212901001</v>
      </c>
      <c r="G1772" s="2" t="s">
        <v>91</v>
      </c>
      <c r="I1772" s="95" t="s">
        <v>7231</v>
      </c>
      <c r="J1772" t="s">
        <v>61</v>
      </c>
      <c r="K1772" s="49" t="s">
        <v>62</v>
      </c>
      <c r="L1772" s="49"/>
      <c r="M1772">
        <v>69.02</v>
      </c>
      <c r="N1772" s="4">
        <f t="shared" si="27"/>
        <v>-39.814546508258481</v>
      </c>
      <c r="O1772" t="s">
        <v>83</v>
      </c>
      <c r="R1772">
        <v>19</v>
      </c>
      <c r="S1772" t="e">
        <f>VLOOKUP(R1772,[1]!NOMINA[#Data],4,FALSE)</f>
        <v>#REF!</v>
      </c>
      <c r="T1772" t="e">
        <f>VLOOKUP(R1772,[1]!NOMINA[#Data],5,FALSE)</f>
        <v>#REF!</v>
      </c>
    </row>
    <row r="1773" spans="1:20" x14ac:dyDescent="0.25">
      <c r="A1773" s="43">
        <v>45743</v>
      </c>
      <c r="B1773" s="1">
        <v>910490943</v>
      </c>
      <c r="C1773" t="s">
        <v>1644</v>
      </c>
      <c r="D1773" s="23">
        <v>-2748</v>
      </c>
      <c r="E1773" t="s">
        <v>35</v>
      </c>
      <c r="F1773" s="2">
        <v>212901001</v>
      </c>
      <c r="G1773" s="2" t="s">
        <v>91</v>
      </c>
      <c r="I1773" s="95" t="s">
        <v>7231</v>
      </c>
      <c r="J1773" t="s">
        <v>61</v>
      </c>
      <c r="K1773" s="49" t="s">
        <v>62</v>
      </c>
      <c r="L1773" s="49"/>
      <c r="M1773">
        <v>69.02</v>
      </c>
      <c r="N1773" s="4">
        <f t="shared" si="27"/>
        <v>-39.814546508258481</v>
      </c>
      <c r="O1773" t="s">
        <v>83</v>
      </c>
      <c r="R1773">
        <v>17</v>
      </c>
      <c r="S1773" t="e">
        <f>VLOOKUP(R1773,[1]!NOMINA[#Data],4,FALSE)</f>
        <v>#REF!</v>
      </c>
      <c r="T1773" t="e">
        <f>VLOOKUP(R1773,[1]!NOMINA[#Data],5,FALSE)</f>
        <v>#REF!</v>
      </c>
    </row>
    <row r="1774" spans="1:20" x14ac:dyDescent="0.25">
      <c r="A1774" s="43">
        <v>45743</v>
      </c>
      <c r="B1774" s="1">
        <v>910490945</v>
      </c>
      <c r="C1774" t="s">
        <v>1645</v>
      </c>
      <c r="D1774" s="23">
        <v>-2748</v>
      </c>
      <c r="E1774" t="s">
        <v>35</v>
      </c>
      <c r="F1774" s="2">
        <v>212901001</v>
      </c>
      <c r="G1774" s="2" t="s">
        <v>91</v>
      </c>
      <c r="I1774" s="95" t="s">
        <v>7231</v>
      </c>
      <c r="J1774" t="s">
        <v>61</v>
      </c>
      <c r="K1774" s="49" t="s">
        <v>62</v>
      </c>
      <c r="L1774" s="49"/>
      <c r="M1774">
        <v>69.02</v>
      </c>
      <c r="N1774" s="4">
        <f t="shared" si="27"/>
        <v>-39.814546508258481</v>
      </c>
      <c r="O1774" t="s">
        <v>83</v>
      </c>
      <c r="R1774">
        <v>15</v>
      </c>
      <c r="S1774" t="e">
        <f>VLOOKUP(R1774,[1]!NOMINA[#Data],4,FALSE)</f>
        <v>#REF!</v>
      </c>
      <c r="T1774" t="e">
        <f>VLOOKUP(R1774,[1]!NOMINA[#Data],5,FALSE)</f>
        <v>#REF!</v>
      </c>
    </row>
    <row r="1775" spans="1:20" x14ac:dyDescent="0.25">
      <c r="A1775" s="43">
        <v>45743</v>
      </c>
      <c r="B1775" s="1">
        <v>910490942</v>
      </c>
      <c r="C1775" t="s">
        <v>1646</v>
      </c>
      <c r="D1775" s="23">
        <v>-2748</v>
      </c>
      <c r="E1775" t="s">
        <v>35</v>
      </c>
      <c r="F1775" s="2">
        <v>212901001</v>
      </c>
      <c r="G1775" s="2" t="s">
        <v>91</v>
      </c>
      <c r="I1775" s="95" t="s">
        <v>7231</v>
      </c>
      <c r="J1775" t="s">
        <v>61</v>
      </c>
      <c r="K1775" s="49" t="s">
        <v>62</v>
      </c>
      <c r="L1775" s="49"/>
      <c r="M1775">
        <v>69.02</v>
      </c>
      <c r="N1775" s="4">
        <f t="shared" si="27"/>
        <v>-39.814546508258481</v>
      </c>
      <c r="O1775" t="s">
        <v>83</v>
      </c>
      <c r="R1775">
        <v>14</v>
      </c>
      <c r="S1775" t="e">
        <f>VLOOKUP(R1775,[1]!NOMINA[#Data],4,FALSE)</f>
        <v>#REF!</v>
      </c>
      <c r="T1775" t="e">
        <f>VLOOKUP(R1775,[1]!NOMINA[#Data],5,FALSE)</f>
        <v>#REF!</v>
      </c>
    </row>
    <row r="1776" spans="1:20" x14ac:dyDescent="0.25">
      <c r="A1776" s="43">
        <v>45743</v>
      </c>
      <c r="B1776" s="1">
        <v>910490947</v>
      </c>
      <c r="C1776" t="s">
        <v>1647</v>
      </c>
      <c r="D1776" s="23">
        <v>-2748</v>
      </c>
      <c r="E1776" t="s">
        <v>35</v>
      </c>
      <c r="F1776" s="2">
        <v>212901001</v>
      </c>
      <c r="G1776" s="2" t="s">
        <v>91</v>
      </c>
      <c r="I1776" s="95" t="s">
        <v>7231</v>
      </c>
      <c r="J1776" t="s">
        <v>61</v>
      </c>
      <c r="K1776" s="49" t="s">
        <v>62</v>
      </c>
      <c r="L1776" s="49"/>
      <c r="M1776">
        <v>69.02</v>
      </c>
      <c r="N1776" s="4">
        <f t="shared" si="27"/>
        <v>-39.814546508258481</v>
      </c>
      <c r="O1776" t="s">
        <v>83</v>
      </c>
      <c r="R1776">
        <v>26</v>
      </c>
      <c r="S1776" t="e">
        <f>VLOOKUP(Tabla3[[#This Row],[Nº]],[1]!NOMINA[#Data],4,FALSE)</f>
        <v>#REF!</v>
      </c>
      <c r="T1776" t="e">
        <f>VLOOKUP(Tabla3[[#This Row],[Nº]],[1]!NOMINA[#Data],5,FALSE)</f>
        <v>#REF!</v>
      </c>
    </row>
    <row r="1777" spans="1:20" x14ac:dyDescent="0.25">
      <c r="A1777" s="43">
        <v>45743</v>
      </c>
      <c r="B1777" s="1">
        <v>910490944</v>
      </c>
      <c r="C1777" t="s">
        <v>1648</v>
      </c>
      <c r="D1777" s="23">
        <v>-2748</v>
      </c>
      <c r="E1777" t="s">
        <v>35</v>
      </c>
      <c r="F1777" s="2">
        <v>212901001</v>
      </c>
      <c r="G1777" s="2" t="s">
        <v>91</v>
      </c>
      <c r="I1777" s="95" t="s">
        <v>7231</v>
      </c>
      <c r="J1777" t="s">
        <v>61</v>
      </c>
      <c r="K1777" s="49" t="s">
        <v>62</v>
      </c>
      <c r="L1777" s="49"/>
      <c r="M1777">
        <v>69.02</v>
      </c>
      <c r="N1777" s="4">
        <f t="shared" si="27"/>
        <v>-39.814546508258481</v>
      </c>
      <c r="O1777" t="s">
        <v>83</v>
      </c>
      <c r="R1777">
        <v>8</v>
      </c>
      <c r="S1777" t="e">
        <f>VLOOKUP(R1777,[1]!NOMINA[#Data],4,FALSE)</f>
        <v>#REF!</v>
      </c>
      <c r="T1777" t="e">
        <f>VLOOKUP(R1777,[1]!NOMINA[#Data],5,FALSE)</f>
        <v>#REF!</v>
      </c>
    </row>
    <row r="1778" spans="1:20" x14ac:dyDescent="0.25">
      <c r="A1778" s="43">
        <v>45743</v>
      </c>
      <c r="B1778" s="1">
        <v>910490948</v>
      </c>
      <c r="C1778" t="s">
        <v>1649</v>
      </c>
      <c r="D1778" s="23">
        <v>-2748</v>
      </c>
      <c r="E1778" t="s">
        <v>35</v>
      </c>
      <c r="F1778" s="2">
        <v>212901001</v>
      </c>
      <c r="G1778" s="2" t="s">
        <v>91</v>
      </c>
      <c r="I1778" s="95" t="s">
        <v>7231</v>
      </c>
      <c r="J1778" t="s">
        <v>61</v>
      </c>
      <c r="K1778" s="49" t="s">
        <v>62</v>
      </c>
      <c r="L1778" s="49"/>
      <c r="M1778">
        <v>69.02</v>
      </c>
      <c r="N1778" s="4">
        <f t="shared" si="27"/>
        <v>-39.814546508258481</v>
      </c>
      <c r="O1778" t="s">
        <v>83</v>
      </c>
      <c r="R1778">
        <v>13</v>
      </c>
      <c r="S1778" t="e">
        <f>VLOOKUP(R1778,[1]!NOMINA[#Data],4,FALSE)</f>
        <v>#REF!</v>
      </c>
      <c r="T1778" t="e">
        <f>VLOOKUP(R1778,[1]!NOMINA[#Data],5,FALSE)</f>
        <v>#REF!</v>
      </c>
    </row>
    <row r="1779" spans="1:20" x14ac:dyDescent="0.25">
      <c r="A1779" s="43">
        <v>45743</v>
      </c>
      <c r="B1779" s="1">
        <v>910490946</v>
      </c>
      <c r="C1779" t="s">
        <v>1650</v>
      </c>
      <c r="D1779" s="23">
        <v>-2748</v>
      </c>
      <c r="E1779" t="s">
        <v>35</v>
      </c>
      <c r="F1779" s="2">
        <v>212901001</v>
      </c>
      <c r="G1779" s="2" t="s">
        <v>91</v>
      </c>
      <c r="I1779" s="95" t="s">
        <v>7231</v>
      </c>
      <c r="J1779" t="s">
        <v>61</v>
      </c>
      <c r="K1779" s="49" t="s">
        <v>62</v>
      </c>
      <c r="L1779" s="49"/>
      <c r="M1779">
        <v>69.02</v>
      </c>
      <c r="N1779" s="4">
        <f t="shared" si="27"/>
        <v>-39.814546508258481</v>
      </c>
      <c r="O1779" t="s">
        <v>83</v>
      </c>
      <c r="R1779">
        <v>1</v>
      </c>
      <c r="S1779" t="e">
        <f>VLOOKUP(R1779,[1]!NOMINA[#Data],4,FALSE)</f>
        <v>#REF!</v>
      </c>
      <c r="T1779" t="e">
        <f>VLOOKUP(R1779,[1]!NOMINA[#Data],5,FALSE)</f>
        <v>#REF!</v>
      </c>
    </row>
    <row r="1780" spans="1:20" x14ac:dyDescent="0.25">
      <c r="A1780" s="43">
        <v>45743</v>
      </c>
      <c r="B1780" s="1">
        <v>10490949</v>
      </c>
      <c r="C1780" t="s">
        <v>1651</v>
      </c>
      <c r="D1780" s="23">
        <v>-1374</v>
      </c>
      <c r="E1780" t="s">
        <v>35</v>
      </c>
      <c r="F1780" s="2">
        <v>212901001</v>
      </c>
      <c r="G1780" s="2" t="s">
        <v>91</v>
      </c>
      <c r="I1780" s="95" t="s">
        <v>7231</v>
      </c>
      <c r="J1780" t="s">
        <v>61</v>
      </c>
      <c r="K1780" s="49" t="s">
        <v>62</v>
      </c>
      <c r="L1780" s="49"/>
      <c r="M1780">
        <v>69.02</v>
      </c>
      <c r="N1780" s="4">
        <f t="shared" si="27"/>
        <v>-19.90727325412924</v>
      </c>
      <c r="O1780" t="s">
        <v>83</v>
      </c>
      <c r="R1780">
        <v>4</v>
      </c>
      <c r="S1780" t="e">
        <f>VLOOKUP(R1780,[1]!NOMINA[#Data],4,FALSE)</f>
        <v>#REF!</v>
      </c>
      <c r="T1780" t="e">
        <f>VLOOKUP(R1780,[1]!NOMINA[#Data],5,FALSE)</f>
        <v>#REF!</v>
      </c>
    </row>
    <row r="1781" spans="1:20" x14ac:dyDescent="0.25">
      <c r="A1781" s="43">
        <v>45743</v>
      </c>
      <c r="B1781" s="1">
        <v>10490950</v>
      </c>
      <c r="C1781" t="s">
        <v>1652</v>
      </c>
      <c r="D1781" s="23">
        <v>-2748</v>
      </c>
      <c r="E1781" t="s">
        <v>35</v>
      </c>
      <c r="F1781" s="2">
        <v>212901001</v>
      </c>
      <c r="G1781" s="2" t="s">
        <v>91</v>
      </c>
      <c r="I1781" s="95" t="s">
        <v>7231</v>
      </c>
      <c r="J1781" t="s">
        <v>61</v>
      </c>
      <c r="K1781" s="49" t="s">
        <v>62</v>
      </c>
      <c r="L1781" s="49"/>
      <c r="M1781">
        <v>69.02</v>
      </c>
      <c r="N1781" s="4">
        <f t="shared" si="27"/>
        <v>-39.814546508258481</v>
      </c>
      <c r="O1781" t="s">
        <v>83</v>
      </c>
      <c r="R1781">
        <v>20</v>
      </c>
      <c r="S1781" t="e">
        <f>VLOOKUP(Tabla3[[#This Row],[Nº]],[1]!NOMINA[#Data],4,FALSE)</f>
        <v>#REF!</v>
      </c>
      <c r="T1781" t="e">
        <f>VLOOKUP(Tabla3[[#This Row],[Nº]],[1]!NOMINA[#Data],5,FALSE)</f>
        <v>#REF!</v>
      </c>
    </row>
    <row r="1782" spans="1:20" x14ac:dyDescent="0.25">
      <c r="A1782" s="43">
        <v>45743</v>
      </c>
      <c r="B1782" s="1">
        <v>10490953</v>
      </c>
      <c r="C1782" t="s">
        <v>1653</v>
      </c>
      <c r="D1782" s="23">
        <v>-2748</v>
      </c>
      <c r="E1782" t="s">
        <v>35</v>
      </c>
      <c r="F1782" s="2">
        <v>212901001</v>
      </c>
      <c r="G1782" s="2" t="s">
        <v>91</v>
      </c>
      <c r="I1782" s="95" t="s">
        <v>7231</v>
      </c>
      <c r="J1782" t="s">
        <v>61</v>
      </c>
      <c r="K1782" s="49" t="s">
        <v>62</v>
      </c>
      <c r="L1782" s="49"/>
      <c r="M1782">
        <v>69.02</v>
      </c>
      <c r="N1782" s="4">
        <f t="shared" si="27"/>
        <v>-39.814546508258481</v>
      </c>
      <c r="O1782" t="s">
        <v>83</v>
      </c>
      <c r="R1782">
        <v>43</v>
      </c>
      <c r="S1782" t="e">
        <f>VLOOKUP(R1782,[1]!NOMINA[#Data],4,FALSE)</f>
        <v>#REF!</v>
      </c>
      <c r="T1782" t="e">
        <f>VLOOKUP(R1782,[1]!NOMINA[#Data],5,FALSE)</f>
        <v>#REF!</v>
      </c>
    </row>
    <row r="1783" spans="1:20" x14ac:dyDescent="0.25">
      <c r="A1783" s="43">
        <v>45743</v>
      </c>
      <c r="B1783" s="1">
        <v>10490956</v>
      </c>
      <c r="C1783" t="s">
        <v>1654</v>
      </c>
      <c r="D1783" s="23">
        <v>-2748</v>
      </c>
      <c r="E1783" t="s">
        <v>35</v>
      </c>
      <c r="F1783" s="2">
        <v>212901001</v>
      </c>
      <c r="G1783" s="2" t="s">
        <v>91</v>
      </c>
      <c r="I1783" s="95" t="s">
        <v>7231</v>
      </c>
      <c r="J1783" t="s">
        <v>61</v>
      </c>
      <c r="K1783" s="49" t="s">
        <v>62</v>
      </c>
      <c r="L1783" s="49"/>
      <c r="M1783">
        <v>69.02</v>
      </c>
      <c r="N1783" s="4">
        <f t="shared" si="27"/>
        <v>-39.814546508258481</v>
      </c>
      <c r="O1783" t="s">
        <v>83</v>
      </c>
      <c r="R1783">
        <v>12</v>
      </c>
      <c r="S1783" t="e">
        <f>VLOOKUP(R1783,[1]!NOMINA[#Data],4,FALSE)</f>
        <v>#REF!</v>
      </c>
      <c r="T1783" t="e">
        <f>VLOOKUP(R1783,[1]!NOMINA[#Data],5,FALSE)</f>
        <v>#REF!</v>
      </c>
    </row>
    <row r="1784" spans="1:20" x14ac:dyDescent="0.25">
      <c r="A1784" s="43">
        <v>45743</v>
      </c>
      <c r="B1784" s="1">
        <v>10490951</v>
      </c>
      <c r="C1784" t="s">
        <v>1655</v>
      </c>
      <c r="D1784" s="23">
        <v>-2748</v>
      </c>
      <c r="E1784" t="s">
        <v>35</v>
      </c>
      <c r="F1784" s="2">
        <v>212901001</v>
      </c>
      <c r="G1784" s="2" t="s">
        <v>91</v>
      </c>
      <c r="I1784" s="95" t="s">
        <v>7231</v>
      </c>
      <c r="J1784" t="s">
        <v>61</v>
      </c>
      <c r="K1784" s="49" t="s">
        <v>62</v>
      </c>
      <c r="L1784" s="49"/>
      <c r="M1784">
        <v>69.02</v>
      </c>
      <c r="N1784" s="4">
        <f t="shared" si="27"/>
        <v>-39.814546508258481</v>
      </c>
      <c r="O1784" t="s">
        <v>83</v>
      </c>
      <c r="R1784">
        <v>16</v>
      </c>
      <c r="S1784" t="e">
        <f>VLOOKUP(Tabla3[[#This Row],[Nº]],[1]!NOMINA[#Data],4,FALSE)</f>
        <v>#REF!</v>
      </c>
      <c r="T1784" t="e">
        <f>VLOOKUP(Tabla3[[#This Row],[Nº]],[1]!NOMINA[#Data],5,FALSE)</f>
        <v>#REF!</v>
      </c>
    </row>
    <row r="1785" spans="1:20" x14ac:dyDescent="0.25">
      <c r="A1785" s="43">
        <v>45743</v>
      </c>
      <c r="B1785" s="1">
        <v>10490952</v>
      </c>
      <c r="C1785" t="s">
        <v>1656</v>
      </c>
      <c r="D1785" s="23">
        <v>-2748</v>
      </c>
      <c r="E1785" t="s">
        <v>35</v>
      </c>
      <c r="F1785" s="2">
        <v>212901001</v>
      </c>
      <c r="G1785" s="2" t="s">
        <v>91</v>
      </c>
      <c r="I1785" s="95" t="s">
        <v>7231</v>
      </c>
      <c r="J1785" t="s">
        <v>61</v>
      </c>
      <c r="K1785" s="49" t="s">
        <v>62</v>
      </c>
      <c r="L1785" s="49"/>
      <c r="M1785">
        <v>69.02</v>
      </c>
      <c r="N1785" s="4">
        <f t="shared" si="27"/>
        <v>-39.814546508258481</v>
      </c>
      <c r="O1785" t="s">
        <v>83</v>
      </c>
      <c r="R1785">
        <v>6</v>
      </c>
      <c r="S1785" t="e">
        <f>VLOOKUP(R1785,[1]!NOMINA[#Data],4,FALSE)</f>
        <v>#REF!</v>
      </c>
      <c r="T1785" t="e">
        <f>VLOOKUP(R1785,[1]!NOMINA[#Data],5,FALSE)</f>
        <v>#REF!</v>
      </c>
    </row>
    <row r="1786" spans="1:20" x14ac:dyDescent="0.25">
      <c r="A1786" s="43">
        <v>45743</v>
      </c>
      <c r="B1786" s="1">
        <v>10490957</v>
      </c>
      <c r="C1786" t="s">
        <v>1657</v>
      </c>
      <c r="D1786" s="23">
        <v>-2748</v>
      </c>
      <c r="E1786" t="s">
        <v>35</v>
      </c>
      <c r="F1786" s="2">
        <v>212901001</v>
      </c>
      <c r="G1786" s="2" t="s">
        <v>91</v>
      </c>
      <c r="I1786" s="95" t="s">
        <v>7231</v>
      </c>
      <c r="J1786" t="s">
        <v>61</v>
      </c>
      <c r="K1786" s="49" t="s">
        <v>62</v>
      </c>
      <c r="L1786" s="49"/>
      <c r="M1786">
        <v>69.02</v>
      </c>
      <c r="N1786" s="4">
        <f t="shared" si="27"/>
        <v>-39.814546508258481</v>
      </c>
      <c r="O1786" t="s">
        <v>83</v>
      </c>
      <c r="R1786">
        <v>7</v>
      </c>
      <c r="S1786" t="e">
        <f>VLOOKUP(R1786,[1]!NOMINA[#Data],4,FALSE)</f>
        <v>#REF!</v>
      </c>
      <c r="T1786" t="e">
        <f>VLOOKUP(R1786,[1]!NOMINA[#Data],5,FALSE)</f>
        <v>#REF!</v>
      </c>
    </row>
    <row r="1787" spans="1:20" x14ac:dyDescent="0.25">
      <c r="A1787" s="43">
        <v>45743</v>
      </c>
      <c r="B1787" s="1">
        <v>10490954</v>
      </c>
      <c r="C1787" t="s">
        <v>1658</v>
      </c>
      <c r="D1787" s="23">
        <v>-2748</v>
      </c>
      <c r="E1787" t="s">
        <v>35</v>
      </c>
      <c r="F1787" s="2">
        <v>212901001</v>
      </c>
      <c r="G1787" s="2" t="s">
        <v>91</v>
      </c>
      <c r="I1787" s="95" t="s">
        <v>7231</v>
      </c>
      <c r="J1787" t="s">
        <v>61</v>
      </c>
      <c r="K1787" s="49" t="s">
        <v>62</v>
      </c>
      <c r="L1787" s="49"/>
      <c r="M1787">
        <v>69.02</v>
      </c>
      <c r="N1787" s="4">
        <f t="shared" si="27"/>
        <v>-39.814546508258481</v>
      </c>
      <c r="O1787" t="s">
        <v>83</v>
      </c>
      <c r="R1787">
        <v>3</v>
      </c>
      <c r="S1787" t="e">
        <f>VLOOKUP(R1787,[1]!NOMINA[#Data],4,FALSE)</f>
        <v>#REF!</v>
      </c>
      <c r="T1787" t="e">
        <f>VLOOKUP(R1787,[1]!NOMINA[#Data],5,FALSE)</f>
        <v>#REF!</v>
      </c>
    </row>
    <row r="1788" spans="1:20" x14ac:dyDescent="0.25">
      <c r="A1788" s="43">
        <v>45743</v>
      </c>
      <c r="B1788" s="1">
        <v>10490955</v>
      </c>
      <c r="C1788" t="s">
        <v>1659</v>
      </c>
      <c r="D1788" s="23">
        <v>-2748</v>
      </c>
      <c r="E1788" t="s">
        <v>35</v>
      </c>
      <c r="F1788" s="2">
        <v>212901001</v>
      </c>
      <c r="G1788" s="2" t="s">
        <v>91</v>
      </c>
      <c r="I1788" s="95" t="s">
        <v>7231</v>
      </c>
      <c r="J1788" t="s">
        <v>61</v>
      </c>
      <c r="K1788" s="49" t="s">
        <v>62</v>
      </c>
      <c r="L1788" s="49"/>
      <c r="M1788">
        <v>69.02</v>
      </c>
      <c r="N1788" s="4">
        <f t="shared" si="27"/>
        <v>-39.814546508258481</v>
      </c>
      <c r="O1788" t="s">
        <v>83</v>
      </c>
      <c r="R1788">
        <v>24</v>
      </c>
      <c r="S1788" t="e">
        <f>VLOOKUP(R1788,[1]!NOMINA[#Data],4,FALSE)</f>
        <v>#REF!</v>
      </c>
      <c r="T1788" t="e">
        <f>VLOOKUP(R1788,[1]!NOMINA[#Data],5,FALSE)</f>
        <v>#REF!</v>
      </c>
    </row>
    <row r="1789" spans="1:20" x14ac:dyDescent="0.25">
      <c r="A1789" s="43">
        <v>45743</v>
      </c>
      <c r="B1789" s="1">
        <v>10490958</v>
      </c>
      <c r="C1789" t="s">
        <v>1660</v>
      </c>
      <c r="D1789" s="23">
        <v>-2748</v>
      </c>
      <c r="E1789" t="s">
        <v>35</v>
      </c>
      <c r="F1789" s="2">
        <v>212901001</v>
      </c>
      <c r="G1789" s="2" t="s">
        <v>91</v>
      </c>
      <c r="I1789" s="95" t="s">
        <v>7231</v>
      </c>
      <c r="J1789" t="s">
        <v>61</v>
      </c>
      <c r="K1789" s="49" t="s">
        <v>62</v>
      </c>
      <c r="L1789" s="49"/>
      <c r="M1789">
        <v>69.02</v>
      </c>
      <c r="N1789" s="4">
        <f t="shared" si="27"/>
        <v>-39.814546508258481</v>
      </c>
      <c r="O1789" t="s">
        <v>83</v>
      </c>
      <c r="R1789">
        <v>5</v>
      </c>
      <c r="S1789" t="e">
        <f>VLOOKUP(R1789,[1]!NOMINA[#Data],4,FALSE)</f>
        <v>#REF!</v>
      </c>
      <c r="T1789" t="e">
        <f>VLOOKUP(R1789,[1]!NOMINA[#Data],5,FALSE)</f>
        <v>#REF!</v>
      </c>
    </row>
    <row r="1790" spans="1:20" x14ac:dyDescent="0.25">
      <c r="A1790" s="43">
        <v>45743</v>
      </c>
      <c r="B1790" s="1">
        <v>110490960</v>
      </c>
      <c r="C1790" t="s">
        <v>1661</v>
      </c>
      <c r="D1790" s="23">
        <v>-2748</v>
      </c>
      <c r="E1790" t="s">
        <v>35</v>
      </c>
      <c r="F1790" s="2">
        <v>212901001</v>
      </c>
      <c r="G1790" s="2" t="s">
        <v>91</v>
      </c>
      <c r="I1790" s="95" t="s">
        <v>7231</v>
      </c>
      <c r="J1790" t="s">
        <v>61</v>
      </c>
      <c r="K1790" s="49" t="s">
        <v>62</v>
      </c>
      <c r="L1790" s="49"/>
      <c r="M1790">
        <v>69.02</v>
      </c>
      <c r="N1790" s="4">
        <f t="shared" si="27"/>
        <v>-39.814546508258481</v>
      </c>
      <c r="O1790" t="s">
        <v>83</v>
      </c>
      <c r="R1790">
        <v>42</v>
      </c>
      <c r="S1790" t="e">
        <f>VLOOKUP(R1790,[1]!NOMINA[#Data],4,FALSE)</f>
        <v>#REF!</v>
      </c>
      <c r="T1790" t="e">
        <f>VLOOKUP(R1790,[1]!NOMINA[#Data],5,FALSE)</f>
        <v>#REF!</v>
      </c>
    </row>
    <row r="1791" spans="1:20" x14ac:dyDescent="0.25">
      <c r="A1791" s="43">
        <v>45743</v>
      </c>
      <c r="B1791" s="1">
        <v>110490961</v>
      </c>
      <c r="C1791" t="s">
        <v>1662</v>
      </c>
      <c r="D1791" s="23">
        <v>-2748</v>
      </c>
      <c r="E1791" t="s">
        <v>35</v>
      </c>
      <c r="F1791" s="2">
        <v>212901001</v>
      </c>
      <c r="G1791" s="2" t="s">
        <v>91</v>
      </c>
      <c r="I1791" s="95" t="s">
        <v>7231</v>
      </c>
      <c r="J1791" t="s">
        <v>61</v>
      </c>
      <c r="K1791" s="49" t="s">
        <v>62</v>
      </c>
      <c r="L1791" s="49"/>
      <c r="M1791">
        <v>69.02</v>
      </c>
      <c r="N1791" s="4">
        <f t="shared" si="27"/>
        <v>-39.814546508258481</v>
      </c>
      <c r="O1791" t="s">
        <v>83</v>
      </c>
      <c r="R1791">
        <v>27</v>
      </c>
      <c r="S1791" t="e">
        <f>VLOOKUP(R1791,[1]!NOMINA[#Data],4,FALSE)</f>
        <v>#REF!</v>
      </c>
      <c r="T1791" t="e">
        <f>VLOOKUP(R1791,[1]!NOMINA[#Data],5,FALSE)</f>
        <v>#REF!</v>
      </c>
    </row>
    <row r="1792" spans="1:20" x14ac:dyDescent="0.25">
      <c r="A1792" s="43">
        <v>45743</v>
      </c>
      <c r="B1792" s="1">
        <v>110490963</v>
      </c>
      <c r="C1792" t="s">
        <v>1663</v>
      </c>
      <c r="D1792" s="23">
        <v>-2748</v>
      </c>
      <c r="E1792" t="s">
        <v>35</v>
      </c>
      <c r="F1792" s="2">
        <v>212901001</v>
      </c>
      <c r="G1792" s="2" t="s">
        <v>91</v>
      </c>
      <c r="I1792" s="95" t="s">
        <v>7231</v>
      </c>
      <c r="J1792" t="s">
        <v>61</v>
      </c>
      <c r="K1792" s="49" t="s">
        <v>62</v>
      </c>
      <c r="L1792" s="49"/>
      <c r="M1792">
        <v>69.02</v>
      </c>
      <c r="N1792" s="4">
        <f t="shared" si="27"/>
        <v>-39.814546508258481</v>
      </c>
      <c r="O1792" t="s">
        <v>83</v>
      </c>
      <c r="R1792">
        <v>21</v>
      </c>
      <c r="S1792" t="e">
        <f>VLOOKUP(R1792,[1]!NOMINA[#Data],4,FALSE)</f>
        <v>#REF!</v>
      </c>
      <c r="T1792" t="e">
        <f>VLOOKUP(R1792,[1]!NOMINA[#Data],5,FALSE)</f>
        <v>#REF!</v>
      </c>
    </row>
    <row r="1793" spans="1:20" x14ac:dyDescent="0.25">
      <c r="A1793" s="43">
        <v>45743</v>
      </c>
      <c r="B1793" s="1">
        <v>110490962</v>
      </c>
      <c r="C1793" t="s">
        <v>1664</v>
      </c>
      <c r="D1793" s="23">
        <v>-2748</v>
      </c>
      <c r="E1793" t="s">
        <v>35</v>
      </c>
      <c r="F1793" s="2">
        <v>212901001</v>
      </c>
      <c r="G1793" s="2" t="s">
        <v>91</v>
      </c>
      <c r="I1793" s="95" t="s">
        <v>7231</v>
      </c>
      <c r="J1793" t="s">
        <v>61</v>
      </c>
      <c r="K1793" s="49" t="s">
        <v>62</v>
      </c>
      <c r="L1793" s="49"/>
      <c r="M1793">
        <v>69.02</v>
      </c>
      <c r="N1793" s="4">
        <f t="shared" si="27"/>
        <v>-39.814546508258481</v>
      </c>
      <c r="O1793" t="s">
        <v>83</v>
      </c>
      <c r="R1793">
        <v>25</v>
      </c>
      <c r="S1793" t="e">
        <f>VLOOKUP(R1793,[1]!NOMINA[#Data],4,FALSE)</f>
        <v>#REF!</v>
      </c>
      <c r="T1793" t="e">
        <f>VLOOKUP(R1793,[1]!NOMINA[#Data],5,FALSE)</f>
        <v>#REF!</v>
      </c>
    </row>
    <row r="1794" spans="1:20" x14ac:dyDescent="0.25">
      <c r="A1794" s="43">
        <v>45743</v>
      </c>
      <c r="B1794" s="1">
        <v>110490966</v>
      </c>
      <c r="C1794" t="s">
        <v>1665</v>
      </c>
      <c r="D1794" s="23">
        <v>-2748</v>
      </c>
      <c r="E1794" t="s">
        <v>35</v>
      </c>
      <c r="F1794" s="2">
        <v>212901001</v>
      </c>
      <c r="G1794" s="2" t="s">
        <v>91</v>
      </c>
      <c r="I1794" s="95" t="s">
        <v>7231</v>
      </c>
      <c r="J1794" t="s">
        <v>61</v>
      </c>
      <c r="K1794" s="49" t="s">
        <v>62</v>
      </c>
      <c r="L1794" s="49"/>
      <c r="M1794">
        <v>69.02</v>
      </c>
      <c r="N1794" s="4">
        <f t="shared" si="27"/>
        <v>-39.814546508258481</v>
      </c>
      <c r="O1794" t="s">
        <v>83</v>
      </c>
      <c r="R1794">
        <v>37</v>
      </c>
      <c r="S1794" t="e">
        <f>VLOOKUP(Tabla3[[#This Row],[Nº]],[1]!NOMINA[#Data],4,FALSE)</f>
        <v>#REF!</v>
      </c>
      <c r="T1794" t="e">
        <f>VLOOKUP(Tabla3[[#This Row],[Nº]],[1]!NOMINA[#Data],5,FALSE)</f>
        <v>#REF!</v>
      </c>
    </row>
    <row r="1795" spans="1:20" x14ac:dyDescent="0.25">
      <c r="A1795" s="43">
        <v>45743</v>
      </c>
      <c r="B1795" s="1">
        <v>110490959</v>
      </c>
      <c r="C1795" t="s">
        <v>1666</v>
      </c>
      <c r="D1795" s="23">
        <v>-2748</v>
      </c>
      <c r="E1795" t="s">
        <v>35</v>
      </c>
      <c r="F1795" s="2">
        <v>212901001</v>
      </c>
      <c r="G1795" s="2" t="s">
        <v>91</v>
      </c>
      <c r="I1795" s="95" t="s">
        <v>7231</v>
      </c>
      <c r="J1795" t="s">
        <v>61</v>
      </c>
      <c r="K1795" s="49" t="s">
        <v>62</v>
      </c>
      <c r="L1795" s="49"/>
      <c r="M1795">
        <v>69.02</v>
      </c>
      <c r="N1795" s="4">
        <f t="shared" si="27"/>
        <v>-39.814546508258481</v>
      </c>
      <c r="O1795" t="s">
        <v>83</v>
      </c>
      <c r="R1795">
        <v>11</v>
      </c>
      <c r="S1795" t="e">
        <f>VLOOKUP(R1795,[1]!NOMINA[#Data],4,FALSE)</f>
        <v>#REF!</v>
      </c>
      <c r="T1795" t="e">
        <f>VLOOKUP(R1795,[1]!NOMINA[#Data],5,FALSE)</f>
        <v>#REF!</v>
      </c>
    </row>
    <row r="1796" spans="1:20" x14ac:dyDescent="0.25">
      <c r="A1796" s="43">
        <v>45743</v>
      </c>
      <c r="B1796" s="1">
        <v>110490965</v>
      </c>
      <c r="C1796" t="s">
        <v>1667</v>
      </c>
      <c r="D1796" s="23">
        <v>-2748</v>
      </c>
      <c r="E1796" t="s">
        <v>35</v>
      </c>
      <c r="F1796" s="2">
        <v>212901001</v>
      </c>
      <c r="G1796" s="2" t="s">
        <v>91</v>
      </c>
      <c r="I1796" s="95" t="s">
        <v>7231</v>
      </c>
      <c r="J1796" t="s">
        <v>61</v>
      </c>
      <c r="K1796" s="49" t="s">
        <v>62</v>
      </c>
      <c r="L1796" s="49"/>
      <c r="M1796">
        <v>69.02</v>
      </c>
      <c r="N1796" s="4">
        <f t="shared" si="27"/>
        <v>-39.814546508258481</v>
      </c>
      <c r="O1796" t="s">
        <v>83</v>
      </c>
      <c r="R1796">
        <v>10</v>
      </c>
      <c r="S1796" t="e">
        <f>VLOOKUP(R1796,[1]!NOMINA[#Data],4,FALSE)</f>
        <v>#REF!</v>
      </c>
      <c r="T1796" t="e">
        <f>VLOOKUP(R1796,[1]!NOMINA[#Data],5,FALSE)</f>
        <v>#REF!</v>
      </c>
    </row>
    <row r="1797" spans="1:20" x14ac:dyDescent="0.25">
      <c r="A1797" s="43">
        <v>45743</v>
      </c>
      <c r="B1797" s="1">
        <v>110490970</v>
      </c>
      <c r="C1797" t="s">
        <v>1668</v>
      </c>
      <c r="D1797" s="23">
        <v>-60.3</v>
      </c>
      <c r="E1797" t="s">
        <v>35</v>
      </c>
      <c r="F1797" s="2">
        <v>212901001</v>
      </c>
      <c r="G1797" s="2" t="s">
        <v>91</v>
      </c>
      <c r="I1797" s="95" t="s">
        <v>7231</v>
      </c>
      <c r="J1797" t="s">
        <v>61</v>
      </c>
      <c r="K1797" s="49" t="s">
        <v>62</v>
      </c>
      <c r="L1797" s="49"/>
      <c r="M1797">
        <v>69.02</v>
      </c>
      <c r="N1797" s="4">
        <f t="shared" si="27"/>
        <v>-0.87365980875108662</v>
      </c>
      <c r="O1797" t="s">
        <v>83</v>
      </c>
      <c r="R1797">
        <v>9</v>
      </c>
      <c r="S1797" t="e">
        <f>VLOOKUP(R1797,[1]!NOMINA[#Data],4,FALSE)</f>
        <v>#REF!</v>
      </c>
      <c r="T1797" t="e">
        <f>VLOOKUP(R1797,[1]!NOMINA[#Data],5,FALSE)</f>
        <v>#REF!</v>
      </c>
    </row>
    <row r="1798" spans="1:20" x14ac:dyDescent="0.25">
      <c r="A1798" s="43">
        <v>45743</v>
      </c>
      <c r="B1798" s="1">
        <v>110490969</v>
      </c>
      <c r="C1798" t="s">
        <v>1669</v>
      </c>
      <c r="D1798" s="23">
        <v>-2748</v>
      </c>
      <c r="E1798" t="s">
        <v>35</v>
      </c>
      <c r="F1798" s="2">
        <v>212901001</v>
      </c>
      <c r="G1798" s="2" t="s">
        <v>91</v>
      </c>
      <c r="I1798" s="95" t="s">
        <v>7231</v>
      </c>
      <c r="J1798" t="s">
        <v>61</v>
      </c>
      <c r="K1798" s="49" t="s">
        <v>62</v>
      </c>
      <c r="L1798" s="49"/>
      <c r="M1798">
        <v>69.02</v>
      </c>
      <c r="N1798" s="4">
        <f t="shared" si="27"/>
        <v>-39.814546508258481</v>
      </c>
      <c r="O1798" t="s">
        <v>83</v>
      </c>
      <c r="R1798">
        <v>38</v>
      </c>
      <c r="S1798" t="e">
        <f>VLOOKUP(R1798,[1]!NOMINA[#Data],4,FALSE)</f>
        <v>#REF!</v>
      </c>
      <c r="T1798" t="e">
        <f>VLOOKUP(R1798,[1]!NOMINA[#Data],5,FALSE)</f>
        <v>#REF!</v>
      </c>
    </row>
    <row r="1799" spans="1:20" x14ac:dyDescent="0.25">
      <c r="A1799" s="43">
        <v>45743</v>
      </c>
      <c r="B1799" s="1">
        <v>110490968</v>
      </c>
      <c r="C1799" t="s">
        <v>1670</v>
      </c>
      <c r="D1799" s="23">
        <v>-2748</v>
      </c>
      <c r="E1799" t="s">
        <v>35</v>
      </c>
      <c r="F1799" s="2">
        <v>212901001</v>
      </c>
      <c r="G1799" s="2" t="s">
        <v>91</v>
      </c>
      <c r="I1799" s="95" t="s">
        <v>7231</v>
      </c>
      <c r="J1799" t="s">
        <v>61</v>
      </c>
      <c r="K1799" s="49" t="s">
        <v>62</v>
      </c>
      <c r="L1799" s="49"/>
      <c r="M1799">
        <v>69.02</v>
      </c>
      <c r="N1799" s="4">
        <f t="shared" si="27"/>
        <v>-39.814546508258481</v>
      </c>
      <c r="O1799" t="s">
        <v>83</v>
      </c>
      <c r="R1799">
        <v>9</v>
      </c>
      <c r="S1799" t="e">
        <f>VLOOKUP(R1799,[1]!NOMINA[#Data],4,FALSE)</f>
        <v>#REF!</v>
      </c>
      <c r="T1799" t="e">
        <f>VLOOKUP(R1799,[1]!NOMINA[#Data],5,FALSE)</f>
        <v>#REF!</v>
      </c>
    </row>
    <row r="1800" spans="1:20" x14ac:dyDescent="0.25">
      <c r="A1800" s="43">
        <v>45743</v>
      </c>
      <c r="B1800" s="1">
        <v>210490972</v>
      </c>
      <c r="C1800" t="s">
        <v>1671</v>
      </c>
      <c r="D1800" s="23">
        <v>-60.3</v>
      </c>
      <c r="E1800" t="s">
        <v>35</v>
      </c>
      <c r="F1800" s="2">
        <v>212901001</v>
      </c>
      <c r="G1800" s="2" t="s">
        <v>91</v>
      </c>
      <c r="I1800" s="95" t="s">
        <v>7231</v>
      </c>
      <c r="J1800" t="s">
        <v>61</v>
      </c>
      <c r="K1800" s="49" t="s">
        <v>62</v>
      </c>
      <c r="L1800" s="49"/>
      <c r="M1800">
        <v>69.02</v>
      </c>
      <c r="N1800" s="4">
        <f t="shared" si="27"/>
        <v>-0.87365980875108662</v>
      </c>
      <c r="O1800" t="s">
        <v>83</v>
      </c>
      <c r="R1800">
        <v>26</v>
      </c>
      <c r="S1800" t="e">
        <f>VLOOKUP(Tabla3[[#This Row],[Nº]],[1]!NOMINA[#Data],4,FALSE)</f>
        <v>#REF!</v>
      </c>
      <c r="T1800" t="e">
        <f>VLOOKUP(Tabla3[[#This Row],[Nº]],[1]!NOMINA[#Data],5,FALSE)</f>
        <v>#REF!</v>
      </c>
    </row>
    <row r="1801" spans="1:20" x14ac:dyDescent="0.25">
      <c r="A1801" s="43">
        <v>45743</v>
      </c>
      <c r="B1801" s="1">
        <v>210490975</v>
      </c>
      <c r="C1801" t="s">
        <v>1672</v>
      </c>
      <c r="D1801" s="23">
        <v>-60.3</v>
      </c>
      <c r="E1801" t="s">
        <v>35</v>
      </c>
      <c r="F1801" s="2">
        <v>212901001</v>
      </c>
      <c r="G1801" s="2" t="s">
        <v>91</v>
      </c>
      <c r="I1801" s="95" t="s">
        <v>7231</v>
      </c>
      <c r="J1801" t="s">
        <v>61</v>
      </c>
      <c r="K1801" s="49" t="s">
        <v>62</v>
      </c>
      <c r="L1801" s="49"/>
      <c r="M1801">
        <v>69.02</v>
      </c>
      <c r="N1801" s="4">
        <f t="shared" si="27"/>
        <v>-0.87365980875108662</v>
      </c>
      <c r="O1801" t="s">
        <v>83</v>
      </c>
      <c r="R1801">
        <v>10</v>
      </c>
      <c r="S1801" t="e">
        <f>VLOOKUP(R1801,[1]!NOMINA[#Data],4,FALSE)</f>
        <v>#REF!</v>
      </c>
      <c r="T1801" t="e">
        <f>VLOOKUP(R1801,[1]!NOMINA[#Data],5,FALSE)</f>
        <v>#REF!</v>
      </c>
    </row>
    <row r="1802" spans="1:20" x14ac:dyDescent="0.25">
      <c r="A1802" s="43">
        <v>45743</v>
      </c>
      <c r="B1802" s="1">
        <v>110490971</v>
      </c>
      <c r="C1802" t="s">
        <v>1673</v>
      </c>
      <c r="D1802" s="23">
        <v>-60.3</v>
      </c>
      <c r="E1802" t="s">
        <v>35</v>
      </c>
      <c r="F1802" s="2">
        <v>212901001</v>
      </c>
      <c r="G1802" s="2" t="s">
        <v>91</v>
      </c>
      <c r="I1802" s="95" t="s">
        <v>7231</v>
      </c>
      <c r="J1802" t="s">
        <v>61</v>
      </c>
      <c r="K1802" s="49" t="s">
        <v>62</v>
      </c>
      <c r="L1802" s="49"/>
      <c r="M1802">
        <v>69.02</v>
      </c>
      <c r="N1802" s="4">
        <f t="shared" si="27"/>
        <v>-0.87365980875108662</v>
      </c>
      <c r="O1802" t="s">
        <v>83</v>
      </c>
      <c r="R1802">
        <v>18</v>
      </c>
      <c r="S1802" t="e">
        <f>VLOOKUP(Tabla3[[#This Row],[Nº]],[1]!NOMINA[#Data],4,FALSE)</f>
        <v>#REF!</v>
      </c>
      <c r="T1802" t="e">
        <f>VLOOKUP(Tabla3[[#This Row],[Nº]],[1]!NOMINA[#Data],5,FALSE)</f>
        <v>#REF!</v>
      </c>
    </row>
    <row r="1803" spans="1:20" x14ac:dyDescent="0.25">
      <c r="A1803" s="43">
        <v>45743</v>
      </c>
      <c r="B1803" s="1">
        <v>210490973</v>
      </c>
      <c r="C1803" t="s">
        <v>1674</v>
      </c>
      <c r="D1803" s="23">
        <v>-60.3</v>
      </c>
      <c r="E1803" t="s">
        <v>35</v>
      </c>
      <c r="F1803" s="2">
        <v>212901001</v>
      </c>
      <c r="G1803" s="2" t="s">
        <v>91</v>
      </c>
      <c r="I1803" s="95" t="s">
        <v>7231</v>
      </c>
      <c r="J1803" t="s">
        <v>61</v>
      </c>
      <c r="K1803" s="49" t="s">
        <v>62</v>
      </c>
      <c r="L1803" s="49"/>
      <c r="M1803">
        <v>69.02</v>
      </c>
      <c r="N1803" s="4">
        <f t="shared" si="27"/>
        <v>-0.87365980875108662</v>
      </c>
      <c r="O1803" t="s">
        <v>83</v>
      </c>
      <c r="R1803">
        <v>38</v>
      </c>
      <c r="S1803" t="e">
        <f>VLOOKUP(R1803,[1]!NOMINA[#Data],4,FALSE)</f>
        <v>#REF!</v>
      </c>
      <c r="T1803" t="e">
        <f>VLOOKUP(R1803,[1]!NOMINA[#Data],5,FALSE)</f>
        <v>#REF!</v>
      </c>
    </row>
    <row r="1804" spans="1:20" x14ac:dyDescent="0.25">
      <c r="A1804" s="43">
        <v>45743</v>
      </c>
      <c r="B1804" s="1">
        <v>210490978</v>
      </c>
      <c r="C1804" t="s">
        <v>1675</v>
      </c>
      <c r="D1804" s="23">
        <v>-60.3</v>
      </c>
      <c r="E1804" t="s">
        <v>35</v>
      </c>
      <c r="F1804" s="2">
        <v>212901001</v>
      </c>
      <c r="G1804" s="2" t="s">
        <v>91</v>
      </c>
      <c r="I1804" s="95" t="s">
        <v>7231</v>
      </c>
      <c r="J1804" t="s">
        <v>61</v>
      </c>
      <c r="K1804" s="49" t="s">
        <v>62</v>
      </c>
      <c r="L1804" s="49"/>
      <c r="M1804">
        <v>69.02</v>
      </c>
      <c r="N1804" s="4">
        <f t="shared" ref="N1804:N1867" si="28">D1804/M1804</f>
        <v>-0.87365980875108662</v>
      </c>
      <c r="O1804" t="s">
        <v>83</v>
      </c>
      <c r="R1804">
        <v>15</v>
      </c>
      <c r="S1804" t="e">
        <f>VLOOKUP(R1804,[1]!NOMINA[#Data],4,FALSE)</f>
        <v>#REF!</v>
      </c>
      <c r="T1804" t="e">
        <f>VLOOKUP(R1804,[1]!NOMINA[#Data],5,FALSE)</f>
        <v>#REF!</v>
      </c>
    </row>
    <row r="1805" spans="1:20" x14ac:dyDescent="0.25">
      <c r="A1805" s="43">
        <v>45743</v>
      </c>
      <c r="B1805" s="1">
        <v>210490974</v>
      </c>
      <c r="C1805" t="s">
        <v>1676</v>
      </c>
      <c r="D1805" s="23">
        <v>-60.3</v>
      </c>
      <c r="E1805" t="s">
        <v>35</v>
      </c>
      <c r="F1805" s="2">
        <v>212901001</v>
      </c>
      <c r="G1805" s="2" t="s">
        <v>91</v>
      </c>
      <c r="I1805" s="95" t="s">
        <v>7231</v>
      </c>
      <c r="J1805" t="s">
        <v>61</v>
      </c>
      <c r="K1805" s="49" t="s">
        <v>62</v>
      </c>
      <c r="L1805" s="49"/>
      <c r="M1805">
        <v>69.02</v>
      </c>
      <c r="N1805" s="4">
        <f t="shared" si="28"/>
        <v>-0.87365980875108662</v>
      </c>
      <c r="O1805" t="s">
        <v>83</v>
      </c>
      <c r="R1805">
        <v>20</v>
      </c>
      <c r="S1805" t="e">
        <f>VLOOKUP(Tabla3[[#This Row],[Nº]],[1]!NOMINA[#Data],4,FALSE)</f>
        <v>#REF!</v>
      </c>
      <c r="T1805" t="e">
        <f>VLOOKUP(Tabla3[[#This Row],[Nº]],[1]!NOMINA[#Data],5,FALSE)</f>
        <v>#REF!</v>
      </c>
    </row>
    <row r="1806" spans="1:20" x14ac:dyDescent="0.25">
      <c r="A1806" s="43">
        <v>45743</v>
      </c>
      <c r="B1806" s="1">
        <v>210490977</v>
      </c>
      <c r="C1806" t="s">
        <v>1672</v>
      </c>
      <c r="D1806" s="23">
        <v>-21.69</v>
      </c>
      <c r="E1806" t="s">
        <v>35</v>
      </c>
      <c r="F1806" s="2">
        <v>212901001</v>
      </c>
      <c r="G1806" s="2" t="s">
        <v>91</v>
      </c>
      <c r="I1806" s="95" t="s">
        <v>7231</v>
      </c>
      <c r="J1806" t="s">
        <v>61</v>
      </c>
      <c r="K1806" s="49" t="s">
        <v>62</v>
      </c>
      <c r="L1806" s="49"/>
      <c r="M1806">
        <v>69.02</v>
      </c>
      <c r="N1806" s="4">
        <f t="shared" si="28"/>
        <v>-0.3142567371776297</v>
      </c>
      <c r="O1806" t="s">
        <v>83</v>
      </c>
      <c r="R1806">
        <v>10</v>
      </c>
      <c r="S1806" t="e">
        <f>VLOOKUP(R1806,[1]!NOMINA[#Data],4,FALSE)</f>
        <v>#REF!</v>
      </c>
      <c r="T1806" t="e">
        <f>VLOOKUP(R1806,[1]!NOMINA[#Data],5,FALSE)</f>
        <v>#REF!</v>
      </c>
    </row>
    <row r="1807" spans="1:20" x14ac:dyDescent="0.25">
      <c r="A1807" s="43">
        <v>45743</v>
      </c>
      <c r="B1807" s="1">
        <v>210490976</v>
      </c>
      <c r="C1807" t="s">
        <v>1677</v>
      </c>
      <c r="D1807" s="23">
        <v>-60.3</v>
      </c>
      <c r="E1807" t="s">
        <v>35</v>
      </c>
      <c r="F1807" s="2">
        <v>212901001</v>
      </c>
      <c r="G1807" s="2" t="s">
        <v>91</v>
      </c>
      <c r="I1807" s="95" t="s">
        <v>7231</v>
      </c>
      <c r="J1807" t="s">
        <v>61</v>
      </c>
      <c r="K1807" s="49" t="s">
        <v>62</v>
      </c>
      <c r="L1807" s="49"/>
      <c r="M1807">
        <v>69.02</v>
      </c>
      <c r="N1807" s="4">
        <f t="shared" si="28"/>
        <v>-0.87365980875108662</v>
      </c>
      <c r="O1807" t="s">
        <v>83</v>
      </c>
      <c r="R1807">
        <v>13</v>
      </c>
      <c r="S1807" t="e">
        <f>VLOOKUP(R1807,[1]!NOMINA[#Data],4,FALSE)</f>
        <v>#REF!</v>
      </c>
      <c r="T1807" t="e">
        <f>VLOOKUP(R1807,[1]!NOMINA[#Data],5,FALSE)</f>
        <v>#REF!</v>
      </c>
    </row>
    <row r="1808" spans="1:20" x14ac:dyDescent="0.25">
      <c r="A1808" s="43">
        <v>45743</v>
      </c>
      <c r="B1808" s="1">
        <v>210490980</v>
      </c>
      <c r="C1808" t="s">
        <v>1678</v>
      </c>
      <c r="D1808" s="23">
        <v>-60.3</v>
      </c>
      <c r="E1808" t="s">
        <v>35</v>
      </c>
      <c r="F1808" s="2">
        <v>212901001</v>
      </c>
      <c r="G1808" s="2" t="s">
        <v>91</v>
      </c>
      <c r="I1808" s="95" t="s">
        <v>7231</v>
      </c>
      <c r="J1808" t="s">
        <v>61</v>
      </c>
      <c r="K1808" s="49" t="s">
        <v>62</v>
      </c>
      <c r="L1808" s="49"/>
      <c r="M1808">
        <v>69.02</v>
      </c>
      <c r="N1808" s="4">
        <f t="shared" si="28"/>
        <v>-0.87365980875108662</v>
      </c>
      <c r="O1808" t="s">
        <v>83</v>
      </c>
      <c r="R1808">
        <v>8</v>
      </c>
      <c r="S1808" t="e">
        <f>VLOOKUP(R1808,[1]!NOMINA[#Data],4,FALSE)</f>
        <v>#REF!</v>
      </c>
      <c r="T1808" t="e">
        <f>VLOOKUP(R1808,[1]!NOMINA[#Data],5,FALSE)</f>
        <v>#REF!</v>
      </c>
    </row>
    <row r="1809" spans="1:20" x14ac:dyDescent="0.25">
      <c r="A1809" s="43">
        <v>45743</v>
      </c>
      <c r="B1809" s="1">
        <v>210490979</v>
      </c>
      <c r="C1809" t="s">
        <v>1679</v>
      </c>
      <c r="D1809" s="23">
        <v>-60.3</v>
      </c>
      <c r="E1809" t="s">
        <v>35</v>
      </c>
      <c r="F1809" s="2">
        <v>212901001</v>
      </c>
      <c r="G1809" s="2" t="s">
        <v>91</v>
      </c>
      <c r="I1809" s="95" t="s">
        <v>7231</v>
      </c>
      <c r="J1809" t="s">
        <v>61</v>
      </c>
      <c r="K1809" s="49" t="s">
        <v>62</v>
      </c>
      <c r="L1809" s="49"/>
      <c r="M1809">
        <v>69.02</v>
      </c>
      <c r="N1809" s="4">
        <f t="shared" si="28"/>
        <v>-0.87365980875108662</v>
      </c>
      <c r="O1809" t="s">
        <v>83</v>
      </c>
      <c r="R1809">
        <v>11</v>
      </c>
      <c r="S1809" t="e">
        <f>VLOOKUP(R1809,[1]!NOMINA[#Data],4,FALSE)</f>
        <v>#REF!</v>
      </c>
      <c r="T1809" t="e">
        <f>VLOOKUP(R1809,[1]!NOMINA[#Data],5,FALSE)</f>
        <v>#REF!</v>
      </c>
    </row>
    <row r="1810" spans="1:20" x14ac:dyDescent="0.25">
      <c r="A1810" s="43">
        <v>45743</v>
      </c>
      <c r="B1810" s="1">
        <v>210490981</v>
      </c>
      <c r="C1810" t="s">
        <v>1680</v>
      </c>
      <c r="D1810" s="23">
        <v>-60.3</v>
      </c>
      <c r="E1810" t="s">
        <v>35</v>
      </c>
      <c r="F1810" s="2">
        <v>212901001</v>
      </c>
      <c r="G1810" s="2" t="s">
        <v>91</v>
      </c>
      <c r="I1810" s="95" t="s">
        <v>7231</v>
      </c>
      <c r="J1810" t="s">
        <v>61</v>
      </c>
      <c r="K1810" s="49" t="s">
        <v>62</v>
      </c>
      <c r="L1810" s="49"/>
      <c r="M1810">
        <v>69.02</v>
      </c>
      <c r="N1810" s="4">
        <f t="shared" si="28"/>
        <v>-0.87365980875108662</v>
      </c>
      <c r="O1810" t="s">
        <v>83</v>
      </c>
      <c r="R1810">
        <v>23</v>
      </c>
      <c r="S1810" t="e">
        <f>VLOOKUP(R1810,[1]!NOMINA[#Data],4,FALSE)</f>
        <v>#REF!</v>
      </c>
      <c r="T1810" t="e">
        <f>VLOOKUP(R1810,[1]!NOMINA[#Data],5,FALSE)</f>
        <v>#REF!</v>
      </c>
    </row>
    <row r="1811" spans="1:20" x14ac:dyDescent="0.25">
      <c r="A1811" s="43">
        <v>45743</v>
      </c>
      <c r="B1811" s="1">
        <v>310490982</v>
      </c>
      <c r="C1811" t="s">
        <v>1681</v>
      </c>
      <c r="D1811" s="23">
        <v>-60.3</v>
      </c>
      <c r="E1811" t="s">
        <v>35</v>
      </c>
      <c r="F1811" s="2">
        <v>212901001</v>
      </c>
      <c r="G1811" s="2" t="s">
        <v>91</v>
      </c>
      <c r="I1811" s="95" t="s">
        <v>7231</v>
      </c>
      <c r="J1811" t="s">
        <v>61</v>
      </c>
      <c r="K1811" s="49" t="s">
        <v>62</v>
      </c>
      <c r="L1811" s="49"/>
      <c r="M1811">
        <v>69.02</v>
      </c>
      <c r="N1811" s="4">
        <f t="shared" si="28"/>
        <v>-0.87365980875108662</v>
      </c>
      <c r="O1811" t="s">
        <v>83</v>
      </c>
      <c r="R1811">
        <v>43</v>
      </c>
      <c r="S1811" t="e">
        <f>VLOOKUP(R1811,[1]!NOMINA[#Data],4,FALSE)</f>
        <v>#REF!</v>
      </c>
      <c r="T1811" t="e">
        <f>VLOOKUP(R1811,[1]!NOMINA[#Data],5,FALSE)</f>
        <v>#REF!</v>
      </c>
    </row>
    <row r="1812" spans="1:20" x14ac:dyDescent="0.25">
      <c r="A1812" s="43">
        <v>45743</v>
      </c>
      <c r="B1812" s="1">
        <v>310490983</v>
      </c>
      <c r="C1812" t="s">
        <v>1682</v>
      </c>
      <c r="D1812" s="23">
        <v>-60.3</v>
      </c>
      <c r="E1812" t="s">
        <v>35</v>
      </c>
      <c r="F1812" s="2">
        <v>212901001</v>
      </c>
      <c r="G1812" s="2" t="s">
        <v>91</v>
      </c>
      <c r="I1812" s="95" t="s">
        <v>7231</v>
      </c>
      <c r="J1812" t="s">
        <v>61</v>
      </c>
      <c r="K1812" s="49" t="s">
        <v>62</v>
      </c>
      <c r="L1812" s="49"/>
      <c r="M1812">
        <v>69.02</v>
      </c>
      <c r="N1812" s="4">
        <f t="shared" si="28"/>
        <v>-0.87365980875108662</v>
      </c>
      <c r="O1812" t="s">
        <v>83</v>
      </c>
      <c r="R1812">
        <v>17</v>
      </c>
      <c r="S1812" t="e">
        <f>VLOOKUP(R1812,[1]!NOMINA[#Data],4,FALSE)</f>
        <v>#REF!</v>
      </c>
      <c r="T1812" t="e">
        <f>VLOOKUP(R1812,[1]!NOMINA[#Data],5,FALSE)</f>
        <v>#REF!</v>
      </c>
    </row>
    <row r="1813" spans="1:20" x14ac:dyDescent="0.25">
      <c r="A1813" s="43">
        <v>45743</v>
      </c>
      <c r="B1813" s="1">
        <v>310490986</v>
      </c>
      <c r="C1813" t="s">
        <v>1683</v>
      </c>
      <c r="D1813" s="23">
        <v>-60.3</v>
      </c>
      <c r="E1813" t="s">
        <v>35</v>
      </c>
      <c r="F1813" s="2">
        <v>212901001</v>
      </c>
      <c r="G1813" s="2" t="s">
        <v>91</v>
      </c>
      <c r="I1813" s="95" t="s">
        <v>7231</v>
      </c>
      <c r="J1813" t="s">
        <v>61</v>
      </c>
      <c r="K1813" s="49" t="s">
        <v>62</v>
      </c>
      <c r="L1813" s="49"/>
      <c r="M1813">
        <v>69.02</v>
      </c>
      <c r="N1813" s="4">
        <f t="shared" si="28"/>
        <v>-0.87365980875108662</v>
      </c>
      <c r="O1813" t="s">
        <v>83</v>
      </c>
      <c r="R1813">
        <v>4</v>
      </c>
      <c r="S1813" t="e">
        <f>VLOOKUP(R1813,[1]!NOMINA[#Data],4,FALSE)</f>
        <v>#REF!</v>
      </c>
      <c r="T1813" t="e">
        <f>VLOOKUP(R1813,[1]!NOMINA[#Data],5,FALSE)</f>
        <v>#REF!</v>
      </c>
    </row>
    <row r="1814" spans="1:20" x14ac:dyDescent="0.25">
      <c r="A1814" s="43">
        <v>45743</v>
      </c>
      <c r="B1814" s="1">
        <v>310490985</v>
      </c>
      <c r="C1814" t="s">
        <v>1684</v>
      </c>
      <c r="D1814" s="23">
        <v>-60.3</v>
      </c>
      <c r="E1814" t="s">
        <v>35</v>
      </c>
      <c r="F1814" s="2">
        <v>212901001</v>
      </c>
      <c r="G1814" s="2" t="s">
        <v>91</v>
      </c>
      <c r="I1814" s="95" t="s">
        <v>7231</v>
      </c>
      <c r="J1814" t="s">
        <v>61</v>
      </c>
      <c r="K1814" s="49" t="s">
        <v>62</v>
      </c>
      <c r="L1814" s="49"/>
      <c r="M1814">
        <v>69.02</v>
      </c>
      <c r="N1814" s="4">
        <f t="shared" si="28"/>
        <v>-0.87365980875108662</v>
      </c>
      <c r="O1814" t="s">
        <v>83</v>
      </c>
      <c r="R1814">
        <v>14</v>
      </c>
      <c r="S1814" t="e">
        <f>VLOOKUP(R1814,[1]!NOMINA[#Data],4,FALSE)</f>
        <v>#REF!</v>
      </c>
      <c r="T1814" t="e">
        <f>VLOOKUP(R1814,[1]!NOMINA[#Data],5,FALSE)</f>
        <v>#REF!</v>
      </c>
    </row>
    <row r="1815" spans="1:20" x14ac:dyDescent="0.25">
      <c r="A1815" s="43">
        <v>45743</v>
      </c>
      <c r="B1815" s="1">
        <v>310490984</v>
      </c>
      <c r="C1815" t="s">
        <v>1685</v>
      </c>
      <c r="D1815" s="23">
        <v>-60.3</v>
      </c>
      <c r="E1815" t="s">
        <v>35</v>
      </c>
      <c r="F1815" s="2">
        <v>212901001</v>
      </c>
      <c r="G1815" s="2" t="s">
        <v>91</v>
      </c>
      <c r="I1815" s="95" t="s">
        <v>7231</v>
      </c>
      <c r="J1815" t="s">
        <v>61</v>
      </c>
      <c r="K1815" s="49" t="s">
        <v>62</v>
      </c>
      <c r="L1815" s="49"/>
      <c r="M1815">
        <v>69.02</v>
      </c>
      <c r="N1815" s="4">
        <f t="shared" si="28"/>
        <v>-0.87365980875108662</v>
      </c>
      <c r="O1815" t="s">
        <v>83</v>
      </c>
      <c r="R1815">
        <v>22</v>
      </c>
      <c r="S1815" t="e">
        <f>VLOOKUP(Tabla3[[#This Row],[Nº]],[1]!NOMINA[#Data],4,FALSE)</f>
        <v>#REF!</v>
      </c>
      <c r="T1815" t="e">
        <f>VLOOKUP(R1815,[1]!NOMINA[#Data],5,FALSE)</f>
        <v>#REF!</v>
      </c>
    </row>
    <row r="1816" spans="1:20" x14ac:dyDescent="0.25">
      <c r="A1816" s="43">
        <v>45743</v>
      </c>
      <c r="B1816" s="1">
        <v>310490987</v>
      </c>
      <c r="C1816" t="s">
        <v>1686</v>
      </c>
      <c r="D1816" s="23">
        <v>-60.3</v>
      </c>
      <c r="E1816" t="s">
        <v>35</v>
      </c>
      <c r="F1816" s="2">
        <v>212901001</v>
      </c>
      <c r="G1816" s="2" t="s">
        <v>91</v>
      </c>
      <c r="I1816" s="95" t="s">
        <v>7231</v>
      </c>
      <c r="J1816" t="s">
        <v>61</v>
      </c>
      <c r="K1816" s="49" t="s">
        <v>62</v>
      </c>
      <c r="L1816" s="49"/>
      <c r="M1816">
        <v>69.02</v>
      </c>
      <c r="N1816" s="4">
        <f t="shared" si="28"/>
        <v>-0.87365980875108662</v>
      </c>
      <c r="O1816" t="s">
        <v>83</v>
      </c>
      <c r="R1816">
        <v>42</v>
      </c>
      <c r="S1816" t="e">
        <f>VLOOKUP(R1816,[1]!NOMINA[#Data],4,FALSE)</f>
        <v>#REF!</v>
      </c>
      <c r="T1816" t="e">
        <f>VLOOKUP(R1816,[1]!NOMINA[#Data],5,FALSE)</f>
        <v>#REF!</v>
      </c>
    </row>
    <row r="1817" spans="1:20" x14ac:dyDescent="0.25">
      <c r="A1817" s="43">
        <v>45743</v>
      </c>
      <c r="B1817" s="1">
        <v>310490988</v>
      </c>
      <c r="C1817" t="s">
        <v>1687</v>
      </c>
      <c r="D1817" s="23">
        <v>-60.3</v>
      </c>
      <c r="E1817" t="s">
        <v>35</v>
      </c>
      <c r="F1817" s="2">
        <v>212901001</v>
      </c>
      <c r="G1817" s="2" t="s">
        <v>91</v>
      </c>
      <c r="I1817" s="95" t="s">
        <v>7231</v>
      </c>
      <c r="J1817" t="s">
        <v>61</v>
      </c>
      <c r="K1817" s="49" t="s">
        <v>62</v>
      </c>
      <c r="L1817" s="49"/>
      <c r="M1817">
        <v>69.02</v>
      </c>
      <c r="N1817" s="4">
        <f t="shared" si="28"/>
        <v>-0.87365980875108662</v>
      </c>
      <c r="O1817" t="s">
        <v>83</v>
      </c>
      <c r="R1817">
        <v>39</v>
      </c>
      <c r="S1817" t="e">
        <f>VLOOKUP(R1817,[1]!NOMINA[#Data],4,FALSE)</f>
        <v>#REF!</v>
      </c>
      <c r="T1817" t="e">
        <f>VLOOKUP(R1817,[1]!NOMINA[#Data],5,FALSE)</f>
        <v>#REF!</v>
      </c>
    </row>
    <row r="1818" spans="1:20" x14ac:dyDescent="0.25">
      <c r="A1818" s="43">
        <v>45743</v>
      </c>
      <c r="B1818" s="1">
        <v>310490989</v>
      </c>
      <c r="C1818" t="s">
        <v>1688</v>
      </c>
      <c r="D1818" s="23">
        <v>-60.3</v>
      </c>
      <c r="E1818" t="s">
        <v>35</v>
      </c>
      <c r="F1818" s="2">
        <v>212901001</v>
      </c>
      <c r="G1818" s="2" t="s">
        <v>91</v>
      </c>
      <c r="I1818" s="95" t="s">
        <v>7231</v>
      </c>
      <c r="J1818" t="s">
        <v>61</v>
      </c>
      <c r="K1818" s="49" t="s">
        <v>62</v>
      </c>
      <c r="L1818" s="49"/>
      <c r="M1818">
        <v>69.02</v>
      </c>
      <c r="N1818" s="4">
        <f t="shared" si="28"/>
        <v>-0.87365980875108662</v>
      </c>
      <c r="O1818" t="s">
        <v>83</v>
      </c>
      <c r="R1818">
        <v>21</v>
      </c>
      <c r="S1818" t="e">
        <f>VLOOKUP(R1818,[1]!NOMINA[#Data],4,FALSE)</f>
        <v>#REF!</v>
      </c>
      <c r="T1818" t="e">
        <f>VLOOKUP(R1818,[1]!NOMINA[#Data],5,FALSE)</f>
        <v>#REF!</v>
      </c>
    </row>
    <row r="1819" spans="1:20" x14ac:dyDescent="0.25">
      <c r="A1819" s="43">
        <v>45743</v>
      </c>
      <c r="B1819" s="1">
        <v>310490991</v>
      </c>
      <c r="C1819" t="s">
        <v>1689</v>
      </c>
      <c r="D1819" s="23">
        <v>-60.3</v>
      </c>
      <c r="E1819" t="s">
        <v>35</v>
      </c>
      <c r="F1819" s="2">
        <v>212901001</v>
      </c>
      <c r="G1819" s="2" t="s">
        <v>91</v>
      </c>
      <c r="I1819" s="95" t="s">
        <v>7231</v>
      </c>
      <c r="J1819" t="s">
        <v>61</v>
      </c>
      <c r="K1819" s="49" t="s">
        <v>62</v>
      </c>
      <c r="L1819" s="49"/>
      <c r="M1819">
        <v>69.02</v>
      </c>
      <c r="N1819" s="4">
        <f t="shared" si="28"/>
        <v>-0.87365980875108662</v>
      </c>
      <c r="O1819" t="s">
        <v>83</v>
      </c>
      <c r="R1819">
        <v>25</v>
      </c>
      <c r="S1819" t="e">
        <f>VLOOKUP(R1819,[1]!NOMINA[#Data],4,FALSE)</f>
        <v>#REF!</v>
      </c>
      <c r="T1819" t="e">
        <f>VLOOKUP(R1819,[1]!NOMINA[#Data],5,FALSE)</f>
        <v>#REF!</v>
      </c>
    </row>
    <row r="1820" spans="1:20" x14ac:dyDescent="0.25">
      <c r="A1820" s="43">
        <v>45743</v>
      </c>
      <c r="B1820" s="1">
        <v>310490990</v>
      </c>
      <c r="C1820" t="s">
        <v>1690</v>
      </c>
      <c r="D1820" s="23">
        <v>-60.3</v>
      </c>
      <c r="E1820" t="s">
        <v>35</v>
      </c>
      <c r="F1820" s="2">
        <v>212901001</v>
      </c>
      <c r="G1820" s="2" t="s">
        <v>91</v>
      </c>
      <c r="I1820" s="95" t="s">
        <v>7231</v>
      </c>
      <c r="J1820" t="s">
        <v>61</v>
      </c>
      <c r="K1820" s="49" t="s">
        <v>62</v>
      </c>
      <c r="L1820" s="49"/>
      <c r="M1820">
        <v>69.02</v>
      </c>
      <c r="N1820" s="4">
        <f t="shared" si="28"/>
        <v>-0.87365980875108662</v>
      </c>
      <c r="O1820" t="s">
        <v>83</v>
      </c>
      <c r="R1820">
        <v>12</v>
      </c>
      <c r="S1820" t="e">
        <f>VLOOKUP(R1820,[1]!NOMINA[#Data],4,FALSE)</f>
        <v>#REF!</v>
      </c>
      <c r="T1820" t="e">
        <f>VLOOKUP(R1820,[1]!NOMINA[#Data],5,FALSE)</f>
        <v>#REF!</v>
      </c>
    </row>
    <row r="1821" spans="1:20" x14ac:dyDescent="0.25">
      <c r="A1821" s="43">
        <v>45743</v>
      </c>
      <c r="B1821" s="1">
        <v>410490993</v>
      </c>
      <c r="C1821" t="s">
        <v>1691</v>
      </c>
      <c r="D1821" s="23">
        <v>-60.3</v>
      </c>
      <c r="E1821" t="s">
        <v>35</v>
      </c>
      <c r="F1821" s="2">
        <v>212901001</v>
      </c>
      <c r="G1821" s="2" t="s">
        <v>91</v>
      </c>
      <c r="I1821" s="95" t="s">
        <v>7231</v>
      </c>
      <c r="J1821" t="s">
        <v>61</v>
      </c>
      <c r="K1821" s="49" t="s">
        <v>62</v>
      </c>
      <c r="L1821" s="49"/>
      <c r="M1821">
        <v>69.02</v>
      </c>
      <c r="N1821" s="4">
        <f t="shared" si="28"/>
        <v>-0.87365980875108662</v>
      </c>
      <c r="O1821" t="s">
        <v>83</v>
      </c>
      <c r="R1821">
        <v>2</v>
      </c>
      <c r="S1821" t="e">
        <f>VLOOKUP(Tabla3[[#This Row],[Nº]],[1]!NOMINA[#Data],4,FALSE)</f>
        <v>#REF!</v>
      </c>
      <c r="T1821" t="e">
        <f>VLOOKUP(Tabla3[[#This Row],[Nº]],[1]!NOMINA[#Data],5,FALSE)</f>
        <v>#REF!</v>
      </c>
    </row>
    <row r="1822" spans="1:20" x14ac:dyDescent="0.25">
      <c r="A1822" s="43">
        <v>45743</v>
      </c>
      <c r="B1822" s="1">
        <v>410490997</v>
      </c>
      <c r="C1822" t="s">
        <v>1692</v>
      </c>
      <c r="D1822" s="23">
        <v>-60.3</v>
      </c>
      <c r="E1822" t="s">
        <v>35</v>
      </c>
      <c r="F1822" s="2">
        <v>212901001</v>
      </c>
      <c r="G1822" s="2" t="s">
        <v>91</v>
      </c>
      <c r="I1822" s="95" t="s">
        <v>7231</v>
      </c>
      <c r="J1822" t="s">
        <v>61</v>
      </c>
      <c r="K1822" s="49" t="s">
        <v>62</v>
      </c>
      <c r="L1822" s="49"/>
      <c r="M1822">
        <v>69.02</v>
      </c>
      <c r="N1822" s="4">
        <f t="shared" si="28"/>
        <v>-0.87365980875108662</v>
      </c>
      <c r="O1822" t="s">
        <v>83</v>
      </c>
      <c r="R1822">
        <v>28</v>
      </c>
      <c r="S1822" t="e">
        <f>VLOOKUP(R1822,[1]!NOMINA[#Data],4,FALSE)</f>
        <v>#REF!</v>
      </c>
      <c r="T1822" t="e">
        <f>VLOOKUP(R1822,[1]!NOMINA[#Data],5,FALSE)</f>
        <v>#REF!</v>
      </c>
    </row>
    <row r="1823" spans="1:20" x14ac:dyDescent="0.25">
      <c r="A1823" s="43">
        <v>45743</v>
      </c>
      <c r="B1823" s="1">
        <v>410490994</v>
      </c>
      <c r="C1823" t="s">
        <v>1693</v>
      </c>
      <c r="D1823" s="23">
        <v>-60.3</v>
      </c>
      <c r="E1823" t="s">
        <v>35</v>
      </c>
      <c r="F1823" s="2">
        <v>212901001</v>
      </c>
      <c r="G1823" s="2" t="s">
        <v>91</v>
      </c>
      <c r="I1823" s="95" t="s">
        <v>7231</v>
      </c>
      <c r="J1823" t="s">
        <v>61</v>
      </c>
      <c r="K1823" s="49" t="s">
        <v>62</v>
      </c>
      <c r="L1823" s="49"/>
      <c r="M1823">
        <v>69.02</v>
      </c>
      <c r="N1823" s="4">
        <f t="shared" si="28"/>
        <v>-0.87365980875108662</v>
      </c>
      <c r="O1823" t="s">
        <v>83</v>
      </c>
      <c r="R1823">
        <v>6</v>
      </c>
      <c r="S1823" t="e">
        <f>VLOOKUP(R1823,[1]!NOMINA[#Data],4,FALSE)</f>
        <v>#REF!</v>
      </c>
      <c r="T1823" t="e">
        <f>VLOOKUP(R1823,[1]!NOMINA[#Data],5,FALSE)</f>
        <v>#REF!</v>
      </c>
    </row>
    <row r="1824" spans="1:20" x14ac:dyDescent="0.25">
      <c r="A1824" s="43">
        <v>45743</v>
      </c>
      <c r="B1824" s="1">
        <v>310490992</v>
      </c>
      <c r="C1824" t="s">
        <v>1694</v>
      </c>
      <c r="D1824" s="23">
        <v>-60.3</v>
      </c>
      <c r="E1824" t="s">
        <v>35</v>
      </c>
      <c r="F1824" s="2">
        <v>212901001</v>
      </c>
      <c r="G1824" s="2" t="s">
        <v>91</v>
      </c>
      <c r="I1824" s="95" t="s">
        <v>7231</v>
      </c>
      <c r="J1824" t="s">
        <v>61</v>
      </c>
      <c r="K1824" s="49" t="s">
        <v>62</v>
      </c>
      <c r="L1824" s="49"/>
      <c r="M1824">
        <v>69.02</v>
      </c>
      <c r="N1824" s="4">
        <f t="shared" si="28"/>
        <v>-0.87365980875108662</v>
      </c>
      <c r="O1824" t="s">
        <v>83</v>
      </c>
      <c r="R1824">
        <v>24</v>
      </c>
      <c r="S1824" t="e">
        <f>VLOOKUP(R1824,[1]!NOMINA[#Data],4,FALSE)</f>
        <v>#REF!</v>
      </c>
      <c r="T1824" t="e">
        <f>VLOOKUP(R1824,[1]!NOMINA[#Data],5,FALSE)</f>
        <v>#REF!</v>
      </c>
    </row>
    <row r="1825" spans="1:20" x14ac:dyDescent="0.25">
      <c r="A1825" s="43">
        <v>45743</v>
      </c>
      <c r="B1825" s="1">
        <v>410490995</v>
      </c>
      <c r="C1825" t="s">
        <v>1695</v>
      </c>
      <c r="D1825" s="23">
        <v>-60.3</v>
      </c>
      <c r="E1825" t="s">
        <v>35</v>
      </c>
      <c r="F1825" s="2">
        <v>212901001</v>
      </c>
      <c r="G1825" s="2" t="s">
        <v>91</v>
      </c>
      <c r="I1825" s="95" t="s">
        <v>7231</v>
      </c>
      <c r="J1825" t="s">
        <v>61</v>
      </c>
      <c r="K1825" s="49" t="s">
        <v>62</v>
      </c>
      <c r="L1825" s="49"/>
      <c r="M1825">
        <v>69.02</v>
      </c>
      <c r="N1825" s="4">
        <f t="shared" si="28"/>
        <v>-0.87365980875108662</v>
      </c>
      <c r="O1825" t="s">
        <v>83</v>
      </c>
      <c r="R1825">
        <v>3</v>
      </c>
      <c r="S1825" t="e">
        <f>VLOOKUP(R1825,[1]!NOMINA[#Data],4,FALSE)</f>
        <v>#REF!</v>
      </c>
      <c r="T1825" t="e">
        <f>VLOOKUP(R1825,[1]!NOMINA[#Data],5,FALSE)</f>
        <v>#REF!</v>
      </c>
    </row>
    <row r="1826" spans="1:20" x14ac:dyDescent="0.25">
      <c r="A1826" s="43">
        <v>45743</v>
      </c>
      <c r="B1826" s="1">
        <v>410490999</v>
      </c>
      <c r="C1826" t="s">
        <v>1696</v>
      </c>
      <c r="D1826" s="23">
        <v>-60.3</v>
      </c>
      <c r="E1826" t="s">
        <v>35</v>
      </c>
      <c r="F1826" s="2">
        <v>212901001</v>
      </c>
      <c r="G1826" s="2" t="s">
        <v>91</v>
      </c>
      <c r="I1826" s="95" t="s">
        <v>7231</v>
      </c>
      <c r="J1826" t="s">
        <v>61</v>
      </c>
      <c r="K1826" s="49" t="s">
        <v>62</v>
      </c>
      <c r="L1826" s="49"/>
      <c r="M1826">
        <v>69.02</v>
      </c>
      <c r="N1826" s="4">
        <f t="shared" si="28"/>
        <v>-0.87365980875108662</v>
      </c>
      <c r="O1826" t="s">
        <v>83</v>
      </c>
      <c r="R1826">
        <v>27</v>
      </c>
      <c r="S1826" t="e">
        <f>VLOOKUP(R1826,[1]!NOMINA[#Data],4,FALSE)</f>
        <v>#REF!</v>
      </c>
      <c r="T1826" t="e">
        <f>VLOOKUP(R1826,[1]!NOMINA[#Data],5,FALSE)</f>
        <v>#REF!</v>
      </c>
    </row>
    <row r="1827" spans="1:20" x14ac:dyDescent="0.25">
      <c r="A1827" s="43">
        <v>45743</v>
      </c>
      <c r="B1827" s="1">
        <v>410490998</v>
      </c>
      <c r="C1827" t="s">
        <v>1697</v>
      </c>
      <c r="D1827" s="23">
        <v>-60.3</v>
      </c>
      <c r="E1827" t="s">
        <v>35</v>
      </c>
      <c r="F1827" s="2">
        <v>212901001</v>
      </c>
      <c r="G1827" s="2" t="s">
        <v>91</v>
      </c>
      <c r="I1827" s="95" t="s">
        <v>7231</v>
      </c>
      <c r="J1827" t="s">
        <v>61</v>
      </c>
      <c r="K1827" s="49" t="s">
        <v>62</v>
      </c>
      <c r="L1827" s="49"/>
      <c r="M1827">
        <v>69.02</v>
      </c>
      <c r="N1827" s="4">
        <f t="shared" si="28"/>
        <v>-0.87365980875108662</v>
      </c>
      <c r="O1827" t="s">
        <v>83</v>
      </c>
      <c r="R1827">
        <v>19</v>
      </c>
      <c r="S1827" t="e">
        <f>VLOOKUP(R1827,[1]!NOMINA[#Data],4,FALSE)</f>
        <v>#REF!</v>
      </c>
      <c r="T1827" t="e">
        <f>VLOOKUP(R1827,[1]!NOMINA[#Data],5,FALSE)</f>
        <v>#REF!</v>
      </c>
    </row>
    <row r="1828" spans="1:20" x14ac:dyDescent="0.25">
      <c r="A1828" s="43">
        <v>45743</v>
      </c>
      <c r="B1828" s="1">
        <v>410490996</v>
      </c>
      <c r="C1828" t="s">
        <v>1698</v>
      </c>
      <c r="D1828" s="23">
        <v>-60.3</v>
      </c>
      <c r="E1828" t="s">
        <v>35</v>
      </c>
      <c r="F1828" s="2">
        <v>212901001</v>
      </c>
      <c r="G1828" s="2" t="s">
        <v>91</v>
      </c>
      <c r="I1828" s="95" t="s">
        <v>7231</v>
      </c>
      <c r="J1828" t="s">
        <v>61</v>
      </c>
      <c r="K1828" s="49" t="s">
        <v>62</v>
      </c>
      <c r="L1828" s="49"/>
      <c r="M1828">
        <v>69.02</v>
      </c>
      <c r="N1828" s="4">
        <f t="shared" si="28"/>
        <v>-0.87365980875108662</v>
      </c>
      <c r="O1828" t="s">
        <v>83</v>
      </c>
      <c r="R1828">
        <v>5</v>
      </c>
      <c r="S1828" t="e">
        <f>VLOOKUP(R1828,[1]!NOMINA[#Data],4,FALSE)</f>
        <v>#REF!</v>
      </c>
      <c r="T1828" t="e">
        <f>VLOOKUP(R1828,[1]!NOMINA[#Data],5,FALSE)</f>
        <v>#REF!</v>
      </c>
    </row>
    <row r="1829" spans="1:20" x14ac:dyDescent="0.25">
      <c r="A1829" s="43">
        <v>45743</v>
      </c>
      <c r="B1829" s="1">
        <v>410491000</v>
      </c>
      <c r="C1829" t="s">
        <v>1699</v>
      </c>
      <c r="D1829" s="23">
        <v>-60.3</v>
      </c>
      <c r="E1829" t="s">
        <v>35</v>
      </c>
      <c r="F1829" s="2">
        <v>212901001</v>
      </c>
      <c r="G1829" s="2" t="s">
        <v>91</v>
      </c>
      <c r="I1829" s="95" t="s">
        <v>7231</v>
      </c>
      <c r="J1829" t="s">
        <v>61</v>
      </c>
      <c r="K1829" s="49" t="s">
        <v>62</v>
      </c>
      <c r="L1829" s="49"/>
      <c r="M1829">
        <v>69.02</v>
      </c>
      <c r="N1829" s="4">
        <f t="shared" si="28"/>
        <v>-0.87365980875108662</v>
      </c>
      <c r="O1829" t="s">
        <v>83</v>
      </c>
      <c r="R1829">
        <v>16</v>
      </c>
      <c r="S1829" t="e">
        <f>VLOOKUP(Tabla3[[#This Row],[Nº]],[1]!NOMINA[#Data],4,FALSE)</f>
        <v>#REF!</v>
      </c>
      <c r="T1829" t="e">
        <f>VLOOKUP(Tabla3[[#This Row],[Nº]],[1]!NOMINA[#Data],5,FALSE)</f>
        <v>#REF!</v>
      </c>
    </row>
    <row r="1830" spans="1:20" x14ac:dyDescent="0.25">
      <c r="A1830" s="43">
        <v>45743</v>
      </c>
      <c r="B1830" s="1">
        <v>410491001</v>
      </c>
      <c r="C1830" t="s">
        <v>1695</v>
      </c>
      <c r="D1830" s="23">
        <v>-21.69</v>
      </c>
      <c r="E1830" t="s">
        <v>35</v>
      </c>
      <c r="F1830" s="2">
        <v>212901001</v>
      </c>
      <c r="G1830" s="2" t="s">
        <v>91</v>
      </c>
      <c r="I1830" s="95" t="s">
        <v>7231</v>
      </c>
      <c r="J1830" t="s">
        <v>61</v>
      </c>
      <c r="K1830" s="49" t="s">
        <v>62</v>
      </c>
      <c r="L1830" s="49"/>
      <c r="M1830">
        <v>69.02</v>
      </c>
      <c r="N1830" s="4">
        <f t="shared" si="28"/>
        <v>-0.3142567371776297</v>
      </c>
      <c r="O1830" t="s">
        <v>83</v>
      </c>
      <c r="R1830">
        <v>3</v>
      </c>
      <c r="S1830" t="e">
        <f>VLOOKUP(R1830,[1]!NOMINA[#Data],4,FALSE)</f>
        <v>#REF!</v>
      </c>
      <c r="T1830" t="e">
        <f>VLOOKUP(R1830,[1]!NOMINA[#Data],5,FALSE)</f>
        <v>#REF!</v>
      </c>
    </row>
    <row r="1831" spans="1:20" x14ac:dyDescent="0.25">
      <c r="A1831" s="43">
        <v>45743</v>
      </c>
      <c r="B1831" s="1">
        <v>410491002</v>
      </c>
      <c r="C1831" t="s">
        <v>1700</v>
      </c>
      <c r="D1831" s="23">
        <v>-60.3</v>
      </c>
      <c r="E1831" t="s">
        <v>35</v>
      </c>
      <c r="F1831" s="2">
        <v>212901001</v>
      </c>
      <c r="G1831" s="2" t="s">
        <v>91</v>
      </c>
      <c r="I1831" s="95" t="s">
        <v>7231</v>
      </c>
      <c r="J1831" t="s">
        <v>61</v>
      </c>
      <c r="K1831" s="49" t="s">
        <v>62</v>
      </c>
      <c r="L1831" s="49"/>
      <c r="M1831">
        <v>69.02</v>
      </c>
      <c r="N1831" s="4">
        <f t="shared" si="28"/>
        <v>-0.87365980875108662</v>
      </c>
      <c r="O1831" t="s">
        <v>83</v>
      </c>
      <c r="R1831">
        <v>7</v>
      </c>
      <c r="S1831" t="e">
        <f>VLOOKUP(R1831,[1]!NOMINA[#Data],4,FALSE)</f>
        <v>#REF!</v>
      </c>
      <c r="T1831" t="e">
        <f>VLOOKUP(R1831,[1]!NOMINA[#Data],5,FALSE)</f>
        <v>#REF!</v>
      </c>
    </row>
    <row r="1832" spans="1:20" x14ac:dyDescent="0.25">
      <c r="A1832" s="43">
        <v>45743</v>
      </c>
      <c r="B1832" s="1">
        <v>810491044</v>
      </c>
      <c r="C1832" t="s">
        <v>1701</v>
      </c>
      <c r="D1832" s="54">
        <v>-5105.78</v>
      </c>
      <c r="E1832" t="s">
        <v>35</v>
      </c>
      <c r="F1832" s="2">
        <v>212901001</v>
      </c>
      <c r="G1832" s="2" t="s">
        <v>91</v>
      </c>
      <c r="I1832" s="95" t="s">
        <v>7231</v>
      </c>
      <c r="J1832" t="s">
        <v>61</v>
      </c>
      <c r="K1832" s="49" t="s">
        <v>62</v>
      </c>
      <c r="L1832" s="49"/>
      <c r="M1832">
        <v>69.02</v>
      </c>
      <c r="N1832" s="4">
        <f t="shared" si="28"/>
        <v>-73.975369458128085</v>
      </c>
      <c r="O1832" t="s">
        <v>83</v>
      </c>
      <c r="R1832">
        <v>9</v>
      </c>
      <c r="S1832" t="e">
        <f>VLOOKUP(R1832,[1]!NOMINA[#Data],4,FALSE)</f>
        <v>#REF!</v>
      </c>
      <c r="T1832" t="e">
        <f>VLOOKUP(R1832,[1]!NOMINA[#Data],5,FALSE)</f>
        <v>#REF!</v>
      </c>
    </row>
    <row r="1833" spans="1:20" x14ac:dyDescent="0.25">
      <c r="A1833" s="43">
        <v>45743</v>
      </c>
      <c r="B1833" s="1">
        <v>410491003</v>
      </c>
      <c r="C1833" t="s">
        <v>1702</v>
      </c>
      <c r="D1833" s="23">
        <v>-60.3</v>
      </c>
      <c r="E1833" t="s">
        <v>35</v>
      </c>
      <c r="F1833" s="2">
        <v>212901001</v>
      </c>
      <c r="G1833" s="2" t="s">
        <v>91</v>
      </c>
      <c r="I1833" s="95" t="s">
        <v>7231</v>
      </c>
      <c r="J1833" t="s">
        <v>61</v>
      </c>
      <c r="K1833" s="49" t="s">
        <v>62</v>
      </c>
      <c r="L1833" s="49"/>
      <c r="M1833">
        <v>69.02</v>
      </c>
      <c r="N1833" s="4">
        <f t="shared" si="28"/>
        <v>-0.87365980875108662</v>
      </c>
      <c r="O1833" t="s">
        <v>83</v>
      </c>
      <c r="R1833">
        <v>1</v>
      </c>
      <c r="S1833" t="e">
        <f>VLOOKUP(R1833,[1]!NOMINA[#Data],4,FALSE)</f>
        <v>#REF!</v>
      </c>
      <c r="T1833" t="e">
        <f>VLOOKUP(R1833,[1]!NOMINA[#Data],5,FALSE)</f>
        <v>#REF!</v>
      </c>
    </row>
    <row r="1834" spans="1:20" x14ac:dyDescent="0.25">
      <c r="A1834" s="43">
        <v>45743</v>
      </c>
      <c r="B1834" s="1">
        <v>510491004</v>
      </c>
      <c r="C1834" t="s">
        <v>1703</v>
      </c>
      <c r="D1834" s="23">
        <v>-60.3</v>
      </c>
      <c r="E1834" t="s">
        <v>35</v>
      </c>
      <c r="F1834" s="2">
        <v>212901001</v>
      </c>
      <c r="G1834" s="2" t="s">
        <v>91</v>
      </c>
      <c r="I1834" s="95" t="s">
        <v>7231</v>
      </c>
      <c r="J1834" t="s">
        <v>61</v>
      </c>
      <c r="K1834" s="2" t="s">
        <v>62</v>
      </c>
      <c r="L1834" s="2"/>
      <c r="M1834">
        <v>69.02</v>
      </c>
      <c r="N1834" s="4">
        <f t="shared" si="28"/>
        <v>-0.87365980875108662</v>
      </c>
      <c r="O1834" t="s">
        <v>83</v>
      </c>
      <c r="R1834">
        <v>36</v>
      </c>
      <c r="S1834" t="e">
        <f>VLOOKUP(R1834,[1]!NOMINA[#Data],4,FALSE)</f>
        <v>#REF!</v>
      </c>
      <c r="T1834" t="e">
        <f>VLOOKUP(R1834,[1]!NOMINA[#Data],5,FALSE)</f>
        <v>#REF!</v>
      </c>
    </row>
    <row r="1835" spans="1:20" x14ac:dyDescent="0.25">
      <c r="A1835" s="43">
        <v>45743</v>
      </c>
      <c r="B1835" s="1">
        <v>610491018</v>
      </c>
      <c r="C1835" t="s">
        <v>1704</v>
      </c>
      <c r="D1835" s="54">
        <v>-2348.85</v>
      </c>
      <c r="E1835" t="s">
        <v>35</v>
      </c>
      <c r="F1835" s="2">
        <v>212901001</v>
      </c>
      <c r="G1835" s="2" t="s">
        <v>91</v>
      </c>
      <c r="I1835" s="95" t="s">
        <v>7231</v>
      </c>
      <c r="J1835" t="s">
        <v>61</v>
      </c>
      <c r="K1835" s="49" t="s">
        <v>62</v>
      </c>
      <c r="L1835" s="49"/>
      <c r="M1835">
        <v>69.02</v>
      </c>
      <c r="N1835" s="4">
        <f t="shared" si="28"/>
        <v>-34.031440162271807</v>
      </c>
      <c r="O1835" t="s">
        <v>83</v>
      </c>
      <c r="R1835">
        <v>26</v>
      </c>
      <c r="S1835" t="e">
        <f>VLOOKUP(Tabla3[[#This Row],[Nº]],[1]!NOMINA[#Data],4,FALSE)</f>
        <v>#REF!</v>
      </c>
      <c r="T1835" t="e">
        <f>VLOOKUP(Tabla3[[#This Row],[Nº]],[1]!NOMINA[#Data],5,FALSE)</f>
        <v>#REF!</v>
      </c>
    </row>
    <row r="1836" spans="1:20" x14ac:dyDescent="0.25">
      <c r="A1836" s="43">
        <v>45743</v>
      </c>
      <c r="B1836" s="1">
        <v>810491041</v>
      </c>
      <c r="C1836" t="s">
        <v>1705</v>
      </c>
      <c r="D1836" s="54">
        <v>-5105.78</v>
      </c>
      <c r="E1836" t="s">
        <v>35</v>
      </c>
      <c r="F1836" s="2">
        <v>212901001</v>
      </c>
      <c r="G1836" s="2" t="s">
        <v>91</v>
      </c>
      <c r="I1836" s="95" t="s">
        <v>7231</v>
      </c>
      <c r="J1836" t="s">
        <v>61</v>
      </c>
      <c r="K1836" s="49" t="s">
        <v>62</v>
      </c>
      <c r="L1836" s="49"/>
      <c r="M1836">
        <v>69.02</v>
      </c>
      <c r="N1836" s="4">
        <f t="shared" si="28"/>
        <v>-73.975369458128085</v>
      </c>
      <c r="O1836" t="s">
        <v>83</v>
      </c>
      <c r="R1836">
        <v>10</v>
      </c>
      <c r="S1836" t="e">
        <f>VLOOKUP(R1836,[1]!NOMINA[#Data],4,FALSE)</f>
        <v>#REF!</v>
      </c>
      <c r="T1836" t="e">
        <f>VLOOKUP(R1836,[1]!NOMINA[#Data],5,FALSE)</f>
        <v>#REF!</v>
      </c>
    </row>
    <row r="1837" spans="1:20" x14ac:dyDescent="0.25">
      <c r="A1837" s="43">
        <v>45743</v>
      </c>
      <c r="B1837" s="1">
        <v>710491027</v>
      </c>
      <c r="C1837" t="s">
        <v>1706</v>
      </c>
      <c r="D1837" s="54">
        <v>-5276.85</v>
      </c>
      <c r="E1837" t="s">
        <v>35</v>
      </c>
      <c r="F1837" s="2">
        <v>212901001</v>
      </c>
      <c r="G1837" s="2" t="s">
        <v>91</v>
      </c>
      <c r="I1837" s="95" t="s">
        <v>7231</v>
      </c>
      <c r="J1837" t="s">
        <v>61</v>
      </c>
      <c r="K1837" s="49" t="s">
        <v>62</v>
      </c>
      <c r="L1837" s="49"/>
      <c r="M1837">
        <v>69.02</v>
      </c>
      <c r="N1837" s="4">
        <f t="shared" si="28"/>
        <v>-76.45392639814547</v>
      </c>
      <c r="O1837" t="s">
        <v>83</v>
      </c>
      <c r="R1837">
        <v>18</v>
      </c>
      <c r="S1837" t="e">
        <f>VLOOKUP(Tabla3[[#This Row],[Nº]],[1]!NOMINA[#Data],4,FALSE)</f>
        <v>#REF!</v>
      </c>
      <c r="T1837" t="e">
        <f>VLOOKUP(Tabla3[[#This Row],[Nº]],[1]!NOMINA[#Data],5,FALSE)</f>
        <v>#REF!</v>
      </c>
    </row>
    <row r="1838" spans="1:20" x14ac:dyDescent="0.25">
      <c r="A1838" s="43">
        <v>45743</v>
      </c>
      <c r="B1838" s="1">
        <v>810491043</v>
      </c>
      <c r="C1838" t="s">
        <v>1707</v>
      </c>
      <c r="D1838" s="54">
        <v>-5248.68</v>
      </c>
      <c r="E1838" t="s">
        <v>35</v>
      </c>
      <c r="F1838" s="2">
        <v>212901001</v>
      </c>
      <c r="G1838" s="2" t="s">
        <v>91</v>
      </c>
      <c r="I1838" s="95" t="s">
        <v>7231</v>
      </c>
      <c r="J1838" t="s">
        <v>61</v>
      </c>
      <c r="K1838" s="49" t="s">
        <v>62</v>
      </c>
      <c r="L1838" s="49"/>
      <c r="M1838">
        <v>69.02</v>
      </c>
      <c r="N1838" s="4">
        <f t="shared" si="28"/>
        <v>-76.045783830773701</v>
      </c>
      <c r="O1838" t="s">
        <v>83</v>
      </c>
      <c r="R1838">
        <v>38</v>
      </c>
      <c r="S1838" t="e">
        <f>VLOOKUP(R1838,[1]!NOMINA[#Data],4,FALSE)</f>
        <v>#REF!</v>
      </c>
      <c r="T1838" t="e">
        <f>VLOOKUP(R1838,[1]!NOMINA[#Data],5,FALSE)</f>
        <v>#REF!</v>
      </c>
    </row>
    <row r="1839" spans="1:20" x14ac:dyDescent="0.25">
      <c r="A1839" s="43">
        <v>45743</v>
      </c>
      <c r="B1839" s="1">
        <v>610491015</v>
      </c>
      <c r="C1839" t="s">
        <v>1708</v>
      </c>
      <c r="D1839" s="54">
        <v>-5276.85</v>
      </c>
      <c r="E1839" t="s">
        <v>35</v>
      </c>
      <c r="F1839" s="2">
        <v>212901001</v>
      </c>
      <c r="G1839" s="2" t="s">
        <v>91</v>
      </c>
      <c r="I1839" s="95" t="s">
        <v>7231</v>
      </c>
      <c r="J1839" t="s">
        <v>61</v>
      </c>
      <c r="K1839" s="49" t="s">
        <v>62</v>
      </c>
      <c r="L1839" s="49"/>
      <c r="M1839">
        <v>69.02</v>
      </c>
      <c r="N1839" s="4">
        <f t="shared" si="28"/>
        <v>-76.45392639814547</v>
      </c>
      <c r="O1839" t="s">
        <v>83</v>
      </c>
      <c r="R1839">
        <v>15</v>
      </c>
      <c r="S1839" t="e">
        <f>VLOOKUP(R1839,[1]!NOMINA[#Data],4,FALSE)</f>
        <v>#REF!</v>
      </c>
      <c r="T1839" t="e">
        <f>VLOOKUP(R1839,[1]!NOMINA[#Data],5,FALSE)</f>
        <v>#REF!</v>
      </c>
    </row>
    <row r="1840" spans="1:20" x14ac:dyDescent="0.25">
      <c r="A1840" s="43">
        <v>45743</v>
      </c>
      <c r="B1840" s="1">
        <v>610491022</v>
      </c>
      <c r="C1840" t="s">
        <v>1709</v>
      </c>
      <c r="D1840" s="54">
        <v>-4922.3599999999997</v>
      </c>
      <c r="E1840" t="s">
        <v>35</v>
      </c>
      <c r="F1840" s="2">
        <v>212901001</v>
      </c>
      <c r="G1840" s="2" t="s">
        <v>91</v>
      </c>
      <c r="I1840" s="95" t="s">
        <v>7231</v>
      </c>
      <c r="J1840" t="s">
        <v>61</v>
      </c>
      <c r="K1840" s="49" t="s">
        <v>62</v>
      </c>
      <c r="L1840" s="49"/>
      <c r="M1840">
        <v>69.02</v>
      </c>
      <c r="N1840" s="4">
        <f t="shared" si="28"/>
        <v>-71.317878875688208</v>
      </c>
      <c r="O1840" t="s">
        <v>83</v>
      </c>
      <c r="R1840">
        <v>20</v>
      </c>
      <c r="S1840" t="e">
        <f>VLOOKUP(Tabla3[[#This Row],[Nº]],[1]!NOMINA[#Data],4,FALSE)</f>
        <v>#REF!</v>
      </c>
      <c r="T1840" t="e">
        <f>VLOOKUP(Tabla3[[#This Row],[Nº]],[1]!NOMINA[#Data],5,FALSE)</f>
        <v>#REF!</v>
      </c>
    </row>
    <row r="1841" spans="1:20" x14ac:dyDescent="0.25">
      <c r="A1841" s="43">
        <v>45743</v>
      </c>
      <c r="B1841" s="1">
        <v>510491010</v>
      </c>
      <c r="C1841" t="s">
        <v>1710</v>
      </c>
      <c r="D1841" s="54">
        <v>-1077.22</v>
      </c>
      <c r="E1841" t="s">
        <v>35</v>
      </c>
      <c r="F1841" s="2">
        <v>212901001</v>
      </c>
      <c r="G1841" s="2" t="s">
        <v>91</v>
      </c>
      <c r="I1841" s="95" t="s">
        <v>7231</v>
      </c>
      <c r="J1841" t="s">
        <v>61</v>
      </c>
      <c r="K1841" s="49" t="s">
        <v>62</v>
      </c>
      <c r="L1841" s="49"/>
      <c r="M1841">
        <v>69.02</v>
      </c>
      <c r="N1841" s="4">
        <f t="shared" si="28"/>
        <v>-15.607360185453492</v>
      </c>
      <c r="O1841" t="s">
        <v>83</v>
      </c>
      <c r="R1841">
        <v>41</v>
      </c>
      <c r="S1841" t="e">
        <f>VLOOKUP(R1841,[1]!NOMINA[#Data],4,FALSE)</f>
        <v>#REF!</v>
      </c>
      <c r="T1841" t="e">
        <f>VLOOKUP(R1841,[1]!NOMINA[#Data],5,FALSE)</f>
        <v>#REF!</v>
      </c>
    </row>
    <row r="1842" spans="1:20" x14ac:dyDescent="0.25">
      <c r="A1842" s="43">
        <v>45743</v>
      </c>
      <c r="B1842" s="1">
        <v>610491020</v>
      </c>
      <c r="C1842" t="s">
        <v>1711</v>
      </c>
      <c r="D1842" s="54">
        <v>-5087.24</v>
      </c>
      <c r="E1842" t="s">
        <v>35</v>
      </c>
      <c r="F1842" s="2">
        <v>212901001</v>
      </c>
      <c r="G1842" s="2" t="s">
        <v>91</v>
      </c>
      <c r="I1842" s="95" t="s">
        <v>7231</v>
      </c>
      <c r="J1842" t="s">
        <v>61</v>
      </c>
      <c r="K1842" s="49" t="s">
        <v>62</v>
      </c>
      <c r="L1842" s="49"/>
      <c r="M1842">
        <v>69.02</v>
      </c>
      <c r="N1842" s="4">
        <f t="shared" si="28"/>
        <v>-73.70675166618372</v>
      </c>
      <c r="O1842" t="s">
        <v>83</v>
      </c>
      <c r="R1842">
        <v>13</v>
      </c>
      <c r="S1842" t="e">
        <f>VLOOKUP(R1842,[1]!NOMINA[#Data],4,FALSE)</f>
        <v>#REF!</v>
      </c>
      <c r="T1842" t="e">
        <f>VLOOKUP(R1842,[1]!NOMINA[#Data],5,FALSE)</f>
        <v>#REF!</v>
      </c>
    </row>
    <row r="1843" spans="1:20" x14ac:dyDescent="0.25">
      <c r="A1843" s="43">
        <v>45743</v>
      </c>
      <c r="B1843" s="1">
        <v>610491019</v>
      </c>
      <c r="C1843" t="s">
        <v>1712</v>
      </c>
      <c r="D1843" s="54">
        <v>-5105.78</v>
      </c>
      <c r="E1843" t="s">
        <v>35</v>
      </c>
      <c r="F1843" s="2">
        <v>212901001</v>
      </c>
      <c r="G1843" s="2" t="s">
        <v>91</v>
      </c>
      <c r="I1843" s="95" t="s">
        <v>7231</v>
      </c>
      <c r="J1843" t="s">
        <v>61</v>
      </c>
      <c r="K1843" s="49" t="s">
        <v>62</v>
      </c>
      <c r="L1843" s="49"/>
      <c r="M1843">
        <v>69.02</v>
      </c>
      <c r="N1843" s="4">
        <f t="shared" si="28"/>
        <v>-73.975369458128085</v>
      </c>
      <c r="O1843" t="s">
        <v>83</v>
      </c>
      <c r="R1843">
        <v>8</v>
      </c>
      <c r="S1843" t="e">
        <f>VLOOKUP(R1843,[1]!NOMINA[#Data],4,FALSE)</f>
        <v>#REF!</v>
      </c>
      <c r="T1843" t="e">
        <f>VLOOKUP(R1843,[1]!NOMINA[#Data],5,FALSE)</f>
        <v>#REF!</v>
      </c>
    </row>
    <row r="1844" spans="1:20" x14ac:dyDescent="0.25">
      <c r="A1844" s="43">
        <v>45743</v>
      </c>
      <c r="B1844" s="1">
        <v>810491038</v>
      </c>
      <c r="C1844" t="s">
        <v>1713</v>
      </c>
      <c r="D1844" s="54">
        <v>-5795.53</v>
      </c>
      <c r="E1844" t="s">
        <v>35</v>
      </c>
      <c r="F1844" s="2">
        <v>212901001</v>
      </c>
      <c r="G1844" s="2" t="s">
        <v>91</v>
      </c>
      <c r="I1844" s="95" t="s">
        <v>7231</v>
      </c>
      <c r="J1844" t="s">
        <v>61</v>
      </c>
      <c r="K1844" s="49" t="s">
        <v>62</v>
      </c>
      <c r="L1844" s="49"/>
      <c r="M1844">
        <v>69.02</v>
      </c>
      <c r="N1844" s="4">
        <f t="shared" si="28"/>
        <v>-83.968849608809037</v>
      </c>
      <c r="O1844" t="s">
        <v>83</v>
      </c>
      <c r="R1844">
        <v>11</v>
      </c>
      <c r="S1844" t="e">
        <f>VLOOKUP(R1844,[1]!NOMINA[#Data],4,FALSE)</f>
        <v>#REF!</v>
      </c>
      <c r="T1844" t="e">
        <f>VLOOKUP(R1844,[1]!NOMINA[#Data],5,FALSE)</f>
        <v>#REF!</v>
      </c>
    </row>
    <row r="1845" spans="1:20" x14ac:dyDescent="0.25">
      <c r="A1845" s="43">
        <v>45743</v>
      </c>
      <c r="B1845" s="1">
        <v>510491011</v>
      </c>
      <c r="C1845" t="s">
        <v>1714</v>
      </c>
      <c r="D1845" s="54">
        <v>-2348.17</v>
      </c>
      <c r="E1845" t="s">
        <v>35</v>
      </c>
      <c r="F1845" s="2">
        <v>212901001</v>
      </c>
      <c r="G1845" s="2" t="s">
        <v>91</v>
      </c>
      <c r="I1845" s="95" t="s">
        <v>7231</v>
      </c>
      <c r="J1845" t="s">
        <v>61</v>
      </c>
      <c r="K1845" s="49" t="s">
        <v>62</v>
      </c>
      <c r="L1845" s="49"/>
      <c r="M1845">
        <v>69.02</v>
      </c>
      <c r="N1845" s="4">
        <f t="shared" si="28"/>
        <v>-34.021587945523038</v>
      </c>
      <c r="O1845" t="s">
        <v>83</v>
      </c>
      <c r="R1845">
        <v>23</v>
      </c>
      <c r="S1845" t="e">
        <f>VLOOKUP(R1845,[1]!NOMINA[#Data],4,FALSE)</f>
        <v>#REF!</v>
      </c>
      <c r="T1845" t="e">
        <f>VLOOKUP(R1845,[1]!NOMINA[#Data],5,FALSE)</f>
        <v>#REF!</v>
      </c>
    </row>
    <row r="1846" spans="1:20" x14ac:dyDescent="0.25">
      <c r="A1846" s="43">
        <v>45743</v>
      </c>
      <c r="B1846" s="1">
        <v>610491013</v>
      </c>
      <c r="C1846" t="s">
        <v>1715</v>
      </c>
      <c r="D1846" s="54">
        <v>-5276.85</v>
      </c>
      <c r="E1846" t="s">
        <v>35</v>
      </c>
      <c r="F1846" s="2">
        <v>212901001</v>
      </c>
      <c r="G1846" s="2" t="s">
        <v>91</v>
      </c>
      <c r="I1846" s="95" t="s">
        <v>7231</v>
      </c>
      <c r="J1846" t="s">
        <v>61</v>
      </c>
      <c r="K1846" s="49" t="s">
        <v>62</v>
      </c>
      <c r="L1846" s="49"/>
      <c r="M1846">
        <v>69.02</v>
      </c>
      <c r="N1846" s="4">
        <f t="shared" si="28"/>
        <v>-76.45392639814547</v>
      </c>
      <c r="O1846" t="s">
        <v>83</v>
      </c>
      <c r="R1846">
        <v>17</v>
      </c>
      <c r="S1846" t="e">
        <f>VLOOKUP(R1846,[1]!NOMINA[#Data],4,FALSE)</f>
        <v>#REF!</v>
      </c>
      <c r="T1846" t="e">
        <f>VLOOKUP(R1846,[1]!NOMINA[#Data],5,FALSE)</f>
        <v>#REF!</v>
      </c>
    </row>
    <row r="1847" spans="1:20" x14ac:dyDescent="0.25">
      <c r="A1847" s="43">
        <v>45743</v>
      </c>
      <c r="B1847" s="1">
        <v>710491025</v>
      </c>
      <c r="C1847" t="s">
        <v>1716</v>
      </c>
      <c r="D1847" s="54">
        <v>-9102.75</v>
      </c>
      <c r="E1847" t="s">
        <v>35</v>
      </c>
      <c r="F1847" s="2">
        <v>212901001</v>
      </c>
      <c r="G1847" s="2" t="s">
        <v>91</v>
      </c>
      <c r="I1847" s="95" t="s">
        <v>7231</v>
      </c>
      <c r="J1847" t="s">
        <v>61</v>
      </c>
      <c r="K1847" s="49" t="s">
        <v>62</v>
      </c>
      <c r="L1847" s="49"/>
      <c r="M1847">
        <v>69.02</v>
      </c>
      <c r="N1847" s="4">
        <f t="shared" si="28"/>
        <v>-131.88568530860621</v>
      </c>
      <c r="O1847" t="s">
        <v>83</v>
      </c>
      <c r="R1847">
        <v>4</v>
      </c>
      <c r="S1847" t="e">
        <f>VLOOKUP(R1847,[1]!NOMINA[#Data],4,FALSE)</f>
        <v>#REF!</v>
      </c>
      <c r="T1847" t="e">
        <f>VLOOKUP(R1847,[1]!NOMINA[#Data],5,FALSE)</f>
        <v>#REF!</v>
      </c>
    </row>
    <row r="1848" spans="1:20" x14ac:dyDescent="0.25">
      <c r="A1848" s="43">
        <v>45743</v>
      </c>
      <c r="B1848" s="1">
        <v>610491016</v>
      </c>
      <c r="C1848" t="s">
        <v>1717</v>
      </c>
      <c r="D1848" s="54">
        <v>-5276.85</v>
      </c>
      <c r="E1848" t="s">
        <v>35</v>
      </c>
      <c r="F1848" s="2">
        <v>212901001</v>
      </c>
      <c r="G1848" s="2" t="s">
        <v>91</v>
      </c>
      <c r="I1848" s="95" t="s">
        <v>7231</v>
      </c>
      <c r="J1848" t="s">
        <v>61</v>
      </c>
      <c r="K1848" s="49" t="s">
        <v>62</v>
      </c>
      <c r="L1848" s="49"/>
      <c r="M1848">
        <v>69.02</v>
      </c>
      <c r="N1848" s="4">
        <f t="shared" si="28"/>
        <v>-76.45392639814547</v>
      </c>
      <c r="O1848" t="s">
        <v>83</v>
      </c>
      <c r="R1848">
        <v>14</v>
      </c>
      <c r="S1848" t="e">
        <f>VLOOKUP(R1848,[1]!NOMINA[#Data],4,FALSE)</f>
        <v>#REF!</v>
      </c>
      <c r="T1848" t="e">
        <f>VLOOKUP(R1848,[1]!NOMINA[#Data],5,FALSE)</f>
        <v>#REF!</v>
      </c>
    </row>
    <row r="1849" spans="1:20" x14ac:dyDescent="0.25">
      <c r="A1849" s="43">
        <v>45743</v>
      </c>
      <c r="B1849" s="1">
        <v>610491023</v>
      </c>
      <c r="C1849" t="s">
        <v>1718</v>
      </c>
      <c r="D1849" s="23">
        <v>-13674.74</v>
      </c>
      <c r="E1849" t="s">
        <v>35</v>
      </c>
      <c r="F1849" s="2">
        <v>212901001</v>
      </c>
      <c r="G1849" s="2" t="s">
        <v>91</v>
      </c>
      <c r="I1849" s="95" t="s">
        <v>7231</v>
      </c>
      <c r="J1849" t="s">
        <v>61</v>
      </c>
      <c r="K1849" s="49" t="s">
        <v>62</v>
      </c>
      <c r="L1849" s="49"/>
      <c r="M1849">
        <v>69.02</v>
      </c>
      <c r="N1849" s="4">
        <f t="shared" si="28"/>
        <v>-198.12720950449145</v>
      </c>
      <c r="O1849" t="s">
        <v>83</v>
      </c>
      <c r="R1849">
        <v>43</v>
      </c>
      <c r="S1849" t="e">
        <f>VLOOKUP(R1849,[1]!NOMINA[#Data],4,FALSE)</f>
        <v>#REF!</v>
      </c>
      <c r="T1849" t="e">
        <f>VLOOKUP(R1849,[1]!NOMINA[#Data],5,FALSE)</f>
        <v>#REF!</v>
      </c>
    </row>
    <row r="1850" spans="1:20" x14ac:dyDescent="0.25">
      <c r="A1850" s="43">
        <v>45743</v>
      </c>
      <c r="B1850" s="1">
        <v>510491007</v>
      </c>
      <c r="C1850" t="s">
        <v>1719</v>
      </c>
      <c r="D1850" s="54">
        <v>-3380.73</v>
      </c>
      <c r="E1850" t="s">
        <v>35</v>
      </c>
      <c r="F1850" s="2">
        <v>212901001</v>
      </c>
      <c r="G1850" s="2" t="s">
        <v>91</v>
      </c>
      <c r="I1850" s="95" t="s">
        <v>7231</v>
      </c>
      <c r="J1850" t="s">
        <v>61</v>
      </c>
      <c r="K1850" s="49" t="s">
        <v>62</v>
      </c>
      <c r="L1850" s="49"/>
      <c r="M1850">
        <v>69.02</v>
      </c>
      <c r="N1850" s="4">
        <f t="shared" si="28"/>
        <v>-48.981889307447119</v>
      </c>
      <c r="O1850" t="s">
        <v>83</v>
      </c>
      <c r="R1850">
        <v>22</v>
      </c>
      <c r="S1850" t="e">
        <f>VLOOKUP(Tabla3[[#This Row],[Nº]],[1]!NOMINA[#Data],4,FALSE)</f>
        <v>#REF!</v>
      </c>
      <c r="T1850" t="e">
        <f>VLOOKUP(R1850,[1]!NOMINA[#Data],5,FALSE)</f>
        <v>#REF!</v>
      </c>
    </row>
    <row r="1851" spans="1:20" x14ac:dyDescent="0.25">
      <c r="A1851" s="43">
        <v>45743</v>
      </c>
      <c r="B1851" s="1">
        <v>710491033</v>
      </c>
      <c r="C1851" t="s">
        <v>1720</v>
      </c>
      <c r="D1851" s="54">
        <v>-3485.84</v>
      </c>
      <c r="E1851" t="s">
        <v>35</v>
      </c>
      <c r="F1851" s="2">
        <v>212901001</v>
      </c>
      <c r="G1851" s="2" t="s">
        <v>91</v>
      </c>
      <c r="I1851" s="95" t="s">
        <v>7231</v>
      </c>
      <c r="J1851" t="s">
        <v>61</v>
      </c>
      <c r="K1851" s="49" t="s">
        <v>62</v>
      </c>
      <c r="L1851" s="49"/>
      <c r="M1851">
        <v>69.02</v>
      </c>
      <c r="N1851" s="4">
        <f t="shared" si="28"/>
        <v>-50.504781222833969</v>
      </c>
      <c r="O1851" t="s">
        <v>83</v>
      </c>
      <c r="R1851">
        <v>42</v>
      </c>
      <c r="S1851" t="e">
        <f>VLOOKUP(R1851,[1]!NOMINA[#Data],4,FALSE)</f>
        <v>#REF!</v>
      </c>
      <c r="T1851" t="e">
        <f>VLOOKUP(R1851,[1]!NOMINA[#Data],5,FALSE)</f>
        <v>#REF!</v>
      </c>
    </row>
    <row r="1852" spans="1:20" x14ac:dyDescent="0.25">
      <c r="A1852" s="43">
        <v>45743</v>
      </c>
      <c r="B1852" s="1">
        <v>510491009</v>
      </c>
      <c r="C1852" t="s">
        <v>1721</v>
      </c>
      <c r="D1852" s="54">
        <v>-5267.92</v>
      </c>
      <c r="E1852" t="s">
        <v>35</v>
      </c>
      <c r="F1852" s="2">
        <v>212901001</v>
      </c>
      <c r="G1852" s="2" t="s">
        <v>91</v>
      </c>
      <c r="I1852" s="95" t="s">
        <v>7231</v>
      </c>
      <c r="J1852" t="s">
        <v>61</v>
      </c>
      <c r="K1852" s="49" t="s">
        <v>62</v>
      </c>
      <c r="L1852" s="49"/>
      <c r="M1852">
        <v>69.02</v>
      </c>
      <c r="N1852" s="4">
        <f t="shared" si="28"/>
        <v>-76.324543610547678</v>
      </c>
      <c r="O1852" t="s">
        <v>83</v>
      </c>
      <c r="R1852">
        <v>39</v>
      </c>
      <c r="S1852" t="e">
        <f>VLOOKUP(R1852,[1]!NOMINA[#Data],4,FALSE)</f>
        <v>#REF!</v>
      </c>
      <c r="T1852" t="e">
        <f>VLOOKUP(R1852,[1]!NOMINA[#Data],5,FALSE)</f>
        <v>#REF!</v>
      </c>
    </row>
    <row r="1853" spans="1:20" x14ac:dyDescent="0.25">
      <c r="A1853" s="43">
        <v>45743</v>
      </c>
      <c r="B1853" s="1">
        <v>810491035</v>
      </c>
      <c r="C1853" t="s">
        <v>1722</v>
      </c>
      <c r="D1853" s="54">
        <v>-3380.73</v>
      </c>
      <c r="E1853" t="s">
        <v>35</v>
      </c>
      <c r="F1853" s="2">
        <v>212901001</v>
      </c>
      <c r="G1853" s="2" t="s">
        <v>91</v>
      </c>
      <c r="I1853" s="95" t="s">
        <v>7231</v>
      </c>
      <c r="J1853" t="s">
        <v>61</v>
      </c>
      <c r="K1853" s="49" t="s">
        <v>62</v>
      </c>
      <c r="L1853" s="49"/>
      <c r="M1853">
        <v>69.02</v>
      </c>
      <c r="N1853" s="4">
        <f t="shared" si="28"/>
        <v>-48.981889307447119</v>
      </c>
      <c r="O1853" t="s">
        <v>83</v>
      </c>
      <c r="R1853">
        <v>21</v>
      </c>
      <c r="S1853" t="e">
        <f>VLOOKUP(R1853,[1]!NOMINA[#Data],4,FALSE)</f>
        <v>#REF!</v>
      </c>
      <c r="T1853" t="e">
        <f>VLOOKUP(R1853,[1]!NOMINA[#Data],5,FALSE)</f>
        <v>#REF!</v>
      </c>
    </row>
    <row r="1854" spans="1:20" x14ac:dyDescent="0.25">
      <c r="A1854" s="43">
        <v>45743</v>
      </c>
      <c r="B1854" s="1">
        <v>710491034</v>
      </c>
      <c r="C1854" t="s">
        <v>1723</v>
      </c>
      <c r="D1854" s="54">
        <v>-2348.85</v>
      </c>
      <c r="E1854" t="s">
        <v>35</v>
      </c>
      <c r="F1854" s="2">
        <v>212901001</v>
      </c>
      <c r="G1854" s="2" t="s">
        <v>91</v>
      </c>
      <c r="I1854" s="95" t="s">
        <v>7231</v>
      </c>
      <c r="J1854" t="s">
        <v>61</v>
      </c>
      <c r="K1854" s="49" t="s">
        <v>62</v>
      </c>
      <c r="L1854" s="49"/>
      <c r="M1854">
        <v>69.02</v>
      </c>
      <c r="N1854" s="4">
        <f t="shared" si="28"/>
        <v>-34.031440162271807</v>
      </c>
      <c r="O1854" t="s">
        <v>83</v>
      </c>
      <c r="R1854">
        <v>27</v>
      </c>
      <c r="S1854" t="e">
        <f>VLOOKUP(R1854,[1]!NOMINA[#Data],4,FALSE)</f>
        <v>#REF!</v>
      </c>
      <c r="T1854" t="e">
        <f>VLOOKUP(R1854,[1]!NOMINA[#Data],5,FALSE)</f>
        <v>#REF!</v>
      </c>
    </row>
    <row r="1855" spans="1:20" x14ac:dyDescent="0.25">
      <c r="A1855" s="43">
        <v>45743</v>
      </c>
      <c r="B1855" s="1">
        <v>810491036</v>
      </c>
      <c r="C1855" t="s">
        <v>1724</v>
      </c>
      <c r="D1855" s="54">
        <v>-2348.85</v>
      </c>
      <c r="E1855" t="s">
        <v>35</v>
      </c>
      <c r="F1855" s="2">
        <v>212901001</v>
      </c>
      <c r="G1855" s="2" t="s">
        <v>91</v>
      </c>
      <c r="I1855" s="95" t="s">
        <v>7231</v>
      </c>
      <c r="J1855" t="s">
        <v>61</v>
      </c>
      <c r="K1855" s="49" t="s">
        <v>62</v>
      </c>
      <c r="L1855" s="49"/>
      <c r="M1855">
        <v>69.02</v>
      </c>
      <c r="N1855" s="4">
        <f t="shared" si="28"/>
        <v>-34.031440162271807</v>
      </c>
      <c r="O1855" t="s">
        <v>83</v>
      </c>
      <c r="R1855">
        <v>25</v>
      </c>
      <c r="S1855" t="e">
        <f>VLOOKUP(R1855,[1]!NOMINA[#Data],4,FALSE)</f>
        <v>#REF!</v>
      </c>
      <c r="T1855" t="e">
        <f>VLOOKUP(R1855,[1]!NOMINA[#Data],5,FALSE)</f>
        <v>#REF!</v>
      </c>
    </row>
    <row r="1856" spans="1:20" x14ac:dyDescent="0.25">
      <c r="A1856" s="43">
        <v>45743</v>
      </c>
      <c r="B1856" s="1">
        <v>610491024</v>
      </c>
      <c r="C1856" t="s">
        <v>1725</v>
      </c>
      <c r="D1856" s="54">
        <v>-5935.68</v>
      </c>
      <c r="E1856" t="s">
        <v>35</v>
      </c>
      <c r="F1856" s="2">
        <v>212901001</v>
      </c>
      <c r="G1856" s="2" t="s">
        <v>91</v>
      </c>
      <c r="I1856" s="95" t="s">
        <v>7231</v>
      </c>
      <c r="J1856" t="s">
        <v>61</v>
      </c>
      <c r="K1856" s="49" t="s">
        <v>62</v>
      </c>
      <c r="L1856" s="49"/>
      <c r="M1856">
        <v>69.02</v>
      </c>
      <c r="N1856" s="4">
        <f t="shared" si="28"/>
        <v>-85.999420457838312</v>
      </c>
      <c r="O1856" t="s">
        <v>83</v>
      </c>
      <c r="R1856">
        <v>12</v>
      </c>
      <c r="S1856" t="e">
        <f>VLOOKUP(R1856,[1]!NOMINA[#Data],4,FALSE)</f>
        <v>#REF!</v>
      </c>
      <c r="T1856" t="e">
        <f>VLOOKUP(R1856,[1]!NOMINA[#Data],5,FALSE)</f>
        <v>#REF!</v>
      </c>
    </row>
    <row r="1857" spans="1:20" x14ac:dyDescent="0.25">
      <c r="A1857" s="43">
        <v>45743</v>
      </c>
      <c r="B1857" s="1">
        <v>510491005</v>
      </c>
      <c r="C1857" t="s">
        <v>1726</v>
      </c>
      <c r="D1857" s="23">
        <v>-37032.74</v>
      </c>
      <c r="E1857" t="s">
        <v>35</v>
      </c>
      <c r="F1857" s="2">
        <v>212901001</v>
      </c>
      <c r="G1857" s="2" t="s">
        <v>91</v>
      </c>
      <c r="I1857" s="95" t="s">
        <v>7231</v>
      </c>
      <c r="J1857" t="s">
        <v>61</v>
      </c>
      <c r="K1857" s="49" t="s">
        <v>62</v>
      </c>
      <c r="L1857" s="49"/>
      <c r="M1857">
        <v>69.02</v>
      </c>
      <c r="N1857" s="4">
        <f t="shared" si="28"/>
        <v>-536.55085482468849</v>
      </c>
      <c r="O1857" t="s">
        <v>83</v>
      </c>
      <c r="R1857">
        <v>2</v>
      </c>
      <c r="S1857" t="e">
        <f>VLOOKUP(Tabla3[[#This Row],[Nº]],[1]!NOMINA[#Data],4,FALSE)</f>
        <v>#REF!</v>
      </c>
      <c r="T1857" t="e">
        <f>VLOOKUP(Tabla3[[#This Row],[Nº]],[1]!NOMINA[#Data],5,FALSE)</f>
        <v>#REF!</v>
      </c>
    </row>
    <row r="1858" spans="1:20" x14ac:dyDescent="0.25">
      <c r="A1858" s="43">
        <v>45743</v>
      </c>
      <c r="B1858" s="1">
        <v>510491006</v>
      </c>
      <c r="C1858" t="s">
        <v>1727</v>
      </c>
      <c r="D1858" s="54">
        <v>-2693.04</v>
      </c>
      <c r="E1858" t="s">
        <v>35</v>
      </c>
      <c r="F1858" s="2">
        <v>212901001</v>
      </c>
      <c r="G1858" s="2" t="s">
        <v>91</v>
      </c>
      <c r="I1858" s="95" t="s">
        <v>7231</v>
      </c>
      <c r="J1858" t="s">
        <v>61</v>
      </c>
      <c r="K1858" s="49" t="s">
        <v>62</v>
      </c>
      <c r="L1858" s="49"/>
      <c r="M1858">
        <v>69.02</v>
      </c>
      <c r="N1858" s="4">
        <f t="shared" si="28"/>
        <v>-39.01825557809331</v>
      </c>
      <c r="O1858" t="s">
        <v>83</v>
      </c>
      <c r="R1858">
        <v>28</v>
      </c>
      <c r="S1858" t="e">
        <f>VLOOKUP(R1858,[1]!NOMINA[#Data],4,FALSE)</f>
        <v>#REF!</v>
      </c>
      <c r="T1858" t="e">
        <f>VLOOKUP(R1858,[1]!NOMINA[#Data],5,FALSE)</f>
        <v>#REF!</v>
      </c>
    </row>
    <row r="1859" spans="1:20" x14ac:dyDescent="0.25">
      <c r="A1859" s="43">
        <v>45743</v>
      </c>
      <c r="B1859" s="1">
        <v>710491028</v>
      </c>
      <c r="C1859" t="s">
        <v>1728</v>
      </c>
      <c r="D1859" s="54">
        <v>-9667.4599999999991</v>
      </c>
      <c r="E1859" t="s">
        <v>35</v>
      </c>
      <c r="F1859" s="2">
        <v>212901001</v>
      </c>
      <c r="G1859" s="2" t="s">
        <v>91</v>
      </c>
      <c r="I1859" s="95" t="s">
        <v>7231</v>
      </c>
      <c r="J1859" t="s">
        <v>61</v>
      </c>
      <c r="K1859" s="49" t="s">
        <v>62</v>
      </c>
      <c r="L1859" s="49"/>
      <c r="M1859">
        <v>69.02</v>
      </c>
      <c r="N1859" s="4">
        <f t="shared" si="28"/>
        <v>-140.06751666183715</v>
      </c>
      <c r="O1859" t="s">
        <v>83</v>
      </c>
      <c r="R1859">
        <v>6</v>
      </c>
      <c r="S1859" t="e">
        <f>VLOOKUP(R1859,[1]!NOMINA[#Data],4,FALSE)</f>
        <v>#REF!</v>
      </c>
      <c r="T1859" t="e">
        <f>VLOOKUP(R1859,[1]!NOMINA[#Data],5,FALSE)</f>
        <v>#REF!</v>
      </c>
    </row>
    <row r="1860" spans="1:20" x14ac:dyDescent="0.25">
      <c r="A1860" s="43">
        <v>45743</v>
      </c>
      <c r="B1860" s="1">
        <v>710491031</v>
      </c>
      <c r="C1860" t="s">
        <v>1729</v>
      </c>
      <c r="D1860" s="54">
        <v>-3384.85</v>
      </c>
      <c r="E1860" t="s">
        <v>35</v>
      </c>
      <c r="F1860" s="2">
        <v>212901001</v>
      </c>
      <c r="G1860" s="2" t="s">
        <v>91</v>
      </c>
      <c r="I1860" s="95" t="s">
        <v>7231</v>
      </c>
      <c r="J1860" t="s">
        <v>61</v>
      </c>
      <c r="K1860" s="49" t="s">
        <v>62</v>
      </c>
      <c r="L1860" s="49"/>
      <c r="M1860">
        <v>69.02</v>
      </c>
      <c r="N1860" s="4">
        <f t="shared" si="28"/>
        <v>-49.041582150101419</v>
      </c>
      <c r="O1860" t="s">
        <v>83</v>
      </c>
      <c r="R1860">
        <v>24</v>
      </c>
      <c r="S1860" t="e">
        <f>VLOOKUP(R1860,[1]!NOMINA[#Data],4,FALSE)</f>
        <v>#REF!</v>
      </c>
      <c r="T1860" t="e">
        <f>VLOOKUP(R1860,[1]!NOMINA[#Data],5,FALSE)</f>
        <v>#REF!</v>
      </c>
    </row>
    <row r="1861" spans="1:20" x14ac:dyDescent="0.25">
      <c r="A1861" s="43">
        <v>45743</v>
      </c>
      <c r="B1861" s="1">
        <v>710491030</v>
      </c>
      <c r="C1861" t="s">
        <v>1730</v>
      </c>
      <c r="D1861" s="54">
        <v>-20395.66</v>
      </c>
      <c r="E1861" t="s">
        <v>35</v>
      </c>
      <c r="F1861" s="2">
        <v>212901001</v>
      </c>
      <c r="G1861" s="2" t="s">
        <v>91</v>
      </c>
      <c r="I1861" s="95" t="s">
        <v>7231</v>
      </c>
      <c r="J1861" t="s">
        <v>61</v>
      </c>
      <c r="K1861" s="49" t="s">
        <v>62</v>
      </c>
      <c r="L1861" s="49"/>
      <c r="M1861">
        <v>69.02</v>
      </c>
      <c r="N1861" s="4">
        <f t="shared" si="28"/>
        <v>-295.50362213851059</v>
      </c>
      <c r="O1861" t="s">
        <v>83</v>
      </c>
      <c r="R1861">
        <v>3</v>
      </c>
      <c r="S1861" t="e">
        <f>VLOOKUP(R1861,[1]!NOMINA[#Data],4,FALSE)</f>
        <v>#REF!</v>
      </c>
      <c r="T1861" t="e">
        <f>VLOOKUP(R1861,[1]!NOMINA[#Data],5,FALSE)</f>
        <v>#REF!</v>
      </c>
    </row>
    <row r="1862" spans="1:20" x14ac:dyDescent="0.25">
      <c r="A1862" s="43">
        <v>45743</v>
      </c>
      <c r="B1862" s="1">
        <v>510491012</v>
      </c>
      <c r="C1862" t="s">
        <v>1731</v>
      </c>
      <c r="D1862" s="54">
        <v>-3957.81</v>
      </c>
      <c r="E1862" t="s">
        <v>35</v>
      </c>
      <c r="F1862" s="2">
        <v>212901001</v>
      </c>
      <c r="G1862" s="2" t="s">
        <v>91</v>
      </c>
      <c r="I1862" s="95" t="s">
        <v>7231</v>
      </c>
      <c r="J1862" t="s">
        <v>61</v>
      </c>
      <c r="K1862" s="49" t="s">
        <v>62</v>
      </c>
      <c r="L1862" s="49"/>
      <c r="M1862">
        <v>69.02</v>
      </c>
      <c r="N1862" s="4">
        <f t="shared" si="28"/>
        <v>-57.342944074181396</v>
      </c>
      <c r="O1862" t="s">
        <v>83</v>
      </c>
      <c r="R1862">
        <v>19</v>
      </c>
      <c r="S1862" t="e">
        <f>VLOOKUP(R1862,[1]!NOMINA[#Data],4,FALSE)</f>
        <v>#REF!</v>
      </c>
      <c r="T1862" t="e">
        <f>VLOOKUP(R1862,[1]!NOMINA[#Data],5,FALSE)</f>
        <v>#REF!</v>
      </c>
    </row>
    <row r="1863" spans="1:20" x14ac:dyDescent="0.25">
      <c r="A1863" s="43">
        <v>45743</v>
      </c>
      <c r="B1863" s="1">
        <v>710491032</v>
      </c>
      <c r="C1863" t="s">
        <v>1732</v>
      </c>
      <c r="D1863" s="54">
        <v>-5149.07</v>
      </c>
      <c r="E1863" t="s">
        <v>35</v>
      </c>
      <c r="F1863" s="2">
        <v>212901001</v>
      </c>
      <c r="G1863" s="2" t="s">
        <v>91</v>
      </c>
      <c r="I1863" s="95" t="s">
        <v>7231</v>
      </c>
      <c r="J1863" t="s">
        <v>61</v>
      </c>
      <c r="K1863" s="49" t="s">
        <v>62</v>
      </c>
      <c r="L1863" s="49"/>
      <c r="M1863">
        <v>69.02</v>
      </c>
      <c r="N1863" s="4">
        <f t="shared" si="28"/>
        <v>-74.602578962619532</v>
      </c>
      <c r="O1863" t="s">
        <v>83</v>
      </c>
      <c r="R1863">
        <v>5</v>
      </c>
      <c r="S1863" t="e">
        <f>VLOOKUP(R1863,[1]!NOMINA[#Data],4,FALSE)</f>
        <v>#REF!</v>
      </c>
      <c r="T1863" t="e">
        <f>VLOOKUP(R1863,[1]!NOMINA[#Data],5,FALSE)</f>
        <v>#REF!</v>
      </c>
    </row>
    <row r="1864" spans="1:20" x14ac:dyDescent="0.25">
      <c r="A1864" s="43">
        <v>45743</v>
      </c>
      <c r="B1864" s="1">
        <v>810491045</v>
      </c>
      <c r="C1864" t="s">
        <v>1733</v>
      </c>
      <c r="D1864" s="54">
        <v>-5276.85</v>
      </c>
      <c r="E1864" t="s">
        <v>35</v>
      </c>
      <c r="F1864" s="2">
        <v>212901001</v>
      </c>
      <c r="G1864" s="2" t="s">
        <v>91</v>
      </c>
      <c r="I1864" s="95" t="s">
        <v>7231</v>
      </c>
      <c r="J1864" t="s">
        <v>61</v>
      </c>
      <c r="K1864" s="49" t="s">
        <v>62</v>
      </c>
      <c r="L1864" s="49"/>
      <c r="M1864">
        <v>69.02</v>
      </c>
      <c r="N1864" s="4">
        <f t="shared" si="28"/>
        <v>-76.45392639814547</v>
      </c>
      <c r="O1864" t="s">
        <v>83</v>
      </c>
      <c r="R1864">
        <v>16</v>
      </c>
      <c r="S1864" t="e">
        <f>VLOOKUP(Tabla3[[#This Row],[Nº]],[1]!NOMINA[#Data],4,FALSE)</f>
        <v>#REF!</v>
      </c>
      <c r="T1864" t="e">
        <f>VLOOKUP(Tabla3[[#This Row],[Nº]],[1]!NOMINA[#Data],5,FALSE)</f>
        <v>#REF!</v>
      </c>
    </row>
    <row r="1865" spans="1:20" x14ac:dyDescent="0.25">
      <c r="A1865" s="43">
        <v>45743</v>
      </c>
      <c r="B1865" s="1">
        <v>810491037</v>
      </c>
      <c r="C1865" t="s">
        <v>1734</v>
      </c>
      <c r="D1865" s="54">
        <v>-1077.22</v>
      </c>
      <c r="E1865" t="s">
        <v>35</v>
      </c>
      <c r="F1865" s="2">
        <v>212901001</v>
      </c>
      <c r="G1865" s="2" t="s">
        <v>91</v>
      </c>
      <c r="I1865" s="95" t="s">
        <v>7231</v>
      </c>
      <c r="J1865" t="s">
        <v>61</v>
      </c>
      <c r="K1865" s="49" t="s">
        <v>62</v>
      </c>
      <c r="L1865" s="49"/>
      <c r="M1865">
        <v>69.02</v>
      </c>
      <c r="N1865" s="4">
        <f t="shared" si="28"/>
        <v>-15.607360185453492</v>
      </c>
      <c r="O1865" t="s">
        <v>83</v>
      </c>
      <c r="R1865">
        <v>37</v>
      </c>
      <c r="S1865" t="e">
        <f>VLOOKUP(Tabla3[[#This Row],[Nº]],[1]!NOMINA[#Data],4,FALSE)</f>
        <v>#REF!</v>
      </c>
      <c r="T1865" t="e">
        <f>VLOOKUP(Tabla3[[#This Row],[Nº]],[1]!NOMINA[#Data],5,FALSE)</f>
        <v>#REF!</v>
      </c>
    </row>
    <row r="1866" spans="1:20" x14ac:dyDescent="0.25">
      <c r="A1866" s="43">
        <v>45743</v>
      </c>
      <c r="B1866" s="1">
        <v>710491029</v>
      </c>
      <c r="C1866" t="s">
        <v>1735</v>
      </c>
      <c r="D1866" s="54">
        <v>-2671.74</v>
      </c>
      <c r="E1866" t="s">
        <v>35</v>
      </c>
      <c r="F1866" s="2">
        <v>212901001</v>
      </c>
      <c r="G1866" s="2" t="s">
        <v>91</v>
      </c>
      <c r="I1866" s="95" t="s">
        <v>7231</v>
      </c>
      <c r="J1866" t="s">
        <v>61</v>
      </c>
      <c r="K1866" s="49" t="s">
        <v>62</v>
      </c>
      <c r="L1866" s="49"/>
      <c r="M1866">
        <v>69.02</v>
      </c>
      <c r="N1866" s="4">
        <f t="shared" si="28"/>
        <v>-38.709649376992175</v>
      </c>
      <c r="O1866" t="s">
        <v>83</v>
      </c>
      <c r="R1866">
        <v>7</v>
      </c>
      <c r="S1866" t="e">
        <f>VLOOKUP(R1866,[1]!NOMINA[#Data],4,FALSE)</f>
        <v>#REF!</v>
      </c>
      <c r="T1866" t="e">
        <f>VLOOKUP(R1866,[1]!NOMINA[#Data],5,FALSE)</f>
        <v>#REF!</v>
      </c>
    </row>
    <row r="1867" spans="1:20" x14ac:dyDescent="0.25">
      <c r="A1867" s="43">
        <v>45743</v>
      </c>
      <c r="B1867" s="1">
        <v>810491047</v>
      </c>
      <c r="C1867" t="s">
        <v>1736</v>
      </c>
      <c r="D1867" s="23">
        <v>-687</v>
      </c>
      <c r="E1867" t="s">
        <v>35</v>
      </c>
      <c r="F1867" s="2">
        <v>212901001</v>
      </c>
      <c r="G1867" s="2" t="s">
        <v>91</v>
      </c>
      <c r="I1867" s="95" t="s">
        <v>7231</v>
      </c>
      <c r="J1867" t="s">
        <v>61</v>
      </c>
      <c r="K1867" s="49" t="s">
        <v>62</v>
      </c>
      <c r="L1867" s="49"/>
      <c r="M1867">
        <v>69.02</v>
      </c>
      <c r="N1867" s="4">
        <f t="shared" si="28"/>
        <v>-9.9536366270646202</v>
      </c>
      <c r="O1867" t="s">
        <v>83</v>
      </c>
      <c r="R1867">
        <v>28</v>
      </c>
      <c r="S1867" t="e">
        <f>VLOOKUP(R1867,[1]!NOMINA[#Data],4,FALSE)</f>
        <v>#REF!</v>
      </c>
      <c r="T1867" t="e">
        <f>VLOOKUP(R1867,[1]!NOMINA[#Data],5,FALSE)</f>
        <v>#REF!</v>
      </c>
    </row>
    <row r="1868" spans="1:20" x14ac:dyDescent="0.25">
      <c r="A1868" s="43">
        <v>45743</v>
      </c>
      <c r="B1868" s="1">
        <v>610491021</v>
      </c>
      <c r="C1868" t="s">
        <v>1737</v>
      </c>
      <c r="D1868" s="23">
        <v>-30162.74</v>
      </c>
      <c r="E1868" t="s">
        <v>35</v>
      </c>
      <c r="F1868" s="2">
        <v>212901001</v>
      </c>
      <c r="G1868" s="2" t="s">
        <v>91</v>
      </c>
      <c r="I1868" s="95" t="s">
        <v>7231</v>
      </c>
      <c r="J1868" t="s">
        <v>61</v>
      </c>
      <c r="K1868" s="49" t="s">
        <v>62</v>
      </c>
      <c r="L1868" s="49"/>
      <c r="M1868">
        <v>69.02</v>
      </c>
      <c r="N1868" s="4">
        <f t="shared" ref="N1868:N1931" si="29">D1868/M1868</f>
        <v>-437.01448855404237</v>
      </c>
      <c r="O1868" t="s">
        <v>83</v>
      </c>
      <c r="R1868">
        <v>1</v>
      </c>
      <c r="S1868" t="e">
        <f>VLOOKUP(R1868,[1]!NOMINA[#Data],4,FALSE)</f>
        <v>#REF!</v>
      </c>
      <c r="T1868" t="e">
        <f>VLOOKUP(R1868,[1]!NOMINA[#Data],5,FALSE)</f>
        <v>#REF!</v>
      </c>
    </row>
    <row r="1869" spans="1:20" x14ac:dyDescent="0.25">
      <c r="A1869" s="43">
        <v>45743</v>
      </c>
      <c r="B1869" s="1">
        <v>510491008</v>
      </c>
      <c r="C1869" t="s">
        <v>1738</v>
      </c>
      <c r="D1869" s="54">
        <v>-3388.97</v>
      </c>
      <c r="E1869" t="s">
        <v>35</v>
      </c>
      <c r="F1869" s="2">
        <v>212901001</v>
      </c>
      <c r="G1869" s="2" t="s">
        <v>91</v>
      </c>
      <c r="I1869" s="95" t="s">
        <v>7231</v>
      </c>
      <c r="J1869" t="s">
        <v>61</v>
      </c>
      <c r="K1869" s="49" t="s">
        <v>62</v>
      </c>
      <c r="L1869" s="49"/>
      <c r="M1869">
        <v>69.02</v>
      </c>
      <c r="N1869" s="4">
        <f t="shared" si="29"/>
        <v>-49.101274992755719</v>
      </c>
      <c r="O1869" t="s">
        <v>83</v>
      </c>
      <c r="R1869">
        <v>36</v>
      </c>
      <c r="S1869" t="e">
        <f>VLOOKUP(R1869,[1]!NOMINA[#Data],4,FALSE)</f>
        <v>#REF!</v>
      </c>
      <c r="T1869" t="e">
        <f>VLOOKUP(R1869,[1]!NOMINA[#Data],5,FALSE)</f>
        <v>#REF!</v>
      </c>
    </row>
    <row r="1870" spans="1:20" x14ac:dyDescent="0.25">
      <c r="A1870" s="43">
        <v>45743</v>
      </c>
      <c r="B1870" s="1">
        <v>910491049</v>
      </c>
      <c r="C1870" t="s">
        <v>1739</v>
      </c>
      <c r="D1870" s="23">
        <v>-687</v>
      </c>
      <c r="E1870" t="s">
        <v>35</v>
      </c>
      <c r="F1870" s="2">
        <v>212901001</v>
      </c>
      <c r="G1870" s="2" t="s">
        <v>91</v>
      </c>
      <c r="I1870" s="95" t="s">
        <v>7231</v>
      </c>
      <c r="J1870" t="s">
        <v>61</v>
      </c>
      <c r="K1870" s="49" t="s">
        <v>62</v>
      </c>
      <c r="L1870" s="49"/>
      <c r="M1870">
        <v>69.02</v>
      </c>
      <c r="N1870" s="4">
        <f t="shared" si="29"/>
        <v>-9.9536366270646202</v>
      </c>
      <c r="O1870" t="s">
        <v>83</v>
      </c>
      <c r="R1870">
        <v>39</v>
      </c>
      <c r="S1870" t="e">
        <f>VLOOKUP(R1870,[1]!NOMINA[#Data],4,FALSE)</f>
        <v>#REF!</v>
      </c>
      <c r="T1870" t="e">
        <f>VLOOKUP(R1870,[1]!NOMINA[#Data],5,FALSE)</f>
        <v>#REF!</v>
      </c>
    </row>
    <row r="1871" spans="1:20" x14ac:dyDescent="0.25">
      <c r="A1871" s="43">
        <v>45743</v>
      </c>
      <c r="B1871" s="1">
        <v>810491046</v>
      </c>
      <c r="C1871" t="s">
        <v>1740</v>
      </c>
      <c r="D1871" s="23">
        <v>-20610</v>
      </c>
      <c r="E1871" t="s">
        <v>35</v>
      </c>
      <c r="F1871" s="2">
        <v>212901001</v>
      </c>
      <c r="G1871" s="2" t="s">
        <v>91</v>
      </c>
      <c r="I1871" s="95" t="s">
        <v>7231</v>
      </c>
      <c r="J1871" t="s">
        <v>61</v>
      </c>
      <c r="K1871" s="49" t="s">
        <v>62</v>
      </c>
      <c r="L1871" s="49"/>
      <c r="M1871">
        <v>69.02</v>
      </c>
      <c r="N1871" s="4">
        <f t="shared" si="29"/>
        <v>-298.60909881193857</v>
      </c>
      <c r="O1871" t="s">
        <v>83</v>
      </c>
      <c r="R1871">
        <v>2</v>
      </c>
      <c r="S1871" t="e">
        <f>VLOOKUP(Tabla3[[#This Row],[Nº]],[1]!NOMINA[#Data],4,FALSE)</f>
        <v>#REF!</v>
      </c>
      <c r="T1871" t="e">
        <f>VLOOKUP(Tabla3[[#This Row],[Nº]],[1]!NOMINA[#Data],5,FALSE)</f>
        <v>#REF!</v>
      </c>
    </row>
    <row r="1872" spans="1:20" x14ac:dyDescent="0.25">
      <c r="A1872" s="43">
        <v>45743</v>
      </c>
      <c r="B1872" s="1">
        <v>910491050</v>
      </c>
      <c r="C1872" t="s">
        <v>1741</v>
      </c>
      <c r="D1872" s="23">
        <v>-687</v>
      </c>
      <c r="E1872" t="s">
        <v>35</v>
      </c>
      <c r="F1872" s="2">
        <v>212901001</v>
      </c>
      <c r="G1872" s="2" t="s">
        <v>91</v>
      </c>
      <c r="I1872" s="95" t="s">
        <v>7231</v>
      </c>
      <c r="J1872" t="s">
        <v>61</v>
      </c>
      <c r="K1872" s="49" t="s">
        <v>62</v>
      </c>
      <c r="L1872" s="49"/>
      <c r="M1872">
        <v>69.02</v>
      </c>
      <c r="N1872" s="4">
        <f t="shared" si="29"/>
        <v>-9.9536366270646202</v>
      </c>
      <c r="O1872" t="s">
        <v>83</v>
      </c>
      <c r="R1872">
        <v>41</v>
      </c>
      <c r="S1872" t="e">
        <f>VLOOKUP(R1872,[1]!NOMINA[#Data],4,FALSE)</f>
        <v>#REF!</v>
      </c>
      <c r="T1872" t="e">
        <f>VLOOKUP(R1872,[1]!NOMINA[#Data],5,FALSE)</f>
        <v>#REF!</v>
      </c>
    </row>
    <row r="1873" spans="1:20" x14ac:dyDescent="0.25">
      <c r="A1873" s="43">
        <v>45743</v>
      </c>
      <c r="B1873" s="1">
        <v>910491054</v>
      </c>
      <c r="C1873" t="s">
        <v>1742</v>
      </c>
      <c r="D1873" s="23">
        <v>-687</v>
      </c>
      <c r="E1873" t="s">
        <v>35</v>
      </c>
      <c r="F1873" s="2">
        <v>212901001</v>
      </c>
      <c r="G1873" s="2" t="s">
        <v>91</v>
      </c>
      <c r="I1873" s="95" t="s">
        <v>7231</v>
      </c>
      <c r="J1873" t="s">
        <v>61</v>
      </c>
      <c r="K1873" s="49" t="s">
        <v>62</v>
      </c>
      <c r="L1873" s="49"/>
      <c r="M1873">
        <v>69.02</v>
      </c>
      <c r="N1873" s="4">
        <f t="shared" si="29"/>
        <v>-9.9536366270646202</v>
      </c>
      <c r="O1873" t="s">
        <v>83</v>
      </c>
      <c r="R1873">
        <v>17</v>
      </c>
      <c r="S1873" t="e">
        <f>VLOOKUP(R1873,[1]!NOMINA[#Data],4,FALSE)</f>
        <v>#REF!</v>
      </c>
      <c r="T1873" t="e">
        <f>VLOOKUP(R1873,[1]!NOMINA[#Data],5,FALSE)</f>
        <v>#REF!</v>
      </c>
    </row>
    <row r="1874" spans="1:20" x14ac:dyDescent="0.25">
      <c r="A1874" s="43">
        <v>45743</v>
      </c>
      <c r="B1874" s="1">
        <v>910491051</v>
      </c>
      <c r="C1874" t="s">
        <v>1743</v>
      </c>
      <c r="D1874" s="23">
        <v>-4122</v>
      </c>
      <c r="E1874" t="s">
        <v>35</v>
      </c>
      <c r="F1874" s="2">
        <v>212901001</v>
      </c>
      <c r="G1874" s="2" t="s">
        <v>91</v>
      </c>
      <c r="I1874" s="95" t="s">
        <v>7231</v>
      </c>
      <c r="J1874" t="s">
        <v>61</v>
      </c>
      <c r="K1874" s="49" t="s">
        <v>62</v>
      </c>
      <c r="L1874" s="49"/>
      <c r="M1874">
        <v>69.02</v>
      </c>
      <c r="N1874" s="4">
        <f t="shared" si="29"/>
        <v>-59.721819762387717</v>
      </c>
      <c r="O1874" t="s">
        <v>83</v>
      </c>
      <c r="R1874">
        <v>36</v>
      </c>
      <c r="S1874" t="e">
        <f>VLOOKUP(R1874,[1]!NOMINA[#Data],4,FALSE)</f>
        <v>#REF!</v>
      </c>
      <c r="T1874" t="e">
        <f>VLOOKUP(R1874,[1]!NOMINA[#Data],5,FALSE)</f>
        <v>#REF!</v>
      </c>
    </row>
    <row r="1875" spans="1:20" x14ac:dyDescent="0.25">
      <c r="A1875" s="43">
        <v>45743</v>
      </c>
      <c r="B1875" s="1">
        <v>810491048</v>
      </c>
      <c r="C1875" t="s">
        <v>1744</v>
      </c>
      <c r="D1875" s="23">
        <v>-4122</v>
      </c>
      <c r="E1875" t="s">
        <v>35</v>
      </c>
      <c r="F1875" s="2">
        <v>212901001</v>
      </c>
      <c r="G1875" s="2" t="s">
        <v>91</v>
      </c>
      <c r="I1875" s="95" t="s">
        <v>7231</v>
      </c>
      <c r="J1875" t="s">
        <v>61</v>
      </c>
      <c r="K1875" s="49" t="s">
        <v>62</v>
      </c>
      <c r="L1875" s="49"/>
      <c r="M1875">
        <v>69.02</v>
      </c>
      <c r="N1875" s="4">
        <f t="shared" si="29"/>
        <v>-59.721819762387717</v>
      </c>
      <c r="O1875" t="s">
        <v>83</v>
      </c>
      <c r="R1875">
        <v>19</v>
      </c>
      <c r="S1875" t="e">
        <f>VLOOKUP(R1875,[1]!NOMINA[#Data],4,FALSE)</f>
        <v>#REF!</v>
      </c>
      <c r="T1875" t="e">
        <f>VLOOKUP(R1875,[1]!NOMINA[#Data],5,FALSE)</f>
        <v>#REF!</v>
      </c>
    </row>
    <row r="1876" spans="1:20" x14ac:dyDescent="0.25">
      <c r="A1876" s="43">
        <v>45743</v>
      </c>
      <c r="B1876" s="1">
        <v>910491055</v>
      </c>
      <c r="C1876" t="s">
        <v>1745</v>
      </c>
      <c r="D1876" s="23">
        <v>-687</v>
      </c>
      <c r="E1876" t="s">
        <v>35</v>
      </c>
      <c r="F1876" s="2">
        <v>212901001</v>
      </c>
      <c r="G1876" s="2" t="s">
        <v>91</v>
      </c>
      <c r="I1876" s="95" t="s">
        <v>7231</v>
      </c>
      <c r="J1876" t="s">
        <v>61</v>
      </c>
      <c r="K1876" s="49" t="s">
        <v>62</v>
      </c>
      <c r="L1876" s="49"/>
      <c r="M1876">
        <v>69.02</v>
      </c>
      <c r="N1876" s="4">
        <f t="shared" si="29"/>
        <v>-9.9536366270646202</v>
      </c>
      <c r="O1876" t="s">
        <v>83</v>
      </c>
      <c r="R1876">
        <v>15</v>
      </c>
      <c r="S1876" t="e">
        <f>VLOOKUP(R1876,[1]!NOMINA[#Data],4,FALSE)</f>
        <v>#REF!</v>
      </c>
      <c r="T1876" t="e">
        <f>VLOOKUP(R1876,[1]!NOMINA[#Data],5,FALSE)</f>
        <v>#REF!</v>
      </c>
    </row>
    <row r="1877" spans="1:20" x14ac:dyDescent="0.25">
      <c r="A1877" s="43">
        <v>45743</v>
      </c>
      <c r="B1877" s="1">
        <v>910491052</v>
      </c>
      <c r="C1877" t="s">
        <v>1746</v>
      </c>
      <c r="D1877" s="23">
        <v>-687</v>
      </c>
      <c r="E1877" t="s">
        <v>35</v>
      </c>
      <c r="F1877" s="2">
        <v>212901001</v>
      </c>
      <c r="G1877" s="2" t="s">
        <v>91</v>
      </c>
      <c r="I1877" s="95" t="s">
        <v>7231</v>
      </c>
      <c r="J1877" t="s">
        <v>61</v>
      </c>
      <c r="K1877" s="49" t="s">
        <v>62</v>
      </c>
      <c r="L1877" s="49"/>
      <c r="M1877">
        <v>69.02</v>
      </c>
      <c r="N1877" s="4">
        <f t="shared" si="29"/>
        <v>-9.9536366270646202</v>
      </c>
      <c r="O1877" t="s">
        <v>83</v>
      </c>
      <c r="R1877">
        <v>14</v>
      </c>
      <c r="S1877" t="e">
        <f>VLOOKUP(R1877,[1]!NOMINA[#Data],4,FALSE)</f>
        <v>#REF!</v>
      </c>
      <c r="T1877" t="e">
        <f>VLOOKUP(R1877,[1]!NOMINA[#Data],5,FALSE)</f>
        <v>#REF!</v>
      </c>
    </row>
    <row r="1878" spans="1:20" x14ac:dyDescent="0.25">
      <c r="A1878" s="43">
        <v>45743</v>
      </c>
      <c r="B1878" s="1">
        <v>910491056</v>
      </c>
      <c r="C1878" t="s">
        <v>1747</v>
      </c>
      <c r="D1878" s="23">
        <v>-687</v>
      </c>
      <c r="E1878" t="s">
        <v>35</v>
      </c>
      <c r="F1878" s="2">
        <v>212901001</v>
      </c>
      <c r="G1878" s="2" t="s">
        <v>91</v>
      </c>
      <c r="I1878" s="95" t="s">
        <v>7231</v>
      </c>
      <c r="J1878" t="s">
        <v>61</v>
      </c>
      <c r="K1878" s="49" t="s">
        <v>62</v>
      </c>
      <c r="L1878" s="49"/>
      <c r="M1878">
        <v>69.02</v>
      </c>
      <c r="N1878" s="4">
        <f t="shared" si="29"/>
        <v>-9.9536366270646202</v>
      </c>
      <c r="O1878" t="s">
        <v>83</v>
      </c>
      <c r="R1878">
        <v>8</v>
      </c>
      <c r="S1878" t="e">
        <f>VLOOKUP(R1878,[1]!NOMINA[#Data],4,FALSE)</f>
        <v>#REF!</v>
      </c>
      <c r="T1878" t="e">
        <f>VLOOKUP(R1878,[1]!NOMINA[#Data],5,FALSE)</f>
        <v>#REF!</v>
      </c>
    </row>
    <row r="1879" spans="1:20" x14ac:dyDescent="0.25">
      <c r="A1879" s="43">
        <v>45743</v>
      </c>
      <c r="B1879" s="1">
        <v>910491058</v>
      </c>
      <c r="C1879" t="s">
        <v>1748</v>
      </c>
      <c r="D1879" s="23">
        <v>-13740</v>
      </c>
      <c r="E1879" t="s">
        <v>35</v>
      </c>
      <c r="F1879" s="2">
        <v>212901001</v>
      </c>
      <c r="G1879" s="2" t="s">
        <v>91</v>
      </c>
      <c r="I1879" s="95" t="s">
        <v>7231</v>
      </c>
      <c r="J1879" t="s">
        <v>61</v>
      </c>
      <c r="K1879" s="49" t="s">
        <v>62</v>
      </c>
      <c r="L1879" s="49"/>
      <c r="M1879">
        <v>69.02</v>
      </c>
      <c r="N1879" s="4">
        <f t="shared" si="29"/>
        <v>-199.0727325412924</v>
      </c>
      <c r="O1879" t="s">
        <v>83</v>
      </c>
      <c r="R1879">
        <v>1</v>
      </c>
      <c r="S1879" t="e">
        <f>VLOOKUP(R1879,[1]!NOMINA[#Data],4,FALSE)</f>
        <v>#REF!</v>
      </c>
      <c r="T1879" t="e">
        <f>VLOOKUP(R1879,[1]!NOMINA[#Data],5,FALSE)</f>
        <v>#REF!</v>
      </c>
    </row>
    <row r="1880" spans="1:20" x14ac:dyDescent="0.25">
      <c r="A1880" s="43">
        <v>45743</v>
      </c>
      <c r="B1880" s="1">
        <v>910491059</v>
      </c>
      <c r="C1880" t="s">
        <v>1749</v>
      </c>
      <c r="D1880" s="23">
        <v>-4122</v>
      </c>
      <c r="E1880" t="s">
        <v>35</v>
      </c>
      <c r="F1880" s="2">
        <v>212901001</v>
      </c>
      <c r="G1880" s="2" t="s">
        <v>91</v>
      </c>
      <c r="I1880" s="95" t="s">
        <v>7231</v>
      </c>
      <c r="J1880" t="s">
        <v>61</v>
      </c>
      <c r="K1880" s="49" t="s">
        <v>62</v>
      </c>
      <c r="L1880" s="49"/>
      <c r="M1880">
        <v>69.02</v>
      </c>
      <c r="N1880" s="4">
        <f t="shared" si="29"/>
        <v>-59.721819762387717</v>
      </c>
      <c r="O1880" t="s">
        <v>83</v>
      </c>
      <c r="R1880">
        <v>43</v>
      </c>
      <c r="S1880" t="e">
        <f>VLOOKUP(R1880,[1]!NOMINA[#Data],4,FALSE)</f>
        <v>#REF!</v>
      </c>
      <c r="T1880" t="e">
        <f>VLOOKUP(R1880,[1]!NOMINA[#Data],5,FALSE)</f>
        <v>#REF!</v>
      </c>
    </row>
    <row r="1881" spans="1:20" x14ac:dyDescent="0.25">
      <c r="A1881" s="43">
        <v>45743</v>
      </c>
      <c r="B1881" s="1">
        <v>910491057</v>
      </c>
      <c r="C1881" t="s">
        <v>1750</v>
      </c>
      <c r="D1881" s="23">
        <v>-687</v>
      </c>
      <c r="E1881" t="s">
        <v>35</v>
      </c>
      <c r="F1881" s="2">
        <v>212901001</v>
      </c>
      <c r="G1881" s="2" t="s">
        <v>91</v>
      </c>
      <c r="I1881" s="95" t="s">
        <v>7231</v>
      </c>
      <c r="J1881" t="s">
        <v>61</v>
      </c>
      <c r="K1881" s="49" t="s">
        <v>62</v>
      </c>
      <c r="L1881" s="49"/>
      <c r="M1881">
        <v>69.02</v>
      </c>
      <c r="N1881" s="4">
        <f t="shared" si="29"/>
        <v>-9.9536366270646202</v>
      </c>
      <c r="O1881" t="s">
        <v>83</v>
      </c>
      <c r="R1881">
        <v>13</v>
      </c>
      <c r="S1881" t="e">
        <f>VLOOKUP(R1881,[1]!NOMINA[#Data],4,FALSE)</f>
        <v>#REF!</v>
      </c>
      <c r="T1881" t="e">
        <f>VLOOKUP(R1881,[1]!NOMINA[#Data],5,FALSE)</f>
        <v>#REF!</v>
      </c>
    </row>
    <row r="1882" spans="1:20" x14ac:dyDescent="0.25">
      <c r="A1882" s="43">
        <v>45743</v>
      </c>
      <c r="B1882" s="1">
        <v>10491060</v>
      </c>
      <c r="C1882" t="s">
        <v>1751</v>
      </c>
      <c r="D1882" s="23">
        <v>-687</v>
      </c>
      <c r="E1882" t="s">
        <v>35</v>
      </c>
      <c r="F1882" s="2">
        <v>212901001</v>
      </c>
      <c r="G1882" s="2" t="s">
        <v>91</v>
      </c>
      <c r="I1882" s="95" t="s">
        <v>7231</v>
      </c>
      <c r="J1882" t="s">
        <v>61</v>
      </c>
      <c r="K1882" s="49" t="s">
        <v>62</v>
      </c>
      <c r="L1882" s="49"/>
      <c r="M1882">
        <v>69.02</v>
      </c>
      <c r="N1882" s="4">
        <f t="shared" si="29"/>
        <v>-9.9536366270646202</v>
      </c>
      <c r="O1882" t="s">
        <v>83</v>
      </c>
      <c r="R1882">
        <v>12</v>
      </c>
      <c r="S1882" t="e">
        <f>VLOOKUP(R1882,[1]!NOMINA[#Data],4,FALSE)</f>
        <v>#REF!</v>
      </c>
      <c r="T1882" t="e">
        <f>VLOOKUP(R1882,[1]!NOMINA[#Data],5,FALSE)</f>
        <v>#REF!</v>
      </c>
    </row>
    <row r="1883" spans="1:20" x14ac:dyDescent="0.25">
      <c r="A1883" s="43">
        <v>45743</v>
      </c>
      <c r="B1883" s="1">
        <v>10491061</v>
      </c>
      <c r="C1883" t="s">
        <v>1752</v>
      </c>
      <c r="D1883" s="23">
        <v>-687</v>
      </c>
      <c r="E1883" t="s">
        <v>35</v>
      </c>
      <c r="F1883" s="2">
        <v>212901001</v>
      </c>
      <c r="G1883" s="2" t="s">
        <v>91</v>
      </c>
      <c r="I1883" s="95" t="s">
        <v>7231</v>
      </c>
      <c r="J1883" t="s">
        <v>61</v>
      </c>
      <c r="K1883" s="49" t="s">
        <v>62</v>
      </c>
      <c r="L1883" s="49"/>
      <c r="M1883">
        <v>69.02</v>
      </c>
      <c r="N1883" s="4">
        <f t="shared" si="29"/>
        <v>-9.9536366270646202</v>
      </c>
      <c r="O1883" t="s">
        <v>83</v>
      </c>
      <c r="R1883">
        <v>16</v>
      </c>
      <c r="S1883" t="e">
        <f>VLOOKUP(Tabla3[[#This Row],[Nº]],[1]!NOMINA[#Data],4,FALSE)</f>
        <v>#REF!</v>
      </c>
      <c r="T1883" t="e">
        <f>VLOOKUP(Tabla3[[#This Row],[Nº]],[1]!NOMINA[#Data],5,FALSE)</f>
        <v>#REF!</v>
      </c>
    </row>
    <row r="1884" spans="1:20" x14ac:dyDescent="0.25">
      <c r="A1884" s="43">
        <v>45743</v>
      </c>
      <c r="B1884" s="1">
        <v>10491064</v>
      </c>
      <c r="C1884" t="s">
        <v>1753</v>
      </c>
      <c r="D1884" s="23">
        <v>-4122</v>
      </c>
      <c r="E1884" t="s">
        <v>35</v>
      </c>
      <c r="F1884" s="2">
        <v>212901001</v>
      </c>
      <c r="G1884" s="2" t="s">
        <v>91</v>
      </c>
      <c r="I1884" s="95" t="s">
        <v>7231</v>
      </c>
      <c r="J1884" t="s">
        <v>61</v>
      </c>
      <c r="K1884" s="49" t="s">
        <v>62</v>
      </c>
      <c r="L1884" s="49"/>
      <c r="M1884">
        <v>69.02</v>
      </c>
      <c r="N1884" s="4">
        <f t="shared" si="29"/>
        <v>-59.721819762387717</v>
      </c>
      <c r="O1884" t="s">
        <v>83</v>
      </c>
      <c r="R1884">
        <v>3</v>
      </c>
      <c r="S1884" t="e">
        <f>VLOOKUP(R1884,[1]!NOMINA[#Data],4,FALSE)</f>
        <v>#REF!</v>
      </c>
      <c r="T1884" t="e">
        <f>VLOOKUP(R1884,[1]!NOMINA[#Data],5,FALSE)</f>
        <v>#REF!</v>
      </c>
    </row>
    <row r="1885" spans="1:20" x14ac:dyDescent="0.25">
      <c r="A1885" s="43">
        <v>45743</v>
      </c>
      <c r="B1885" s="1">
        <v>10491062</v>
      </c>
      <c r="C1885" t="s">
        <v>1754</v>
      </c>
      <c r="D1885" s="23">
        <v>-687</v>
      </c>
      <c r="E1885" t="s">
        <v>35</v>
      </c>
      <c r="F1885" s="2">
        <v>212901001</v>
      </c>
      <c r="G1885" s="2" t="s">
        <v>91</v>
      </c>
      <c r="I1885" s="95" t="s">
        <v>7231</v>
      </c>
      <c r="J1885" t="s">
        <v>61</v>
      </c>
      <c r="K1885" s="49" t="s">
        <v>62</v>
      </c>
      <c r="L1885" s="49"/>
      <c r="M1885">
        <v>69.02</v>
      </c>
      <c r="N1885" s="4">
        <f t="shared" si="29"/>
        <v>-9.9536366270646202</v>
      </c>
      <c r="O1885" t="s">
        <v>83</v>
      </c>
      <c r="R1885">
        <v>6</v>
      </c>
      <c r="S1885" t="e">
        <f>VLOOKUP(R1885,[1]!NOMINA[#Data],4,FALSE)</f>
        <v>#REF!</v>
      </c>
      <c r="T1885" t="e">
        <f>VLOOKUP(R1885,[1]!NOMINA[#Data],5,FALSE)</f>
        <v>#REF!</v>
      </c>
    </row>
    <row r="1886" spans="1:20" x14ac:dyDescent="0.25">
      <c r="A1886" s="43">
        <v>45743</v>
      </c>
      <c r="B1886" s="1">
        <v>10491065</v>
      </c>
      <c r="C1886" t="s">
        <v>1755</v>
      </c>
      <c r="D1886" s="23">
        <v>-687</v>
      </c>
      <c r="E1886" t="s">
        <v>35</v>
      </c>
      <c r="F1886" s="2">
        <v>212901001</v>
      </c>
      <c r="G1886" s="2" t="s">
        <v>91</v>
      </c>
      <c r="I1886" s="95" t="s">
        <v>7231</v>
      </c>
      <c r="J1886" t="s">
        <v>61</v>
      </c>
      <c r="K1886" s="49" t="s">
        <v>62</v>
      </c>
      <c r="L1886" s="49"/>
      <c r="M1886">
        <v>69.02</v>
      </c>
      <c r="N1886" s="4">
        <f t="shared" si="29"/>
        <v>-9.9536366270646202</v>
      </c>
      <c r="O1886" t="s">
        <v>83</v>
      </c>
      <c r="R1886">
        <v>7</v>
      </c>
      <c r="S1886" t="e">
        <f>VLOOKUP(R1886,[1]!NOMINA[#Data],4,FALSE)</f>
        <v>#REF!</v>
      </c>
      <c r="T1886" t="e">
        <f>VLOOKUP(R1886,[1]!NOMINA[#Data],5,FALSE)</f>
        <v>#REF!</v>
      </c>
    </row>
    <row r="1887" spans="1:20" x14ac:dyDescent="0.25">
      <c r="A1887" s="43">
        <v>45743</v>
      </c>
      <c r="B1887" s="1">
        <v>10491063</v>
      </c>
      <c r="C1887" t="s">
        <v>1756</v>
      </c>
      <c r="D1887" s="23">
        <v>-687</v>
      </c>
      <c r="E1887" t="s">
        <v>35</v>
      </c>
      <c r="F1887" s="2">
        <v>212901001</v>
      </c>
      <c r="G1887" s="2" t="s">
        <v>91</v>
      </c>
      <c r="I1887" s="95" t="s">
        <v>7231</v>
      </c>
      <c r="J1887" t="s">
        <v>61</v>
      </c>
      <c r="K1887" s="49" t="s">
        <v>62</v>
      </c>
      <c r="L1887" s="49"/>
      <c r="M1887">
        <v>69.02</v>
      </c>
      <c r="N1887" s="4">
        <f t="shared" si="29"/>
        <v>-9.9536366270646202</v>
      </c>
      <c r="O1887" t="s">
        <v>83</v>
      </c>
      <c r="R1887">
        <v>37</v>
      </c>
      <c r="S1887" t="e">
        <f>VLOOKUP(Tabla3[[#This Row],[Nº]],[1]!NOMINA[#Data],4,FALSE)</f>
        <v>#REF!</v>
      </c>
      <c r="T1887" t="e">
        <f>VLOOKUP(Tabla3[[#This Row],[Nº]],[1]!NOMINA[#Data],5,FALSE)</f>
        <v>#REF!</v>
      </c>
    </row>
    <row r="1888" spans="1:20" x14ac:dyDescent="0.25">
      <c r="A1888" s="43">
        <v>45743</v>
      </c>
      <c r="B1888" s="1">
        <v>10491067</v>
      </c>
      <c r="C1888" t="s">
        <v>1757</v>
      </c>
      <c r="D1888" s="23">
        <v>-687</v>
      </c>
      <c r="E1888" t="s">
        <v>35</v>
      </c>
      <c r="F1888" s="2">
        <v>212901001</v>
      </c>
      <c r="G1888" s="2" t="s">
        <v>91</v>
      </c>
      <c r="I1888" s="95" t="s">
        <v>7231</v>
      </c>
      <c r="J1888" t="s">
        <v>61</v>
      </c>
      <c r="K1888" s="49" t="s">
        <v>62</v>
      </c>
      <c r="L1888" s="49"/>
      <c r="M1888">
        <v>69.02</v>
      </c>
      <c r="N1888" s="4">
        <f t="shared" si="29"/>
        <v>-9.9536366270646202</v>
      </c>
      <c r="O1888" t="s">
        <v>83</v>
      </c>
      <c r="R1888">
        <v>11</v>
      </c>
      <c r="S1888" t="e">
        <f>VLOOKUP(R1888,[1]!NOMINA[#Data],4,FALSE)</f>
        <v>#REF!</v>
      </c>
      <c r="T1888" t="e">
        <f>VLOOKUP(R1888,[1]!NOMINA[#Data],5,FALSE)</f>
        <v>#REF!</v>
      </c>
    </row>
    <row r="1889" spans="1:20" x14ac:dyDescent="0.25">
      <c r="A1889" s="43">
        <v>45743</v>
      </c>
      <c r="B1889" s="1">
        <v>10491066</v>
      </c>
      <c r="C1889" t="s">
        <v>1758</v>
      </c>
      <c r="D1889" s="23">
        <v>-687</v>
      </c>
      <c r="E1889" t="s">
        <v>35</v>
      </c>
      <c r="F1889" s="2">
        <v>212901001</v>
      </c>
      <c r="G1889" s="2" t="s">
        <v>91</v>
      </c>
      <c r="I1889" s="95" t="s">
        <v>7231</v>
      </c>
      <c r="J1889" t="s">
        <v>61</v>
      </c>
      <c r="K1889" s="49" t="s">
        <v>62</v>
      </c>
      <c r="L1889" s="49"/>
      <c r="M1889">
        <v>69.02</v>
      </c>
      <c r="N1889" s="4">
        <f t="shared" si="29"/>
        <v>-9.9536366270646202</v>
      </c>
      <c r="O1889" t="s">
        <v>83</v>
      </c>
      <c r="R1889">
        <v>10</v>
      </c>
      <c r="S1889" t="e">
        <f>VLOOKUP(R1889,[1]!NOMINA[#Data],4,FALSE)</f>
        <v>#REF!</v>
      </c>
      <c r="T1889" t="e">
        <f>VLOOKUP(R1889,[1]!NOMINA[#Data],5,FALSE)</f>
        <v>#REF!</v>
      </c>
    </row>
    <row r="1890" spans="1:20" x14ac:dyDescent="0.25">
      <c r="A1890" s="43">
        <v>45743</v>
      </c>
      <c r="B1890" s="1">
        <v>10491068</v>
      </c>
      <c r="C1890" t="s">
        <v>1759</v>
      </c>
      <c r="D1890" s="23">
        <v>-687</v>
      </c>
      <c r="E1890" t="s">
        <v>35</v>
      </c>
      <c r="F1890" s="2">
        <v>212901001</v>
      </c>
      <c r="G1890" s="2" t="s">
        <v>91</v>
      </c>
      <c r="I1890" s="95" t="s">
        <v>7231</v>
      </c>
      <c r="J1890" t="s">
        <v>61</v>
      </c>
      <c r="K1890" s="49" t="s">
        <v>62</v>
      </c>
      <c r="L1890" s="49"/>
      <c r="M1890">
        <v>69.02</v>
      </c>
      <c r="N1890" s="4">
        <f t="shared" si="29"/>
        <v>-9.9536366270646202</v>
      </c>
      <c r="O1890" t="s">
        <v>83</v>
      </c>
      <c r="R1890">
        <v>38</v>
      </c>
      <c r="S1890" t="e">
        <f>VLOOKUP(R1890,[1]!NOMINA[#Data],4,FALSE)</f>
        <v>#REF!</v>
      </c>
      <c r="T1890" t="e">
        <f>VLOOKUP(R1890,[1]!NOMINA[#Data],5,FALSE)</f>
        <v>#REF!</v>
      </c>
    </row>
    <row r="1891" spans="1:20" x14ac:dyDescent="0.25">
      <c r="A1891" s="43">
        <v>45743</v>
      </c>
      <c r="B1891" s="1">
        <v>10491070</v>
      </c>
      <c r="C1891" t="s">
        <v>1760</v>
      </c>
      <c r="D1891" s="23">
        <v>-687</v>
      </c>
      <c r="E1891" t="s">
        <v>35</v>
      </c>
      <c r="F1891" s="2">
        <v>212901001</v>
      </c>
      <c r="G1891" s="2" t="s">
        <v>91</v>
      </c>
      <c r="I1891" s="95" t="s">
        <v>7231</v>
      </c>
      <c r="J1891" t="s">
        <v>61</v>
      </c>
      <c r="K1891" s="49" t="s">
        <v>62</v>
      </c>
      <c r="L1891" s="49"/>
      <c r="M1891">
        <v>69.02</v>
      </c>
      <c r="N1891" s="4">
        <f t="shared" si="29"/>
        <v>-9.9536366270646202</v>
      </c>
      <c r="O1891" t="s">
        <v>83</v>
      </c>
      <c r="R1891">
        <v>9</v>
      </c>
      <c r="S1891" t="e">
        <f>VLOOKUP(R1891,[1]!NOMINA[#Data],4,FALSE)</f>
        <v>#REF!</v>
      </c>
      <c r="T1891" t="e">
        <f>VLOOKUP(R1891,[1]!NOMINA[#Data],5,FALSE)</f>
        <v>#REF!</v>
      </c>
    </row>
    <row r="1892" spans="1:20" x14ac:dyDescent="0.25">
      <c r="A1892" s="43">
        <v>45743</v>
      </c>
      <c r="B1892" s="1">
        <v>10491071</v>
      </c>
      <c r="C1892" t="s">
        <v>1761</v>
      </c>
      <c r="D1892" s="23">
        <v>-3435</v>
      </c>
      <c r="E1892" t="s">
        <v>35</v>
      </c>
      <c r="F1892" s="2">
        <v>212901001</v>
      </c>
      <c r="G1892" s="2" t="s">
        <v>91</v>
      </c>
      <c r="I1892" s="95" t="s">
        <v>7231</v>
      </c>
      <c r="J1892" t="s">
        <v>61</v>
      </c>
      <c r="K1892" s="49" t="s">
        <v>62</v>
      </c>
      <c r="L1892" s="49"/>
      <c r="M1892">
        <v>69.02</v>
      </c>
      <c r="N1892" s="4">
        <f t="shared" si="29"/>
        <v>-49.768183135323099</v>
      </c>
      <c r="O1892" t="s">
        <v>83</v>
      </c>
    </row>
    <row r="1893" spans="1:20" x14ac:dyDescent="0.25">
      <c r="A1893" s="43">
        <v>45743</v>
      </c>
      <c r="B1893" s="1">
        <v>10491069</v>
      </c>
      <c r="C1893" t="s">
        <v>1762</v>
      </c>
      <c r="D1893" s="23">
        <v>-687</v>
      </c>
      <c r="E1893" t="s">
        <v>35</v>
      </c>
      <c r="F1893" s="2">
        <v>212901001</v>
      </c>
      <c r="G1893" s="2" t="s">
        <v>91</v>
      </c>
      <c r="I1893" s="95" t="s">
        <v>7231</v>
      </c>
      <c r="J1893" t="s">
        <v>61</v>
      </c>
      <c r="K1893" s="49" t="s">
        <v>62</v>
      </c>
      <c r="L1893" s="49"/>
      <c r="M1893">
        <v>69.02</v>
      </c>
      <c r="N1893" s="4">
        <f t="shared" si="29"/>
        <v>-9.9536366270646202</v>
      </c>
      <c r="O1893" t="s">
        <v>83</v>
      </c>
      <c r="R1893">
        <v>18</v>
      </c>
      <c r="S1893" t="e">
        <f>VLOOKUP(Tabla3[[#This Row],[Nº]],[1]!NOMINA[#Data],4,FALSE)</f>
        <v>#REF!</v>
      </c>
      <c r="T1893" t="e">
        <f>VLOOKUP(Tabla3[[#This Row],[Nº]],[1]!NOMINA[#Data],5,FALSE)</f>
        <v>#REF!</v>
      </c>
    </row>
    <row r="1894" spans="1:20" x14ac:dyDescent="0.25">
      <c r="A1894" s="43">
        <v>45743</v>
      </c>
      <c r="B1894" s="1">
        <v>110491074</v>
      </c>
      <c r="C1894" t="s">
        <v>1763</v>
      </c>
      <c r="D1894" s="23">
        <v>-3435</v>
      </c>
      <c r="E1894" t="s">
        <v>35</v>
      </c>
      <c r="F1894" s="2">
        <v>212901001</v>
      </c>
      <c r="G1894" s="2" t="s">
        <v>91</v>
      </c>
      <c r="I1894" s="95" t="s">
        <v>7231</v>
      </c>
      <c r="J1894" t="s">
        <v>61</v>
      </c>
      <c r="K1894" s="49" t="s">
        <v>62</v>
      </c>
      <c r="L1894" s="49"/>
      <c r="M1894">
        <v>69.02</v>
      </c>
      <c r="N1894" s="4">
        <f t="shared" si="29"/>
        <v>-49.768183135323099</v>
      </c>
      <c r="O1894" t="s">
        <v>83</v>
      </c>
    </row>
    <row r="1895" spans="1:20" x14ac:dyDescent="0.25">
      <c r="A1895" s="43">
        <v>45743</v>
      </c>
      <c r="B1895" s="1">
        <v>10491073</v>
      </c>
      <c r="C1895" t="s">
        <v>1764</v>
      </c>
      <c r="D1895" s="23">
        <v>-3435</v>
      </c>
      <c r="E1895" t="s">
        <v>35</v>
      </c>
      <c r="F1895" s="2">
        <v>212901001</v>
      </c>
      <c r="G1895" s="2" t="s">
        <v>91</v>
      </c>
      <c r="I1895" s="95" t="s">
        <v>7231</v>
      </c>
      <c r="J1895" t="s">
        <v>61</v>
      </c>
      <c r="K1895" s="49" t="s">
        <v>62</v>
      </c>
      <c r="L1895" s="49"/>
      <c r="M1895">
        <v>69.02</v>
      </c>
      <c r="N1895" s="4">
        <f t="shared" si="29"/>
        <v>-49.768183135323099</v>
      </c>
      <c r="O1895" t="s">
        <v>83</v>
      </c>
    </row>
    <row r="1896" spans="1:20" x14ac:dyDescent="0.25">
      <c r="A1896" s="43">
        <v>45743</v>
      </c>
      <c r="B1896" s="1">
        <v>110491075</v>
      </c>
      <c r="C1896" t="s">
        <v>1765</v>
      </c>
      <c r="D1896" s="23">
        <v>-1374</v>
      </c>
      <c r="E1896" t="s">
        <v>35</v>
      </c>
      <c r="F1896" s="2">
        <v>212901001</v>
      </c>
      <c r="G1896" s="2" t="s">
        <v>91</v>
      </c>
      <c r="I1896" s="95" t="s">
        <v>7231</v>
      </c>
      <c r="J1896" t="s">
        <v>61</v>
      </c>
      <c r="K1896" s="49" t="s">
        <v>62</v>
      </c>
      <c r="L1896" s="49"/>
      <c r="M1896">
        <v>69.02</v>
      </c>
      <c r="N1896" s="4">
        <f t="shared" si="29"/>
        <v>-19.90727325412924</v>
      </c>
      <c r="O1896" t="s">
        <v>83</v>
      </c>
      <c r="R1896">
        <v>4</v>
      </c>
      <c r="S1896" t="e">
        <f>VLOOKUP(R1896,[1]!NOMINA[#Data],4,FALSE)</f>
        <v>#REF!</v>
      </c>
      <c r="T1896" t="e">
        <f>VLOOKUP(R1896,[1]!NOMINA[#Data],5,FALSE)</f>
        <v>#REF!</v>
      </c>
    </row>
    <row r="1897" spans="1:20" x14ac:dyDescent="0.25">
      <c r="A1897" s="43">
        <v>45743</v>
      </c>
      <c r="B1897" s="1">
        <v>110491077</v>
      </c>
      <c r="C1897" t="s">
        <v>1766</v>
      </c>
      <c r="D1897" s="23">
        <v>-2748</v>
      </c>
      <c r="E1897" t="s">
        <v>35</v>
      </c>
      <c r="F1897" s="2">
        <v>212901001</v>
      </c>
      <c r="G1897" s="2" t="s">
        <v>91</v>
      </c>
      <c r="I1897" s="95" t="s">
        <v>7231</v>
      </c>
      <c r="J1897" t="s">
        <v>61</v>
      </c>
      <c r="K1897" s="49" t="s">
        <v>62</v>
      </c>
      <c r="L1897" s="49"/>
      <c r="M1897">
        <v>69.02</v>
      </c>
      <c r="N1897" s="4">
        <f t="shared" si="29"/>
        <v>-39.814546508258481</v>
      </c>
      <c r="O1897" t="s">
        <v>83</v>
      </c>
      <c r="R1897">
        <v>18</v>
      </c>
      <c r="S1897" t="e">
        <f>VLOOKUP(Tabla3[[#This Row],[Nº]],[1]!NOMINA[#Data],4,FALSE)</f>
        <v>#REF!</v>
      </c>
      <c r="T1897" t="e">
        <f>VLOOKUP(Tabla3[[#This Row],[Nº]],[1]!NOMINA[#Data],5,FALSE)</f>
        <v>#REF!</v>
      </c>
    </row>
    <row r="1898" spans="1:20" x14ac:dyDescent="0.25">
      <c r="A1898" s="43">
        <v>45743</v>
      </c>
      <c r="B1898" s="1">
        <v>110491076</v>
      </c>
      <c r="C1898" t="s">
        <v>1767</v>
      </c>
      <c r="D1898" s="23">
        <v>-2748</v>
      </c>
      <c r="E1898" t="s">
        <v>35</v>
      </c>
      <c r="F1898" s="2">
        <v>212901001</v>
      </c>
      <c r="G1898" s="2" t="s">
        <v>91</v>
      </c>
      <c r="I1898" s="95" t="s">
        <v>7231</v>
      </c>
      <c r="J1898" t="s">
        <v>61</v>
      </c>
      <c r="K1898" s="49" t="s">
        <v>62</v>
      </c>
      <c r="L1898" s="49"/>
      <c r="M1898">
        <v>69.02</v>
      </c>
      <c r="N1898" s="4">
        <f t="shared" si="29"/>
        <v>-39.814546508258481</v>
      </c>
      <c r="O1898" t="s">
        <v>83</v>
      </c>
      <c r="R1898">
        <v>29</v>
      </c>
      <c r="S1898" t="e">
        <f>VLOOKUP(R1898,[1]!NOMINA[#Data],4,FALSE)</f>
        <v>#REF!</v>
      </c>
      <c r="T1898" t="e">
        <f>VLOOKUP(R1898,[1]!NOMINA[#Data],5,FALSE)</f>
        <v>#REF!</v>
      </c>
    </row>
    <row r="1899" spans="1:20" x14ac:dyDescent="0.25">
      <c r="A1899" s="43">
        <v>45743</v>
      </c>
      <c r="B1899" s="1">
        <v>110491078</v>
      </c>
      <c r="C1899" t="s">
        <v>1768</v>
      </c>
      <c r="D1899" s="23">
        <v>-2748</v>
      </c>
      <c r="E1899" t="s">
        <v>35</v>
      </c>
      <c r="F1899" s="2">
        <v>212901001</v>
      </c>
      <c r="G1899" s="2" t="s">
        <v>91</v>
      </c>
      <c r="I1899" s="95" t="s">
        <v>7231</v>
      </c>
      <c r="J1899" t="s">
        <v>61</v>
      </c>
      <c r="K1899" s="49" t="s">
        <v>62</v>
      </c>
      <c r="L1899" s="49"/>
      <c r="M1899">
        <v>69.02</v>
      </c>
      <c r="N1899" s="4">
        <f t="shared" si="29"/>
        <v>-39.814546508258481</v>
      </c>
      <c r="O1899" t="s">
        <v>83</v>
      </c>
      <c r="R1899">
        <v>44</v>
      </c>
      <c r="S1899" t="e">
        <f>VLOOKUP(R1899,[1]!NOMINA[#Data],4,FALSE)</f>
        <v>#REF!</v>
      </c>
      <c r="T1899" t="e">
        <f>VLOOKUP(R1899,[1]!NOMINA[#Data],5,FALSE)</f>
        <v>#REF!</v>
      </c>
    </row>
    <row r="1900" spans="1:20" x14ac:dyDescent="0.25">
      <c r="A1900" s="43">
        <v>45743</v>
      </c>
      <c r="B1900" s="1">
        <v>50385808</v>
      </c>
      <c r="C1900" t="s">
        <v>1769</v>
      </c>
      <c r="D1900" s="23">
        <v>-12285.47</v>
      </c>
      <c r="E1900" t="s">
        <v>35</v>
      </c>
      <c r="F1900" s="2">
        <v>212901001</v>
      </c>
      <c r="G1900" s="2" t="s">
        <v>91</v>
      </c>
      <c r="I1900" s="95" t="s">
        <v>7231</v>
      </c>
      <c r="J1900" t="s">
        <v>61</v>
      </c>
      <c r="K1900" s="49" t="s">
        <v>62</v>
      </c>
      <c r="L1900" s="49"/>
      <c r="M1900">
        <v>69.02</v>
      </c>
      <c r="N1900" s="4">
        <f t="shared" si="29"/>
        <v>-177.99869603013619</v>
      </c>
      <c r="O1900" t="s">
        <v>83</v>
      </c>
      <c r="R1900">
        <v>40</v>
      </c>
      <c r="S1900" t="e">
        <f>VLOOKUP(R1900,[1]!NOMINA[#Data],4,FALSE)</f>
        <v>#REF!</v>
      </c>
      <c r="T1900" t="e">
        <f>VLOOKUP(R1900,[1]!NOMINA[#Data],5,FALSE)</f>
        <v>#REF!</v>
      </c>
    </row>
    <row r="1901" spans="1:20" x14ac:dyDescent="0.25">
      <c r="A1901" s="43">
        <v>45743</v>
      </c>
      <c r="B1901" s="1">
        <v>50385808</v>
      </c>
      <c r="C1901" t="s">
        <v>179</v>
      </c>
      <c r="D1901" s="23">
        <v>-18.420000000000002</v>
      </c>
      <c r="E1901" t="s">
        <v>35</v>
      </c>
      <c r="F1901" s="2">
        <v>610148001</v>
      </c>
      <c r="G1901" s="2" t="s">
        <v>41</v>
      </c>
      <c r="I1901" s="95" t="s">
        <v>7231</v>
      </c>
      <c r="J1901" t="s">
        <v>42</v>
      </c>
      <c r="K1901" t="s">
        <v>41</v>
      </c>
      <c r="M1901">
        <v>69.02</v>
      </c>
      <c r="N1901" s="4">
        <f t="shared" si="29"/>
        <v>-0.26687916545928719</v>
      </c>
      <c r="O1901" t="s">
        <v>83</v>
      </c>
      <c r="P1901" s="24" t="s">
        <v>1310</v>
      </c>
    </row>
    <row r="1902" spans="1:20" x14ac:dyDescent="0.25">
      <c r="A1902" s="43">
        <v>45743</v>
      </c>
      <c r="B1902" s="1">
        <v>50385808</v>
      </c>
      <c r="C1902" t="s">
        <v>89</v>
      </c>
      <c r="D1902" s="23">
        <v>-1056.24</v>
      </c>
      <c r="E1902" t="s">
        <v>35</v>
      </c>
      <c r="F1902" s="2">
        <v>610148001</v>
      </c>
      <c r="G1902" s="2" t="s">
        <v>41</v>
      </c>
      <c r="I1902" s="95" t="s">
        <v>7231</v>
      </c>
      <c r="J1902" t="s">
        <v>42</v>
      </c>
      <c r="K1902" t="s">
        <v>41</v>
      </c>
      <c r="M1902">
        <v>69.02</v>
      </c>
      <c r="N1902" s="4">
        <f t="shared" si="29"/>
        <v>-15.303390321645901</v>
      </c>
      <c r="O1902" t="s">
        <v>83</v>
      </c>
      <c r="P1902" s="24" t="s">
        <v>1310</v>
      </c>
    </row>
    <row r="1903" spans="1:20" x14ac:dyDescent="0.25">
      <c r="A1903" s="43">
        <v>45744</v>
      </c>
      <c r="B1903" s="1">
        <v>60730598</v>
      </c>
      <c r="C1903" t="s">
        <v>498</v>
      </c>
      <c r="D1903" s="23">
        <v>-104.16</v>
      </c>
      <c r="E1903" t="s">
        <v>35</v>
      </c>
      <c r="F1903" s="2">
        <v>610148001</v>
      </c>
      <c r="G1903" s="2" t="s">
        <v>41</v>
      </c>
      <c r="I1903" s="95" t="s">
        <v>7231</v>
      </c>
      <c r="J1903" t="s">
        <v>42</v>
      </c>
      <c r="K1903" t="s">
        <v>41</v>
      </c>
      <c r="M1903">
        <v>69.44</v>
      </c>
      <c r="N1903" s="4">
        <f t="shared" si="29"/>
        <v>-1.5</v>
      </c>
      <c r="O1903" t="s">
        <v>83</v>
      </c>
      <c r="P1903" s="24" t="s">
        <v>1310</v>
      </c>
    </row>
    <row r="1904" spans="1:20" x14ac:dyDescent="0.25">
      <c r="A1904" s="43">
        <v>45744</v>
      </c>
      <c r="B1904" s="1">
        <v>200249449</v>
      </c>
      <c r="C1904" t="s">
        <v>1770</v>
      </c>
      <c r="D1904" s="23">
        <v>1310.45</v>
      </c>
      <c r="E1904" t="s">
        <v>45</v>
      </c>
      <c r="F1904" s="2">
        <v>110106001</v>
      </c>
      <c r="G1904" s="2" t="s">
        <v>1011</v>
      </c>
      <c r="I1904" s="95" t="s">
        <v>7231</v>
      </c>
      <c r="K1904" t="s">
        <v>1617</v>
      </c>
      <c r="M1904">
        <v>69.44</v>
      </c>
      <c r="N1904" s="4">
        <f t="shared" si="29"/>
        <v>18.871687788018434</v>
      </c>
      <c r="O1904" t="s">
        <v>83</v>
      </c>
    </row>
    <row r="1905" spans="1:16" x14ac:dyDescent="0.25">
      <c r="A1905" s="43">
        <v>45744</v>
      </c>
      <c r="B1905" s="1">
        <v>200249449</v>
      </c>
      <c r="C1905" t="s">
        <v>1013</v>
      </c>
      <c r="D1905" s="23">
        <v>-19.649999999999999</v>
      </c>
      <c r="E1905" t="s">
        <v>35</v>
      </c>
      <c r="F1905" s="2">
        <v>610148001</v>
      </c>
      <c r="G1905" s="2" t="s">
        <v>41</v>
      </c>
      <c r="I1905" s="95" t="s">
        <v>7231</v>
      </c>
      <c r="J1905" t="s">
        <v>42</v>
      </c>
      <c r="K1905" s="49" t="s">
        <v>41</v>
      </c>
      <c r="L1905" s="49"/>
      <c r="M1905">
        <v>69.44</v>
      </c>
      <c r="N1905" s="4">
        <f t="shared" si="29"/>
        <v>-0.28297811059907835</v>
      </c>
      <c r="O1905" t="s">
        <v>83</v>
      </c>
      <c r="P1905" s="24" t="s">
        <v>1310</v>
      </c>
    </row>
    <row r="1906" spans="1:16" x14ac:dyDescent="0.25">
      <c r="A1906" s="43">
        <v>45744</v>
      </c>
      <c r="B1906" s="1">
        <v>200250356</v>
      </c>
      <c r="C1906" t="s">
        <v>1770</v>
      </c>
      <c r="D1906" s="23">
        <v>9000</v>
      </c>
      <c r="E1906" t="s">
        <v>45</v>
      </c>
      <c r="F1906" s="2">
        <v>110106001</v>
      </c>
      <c r="G1906" s="2" t="s">
        <v>1011</v>
      </c>
      <c r="I1906" s="95" t="s">
        <v>7231</v>
      </c>
      <c r="K1906" t="s">
        <v>1617</v>
      </c>
      <c r="M1906">
        <v>69.44</v>
      </c>
      <c r="N1906" s="4">
        <f t="shared" si="29"/>
        <v>129.60829493087559</v>
      </c>
      <c r="O1906" t="s">
        <v>83</v>
      </c>
    </row>
    <row r="1907" spans="1:16" x14ac:dyDescent="0.25">
      <c r="A1907" s="43">
        <v>45744</v>
      </c>
      <c r="B1907" s="1">
        <v>200250356</v>
      </c>
      <c r="C1907" t="s">
        <v>1013</v>
      </c>
      <c r="D1907" s="23">
        <v>-135</v>
      </c>
      <c r="E1907" t="s">
        <v>35</v>
      </c>
      <c r="F1907" s="2">
        <v>610148001</v>
      </c>
      <c r="G1907" s="2" t="s">
        <v>41</v>
      </c>
      <c r="I1907" s="95" t="s">
        <v>7231</v>
      </c>
      <c r="J1907" t="s">
        <v>42</v>
      </c>
      <c r="K1907" s="49" t="s">
        <v>41</v>
      </c>
      <c r="L1907" s="49"/>
      <c r="M1907">
        <v>69.44</v>
      </c>
      <c r="N1907" s="4">
        <f t="shared" si="29"/>
        <v>-1.9441244239631337</v>
      </c>
      <c r="O1907" t="s">
        <v>83</v>
      </c>
      <c r="P1907" s="24" t="s">
        <v>1310</v>
      </c>
    </row>
    <row r="1908" spans="1:16" x14ac:dyDescent="0.25">
      <c r="A1908" s="43">
        <v>45744</v>
      </c>
      <c r="B1908" s="1">
        <v>105902425</v>
      </c>
      <c r="C1908" t="s">
        <v>82</v>
      </c>
      <c r="D1908" s="23">
        <v>265000</v>
      </c>
      <c r="E1908" t="s">
        <v>45</v>
      </c>
      <c r="F1908" s="2">
        <v>210115002</v>
      </c>
      <c r="G1908" s="2" t="s">
        <v>46</v>
      </c>
      <c r="I1908" s="95" t="s">
        <v>7231</v>
      </c>
      <c r="K1908" t="s">
        <v>82</v>
      </c>
      <c r="M1908">
        <v>69.44</v>
      </c>
      <c r="N1908" s="4">
        <f t="shared" si="29"/>
        <v>3816.2442396313363</v>
      </c>
      <c r="O1908" t="s">
        <v>83</v>
      </c>
    </row>
    <row r="1909" spans="1:16" x14ac:dyDescent="0.25">
      <c r="A1909" s="43">
        <v>45744</v>
      </c>
      <c r="B1909" s="1">
        <v>110516186</v>
      </c>
      <c r="C1909" t="s">
        <v>1771</v>
      </c>
      <c r="D1909" s="23">
        <v>-8332.7999999999993</v>
      </c>
      <c r="E1909" t="s">
        <v>35</v>
      </c>
      <c r="F1909" s="2">
        <v>212901001</v>
      </c>
      <c r="G1909" s="2" t="s">
        <v>91</v>
      </c>
      <c r="I1909" s="95" t="s">
        <v>7231</v>
      </c>
      <c r="J1909" t="s">
        <v>61</v>
      </c>
      <c r="K1909" s="49" t="s">
        <v>62</v>
      </c>
      <c r="L1909" s="49"/>
      <c r="M1909">
        <v>69.44</v>
      </c>
      <c r="N1909" s="4">
        <f t="shared" si="29"/>
        <v>-120</v>
      </c>
      <c r="O1909" t="s">
        <v>83</v>
      </c>
    </row>
    <row r="1910" spans="1:16" x14ac:dyDescent="0.25">
      <c r="A1910" s="46">
        <v>45744</v>
      </c>
      <c r="B1910" s="27">
        <v>110516188</v>
      </c>
      <c r="C1910" s="28" t="s">
        <v>1772</v>
      </c>
      <c r="D1910" s="29">
        <v>-9374.4</v>
      </c>
      <c r="E1910" s="28" t="s">
        <v>35</v>
      </c>
      <c r="F1910" s="30">
        <v>610156001</v>
      </c>
      <c r="G1910" s="30" t="s">
        <v>72</v>
      </c>
      <c r="H1910" s="30"/>
      <c r="I1910" s="95" t="s">
        <v>7231</v>
      </c>
      <c r="J1910" s="28" t="s">
        <v>73</v>
      </c>
      <c r="K1910" s="28" t="s">
        <v>74</v>
      </c>
      <c r="L1910" s="28" t="s">
        <v>56</v>
      </c>
      <c r="M1910" s="28">
        <v>69.44</v>
      </c>
      <c r="N1910" s="4">
        <f t="shared" si="29"/>
        <v>-135</v>
      </c>
      <c r="O1910" t="s">
        <v>83</v>
      </c>
      <c r="P1910" s="24" t="s">
        <v>1773</v>
      </c>
    </row>
    <row r="1911" spans="1:16" x14ac:dyDescent="0.25">
      <c r="A1911" s="43">
        <v>45744</v>
      </c>
      <c r="B1911" s="1">
        <v>110516189</v>
      </c>
      <c r="C1911" t="s">
        <v>1774</v>
      </c>
      <c r="D1911" s="23">
        <v>-6944</v>
      </c>
      <c r="E1911" t="s">
        <v>35</v>
      </c>
      <c r="F1911" s="2">
        <v>212901001</v>
      </c>
      <c r="G1911" s="2" t="s">
        <v>91</v>
      </c>
      <c r="I1911" s="95" t="s">
        <v>7231</v>
      </c>
      <c r="J1911" t="s">
        <v>61</v>
      </c>
      <c r="K1911" s="49" t="s">
        <v>62</v>
      </c>
      <c r="L1911" s="49"/>
      <c r="M1911">
        <v>69.44</v>
      </c>
      <c r="N1911" s="4">
        <f t="shared" si="29"/>
        <v>-100</v>
      </c>
      <c r="O1911" t="s">
        <v>83</v>
      </c>
    </row>
    <row r="1912" spans="1:16" x14ac:dyDescent="0.25">
      <c r="A1912" s="43">
        <v>45744</v>
      </c>
      <c r="B1912" s="1">
        <v>110516192</v>
      </c>
      <c r="C1912" t="s">
        <v>1775</v>
      </c>
      <c r="D1912" s="23">
        <v>-4860.8</v>
      </c>
      <c r="E1912" t="s">
        <v>35</v>
      </c>
      <c r="F1912" s="2">
        <v>212901001</v>
      </c>
      <c r="G1912" s="2" t="s">
        <v>91</v>
      </c>
      <c r="I1912" s="95" t="s">
        <v>7231</v>
      </c>
      <c r="J1912" t="s">
        <v>61</v>
      </c>
      <c r="K1912" s="49" t="s">
        <v>62</v>
      </c>
      <c r="L1912" s="49"/>
      <c r="M1912">
        <v>69.44</v>
      </c>
      <c r="N1912" s="4">
        <f t="shared" si="29"/>
        <v>-70</v>
      </c>
      <c r="O1912" t="s">
        <v>83</v>
      </c>
    </row>
    <row r="1913" spans="1:16" x14ac:dyDescent="0.25">
      <c r="A1913" s="43">
        <v>45744</v>
      </c>
      <c r="B1913" s="1">
        <v>110516190</v>
      </c>
      <c r="C1913" t="s">
        <v>1776</v>
      </c>
      <c r="D1913" s="23">
        <v>-1242.5</v>
      </c>
      <c r="E1913" t="s">
        <v>35</v>
      </c>
      <c r="F1913" s="2">
        <v>210101001</v>
      </c>
      <c r="G1913" s="2" t="s">
        <v>36</v>
      </c>
      <c r="I1913" s="95" t="s">
        <v>7231</v>
      </c>
      <c r="J1913" t="s">
        <v>86</v>
      </c>
      <c r="K1913" s="49" t="s">
        <v>87</v>
      </c>
      <c r="L1913" s="49"/>
      <c r="M1913">
        <v>69.44</v>
      </c>
      <c r="N1913" s="4">
        <f t="shared" si="29"/>
        <v>-17.893145161290324</v>
      </c>
      <c r="O1913" t="s">
        <v>83</v>
      </c>
    </row>
    <row r="1914" spans="1:16" x14ac:dyDescent="0.25">
      <c r="A1914" s="43">
        <v>45744</v>
      </c>
      <c r="B1914" s="1">
        <v>110516191</v>
      </c>
      <c r="C1914" t="s">
        <v>1777</v>
      </c>
      <c r="D1914" s="23">
        <v>-2708.16</v>
      </c>
      <c r="E1914" t="s">
        <v>35</v>
      </c>
      <c r="F1914" s="2">
        <v>212901001</v>
      </c>
      <c r="G1914" s="2" t="s">
        <v>91</v>
      </c>
      <c r="I1914" s="95" t="s">
        <v>7231</v>
      </c>
      <c r="J1914" t="s">
        <v>61</v>
      </c>
      <c r="K1914" t="s">
        <v>62</v>
      </c>
      <c r="M1914">
        <v>69.44</v>
      </c>
      <c r="N1914" s="4">
        <f t="shared" si="29"/>
        <v>-39</v>
      </c>
      <c r="O1914" t="s">
        <v>83</v>
      </c>
    </row>
    <row r="1915" spans="1:16" x14ac:dyDescent="0.25">
      <c r="A1915" s="43">
        <v>45744</v>
      </c>
      <c r="B1915" s="1">
        <v>210516194</v>
      </c>
      <c r="C1915" t="s">
        <v>1778</v>
      </c>
      <c r="D1915" s="23">
        <v>-694.4</v>
      </c>
      <c r="E1915" t="s">
        <v>35</v>
      </c>
      <c r="F1915" s="2">
        <v>212901001</v>
      </c>
      <c r="G1915" s="2" t="s">
        <v>91</v>
      </c>
      <c r="I1915" s="95" t="s">
        <v>7231</v>
      </c>
      <c r="J1915" t="s">
        <v>61</v>
      </c>
      <c r="K1915" t="s">
        <v>62</v>
      </c>
      <c r="M1915">
        <v>69.44</v>
      </c>
      <c r="N1915" s="4">
        <f t="shared" si="29"/>
        <v>-10</v>
      </c>
      <c r="O1915" t="s">
        <v>83</v>
      </c>
    </row>
    <row r="1916" spans="1:16" x14ac:dyDescent="0.25">
      <c r="A1916" s="43">
        <v>45744</v>
      </c>
      <c r="B1916" s="1">
        <v>210516199</v>
      </c>
      <c r="C1916" t="s">
        <v>1779</v>
      </c>
      <c r="D1916" s="23">
        <v>-1388.8</v>
      </c>
      <c r="E1916" t="s">
        <v>35</v>
      </c>
      <c r="F1916" s="2">
        <v>212901001</v>
      </c>
      <c r="G1916" s="2" t="s">
        <v>91</v>
      </c>
      <c r="I1916" s="95" t="s">
        <v>7231</v>
      </c>
      <c r="J1916" t="s">
        <v>61</v>
      </c>
      <c r="K1916" t="s">
        <v>62</v>
      </c>
      <c r="M1916">
        <v>69.44</v>
      </c>
      <c r="N1916" s="4">
        <f t="shared" si="29"/>
        <v>-20</v>
      </c>
      <c r="O1916" t="s">
        <v>83</v>
      </c>
    </row>
    <row r="1917" spans="1:16" x14ac:dyDescent="0.25">
      <c r="A1917" s="43">
        <v>45744</v>
      </c>
      <c r="B1917" s="1">
        <v>210516196</v>
      </c>
      <c r="C1917" t="s">
        <v>1780</v>
      </c>
      <c r="D1917" s="23">
        <v>-1388.8</v>
      </c>
      <c r="E1917" t="s">
        <v>35</v>
      </c>
      <c r="F1917" s="2">
        <v>212901001</v>
      </c>
      <c r="G1917" s="2" t="s">
        <v>91</v>
      </c>
      <c r="I1917" s="95" t="s">
        <v>7231</v>
      </c>
      <c r="J1917" t="s">
        <v>61</v>
      </c>
      <c r="K1917" t="s">
        <v>62</v>
      </c>
      <c r="M1917">
        <v>69.44</v>
      </c>
      <c r="N1917" s="4">
        <f t="shared" si="29"/>
        <v>-20</v>
      </c>
      <c r="O1917" t="s">
        <v>83</v>
      </c>
    </row>
    <row r="1918" spans="1:16" x14ac:dyDescent="0.25">
      <c r="A1918" s="43">
        <v>45744</v>
      </c>
      <c r="B1918" s="1">
        <v>210516201</v>
      </c>
      <c r="C1918" t="s">
        <v>1781</v>
      </c>
      <c r="D1918" s="23">
        <v>-1388.8</v>
      </c>
      <c r="E1918" t="s">
        <v>35</v>
      </c>
      <c r="F1918" s="2">
        <v>212901001</v>
      </c>
      <c r="G1918" s="2" t="s">
        <v>91</v>
      </c>
      <c r="I1918" s="95" t="s">
        <v>7231</v>
      </c>
      <c r="J1918" t="s">
        <v>61</v>
      </c>
      <c r="K1918" t="s">
        <v>62</v>
      </c>
      <c r="M1918">
        <v>69.44</v>
      </c>
      <c r="N1918" s="4">
        <f t="shared" si="29"/>
        <v>-20</v>
      </c>
      <c r="O1918" t="s">
        <v>83</v>
      </c>
    </row>
    <row r="1919" spans="1:16" x14ac:dyDescent="0.25">
      <c r="A1919" s="43">
        <v>45744</v>
      </c>
      <c r="B1919" s="1">
        <v>210516202</v>
      </c>
      <c r="C1919" t="s">
        <v>1782</v>
      </c>
      <c r="D1919" s="23">
        <v>-8652.6</v>
      </c>
      <c r="E1919" t="s">
        <v>35</v>
      </c>
      <c r="F1919" s="2">
        <v>110114001</v>
      </c>
      <c r="G1919" s="2" t="s">
        <v>181</v>
      </c>
      <c r="I1919" s="95" t="s">
        <v>7231</v>
      </c>
      <c r="J1919" t="s">
        <v>86</v>
      </c>
      <c r="K1919" t="s">
        <v>87</v>
      </c>
      <c r="M1919">
        <v>69.44</v>
      </c>
      <c r="N1919" s="4">
        <f t="shared" si="29"/>
        <v>-124.60541474654379</v>
      </c>
      <c r="O1919" t="s">
        <v>83</v>
      </c>
      <c r="P1919" s="34" t="s">
        <v>1270</v>
      </c>
    </row>
    <row r="1920" spans="1:16" x14ac:dyDescent="0.25">
      <c r="A1920" s="43">
        <v>45744</v>
      </c>
      <c r="B1920" s="1">
        <v>210516198</v>
      </c>
      <c r="C1920" t="s">
        <v>1783</v>
      </c>
      <c r="D1920" s="23">
        <v>-1388.8</v>
      </c>
      <c r="E1920" t="s">
        <v>35</v>
      </c>
      <c r="F1920" s="2">
        <v>212901001</v>
      </c>
      <c r="G1920" s="2" t="s">
        <v>91</v>
      </c>
      <c r="I1920" s="95" t="s">
        <v>7231</v>
      </c>
      <c r="J1920" t="s">
        <v>61</v>
      </c>
      <c r="K1920" t="s">
        <v>62</v>
      </c>
      <c r="M1920">
        <v>69.44</v>
      </c>
      <c r="N1920" s="4">
        <f t="shared" si="29"/>
        <v>-20</v>
      </c>
      <c r="O1920" t="s">
        <v>83</v>
      </c>
    </row>
    <row r="1921" spans="1:16" x14ac:dyDescent="0.25">
      <c r="A1921" s="43">
        <v>45744</v>
      </c>
      <c r="B1921" s="1">
        <v>210516205</v>
      </c>
      <c r="C1921" t="s">
        <v>1784</v>
      </c>
      <c r="D1921" s="23">
        <v>-189987.84</v>
      </c>
      <c r="E1921" t="s">
        <v>35</v>
      </c>
      <c r="F1921" s="2">
        <v>110114001</v>
      </c>
      <c r="G1921" s="2" t="s">
        <v>181</v>
      </c>
      <c r="I1921" s="95" t="s">
        <v>7231</v>
      </c>
      <c r="J1921" t="s">
        <v>37</v>
      </c>
      <c r="K1921" t="s">
        <v>38</v>
      </c>
      <c r="M1921">
        <v>69.44</v>
      </c>
      <c r="N1921" s="4">
        <f t="shared" si="29"/>
        <v>-2736</v>
      </c>
      <c r="O1921" t="s">
        <v>83</v>
      </c>
      <c r="P1921" s="34" t="s">
        <v>1270</v>
      </c>
    </row>
    <row r="1922" spans="1:16" x14ac:dyDescent="0.25">
      <c r="A1922" s="43">
        <v>45744</v>
      </c>
      <c r="B1922" s="1">
        <v>210516203</v>
      </c>
      <c r="C1922" t="s">
        <v>1785</v>
      </c>
      <c r="D1922" s="23">
        <v>-12665.85</v>
      </c>
      <c r="E1922" t="s">
        <v>35</v>
      </c>
      <c r="F1922" s="2">
        <v>210101001</v>
      </c>
      <c r="G1922" s="2" t="s">
        <v>36</v>
      </c>
      <c r="I1922" s="95" t="s">
        <v>7231</v>
      </c>
      <c r="J1922" t="s">
        <v>376</v>
      </c>
      <c r="K1922" t="s">
        <v>377</v>
      </c>
      <c r="M1922">
        <v>69.44</v>
      </c>
      <c r="N1922" s="4">
        <f t="shared" si="29"/>
        <v>-182.39991359447006</v>
      </c>
      <c r="O1922" t="s">
        <v>83</v>
      </c>
    </row>
    <row r="1923" spans="1:16" x14ac:dyDescent="0.25">
      <c r="A1923" s="43">
        <v>45744</v>
      </c>
      <c r="B1923" s="1">
        <v>210516195</v>
      </c>
      <c r="C1923" t="s">
        <v>1786</v>
      </c>
      <c r="D1923" s="23">
        <v>-4166.3999999999996</v>
      </c>
      <c r="E1923" t="s">
        <v>35</v>
      </c>
      <c r="F1923" s="2">
        <v>212901001</v>
      </c>
      <c r="G1923" s="2" t="s">
        <v>91</v>
      </c>
      <c r="I1923" s="95" t="s">
        <v>7231</v>
      </c>
      <c r="J1923" t="s">
        <v>61</v>
      </c>
      <c r="K1923" s="49" t="s">
        <v>62</v>
      </c>
      <c r="L1923" s="49"/>
      <c r="M1923">
        <v>69.44</v>
      </c>
      <c r="N1923" s="4">
        <f t="shared" si="29"/>
        <v>-60</v>
      </c>
      <c r="O1923" t="s">
        <v>83</v>
      </c>
    </row>
    <row r="1924" spans="1:16" x14ac:dyDescent="0.25">
      <c r="A1924" s="43">
        <v>45744</v>
      </c>
      <c r="B1924" s="1">
        <v>110516193</v>
      </c>
      <c r="C1924" t="s">
        <v>1787</v>
      </c>
      <c r="D1924" s="23">
        <v>-3472</v>
      </c>
      <c r="E1924" t="s">
        <v>35</v>
      </c>
      <c r="F1924" s="2">
        <v>212901001</v>
      </c>
      <c r="G1924" s="2" t="s">
        <v>91</v>
      </c>
      <c r="I1924" s="95" t="s">
        <v>7231</v>
      </c>
      <c r="J1924" t="s">
        <v>61</v>
      </c>
      <c r="K1924" t="s">
        <v>62</v>
      </c>
      <c r="M1924">
        <v>69.44</v>
      </c>
      <c r="N1924" s="4">
        <f t="shared" si="29"/>
        <v>-50</v>
      </c>
      <c r="O1924" t="s">
        <v>83</v>
      </c>
    </row>
    <row r="1925" spans="1:16" x14ac:dyDescent="0.25">
      <c r="A1925" s="43">
        <v>45744</v>
      </c>
      <c r="B1925" s="1">
        <v>210516200</v>
      </c>
      <c r="C1925" t="s">
        <v>1788</v>
      </c>
      <c r="D1925" s="23">
        <v>-1388.8</v>
      </c>
      <c r="E1925" t="s">
        <v>35</v>
      </c>
      <c r="F1925" s="2">
        <v>212901001</v>
      </c>
      <c r="G1925" s="2" t="s">
        <v>91</v>
      </c>
      <c r="I1925" s="95" t="s">
        <v>7231</v>
      </c>
      <c r="J1925" t="s">
        <v>61</v>
      </c>
      <c r="K1925" t="s">
        <v>62</v>
      </c>
      <c r="M1925">
        <v>69.44</v>
      </c>
      <c r="N1925" s="4">
        <f t="shared" si="29"/>
        <v>-20</v>
      </c>
      <c r="O1925" t="s">
        <v>83</v>
      </c>
    </row>
    <row r="1926" spans="1:16" x14ac:dyDescent="0.25">
      <c r="A1926" s="43">
        <v>45744</v>
      </c>
      <c r="B1926" s="1">
        <v>50354694</v>
      </c>
      <c r="C1926" t="s">
        <v>89</v>
      </c>
      <c r="D1926" s="23">
        <v>-650.11</v>
      </c>
      <c r="E1926" t="s">
        <v>35</v>
      </c>
      <c r="F1926" s="2">
        <v>610148001</v>
      </c>
      <c r="G1926" s="2" t="s">
        <v>41</v>
      </c>
      <c r="I1926" s="95" t="s">
        <v>7231</v>
      </c>
      <c r="J1926" t="s">
        <v>42</v>
      </c>
      <c r="K1926" t="s">
        <v>41</v>
      </c>
      <c r="M1926">
        <v>69.44</v>
      </c>
      <c r="N1926" s="4">
        <f t="shared" si="29"/>
        <v>-9.3621831797235036</v>
      </c>
      <c r="O1926" t="s">
        <v>83</v>
      </c>
      <c r="P1926" s="24" t="s">
        <v>1310</v>
      </c>
    </row>
    <row r="1927" spans="1:16" x14ac:dyDescent="0.25">
      <c r="A1927" s="43">
        <v>45744</v>
      </c>
      <c r="B1927" s="1">
        <v>123005494</v>
      </c>
      <c r="C1927" t="s">
        <v>82</v>
      </c>
      <c r="D1927" s="23">
        <v>520000</v>
      </c>
      <c r="E1927" t="s">
        <v>45</v>
      </c>
      <c r="F1927" s="2">
        <v>210115002</v>
      </c>
      <c r="G1927" s="2" t="s">
        <v>46</v>
      </c>
      <c r="I1927" s="95" t="s">
        <v>7231</v>
      </c>
      <c r="K1927" t="s">
        <v>82</v>
      </c>
      <c r="M1927">
        <v>69.44</v>
      </c>
      <c r="N1927" s="4">
        <f t="shared" si="29"/>
        <v>7488.4792626728113</v>
      </c>
      <c r="O1927" t="s">
        <v>83</v>
      </c>
    </row>
    <row r="1928" spans="1:16" x14ac:dyDescent="0.25">
      <c r="A1928" s="43">
        <v>45744</v>
      </c>
      <c r="B1928" s="1">
        <v>810524080</v>
      </c>
      <c r="C1928" t="s">
        <v>1789</v>
      </c>
      <c r="D1928" s="23">
        <v>-6944</v>
      </c>
      <c r="E1928" t="s">
        <v>35</v>
      </c>
      <c r="F1928" s="2">
        <v>212901001</v>
      </c>
      <c r="G1928" s="2" t="s">
        <v>91</v>
      </c>
      <c r="I1928" s="95" t="s">
        <v>7231</v>
      </c>
      <c r="J1928" t="s">
        <v>61</v>
      </c>
      <c r="K1928" s="49" t="s">
        <v>62</v>
      </c>
      <c r="L1928" s="49"/>
      <c r="M1928">
        <v>69.44</v>
      </c>
      <c r="N1928" s="4">
        <f t="shared" si="29"/>
        <v>-100</v>
      </c>
      <c r="O1928" t="s">
        <v>83</v>
      </c>
    </row>
    <row r="1929" spans="1:16" x14ac:dyDescent="0.25">
      <c r="A1929" s="43">
        <v>45744</v>
      </c>
      <c r="B1929" s="1">
        <v>910524081</v>
      </c>
      <c r="C1929" t="s">
        <v>1790</v>
      </c>
      <c r="D1929" s="23">
        <v>-6944</v>
      </c>
      <c r="E1929" t="s">
        <v>35</v>
      </c>
      <c r="F1929" s="2">
        <v>212901001</v>
      </c>
      <c r="G1929" s="2" t="s">
        <v>91</v>
      </c>
      <c r="I1929" s="95" t="s">
        <v>7231</v>
      </c>
      <c r="J1929" t="s">
        <v>61</v>
      </c>
      <c r="K1929" s="49" t="s">
        <v>62</v>
      </c>
      <c r="L1929" s="49"/>
      <c r="M1929">
        <v>69.44</v>
      </c>
      <c r="N1929" s="4">
        <f t="shared" si="29"/>
        <v>-100</v>
      </c>
      <c r="O1929" t="s">
        <v>83</v>
      </c>
    </row>
    <row r="1930" spans="1:16" x14ac:dyDescent="0.25">
      <c r="A1930" s="43">
        <v>45744</v>
      </c>
      <c r="B1930" s="1">
        <v>910524082</v>
      </c>
      <c r="C1930" t="s">
        <v>1791</v>
      </c>
      <c r="D1930" s="23">
        <v>-6944</v>
      </c>
      <c r="E1930" t="s">
        <v>35</v>
      </c>
      <c r="F1930" s="2">
        <v>212901001</v>
      </c>
      <c r="G1930" s="2" t="s">
        <v>91</v>
      </c>
      <c r="I1930" s="95" t="s">
        <v>7231</v>
      </c>
      <c r="J1930" t="s">
        <v>61</v>
      </c>
      <c r="K1930" s="49" t="s">
        <v>62</v>
      </c>
      <c r="L1930" s="49"/>
      <c r="M1930">
        <v>69.44</v>
      </c>
      <c r="N1930" s="4">
        <f t="shared" si="29"/>
        <v>-100</v>
      </c>
      <c r="O1930" t="s">
        <v>83</v>
      </c>
    </row>
    <row r="1931" spans="1:16" x14ac:dyDescent="0.25">
      <c r="A1931" s="43">
        <v>45744</v>
      </c>
      <c r="B1931" s="1">
        <v>810524079</v>
      </c>
      <c r="C1931" t="s">
        <v>1792</v>
      </c>
      <c r="D1931" s="23">
        <v>-6944</v>
      </c>
      <c r="E1931" t="s">
        <v>35</v>
      </c>
      <c r="F1931" s="2">
        <v>212901001</v>
      </c>
      <c r="G1931" s="2" t="s">
        <v>91</v>
      </c>
      <c r="I1931" s="95" t="s">
        <v>7231</v>
      </c>
      <c r="J1931" t="s">
        <v>61</v>
      </c>
      <c r="K1931" s="49" t="s">
        <v>62</v>
      </c>
      <c r="L1931" s="49"/>
      <c r="M1931">
        <v>69.44</v>
      </c>
      <c r="N1931" s="4">
        <f t="shared" si="29"/>
        <v>-100</v>
      </c>
      <c r="O1931" t="s">
        <v>83</v>
      </c>
    </row>
    <row r="1932" spans="1:16" x14ac:dyDescent="0.25">
      <c r="A1932" s="43">
        <v>45744</v>
      </c>
      <c r="B1932" s="1">
        <v>910524086</v>
      </c>
      <c r="C1932" t="s">
        <v>1793</v>
      </c>
      <c r="D1932" s="23">
        <v>-6944</v>
      </c>
      <c r="E1932" t="s">
        <v>35</v>
      </c>
      <c r="F1932" s="2">
        <v>212901001</v>
      </c>
      <c r="G1932" s="2" t="s">
        <v>91</v>
      </c>
      <c r="I1932" s="95" t="s">
        <v>7231</v>
      </c>
      <c r="J1932" t="s">
        <v>61</v>
      </c>
      <c r="K1932" s="49" t="s">
        <v>62</v>
      </c>
      <c r="L1932" s="49"/>
      <c r="M1932">
        <v>69.44</v>
      </c>
      <c r="N1932" s="4">
        <f t="shared" ref="N1932:N1995" si="30">D1932/M1932</f>
        <v>-100</v>
      </c>
      <c r="O1932" t="s">
        <v>83</v>
      </c>
    </row>
    <row r="1933" spans="1:16" x14ac:dyDescent="0.25">
      <c r="A1933" s="43">
        <v>45744</v>
      </c>
      <c r="B1933" s="1">
        <v>910524083</v>
      </c>
      <c r="C1933" t="s">
        <v>1794</v>
      </c>
      <c r="D1933" s="23">
        <v>-6944</v>
      </c>
      <c r="E1933" t="s">
        <v>35</v>
      </c>
      <c r="F1933" s="2">
        <v>212901001</v>
      </c>
      <c r="G1933" s="2" t="s">
        <v>91</v>
      </c>
      <c r="I1933" s="95" t="s">
        <v>7231</v>
      </c>
      <c r="J1933" t="s">
        <v>61</v>
      </c>
      <c r="K1933" s="49" t="s">
        <v>62</v>
      </c>
      <c r="L1933" s="49"/>
      <c r="M1933">
        <v>69.44</v>
      </c>
      <c r="N1933" s="4">
        <f t="shared" si="30"/>
        <v>-100</v>
      </c>
      <c r="O1933" t="s">
        <v>83</v>
      </c>
    </row>
    <row r="1934" spans="1:16" x14ac:dyDescent="0.25">
      <c r="A1934" s="43">
        <v>45744</v>
      </c>
      <c r="B1934" s="1">
        <v>910524085</v>
      </c>
      <c r="C1934" t="s">
        <v>1795</v>
      </c>
      <c r="D1934" s="23">
        <v>-6944</v>
      </c>
      <c r="E1934" t="s">
        <v>35</v>
      </c>
      <c r="F1934" s="2">
        <v>212901001</v>
      </c>
      <c r="G1934" s="2" t="s">
        <v>91</v>
      </c>
      <c r="I1934" s="95" t="s">
        <v>7231</v>
      </c>
      <c r="J1934" t="s">
        <v>61</v>
      </c>
      <c r="K1934" s="49" t="s">
        <v>62</v>
      </c>
      <c r="L1934" s="49"/>
      <c r="M1934">
        <v>69.44</v>
      </c>
      <c r="N1934" s="4">
        <f t="shared" si="30"/>
        <v>-100</v>
      </c>
      <c r="O1934" t="s">
        <v>83</v>
      </c>
    </row>
    <row r="1935" spans="1:16" x14ac:dyDescent="0.25">
      <c r="A1935" s="43">
        <v>45744</v>
      </c>
      <c r="B1935" s="1">
        <v>910524084</v>
      </c>
      <c r="C1935" t="s">
        <v>1796</v>
      </c>
      <c r="D1935" s="23">
        <v>-6944</v>
      </c>
      <c r="E1935" t="s">
        <v>35</v>
      </c>
      <c r="F1935" s="2">
        <v>212901001</v>
      </c>
      <c r="G1935" s="2" t="s">
        <v>91</v>
      </c>
      <c r="I1935" s="95" t="s">
        <v>7231</v>
      </c>
      <c r="J1935" t="s">
        <v>61</v>
      </c>
      <c r="K1935" s="49" t="s">
        <v>62</v>
      </c>
      <c r="L1935" s="49"/>
      <c r="M1935">
        <v>69.44</v>
      </c>
      <c r="N1935" s="4">
        <f t="shared" si="30"/>
        <v>-100</v>
      </c>
      <c r="O1935" t="s">
        <v>83</v>
      </c>
    </row>
    <row r="1936" spans="1:16" x14ac:dyDescent="0.25">
      <c r="A1936" s="43">
        <v>45744</v>
      </c>
      <c r="B1936" s="1">
        <v>910524087</v>
      </c>
      <c r="C1936" t="s">
        <v>1797</v>
      </c>
      <c r="D1936" s="23">
        <v>-6944</v>
      </c>
      <c r="E1936" t="s">
        <v>35</v>
      </c>
      <c r="F1936" s="2">
        <v>212901001</v>
      </c>
      <c r="G1936" s="2" t="s">
        <v>91</v>
      </c>
      <c r="I1936" s="95" t="s">
        <v>7231</v>
      </c>
      <c r="J1936" t="s">
        <v>61</v>
      </c>
      <c r="K1936" s="49" t="s">
        <v>62</v>
      </c>
      <c r="L1936" s="49"/>
      <c r="M1936">
        <v>69.44</v>
      </c>
      <c r="N1936" s="4">
        <f t="shared" si="30"/>
        <v>-100</v>
      </c>
      <c r="O1936" t="s">
        <v>83</v>
      </c>
    </row>
    <row r="1937" spans="1:15" x14ac:dyDescent="0.25">
      <c r="A1937" s="43">
        <v>45744</v>
      </c>
      <c r="B1937" s="1">
        <v>910524089</v>
      </c>
      <c r="C1937" t="s">
        <v>1798</v>
      </c>
      <c r="D1937" s="23">
        <v>-6944</v>
      </c>
      <c r="E1937" t="s">
        <v>35</v>
      </c>
      <c r="F1937" s="2">
        <v>212901001</v>
      </c>
      <c r="G1937" s="2" t="s">
        <v>91</v>
      </c>
      <c r="I1937" s="95" t="s">
        <v>7231</v>
      </c>
      <c r="J1937" t="s">
        <v>61</v>
      </c>
      <c r="K1937" s="49" t="s">
        <v>62</v>
      </c>
      <c r="L1937" s="49"/>
      <c r="M1937">
        <v>69.44</v>
      </c>
      <c r="N1937" s="4">
        <f t="shared" si="30"/>
        <v>-100</v>
      </c>
      <c r="O1937" t="s">
        <v>83</v>
      </c>
    </row>
    <row r="1938" spans="1:15" x14ac:dyDescent="0.25">
      <c r="A1938" s="43">
        <v>45744</v>
      </c>
      <c r="B1938" s="1">
        <v>910524088</v>
      </c>
      <c r="C1938" t="s">
        <v>1799</v>
      </c>
      <c r="D1938" s="23">
        <v>-6944</v>
      </c>
      <c r="E1938" t="s">
        <v>35</v>
      </c>
      <c r="F1938" s="2">
        <v>212901001</v>
      </c>
      <c r="G1938" s="2" t="s">
        <v>91</v>
      </c>
      <c r="I1938" s="95" t="s">
        <v>7231</v>
      </c>
      <c r="J1938" t="s">
        <v>61</v>
      </c>
      <c r="K1938" s="49" t="s">
        <v>62</v>
      </c>
      <c r="L1938" s="49"/>
      <c r="M1938">
        <v>69.44</v>
      </c>
      <c r="N1938" s="4">
        <f t="shared" si="30"/>
        <v>-100</v>
      </c>
      <c r="O1938" t="s">
        <v>83</v>
      </c>
    </row>
    <row r="1939" spans="1:15" x14ac:dyDescent="0.25">
      <c r="A1939" s="43">
        <v>45744</v>
      </c>
      <c r="B1939" s="1">
        <v>10524094</v>
      </c>
      <c r="C1939" t="s">
        <v>1800</v>
      </c>
      <c r="D1939" s="23">
        <v>-6944</v>
      </c>
      <c r="E1939" t="s">
        <v>35</v>
      </c>
      <c r="F1939" s="2">
        <v>212901001</v>
      </c>
      <c r="G1939" s="2" t="s">
        <v>91</v>
      </c>
      <c r="I1939" s="95" t="s">
        <v>7231</v>
      </c>
      <c r="J1939" t="s">
        <v>61</v>
      </c>
      <c r="K1939" s="49" t="s">
        <v>62</v>
      </c>
      <c r="L1939" s="49"/>
      <c r="M1939">
        <v>69.44</v>
      </c>
      <c r="N1939" s="4">
        <f t="shared" si="30"/>
        <v>-100</v>
      </c>
      <c r="O1939" t="s">
        <v>83</v>
      </c>
    </row>
    <row r="1940" spans="1:15" x14ac:dyDescent="0.25">
      <c r="A1940" s="43">
        <v>45744</v>
      </c>
      <c r="B1940" s="1">
        <v>10524096</v>
      </c>
      <c r="C1940" t="s">
        <v>1801</v>
      </c>
      <c r="D1940" s="23">
        <v>-6944</v>
      </c>
      <c r="E1940" t="s">
        <v>35</v>
      </c>
      <c r="F1940" s="2">
        <v>212901001</v>
      </c>
      <c r="G1940" s="2" t="s">
        <v>91</v>
      </c>
      <c r="I1940" s="95" t="s">
        <v>7231</v>
      </c>
      <c r="J1940" t="s">
        <v>61</v>
      </c>
      <c r="K1940" s="49" t="s">
        <v>62</v>
      </c>
      <c r="L1940" s="49"/>
      <c r="M1940">
        <v>69.44</v>
      </c>
      <c r="N1940" s="4">
        <f t="shared" si="30"/>
        <v>-100</v>
      </c>
      <c r="O1940" t="s">
        <v>83</v>
      </c>
    </row>
    <row r="1941" spans="1:15" x14ac:dyDescent="0.25">
      <c r="A1941" s="43">
        <v>45744</v>
      </c>
      <c r="B1941" s="1">
        <v>10524095</v>
      </c>
      <c r="C1941" t="s">
        <v>1802</v>
      </c>
      <c r="D1941" s="23">
        <v>-6944</v>
      </c>
      <c r="E1941" t="s">
        <v>35</v>
      </c>
      <c r="F1941" s="2">
        <v>212901001</v>
      </c>
      <c r="G1941" s="2" t="s">
        <v>91</v>
      </c>
      <c r="I1941" s="95" t="s">
        <v>7231</v>
      </c>
      <c r="J1941" t="s">
        <v>61</v>
      </c>
      <c r="K1941" s="49" t="s">
        <v>62</v>
      </c>
      <c r="L1941" s="49"/>
      <c r="M1941">
        <v>69.44</v>
      </c>
      <c r="N1941" s="4">
        <f t="shared" si="30"/>
        <v>-100</v>
      </c>
      <c r="O1941" t="s">
        <v>83</v>
      </c>
    </row>
    <row r="1942" spans="1:15" x14ac:dyDescent="0.25">
      <c r="A1942" s="43">
        <v>45744</v>
      </c>
      <c r="B1942" s="1">
        <v>910524091</v>
      </c>
      <c r="C1942" t="s">
        <v>1803</v>
      </c>
      <c r="D1942" s="23">
        <v>-6944</v>
      </c>
      <c r="E1942" t="s">
        <v>35</v>
      </c>
      <c r="F1942" s="2">
        <v>212901001</v>
      </c>
      <c r="G1942" s="2" t="s">
        <v>91</v>
      </c>
      <c r="I1942" s="95" t="s">
        <v>7231</v>
      </c>
      <c r="J1942" t="s">
        <v>61</v>
      </c>
      <c r="K1942" s="49" t="s">
        <v>62</v>
      </c>
      <c r="L1942" s="49"/>
      <c r="M1942">
        <v>69.44</v>
      </c>
      <c r="N1942" s="4">
        <f t="shared" si="30"/>
        <v>-100</v>
      </c>
      <c r="O1942" t="s">
        <v>83</v>
      </c>
    </row>
    <row r="1943" spans="1:15" x14ac:dyDescent="0.25">
      <c r="A1943" s="43">
        <v>45744</v>
      </c>
      <c r="B1943" s="1">
        <v>10524093</v>
      </c>
      <c r="C1943" t="s">
        <v>1804</v>
      </c>
      <c r="D1943" s="23">
        <v>-6944</v>
      </c>
      <c r="E1943" t="s">
        <v>35</v>
      </c>
      <c r="F1943" s="2">
        <v>212901001</v>
      </c>
      <c r="G1943" s="2" t="s">
        <v>91</v>
      </c>
      <c r="I1943" s="95" t="s">
        <v>7231</v>
      </c>
      <c r="J1943" t="s">
        <v>61</v>
      </c>
      <c r="K1943" s="49" t="s">
        <v>62</v>
      </c>
      <c r="L1943" s="49"/>
      <c r="M1943">
        <v>69.44</v>
      </c>
      <c r="N1943" s="4">
        <f t="shared" si="30"/>
        <v>-100</v>
      </c>
      <c r="O1943" t="s">
        <v>83</v>
      </c>
    </row>
    <row r="1944" spans="1:15" x14ac:dyDescent="0.25">
      <c r="A1944" s="43">
        <v>45744</v>
      </c>
      <c r="B1944" s="1">
        <v>10524100</v>
      </c>
      <c r="C1944" t="s">
        <v>1805</v>
      </c>
      <c r="D1944" s="23">
        <v>-8332.7999999999993</v>
      </c>
      <c r="E1944" t="s">
        <v>35</v>
      </c>
      <c r="F1944" s="2">
        <v>212901001</v>
      </c>
      <c r="G1944" s="2" t="s">
        <v>91</v>
      </c>
      <c r="I1944" s="95" t="s">
        <v>7231</v>
      </c>
      <c r="J1944" t="s">
        <v>61</v>
      </c>
      <c r="K1944" s="49" t="s">
        <v>62</v>
      </c>
      <c r="L1944" s="49"/>
      <c r="M1944">
        <v>69.44</v>
      </c>
      <c r="N1944" s="4">
        <f t="shared" si="30"/>
        <v>-120</v>
      </c>
      <c r="O1944" t="s">
        <v>83</v>
      </c>
    </row>
    <row r="1945" spans="1:15" x14ac:dyDescent="0.25">
      <c r="A1945" s="43">
        <v>45744</v>
      </c>
      <c r="B1945" s="1">
        <v>10524097</v>
      </c>
      <c r="C1945" t="s">
        <v>1806</v>
      </c>
      <c r="D1945" s="23">
        <v>-13193.6</v>
      </c>
      <c r="E1945" t="s">
        <v>35</v>
      </c>
      <c r="F1945" s="2">
        <v>212901001</v>
      </c>
      <c r="G1945" s="2" t="s">
        <v>91</v>
      </c>
      <c r="I1945" s="95" t="s">
        <v>7231</v>
      </c>
      <c r="J1945" t="s">
        <v>61</v>
      </c>
      <c r="K1945" s="49" t="s">
        <v>62</v>
      </c>
      <c r="L1945" s="49"/>
      <c r="M1945">
        <v>69.44</v>
      </c>
      <c r="N1945" s="4">
        <f t="shared" si="30"/>
        <v>-190</v>
      </c>
      <c r="O1945" t="s">
        <v>83</v>
      </c>
    </row>
    <row r="1946" spans="1:15" x14ac:dyDescent="0.25">
      <c r="A1946" s="43">
        <v>45744</v>
      </c>
      <c r="B1946" s="1">
        <v>10524102</v>
      </c>
      <c r="C1946" t="s">
        <v>1807</v>
      </c>
      <c r="D1946" s="23">
        <v>-8332.7999999999993</v>
      </c>
      <c r="E1946" t="s">
        <v>35</v>
      </c>
      <c r="F1946" s="2">
        <v>212901001</v>
      </c>
      <c r="G1946" s="2" t="s">
        <v>91</v>
      </c>
      <c r="I1946" s="95" t="s">
        <v>7231</v>
      </c>
      <c r="J1946" t="s">
        <v>61</v>
      </c>
      <c r="K1946" s="49" t="s">
        <v>62</v>
      </c>
      <c r="L1946" s="49"/>
      <c r="M1946">
        <v>69.44</v>
      </c>
      <c r="N1946" s="4">
        <f t="shared" si="30"/>
        <v>-120</v>
      </c>
      <c r="O1946" t="s">
        <v>83</v>
      </c>
    </row>
    <row r="1947" spans="1:15" x14ac:dyDescent="0.25">
      <c r="A1947" s="43">
        <v>45744</v>
      </c>
      <c r="B1947" s="1">
        <v>10524099</v>
      </c>
      <c r="C1947" t="s">
        <v>1808</v>
      </c>
      <c r="D1947" s="23">
        <v>-8332.7999999999993</v>
      </c>
      <c r="E1947" t="s">
        <v>35</v>
      </c>
      <c r="F1947" s="2">
        <v>212901001</v>
      </c>
      <c r="G1947" s="2" t="s">
        <v>91</v>
      </c>
      <c r="I1947" s="95" t="s">
        <v>7231</v>
      </c>
      <c r="J1947" t="s">
        <v>61</v>
      </c>
      <c r="K1947" s="49" t="s">
        <v>62</v>
      </c>
      <c r="L1947" s="49"/>
      <c r="M1947">
        <v>69.44</v>
      </c>
      <c r="N1947" s="4">
        <f t="shared" si="30"/>
        <v>-120</v>
      </c>
      <c r="O1947" t="s">
        <v>83</v>
      </c>
    </row>
    <row r="1948" spans="1:15" x14ac:dyDescent="0.25">
      <c r="A1948" s="43">
        <v>45744</v>
      </c>
      <c r="B1948" s="1">
        <v>10524098</v>
      </c>
      <c r="C1948" t="s">
        <v>1809</v>
      </c>
      <c r="D1948" s="23">
        <v>-9721.6</v>
      </c>
      <c r="E1948" t="s">
        <v>35</v>
      </c>
      <c r="F1948" s="2">
        <v>212901001</v>
      </c>
      <c r="G1948" s="2" t="s">
        <v>91</v>
      </c>
      <c r="I1948" s="95" t="s">
        <v>7231</v>
      </c>
      <c r="J1948" t="s">
        <v>61</v>
      </c>
      <c r="K1948" s="49" t="s">
        <v>62</v>
      </c>
      <c r="L1948" s="49"/>
      <c r="M1948">
        <v>69.44</v>
      </c>
      <c r="N1948" s="4">
        <f t="shared" si="30"/>
        <v>-140</v>
      </c>
      <c r="O1948" t="s">
        <v>83</v>
      </c>
    </row>
    <row r="1949" spans="1:15" x14ac:dyDescent="0.25">
      <c r="A1949" s="43">
        <v>45744</v>
      </c>
      <c r="B1949" s="1">
        <v>110524104</v>
      </c>
      <c r="C1949" t="s">
        <v>1810</v>
      </c>
      <c r="D1949" s="23">
        <v>-8332.7999999999993</v>
      </c>
      <c r="E1949" t="s">
        <v>35</v>
      </c>
      <c r="F1949" s="2">
        <v>212901001</v>
      </c>
      <c r="G1949" s="2" t="s">
        <v>91</v>
      </c>
      <c r="I1949" s="95" t="s">
        <v>7231</v>
      </c>
      <c r="J1949" t="s">
        <v>61</v>
      </c>
      <c r="K1949" s="49" t="s">
        <v>62</v>
      </c>
      <c r="L1949" s="49"/>
      <c r="M1949">
        <v>69.44</v>
      </c>
      <c r="N1949" s="4">
        <f t="shared" si="30"/>
        <v>-120</v>
      </c>
      <c r="O1949" t="s">
        <v>83</v>
      </c>
    </row>
    <row r="1950" spans="1:15" x14ac:dyDescent="0.25">
      <c r="A1950" s="43">
        <v>45744</v>
      </c>
      <c r="B1950" s="1">
        <v>10524103</v>
      </c>
      <c r="C1950" t="s">
        <v>1811</v>
      </c>
      <c r="D1950" s="23">
        <v>-8332.7999999999993</v>
      </c>
      <c r="E1950" t="s">
        <v>35</v>
      </c>
      <c r="F1950" s="2">
        <v>212901001</v>
      </c>
      <c r="G1950" s="2" t="s">
        <v>91</v>
      </c>
      <c r="I1950" s="95" t="s">
        <v>7231</v>
      </c>
      <c r="J1950" t="s">
        <v>61</v>
      </c>
      <c r="K1950" s="49" t="s">
        <v>62</v>
      </c>
      <c r="L1950" s="49"/>
      <c r="M1950">
        <v>69.44</v>
      </c>
      <c r="N1950" s="4">
        <f t="shared" si="30"/>
        <v>-120</v>
      </c>
      <c r="O1950" t="s">
        <v>83</v>
      </c>
    </row>
    <row r="1951" spans="1:15" x14ac:dyDescent="0.25">
      <c r="A1951" s="43">
        <v>45744</v>
      </c>
      <c r="B1951" s="1">
        <v>10524101</v>
      </c>
      <c r="C1951" t="s">
        <v>1812</v>
      </c>
      <c r="D1951" s="23">
        <v>-8332.7999999999993</v>
      </c>
      <c r="E1951" t="s">
        <v>35</v>
      </c>
      <c r="F1951" s="2">
        <v>212901001</v>
      </c>
      <c r="G1951" s="2" t="s">
        <v>91</v>
      </c>
      <c r="I1951" s="95" t="s">
        <v>7231</v>
      </c>
      <c r="J1951" t="s">
        <v>61</v>
      </c>
      <c r="K1951" s="49" t="s">
        <v>62</v>
      </c>
      <c r="L1951" s="49"/>
      <c r="M1951">
        <v>69.44</v>
      </c>
      <c r="N1951" s="4">
        <f t="shared" si="30"/>
        <v>-120</v>
      </c>
      <c r="O1951" t="s">
        <v>83</v>
      </c>
    </row>
    <row r="1952" spans="1:15" x14ac:dyDescent="0.25">
      <c r="A1952" s="43">
        <v>45744</v>
      </c>
      <c r="B1952" s="1">
        <v>110524107</v>
      </c>
      <c r="C1952" t="s">
        <v>1813</v>
      </c>
      <c r="D1952" s="23">
        <v>-6249.6</v>
      </c>
      <c r="E1952" t="s">
        <v>35</v>
      </c>
      <c r="F1952" s="2">
        <v>212901001</v>
      </c>
      <c r="G1952" s="2" t="s">
        <v>91</v>
      </c>
      <c r="I1952" s="95" t="s">
        <v>7231</v>
      </c>
      <c r="J1952" t="s">
        <v>61</v>
      </c>
      <c r="K1952" s="49" t="s">
        <v>62</v>
      </c>
      <c r="L1952" s="49"/>
      <c r="M1952">
        <v>69.44</v>
      </c>
      <c r="N1952" s="4">
        <f t="shared" si="30"/>
        <v>-90.000000000000014</v>
      </c>
      <c r="O1952" t="s">
        <v>83</v>
      </c>
    </row>
    <row r="1953" spans="1:15" x14ac:dyDescent="0.25">
      <c r="A1953" s="43">
        <v>45744</v>
      </c>
      <c r="B1953" s="1">
        <v>110524110</v>
      </c>
      <c r="C1953" t="s">
        <v>1814</v>
      </c>
      <c r="D1953" s="23">
        <v>-6249.6</v>
      </c>
      <c r="E1953" t="s">
        <v>35</v>
      </c>
      <c r="F1953" s="2">
        <v>212901001</v>
      </c>
      <c r="G1953" s="2" t="s">
        <v>91</v>
      </c>
      <c r="I1953" s="95" t="s">
        <v>7231</v>
      </c>
      <c r="J1953" t="s">
        <v>61</v>
      </c>
      <c r="K1953" s="49" t="s">
        <v>62</v>
      </c>
      <c r="L1953" s="49"/>
      <c r="M1953">
        <v>69.44</v>
      </c>
      <c r="N1953" s="4">
        <f t="shared" si="30"/>
        <v>-90.000000000000014</v>
      </c>
      <c r="O1953" t="s">
        <v>83</v>
      </c>
    </row>
    <row r="1954" spans="1:15" x14ac:dyDescent="0.25">
      <c r="A1954" s="43">
        <v>45744</v>
      </c>
      <c r="B1954" s="1">
        <v>110524111</v>
      </c>
      <c r="C1954" t="s">
        <v>1815</v>
      </c>
      <c r="D1954" s="23">
        <v>-6249.6</v>
      </c>
      <c r="E1954" t="s">
        <v>35</v>
      </c>
      <c r="F1954" s="2">
        <v>212901001</v>
      </c>
      <c r="G1954" s="2" t="s">
        <v>91</v>
      </c>
      <c r="I1954" s="95" t="s">
        <v>7231</v>
      </c>
      <c r="J1954" t="s">
        <v>61</v>
      </c>
      <c r="K1954" s="49" t="s">
        <v>62</v>
      </c>
      <c r="L1954" s="49"/>
      <c r="M1954">
        <v>69.44</v>
      </c>
      <c r="N1954" s="4">
        <f t="shared" si="30"/>
        <v>-90.000000000000014</v>
      </c>
      <c r="O1954" t="s">
        <v>83</v>
      </c>
    </row>
    <row r="1955" spans="1:15" x14ac:dyDescent="0.25">
      <c r="A1955" s="43">
        <v>45744</v>
      </c>
      <c r="B1955" s="1">
        <v>110524106</v>
      </c>
      <c r="C1955" t="s">
        <v>1816</v>
      </c>
      <c r="D1955" s="23">
        <v>-5694.08</v>
      </c>
      <c r="E1955" t="s">
        <v>35</v>
      </c>
      <c r="F1955" s="2">
        <v>212901001</v>
      </c>
      <c r="G1955" s="2" t="s">
        <v>91</v>
      </c>
      <c r="I1955" s="95" t="s">
        <v>7231</v>
      </c>
      <c r="J1955" t="s">
        <v>61</v>
      </c>
      <c r="K1955" s="49" t="s">
        <v>62</v>
      </c>
      <c r="L1955" s="49"/>
      <c r="M1955">
        <v>69.44</v>
      </c>
      <c r="N1955" s="4">
        <f t="shared" si="30"/>
        <v>-82</v>
      </c>
      <c r="O1955" t="s">
        <v>83</v>
      </c>
    </row>
    <row r="1956" spans="1:15" x14ac:dyDescent="0.25">
      <c r="A1956" s="43">
        <v>45744</v>
      </c>
      <c r="B1956" s="1">
        <v>110524108</v>
      </c>
      <c r="C1956" t="s">
        <v>1817</v>
      </c>
      <c r="D1956" s="23">
        <v>-6249.6</v>
      </c>
      <c r="E1956" t="s">
        <v>35</v>
      </c>
      <c r="F1956" s="2">
        <v>212901001</v>
      </c>
      <c r="G1956" s="2" t="s">
        <v>91</v>
      </c>
      <c r="I1956" s="95" t="s">
        <v>7231</v>
      </c>
      <c r="J1956" t="s">
        <v>61</v>
      </c>
      <c r="K1956" s="49" t="s">
        <v>62</v>
      </c>
      <c r="L1956" s="49"/>
      <c r="M1956">
        <v>69.44</v>
      </c>
      <c r="N1956" s="4">
        <f t="shared" si="30"/>
        <v>-90.000000000000014</v>
      </c>
      <c r="O1956" t="s">
        <v>83</v>
      </c>
    </row>
    <row r="1957" spans="1:15" x14ac:dyDescent="0.25">
      <c r="A1957" s="43">
        <v>45744</v>
      </c>
      <c r="B1957" s="1">
        <v>110524109</v>
      </c>
      <c r="C1957" t="s">
        <v>1818</v>
      </c>
      <c r="D1957" s="23">
        <v>-6249.6</v>
      </c>
      <c r="E1957" t="s">
        <v>35</v>
      </c>
      <c r="F1957" s="2">
        <v>212901001</v>
      </c>
      <c r="G1957" s="2" t="s">
        <v>91</v>
      </c>
      <c r="I1957" s="95" t="s">
        <v>7231</v>
      </c>
      <c r="J1957" t="s">
        <v>61</v>
      </c>
      <c r="K1957" s="49" t="s">
        <v>62</v>
      </c>
      <c r="L1957" s="49"/>
      <c r="M1957">
        <v>69.44</v>
      </c>
      <c r="N1957" s="4">
        <f t="shared" si="30"/>
        <v>-90.000000000000014</v>
      </c>
      <c r="O1957" t="s">
        <v>83</v>
      </c>
    </row>
    <row r="1958" spans="1:15" x14ac:dyDescent="0.25">
      <c r="A1958" s="43">
        <v>45744</v>
      </c>
      <c r="B1958" s="1">
        <v>110524114</v>
      </c>
      <c r="C1958" t="s">
        <v>1819</v>
      </c>
      <c r="D1958" s="23">
        <v>-5555.2</v>
      </c>
      <c r="E1958" t="s">
        <v>35</v>
      </c>
      <c r="F1958" s="2">
        <v>212901001</v>
      </c>
      <c r="G1958" s="2" t="s">
        <v>91</v>
      </c>
      <c r="I1958" s="95" t="s">
        <v>7231</v>
      </c>
      <c r="J1958" t="s">
        <v>61</v>
      </c>
      <c r="K1958" s="49" t="s">
        <v>62</v>
      </c>
      <c r="L1958" s="49"/>
      <c r="M1958">
        <v>69.44</v>
      </c>
      <c r="N1958" s="4">
        <f t="shared" si="30"/>
        <v>-80</v>
      </c>
      <c r="O1958" t="s">
        <v>83</v>
      </c>
    </row>
    <row r="1959" spans="1:15" x14ac:dyDescent="0.25">
      <c r="A1959" s="43">
        <v>45744</v>
      </c>
      <c r="B1959" s="1">
        <v>110524113</v>
      </c>
      <c r="C1959" t="s">
        <v>1820</v>
      </c>
      <c r="D1959" s="23">
        <v>-5555.2</v>
      </c>
      <c r="E1959" t="s">
        <v>35</v>
      </c>
      <c r="F1959" s="2">
        <v>212901001</v>
      </c>
      <c r="G1959" s="2" t="s">
        <v>91</v>
      </c>
      <c r="I1959" s="95" t="s">
        <v>7231</v>
      </c>
      <c r="J1959" t="s">
        <v>61</v>
      </c>
      <c r="K1959" s="49" t="s">
        <v>62</v>
      </c>
      <c r="L1959" s="49"/>
      <c r="M1959">
        <v>69.44</v>
      </c>
      <c r="N1959" s="4">
        <f t="shared" si="30"/>
        <v>-80</v>
      </c>
      <c r="O1959" t="s">
        <v>83</v>
      </c>
    </row>
    <row r="1960" spans="1:15" x14ac:dyDescent="0.25">
      <c r="A1960" s="43">
        <v>45744</v>
      </c>
      <c r="B1960" s="1">
        <v>110524112</v>
      </c>
      <c r="C1960" t="s">
        <v>1821</v>
      </c>
      <c r="D1960" s="23">
        <v>-5555.2</v>
      </c>
      <c r="E1960" t="s">
        <v>35</v>
      </c>
      <c r="F1960" s="2">
        <v>212901001</v>
      </c>
      <c r="G1960" s="2" t="s">
        <v>91</v>
      </c>
      <c r="I1960" s="95" t="s">
        <v>7231</v>
      </c>
      <c r="J1960" t="s">
        <v>61</v>
      </c>
      <c r="K1960" s="49" t="s">
        <v>62</v>
      </c>
      <c r="L1960" s="49"/>
      <c r="M1960">
        <v>69.44</v>
      </c>
      <c r="N1960" s="4">
        <f t="shared" si="30"/>
        <v>-80</v>
      </c>
      <c r="O1960" t="s">
        <v>83</v>
      </c>
    </row>
    <row r="1961" spans="1:15" x14ac:dyDescent="0.25">
      <c r="A1961" s="43">
        <v>45744</v>
      </c>
      <c r="B1961" s="1">
        <v>210524121</v>
      </c>
      <c r="C1961" t="s">
        <v>1822</v>
      </c>
      <c r="D1961" s="23">
        <v>-13193.6</v>
      </c>
      <c r="E1961" t="s">
        <v>35</v>
      </c>
      <c r="F1961" s="2">
        <v>212901001</v>
      </c>
      <c r="G1961" s="2" t="s">
        <v>91</v>
      </c>
      <c r="I1961" s="95" t="s">
        <v>7231</v>
      </c>
      <c r="J1961" t="s">
        <v>61</v>
      </c>
      <c r="K1961" s="49" t="s">
        <v>62</v>
      </c>
      <c r="L1961" s="49"/>
      <c r="M1961">
        <v>69.44</v>
      </c>
      <c r="N1961" s="4">
        <f t="shared" si="30"/>
        <v>-190</v>
      </c>
      <c r="O1961" t="s">
        <v>83</v>
      </c>
    </row>
    <row r="1962" spans="1:15" x14ac:dyDescent="0.25">
      <c r="A1962" s="43">
        <v>45744</v>
      </c>
      <c r="B1962" s="1">
        <v>210524116</v>
      </c>
      <c r="C1962" t="s">
        <v>1823</v>
      </c>
      <c r="D1962" s="23">
        <v>-5555.2</v>
      </c>
      <c r="E1962" t="s">
        <v>35</v>
      </c>
      <c r="F1962" s="2">
        <v>212901001</v>
      </c>
      <c r="G1962" s="2" t="s">
        <v>91</v>
      </c>
      <c r="I1962" s="95" t="s">
        <v>7231</v>
      </c>
      <c r="J1962" t="s">
        <v>61</v>
      </c>
      <c r="K1962" s="49" t="s">
        <v>62</v>
      </c>
      <c r="L1962" s="49"/>
      <c r="M1962">
        <v>69.44</v>
      </c>
      <c r="N1962" s="4">
        <f t="shared" si="30"/>
        <v>-80</v>
      </c>
      <c r="O1962" t="s">
        <v>83</v>
      </c>
    </row>
    <row r="1963" spans="1:15" x14ac:dyDescent="0.25">
      <c r="A1963" s="43">
        <v>45744</v>
      </c>
      <c r="B1963" s="1">
        <v>210524119</v>
      </c>
      <c r="C1963" t="s">
        <v>1824</v>
      </c>
      <c r="D1963" s="23">
        <v>-6944</v>
      </c>
      <c r="E1963" t="s">
        <v>35</v>
      </c>
      <c r="F1963" s="2">
        <v>212901001</v>
      </c>
      <c r="G1963" s="2" t="s">
        <v>91</v>
      </c>
      <c r="I1963" s="95" t="s">
        <v>7231</v>
      </c>
      <c r="J1963" t="s">
        <v>61</v>
      </c>
      <c r="K1963" s="49" t="s">
        <v>62</v>
      </c>
      <c r="L1963" s="49"/>
      <c r="M1963">
        <v>69.44</v>
      </c>
      <c r="N1963" s="4">
        <f t="shared" si="30"/>
        <v>-100</v>
      </c>
      <c r="O1963" t="s">
        <v>83</v>
      </c>
    </row>
    <row r="1964" spans="1:15" x14ac:dyDescent="0.25">
      <c r="A1964" s="43">
        <v>45744</v>
      </c>
      <c r="B1964" s="1">
        <v>210524117</v>
      </c>
      <c r="C1964" t="s">
        <v>1825</v>
      </c>
      <c r="D1964" s="23">
        <v>-5555.2</v>
      </c>
      <c r="E1964" t="s">
        <v>35</v>
      </c>
      <c r="F1964" s="2">
        <v>212901001</v>
      </c>
      <c r="G1964" s="2" t="s">
        <v>91</v>
      </c>
      <c r="I1964" s="95" t="s">
        <v>7231</v>
      </c>
      <c r="J1964" t="s">
        <v>61</v>
      </c>
      <c r="K1964" s="49" t="s">
        <v>62</v>
      </c>
      <c r="L1964" s="49"/>
      <c r="M1964">
        <v>69.44</v>
      </c>
      <c r="N1964" s="4">
        <f t="shared" si="30"/>
        <v>-80</v>
      </c>
      <c r="O1964" t="s">
        <v>83</v>
      </c>
    </row>
    <row r="1965" spans="1:15" x14ac:dyDescent="0.25">
      <c r="A1965" s="43">
        <v>45744</v>
      </c>
      <c r="B1965" s="1">
        <v>210524120</v>
      </c>
      <c r="C1965" t="s">
        <v>1826</v>
      </c>
      <c r="D1965" s="23">
        <v>-9721.6</v>
      </c>
      <c r="E1965" t="s">
        <v>35</v>
      </c>
      <c r="F1965" s="2">
        <v>212901001</v>
      </c>
      <c r="G1965" s="2" t="s">
        <v>91</v>
      </c>
      <c r="I1965" s="95" t="s">
        <v>7231</v>
      </c>
      <c r="J1965" t="s">
        <v>61</v>
      </c>
      <c r="K1965" s="49" t="s">
        <v>62</v>
      </c>
      <c r="L1965" s="49"/>
      <c r="M1965">
        <v>69.44</v>
      </c>
      <c r="N1965" s="4">
        <f t="shared" si="30"/>
        <v>-140</v>
      </c>
      <c r="O1965" t="s">
        <v>83</v>
      </c>
    </row>
    <row r="1966" spans="1:15" x14ac:dyDescent="0.25">
      <c r="A1966" s="43">
        <v>45744</v>
      </c>
      <c r="B1966" s="1">
        <v>210524118</v>
      </c>
      <c r="C1966" t="s">
        <v>1827</v>
      </c>
      <c r="D1966" s="23">
        <v>-5555.2</v>
      </c>
      <c r="E1966" t="s">
        <v>35</v>
      </c>
      <c r="F1966" s="2">
        <v>212901001</v>
      </c>
      <c r="G1966" s="2" t="s">
        <v>91</v>
      </c>
      <c r="I1966" s="95" t="s">
        <v>7231</v>
      </c>
      <c r="J1966" t="s">
        <v>61</v>
      </c>
      <c r="K1966" s="49" t="s">
        <v>62</v>
      </c>
      <c r="L1966" s="49"/>
      <c r="M1966">
        <v>69.44</v>
      </c>
      <c r="N1966" s="4">
        <f t="shared" si="30"/>
        <v>-80</v>
      </c>
      <c r="O1966" t="s">
        <v>83</v>
      </c>
    </row>
    <row r="1967" spans="1:15" x14ac:dyDescent="0.25">
      <c r="A1967" s="43">
        <v>45744</v>
      </c>
      <c r="B1967" s="1">
        <v>210524115</v>
      </c>
      <c r="C1967" t="s">
        <v>1828</v>
      </c>
      <c r="D1967" s="23">
        <v>-5555.2</v>
      </c>
      <c r="E1967" t="s">
        <v>35</v>
      </c>
      <c r="F1967" s="2">
        <v>212901001</v>
      </c>
      <c r="G1967" s="2" t="s">
        <v>91</v>
      </c>
      <c r="I1967" s="95" t="s">
        <v>7231</v>
      </c>
      <c r="J1967" t="s">
        <v>61</v>
      </c>
      <c r="K1967" s="49" t="s">
        <v>62</v>
      </c>
      <c r="L1967" s="49"/>
      <c r="M1967">
        <v>69.44</v>
      </c>
      <c r="N1967" s="4">
        <f t="shared" si="30"/>
        <v>-80</v>
      </c>
      <c r="O1967" t="s">
        <v>83</v>
      </c>
    </row>
    <row r="1968" spans="1:15" x14ac:dyDescent="0.25">
      <c r="A1968" s="43">
        <v>45744</v>
      </c>
      <c r="B1968" s="1">
        <v>210524126</v>
      </c>
      <c r="C1968" t="s">
        <v>1829</v>
      </c>
      <c r="D1968" s="23">
        <v>-9721.6</v>
      </c>
      <c r="E1968" t="s">
        <v>35</v>
      </c>
      <c r="F1968" s="2">
        <v>212901001</v>
      </c>
      <c r="G1968" s="2" t="s">
        <v>91</v>
      </c>
      <c r="I1968" s="95" t="s">
        <v>7231</v>
      </c>
      <c r="J1968" t="s">
        <v>61</v>
      </c>
      <c r="K1968" s="49" t="s">
        <v>62</v>
      </c>
      <c r="L1968" s="49"/>
      <c r="M1968">
        <v>69.44</v>
      </c>
      <c r="N1968" s="4">
        <f t="shared" si="30"/>
        <v>-140</v>
      </c>
      <c r="O1968" t="s">
        <v>83</v>
      </c>
    </row>
    <row r="1969" spans="1:15" x14ac:dyDescent="0.25">
      <c r="A1969" s="43">
        <v>45744</v>
      </c>
      <c r="B1969" s="1">
        <v>210524123</v>
      </c>
      <c r="C1969" t="s">
        <v>1830</v>
      </c>
      <c r="D1969" s="23">
        <v>-4860.8</v>
      </c>
      <c r="E1969" t="s">
        <v>35</v>
      </c>
      <c r="F1969" s="2">
        <v>212901001</v>
      </c>
      <c r="G1969" s="2" t="s">
        <v>91</v>
      </c>
      <c r="I1969" s="95" t="s">
        <v>7231</v>
      </c>
      <c r="J1969" t="s">
        <v>61</v>
      </c>
      <c r="K1969" s="49" t="s">
        <v>62</v>
      </c>
      <c r="L1969" s="49"/>
      <c r="M1969">
        <v>69.44</v>
      </c>
      <c r="N1969" s="4">
        <f t="shared" si="30"/>
        <v>-70</v>
      </c>
      <c r="O1969" t="s">
        <v>83</v>
      </c>
    </row>
    <row r="1970" spans="1:15" x14ac:dyDescent="0.25">
      <c r="A1970" s="43">
        <v>45744</v>
      </c>
      <c r="B1970" s="1">
        <v>310524128</v>
      </c>
      <c r="C1970" t="s">
        <v>1831</v>
      </c>
      <c r="D1970" s="23">
        <v>-6319.04</v>
      </c>
      <c r="E1970" t="s">
        <v>35</v>
      </c>
      <c r="F1970" s="2">
        <v>212901001</v>
      </c>
      <c r="G1970" s="2" t="s">
        <v>91</v>
      </c>
      <c r="I1970" s="95" t="s">
        <v>7231</v>
      </c>
      <c r="J1970" t="s">
        <v>61</v>
      </c>
      <c r="K1970" s="49" t="s">
        <v>62</v>
      </c>
      <c r="L1970" s="49"/>
      <c r="M1970">
        <v>69.44</v>
      </c>
      <c r="N1970" s="4">
        <f t="shared" si="30"/>
        <v>-91</v>
      </c>
      <c r="O1970" t="s">
        <v>83</v>
      </c>
    </row>
    <row r="1971" spans="1:15" x14ac:dyDescent="0.25">
      <c r="A1971" s="43">
        <v>45744</v>
      </c>
      <c r="B1971" s="1">
        <v>210524124</v>
      </c>
      <c r="C1971" t="s">
        <v>1832</v>
      </c>
      <c r="D1971" s="23">
        <v>-10416</v>
      </c>
      <c r="E1971" t="s">
        <v>35</v>
      </c>
      <c r="F1971" s="2">
        <v>212901001</v>
      </c>
      <c r="G1971" s="2" t="s">
        <v>91</v>
      </c>
      <c r="I1971" s="95" t="s">
        <v>7231</v>
      </c>
      <c r="J1971" t="s">
        <v>61</v>
      </c>
      <c r="K1971" s="49" t="s">
        <v>62</v>
      </c>
      <c r="L1971" s="49"/>
      <c r="M1971">
        <v>69.44</v>
      </c>
      <c r="N1971" s="4">
        <f t="shared" si="30"/>
        <v>-150</v>
      </c>
      <c r="O1971" t="s">
        <v>83</v>
      </c>
    </row>
    <row r="1972" spans="1:15" x14ac:dyDescent="0.25">
      <c r="A1972" s="43">
        <v>45744</v>
      </c>
      <c r="B1972" s="1">
        <v>210524125</v>
      </c>
      <c r="C1972" t="s">
        <v>1833</v>
      </c>
      <c r="D1972" s="23">
        <v>-8332.7999999999993</v>
      </c>
      <c r="E1972" t="s">
        <v>35</v>
      </c>
      <c r="F1972" s="2">
        <v>212901001</v>
      </c>
      <c r="G1972" s="2" t="s">
        <v>91</v>
      </c>
      <c r="I1972" s="95" t="s">
        <v>7231</v>
      </c>
      <c r="J1972" t="s">
        <v>61</v>
      </c>
      <c r="K1972" s="49" t="s">
        <v>62</v>
      </c>
      <c r="L1972" s="49"/>
      <c r="M1972">
        <v>69.44</v>
      </c>
      <c r="N1972" s="4">
        <f t="shared" si="30"/>
        <v>-120</v>
      </c>
      <c r="O1972" t="s">
        <v>83</v>
      </c>
    </row>
    <row r="1973" spans="1:15" x14ac:dyDescent="0.25">
      <c r="A1973" s="43">
        <v>45744</v>
      </c>
      <c r="B1973" s="1">
        <v>310524130</v>
      </c>
      <c r="C1973" t="s">
        <v>1834</v>
      </c>
      <c r="D1973" s="23">
        <v>-7638.4</v>
      </c>
      <c r="E1973" t="s">
        <v>35</v>
      </c>
      <c r="F1973" s="2">
        <v>212901001</v>
      </c>
      <c r="G1973" s="2" t="s">
        <v>91</v>
      </c>
      <c r="I1973" s="95" t="s">
        <v>7231</v>
      </c>
      <c r="J1973" t="s">
        <v>61</v>
      </c>
      <c r="K1973" s="49" t="s">
        <v>62</v>
      </c>
      <c r="L1973" s="49"/>
      <c r="M1973">
        <v>69.44</v>
      </c>
      <c r="N1973" s="4">
        <f t="shared" si="30"/>
        <v>-110</v>
      </c>
      <c r="O1973" t="s">
        <v>83</v>
      </c>
    </row>
    <row r="1974" spans="1:15" x14ac:dyDescent="0.25">
      <c r="A1974" s="43">
        <v>45744</v>
      </c>
      <c r="B1974" s="1">
        <v>310524129</v>
      </c>
      <c r="C1974" t="s">
        <v>1835</v>
      </c>
      <c r="D1974" s="23">
        <v>-7638.4</v>
      </c>
      <c r="E1974" t="s">
        <v>35</v>
      </c>
      <c r="F1974" s="2">
        <v>212901001</v>
      </c>
      <c r="G1974" s="2" t="s">
        <v>91</v>
      </c>
      <c r="I1974" s="95" t="s">
        <v>7231</v>
      </c>
      <c r="J1974" t="s">
        <v>61</v>
      </c>
      <c r="K1974" s="49" t="s">
        <v>62</v>
      </c>
      <c r="L1974" s="49"/>
      <c r="M1974">
        <v>69.44</v>
      </c>
      <c r="N1974" s="4">
        <f t="shared" si="30"/>
        <v>-110</v>
      </c>
      <c r="O1974" t="s">
        <v>83</v>
      </c>
    </row>
    <row r="1975" spans="1:15" x14ac:dyDescent="0.25">
      <c r="A1975" s="43">
        <v>45744</v>
      </c>
      <c r="B1975" s="1">
        <v>310524133</v>
      </c>
      <c r="C1975" t="s">
        <v>1836</v>
      </c>
      <c r="D1975" s="23">
        <v>-7638.4</v>
      </c>
      <c r="E1975" t="s">
        <v>35</v>
      </c>
      <c r="F1975" s="2">
        <v>212901001</v>
      </c>
      <c r="G1975" s="2" t="s">
        <v>91</v>
      </c>
      <c r="I1975" s="95" t="s">
        <v>7231</v>
      </c>
      <c r="J1975" t="s">
        <v>61</v>
      </c>
      <c r="K1975" s="49" t="s">
        <v>62</v>
      </c>
      <c r="L1975" s="49"/>
      <c r="M1975">
        <v>69.44</v>
      </c>
      <c r="N1975" s="4">
        <f t="shared" si="30"/>
        <v>-110</v>
      </c>
      <c r="O1975" t="s">
        <v>83</v>
      </c>
    </row>
    <row r="1976" spans="1:15" x14ac:dyDescent="0.25">
      <c r="A1976" s="43">
        <v>45744</v>
      </c>
      <c r="B1976" s="1">
        <v>310524138</v>
      </c>
      <c r="C1976" t="s">
        <v>1837</v>
      </c>
      <c r="D1976" s="23">
        <v>-6249.6</v>
      </c>
      <c r="E1976" t="s">
        <v>35</v>
      </c>
      <c r="F1976" s="2">
        <v>212901001</v>
      </c>
      <c r="G1976" s="2" t="s">
        <v>91</v>
      </c>
      <c r="I1976" s="95" t="s">
        <v>7231</v>
      </c>
      <c r="J1976" t="s">
        <v>61</v>
      </c>
      <c r="K1976" s="49" t="s">
        <v>62</v>
      </c>
      <c r="L1976" s="49"/>
      <c r="M1976">
        <v>69.44</v>
      </c>
      <c r="N1976" s="4">
        <f t="shared" si="30"/>
        <v>-90.000000000000014</v>
      </c>
      <c r="O1976" t="s">
        <v>83</v>
      </c>
    </row>
    <row r="1977" spans="1:15" x14ac:dyDescent="0.25">
      <c r="A1977" s="43">
        <v>45744</v>
      </c>
      <c r="B1977" s="1">
        <v>310524134</v>
      </c>
      <c r="C1977" t="s">
        <v>1838</v>
      </c>
      <c r="D1977" s="23">
        <v>-6249.6</v>
      </c>
      <c r="E1977" t="s">
        <v>35</v>
      </c>
      <c r="F1977" s="2">
        <v>212901001</v>
      </c>
      <c r="G1977" s="2" t="s">
        <v>91</v>
      </c>
      <c r="I1977" s="95" t="s">
        <v>7231</v>
      </c>
      <c r="J1977" t="s">
        <v>61</v>
      </c>
      <c r="K1977" s="49" t="s">
        <v>62</v>
      </c>
      <c r="L1977" s="49"/>
      <c r="M1977">
        <v>69.44</v>
      </c>
      <c r="N1977" s="4">
        <f t="shared" si="30"/>
        <v>-90.000000000000014</v>
      </c>
      <c r="O1977" t="s">
        <v>83</v>
      </c>
    </row>
    <row r="1978" spans="1:15" x14ac:dyDescent="0.25">
      <c r="A1978" s="43">
        <v>45744</v>
      </c>
      <c r="B1978" s="1">
        <v>310524135</v>
      </c>
      <c r="C1978" t="s">
        <v>1839</v>
      </c>
      <c r="D1978" s="23">
        <v>-6249.6</v>
      </c>
      <c r="E1978" t="s">
        <v>35</v>
      </c>
      <c r="F1978" s="2">
        <v>212901001</v>
      </c>
      <c r="G1978" s="2" t="s">
        <v>91</v>
      </c>
      <c r="I1978" s="95" t="s">
        <v>7231</v>
      </c>
      <c r="J1978" t="s">
        <v>61</v>
      </c>
      <c r="K1978" s="49" t="s">
        <v>62</v>
      </c>
      <c r="L1978" s="49"/>
      <c r="M1978">
        <v>69.44</v>
      </c>
      <c r="N1978" s="4">
        <f t="shared" si="30"/>
        <v>-90.000000000000014</v>
      </c>
      <c r="O1978" t="s">
        <v>83</v>
      </c>
    </row>
    <row r="1979" spans="1:15" x14ac:dyDescent="0.25">
      <c r="A1979" s="43">
        <v>45744</v>
      </c>
      <c r="B1979" s="1">
        <v>410524143</v>
      </c>
      <c r="C1979" t="s">
        <v>1840</v>
      </c>
      <c r="D1979" s="23">
        <v>-6249.6</v>
      </c>
      <c r="E1979" t="s">
        <v>35</v>
      </c>
      <c r="F1979" s="2">
        <v>212901001</v>
      </c>
      <c r="G1979" s="2" t="s">
        <v>91</v>
      </c>
      <c r="I1979" s="95" t="s">
        <v>7231</v>
      </c>
      <c r="J1979" t="s">
        <v>61</v>
      </c>
      <c r="K1979" s="49" t="s">
        <v>62</v>
      </c>
      <c r="L1979" s="49"/>
      <c r="M1979">
        <v>69.44</v>
      </c>
      <c r="N1979" s="4">
        <f t="shared" si="30"/>
        <v>-90.000000000000014</v>
      </c>
      <c r="O1979" t="s">
        <v>83</v>
      </c>
    </row>
    <row r="1980" spans="1:15" x14ac:dyDescent="0.25">
      <c r="A1980" s="43">
        <v>45744</v>
      </c>
      <c r="B1980" s="1">
        <v>410524141</v>
      </c>
      <c r="C1980" t="s">
        <v>1841</v>
      </c>
      <c r="D1980" s="23">
        <v>-6249.6</v>
      </c>
      <c r="E1980" t="s">
        <v>35</v>
      </c>
      <c r="F1980" s="2">
        <v>212901001</v>
      </c>
      <c r="G1980" s="2" t="s">
        <v>91</v>
      </c>
      <c r="I1980" s="95" t="s">
        <v>7231</v>
      </c>
      <c r="J1980" t="s">
        <v>61</v>
      </c>
      <c r="K1980" s="49" t="s">
        <v>62</v>
      </c>
      <c r="L1980" s="49"/>
      <c r="M1980">
        <v>69.44</v>
      </c>
      <c r="N1980" s="4">
        <f t="shared" si="30"/>
        <v>-90.000000000000014</v>
      </c>
      <c r="O1980" t="s">
        <v>83</v>
      </c>
    </row>
    <row r="1981" spans="1:15" x14ac:dyDescent="0.25">
      <c r="A1981" s="43">
        <v>45744</v>
      </c>
      <c r="B1981" s="1">
        <v>310524139</v>
      </c>
      <c r="C1981" t="s">
        <v>1837</v>
      </c>
      <c r="D1981" s="23">
        <v>-6249.6</v>
      </c>
      <c r="E1981" t="s">
        <v>35</v>
      </c>
      <c r="F1981" s="2">
        <v>212901001</v>
      </c>
      <c r="G1981" s="2" t="s">
        <v>91</v>
      </c>
      <c r="I1981" s="95" t="s">
        <v>7231</v>
      </c>
      <c r="J1981" t="s">
        <v>61</v>
      </c>
      <c r="K1981" s="49" t="s">
        <v>62</v>
      </c>
      <c r="L1981" s="49"/>
      <c r="M1981">
        <v>69.44</v>
      </c>
      <c r="N1981" s="4">
        <f t="shared" si="30"/>
        <v>-90.000000000000014</v>
      </c>
      <c r="O1981" t="s">
        <v>83</v>
      </c>
    </row>
    <row r="1982" spans="1:15" x14ac:dyDescent="0.25">
      <c r="A1982" s="43">
        <v>45744</v>
      </c>
      <c r="B1982" s="1">
        <v>410524142</v>
      </c>
      <c r="C1982" t="s">
        <v>1842</v>
      </c>
      <c r="D1982" s="23">
        <v>-6249.6</v>
      </c>
      <c r="E1982" t="s">
        <v>35</v>
      </c>
      <c r="F1982" s="2">
        <v>212901001</v>
      </c>
      <c r="G1982" s="2" t="s">
        <v>91</v>
      </c>
      <c r="I1982" s="95" t="s">
        <v>7231</v>
      </c>
      <c r="J1982" t="s">
        <v>61</v>
      </c>
      <c r="K1982" s="49" t="s">
        <v>62</v>
      </c>
      <c r="L1982" s="49"/>
      <c r="M1982">
        <v>69.44</v>
      </c>
      <c r="N1982" s="4">
        <f t="shared" si="30"/>
        <v>-90.000000000000014</v>
      </c>
      <c r="O1982" t="s">
        <v>83</v>
      </c>
    </row>
    <row r="1983" spans="1:15" x14ac:dyDescent="0.25">
      <c r="A1983" s="43">
        <v>45744</v>
      </c>
      <c r="B1983" s="1">
        <v>310524140</v>
      </c>
      <c r="C1983" t="s">
        <v>1843</v>
      </c>
      <c r="D1983" s="23">
        <v>-6249.6</v>
      </c>
      <c r="E1983" t="s">
        <v>35</v>
      </c>
      <c r="F1983" s="2">
        <v>212901001</v>
      </c>
      <c r="G1983" s="2" t="s">
        <v>91</v>
      </c>
      <c r="I1983" s="95" t="s">
        <v>7231</v>
      </c>
      <c r="J1983" t="s">
        <v>61</v>
      </c>
      <c r="K1983" s="49" t="s">
        <v>62</v>
      </c>
      <c r="L1983" s="49"/>
      <c r="M1983">
        <v>69.44</v>
      </c>
      <c r="N1983" s="4">
        <f t="shared" si="30"/>
        <v>-90.000000000000014</v>
      </c>
      <c r="O1983" t="s">
        <v>83</v>
      </c>
    </row>
    <row r="1984" spans="1:15" x14ac:dyDescent="0.25">
      <c r="A1984" s="43">
        <v>45744</v>
      </c>
      <c r="B1984" s="1">
        <v>410524148</v>
      </c>
      <c r="C1984" t="s">
        <v>1844</v>
      </c>
      <c r="D1984" s="23">
        <v>-6249.6</v>
      </c>
      <c r="E1984" t="s">
        <v>35</v>
      </c>
      <c r="F1984" s="2">
        <v>212901001</v>
      </c>
      <c r="G1984" s="2" t="s">
        <v>91</v>
      </c>
      <c r="I1984" s="95" t="s">
        <v>7231</v>
      </c>
      <c r="J1984" t="s">
        <v>61</v>
      </c>
      <c r="K1984" s="49" t="s">
        <v>62</v>
      </c>
      <c r="L1984" s="49"/>
      <c r="M1984">
        <v>69.44</v>
      </c>
      <c r="N1984" s="4">
        <f t="shared" si="30"/>
        <v>-90.000000000000014</v>
      </c>
      <c r="O1984" t="s">
        <v>83</v>
      </c>
    </row>
    <row r="1985" spans="1:17" x14ac:dyDescent="0.25">
      <c r="A1985" s="43">
        <v>45744</v>
      </c>
      <c r="B1985" s="1">
        <v>410524144</v>
      </c>
      <c r="C1985" t="s">
        <v>1845</v>
      </c>
      <c r="D1985" s="23">
        <v>-6249.6</v>
      </c>
      <c r="E1985" t="s">
        <v>35</v>
      </c>
      <c r="F1985" s="2">
        <v>212901001</v>
      </c>
      <c r="G1985" s="2" t="s">
        <v>91</v>
      </c>
      <c r="I1985" s="95" t="s">
        <v>7231</v>
      </c>
      <c r="J1985" t="s">
        <v>61</v>
      </c>
      <c r="K1985" s="49" t="s">
        <v>62</v>
      </c>
      <c r="L1985" s="49"/>
      <c r="M1985">
        <v>69.44</v>
      </c>
      <c r="N1985" s="4">
        <f t="shared" si="30"/>
        <v>-90.000000000000014</v>
      </c>
      <c r="O1985" t="s">
        <v>83</v>
      </c>
    </row>
    <row r="1986" spans="1:17" x14ac:dyDescent="0.25">
      <c r="A1986" s="43">
        <v>45744</v>
      </c>
      <c r="B1986" s="1">
        <v>410524146</v>
      </c>
      <c r="C1986" t="s">
        <v>1846</v>
      </c>
      <c r="D1986" s="23">
        <v>-6249.6</v>
      </c>
      <c r="E1986" t="s">
        <v>35</v>
      </c>
      <c r="F1986" s="2">
        <v>212901001</v>
      </c>
      <c r="G1986" s="2" t="s">
        <v>91</v>
      </c>
      <c r="I1986" s="95" t="s">
        <v>7231</v>
      </c>
      <c r="J1986" t="s">
        <v>61</v>
      </c>
      <c r="K1986" s="49" t="s">
        <v>62</v>
      </c>
      <c r="L1986" s="49"/>
      <c r="M1986">
        <v>69.44</v>
      </c>
      <c r="N1986" s="4">
        <f t="shared" si="30"/>
        <v>-90.000000000000014</v>
      </c>
      <c r="O1986" t="s">
        <v>83</v>
      </c>
    </row>
    <row r="1987" spans="1:17" x14ac:dyDescent="0.25">
      <c r="A1987" s="43">
        <v>45744</v>
      </c>
      <c r="B1987" s="1">
        <v>410524147</v>
      </c>
      <c r="C1987" t="s">
        <v>1847</v>
      </c>
      <c r="D1987" s="23">
        <v>-6249.6</v>
      </c>
      <c r="E1987" t="s">
        <v>35</v>
      </c>
      <c r="F1987" s="2">
        <v>212901001</v>
      </c>
      <c r="G1987" s="2" t="s">
        <v>91</v>
      </c>
      <c r="I1987" s="95" t="s">
        <v>7231</v>
      </c>
      <c r="J1987" t="s">
        <v>61</v>
      </c>
      <c r="K1987" s="49" t="s">
        <v>62</v>
      </c>
      <c r="L1987" s="49"/>
      <c r="M1987">
        <v>69.44</v>
      </c>
      <c r="N1987" s="4">
        <f t="shared" si="30"/>
        <v>-90.000000000000014</v>
      </c>
      <c r="O1987" t="s">
        <v>83</v>
      </c>
    </row>
    <row r="1988" spans="1:17" x14ac:dyDescent="0.25">
      <c r="A1988" s="43">
        <v>45744</v>
      </c>
      <c r="B1988" s="1">
        <v>410524150</v>
      </c>
      <c r="C1988" t="s">
        <v>1848</v>
      </c>
      <c r="D1988" s="23">
        <v>-6249.6</v>
      </c>
      <c r="E1988" t="s">
        <v>35</v>
      </c>
      <c r="F1988" s="2">
        <v>212901001</v>
      </c>
      <c r="G1988" s="2" t="s">
        <v>91</v>
      </c>
      <c r="I1988" s="95" t="s">
        <v>7231</v>
      </c>
      <c r="J1988" t="s">
        <v>61</v>
      </c>
      <c r="K1988" s="49" t="s">
        <v>62</v>
      </c>
      <c r="L1988" s="49"/>
      <c r="M1988">
        <v>69.44</v>
      </c>
      <c r="N1988" s="4">
        <f t="shared" si="30"/>
        <v>-90.000000000000014</v>
      </c>
      <c r="O1988" t="s">
        <v>83</v>
      </c>
    </row>
    <row r="1989" spans="1:17" x14ac:dyDescent="0.25">
      <c r="A1989" s="43">
        <v>45744</v>
      </c>
      <c r="B1989" s="1">
        <v>410524151</v>
      </c>
      <c r="C1989" t="s">
        <v>1849</v>
      </c>
      <c r="D1989" s="23">
        <v>-6249.6</v>
      </c>
      <c r="E1989" t="s">
        <v>35</v>
      </c>
      <c r="F1989" s="2">
        <v>212901001</v>
      </c>
      <c r="G1989" s="2" t="s">
        <v>91</v>
      </c>
      <c r="I1989" s="95" t="s">
        <v>7231</v>
      </c>
      <c r="J1989" t="s">
        <v>61</v>
      </c>
      <c r="K1989" s="49" t="s">
        <v>62</v>
      </c>
      <c r="L1989" s="49"/>
      <c r="M1989">
        <v>69.44</v>
      </c>
      <c r="N1989" s="4">
        <f t="shared" si="30"/>
        <v>-90.000000000000014</v>
      </c>
      <c r="O1989" t="s">
        <v>83</v>
      </c>
    </row>
    <row r="1990" spans="1:17" x14ac:dyDescent="0.25">
      <c r="A1990" s="43">
        <v>45744</v>
      </c>
      <c r="B1990" s="1">
        <v>410524149</v>
      </c>
      <c r="C1990" t="s">
        <v>1850</v>
      </c>
      <c r="D1990" s="23">
        <v>-6249.6</v>
      </c>
      <c r="E1990" t="s">
        <v>35</v>
      </c>
      <c r="F1990" s="2">
        <v>212901001</v>
      </c>
      <c r="G1990" s="2" t="s">
        <v>91</v>
      </c>
      <c r="I1990" s="95" t="s">
        <v>7231</v>
      </c>
      <c r="J1990" t="s">
        <v>61</v>
      </c>
      <c r="K1990" t="s">
        <v>62</v>
      </c>
      <c r="M1990">
        <v>69.44</v>
      </c>
      <c r="N1990" s="4">
        <f t="shared" si="30"/>
        <v>-90.000000000000014</v>
      </c>
      <c r="O1990" t="s">
        <v>83</v>
      </c>
    </row>
    <row r="1991" spans="1:17" x14ac:dyDescent="0.25">
      <c r="A1991" s="43">
        <v>45744</v>
      </c>
      <c r="B1991" s="1">
        <v>510524156</v>
      </c>
      <c r="C1991" t="s">
        <v>1851</v>
      </c>
      <c r="D1991" s="23">
        <v>-6944</v>
      </c>
      <c r="E1991" t="s">
        <v>35</v>
      </c>
      <c r="F1991" s="2">
        <v>110114001</v>
      </c>
      <c r="G1991" s="2" t="s">
        <v>181</v>
      </c>
      <c r="I1991" s="95" t="s">
        <v>7231</v>
      </c>
      <c r="J1991" t="s">
        <v>288</v>
      </c>
      <c r="K1991" t="s">
        <v>289</v>
      </c>
      <c r="M1991">
        <v>69.44</v>
      </c>
      <c r="N1991" s="4">
        <f t="shared" si="30"/>
        <v>-100</v>
      </c>
      <c r="O1991" t="s">
        <v>83</v>
      </c>
      <c r="P1991" s="34" t="s">
        <v>1270</v>
      </c>
    </row>
    <row r="1992" spans="1:17" x14ac:dyDescent="0.25">
      <c r="A1992" s="43">
        <v>45744</v>
      </c>
      <c r="B1992" s="1">
        <v>510524155</v>
      </c>
      <c r="C1992" t="s">
        <v>1852</v>
      </c>
      <c r="D1992" s="23">
        <v>-4166.3999999999996</v>
      </c>
      <c r="E1992" t="s">
        <v>35</v>
      </c>
      <c r="F1992" s="2">
        <v>212901001</v>
      </c>
      <c r="G1992" s="2" t="s">
        <v>91</v>
      </c>
      <c r="I1992" s="95" t="s">
        <v>7231</v>
      </c>
      <c r="J1992" t="s">
        <v>61</v>
      </c>
      <c r="K1992" s="49" t="s">
        <v>62</v>
      </c>
      <c r="L1992" s="49"/>
      <c r="M1992">
        <v>69.44</v>
      </c>
      <c r="N1992" s="4">
        <f t="shared" si="30"/>
        <v>-60</v>
      </c>
      <c r="O1992" t="s">
        <v>83</v>
      </c>
    </row>
    <row r="1993" spans="1:17" x14ac:dyDescent="0.25">
      <c r="A1993" s="43">
        <v>45744</v>
      </c>
      <c r="B1993" s="1">
        <v>510524154</v>
      </c>
      <c r="C1993" t="s">
        <v>1853</v>
      </c>
      <c r="D1993" s="23">
        <v>-4166.3999999999996</v>
      </c>
      <c r="E1993" t="s">
        <v>35</v>
      </c>
      <c r="F1993" s="2">
        <v>212901001</v>
      </c>
      <c r="G1993" s="2" t="s">
        <v>91</v>
      </c>
      <c r="I1993" s="95" t="s">
        <v>7231</v>
      </c>
      <c r="J1993" t="s">
        <v>61</v>
      </c>
      <c r="K1993" s="49" t="s">
        <v>62</v>
      </c>
      <c r="L1993" s="49"/>
      <c r="M1993">
        <v>69.44</v>
      </c>
      <c r="N1993" s="4">
        <f t="shared" si="30"/>
        <v>-60</v>
      </c>
      <c r="O1993" t="s">
        <v>83</v>
      </c>
    </row>
    <row r="1994" spans="1:17" x14ac:dyDescent="0.25">
      <c r="A1994" s="43">
        <v>45744</v>
      </c>
      <c r="B1994" s="1">
        <v>510524153</v>
      </c>
      <c r="C1994" t="s">
        <v>1854</v>
      </c>
      <c r="D1994" s="23">
        <v>-4166.3999999999996</v>
      </c>
      <c r="E1994" t="s">
        <v>35</v>
      </c>
      <c r="F1994" s="2">
        <v>212901001</v>
      </c>
      <c r="G1994" s="2" t="s">
        <v>91</v>
      </c>
      <c r="I1994" s="95" t="s">
        <v>7231</v>
      </c>
      <c r="J1994" t="s">
        <v>61</v>
      </c>
      <c r="K1994" s="49" t="s">
        <v>62</v>
      </c>
      <c r="L1994" s="49"/>
      <c r="M1994">
        <v>69.44</v>
      </c>
      <c r="N1994" s="4">
        <f t="shared" si="30"/>
        <v>-60</v>
      </c>
      <c r="O1994" t="s">
        <v>83</v>
      </c>
    </row>
    <row r="1995" spans="1:17" x14ac:dyDescent="0.25">
      <c r="A1995" s="43">
        <v>45744</v>
      </c>
      <c r="B1995" s="1">
        <v>510524157</v>
      </c>
      <c r="C1995" t="s">
        <v>1855</v>
      </c>
      <c r="D1995" s="23">
        <v>-13888</v>
      </c>
      <c r="E1995" t="s">
        <v>35</v>
      </c>
      <c r="F1995" s="2">
        <v>212901001</v>
      </c>
      <c r="G1995" s="2" t="s">
        <v>91</v>
      </c>
      <c r="I1995" s="95" t="s">
        <v>7231</v>
      </c>
      <c r="J1995" t="s">
        <v>61</v>
      </c>
      <c r="K1995" s="49" t="s">
        <v>62</v>
      </c>
      <c r="L1995" s="49"/>
      <c r="M1995">
        <v>69.44</v>
      </c>
      <c r="N1995" s="4">
        <f t="shared" si="30"/>
        <v>-200</v>
      </c>
      <c r="O1995" t="s">
        <v>83</v>
      </c>
    </row>
    <row r="1996" spans="1:17" x14ac:dyDescent="0.25">
      <c r="A1996" s="43">
        <v>45744</v>
      </c>
      <c r="B1996" s="1">
        <v>510524152</v>
      </c>
      <c r="C1996" t="s">
        <v>1856</v>
      </c>
      <c r="D1996" s="23">
        <v>-4166.3999999999996</v>
      </c>
      <c r="E1996" t="s">
        <v>35</v>
      </c>
      <c r="F1996" s="2">
        <v>212901001</v>
      </c>
      <c r="G1996" s="2" t="s">
        <v>91</v>
      </c>
      <c r="I1996" s="95" t="s">
        <v>7231</v>
      </c>
      <c r="J1996" t="s">
        <v>61</v>
      </c>
      <c r="K1996" t="s">
        <v>62</v>
      </c>
      <c r="M1996">
        <v>69.44</v>
      </c>
      <c r="N1996" s="4">
        <f t="shared" ref="N1996:N2059" si="31">D1996/M1996</f>
        <v>-60</v>
      </c>
      <c r="O1996" t="s">
        <v>83</v>
      </c>
    </row>
    <row r="1997" spans="1:17" x14ac:dyDescent="0.25">
      <c r="A1997" s="46">
        <v>45744</v>
      </c>
      <c r="B1997" s="27">
        <v>510524158</v>
      </c>
      <c r="C1997" s="28" t="s">
        <v>52</v>
      </c>
      <c r="D1997" s="29">
        <v>-8332.7999999999993</v>
      </c>
      <c r="E1997" s="28" t="s">
        <v>35</v>
      </c>
      <c r="F1997" s="30">
        <v>610129001</v>
      </c>
      <c r="G1997" s="30" t="s">
        <v>53</v>
      </c>
      <c r="H1997" s="30"/>
      <c r="I1997" s="95" t="s">
        <v>7231</v>
      </c>
      <c r="J1997" s="28" t="s">
        <v>54</v>
      </c>
      <c r="K1997" s="28" t="s">
        <v>55</v>
      </c>
      <c r="L1997" s="28" t="s">
        <v>56</v>
      </c>
      <c r="M1997" s="28">
        <v>69.44</v>
      </c>
      <c r="N1997" s="4">
        <f t="shared" si="31"/>
        <v>-120</v>
      </c>
      <c r="O1997" t="s">
        <v>83</v>
      </c>
      <c r="Q1997" s="24" t="s">
        <v>1857</v>
      </c>
    </row>
    <row r="1998" spans="1:17" x14ac:dyDescent="0.25">
      <c r="A1998" s="43">
        <v>45744</v>
      </c>
      <c r="B1998" s="1">
        <v>510524159</v>
      </c>
      <c r="C1998" t="s">
        <v>1858</v>
      </c>
      <c r="D1998" s="23">
        <v>-4860.8</v>
      </c>
      <c r="E1998" t="s">
        <v>35</v>
      </c>
      <c r="F1998" s="2">
        <v>212901001</v>
      </c>
      <c r="G1998" s="2" t="s">
        <v>91</v>
      </c>
      <c r="I1998" s="95" t="s">
        <v>7231</v>
      </c>
      <c r="J1998" t="s">
        <v>61</v>
      </c>
      <c r="K1998" t="s">
        <v>62</v>
      </c>
      <c r="M1998">
        <v>69.44</v>
      </c>
      <c r="N1998" s="4">
        <f t="shared" si="31"/>
        <v>-70</v>
      </c>
      <c r="O1998" t="s">
        <v>83</v>
      </c>
    </row>
    <row r="1999" spans="1:17" x14ac:dyDescent="0.25">
      <c r="A1999" s="43">
        <v>45744</v>
      </c>
      <c r="B1999" s="1">
        <v>510524160</v>
      </c>
      <c r="C1999" t="s">
        <v>1859</v>
      </c>
      <c r="D1999" s="23">
        <v>-5555.2</v>
      </c>
      <c r="E1999" t="s">
        <v>35</v>
      </c>
      <c r="F1999" s="2">
        <v>212901001</v>
      </c>
      <c r="G1999" s="2" t="s">
        <v>91</v>
      </c>
      <c r="I1999" s="95" t="s">
        <v>7231</v>
      </c>
      <c r="J1999" t="s">
        <v>61</v>
      </c>
      <c r="K1999" s="49" t="s">
        <v>62</v>
      </c>
      <c r="L1999" s="49"/>
      <c r="M1999">
        <v>69.44</v>
      </c>
      <c r="N1999" s="4">
        <f t="shared" si="31"/>
        <v>-80</v>
      </c>
      <c r="O1999" t="s">
        <v>83</v>
      </c>
    </row>
    <row r="2000" spans="1:17" x14ac:dyDescent="0.25">
      <c r="A2000" s="43">
        <v>45744</v>
      </c>
      <c r="B2000" s="1">
        <v>50361888</v>
      </c>
      <c r="C2000" t="s">
        <v>1860</v>
      </c>
      <c r="D2000" s="23">
        <v>-12499.2</v>
      </c>
      <c r="E2000" t="s">
        <v>35</v>
      </c>
      <c r="F2000" s="2">
        <v>212901001</v>
      </c>
      <c r="G2000" s="2" t="s">
        <v>91</v>
      </c>
      <c r="I2000" s="95" t="s">
        <v>7231</v>
      </c>
      <c r="J2000" t="s">
        <v>61</v>
      </c>
      <c r="K2000" s="49" t="s">
        <v>62</v>
      </c>
      <c r="L2000" s="49"/>
      <c r="M2000">
        <v>69.44</v>
      </c>
      <c r="N2000" s="4">
        <f t="shared" si="31"/>
        <v>-180.00000000000003</v>
      </c>
      <c r="O2000" t="s">
        <v>83</v>
      </c>
    </row>
    <row r="2001" spans="1:17" x14ac:dyDescent="0.25">
      <c r="A2001" s="43">
        <v>45744</v>
      </c>
      <c r="B2001" s="1">
        <v>50361888</v>
      </c>
      <c r="C2001" t="s">
        <v>179</v>
      </c>
      <c r="D2001" s="23">
        <v>-18.739999999999998</v>
      </c>
      <c r="E2001" t="s">
        <v>35</v>
      </c>
      <c r="F2001" s="2">
        <v>610148001</v>
      </c>
      <c r="G2001" s="2" t="s">
        <v>41</v>
      </c>
      <c r="I2001" s="95" t="s">
        <v>7231</v>
      </c>
      <c r="J2001" t="s">
        <v>42</v>
      </c>
      <c r="K2001" t="s">
        <v>41</v>
      </c>
      <c r="M2001">
        <v>69.44</v>
      </c>
      <c r="N2001" s="4">
        <f t="shared" si="31"/>
        <v>-0.26987327188940091</v>
      </c>
      <c r="O2001" t="s">
        <v>83</v>
      </c>
      <c r="Q2001" s="24" t="s">
        <v>1310</v>
      </c>
    </row>
    <row r="2002" spans="1:17" x14ac:dyDescent="0.25">
      <c r="A2002" s="43">
        <v>45744</v>
      </c>
      <c r="B2002" s="1">
        <v>50361888</v>
      </c>
      <c r="C2002" t="s">
        <v>89</v>
      </c>
      <c r="D2002" s="23">
        <v>-1255.6400000000001</v>
      </c>
      <c r="E2002" t="s">
        <v>35</v>
      </c>
      <c r="F2002" s="2">
        <v>610148001</v>
      </c>
      <c r="G2002" s="2" t="s">
        <v>41</v>
      </c>
      <c r="I2002" s="95" t="s">
        <v>7231</v>
      </c>
      <c r="J2002" t="s">
        <v>42</v>
      </c>
      <c r="K2002" t="s">
        <v>41</v>
      </c>
      <c r="M2002">
        <v>69.44</v>
      </c>
      <c r="N2002" s="4">
        <f t="shared" si="31"/>
        <v>-18.082373271889402</v>
      </c>
      <c r="O2002" t="s">
        <v>83</v>
      </c>
      <c r="Q2002" s="24" t="s">
        <v>1310</v>
      </c>
    </row>
    <row r="2003" spans="1:17" x14ac:dyDescent="0.25">
      <c r="A2003" s="43">
        <v>45744</v>
      </c>
      <c r="B2003" s="1">
        <v>10529967</v>
      </c>
      <c r="C2003" t="s">
        <v>1861</v>
      </c>
      <c r="D2003" s="23">
        <v>-12888.06</v>
      </c>
      <c r="E2003" t="s">
        <v>35</v>
      </c>
      <c r="F2003" s="2">
        <v>110114001</v>
      </c>
      <c r="G2003" s="2" t="s">
        <v>181</v>
      </c>
      <c r="I2003" s="95" t="s">
        <v>7231</v>
      </c>
      <c r="K2003" s="49" t="s">
        <v>1862</v>
      </c>
      <c r="L2003" s="49"/>
      <c r="M2003">
        <v>69.44</v>
      </c>
      <c r="N2003" s="4">
        <f t="shared" si="31"/>
        <v>-185.59994239631337</v>
      </c>
      <c r="O2003" t="s">
        <v>83</v>
      </c>
    </row>
    <row r="2004" spans="1:17" x14ac:dyDescent="0.25">
      <c r="A2004" s="43">
        <v>45744</v>
      </c>
      <c r="B2004" s="1">
        <v>10529967</v>
      </c>
      <c r="C2004" t="s">
        <v>185</v>
      </c>
      <c r="D2004" s="23">
        <v>-38.659999999999997</v>
      </c>
      <c r="E2004" t="s">
        <v>35</v>
      </c>
      <c r="F2004" s="2">
        <v>610148001</v>
      </c>
      <c r="G2004" s="2" t="s">
        <v>41</v>
      </c>
      <c r="I2004" s="95" t="s">
        <v>7231</v>
      </c>
      <c r="J2004" t="s">
        <v>42</v>
      </c>
      <c r="K2004" t="s">
        <v>41</v>
      </c>
      <c r="M2004">
        <v>69.44</v>
      </c>
      <c r="N2004" s="4">
        <f t="shared" si="31"/>
        <v>-0.55673963133640547</v>
      </c>
      <c r="O2004" t="s">
        <v>83</v>
      </c>
      <c r="Q2004" s="24" t="s">
        <v>1310</v>
      </c>
    </row>
    <row r="2005" spans="1:17" x14ac:dyDescent="0.25">
      <c r="A2005" s="43">
        <v>45744</v>
      </c>
      <c r="B2005" s="1">
        <v>134842094</v>
      </c>
      <c r="C2005" t="s">
        <v>82</v>
      </c>
      <c r="D2005" s="23">
        <v>65000</v>
      </c>
      <c r="E2005" t="s">
        <v>45</v>
      </c>
      <c r="F2005" s="2">
        <v>210115002</v>
      </c>
      <c r="G2005" s="2" t="s">
        <v>46</v>
      </c>
      <c r="I2005" s="95" t="s">
        <v>7231</v>
      </c>
      <c r="K2005" t="s">
        <v>82</v>
      </c>
      <c r="M2005">
        <v>69.44</v>
      </c>
      <c r="N2005" s="4">
        <f t="shared" si="31"/>
        <v>936.05990783410141</v>
      </c>
      <c r="O2005" t="s">
        <v>83</v>
      </c>
    </row>
    <row r="2006" spans="1:17" x14ac:dyDescent="0.25">
      <c r="A2006" s="43">
        <v>45744</v>
      </c>
      <c r="B2006" s="1">
        <v>610531355</v>
      </c>
      <c r="C2006" t="s">
        <v>1863</v>
      </c>
      <c r="D2006" s="23">
        <v>-68199.570000000007</v>
      </c>
      <c r="E2006" t="s">
        <v>35</v>
      </c>
      <c r="F2006" s="2">
        <v>110114001</v>
      </c>
      <c r="G2006" s="2" t="s">
        <v>181</v>
      </c>
      <c r="I2006" s="95" t="s">
        <v>7231</v>
      </c>
      <c r="J2006" t="s">
        <v>1864</v>
      </c>
      <c r="K2006" t="s">
        <v>1865</v>
      </c>
      <c r="M2006">
        <v>69.44</v>
      </c>
      <c r="N2006" s="4">
        <f t="shared" si="31"/>
        <v>-982.13666474654394</v>
      </c>
      <c r="O2006" t="s">
        <v>83</v>
      </c>
      <c r="P2006" s="34" t="s">
        <v>1270</v>
      </c>
    </row>
    <row r="2007" spans="1:17" x14ac:dyDescent="0.25">
      <c r="A2007" s="43">
        <v>45744</v>
      </c>
      <c r="B2007" s="1">
        <v>610531355</v>
      </c>
      <c r="C2007" t="s">
        <v>185</v>
      </c>
      <c r="D2007" s="23">
        <v>-204.6</v>
      </c>
      <c r="E2007" t="s">
        <v>35</v>
      </c>
      <c r="F2007" s="2">
        <v>610148001</v>
      </c>
      <c r="G2007" s="2" t="s">
        <v>41</v>
      </c>
      <c r="I2007" s="95" t="s">
        <v>7231</v>
      </c>
      <c r="J2007" t="s">
        <v>42</v>
      </c>
      <c r="K2007" t="s">
        <v>41</v>
      </c>
      <c r="M2007">
        <v>69.44</v>
      </c>
      <c r="N2007" s="4">
        <f t="shared" si="31"/>
        <v>-2.9464285714285716</v>
      </c>
      <c r="O2007" t="s">
        <v>83</v>
      </c>
      <c r="Q2007" s="24" t="s">
        <v>1310</v>
      </c>
    </row>
    <row r="2008" spans="1:17" x14ac:dyDescent="0.25">
      <c r="A2008" s="43">
        <v>45744</v>
      </c>
      <c r="B2008" s="1">
        <v>410538995</v>
      </c>
      <c r="C2008" t="s">
        <v>1866</v>
      </c>
      <c r="D2008" s="23">
        <v>-7732.84</v>
      </c>
      <c r="E2008" t="s">
        <v>35</v>
      </c>
      <c r="F2008" s="2">
        <v>110114001</v>
      </c>
      <c r="G2008" s="2" t="s">
        <v>181</v>
      </c>
      <c r="I2008" s="95" t="s">
        <v>7231</v>
      </c>
      <c r="J2008" t="s">
        <v>398</v>
      </c>
      <c r="K2008" t="s">
        <v>399</v>
      </c>
      <c r="M2008">
        <v>69.44</v>
      </c>
      <c r="N2008" s="4">
        <f t="shared" si="31"/>
        <v>-111.36002304147466</v>
      </c>
      <c r="O2008" t="s">
        <v>83</v>
      </c>
      <c r="P2008" s="34" t="s">
        <v>1270</v>
      </c>
    </row>
    <row r="2009" spans="1:17" x14ac:dyDescent="0.25">
      <c r="A2009" s="43">
        <v>45744</v>
      </c>
      <c r="B2009" s="1">
        <v>410538995</v>
      </c>
      <c r="C2009" t="s">
        <v>185</v>
      </c>
      <c r="D2009" s="23">
        <v>-23.2</v>
      </c>
      <c r="E2009" t="s">
        <v>35</v>
      </c>
      <c r="F2009" s="2">
        <v>610148001</v>
      </c>
      <c r="G2009" s="2" t="s">
        <v>41</v>
      </c>
      <c r="I2009" s="95" t="s">
        <v>7231</v>
      </c>
      <c r="J2009" t="s">
        <v>42</v>
      </c>
      <c r="K2009" t="s">
        <v>41</v>
      </c>
      <c r="M2009">
        <v>69.44</v>
      </c>
      <c r="N2009" s="4">
        <f t="shared" si="31"/>
        <v>-0.33410138248847926</v>
      </c>
      <c r="O2009" t="s">
        <v>83</v>
      </c>
      <c r="Q2009" s="24" t="s">
        <v>1310</v>
      </c>
    </row>
    <row r="2010" spans="1:17" x14ac:dyDescent="0.25">
      <c r="A2010" s="43">
        <v>45744</v>
      </c>
      <c r="B2010" s="1">
        <v>154540225</v>
      </c>
      <c r="C2010" t="s">
        <v>82</v>
      </c>
      <c r="D2010" s="23">
        <v>55000</v>
      </c>
      <c r="E2010" t="s">
        <v>45</v>
      </c>
      <c r="F2010" s="2">
        <v>210115002</v>
      </c>
      <c r="G2010" s="2" t="s">
        <v>46</v>
      </c>
      <c r="I2010" s="95" t="s">
        <v>7231</v>
      </c>
      <c r="K2010" t="s">
        <v>82</v>
      </c>
      <c r="M2010">
        <v>69.44</v>
      </c>
      <c r="N2010" s="4">
        <f t="shared" si="31"/>
        <v>792.0506912442396</v>
      </c>
      <c r="O2010" t="s">
        <v>83</v>
      </c>
    </row>
    <row r="2011" spans="1:17" x14ac:dyDescent="0.25">
      <c r="A2011" s="43">
        <v>45744</v>
      </c>
      <c r="B2011" s="1">
        <v>510544846</v>
      </c>
      <c r="C2011" t="s">
        <v>1867</v>
      </c>
      <c r="D2011" s="23">
        <v>-54563.07</v>
      </c>
      <c r="E2011" t="s">
        <v>35</v>
      </c>
      <c r="F2011" s="2">
        <v>110114001</v>
      </c>
      <c r="G2011" s="2" t="s">
        <v>181</v>
      </c>
      <c r="I2011" s="95" t="s">
        <v>7231</v>
      </c>
      <c r="J2011" t="s">
        <v>680</v>
      </c>
      <c r="K2011" t="s">
        <v>681</v>
      </c>
      <c r="M2011">
        <v>69.44</v>
      </c>
      <c r="N2011" s="4">
        <f t="shared" si="31"/>
        <v>-785.75849654377885</v>
      </c>
      <c r="O2011" t="s">
        <v>83</v>
      </c>
      <c r="P2011" s="34" t="s">
        <v>1270</v>
      </c>
    </row>
    <row r="2012" spans="1:17" x14ac:dyDescent="0.25">
      <c r="A2012" s="43">
        <v>45744</v>
      </c>
      <c r="B2012" s="1">
        <v>510544846</v>
      </c>
      <c r="C2012" t="s">
        <v>185</v>
      </c>
      <c r="D2012" s="23">
        <v>-163.69</v>
      </c>
      <c r="E2012" t="s">
        <v>35</v>
      </c>
      <c r="F2012" s="2">
        <v>610148001</v>
      </c>
      <c r="G2012" s="2" t="s">
        <v>41</v>
      </c>
      <c r="I2012" s="95" t="s">
        <v>7231</v>
      </c>
      <c r="J2012" t="s">
        <v>42</v>
      </c>
      <c r="K2012" t="s">
        <v>41</v>
      </c>
      <c r="M2012">
        <v>69.44</v>
      </c>
      <c r="N2012" s="4">
        <f t="shared" si="31"/>
        <v>-2.3572868663594471</v>
      </c>
      <c r="O2012" t="s">
        <v>83</v>
      </c>
      <c r="Q2012" s="24" t="s">
        <v>1310</v>
      </c>
    </row>
    <row r="2013" spans="1:17" x14ac:dyDescent="0.25">
      <c r="A2013" s="43">
        <v>45747</v>
      </c>
      <c r="B2013" s="1">
        <v>134435399</v>
      </c>
      <c r="C2013" t="s">
        <v>82</v>
      </c>
      <c r="D2013" s="23">
        <v>20000</v>
      </c>
      <c r="E2013" t="s">
        <v>45</v>
      </c>
      <c r="F2013" s="2">
        <v>210115002</v>
      </c>
      <c r="G2013" s="2" t="s">
        <v>46</v>
      </c>
      <c r="I2013" s="95" t="s">
        <v>7231</v>
      </c>
      <c r="K2013" t="s">
        <v>82</v>
      </c>
      <c r="M2013">
        <v>69.569999999999993</v>
      </c>
      <c r="N2013" s="4">
        <f t="shared" si="31"/>
        <v>287.48023573379334</v>
      </c>
      <c r="O2013" t="s">
        <v>83</v>
      </c>
    </row>
    <row r="2014" spans="1:17" x14ac:dyDescent="0.25">
      <c r="A2014" s="43">
        <v>45747</v>
      </c>
      <c r="B2014" s="1">
        <v>610724853</v>
      </c>
      <c r="C2014" t="s">
        <v>1868</v>
      </c>
      <c r="D2014" s="23">
        <v>-1959.97</v>
      </c>
      <c r="E2014" t="s">
        <v>35</v>
      </c>
      <c r="F2014" s="2">
        <v>110114001</v>
      </c>
      <c r="G2014" s="2" t="s">
        <v>181</v>
      </c>
      <c r="I2014" s="95" t="s">
        <v>7231</v>
      </c>
      <c r="J2014" t="s">
        <v>182</v>
      </c>
      <c r="K2014" t="s">
        <v>183</v>
      </c>
      <c r="M2014">
        <v>69.569999999999993</v>
      </c>
      <c r="N2014" s="4">
        <f t="shared" si="31"/>
        <v>-28.172631881558146</v>
      </c>
      <c r="O2014" t="s">
        <v>83</v>
      </c>
      <c r="P2014" s="34" t="s">
        <v>1339</v>
      </c>
    </row>
    <row r="2015" spans="1:17" x14ac:dyDescent="0.25">
      <c r="A2015" s="43">
        <v>45747</v>
      </c>
      <c r="B2015" s="1">
        <v>610724854</v>
      </c>
      <c r="C2015" t="s">
        <v>1869</v>
      </c>
      <c r="D2015" s="23">
        <v>-2434.94</v>
      </c>
      <c r="E2015" t="s">
        <v>35</v>
      </c>
      <c r="F2015" s="2">
        <v>110114001</v>
      </c>
      <c r="G2015" s="2" t="s">
        <v>181</v>
      </c>
      <c r="I2015" s="95" t="s">
        <v>7231</v>
      </c>
      <c r="J2015" t="s">
        <v>182</v>
      </c>
      <c r="K2015" t="s">
        <v>183</v>
      </c>
      <c r="M2015">
        <v>69.569999999999993</v>
      </c>
      <c r="N2015" s="4">
        <f t="shared" si="31"/>
        <v>-34.999856259882137</v>
      </c>
      <c r="O2015" t="s">
        <v>83</v>
      </c>
      <c r="P2015" s="34" t="s">
        <v>1339</v>
      </c>
    </row>
    <row r="2016" spans="1:17" x14ac:dyDescent="0.25">
      <c r="A2016" s="43">
        <v>45747</v>
      </c>
      <c r="B2016" s="1">
        <v>50391506</v>
      </c>
      <c r="C2016" t="s">
        <v>1870</v>
      </c>
      <c r="D2016" s="23">
        <v>-18088.2</v>
      </c>
      <c r="E2016" t="s">
        <v>35</v>
      </c>
      <c r="F2016" s="2">
        <v>110114001</v>
      </c>
      <c r="G2016" s="2" t="s">
        <v>181</v>
      </c>
      <c r="I2016" s="95" t="s">
        <v>7231</v>
      </c>
      <c r="J2016" t="s">
        <v>1007</v>
      </c>
      <c r="K2016" s="49" t="s">
        <v>1008</v>
      </c>
      <c r="L2016" s="49"/>
      <c r="M2016">
        <v>69.569999999999993</v>
      </c>
      <c r="N2016" s="4">
        <f t="shared" si="31"/>
        <v>-260.00000000000006</v>
      </c>
      <c r="O2016" t="s">
        <v>83</v>
      </c>
      <c r="P2016" s="34" t="s">
        <v>1339</v>
      </c>
    </row>
    <row r="2017" spans="1:17" x14ac:dyDescent="0.25">
      <c r="A2017" s="43">
        <v>45747</v>
      </c>
      <c r="B2017" s="1">
        <v>50391506</v>
      </c>
      <c r="C2017" t="s">
        <v>179</v>
      </c>
      <c r="D2017" s="23">
        <v>-27.13</v>
      </c>
      <c r="E2017" t="s">
        <v>35</v>
      </c>
      <c r="F2017" s="2">
        <v>610148001</v>
      </c>
      <c r="G2017" s="2" t="s">
        <v>41</v>
      </c>
      <c r="I2017" s="95" t="s">
        <v>7231</v>
      </c>
      <c r="J2017" t="s">
        <v>42</v>
      </c>
      <c r="K2017" t="s">
        <v>41</v>
      </c>
      <c r="M2017">
        <v>69.569999999999993</v>
      </c>
      <c r="N2017" s="4">
        <f t="shared" si="31"/>
        <v>-0.38996693977289065</v>
      </c>
      <c r="O2017" t="s">
        <v>83</v>
      </c>
      <c r="Q2017" s="24" t="s">
        <v>1310</v>
      </c>
    </row>
    <row r="2018" spans="1:17" x14ac:dyDescent="0.25">
      <c r="A2018" s="43">
        <v>45747</v>
      </c>
      <c r="B2018" s="1">
        <v>50391506</v>
      </c>
      <c r="C2018" t="s">
        <v>89</v>
      </c>
      <c r="D2018" s="23">
        <v>-10.98</v>
      </c>
      <c r="E2018" t="s">
        <v>35</v>
      </c>
      <c r="F2018" s="2">
        <v>610148001</v>
      </c>
      <c r="G2018" s="2" t="s">
        <v>41</v>
      </c>
      <c r="I2018" s="95" t="s">
        <v>7231</v>
      </c>
      <c r="J2018" t="s">
        <v>42</v>
      </c>
      <c r="K2018" t="s">
        <v>41</v>
      </c>
      <c r="M2018">
        <v>69.569999999999993</v>
      </c>
      <c r="N2018" s="4">
        <f t="shared" si="31"/>
        <v>-0.15782664941785254</v>
      </c>
      <c r="O2018" t="s">
        <v>83</v>
      </c>
      <c r="Q2018" s="24" t="s">
        <v>1310</v>
      </c>
    </row>
    <row r="2019" spans="1:17" x14ac:dyDescent="0.25">
      <c r="A2019" s="43">
        <v>45747</v>
      </c>
      <c r="B2019" s="1">
        <v>203038176</v>
      </c>
      <c r="C2019" t="s">
        <v>1871</v>
      </c>
      <c r="D2019" s="23">
        <v>10628.46</v>
      </c>
      <c r="E2019" t="s">
        <v>45</v>
      </c>
      <c r="F2019" s="2">
        <v>110106001</v>
      </c>
      <c r="G2019" s="2" t="s">
        <v>1011</v>
      </c>
      <c r="I2019" s="95" t="s">
        <v>7231</v>
      </c>
      <c r="K2019" t="s">
        <v>1012</v>
      </c>
      <c r="M2019">
        <v>69.569999999999993</v>
      </c>
      <c r="N2019" s="4">
        <f t="shared" si="31"/>
        <v>152.77360931435965</v>
      </c>
      <c r="O2019" t="s">
        <v>83</v>
      </c>
    </row>
    <row r="2020" spans="1:17" x14ac:dyDescent="0.25">
      <c r="A2020" s="43">
        <v>45747</v>
      </c>
      <c r="B2020" s="1">
        <v>203038176</v>
      </c>
      <c r="C2020" t="s">
        <v>1013</v>
      </c>
      <c r="D2020" s="23">
        <v>-159.41999999999999</v>
      </c>
      <c r="E2020" t="s">
        <v>35</v>
      </c>
      <c r="F2020" s="2">
        <v>610148001</v>
      </c>
      <c r="G2020" s="2" t="s">
        <v>41</v>
      </c>
      <c r="I2020" s="95" t="s">
        <v>7231</v>
      </c>
      <c r="J2020" t="s">
        <v>42</v>
      </c>
      <c r="K2020" t="s">
        <v>41</v>
      </c>
      <c r="M2020">
        <v>69.569999999999993</v>
      </c>
      <c r="N2020" s="4">
        <f t="shared" si="31"/>
        <v>-2.2915049590340666</v>
      </c>
      <c r="O2020" t="s">
        <v>83</v>
      </c>
      <c r="Q2020" s="24" t="s">
        <v>1310</v>
      </c>
    </row>
    <row r="2021" spans="1:17" x14ac:dyDescent="0.25">
      <c r="A2021" s="43">
        <v>45747</v>
      </c>
      <c r="B2021" s="1">
        <v>210733877</v>
      </c>
      <c r="C2021" t="s">
        <v>1872</v>
      </c>
      <c r="D2021" s="23">
        <v>-270</v>
      </c>
      <c r="E2021" t="s">
        <v>35</v>
      </c>
      <c r="F2021" s="2">
        <v>210101001</v>
      </c>
      <c r="G2021" s="2" t="s">
        <v>36</v>
      </c>
      <c r="I2021" s="95" t="s">
        <v>7231</v>
      </c>
      <c r="J2021" t="s">
        <v>86</v>
      </c>
      <c r="K2021" t="s">
        <v>87</v>
      </c>
      <c r="M2021">
        <v>69.569999999999993</v>
      </c>
      <c r="N2021" s="4">
        <f t="shared" si="31"/>
        <v>-3.8809831824062098</v>
      </c>
      <c r="O2021" t="s">
        <v>83</v>
      </c>
    </row>
    <row r="2022" spans="1:17" x14ac:dyDescent="0.25">
      <c r="A2022" s="43">
        <v>45747</v>
      </c>
      <c r="B2022" s="1">
        <v>210733877</v>
      </c>
      <c r="C2022" t="s">
        <v>185</v>
      </c>
      <c r="D2022" s="23">
        <v>-0.81</v>
      </c>
      <c r="E2022" t="s">
        <v>35</v>
      </c>
      <c r="F2022" s="2">
        <v>610148001</v>
      </c>
      <c r="G2022" s="2" t="s">
        <v>41</v>
      </c>
      <c r="I2022" s="95" t="s">
        <v>7231</v>
      </c>
      <c r="J2022" t="s">
        <v>42</v>
      </c>
      <c r="K2022" t="s">
        <v>41</v>
      </c>
      <c r="M2022">
        <v>69.569999999999993</v>
      </c>
      <c r="N2022" s="4">
        <f t="shared" si="31"/>
        <v>-1.1642949547218631E-2</v>
      </c>
      <c r="O2022" t="s">
        <v>83</v>
      </c>
      <c r="Q2022" s="24" t="s">
        <v>1310</v>
      </c>
    </row>
    <row r="2023" spans="1:17" x14ac:dyDescent="0.25">
      <c r="A2023" s="43">
        <v>45747</v>
      </c>
      <c r="B2023" s="1">
        <v>0</v>
      </c>
      <c r="C2023" t="s">
        <v>602</v>
      </c>
      <c r="D2023" s="23">
        <v>-0.5</v>
      </c>
      <c r="E2023" t="s">
        <v>35</v>
      </c>
      <c r="F2023" s="2">
        <v>610148001</v>
      </c>
      <c r="G2023" s="2" t="s">
        <v>41</v>
      </c>
      <c r="I2023" s="95" t="s">
        <v>7231</v>
      </c>
      <c r="J2023" t="s">
        <v>42</v>
      </c>
      <c r="K2023" t="s">
        <v>41</v>
      </c>
      <c r="M2023">
        <v>69.569999999999993</v>
      </c>
      <c r="N2023" s="4">
        <f t="shared" si="31"/>
        <v>-7.1870058933448337E-3</v>
      </c>
      <c r="O2023" t="s">
        <v>83</v>
      </c>
      <c r="Q2023" s="24" t="s">
        <v>1310</v>
      </c>
    </row>
    <row r="2024" spans="1:17" x14ac:dyDescent="0.25">
      <c r="A2024" s="43">
        <v>45747</v>
      </c>
      <c r="B2024" s="1">
        <v>0</v>
      </c>
      <c r="C2024" t="s">
        <v>603</v>
      </c>
      <c r="D2024" s="23">
        <v>-0.5</v>
      </c>
      <c r="E2024" t="s">
        <v>35</v>
      </c>
      <c r="F2024" s="2">
        <v>610148001</v>
      </c>
      <c r="G2024" s="2" t="s">
        <v>41</v>
      </c>
      <c r="I2024" s="95" t="s">
        <v>7231</v>
      </c>
      <c r="J2024" t="s">
        <v>42</v>
      </c>
      <c r="K2024" t="s">
        <v>41</v>
      </c>
      <c r="M2024">
        <v>69.569999999999993</v>
      </c>
      <c r="N2024" s="4">
        <f t="shared" si="31"/>
        <v>-7.1870058933448337E-3</v>
      </c>
      <c r="O2024" t="s">
        <v>83</v>
      </c>
      <c r="Q2024" s="24" t="s">
        <v>1310</v>
      </c>
    </row>
    <row r="2025" spans="1:17" x14ac:dyDescent="0.25">
      <c r="A2025" s="43">
        <v>45717</v>
      </c>
      <c r="B2025" s="1" t="s">
        <v>1873</v>
      </c>
      <c r="C2025" t="s">
        <v>1250</v>
      </c>
      <c r="D2025" s="23">
        <v>-0.5</v>
      </c>
      <c r="E2025" t="s">
        <v>35</v>
      </c>
      <c r="F2025" s="2">
        <v>610148001</v>
      </c>
      <c r="G2025" s="2" t="s">
        <v>41</v>
      </c>
      <c r="I2025" s="95" t="s">
        <v>7231</v>
      </c>
      <c r="J2025" t="s">
        <v>42</v>
      </c>
      <c r="K2025" t="s">
        <v>41</v>
      </c>
      <c r="M2025">
        <v>64.48</v>
      </c>
      <c r="N2025" s="4">
        <f t="shared" si="31"/>
        <v>-7.7543424317617861E-3</v>
      </c>
      <c r="O2025" t="s">
        <v>605</v>
      </c>
      <c r="Q2025" s="36" t="s">
        <v>1310</v>
      </c>
    </row>
    <row r="2026" spans="1:17" x14ac:dyDescent="0.25">
      <c r="A2026" s="43">
        <v>45721</v>
      </c>
      <c r="B2026" s="1" t="s">
        <v>1874</v>
      </c>
      <c r="C2026" t="s">
        <v>1875</v>
      </c>
      <c r="D2026" s="23">
        <v>-10.1</v>
      </c>
      <c r="E2026" t="s">
        <v>35</v>
      </c>
      <c r="F2026" s="2">
        <v>213201001</v>
      </c>
      <c r="G2026" s="2" t="s">
        <v>636</v>
      </c>
      <c r="I2026" s="95" t="s">
        <v>7231</v>
      </c>
      <c r="J2026" t="s">
        <v>637</v>
      </c>
      <c r="K2026" t="s">
        <v>638</v>
      </c>
      <c r="M2026">
        <v>64.48</v>
      </c>
      <c r="N2026" s="4">
        <f t="shared" si="31"/>
        <v>-0.15663771712158808</v>
      </c>
      <c r="O2026" t="s">
        <v>605</v>
      </c>
      <c r="Q2026" s="39" t="s">
        <v>1876</v>
      </c>
    </row>
    <row r="2027" spans="1:17" x14ac:dyDescent="0.25">
      <c r="A2027" s="43">
        <v>45721</v>
      </c>
      <c r="B2027" s="1" t="s">
        <v>1877</v>
      </c>
      <c r="C2027" t="s">
        <v>1878</v>
      </c>
      <c r="D2027" s="23">
        <v>-59.4</v>
      </c>
      <c r="E2027" t="s">
        <v>35</v>
      </c>
      <c r="F2027" s="2">
        <v>213101001</v>
      </c>
      <c r="G2027" s="2" t="s">
        <v>642</v>
      </c>
      <c r="I2027" s="95" t="s">
        <v>7231</v>
      </c>
      <c r="J2027" t="s">
        <v>643</v>
      </c>
      <c r="K2027" t="s">
        <v>644</v>
      </c>
      <c r="M2027">
        <v>64.48</v>
      </c>
      <c r="N2027" s="4">
        <f t="shared" si="31"/>
        <v>-0.9212158808933002</v>
      </c>
      <c r="O2027" t="s">
        <v>605</v>
      </c>
      <c r="Q2027" s="36" t="s">
        <v>1876</v>
      </c>
    </row>
    <row r="2028" spans="1:17" x14ac:dyDescent="0.25">
      <c r="A2028" s="43">
        <v>45729</v>
      </c>
      <c r="B2028" s="1" t="s">
        <v>1879</v>
      </c>
      <c r="C2028" t="s">
        <v>293</v>
      </c>
      <c r="D2028" s="23">
        <v>725000</v>
      </c>
      <c r="E2028" t="s">
        <v>45</v>
      </c>
      <c r="F2028" s="2">
        <v>210115002</v>
      </c>
      <c r="G2028" s="2" t="s">
        <v>46</v>
      </c>
      <c r="I2028" s="95" t="s">
        <v>7231</v>
      </c>
      <c r="K2028" t="s">
        <v>293</v>
      </c>
      <c r="M2028">
        <v>66.25</v>
      </c>
      <c r="N2028" s="4">
        <f t="shared" si="31"/>
        <v>10943.396226415094</v>
      </c>
      <c r="O2028" t="s">
        <v>605</v>
      </c>
      <c r="Q2028" s="35"/>
    </row>
    <row r="2029" spans="1:17" x14ac:dyDescent="0.25">
      <c r="A2029" s="43">
        <v>45729</v>
      </c>
      <c r="B2029" s="1" t="s">
        <v>617</v>
      </c>
      <c r="C2029" t="s">
        <v>1880</v>
      </c>
      <c r="D2029" s="23">
        <v>-55323.6</v>
      </c>
      <c r="E2029" t="s">
        <v>35</v>
      </c>
      <c r="F2029" s="2">
        <v>210101001</v>
      </c>
      <c r="G2029" s="2" t="s">
        <v>36</v>
      </c>
      <c r="I2029" s="95" t="s">
        <v>7231</v>
      </c>
      <c r="J2029" t="s">
        <v>37</v>
      </c>
      <c r="K2029" t="s">
        <v>38</v>
      </c>
      <c r="M2029">
        <v>66.25</v>
      </c>
      <c r="N2029" s="4">
        <f t="shared" si="31"/>
        <v>-835.07320754716977</v>
      </c>
      <c r="O2029" t="s">
        <v>605</v>
      </c>
      <c r="Q2029" s="35"/>
    </row>
    <row r="2030" spans="1:17" x14ac:dyDescent="0.25">
      <c r="A2030" s="43">
        <v>45729</v>
      </c>
      <c r="B2030" s="1" t="s">
        <v>617</v>
      </c>
      <c r="C2030" t="s">
        <v>1881</v>
      </c>
      <c r="D2030" s="23">
        <v>-27661.599999999999</v>
      </c>
      <c r="E2030" t="s">
        <v>35</v>
      </c>
      <c r="F2030" s="2">
        <v>210101001</v>
      </c>
      <c r="G2030" s="2" t="s">
        <v>36</v>
      </c>
      <c r="I2030" s="95" t="s">
        <v>7231</v>
      </c>
      <c r="J2030" t="s">
        <v>1007</v>
      </c>
      <c r="K2030" t="s">
        <v>1008</v>
      </c>
      <c r="M2030">
        <v>66.25</v>
      </c>
      <c r="N2030" s="4">
        <f t="shared" si="31"/>
        <v>-417.53358490566035</v>
      </c>
      <c r="O2030" t="s">
        <v>605</v>
      </c>
      <c r="Q2030" s="35"/>
    </row>
    <row r="2031" spans="1:17" x14ac:dyDescent="0.25">
      <c r="A2031" s="43">
        <v>45729</v>
      </c>
      <c r="B2031" s="1" t="s">
        <v>613</v>
      </c>
      <c r="C2031" t="s">
        <v>1882</v>
      </c>
      <c r="D2031" s="23">
        <v>-25192.5</v>
      </c>
      <c r="E2031" t="s">
        <v>35</v>
      </c>
      <c r="F2031" s="2">
        <v>210101001</v>
      </c>
      <c r="G2031" s="2" t="s">
        <v>36</v>
      </c>
      <c r="I2031" s="95" t="s">
        <v>7231</v>
      </c>
      <c r="J2031" t="s">
        <v>376</v>
      </c>
      <c r="K2031" t="s">
        <v>377</v>
      </c>
      <c r="M2031">
        <v>66.25</v>
      </c>
      <c r="N2031" s="4">
        <f t="shared" si="31"/>
        <v>-380.2641509433962</v>
      </c>
      <c r="O2031" t="s">
        <v>605</v>
      </c>
      <c r="Q2031" s="35"/>
    </row>
    <row r="2032" spans="1:17" x14ac:dyDescent="0.25">
      <c r="A2032" s="43">
        <v>45729</v>
      </c>
      <c r="B2032" s="1" t="s">
        <v>615</v>
      </c>
      <c r="C2032" t="s">
        <v>1880</v>
      </c>
      <c r="D2032" s="23">
        <v>-200000</v>
      </c>
      <c r="E2032" t="s">
        <v>35</v>
      </c>
      <c r="F2032" s="2">
        <v>210101001</v>
      </c>
      <c r="G2032" s="2" t="s">
        <v>36</v>
      </c>
      <c r="I2032" s="95" t="s">
        <v>7231</v>
      </c>
      <c r="J2032" t="s">
        <v>37</v>
      </c>
      <c r="K2032" t="s">
        <v>38</v>
      </c>
      <c r="M2032">
        <v>66.25</v>
      </c>
      <c r="N2032" s="4">
        <f t="shared" si="31"/>
        <v>-3018.867924528302</v>
      </c>
      <c r="O2032" t="s">
        <v>605</v>
      </c>
      <c r="Q2032" s="35"/>
    </row>
    <row r="2033" spans="1:17" x14ac:dyDescent="0.25">
      <c r="A2033" s="43">
        <v>45729</v>
      </c>
      <c r="B2033" s="1" t="s">
        <v>617</v>
      </c>
      <c r="C2033" t="s">
        <v>1881</v>
      </c>
      <c r="D2033" s="23">
        <v>-200000</v>
      </c>
      <c r="E2033" t="s">
        <v>35</v>
      </c>
      <c r="F2033" s="2">
        <v>210101001</v>
      </c>
      <c r="G2033" s="2" t="s">
        <v>36</v>
      </c>
      <c r="I2033" s="95" t="s">
        <v>7231</v>
      </c>
      <c r="J2033" t="s">
        <v>1007</v>
      </c>
      <c r="K2033" t="s">
        <v>1008</v>
      </c>
      <c r="M2033">
        <v>66.25</v>
      </c>
      <c r="N2033" s="4">
        <f t="shared" si="31"/>
        <v>-3018.867924528302</v>
      </c>
      <c r="O2033" t="s">
        <v>605</v>
      </c>
      <c r="Q2033" s="35"/>
    </row>
    <row r="2034" spans="1:17" x14ac:dyDescent="0.25">
      <c r="A2034" s="43">
        <v>45729</v>
      </c>
      <c r="B2034" s="1" t="s">
        <v>617</v>
      </c>
      <c r="C2034" t="s">
        <v>1880</v>
      </c>
      <c r="D2034" s="23">
        <v>-200000</v>
      </c>
      <c r="E2034" t="s">
        <v>35</v>
      </c>
      <c r="F2034" s="2">
        <v>210101001</v>
      </c>
      <c r="G2034" s="2" t="s">
        <v>36</v>
      </c>
      <c r="I2034" s="95" t="s">
        <v>7231</v>
      </c>
      <c r="J2034" t="s">
        <v>37</v>
      </c>
      <c r="K2034" t="s">
        <v>38</v>
      </c>
      <c r="M2034">
        <v>66.25</v>
      </c>
      <c r="N2034" s="4">
        <f t="shared" si="31"/>
        <v>-3018.867924528302</v>
      </c>
      <c r="O2034" t="s">
        <v>605</v>
      </c>
      <c r="Q2034" s="35"/>
    </row>
    <row r="2035" spans="1:17" x14ac:dyDescent="0.25">
      <c r="A2035" s="43">
        <v>45729</v>
      </c>
      <c r="B2035" s="1" t="s">
        <v>619</v>
      </c>
      <c r="C2035" t="s">
        <v>1883</v>
      </c>
      <c r="D2035" s="23">
        <v>-16238.3</v>
      </c>
      <c r="E2035" t="s">
        <v>35</v>
      </c>
      <c r="F2035" s="2">
        <v>210101001</v>
      </c>
      <c r="G2035" s="2" t="s">
        <v>36</v>
      </c>
      <c r="I2035" s="95" t="s">
        <v>7231</v>
      </c>
      <c r="J2035" t="s">
        <v>701</v>
      </c>
      <c r="K2035" t="s">
        <v>702</v>
      </c>
      <c r="M2035">
        <v>66.25</v>
      </c>
      <c r="N2035" s="4">
        <f t="shared" si="31"/>
        <v>-245.10641509433961</v>
      </c>
      <c r="O2035" t="s">
        <v>605</v>
      </c>
      <c r="Q2035" s="35"/>
    </row>
    <row r="2036" spans="1:17" x14ac:dyDescent="0.25">
      <c r="A2036" s="43">
        <v>45729</v>
      </c>
      <c r="B2036" s="1" t="s">
        <v>625</v>
      </c>
      <c r="C2036" t="s">
        <v>622</v>
      </c>
      <c r="D2036" s="23">
        <v>-500</v>
      </c>
      <c r="E2036" t="s">
        <v>35</v>
      </c>
      <c r="F2036" s="2">
        <v>610148001</v>
      </c>
      <c r="G2036" s="2" t="s">
        <v>41</v>
      </c>
      <c r="I2036" s="95" t="s">
        <v>7231</v>
      </c>
      <c r="J2036" t="s">
        <v>42</v>
      </c>
      <c r="K2036" t="s">
        <v>41</v>
      </c>
      <c r="M2036">
        <v>66.25</v>
      </c>
      <c r="N2036" s="4">
        <f t="shared" si="31"/>
        <v>-7.5471698113207548</v>
      </c>
      <c r="O2036" t="s">
        <v>605</v>
      </c>
      <c r="Q2036" s="36" t="s">
        <v>1310</v>
      </c>
    </row>
    <row r="2037" spans="1:17" x14ac:dyDescent="0.25">
      <c r="A2037" s="43">
        <v>45729</v>
      </c>
      <c r="B2037" s="1" t="s">
        <v>621</v>
      </c>
      <c r="C2037" t="s">
        <v>622</v>
      </c>
      <c r="D2037" s="23">
        <v>-40.590000000000003</v>
      </c>
      <c r="E2037" t="s">
        <v>35</v>
      </c>
      <c r="F2037" s="2">
        <v>610148001</v>
      </c>
      <c r="G2037" s="2" t="s">
        <v>41</v>
      </c>
      <c r="I2037" s="95" t="s">
        <v>7231</v>
      </c>
      <c r="J2037" t="s">
        <v>42</v>
      </c>
      <c r="K2037" t="s">
        <v>41</v>
      </c>
      <c r="M2037">
        <v>66.25</v>
      </c>
      <c r="N2037" s="4">
        <f t="shared" si="31"/>
        <v>-0.61267924528301887</v>
      </c>
      <c r="O2037" t="s">
        <v>605</v>
      </c>
      <c r="Q2037" s="36" t="s">
        <v>1310</v>
      </c>
    </row>
    <row r="2038" spans="1:17" x14ac:dyDescent="0.25">
      <c r="A2038" s="43">
        <v>45729</v>
      </c>
      <c r="B2038" s="1" t="s">
        <v>624</v>
      </c>
      <c r="C2038" t="s">
        <v>622</v>
      </c>
      <c r="D2038" s="23">
        <v>-138.30000000000001</v>
      </c>
      <c r="E2038" t="s">
        <v>35</v>
      </c>
      <c r="F2038" s="2">
        <v>610148001</v>
      </c>
      <c r="G2038" s="2" t="s">
        <v>41</v>
      </c>
      <c r="I2038" s="95" t="s">
        <v>7231</v>
      </c>
      <c r="J2038" t="s">
        <v>42</v>
      </c>
      <c r="K2038" t="s">
        <v>41</v>
      </c>
      <c r="M2038">
        <v>66.25</v>
      </c>
      <c r="N2038" s="4">
        <f t="shared" si="31"/>
        <v>-2.0875471698113208</v>
      </c>
      <c r="O2038" t="s">
        <v>605</v>
      </c>
      <c r="Q2038" s="36" t="s">
        <v>1310</v>
      </c>
    </row>
    <row r="2039" spans="1:17" x14ac:dyDescent="0.25">
      <c r="A2039" s="43">
        <v>45729</v>
      </c>
      <c r="B2039" s="1" t="s">
        <v>624</v>
      </c>
      <c r="C2039" t="s">
        <v>622</v>
      </c>
      <c r="D2039" s="23">
        <v>-500</v>
      </c>
      <c r="E2039" t="s">
        <v>35</v>
      </c>
      <c r="F2039" s="2">
        <v>610148001</v>
      </c>
      <c r="G2039" s="2" t="s">
        <v>41</v>
      </c>
      <c r="I2039" s="95" t="s">
        <v>7231</v>
      </c>
      <c r="J2039" t="s">
        <v>42</v>
      </c>
      <c r="K2039" t="s">
        <v>41</v>
      </c>
      <c r="M2039">
        <v>66.25</v>
      </c>
      <c r="N2039" s="4">
        <f t="shared" si="31"/>
        <v>-7.5471698113207548</v>
      </c>
      <c r="O2039" t="s">
        <v>605</v>
      </c>
      <c r="Q2039" s="36" t="s">
        <v>1310</v>
      </c>
    </row>
    <row r="2040" spans="1:17" x14ac:dyDescent="0.25">
      <c r="A2040" s="43">
        <v>45729</v>
      </c>
      <c r="B2040" s="1" t="s">
        <v>624</v>
      </c>
      <c r="C2040" t="s">
        <v>622</v>
      </c>
      <c r="D2040" s="23">
        <v>-500</v>
      </c>
      <c r="E2040" t="s">
        <v>35</v>
      </c>
      <c r="F2040" s="2">
        <v>610148001</v>
      </c>
      <c r="G2040" s="2" t="s">
        <v>41</v>
      </c>
      <c r="I2040" s="95" t="s">
        <v>7231</v>
      </c>
      <c r="J2040" t="s">
        <v>42</v>
      </c>
      <c r="K2040" t="s">
        <v>41</v>
      </c>
      <c r="M2040">
        <v>66.25</v>
      </c>
      <c r="N2040" s="4">
        <f t="shared" si="31"/>
        <v>-7.5471698113207548</v>
      </c>
      <c r="O2040" t="s">
        <v>605</v>
      </c>
      <c r="Q2040" s="36" t="s">
        <v>1310</v>
      </c>
    </row>
    <row r="2041" spans="1:17" x14ac:dyDescent="0.25">
      <c r="A2041" s="43">
        <v>45729</v>
      </c>
      <c r="B2041" s="1" t="s">
        <v>624</v>
      </c>
      <c r="C2041" t="s">
        <v>622</v>
      </c>
      <c r="D2041" s="23">
        <v>-69.150000000000006</v>
      </c>
      <c r="E2041" t="s">
        <v>35</v>
      </c>
      <c r="F2041" s="2">
        <v>610148001</v>
      </c>
      <c r="G2041" s="2" t="s">
        <v>41</v>
      </c>
      <c r="I2041" s="95" t="s">
        <v>7231</v>
      </c>
      <c r="J2041" t="s">
        <v>42</v>
      </c>
      <c r="K2041" t="s">
        <v>41</v>
      </c>
      <c r="M2041">
        <v>66.25</v>
      </c>
      <c r="N2041" s="4">
        <f t="shared" si="31"/>
        <v>-1.0437735849056604</v>
      </c>
      <c r="O2041" t="s">
        <v>605</v>
      </c>
      <c r="Q2041" s="36" t="s">
        <v>1310</v>
      </c>
    </row>
    <row r="2042" spans="1:17" x14ac:dyDescent="0.25">
      <c r="A2042" s="43">
        <v>45729</v>
      </c>
      <c r="B2042" s="1" t="s">
        <v>623</v>
      </c>
      <c r="C2042" t="s">
        <v>622</v>
      </c>
      <c r="D2042" s="23">
        <v>-62.98</v>
      </c>
      <c r="E2042" t="s">
        <v>35</v>
      </c>
      <c r="F2042" s="2">
        <v>610148001</v>
      </c>
      <c r="G2042" s="2" t="s">
        <v>41</v>
      </c>
      <c r="I2042" s="95" t="s">
        <v>7231</v>
      </c>
      <c r="J2042" t="s">
        <v>42</v>
      </c>
      <c r="K2042" t="s">
        <v>41</v>
      </c>
      <c r="M2042">
        <v>66.25</v>
      </c>
      <c r="N2042" s="4">
        <f t="shared" si="31"/>
        <v>-0.9506415094339622</v>
      </c>
      <c r="O2042" t="s">
        <v>605</v>
      </c>
      <c r="Q2042" s="36" t="s">
        <v>1310</v>
      </c>
    </row>
    <row r="2043" spans="1:17" x14ac:dyDescent="0.25">
      <c r="A2043" s="43">
        <v>45730</v>
      </c>
      <c r="B2043" s="1" t="s">
        <v>1884</v>
      </c>
      <c r="C2043" t="s">
        <v>293</v>
      </c>
      <c r="D2043" s="23">
        <v>320000</v>
      </c>
      <c r="E2043" t="s">
        <v>45</v>
      </c>
      <c r="F2043" s="2">
        <v>210115002</v>
      </c>
      <c r="G2043" s="2" t="s">
        <v>46</v>
      </c>
      <c r="I2043" s="95" t="s">
        <v>7231</v>
      </c>
      <c r="K2043" t="s">
        <v>293</v>
      </c>
      <c r="M2043">
        <v>66.44</v>
      </c>
      <c r="N2043" s="4">
        <f t="shared" si="31"/>
        <v>4816.3756773028299</v>
      </c>
      <c r="O2043" t="s">
        <v>605</v>
      </c>
    </row>
    <row r="2044" spans="1:17" x14ac:dyDescent="0.25">
      <c r="A2044" s="43">
        <v>45730</v>
      </c>
      <c r="B2044" s="1" t="s">
        <v>1885</v>
      </c>
      <c r="C2044" t="s">
        <v>293</v>
      </c>
      <c r="D2044" s="23">
        <v>35000</v>
      </c>
      <c r="E2044" t="s">
        <v>45</v>
      </c>
      <c r="F2044" s="2">
        <v>210115002</v>
      </c>
      <c r="G2044" s="2" t="s">
        <v>46</v>
      </c>
      <c r="I2044" s="95" t="s">
        <v>7231</v>
      </c>
      <c r="K2044" t="s">
        <v>293</v>
      </c>
      <c r="M2044">
        <v>66.44</v>
      </c>
      <c r="N2044" s="4">
        <f t="shared" si="31"/>
        <v>526.79108970499703</v>
      </c>
      <c r="O2044" t="s">
        <v>605</v>
      </c>
    </row>
    <row r="2045" spans="1:17" x14ac:dyDescent="0.25">
      <c r="A2045" s="43">
        <v>45730</v>
      </c>
      <c r="B2045" s="1" t="s">
        <v>1886</v>
      </c>
      <c r="C2045" t="s">
        <v>1887</v>
      </c>
      <c r="D2045" s="23">
        <v>-10887</v>
      </c>
      <c r="E2045" t="s">
        <v>35</v>
      </c>
      <c r="F2045" s="2">
        <v>210101001</v>
      </c>
      <c r="G2045" s="2" t="s">
        <v>36</v>
      </c>
      <c r="I2045" s="95" t="s">
        <v>7231</v>
      </c>
      <c r="J2045" t="s">
        <v>86</v>
      </c>
      <c r="K2045" t="s">
        <v>87</v>
      </c>
      <c r="M2045">
        <v>66.44</v>
      </c>
      <c r="N2045" s="4">
        <f t="shared" si="31"/>
        <v>-163.86213124623723</v>
      </c>
      <c r="O2045" t="s">
        <v>605</v>
      </c>
    </row>
    <row r="2046" spans="1:17" x14ac:dyDescent="0.25">
      <c r="A2046" s="43">
        <v>45730</v>
      </c>
      <c r="B2046" s="1" t="s">
        <v>1888</v>
      </c>
      <c r="C2046" t="s">
        <v>1889</v>
      </c>
      <c r="D2046" s="23">
        <v>-26907.040000000001</v>
      </c>
      <c r="E2046" t="s">
        <v>35</v>
      </c>
      <c r="F2046" s="2">
        <v>210101001</v>
      </c>
      <c r="G2046" s="2" t="s">
        <v>36</v>
      </c>
      <c r="I2046" s="95" t="s">
        <v>7231</v>
      </c>
      <c r="J2046" t="s">
        <v>376</v>
      </c>
      <c r="K2046" t="s">
        <v>377</v>
      </c>
      <c r="M2046">
        <v>66.44</v>
      </c>
      <c r="N2046" s="4">
        <f t="shared" si="31"/>
        <v>-404.98254063816978</v>
      </c>
      <c r="O2046" t="s">
        <v>605</v>
      </c>
    </row>
    <row r="2047" spans="1:17" x14ac:dyDescent="0.25">
      <c r="A2047" s="43">
        <v>45730</v>
      </c>
      <c r="B2047" s="1" t="s">
        <v>617</v>
      </c>
      <c r="C2047" t="s">
        <v>1890</v>
      </c>
      <c r="D2047" s="23">
        <v>-7972.8</v>
      </c>
      <c r="E2047" t="s">
        <v>35</v>
      </c>
      <c r="F2047" s="2">
        <v>212901001</v>
      </c>
      <c r="G2047" s="2" t="s">
        <v>91</v>
      </c>
      <c r="I2047" s="95" t="s">
        <v>7231</v>
      </c>
      <c r="J2047" t="s">
        <v>61</v>
      </c>
      <c r="K2047" t="s">
        <v>62</v>
      </c>
      <c r="M2047">
        <v>66.44</v>
      </c>
      <c r="N2047" s="4">
        <f t="shared" si="31"/>
        <v>-120</v>
      </c>
      <c r="O2047" t="s">
        <v>605</v>
      </c>
    </row>
    <row r="2048" spans="1:17" x14ac:dyDescent="0.25">
      <c r="A2048" s="43">
        <v>45730</v>
      </c>
      <c r="B2048" s="1" t="s">
        <v>1268</v>
      </c>
      <c r="C2048" t="s">
        <v>1891</v>
      </c>
      <c r="D2048" s="23">
        <v>-4650.8</v>
      </c>
      <c r="E2048" t="s">
        <v>35</v>
      </c>
      <c r="F2048" s="2">
        <v>212901001</v>
      </c>
      <c r="G2048" s="2" t="s">
        <v>91</v>
      </c>
      <c r="I2048" s="95" t="s">
        <v>7231</v>
      </c>
      <c r="J2048" t="s">
        <v>61</v>
      </c>
      <c r="K2048" t="s">
        <v>62</v>
      </c>
      <c r="M2048">
        <v>66.44</v>
      </c>
      <c r="N2048" s="4">
        <f t="shared" si="31"/>
        <v>-70</v>
      </c>
      <c r="O2048" t="s">
        <v>605</v>
      </c>
    </row>
    <row r="2049" spans="1:17" x14ac:dyDescent="0.25">
      <c r="A2049" s="43">
        <v>45730</v>
      </c>
      <c r="B2049" s="1" t="s">
        <v>1892</v>
      </c>
      <c r="C2049" t="s">
        <v>1893</v>
      </c>
      <c r="D2049" s="23">
        <v>-2325.4</v>
      </c>
      <c r="E2049" t="s">
        <v>35</v>
      </c>
      <c r="F2049" s="2">
        <v>212901001</v>
      </c>
      <c r="G2049" s="2" t="s">
        <v>91</v>
      </c>
      <c r="I2049" s="95" t="s">
        <v>7231</v>
      </c>
      <c r="J2049" t="s">
        <v>61</v>
      </c>
      <c r="K2049" t="s">
        <v>62</v>
      </c>
      <c r="M2049">
        <v>66.44</v>
      </c>
      <c r="N2049" s="4">
        <f t="shared" si="31"/>
        <v>-35</v>
      </c>
      <c r="O2049" t="s">
        <v>605</v>
      </c>
    </row>
    <row r="2050" spans="1:17" x14ac:dyDescent="0.25">
      <c r="A2050" s="43">
        <v>45730</v>
      </c>
      <c r="B2050" s="1" t="s">
        <v>1894</v>
      </c>
      <c r="C2050" t="s">
        <v>1895</v>
      </c>
      <c r="D2050" s="23">
        <v>-1328.8</v>
      </c>
      <c r="E2050" t="s">
        <v>35</v>
      </c>
      <c r="F2050" s="2">
        <v>212901001</v>
      </c>
      <c r="G2050" s="2" t="s">
        <v>91</v>
      </c>
      <c r="I2050" s="95" t="s">
        <v>7231</v>
      </c>
      <c r="J2050" t="s">
        <v>61</v>
      </c>
      <c r="K2050" t="s">
        <v>62</v>
      </c>
      <c r="M2050">
        <v>66.44</v>
      </c>
      <c r="N2050" s="4">
        <f t="shared" si="31"/>
        <v>-20</v>
      </c>
      <c r="O2050" t="s">
        <v>605</v>
      </c>
    </row>
    <row r="2051" spans="1:17" x14ac:dyDescent="0.25">
      <c r="A2051" s="43">
        <v>45730</v>
      </c>
      <c r="B2051" s="1" t="s">
        <v>1896</v>
      </c>
      <c r="C2051" t="s">
        <v>1897</v>
      </c>
      <c r="D2051" s="23">
        <v>-664.4</v>
      </c>
      <c r="E2051" t="s">
        <v>35</v>
      </c>
      <c r="F2051" s="2">
        <v>212901001</v>
      </c>
      <c r="G2051" s="2" t="s">
        <v>91</v>
      </c>
      <c r="I2051" s="95" t="s">
        <v>7231</v>
      </c>
      <c r="J2051" t="s">
        <v>61</v>
      </c>
      <c r="K2051" t="s">
        <v>62</v>
      </c>
      <c r="M2051">
        <v>66.44</v>
      </c>
      <c r="N2051" s="4">
        <f t="shared" si="31"/>
        <v>-10</v>
      </c>
      <c r="O2051" t="s">
        <v>605</v>
      </c>
    </row>
    <row r="2052" spans="1:17" x14ac:dyDescent="0.25">
      <c r="A2052" s="43">
        <v>45730</v>
      </c>
      <c r="B2052" s="1" t="s">
        <v>1898</v>
      </c>
      <c r="C2052" t="s">
        <v>1899</v>
      </c>
      <c r="D2052" s="23">
        <v>-1328.8</v>
      </c>
      <c r="E2052" t="s">
        <v>35</v>
      </c>
      <c r="F2052" s="2">
        <v>212901001</v>
      </c>
      <c r="G2052" s="2" t="s">
        <v>91</v>
      </c>
      <c r="I2052" s="95" t="s">
        <v>7231</v>
      </c>
      <c r="J2052" t="s">
        <v>61</v>
      </c>
      <c r="K2052" t="s">
        <v>62</v>
      </c>
      <c r="M2052">
        <v>66.44</v>
      </c>
      <c r="N2052" s="4">
        <f t="shared" si="31"/>
        <v>-20</v>
      </c>
      <c r="O2052" t="s">
        <v>605</v>
      </c>
    </row>
    <row r="2053" spans="1:17" x14ac:dyDescent="0.25">
      <c r="A2053" s="43">
        <v>45730</v>
      </c>
      <c r="B2053" s="1" t="s">
        <v>1900</v>
      </c>
      <c r="C2053" t="s">
        <v>1901</v>
      </c>
      <c r="D2053" s="23">
        <v>-6479.31</v>
      </c>
      <c r="E2053" t="s">
        <v>35</v>
      </c>
      <c r="F2053" s="2">
        <v>110114001</v>
      </c>
      <c r="G2053" s="2" t="s">
        <v>181</v>
      </c>
      <c r="I2053" s="95" t="s">
        <v>7231</v>
      </c>
      <c r="J2053" t="s">
        <v>86</v>
      </c>
      <c r="K2053" t="s">
        <v>87</v>
      </c>
      <c r="M2053">
        <v>66.44</v>
      </c>
      <c r="N2053" s="4">
        <f t="shared" si="31"/>
        <v>-97.521222155328118</v>
      </c>
      <c r="O2053" t="s">
        <v>605</v>
      </c>
      <c r="P2053" s="34" t="s">
        <v>694</v>
      </c>
    </row>
    <row r="2054" spans="1:17" x14ac:dyDescent="0.25">
      <c r="A2054" s="43">
        <v>45730</v>
      </c>
      <c r="B2054" s="1" t="s">
        <v>613</v>
      </c>
      <c r="C2054" t="s">
        <v>1902</v>
      </c>
      <c r="D2054" s="23">
        <v>-200000</v>
      </c>
      <c r="E2054" t="s">
        <v>35</v>
      </c>
      <c r="F2054" s="2">
        <v>210101001</v>
      </c>
      <c r="G2054" s="2" t="s">
        <v>36</v>
      </c>
      <c r="I2054" s="95" t="s">
        <v>7231</v>
      </c>
      <c r="J2054" t="s">
        <v>37</v>
      </c>
      <c r="K2054" t="s">
        <v>38</v>
      </c>
      <c r="M2054">
        <v>66.44</v>
      </c>
      <c r="N2054" s="4">
        <f t="shared" si="31"/>
        <v>-3010.2347983142686</v>
      </c>
      <c r="O2054" t="s">
        <v>605</v>
      </c>
    </row>
    <row r="2055" spans="1:17" x14ac:dyDescent="0.25">
      <c r="A2055" s="43">
        <v>45730</v>
      </c>
      <c r="B2055" s="1" t="s">
        <v>1267</v>
      </c>
      <c r="C2055" t="s">
        <v>1903</v>
      </c>
      <c r="D2055" s="23">
        <v>-3322</v>
      </c>
      <c r="E2055" t="s">
        <v>35</v>
      </c>
      <c r="F2055" s="2">
        <v>212901001</v>
      </c>
      <c r="G2055" s="2" t="s">
        <v>91</v>
      </c>
      <c r="I2055" s="95" t="s">
        <v>7231</v>
      </c>
      <c r="J2055" t="s">
        <v>61</v>
      </c>
      <c r="K2055" t="s">
        <v>62</v>
      </c>
      <c r="M2055">
        <v>66.44</v>
      </c>
      <c r="N2055" s="4">
        <f t="shared" si="31"/>
        <v>-50</v>
      </c>
      <c r="O2055" t="s">
        <v>605</v>
      </c>
    </row>
    <row r="2056" spans="1:17" x14ac:dyDescent="0.25">
      <c r="A2056" s="43">
        <v>45730</v>
      </c>
      <c r="B2056" s="1" t="s">
        <v>1904</v>
      </c>
      <c r="C2056" t="s">
        <v>1905</v>
      </c>
      <c r="D2056" s="23">
        <v>-1328.8</v>
      </c>
      <c r="E2056" t="s">
        <v>35</v>
      </c>
      <c r="F2056" s="2">
        <v>212901001</v>
      </c>
      <c r="G2056" s="2" t="s">
        <v>91</v>
      </c>
      <c r="I2056" s="95" t="s">
        <v>7231</v>
      </c>
      <c r="J2056" t="s">
        <v>61</v>
      </c>
      <c r="K2056" t="s">
        <v>62</v>
      </c>
      <c r="M2056">
        <v>66.44</v>
      </c>
      <c r="N2056" s="4">
        <f t="shared" si="31"/>
        <v>-20</v>
      </c>
      <c r="O2056" t="s">
        <v>605</v>
      </c>
    </row>
    <row r="2057" spans="1:17" x14ac:dyDescent="0.25">
      <c r="A2057" s="43">
        <v>45730</v>
      </c>
      <c r="B2057" s="1" t="s">
        <v>615</v>
      </c>
      <c r="C2057" t="s">
        <v>1902</v>
      </c>
      <c r="D2057" s="23">
        <v>-71768.31</v>
      </c>
      <c r="E2057" t="s">
        <v>35</v>
      </c>
      <c r="F2057" s="2">
        <v>110114001</v>
      </c>
      <c r="G2057" s="2" t="s">
        <v>181</v>
      </c>
      <c r="I2057" s="95" t="s">
        <v>7231</v>
      </c>
      <c r="J2057" t="s">
        <v>37</v>
      </c>
      <c r="K2057" t="s">
        <v>38</v>
      </c>
      <c r="M2057">
        <v>66.44</v>
      </c>
      <c r="N2057" s="4">
        <f t="shared" si="31"/>
        <v>-1080.1973208910294</v>
      </c>
      <c r="O2057" t="s">
        <v>605</v>
      </c>
      <c r="P2057" s="34" t="s">
        <v>694</v>
      </c>
    </row>
    <row r="2058" spans="1:17" x14ac:dyDescent="0.25">
      <c r="A2058" s="43">
        <v>45730</v>
      </c>
      <c r="B2058" s="1" t="s">
        <v>619</v>
      </c>
      <c r="C2058" t="s">
        <v>1906</v>
      </c>
      <c r="D2058" s="23">
        <v>-3388.44</v>
      </c>
      <c r="E2058" t="s">
        <v>35</v>
      </c>
      <c r="F2058" s="2">
        <v>212901001</v>
      </c>
      <c r="G2058" s="2" t="s">
        <v>91</v>
      </c>
      <c r="I2058" s="95" t="s">
        <v>7231</v>
      </c>
      <c r="J2058" t="s">
        <v>61</v>
      </c>
      <c r="K2058" t="s">
        <v>62</v>
      </c>
      <c r="M2058">
        <v>66.44</v>
      </c>
      <c r="N2058" s="4">
        <f t="shared" si="31"/>
        <v>-51</v>
      </c>
      <c r="O2058" t="s">
        <v>605</v>
      </c>
    </row>
    <row r="2059" spans="1:17" x14ac:dyDescent="0.25">
      <c r="A2059" s="43">
        <v>45730</v>
      </c>
      <c r="B2059" s="1" t="s">
        <v>1907</v>
      </c>
      <c r="C2059" t="s">
        <v>1908</v>
      </c>
      <c r="D2059" s="23">
        <v>-7171.82</v>
      </c>
      <c r="E2059" t="s">
        <v>35</v>
      </c>
      <c r="F2059" s="2">
        <v>210101001</v>
      </c>
      <c r="G2059" s="2" t="s">
        <v>36</v>
      </c>
      <c r="I2059" s="95" t="s">
        <v>7231</v>
      </c>
      <c r="J2059" t="s">
        <v>376</v>
      </c>
      <c r="K2059" t="s">
        <v>377</v>
      </c>
      <c r="M2059">
        <v>66.44</v>
      </c>
      <c r="N2059" s="4">
        <f t="shared" si="31"/>
        <v>-107.94431065623118</v>
      </c>
      <c r="O2059" t="s">
        <v>605</v>
      </c>
    </row>
    <row r="2060" spans="1:17" x14ac:dyDescent="0.25">
      <c r="A2060" s="43">
        <v>45730</v>
      </c>
      <c r="B2060" s="1" t="s">
        <v>1909</v>
      </c>
      <c r="C2060" t="s">
        <v>1910</v>
      </c>
      <c r="D2060" s="23">
        <v>-1328.8</v>
      </c>
      <c r="E2060" t="s">
        <v>35</v>
      </c>
      <c r="F2060" s="2">
        <v>212901001</v>
      </c>
      <c r="G2060" s="2" t="s">
        <v>91</v>
      </c>
      <c r="I2060" s="95" t="s">
        <v>7231</v>
      </c>
      <c r="J2060" t="s">
        <v>61</v>
      </c>
      <c r="K2060" t="s">
        <v>62</v>
      </c>
      <c r="M2060">
        <v>66.44</v>
      </c>
      <c r="N2060" s="4">
        <f t="shared" ref="N2060:N2123" si="32">D2060/M2060</f>
        <v>-20</v>
      </c>
      <c r="O2060" t="s">
        <v>605</v>
      </c>
    </row>
    <row r="2061" spans="1:17" x14ac:dyDescent="0.25">
      <c r="A2061" s="43">
        <v>45730</v>
      </c>
      <c r="B2061" s="1" t="s">
        <v>1911</v>
      </c>
      <c r="C2061" t="s">
        <v>622</v>
      </c>
      <c r="D2061" s="23">
        <v>-17.920000000000002</v>
      </c>
      <c r="E2061" t="s">
        <v>35</v>
      </c>
      <c r="F2061" s="2">
        <v>610148001</v>
      </c>
      <c r="G2061" s="2" t="s">
        <v>41</v>
      </c>
      <c r="I2061" s="95" t="s">
        <v>7231</v>
      </c>
      <c r="J2061" t="s">
        <v>42</v>
      </c>
      <c r="K2061" t="s">
        <v>41</v>
      </c>
      <c r="M2061">
        <v>66.44</v>
      </c>
      <c r="N2061" s="4">
        <f t="shared" si="32"/>
        <v>-0.26971703792895851</v>
      </c>
      <c r="O2061" t="s">
        <v>605</v>
      </c>
      <c r="Q2061" s="36" t="s">
        <v>1310</v>
      </c>
    </row>
    <row r="2062" spans="1:17" x14ac:dyDescent="0.25">
      <c r="A2062" s="43">
        <v>45730</v>
      </c>
      <c r="B2062" s="1" t="s">
        <v>624</v>
      </c>
      <c r="C2062" t="s">
        <v>622</v>
      </c>
      <c r="D2062" s="23">
        <v>-19.93</v>
      </c>
      <c r="E2062" t="s">
        <v>35</v>
      </c>
      <c r="F2062" s="2">
        <v>610148001</v>
      </c>
      <c r="G2062" s="2" t="s">
        <v>41</v>
      </c>
      <c r="I2062" s="95" t="s">
        <v>7231</v>
      </c>
      <c r="J2062" t="s">
        <v>42</v>
      </c>
      <c r="K2062" t="s">
        <v>41</v>
      </c>
      <c r="M2062">
        <v>66.44</v>
      </c>
      <c r="N2062" s="4">
        <f t="shared" si="32"/>
        <v>-0.29996989765201687</v>
      </c>
      <c r="O2062" t="s">
        <v>605</v>
      </c>
      <c r="Q2062" s="36" t="s">
        <v>1310</v>
      </c>
    </row>
    <row r="2063" spans="1:17" x14ac:dyDescent="0.25">
      <c r="A2063" s="43">
        <v>45730</v>
      </c>
      <c r="B2063" s="1" t="s">
        <v>1912</v>
      </c>
      <c r="C2063" t="s">
        <v>622</v>
      </c>
      <c r="D2063" s="23">
        <v>-3.32</v>
      </c>
      <c r="E2063" t="s">
        <v>35</v>
      </c>
      <c r="F2063" s="2">
        <v>610148001</v>
      </c>
      <c r="G2063" s="2" t="s">
        <v>41</v>
      </c>
      <c r="I2063" s="95" t="s">
        <v>7231</v>
      </c>
      <c r="J2063" t="s">
        <v>42</v>
      </c>
      <c r="K2063" t="s">
        <v>41</v>
      </c>
      <c r="M2063">
        <v>66.44</v>
      </c>
      <c r="N2063" s="4">
        <f t="shared" si="32"/>
        <v>-4.9969897652016856E-2</v>
      </c>
      <c r="O2063" t="s">
        <v>605</v>
      </c>
      <c r="Q2063" s="36" t="s">
        <v>1310</v>
      </c>
    </row>
    <row r="2064" spans="1:17" x14ac:dyDescent="0.25">
      <c r="A2064" s="43">
        <v>45730</v>
      </c>
      <c r="B2064" s="1" t="s">
        <v>1913</v>
      </c>
      <c r="C2064" t="s">
        <v>622</v>
      </c>
      <c r="D2064" s="23">
        <v>-3.32</v>
      </c>
      <c r="E2064" t="s">
        <v>35</v>
      </c>
      <c r="F2064" s="2">
        <v>610148001</v>
      </c>
      <c r="G2064" s="2" t="s">
        <v>41</v>
      </c>
      <c r="I2064" s="95" t="s">
        <v>7231</v>
      </c>
      <c r="J2064" t="s">
        <v>42</v>
      </c>
      <c r="K2064" t="s">
        <v>41</v>
      </c>
      <c r="M2064">
        <v>66.44</v>
      </c>
      <c r="N2064" s="4">
        <f t="shared" si="32"/>
        <v>-4.9969897652016856E-2</v>
      </c>
      <c r="O2064" t="s">
        <v>605</v>
      </c>
      <c r="Q2064" s="36" t="s">
        <v>1310</v>
      </c>
    </row>
    <row r="2065" spans="1:17" x14ac:dyDescent="0.25">
      <c r="A2065" s="43">
        <v>45730</v>
      </c>
      <c r="B2065" s="1" t="s">
        <v>1914</v>
      </c>
      <c r="C2065" t="s">
        <v>622</v>
      </c>
      <c r="D2065" s="23">
        <v>-27.21</v>
      </c>
      <c r="E2065" t="s">
        <v>35</v>
      </c>
      <c r="F2065" s="2">
        <v>610148001</v>
      </c>
      <c r="G2065" s="2" t="s">
        <v>41</v>
      </c>
      <c r="I2065" s="95" t="s">
        <v>7231</v>
      </c>
      <c r="J2065" t="s">
        <v>42</v>
      </c>
      <c r="K2065" t="s">
        <v>41</v>
      </c>
      <c r="M2065">
        <v>66.44</v>
      </c>
      <c r="N2065" s="4">
        <f t="shared" si="32"/>
        <v>-0.40954244431065628</v>
      </c>
      <c r="O2065" t="s">
        <v>605</v>
      </c>
      <c r="Q2065" s="36" t="s">
        <v>1310</v>
      </c>
    </row>
    <row r="2066" spans="1:17" x14ac:dyDescent="0.25">
      <c r="A2066" s="43">
        <v>45730</v>
      </c>
      <c r="B2066" s="1" t="s">
        <v>1271</v>
      </c>
      <c r="C2066" t="s">
        <v>622</v>
      </c>
      <c r="D2066" s="23">
        <v>-11.62</v>
      </c>
      <c r="E2066" t="s">
        <v>35</v>
      </c>
      <c r="F2066" s="2">
        <v>610148001</v>
      </c>
      <c r="G2066" s="2" t="s">
        <v>41</v>
      </c>
      <c r="I2066" s="95" t="s">
        <v>7231</v>
      </c>
      <c r="J2066" t="s">
        <v>42</v>
      </c>
      <c r="K2066" t="s">
        <v>41</v>
      </c>
      <c r="M2066">
        <v>66.44</v>
      </c>
      <c r="N2066" s="4">
        <f t="shared" si="32"/>
        <v>-0.17489464178205899</v>
      </c>
      <c r="O2066" t="s">
        <v>605</v>
      </c>
      <c r="Q2066" s="36" t="s">
        <v>1310</v>
      </c>
    </row>
    <row r="2067" spans="1:17" x14ac:dyDescent="0.25">
      <c r="A2067" s="43">
        <v>45730</v>
      </c>
      <c r="B2067" s="1" t="s">
        <v>1915</v>
      </c>
      <c r="C2067" t="s">
        <v>622</v>
      </c>
      <c r="D2067" s="23">
        <v>-5.81</v>
      </c>
      <c r="E2067" t="s">
        <v>35</v>
      </c>
      <c r="F2067" s="2">
        <v>610148001</v>
      </c>
      <c r="G2067" s="2" t="s">
        <v>41</v>
      </c>
      <c r="I2067" s="95" t="s">
        <v>7231</v>
      </c>
      <c r="J2067" t="s">
        <v>42</v>
      </c>
      <c r="K2067" t="s">
        <v>41</v>
      </c>
      <c r="M2067">
        <v>66.44</v>
      </c>
      <c r="N2067" s="4">
        <f t="shared" si="32"/>
        <v>-8.7447320891029495E-2</v>
      </c>
      <c r="O2067" t="s">
        <v>605</v>
      </c>
      <c r="Q2067" s="36" t="s">
        <v>1310</v>
      </c>
    </row>
    <row r="2068" spans="1:17" x14ac:dyDescent="0.25">
      <c r="A2068" s="43">
        <v>45730</v>
      </c>
      <c r="B2068" s="1" t="s">
        <v>1916</v>
      </c>
      <c r="C2068" t="s">
        <v>622</v>
      </c>
      <c r="D2068" s="23">
        <v>-3.32</v>
      </c>
      <c r="E2068" t="s">
        <v>35</v>
      </c>
      <c r="F2068" s="2">
        <v>610148001</v>
      </c>
      <c r="G2068" s="2" t="s">
        <v>41</v>
      </c>
      <c r="I2068" s="95" t="s">
        <v>7231</v>
      </c>
      <c r="J2068" t="s">
        <v>42</v>
      </c>
      <c r="K2068" t="s">
        <v>41</v>
      </c>
      <c r="M2068">
        <v>66.44</v>
      </c>
      <c r="N2068" s="4">
        <f t="shared" si="32"/>
        <v>-4.9969897652016856E-2</v>
      </c>
      <c r="O2068" t="s">
        <v>605</v>
      </c>
      <c r="Q2068" s="36" t="s">
        <v>1310</v>
      </c>
    </row>
    <row r="2069" spans="1:17" x14ac:dyDescent="0.25">
      <c r="A2069" s="43">
        <v>45730</v>
      </c>
      <c r="B2069" s="1" t="s">
        <v>1917</v>
      </c>
      <c r="C2069" t="s">
        <v>622</v>
      </c>
      <c r="D2069" s="23">
        <v>-1.66</v>
      </c>
      <c r="E2069" t="s">
        <v>35</v>
      </c>
      <c r="F2069" s="2">
        <v>610148001</v>
      </c>
      <c r="G2069" s="2" t="s">
        <v>41</v>
      </c>
      <c r="I2069" s="95" t="s">
        <v>7231</v>
      </c>
      <c r="J2069" t="s">
        <v>42</v>
      </c>
      <c r="K2069" t="s">
        <v>41</v>
      </c>
      <c r="M2069">
        <v>66.44</v>
      </c>
      <c r="N2069" s="4">
        <f t="shared" si="32"/>
        <v>-2.4984948826008428E-2</v>
      </c>
      <c r="O2069" t="s">
        <v>605</v>
      </c>
      <c r="Q2069" s="36" t="s">
        <v>1310</v>
      </c>
    </row>
    <row r="2070" spans="1:17" x14ac:dyDescent="0.25">
      <c r="A2070" s="43">
        <v>45730</v>
      </c>
      <c r="B2070" s="1" t="s">
        <v>621</v>
      </c>
      <c r="C2070" t="s">
        <v>622</v>
      </c>
      <c r="D2070" s="23">
        <v>-8.4700000000000006</v>
      </c>
      <c r="E2070" t="s">
        <v>35</v>
      </c>
      <c r="F2070" s="2">
        <v>610148001</v>
      </c>
      <c r="G2070" s="2" t="s">
        <v>41</v>
      </c>
      <c r="I2070" s="95" t="s">
        <v>7231</v>
      </c>
      <c r="J2070" t="s">
        <v>42</v>
      </c>
      <c r="K2070" t="s">
        <v>41</v>
      </c>
      <c r="M2070">
        <v>66.44</v>
      </c>
      <c r="N2070" s="4">
        <f t="shared" si="32"/>
        <v>-0.12748344370860928</v>
      </c>
      <c r="O2070" t="s">
        <v>605</v>
      </c>
      <c r="Q2070" s="36" t="s">
        <v>1310</v>
      </c>
    </row>
    <row r="2071" spans="1:17" x14ac:dyDescent="0.25">
      <c r="A2071" s="43">
        <v>45730</v>
      </c>
      <c r="B2071" s="1" t="s">
        <v>623</v>
      </c>
      <c r="C2071" t="s">
        <v>622</v>
      </c>
      <c r="D2071" s="23">
        <v>-500</v>
      </c>
      <c r="E2071" t="s">
        <v>35</v>
      </c>
      <c r="F2071" s="2">
        <v>610148001</v>
      </c>
      <c r="G2071" s="2" t="s">
        <v>41</v>
      </c>
      <c r="I2071" s="95" t="s">
        <v>7231</v>
      </c>
      <c r="J2071" t="s">
        <v>42</v>
      </c>
      <c r="K2071" t="s">
        <v>41</v>
      </c>
      <c r="M2071">
        <v>66.44</v>
      </c>
      <c r="N2071" s="4">
        <f t="shared" si="32"/>
        <v>-7.5255869957856714</v>
      </c>
      <c r="O2071" t="s">
        <v>605</v>
      </c>
      <c r="Q2071" s="36" t="s">
        <v>1310</v>
      </c>
    </row>
    <row r="2072" spans="1:17" x14ac:dyDescent="0.25">
      <c r="A2072" s="43">
        <v>45730</v>
      </c>
      <c r="B2072" s="1" t="s">
        <v>1918</v>
      </c>
      <c r="C2072" t="s">
        <v>622</v>
      </c>
      <c r="D2072" s="23">
        <v>-16.190000000000001</v>
      </c>
      <c r="E2072" t="s">
        <v>35</v>
      </c>
      <c r="F2072" s="2">
        <v>610148001</v>
      </c>
      <c r="G2072" s="2" t="s">
        <v>41</v>
      </c>
      <c r="I2072" s="95" t="s">
        <v>7231</v>
      </c>
      <c r="J2072" t="s">
        <v>42</v>
      </c>
      <c r="K2072" t="s">
        <v>41</v>
      </c>
      <c r="M2072">
        <v>66.44</v>
      </c>
      <c r="N2072" s="4">
        <f t="shared" si="32"/>
        <v>-0.24367850692354007</v>
      </c>
      <c r="O2072" t="s">
        <v>605</v>
      </c>
      <c r="Q2072" s="36" t="s">
        <v>1310</v>
      </c>
    </row>
    <row r="2073" spans="1:17" x14ac:dyDescent="0.25">
      <c r="A2073" s="43">
        <v>45730</v>
      </c>
      <c r="B2073" s="1" t="s">
        <v>625</v>
      </c>
      <c r="C2073" t="s">
        <v>622</v>
      </c>
      <c r="D2073" s="23">
        <v>-179.42</v>
      </c>
      <c r="E2073" t="s">
        <v>35</v>
      </c>
      <c r="F2073" s="2">
        <v>610148001</v>
      </c>
      <c r="G2073" s="2" t="s">
        <v>41</v>
      </c>
      <c r="I2073" s="95" t="s">
        <v>7231</v>
      </c>
      <c r="J2073" t="s">
        <v>42</v>
      </c>
      <c r="K2073" t="s">
        <v>41</v>
      </c>
      <c r="M2073">
        <v>66.44</v>
      </c>
      <c r="N2073" s="4">
        <f t="shared" si="32"/>
        <v>-2.7004816375677301</v>
      </c>
      <c r="O2073" t="s">
        <v>605</v>
      </c>
      <c r="Q2073" s="36" t="s">
        <v>1310</v>
      </c>
    </row>
    <row r="2074" spans="1:17" x14ac:dyDescent="0.25">
      <c r="A2074" s="43">
        <v>45730</v>
      </c>
      <c r="B2074" s="1" t="s">
        <v>1272</v>
      </c>
      <c r="C2074" t="s">
        <v>622</v>
      </c>
      <c r="D2074" s="23">
        <v>-8.3000000000000007</v>
      </c>
      <c r="E2074" t="s">
        <v>35</v>
      </c>
      <c r="F2074" s="2">
        <v>610148001</v>
      </c>
      <c r="G2074" s="2" t="s">
        <v>41</v>
      </c>
      <c r="I2074" s="95" t="s">
        <v>7231</v>
      </c>
      <c r="J2074" t="s">
        <v>42</v>
      </c>
      <c r="K2074" t="s">
        <v>41</v>
      </c>
      <c r="M2074">
        <v>66.44</v>
      </c>
      <c r="N2074" s="4">
        <f t="shared" si="32"/>
        <v>-0.12492474413004216</v>
      </c>
      <c r="O2074" t="s">
        <v>605</v>
      </c>
      <c r="Q2074" s="36" t="s">
        <v>1310</v>
      </c>
    </row>
    <row r="2075" spans="1:17" x14ac:dyDescent="0.25">
      <c r="A2075" s="43">
        <v>45730</v>
      </c>
      <c r="B2075" s="1" t="s">
        <v>1919</v>
      </c>
      <c r="C2075" t="s">
        <v>622</v>
      </c>
      <c r="D2075" s="23">
        <v>-3.32</v>
      </c>
      <c r="E2075" t="s">
        <v>35</v>
      </c>
      <c r="F2075" s="2">
        <v>610148001</v>
      </c>
      <c r="G2075" s="2" t="s">
        <v>41</v>
      </c>
      <c r="I2075" s="95" t="s">
        <v>7231</v>
      </c>
      <c r="J2075" t="s">
        <v>42</v>
      </c>
      <c r="K2075" t="s">
        <v>41</v>
      </c>
      <c r="M2075">
        <v>66.44</v>
      </c>
      <c r="N2075" s="4">
        <f t="shared" si="32"/>
        <v>-4.9969897652016856E-2</v>
      </c>
      <c r="O2075" t="s">
        <v>605</v>
      </c>
      <c r="Q2075" s="36" t="s">
        <v>1310</v>
      </c>
    </row>
    <row r="2076" spans="1:17" x14ac:dyDescent="0.25">
      <c r="A2076" s="43">
        <v>45730</v>
      </c>
      <c r="B2076" s="1" t="s">
        <v>1920</v>
      </c>
      <c r="C2076" t="s">
        <v>622</v>
      </c>
      <c r="D2076" s="23">
        <v>-67.260000000000005</v>
      </c>
      <c r="E2076" t="s">
        <v>35</v>
      </c>
      <c r="F2076" s="2">
        <v>610148001</v>
      </c>
      <c r="G2076" s="2" t="s">
        <v>41</v>
      </c>
      <c r="I2076" s="95" t="s">
        <v>7231</v>
      </c>
      <c r="J2076" t="s">
        <v>42</v>
      </c>
      <c r="K2076" t="s">
        <v>41</v>
      </c>
      <c r="M2076">
        <v>66.44</v>
      </c>
      <c r="N2076" s="4">
        <f t="shared" si="32"/>
        <v>-1.0123419626730885</v>
      </c>
      <c r="O2076" t="s">
        <v>605</v>
      </c>
      <c r="Q2076" s="36" t="s">
        <v>1310</v>
      </c>
    </row>
    <row r="2077" spans="1:17" x14ac:dyDescent="0.25">
      <c r="A2077" s="43">
        <v>45730</v>
      </c>
      <c r="B2077" s="1" t="s">
        <v>1921</v>
      </c>
      <c r="C2077" t="s">
        <v>293</v>
      </c>
      <c r="D2077" s="23">
        <v>905000</v>
      </c>
      <c r="E2077" t="s">
        <v>45</v>
      </c>
      <c r="F2077" s="2">
        <v>210115002</v>
      </c>
      <c r="G2077" s="2" t="s">
        <v>46</v>
      </c>
      <c r="I2077" s="95" t="s">
        <v>7231</v>
      </c>
      <c r="K2077" t="s">
        <v>293</v>
      </c>
      <c r="M2077">
        <v>66.44</v>
      </c>
      <c r="N2077" s="4">
        <f t="shared" si="32"/>
        <v>13621.312462372065</v>
      </c>
      <c r="O2077" t="s">
        <v>605</v>
      </c>
    </row>
    <row r="2078" spans="1:17" x14ac:dyDescent="0.25">
      <c r="A2078" s="43">
        <v>45730</v>
      </c>
      <c r="B2078" s="1" t="s">
        <v>1268</v>
      </c>
      <c r="C2078" t="s">
        <v>1922</v>
      </c>
      <c r="D2078" s="23">
        <v>-7599.91</v>
      </c>
      <c r="E2078" t="s">
        <v>35</v>
      </c>
      <c r="F2078" s="2">
        <v>210101001</v>
      </c>
      <c r="G2078" s="2" t="s">
        <v>36</v>
      </c>
      <c r="I2078" s="95" t="s">
        <v>7231</v>
      </c>
      <c r="J2078" t="s">
        <v>414</v>
      </c>
      <c r="K2078" t="s">
        <v>415</v>
      </c>
      <c r="M2078">
        <v>66.44</v>
      </c>
      <c r="N2078" s="4">
        <f t="shared" si="32"/>
        <v>-114.38756773028297</v>
      </c>
      <c r="O2078" t="s">
        <v>605</v>
      </c>
    </row>
    <row r="2079" spans="1:17" x14ac:dyDescent="0.25">
      <c r="A2079" s="43">
        <v>45730</v>
      </c>
      <c r="B2079" s="1" t="s">
        <v>615</v>
      </c>
      <c r="C2079" t="s">
        <v>1923</v>
      </c>
      <c r="D2079" s="23">
        <v>-200000</v>
      </c>
      <c r="E2079" t="s">
        <v>35</v>
      </c>
      <c r="F2079" s="2">
        <v>210101001</v>
      </c>
      <c r="G2079" s="2" t="s">
        <v>36</v>
      </c>
      <c r="I2079" s="95" t="s">
        <v>7231</v>
      </c>
      <c r="J2079" t="s">
        <v>37</v>
      </c>
      <c r="K2079" t="s">
        <v>38</v>
      </c>
      <c r="M2079">
        <v>66.44</v>
      </c>
      <c r="N2079" s="4">
        <f t="shared" si="32"/>
        <v>-3010.2347983142686</v>
      </c>
      <c r="O2079" t="s">
        <v>605</v>
      </c>
    </row>
    <row r="2080" spans="1:17" x14ac:dyDescent="0.25">
      <c r="A2080" s="43">
        <v>45730</v>
      </c>
      <c r="B2080" s="1" t="s">
        <v>619</v>
      </c>
      <c r="C2080" t="s">
        <v>1923</v>
      </c>
      <c r="D2080" s="23">
        <v>-153310.54</v>
      </c>
      <c r="E2080" t="s">
        <v>35</v>
      </c>
      <c r="F2080" s="2">
        <v>110114001</v>
      </c>
      <c r="G2080" s="2" t="s">
        <v>181</v>
      </c>
      <c r="I2080" s="95" t="s">
        <v>7231</v>
      </c>
      <c r="J2080" t="s">
        <v>37</v>
      </c>
      <c r="K2080" t="s">
        <v>38</v>
      </c>
      <c r="M2080">
        <v>66.44</v>
      </c>
      <c r="N2080" s="4">
        <f t="shared" si="32"/>
        <v>-2307.5036122817583</v>
      </c>
      <c r="O2080" t="s">
        <v>605</v>
      </c>
      <c r="P2080" s="34" t="s">
        <v>1924</v>
      </c>
    </row>
    <row r="2081" spans="1:17" x14ac:dyDescent="0.25">
      <c r="A2081" s="43">
        <v>45730</v>
      </c>
      <c r="B2081" s="1" t="s">
        <v>613</v>
      </c>
      <c r="C2081" t="s">
        <v>1923</v>
      </c>
      <c r="D2081" s="23">
        <v>-200000</v>
      </c>
      <c r="E2081" t="s">
        <v>35</v>
      </c>
      <c r="F2081" s="2">
        <v>210101001</v>
      </c>
      <c r="G2081" s="2" t="s">
        <v>36</v>
      </c>
      <c r="I2081" s="95" t="s">
        <v>7231</v>
      </c>
      <c r="J2081" t="s">
        <v>37</v>
      </c>
      <c r="K2081" t="s">
        <v>38</v>
      </c>
      <c r="M2081">
        <v>66.44</v>
      </c>
      <c r="N2081" s="4">
        <f t="shared" si="32"/>
        <v>-3010.2347983142686</v>
      </c>
      <c r="O2081" t="s">
        <v>605</v>
      </c>
    </row>
    <row r="2082" spans="1:17" x14ac:dyDescent="0.25">
      <c r="A2082" s="43">
        <v>45730</v>
      </c>
      <c r="B2082" s="1" t="s">
        <v>1896</v>
      </c>
      <c r="C2082" t="s">
        <v>1925</v>
      </c>
      <c r="D2082" s="23">
        <v>-134359.76999999999</v>
      </c>
      <c r="E2082" t="s">
        <v>35</v>
      </c>
      <c r="F2082" s="2">
        <v>210101001</v>
      </c>
      <c r="G2082" s="2" t="s">
        <v>36</v>
      </c>
      <c r="I2082" s="95" t="s">
        <v>7231</v>
      </c>
      <c r="J2082" t="s">
        <v>37</v>
      </c>
      <c r="K2082" t="s">
        <v>38</v>
      </c>
      <c r="M2082">
        <v>66.44</v>
      </c>
      <c r="N2082" s="4">
        <f t="shared" si="32"/>
        <v>-2022.2722757375075</v>
      </c>
      <c r="O2082" t="s">
        <v>605</v>
      </c>
    </row>
    <row r="2083" spans="1:17" x14ac:dyDescent="0.25">
      <c r="A2083" s="43">
        <v>45730</v>
      </c>
      <c r="B2083" s="1" t="s">
        <v>617</v>
      </c>
      <c r="C2083" t="s">
        <v>1923</v>
      </c>
      <c r="D2083" s="23">
        <v>-200000</v>
      </c>
      <c r="E2083" t="s">
        <v>35</v>
      </c>
      <c r="F2083" s="2">
        <v>210101001</v>
      </c>
      <c r="G2083" s="2" t="s">
        <v>36</v>
      </c>
      <c r="I2083" s="95" t="s">
        <v>7231</v>
      </c>
      <c r="J2083" t="s">
        <v>37</v>
      </c>
      <c r="K2083" t="s">
        <v>38</v>
      </c>
      <c r="M2083">
        <v>66.44</v>
      </c>
      <c r="N2083" s="4">
        <f t="shared" si="32"/>
        <v>-3010.2347983142686</v>
      </c>
      <c r="O2083" t="s">
        <v>605</v>
      </c>
    </row>
    <row r="2084" spans="1:17" x14ac:dyDescent="0.25">
      <c r="A2084" s="43">
        <v>45730</v>
      </c>
      <c r="B2084" s="1" t="s">
        <v>1267</v>
      </c>
      <c r="C2084" t="s">
        <v>1926</v>
      </c>
      <c r="D2084" s="23">
        <v>-13256.11</v>
      </c>
      <c r="E2084" t="s">
        <v>35</v>
      </c>
      <c r="F2084" s="2">
        <v>210101001</v>
      </c>
      <c r="G2084" s="2" t="s">
        <v>36</v>
      </c>
      <c r="I2084" s="95" t="s">
        <v>7231</v>
      </c>
      <c r="J2084" t="s">
        <v>680</v>
      </c>
      <c r="K2084" t="s">
        <v>681</v>
      </c>
      <c r="M2084">
        <v>66.44</v>
      </c>
      <c r="N2084" s="4">
        <f t="shared" si="32"/>
        <v>-199.52001806140882</v>
      </c>
      <c r="O2084" t="s">
        <v>605</v>
      </c>
    </row>
    <row r="2085" spans="1:17" x14ac:dyDescent="0.25">
      <c r="A2085" s="43">
        <v>45730</v>
      </c>
      <c r="B2085" s="1" t="s">
        <v>1271</v>
      </c>
      <c r="C2085" t="s">
        <v>622</v>
      </c>
      <c r="D2085" s="23">
        <v>-18.989999999999998</v>
      </c>
      <c r="E2085" t="s">
        <v>35</v>
      </c>
      <c r="F2085" s="2">
        <v>610148001</v>
      </c>
      <c r="G2085" s="2" t="s">
        <v>41</v>
      </c>
      <c r="I2085" s="95" t="s">
        <v>7231</v>
      </c>
      <c r="J2085" t="s">
        <v>42</v>
      </c>
      <c r="K2085" t="s">
        <v>41</v>
      </c>
      <c r="M2085">
        <v>66.44</v>
      </c>
      <c r="N2085" s="4">
        <f t="shared" si="32"/>
        <v>-0.2858217940999398</v>
      </c>
      <c r="O2085" t="s">
        <v>605</v>
      </c>
      <c r="Q2085" s="36" t="s">
        <v>1310</v>
      </c>
    </row>
    <row r="2086" spans="1:17" x14ac:dyDescent="0.25">
      <c r="A2086" s="43">
        <v>45730</v>
      </c>
      <c r="B2086" s="1" t="s">
        <v>623</v>
      </c>
      <c r="C2086" t="s">
        <v>622</v>
      </c>
      <c r="D2086" s="23">
        <v>-500</v>
      </c>
      <c r="E2086" t="s">
        <v>35</v>
      </c>
      <c r="F2086" s="2">
        <v>610148001</v>
      </c>
      <c r="G2086" s="2" t="s">
        <v>41</v>
      </c>
      <c r="I2086" s="95" t="s">
        <v>7231</v>
      </c>
      <c r="J2086" t="s">
        <v>42</v>
      </c>
      <c r="K2086" t="s">
        <v>41</v>
      </c>
      <c r="M2086">
        <v>66.44</v>
      </c>
      <c r="N2086" s="4">
        <f t="shared" si="32"/>
        <v>-7.5255869957856714</v>
      </c>
      <c r="O2086" t="s">
        <v>605</v>
      </c>
      <c r="Q2086" s="36" t="s">
        <v>1310</v>
      </c>
    </row>
    <row r="2087" spans="1:17" x14ac:dyDescent="0.25">
      <c r="A2087" s="43">
        <v>45730</v>
      </c>
      <c r="B2087" s="1" t="s">
        <v>1272</v>
      </c>
      <c r="C2087" t="s">
        <v>622</v>
      </c>
      <c r="D2087" s="23">
        <v>-33.14</v>
      </c>
      <c r="E2087" t="s">
        <v>35</v>
      </c>
      <c r="F2087" s="2">
        <v>610148001</v>
      </c>
      <c r="G2087" s="2" t="s">
        <v>41</v>
      </c>
      <c r="I2087" s="95" t="s">
        <v>7231</v>
      </c>
      <c r="J2087" t="s">
        <v>42</v>
      </c>
      <c r="K2087" t="s">
        <v>41</v>
      </c>
      <c r="M2087">
        <v>66.44</v>
      </c>
      <c r="N2087" s="4">
        <f t="shared" si="32"/>
        <v>-0.49879590608067431</v>
      </c>
      <c r="O2087" t="s">
        <v>605</v>
      </c>
      <c r="Q2087" s="36" t="s">
        <v>1310</v>
      </c>
    </row>
    <row r="2088" spans="1:17" x14ac:dyDescent="0.25">
      <c r="A2088" s="43">
        <v>45730</v>
      </c>
      <c r="B2088" s="1" t="s">
        <v>625</v>
      </c>
      <c r="C2088" t="s">
        <v>622</v>
      </c>
      <c r="D2088" s="23">
        <v>-500</v>
      </c>
      <c r="E2088" t="s">
        <v>35</v>
      </c>
      <c r="F2088" s="2">
        <v>610148001</v>
      </c>
      <c r="G2088" s="2" t="s">
        <v>41</v>
      </c>
      <c r="I2088" s="95" t="s">
        <v>7231</v>
      </c>
      <c r="J2088" t="s">
        <v>42</v>
      </c>
      <c r="K2088" t="s">
        <v>41</v>
      </c>
      <c r="M2088">
        <v>66.44</v>
      </c>
      <c r="N2088" s="4">
        <f t="shared" si="32"/>
        <v>-7.5255869957856714</v>
      </c>
      <c r="O2088" t="s">
        <v>605</v>
      </c>
      <c r="Q2088" s="36" t="s">
        <v>1310</v>
      </c>
    </row>
    <row r="2089" spans="1:17" x14ac:dyDescent="0.25">
      <c r="A2089" s="43">
        <v>45730</v>
      </c>
      <c r="B2089" s="1" t="s">
        <v>1917</v>
      </c>
      <c r="C2089" t="s">
        <v>622</v>
      </c>
      <c r="D2089" s="23">
        <v>-335.89</v>
      </c>
      <c r="E2089" t="s">
        <v>35</v>
      </c>
      <c r="F2089" s="2">
        <v>610148001</v>
      </c>
      <c r="G2089" s="2" t="s">
        <v>41</v>
      </c>
      <c r="I2089" s="95" t="s">
        <v>7231</v>
      </c>
      <c r="J2089" t="s">
        <v>42</v>
      </c>
      <c r="K2089" t="s">
        <v>41</v>
      </c>
      <c r="M2089">
        <v>66.44</v>
      </c>
      <c r="N2089" s="4">
        <f t="shared" si="32"/>
        <v>-5.0555388320288985</v>
      </c>
      <c r="O2089" t="s">
        <v>605</v>
      </c>
      <c r="Q2089" s="36" t="s">
        <v>1310</v>
      </c>
    </row>
    <row r="2090" spans="1:17" x14ac:dyDescent="0.25">
      <c r="A2090" s="43">
        <v>45730</v>
      </c>
      <c r="B2090" s="1" t="s">
        <v>624</v>
      </c>
      <c r="C2090" t="s">
        <v>622</v>
      </c>
      <c r="D2090" s="23">
        <v>-500</v>
      </c>
      <c r="E2090" t="s">
        <v>35</v>
      </c>
      <c r="F2090" s="2">
        <v>610148001</v>
      </c>
      <c r="G2090" s="2" t="s">
        <v>41</v>
      </c>
      <c r="I2090" s="95" t="s">
        <v>7231</v>
      </c>
      <c r="J2090" t="s">
        <v>42</v>
      </c>
      <c r="K2090" t="s">
        <v>41</v>
      </c>
      <c r="M2090">
        <v>66.44</v>
      </c>
      <c r="N2090" s="4">
        <f t="shared" si="32"/>
        <v>-7.5255869957856714</v>
      </c>
      <c r="O2090" t="s">
        <v>605</v>
      </c>
      <c r="Q2090" s="36" t="s">
        <v>1310</v>
      </c>
    </row>
    <row r="2091" spans="1:17" x14ac:dyDescent="0.25">
      <c r="A2091" s="43">
        <v>45730</v>
      </c>
      <c r="B2091" s="1" t="s">
        <v>621</v>
      </c>
      <c r="C2091" t="s">
        <v>622</v>
      </c>
      <c r="D2091" s="23">
        <v>-383.27</v>
      </c>
      <c r="E2091" t="s">
        <v>35</v>
      </c>
      <c r="F2091" s="2">
        <v>610148001</v>
      </c>
      <c r="G2091" s="2" t="s">
        <v>41</v>
      </c>
      <c r="I2091" s="95" t="s">
        <v>7231</v>
      </c>
      <c r="J2091" t="s">
        <v>42</v>
      </c>
      <c r="K2091" t="s">
        <v>41</v>
      </c>
      <c r="M2091">
        <v>66.44</v>
      </c>
      <c r="N2091" s="4">
        <f t="shared" si="32"/>
        <v>-5.7686634557495484</v>
      </c>
      <c r="O2091" t="s">
        <v>605</v>
      </c>
      <c r="Q2091" s="36" t="s">
        <v>1310</v>
      </c>
    </row>
    <row r="2092" spans="1:17" x14ac:dyDescent="0.25">
      <c r="A2092" s="43">
        <v>45730</v>
      </c>
      <c r="B2092" s="1" t="s">
        <v>1927</v>
      </c>
      <c r="C2092" t="s">
        <v>293</v>
      </c>
      <c r="D2092" s="23">
        <v>310000</v>
      </c>
      <c r="E2092" t="s">
        <v>45</v>
      </c>
      <c r="F2092" s="2">
        <v>210115002</v>
      </c>
      <c r="G2092" s="2" t="s">
        <v>46</v>
      </c>
      <c r="I2092" s="95" t="s">
        <v>7231</v>
      </c>
      <c r="K2092" t="s">
        <v>293</v>
      </c>
      <c r="M2092">
        <v>66.44</v>
      </c>
      <c r="N2092" s="4">
        <f t="shared" si="32"/>
        <v>4665.8639373871165</v>
      </c>
      <c r="O2092" t="s">
        <v>605</v>
      </c>
    </row>
    <row r="2093" spans="1:17" x14ac:dyDescent="0.25">
      <c r="A2093" s="43">
        <v>45730</v>
      </c>
      <c r="B2093" s="1" t="s">
        <v>1928</v>
      </c>
      <c r="C2093" t="s">
        <v>1929</v>
      </c>
      <c r="D2093" s="23">
        <v>-2657.6</v>
      </c>
      <c r="E2093" t="s">
        <v>35</v>
      </c>
      <c r="F2093" s="2">
        <v>212901001</v>
      </c>
      <c r="G2093" s="2" t="s">
        <v>91</v>
      </c>
      <c r="I2093" s="95" t="s">
        <v>7231</v>
      </c>
      <c r="J2093" t="s">
        <v>61</v>
      </c>
      <c r="K2093" t="s">
        <v>62</v>
      </c>
      <c r="M2093">
        <v>66.44</v>
      </c>
      <c r="N2093" s="4">
        <f t="shared" si="32"/>
        <v>-40</v>
      </c>
      <c r="O2093" t="s">
        <v>605</v>
      </c>
    </row>
    <row r="2094" spans="1:17" x14ac:dyDescent="0.25">
      <c r="A2094" s="43">
        <v>45730</v>
      </c>
      <c r="B2094" s="1" t="s">
        <v>617</v>
      </c>
      <c r="C2094" t="s">
        <v>1930</v>
      </c>
      <c r="D2094" s="23">
        <v>-3986.4</v>
      </c>
      <c r="E2094" t="s">
        <v>35</v>
      </c>
      <c r="F2094" s="2">
        <v>212901001</v>
      </c>
      <c r="G2094" s="2" t="s">
        <v>91</v>
      </c>
      <c r="I2094" s="95" t="s">
        <v>7231</v>
      </c>
      <c r="J2094" t="s">
        <v>61</v>
      </c>
      <c r="K2094" t="s">
        <v>62</v>
      </c>
      <c r="M2094">
        <v>66.44</v>
      </c>
      <c r="N2094" s="4">
        <f t="shared" si="32"/>
        <v>-60</v>
      </c>
      <c r="O2094" t="s">
        <v>605</v>
      </c>
    </row>
    <row r="2095" spans="1:17" x14ac:dyDescent="0.25">
      <c r="A2095" s="43">
        <v>45730</v>
      </c>
      <c r="B2095" s="1" t="s">
        <v>1268</v>
      </c>
      <c r="C2095" t="s">
        <v>1931</v>
      </c>
      <c r="D2095" s="23">
        <v>-3986.4</v>
      </c>
      <c r="E2095" t="s">
        <v>35</v>
      </c>
      <c r="F2095" s="2">
        <v>212901001</v>
      </c>
      <c r="G2095" s="2" t="s">
        <v>91</v>
      </c>
      <c r="I2095" s="95" t="s">
        <v>7231</v>
      </c>
      <c r="J2095" t="s">
        <v>61</v>
      </c>
      <c r="K2095" t="s">
        <v>62</v>
      </c>
      <c r="M2095">
        <v>66.44</v>
      </c>
      <c r="N2095" s="4">
        <f t="shared" si="32"/>
        <v>-60</v>
      </c>
      <c r="O2095" t="s">
        <v>605</v>
      </c>
    </row>
    <row r="2096" spans="1:17" x14ac:dyDescent="0.25">
      <c r="A2096" s="43">
        <v>45730</v>
      </c>
      <c r="B2096" s="1" t="s">
        <v>1892</v>
      </c>
      <c r="C2096" t="s">
        <v>1932</v>
      </c>
      <c r="D2096" s="23">
        <v>-3986.4</v>
      </c>
      <c r="E2096" t="s">
        <v>35</v>
      </c>
      <c r="F2096" s="2">
        <v>212901001</v>
      </c>
      <c r="G2096" s="2" t="s">
        <v>91</v>
      </c>
      <c r="I2096" s="95" t="s">
        <v>7231</v>
      </c>
      <c r="J2096" t="s">
        <v>61</v>
      </c>
      <c r="K2096" t="s">
        <v>62</v>
      </c>
      <c r="M2096">
        <v>66.44</v>
      </c>
      <c r="N2096" s="4">
        <f t="shared" si="32"/>
        <v>-60</v>
      </c>
      <c r="O2096" t="s">
        <v>605</v>
      </c>
    </row>
    <row r="2097" spans="1:15" x14ac:dyDescent="0.25">
      <c r="A2097" s="43">
        <v>45730</v>
      </c>
      <c r="B2097" s="1" t="s">
        <v>1886</v>
      </c>
      <c r="C2097" t="s">
        <v>1933</v>
      </c>
      <c r="D2097" s="23">
        <v>-3986.4</v>
      </c>
      <c r="E2097" t="s">
        <v>35</v>
      </c>
      <c r="F2097" s="2">
        <v>212901001</v>
      </c>
      <c r="G2097" s="2" t="s">
        <v>91</v>
      </c>
      <c r="I2097" s="95" t="s">
        <v>7231</v>
      </c>
      <c r="J2097" t="s">
        <v>61</v>
      </c>
      <c r="K2097" t="s">
        <v>62</v>
      </c>
      <c r="M2097">
        <v>66.44</v>
      </c>
      <c r="N2097" s="4">
        <f t="shared" si="32"/>
        <v>-60</v>
      </c>
      <c r="O2097" t="s">
        <v>605</v>
      </c>
    </row>
    <row r="2098" spans="1:15" x14ac:dyDescent="0.25">
      <c r="A2098" s="43">
        <v>45730</v>
      </c>
      <c r="B2098" s="1" t="s">
        <v>1934</v>
      </c>
      <c r="C2098" t="s">
        <v>1935</v>
      </c>
      <c r="D2098" s="23">
        <v>-3322</v>
      </c>
      <c r="E2098" t="s">
        <v>35</v>
      </c>
      <c r="F2098" s="2">
        <v>212901001</v>
      </c>
      <c r="G2098" s="2" t="s">
        <v>91</v>
      </c>
      <c r="I2098" s="95" t="s">
        <v>7231</v>
      </c>
      <c r="J2098" t="s">
        <v>61</v>
      </c>
      <c r="K2098" t="s">
        <v>62</v>
      </c>
      <c r="M2098">
        <v>66.44</v>
      </c>
      <c r="N2098" s="4">
        <f t="shared" si="32"/>
        <v>-50</v>
      </c>
      <c r="O2098" t="s">
        <v>605</v>
      </c>
    </row>
    <row r="2099" spans="1:15" x14ac:dyDescent="0.25">
      <c r="A2099" s="43">
        <v>45730</v>
      </c>
      <c r="B2099" s="1" t="s">
        <v>1936</v>
      </c>
      <c r="C2099" t="s">
        <v>1937</v>
      </c>
      <c r="D2099" s="23">
        <v>-5315.2</v>
      </c>
      <c r="E2099" t="s">
        <v>35</v>
      </c>
      <c r="F2099" s="2">
        <v>212901001</v>
      </c>
      <c r="G2099" s="2" t="s">
        <v>91</v>
      </c>
      <c r="I2099" s="95" t="s">
        <v>7231</v>
      </c>
      <c r="J2099" t="s">
        <v>61</v>
      </c>
      <c r="K2099" t="s">
        <v>62</v>
      </c>
      <c r="M2099">
        <v>66.44</v>
      </c>
      <c r="N2099" s="4">
        <f t="shared" si="32"/>
        <v>-80</v>
      </c>
      <c r="O2099" t="s">
        <v>605</v>
      </c>
    </row>
    <row r="2100" spans="1:15" x14ac:dyDescent="0.25">
      <c r="A2100" s="43">
        <v>45730</v>
      </c>
      <c r="B2100" s="1" t="s">
        <v>1938</v>
      </c>
      <c r="C2100" t="s">
        <v>1939</v>
      </c>
      <c r="D2100" s="23">
        <v>-5315.2</v>
      </c>
      <c r="E2100" t="s">
        <v>35</v>
      </c>
      <c r="F2100" s="2">
        <v>212901001</v>
      </c>
      <c r="G2100" s="2" t="s">
        <v>91</v>
      </c>
      <c r="I2100" s="95" t="s">
        <v>7231</v>
      </c>
      <c r="J2100" t="s">
        <v>61</v>
      </c>
      <c r="K2100" t="s">
        <v>62</v>
      </c>
      <c r="M2100">
        <v>66.44</v>
      </c>
      <c r="N2100" s="4">
        <f t="shared" si="32"/>
        <v>-80</v>
      </c>
      <c r="O2100" t="s">
        <v>605</v>
      </c>
    </row>
    <row r="2101" spans="1:15" x14ac:dyDescent="0.25">
      <c r="A2101" s="43">
        <v>45730</v>
      </c>
      <c r="B2101" s="1" t="s">
        <v>1940</v>
      </c>
      <c r="C2101" t="s">
        <v>1941</v>
      </c>
      <c r="D2101" s="23">
        <v>-2657.6</v>
      </c>
      <c r="E2101" t="s">
        <v>35</v>
      </c>
      <c r="F2101" s="2">
        <v>212901001</v>
      </c>
      <c r="G2101" s="2" t="s">
        <v>91</v>
      </c>
      <c r="I2101" s="95" t="s">
        <v>7231</v>
      </c>
      <c r="J2101" t="s">
        <v>61</v>
      </c>
      <c r="K2101" t="s">
        <v>62</v>
      </c>
      <c r="M2101">
        <v>66.44</v>
      </c>
      <c r="N2101" s="4">
        <f t="shared" si="32"/>
        <v>-40</v>
      </c>
      <c r="O2101" t="s">
        <v>605</v>
      </c>
    </row>
    <row r="2102" spans="1:15" x14ac:dyDescent="0.25">
      <c r="A2102" s="43">
        <v>45730</v>
      </c>
      <c r="B2102" s="1" t="s">
        <v>1942</v>
      </c>
      <c r="C2102" t="s">
        <v>1943</v>
      </c>
      <c r="D2102" s="23">
        <v>-5315.2</v>
      </c>
      <c r="E2102" t="s">
        <v>35</v>
      </c>
      <c r="F2102" s="2">
        <v>212901001</v>
      </c>
      <c r="G2102" s="2" t="s">
        <v>91</v>
      </c>
      <c r="I2102" s="95" t="s">
        <v>7231</v>
      </c>
      <c r="J2102" t="s">
        <v>61</v>
      </c>
      <c r="K2102" t="s">
        <v>62</v>
      </c>
      <c r="M2102">
        <v>66.44</v>
      </c>
      <c r="N2102" s="4">
        <f t="shared" si="32"/>
        <v>-80</v>
      </c>
      <c r="O2102" t="s">
        <v>605</v>
      </c>
    </row>
    <row r="2103" spans="1:15" x14ac:dyDescent="0.25">
      <c r="A2103" s="43">
        <v>45730</v>
      </c>
      <c r="B2103" s="1" t="s">
        <v>1944</v>
      </c>
      <c r="C2103" t="s">
        <v>1945</v>
      </c>
      <c r="D2103" s="23">
        <v>-13288</v>
      </c>
      <c r="E2103" t="s">
        <v>35</v>
      </c>
      <c r="F2103" s="2">
        <v>212901001</v>
      </c>
      <c r="G2103" s="2" t="s">
        <v>91</v>
      </c>
      <c r="I2103" s="95" t="s">
        <v>7231</v>
      </c>
      <c r="J2103" t="s">
        <v>61</v>
      </c>
      <c r="K2103" t="s">
        <v>62</v>
      </c>
      <c r="M2103">
        <v>66.44</v>
      </c>
      <c r="N2103" s="4">
        <f t="shared" si="32"/>
        <v>-200</v>
      </c>
      <c r="O2103" t="s">
        <v>605</v>
      </c>
    </row>
    <row r="2104" spans="1:15" x14ac:dyDescent="0.25">
      <c r="A2104" s="43">
        <v>45730</v>
      </c>
      <c r="B2104" s="1" t="s">
        <v>1946</v>
      </c>
      <c r="C2104" t="s">
        <v>1947</v>
      </c>
      <c r="D2104" s="23">
        <v>-1993.2</v>
      </c>
      <c r="E2104" t="s">
        <v>35</v>
      </c>
      <c r="F2104" s="2">
        <v>212901001</v>
      </c>
      <c r="G2104" s="2" t="s">
        <v>91</v>
      </c>
      <c r="I2104" s="95" t="s">
        <v>7231</v>
      </c>
      <c r="J2104" t="s">
        <v>61</v>
      </c>
      <c r="K2104" t="s">
        <v>62</v>
      </c>
      <c r="M2104">
        <v>66.44</v>
      </c>
      <c r="N2104" s="4">
        <f t="shared" si="32"/>
        <v>-30</v>
      </c>
      <c r="O2104" t="s">
        <v>605</v>
      </c>
    </row>
    <row r="2105" spans="1:15" x14ac:dyDescent="0.25">
      <c r="A2105" s="43">
        <v>45730</v>
      </c>
      <c r="B2105" s="1" t="s">
        <v>613</v>
      </c>
      <c r="C2105" t="s">
        <v>1948</v>
      </c>
      <c r="D2105" s="23">
        <v>-3986.4</v>
      </c>
      <c r="E2105" t="s">
        <v>35</v>
      </c>
      <c r="F2105" s="2">
        <v>212901001</v>
      </c>
      <c r="G2105" s="2" t="s">
        <v>91</v>
      </c>
      <c r="I2105" s="95" t="s">
        <v>7231</v>
      </c>
      <c r="J2105" t="s">
        <v>61</v>
      </c>
      <c r="K2105" t="s">
        <v>62</v>
      </c>
      <c r="M2105">
        <v>66.44</v>
      </c>
      <c r="N2105" s="4">
        <f t="shared" si="32"/>
        <v>-60</v>
      </c>
      <c r="O2105" t="s">
        <v>605</v>
      </c>
    </row>
    <row r="2106" spans="1:15" x14ac:dyDescent="0.25">
      <c r="A2106" s="43">
        <v>45730</v>
      </c>
      <c r="B2106" s="1" t="s">
        <v>1267</v>
      </c>
      <c r="C2106" t="s">
        <v>1949</v>
      </c>
      <c r="D2106" s="23">
        <v>-3986.4</v>
      </c>
      <c r="E2106" t="s">
        <v>35</v>
      </c>
      <c r="F2106" s="2">
        <v>212901001</v>
      </c>
      <c r="G2106" s="2" t="s">
        <v>91</v>
      </c>
      <c r="I2106" s="95" t="s">
        <v>7231</v>
      </c>
      <c r="J2106" t="s">
        <v>61</v>
      </c>
      <c r="K2106" t="s">
        <v>62</v>
      </c>
      <c r="M2106">
        <v>66.44</v>
      </c>
      <c r="N2106" s="4">
        <f t="shared" si="32"/>
        <v>-60</v>
      </c>
      <c r="O2106" t="s">
        <v>605</v>
      </c>
    </row>
    <row r="2107" spans="1:15" x14ac:dyDescent="0.25">
      <c r="A2107" s="43">
        <v>45730</v>
      </c>
      <c r="B2107" s="1" t="s">
        <v>1904</v>
      </c>
      <c r="C2107" t="s">
        <v>1950</v>
      </c>
      <c r="D2107" s="23">
        <v>-3986.4</v>
      </c>
      <c r="E2107" t="s">
        <v>35</v>
      </c>
      <c r="F2107" s="2">
        <v>212901001</v>
      </c>
      <c r="G2107" s="2" t="s">
        <v>91</v>
      </c>
      <c r="I2107" s="95" t="s">
        <v>7231</v>
      </c>
      <c r="J2107" t="s">
        <v>61</v>
      </c>
      <c r="K2107" t="s">
        <v>62</v>
      </c>
      <c r="M2107">
        <v>66.44</v>
      </c>
      <c r="N2107" s="4">
        <f t="shared" si="32"/>
        <v>-60</v>
      </c>
      <c r="O2107" t="s">
        <v>605</v>
      </c>
    </row>
    <row r="2108" spans="1:15" x14ac:dyDescent="0.25">
      <c r="A2108" s="43">
        <v>45730</v>
      </c>
      <c r="B2108" s="1" t="s">
        <v>1894</v>
      </c>
      <c r="C2108" t="s">
        <v>1951</v>
      </c>
      <c r="D2108" s="23">
        <v>-3986.4</v>
      </c>
      <c r="E2108" t="s">
        <v>35</v>
      </c>
      <c r="F2108" s="2">
        <v>212901001</v>
      </c>
      <c r="G2108" s="2" t="s">
        <v>91</v>
      </c>
      <c r="I2108" s="95" t="s">
        <v>7231</v>
      </c>
      <c r="J2108" t="s">
        <v>61</v>
      </c>
      <c r="K2108" t="s">
        <v>62</v>
      </c>
      <c r="M2108">
        <v>66.44</v>
      </c>
      <c r="N2108" s="4">
        <f t="shared" si="32"/>
        <v>-60</v>
      </c>
      <c r="O2108" t="s">
        <v>605</v>
      </c>
    </row>
    <row r="2109" spans="1:15" x14ac:dyDescent="0.25">
      <c r="A2109" s="43">
        <v>45730</v>
      </c>
      <c r="B2109" s="1" t="s">
        <v>1907</v>
      </c>
      <c r="C2109" t="s">
        <v>1952</v>
      </c>
      <c r="D2109" s="23">
        <v>-3986.4</v>
      </c>
      <c r="E2109" t="s">
        <v>35</v>
      </c>
      <c r="F2109" s="2">
        <v>212901001</v>
      </c>
      <c r="G2109" s="2" t="s">
        <v>91</v>
      </c>
      <c r="I2109" s="95" t="s">
        <v>7231</v>
      </c>
      <c r="J2109" t="s">
        <v>61</v>
      </c>
      <c r="K2109" t="s">
        <v>62</v>
      </c>
      <c r="M2109">
        <v>66.44</v>
      </c>
      <c r="N2109" s="4">
        <f t="shared" si="32"/>
        <v>-60</v>
      </c>
      <c r="O2109" t="s">
        <v>605</v>
      </c>
    </row>
    <row r="2110" spans="1:15" x14ac:dyDescent="0.25">
      <c r="A2110" s="43">
        <v>45730</v>
      </c>
      <c r="B2110" s="1" t="s">
        <v>1953</v>
      </c>
      <c r="C2110" t="s">
        <v>1954</v>
      </c>
      <c r="D2110" s="23">
        <v>-5315.2</v>
      </c>
      <c r="E2110" t="s">
        <v>35</v>
      </c>
      <c r="F2110" s="2">
        <v>212901001</v>
      </c>
      <c r="G2110" s="2" t="s">
        <v>91</v>
      </c>
      <c r="I2110" s="95" t="s">
        <v>7231</v>
      </c>
      <c r="J2110" t="s">
        <v>61</v>
      </c>
      <c r="K2110" t="s">
        <v>62</v>
      </c>
      <c r="M2110">
        <v>66.44</v>
      </c>
      <c r="N2110" s="4">
        <f t="shared" si="32"/>
        <v>-80</v>
      </c>
      <c r="O2110" t="s">
        <v>605</v>
      </c>
    </row>
    <row r="2111" spans="1:15" x14ac:dyDescent="0.25">
      <c r="A2111" s="43">
        <v>45730</v>
      </c>
      <c r="B2111" s="1" t="s">
        <v>1955</v>
      </c>
      <c r="C2111" t="s">
        <v>1956</v>
      </c>
      <c r="D2111" s="23">
        <v>-2790.48</v>
      </c>
      <c r="E2111" t="s">
        <v>35</v>
      </c>
      <c r="F2111" s="2">
        <v>212901001</v>
      </c>
      <c r="G2111" s="2" t="s">
        <v>91</v>
      </c>
      <c r="I2111" s="95" t="s">
        <v>7231</v>
      </c>
      <c r="J2111" t="s">
        <v>61</v>
      </c>
      <c r="K2111" t="s">
        <v>62</v>
      </c>
      <c r="M2111">
        <v>66.44</v>
      </c>
      <c r="N2111" s="4">
        <f t="shared" si="32"/>
        <v>-42</v>
      </c>
      <c r="O2111" t="s">
        <v>605</v>
      </c>
    </row>
    <row r="2112" spans="1:15" x14ac:dyDescent="0.25">
      <c r="A2112" s="43">
        <v>45730</v>
      </c>
      <c r="B2112" s="1" t="s">
        <v>1957</v>
      </c>
      <c r="C2112" t="s">
        <v>1958</v>
      </c>
      <c r="D2112" s="23">
        <v>-3322</v>
      </c>
      <c r="E2112" t="s">
        <v>35</v>
      </c>
      <c r="F2112" s="2">
        <v>212901001</v>
      </c>
      <c r="G2112" s="2" t="s">
        <v>91</v>
      </c>
      <c r="I2112" s="95" t="s">
        <v>7231</v>
      </c>
      <c r="J2112" t="s">
        <v>61</v>
      </c>
      <c r="K2112" t="s">
        <v>62</v>
      </c>
      <c r="M2112">
        <v>66.44</v>
      </c>
      <c r="N2112" s="4">
        <f t="shared" si="32"/>
        <v>-50</v>
      </c>
      <c r="O2112" t="s">
        <v>605</v>
      </c>
    </row>
    <row r="2113" spans="1:15" x14ac:dyDescent="0.25">
      <c r="A2113" s="43">
        <v>45730</v>
      </c>
      <c r="B2113" s="1" t="s">
        <v>1959</v>
      </c>
      <c r="C2113" t="s">
        <v>1960</v>
      </c>
      <c r="D2113" s="23">
        <v>-2657.6</v>
      </c>
      <c r="E2113" t="s">
        <v>35</v>
      </c>
      <c r="F2113" s="2">
        <v>212901001</v>
      </c>
      <c r="G2113" s="2" t="s">
        <v>91</v>
      </c>
      <c r="I2113" s="95" t="s">
        <v>7231</v>
      </c>
      <c r="J2113" t="s">
        <v>61</v>
      </c>
      <c r="K2113" t="s">
        <v>62</v>
      </c>
      <c r="M2113">
        <v>66.44</v>
      </c>
      <c r="N2113" s="4">
        <f t="shared" si="32"/>
        <v>-40</v>
      </c>
      <c r="O2113" t="s">
        <v>605</v>
      </c>
    </row>
    <row r="2114" spans="1:15" x14ac:dyDescent="0.25">
      <c r="A2114" s="43">
        <v>45730</v>
      </c>
      <c r="B2114" s="1" t="s">
        <v>1961</v>
      </c>
      <c r="C2114" t="s">
        <v>1962</v>
      </c>
      <c r="D2114" s="23">
        <v>-2657.6</v>
      </c>
      <c r="E2114" t="s">
        <v>35</v>
      </c>
      <c r="F2114" s="2">
        <v>212901001</v>
      </c>
      <c r="G2114" s="2" t="s">
        <v>91</v>
      </c>
      <c r="I2114" s="95" t="s">
        <v>7231</v>
      </c>
      <c r="J2114" t="s">
        <v>61</v>
      </c>
      <c r="K2114" t="s">
        <v>62</v>
      </c>
      <c r="M2114">
        <v>66.44</v>
      </c>
      <c r="N2114" s="4">
        <f t="shared" si="32"/>
        <v>-40</v>
      </c>
      <c r="O2114" t="s">
        <v>605</v>
      </c>
    </row>
    <row r="2115" spans="1:15" x14ac:dyDescent="0.25">
      <c r="A2115" s="43">
        <v>45730</v>
      </c>
      <c r="B2115" s="1" t="s">
        <v>1963</v>
      </c>
      <c r="C2115" t="s">
        <v>1964</v>
      </c>
      <c r="D2115" s="23">
        <v>-9966</v>
      </c>
      <c r="E2115" t="s">
        <v>35</v>
      </c>
      <c r="F2115" s="2">
        <v>212901001</v>
      </c>
      <c r="G2115" s="2" t="s">
        <v>91</v>
      </c>
      <c r="I2115" s="95" t="s">
        <v>7231</v>
      </c>
      <c r="J2115" t="s">
        <v>61</v>
      </c>
      <c r="K2115" t="s">
        <v>62</v>
      </c>
      <c r="M2115">
        <v>66.44</v>
      </c>
      <c r="N2115" s="4">
        <f t="shared" si="32"/>
        <v>-150</v>
      </c>
      <c r="O2115" t="s">
        <v>605</v>
      </c>
    </row>
    <row r="2116" spans="1:15" x14ac:dyDescent="0.25">
      <c r="A2116" s="43">
        <v>45730</v>
      </c>
      <c r="B2116" s="1" t="s">
        <v>1965</v>
      </c>
      <c r="C2116" t="s">
        <v>1966</v>
      </c>
      <c r="D2116" s="23">
        <v>-3322</v>
      </c>
      <c r="E2116" t="s">
        <v>35</v>
      </c>
      <c r="F2116" s="2">
        <v>212901001</v>
      </c>
      <c r="G2116" s="2" t="s">
        <v>91</v>
      </c>
      <c r="I2116" s="95" t="s">
        <v>7231</v>
      </c>
      <c r="J2116" t="s">
        <v>61</v>
      </c>
      <c r="K2116" t="s">
        <v>62</v>
      </c>
      <c r="M2116">
        <v>66.44</v>
      </c>
      <c r="N2116" s="4">
        <f t="shared" si="32"/>
        <v>-50</v>
      </c>
      <c r="O2116" t="s">
        <v>605</v>
      </c>
    </row>
    <row r="2117" spans="1:15" x14ac:dyDescent="0.25">
      <c r="A2117" s="43">
        <v>45730</v>
      </c>
      <c r="B2117" s="1" t="s">
        <v>1967</v>
      </c>
      <c r="C2117" t="s">
        <v>1968</v>
      </c>
      <c r="D2117" s="23">
        <v>-3322</v>
      </c>
      <c r="E2117" t="s">
        <v>35</v>
      </c>
      <c r="F2117" s="2">
        <v>212901001</v>
      </c>
      <c r="G2117" s="2" t="s">
        <v>91</v>
      </c>
      <c r="I2117" s="95" t="s">
        <v>7231</v>
      </c>
      <c r="J2117" t="s">
        <v>61</v>
      </c>
      <c r="K2117" t="s">
        <v>62</v>
      </c>
      <c r="M2117">
        <v>66.44</v>
      </c>
      <c r="N2117" s="4">
        <f t="shared" si="32"/>
        <v>-50</v>
      </c>
      <c r="O2117" t="s">
        <v>605</v>
      </c>
    </row>
    <row r="2118" spans="1:15" x14ac:dyDescent="0.25">
      <c r="A2118" s="43">
        <v>45730</v>
      </c>
      <c r="B2118" s="1" t="s">
        <v>1969</v>
      </c>
      <c r="C2118" t="s">
        <v>1970</v>
      </c>
      <c r="D2118" s="23">
        <v>-2657.6</v>
      </c>
      <c r="E2118" t="s">
        <v>35</v>
      </c>
      <c r="F2118" s="2">
        <v>212901001</v>
      </c>
      <c r="G2118" s="2" t="s">
        <v>91</v>
      </c>
      <c r="I2118" s="95" t="s">
        <v>7231</v>
      </c>
      <c r="J2118" t="s">
        <v>61</v>
      </c>
      <c r="K2118" t="s">
        <v>62</v>
      </c>
      <c r="M2118">
        <v>66.44</v>
      </c>
      <c r="N2118" s="4">
        <f t="shared" si="32"/>
        <v>-40</v>
      </c>
      <c r="O2118" t="s">
        <v>605</v>
      </c>
    </row>
    <row r="2119" spans="1:15" x14ac:dyDescent="0.25">
      <c r="A2119" s="43">
        <v>45730</v>
      </c>
      <c r="B2119" s="1" t="s">
        <v>1971</v>
      </c>
      <c r="C2119" t="s">
        <v>1972</v>
      </c>
      <c r="D2119" s="23">
        <v>-7308.4</v>
      </c>
      <c r="E2119" t="s">
        <v>35</v>
      </c>
      <c r="F2119" s="2">
        <v>212901001</v>
      </c>
      <c r="G2119" s="2" t="s">
        <v>91</v>
      </c>
      <c r="I2119" s="95" t="s">
        <v>7231</v>
      </c>
      <c r="J2119" t="s">
        <v>61</v>
      </c>
      <c r="K2119" t="s">
        <v>62</v>
      </c>
      <c r="M2119">
        <v>66.44</v>
      </c>
      <c r="N2119" s="4">
        <f t="shared" si="32"/>
        <v>-110</v>
      </c>
      <c r="O2119" t="s">
        <v>605</v>
      </c>
    </row>
    <row r="2120" spans="1:15" x14ac:dyDescent="0.25">
      <c r="A2120" s="43">
        <v>45730</v>
      </c>
      <c r="B2120" s="1" t="s">
        <v>1973</v>
      </c>
      <c r="C2120" t="s">
        <v>1974</v>
      </c>
      <c r="D2120" s="23">
        <v>-1195.92</v>
      </c>
      <c r="E2120" t="s">
        <v>35</v>
      </c>
      <c r="F2120" s="2">
        <v>212901001</v>
      </c>
      <c r="G2120" s="2" t="s">
        <v>91</v>
      </c>
      <c r="I2120" s="95" t="s">
        <v>7231</v>
      </c>
      <c r="J2120" t="s">
        <v>61</v>
      </c>
      <c r="K2120" t="s">
        <v>62</v>
      </c>
      <c r="M2120">
        <v>66.44</v>
      </c>
      <c r="N2120" s="4">
        <f t="shared" si="32"/>
        <v>-18</v>
      </c>
      <c r="O2120" t="s">
        <v>605</v>
      </c>
    </row>
    <row r="2121" spans="1:15" x14ac:dyDescent="0.25">
      <c r="A2121" s="43">
        <v>45730</v>
      </c>
      <c r="B2121" s="1" t="s">
        <v>1975</v>
      </c>
      <c r="C2121" t="s">
        <v>1976</v>
      </c>
      <c r="D2121" s="23">
        <v>-3322</v>
      </c>
      <c r="E2121" t="s">
        <v>35</v>
      </c>
      <c r="F2121" s="2">
        <v>212901001</v>
      </c>
      <c r="G2121" s="2" t="s">
        <v>91</v>
      </c>
      <c r="I2121" s="95" t="s">
        <v>7231</v>
      </c>
      <c r="J2121" t="s">
        <v>61</v>
      </c>
      <c r="K2121" t="s">
        <v>62</v>
      </c>
      <c r="M2121">
        <v>66.44</v>
      </c>
      <c r="N2121" s="4">
        <f t="shared" si="32"/>
        <v>-50</v>
      </c>
      <c r="O2121" t="s">
        <v>605</v>
      </c>
    </row>
    <row r="2122" spans="1:15" x14ac:dyDescent="0.25">
      <c r="A2122" s="43">
        <v>45730</v>
      </c>
      <c r="B2122" s="1" t="s">
        <v>1977</v>
      </c>
      <c r="C2122" t="s">
        <v>1978</v>
      </c>
      <c r="D2122" s="23">
        <v>-1328.8</v>
      </c>
      <c r="E2122" t="s">
        <v>35</v>
      </c>
      <c r="F2122" s="2">
        <v>212901001</v>
      </c>
      <c r="G2122" s="2" t="s">
        <v>91</v>
      </c>
      <c r="I2122" s="95" t="s">
        <v>7231</v>
      </c>
      <c r="J2122" t="s">
        <v>61</v>
      </c>
      <c r="K2122" t="s">
        <v>62</v>
      </c>
      <c r="M2122">
        <v>66.44</v>
      </c>
      <c r="N2122" s="4">
        <f t="shared" si="32"/>
        <v>-20</v>
      </c>
      <c r="O2122" t="s">
        <v>605</v>
      </c>
    </row>
    <row r="2123" spans="1:15" x14ac:dyDescent="0.25">
      <c r="A2123" s="43">
        <v>45730</v>
      </c>
      <c r="B2123" s="1" t="s">
        <v>1979</v>
      </c>
      <c r="C2123" t="s">
        <v>1980</v>
      </c>
      <c r="D2123" s="23">
        <v>-1328.8</v>
      </c>
      <c r="E2123" t="s">
        <v>35</v>
      </c>
      <c r="F2123" s="2">
        <v>212901001</v>
      </c>
      <c r="G2123" s="2" t="s">
        <v>91</v>
      </c>
      <c r="I2123" s="95" t="s">
        <v>7231</v>
      </c>
      <c r="J2123" t="s">
        <v>61</v>
      </c>
      <c r="K2123" t="s">
        <v>62</v>
      </c>
      <c r="M2123">
        <v>66.44</v>
      </c>
      <c r="N2123" s="4">
        <f t="shared" si="32"/>
        <v>-20</v>
      </c>
      <c r="O2123" t="s">
        <v>605</v>
      </c>
    </row>
    <row r="2124" spans="1:15" x14ac:dyDescent="0.25">
      <c r="A2124" s="43">
        <v>45730</v>
      </c>
      <c r="B2124" s="1" t="s">
        <v>1981</v>
      </c>
      <c r="C2124" t="s">
        <v>1982</v>
      </c>
      <c r="D2124" s="23">
        <v>-6644</v>
      </c>
      <c r="E2124" t="s">
        <v>35</v>
      </c>
      <c r="F2124" s="2">
        <v>212901001</v>
      </c>
      <c r="G2124" s="2" t="s">
        <v>91</v>
      </c>
      <c r="I2124" s="95" t="s">
        <v>7231</v>
      </c>
      <c r="J2124" t="s">
        <v>61</v>
      </c>
      <c r="K2124" t="s">
        <v>62</v>
      </c>
      <c r="M2124">
        <v>66.44</v>
      </c>
      <c r="N2124" s="4">
        <f t="shared" ref="N2124:N2187" si="33">D2124/M2124</f>
        <v>-100</v>
      </c>
      <c r="O2124" t="s">
        <v>605</v>
      </c>
    </row>
    <row r="2125" spans="1:15" x14ac:dyDescent="0.25">
      <c r="A2125" s="43">
        <v>45730</v>
      </c>
      <c r="B2125" s="1" t="s">
        <v>1983</v>
      </c>
      <c r="C2125" t="s">
        <v>1984</v>
      </c>
      <c r="D2125" s="23">
        <v>-5315.2</v>
      </c>
      <c r="E2125" t="s">
        <v>35</v>
      </c>
      <c r="F2125" s="2">
        <v>212901001</v>
      </c>
      <c r="G2125" s="2" t="s">
        <v>91</v>
      </c>
      <c r="I2125" s="95" t="s">
        <v>7231</v>
      </c>
      <c r="J2125" t="s">
        <v>61</v>
      </c>
      <c r="K2125" t="s">
        <v>62</v>
      </c>
      <c r="M2125">
        <v>66.44</v>
      </c>
      <c r="N2125" s="4">
        <f t="shared" si="33"/>
        <v>-80</v>
      </c>
      <c r="O2125" t="s">
        <v>605</v>
      </c>
    </row>
    <row r="2126" spans="1:15" x14ac:dyDescent="0.25">
      <c r="A2126" s="43">
        <v>45730</v>
      </c>
      <c r="B2126" s="1" t="s">
        <v>1985</v>
      </c>
      <c r="C2126" t="s">
        <v>1986</v>
      </c>
      <c r="D2126" s="23">
        <v>-3322</v>
      </c>
      <c r="E2126" t="s">
        <v>35</v>
      </c>
      <c r="F2126" s="2">
        <v>212901001</v>
      </c>
      <c r="G2126" s="2" t="s">
        <v>91</v>
      </c>
      <c r="I2126" s="95" t="s">
        <v>7231</v>
      </c>
      <c r="J2126" t="s">
        <v>61</v>
      </c>
      <c r="K2126" t="s">
        <v>62</v>
      </c>
      <c r="M2126">
        <v>66.44</v>
      </c>
      <c r="N2126" s="4">
        <f t="shared" si="33"/>
        <v>-50</v>
      </c>
      <c r="O2126" t="s">
        <v>605</v>
      </c>
    </row>
    <row r="2127" spans="1:15" x14ac:dyDescent="0.25">
      <c r="A2127" s="43">
        <v>45730</v>
      </c>
      <c r="B2127" s="1" t="s">
        <v>1987</v>
      </c>
      <c r="C2127" t="s">
        <v>1988</v>
      </c>
      <c r="D2127" s="23">
        <v>-6644</v>
      </c>
      <c r="E2127" t="s">
        <v>35</v>
      </c>
      <c r="F2127" s="2">
        <v>212901001</v>
      </c>
      <c r="G2127" s="2" t="s">
        <v>91</v>
      </c>
      <c r="I2127" s="95" t="s">
        <v>7231</v>
      </c>
      <c r="J2127" t="s">
        <v>61</v>
      </c>
      <c r="K2127" t="s">
        <v>62</v>
      </c>
      <c r="M2127">
        <v>66.44</v>
      </c>
      <c r="N2127" s="4">
        <f t="shared" si="33"/>
        <v>-100</v>
      </c>
      <c r="O2127" t="s">
        <v>605</v>
      </c>
    </row>
    <row r="2128" spans="1:15" x14ac:dyDescent="0.25">
      <c r="A2128" s="43">
        <v>45730</v>
      </c>
      <c r="B2128" s="1" t="s">
        <v>1989</v>
      </c>
      <c r="C2128" t="s">
        <v>1990</v>
      </c>
      <c r="D2128" s="23">
        <v>-3322</v>
      </c>
      <c r="E2128" t="s">
        <v>35</v>
      </c>
      <c r="F2128" s="2">
        <v>212901001</v>
      </c>
      <c r="G2128" s="2" t="s">
        <v>91</v>
      </c>
      <c r="I2128" s="95" t="s">
        <v>7231</v>
      </c>
      <c r="J2128" t="s">
        <v>61</v>
      </c>
      <c r="K2128" t="s">
        <v>62</v>
      </c>
      <c r="M2128">
        <v>66.44</v>
      </c>
      <c r="N2128" s="4">
        <f t="shared" si="33"/>
        <v>-50</v>
      </c>
      <c r="O2128" t="s">
        <v>605</v>
      </c>
    </row>
    <row r="2129" spans="1:15" x14ac:dyDescent="0.25">
      <c r="A2129" s="43">
        <v>45730</v>
      </c>
      <c r="B2129" s="1" t="s">
        <v>1991</v>
      </c>
      <c r="C2129" t="s">
        <v>1992</v>
      </c>
      <c r="D2129" s="23">
        <v>-3322</v>
      </c>
      <c r="E2129" t="s">
        <v>35</v>
      </c>
      <c r="F2129" s="2">
        <v>212901001</v>
      </c>
      <c r="G2129" s="2" t="s">
        <v>91</v>
      </c>
      <c r="I2129" s="95" t="s">
        <v>7231</v>
      </c>
      <c r="J2129" t="s">
        <v>61</v>
      </c>
      <c r="K2129" t="s">
        <v>62</v>
      </c>
      <c r="M2129">
        <v>66.44</v>
      </c>
      <c r="N2129" s="4">
        <f t="shared" si="33"/>
        <v>-50</v>
      </c>
      <c r="O2129" t="s">
        <v>605</v>
      </c>
    </row>
    <row r="2130" spans="1:15" x14ac:dyDescent="0.25">
      <c r="A2130" s="43">
        <v>45730</v>
      </c>
      <c r="B2130" s="1" t="s">
        <v>1900</v>
      </c>
      <c r="C2130" t="s">
        <v>1993</v>
      </c>
      <c r="D2130" s="23">
        <v>-3986.4</v>
      </c>
      <c r="E2130" t="s">
        <v>35</v>
      </c>
      <c r="F2130" s="2">
        <v>212901001</v>
      </c>
      <c r="G2130" s="2" t="s">
        <v>91</v>
      </c>
      <c r="I2130" s="95" t="s">
        <v>7231</v>
      </c>
      <c r="J2130" t="s">
        <v>61</v>
      </c>
      <c r="K2130" t="s">
        <v>62</v>
      </c>
      <c r="M2130">
        <v>66.44</v>
      </c>
      <c r="N2130" s="4">
        <f t="shared" si="33"/>
        <v>-60</v>
      </c>
      <c r="O2130" t="s">
        <v>605</v>
      </c>
    </row>
    <row r="2131" spans="1:15" x14ac:dyDescent="0.25">
      <c r="A2131" s="43">
        <v>45730</v>
      </c>
      <c r="B2131" s="1" t="s">
        <v>1994</v>
      </c>
      <c r="C2131" t="s">
        <v>1995</v>
      </c>
      <c r="D2131" s="23">
        <v>-9966</v>
      </c>
      <c r="E2131" t="s">
        <v>35</v>
      </c>
      <c r="F2131" s="2">
        <v>212901001</v>
      </c>
      <c r="G2131" s="2" t="s">
        <v>91</v>
      </c>
      <c r="I2131" s="95" t="s">
        <v>7231</v>
      </c>
      <c r="J2131" t="s">
        <v>61</v>
      </c>
      <c r="K2131" t="s">
        <v>62</v>
      </c>
      <c r="M2131">
        <v>66.44</v>
      </c>
      <c r="N2131" s="4">
        <f t="shared" si="33"/>
        <v>-150</v>
      </c>
      <c r="O2131" t="s">
        <v>605</v>
      </c>
    </row>
    <row r="2132" spans="1:15" x14ac:dyDescent="0.25">
      <c r="A2132" s="43">
        <v>45730</v>
      </c>
      <c r="B2132" s="1" t="s">
        <v>1996</v>
      </c>
      <c r="C2132" t="s">
        <v>1997</v>
      </c>
      <c r="D2132" s="23">
        <v>-3322</v>
      </c>
      <c r="E2132" t="s">
        <v>35</v>
      </c>
      <c r="F2132" s="2">
        <v>212901001</v>
      </c>
      <c r="G2132" s="2" t="s">
        <v>91</v>
      </c>
      <c r="I2132" s="95" t="s">
        <v>7231</v>
      </c>
      <c r="J2132" t="s">
        <v>61</v>
      </c>
      <c r="K2132" t="s">
        <v>62</v>
      </c>
      <c r="M2132">
        <v>66.44</v>
      </c>
      <c r="N2132" s="4">
        <f t="shared" si="33"/>
        <v>-50</v>
      </c>
      <c r="O2132" t="s">
        <v>605</v>
      </c>
    </row>
    <row r="2133" spans="1:15" x14ac:dyDescent="0.25">
      <c r="A2133" s="43">
        <v>45730</v>
      </c>
      <c r="B2133" s="1" t="s">
        <v>1998</v>
      </c>
      <c r="C2133" t="s">
        <v>1986</v>
      </c>
      <c r="D2133" s="23">
        <v>-3322</v>
      </c>
      <c r="E2133" t="s">
        <v>35</v>
      </c>
      <c r="F2133" s="2">
        <v>212901001</v>
      </c>
      <c r="G2133" s="2" t="s">
        <v>91</v>
      </c>
      <c r="I2133" s="95" t="s">
        <v>7231</v>
      </c>
      <c r="J2133" t="s">
        <v>61</v>
      </c>
      <c r="K2133" t="s">
        <v>62</v>
      </c>
      <c r="M2133">
        <v>66.44</v>
      </c>
      <c r="N2133" s="4">
        <f t="shared" si="33"/>
        <v>-50</v>
      </c>
      <c r="O2133" t="s">
        <v>605</v>
      </c>
    </row>
    <row r="2134" spans="1:15" x14ac:dyDescent="0.25">
      <c r="A2134" s="43">
        <v>45730</v>
      </c>
      <c r="B2134" s="1" t="s">
        <v>1999</v>
      </c>
      <c r="C2134" t="s">
        <v>2000</v>
      </c>
      <c r="D2134" s="23">
        <v>-2657.6</v>
      </c>
      <c r="E2134" t="s">
        <v>35</v>
      </c>
      <c r="F2134" s="2">
        <v>212901001</v>
      </c>
      <c r="G2134" s="2" t="s">
        <v>91</v>
      </c>
      <c r="I2134" s="95" t="s">
        <v>7231</v>
      </c>
      <c r="J2134" t="s">
        <v>61</v>
      </c>
      <c r="K2134" t="s">
        <v>62</v>
      </c>
      <c r="M2134">
        <v>66.44</v>
      </c>
      <c r="N2134" s="4">
        <f t="shared" si="33"/>
        <v>-40</v>
      </c>
      <c r="O2134" t="s">
        <v>605</v>
      </c>
    </row>
    <row r="2135" spans="1:15" x14ac:dyDescent="0.25">
      <c r="A2135" s="43">
        <v>45730</v>
      </c>
      <c r="B2135" s="1" t="s">
        <v>2001</v>
      </c>
      <c r="C2135" t="s">
        <v>2002</v>
      </c>
      <c r="D2135" s="23">
        <v>-4650.8</v>
      </c>
      <c r="E2135" t="s">
        <v>35</v>
      </c>
      <c r="F2135" s="2">
        <v>212901001</v>
      </c>
      <c r="G2135" s="2" t="s">
        <v>91</v>
      </c>
      <c r="I2135" s="95" t="s">
        <v>7231</v>
      </c>
      <c r="J2135" t="s">
        <v>61</v>
      </c>
      <c r="K2135" t="s">
        <v>62</v>
      </c>
      <c r="M2135">
        <v>66.44</v>
      </c>
      <c r="N2135" s="4">
        <f t="shared" si="33"/>
        <v>-70</v>
      </c>
      <c r="O2135" t="s">
        <v>605</v>
      </c>
    </row>
    <row r="2136" spans="1:15" x14ac:dyDescent="0.25">
      <c r="A2136" s="43">
        <v>45730</v>
      </c>
      <c r="B2136" s="1" t="s">
        <v>2003</v>
      </c>
      <c r="C2136" t="s">
        <v>2004</v>
      </c>
      <c r="D2136" s="23">
        <v>-3322</v>
      </c>
      <c r="E2136" t="s">
        <v>35</v>
      </c>
      <c r="F2136" s="2">
        <v>212901001</v>
      </c>
      <c r="G2136" s="2" t="s">
        <v>91</v>
      </c>
      <c r="I2136" s="95" t="s">
        <v>7231</v>
      </c>
      <c r="J2136" t="s">
        <v>61</v>
      </c>
      <c r="K2136" t="s">
        <v>62</v>
      </c>
      <c r="M2136">
        <v>66.44</v>
      </c>
      <c r="N2136" s="4">
        <f t="shared" si="33"/>
        <v>-50</v>
      </c>
      <c r="O2136" t="s">
        <v>605</v>
      </c>
    </row>
    <row r="2137" spans="1:15" x14ac:dyDescent="0.25">
      <c r="A2137" s="43">
        <v>45730</v>
      </c>
      <c r="B2137" s="1" t="s">
        <v>1888</v>
      </c>
      <c r="C2137" t="s">
        <v>2005</v>
      </c>
      <c r="D2137" s="23">
        <v>-3986.4</v>
      </c>
      <c r="E2137" t="s">
        <v>35</v>
      </c>
      <c r="F2137" s="2">
        <v>212901001</v>
      </c>
      <c r="G2137" s="2" t="s">
        <v>91</v>
      </c>
      <c r="I2137" s="95" t="s">
        <v>7231</v>
      </c>
      <c r="J2137" t="s">
        <v>61</v>
      </c>
      <c r="K2137" t="s">
        <v>62</v>
      </c>
      <c r="M2137">
        <v>66.44</v>
      </c>
      <c r="N2137" s="4">
        <f t="shared" si="33"/>
        <v>-60</v>
      </c>
      <c r="O2137" t="s">
        <v>605</v>
      </c>
    </row>
    <row r="2138" spans="1:15" x14ac:dyDescent="0.25">
      <c r="A2138" s="43">
        <v>45730</v>
      </c>
      <c r="B2138" s="1" t="s">
        <v>2006</v>
      </c>
      <c r="C2138" t="s">
        <v>2007</v>
      </c>
      <c r="D2138" s="23">
        <v>-5315.2</v>
      </c>
      <c r="E2138" t="s">
        <v>35</v>
      </c>
      <c r="F2138" s="2">
        <v>212901001</v>
      </c>
      <c r="G2138" s="2" t="s">
        <v>91</v>
      </c>
      <c r="I2138" s="95" t="s">
        <v>7231</v>
      </c>
      <c r="J2138" t="s">
        <v>61</v>
      </c>
      <c r="K2138" t="s">
        <v>62</v>
      </c>
      <c r="M2138">
        <v>66.44</v>
      </c>
      <c r="N2138" s="4">
        <f t="shared" si="33"/>
        <v>-80</v>
      </c>
      <c r="O2138" t="s">
        <v>605</v>
      </c>
    </row>
    <row r="2139" spans="1:15" x14ac:dyDescent="0.25">
      <c r="A2139" s="43">
        <v>45730</v>
      </c>
      <c r="B2139" s="1" t="s">
        <v>2008</v>
      </c>
      <c r="C2139" t="s">
        <v>2009</v>
      </c>
      <c r="D2139" s="23">
        <v>-2657.6</v>
      </c>
      <c r="E2139" t="s">
        <v>35</v>
      </c>
      <c r="F2139" s="2">
        <v>212901001</v>
      </c>
      <c r="G2139" s="2" t="s">
        <v>91</v>
      </c>
      <c r="I2139" s="95" t="s">
        <v>7231</v>
      </c>
      <c r="J2139" t="s">
        <v>61</v>
      </c>
      <c r="K2139" t="s">
        <v>62</v>
      </c>
      <c r="M2139">
        <v>66.44</v>
      </c>
      <c r="N2139" s="4">
        <f t="shared" si="33"/>
        <v>-40</v>
      </c>
      <c r="O2139" t="s">
        <v>605</v>
      </c>
    </row>
    <row r="2140" spans="1:15" x14ac:dyDescent="0.25">
      <c r="A2140" s="43">
        <v>45730</v>
      </c>
      <c r="B2140" s="1" t="s">
        <v>2010</v>
      </c>
      <c r="C2140" t="s">
        <v>2011</v>
      </c>
      <c r="D2140" s="23">
        <v>-6644</v>
      </c>
      <c r="E2140" t="s">
        <v>35</v>
      </c>
      <c r="F2140" s="2">
        <v>212901001</v>
      </c>
      <c r="G2140" s="2" t="s">
        <v>91</v>
      </c>
      <c r="I2140" s="95" t="s">
        <v>7231</v>
      </c>
      <c r="J2140" t="s">
        <v>61</v>
      </c>
      <c r="K2140" t="s">
        <v>62</v>
      </c>
      <c r="M2140">
        <v>66.44</v>
      </c>
      <c r="N2140" s="4">
        <f t="shared" si="33"/>
        <v>-100</v>
      </c>
      <c r="O2140" t="s">
        <v>605</v>
      </c>
    </row>
    <row r="2141" spans="1:15" x14ac:dyDescent="0.25">
      <c r="A2141" s="43">
        <v>45730</v>
      </c>
      <c r="B2141" s="1" t="s">
        <v>2012</v>
      </c>
      <c r="C2141" t="s">
        <v>2013</v>
      </c>
      <c r="D2141" s="23">
        <v>-4650.8</v>
      </c>
      <c r="E2141" t="s">
        <v>35</v>
      </c>
      <c r="F2141" s="2">
        <v>212901001</v>
      </c>
      <c r="G2141" s="2" t="s">
        <v>91</v>
      </c>
      <c r="I2141" s="95" t="s">
        <v>7231</v>
      </c>
      <c r="J2141" t="s">
        <v>61</v>
      </c>
      <c r="K2141" t="s">
        <v>62</v>
      </c>
      <c r="M2141">
        <v>66.44</v>
      </c>
      <c r="N2141" s="4">
        <f t="shared" si="33"/>
        <v>-70</v>
      </c>
      <c r="O2141" t="s">
        <v>605</v>
      </c>
    </row>
    <row r="2142" spans="1:15" x14ac:dyDescent="0.25">
      <c r="A2142" s="43">
        <v>45730</v>
      </c>
      <c r="B2142" s="1" t="s">
        <v>2014</v>
      </c>
      <c r="C2142" t="s">
        <v>2015</v>
      </c>
      <c r="D2142" s="23">
        <v>-3322</v>
      </c>
      <c r="E2142" t="s">
        <v>35</v>
      </c>
      <c r="F2142" s="2">
        <v>212901001</v>
      </c>
      <c r="G2142" s="2" t="s">
        <v>91</v>
      </c>
      <c r="I2142" s="95" t="s">
        <v>7231</v>
      </c>
      <c r="J2142" t="s">
        <v>61</v>
      </c>
      <c r="K2142" t="s">
        <v>62</v>
      </c>
      <c r="M2142">
        <v>66.44</v>
      </c>
      <c r="N2142" s="4">
        <f t="shared" si="33"/>
        <v>-50</v>
      </c>
      <c r="O2142" t="s">
        <v>605</v>
      </c>
    </row>
    <row r="2143" spans="1:15" x14ac:dyDescent="0.25">
      <c r="A2143" s="43">
        <v>45730</v>
      </c>
      <c r="B2143" s="1" t="s">
        <v>2016</v>
      </c>
      <c r="C2143" t="s">
        <v>2017</v>
      </c>
      <c r="D2143" s="23">
        <v>-3322</v>
      </c>
      <c r="E2143" t="s">
        <v>35</v>
      </c>
      <c r="F2143" s="2">
        <v>212901001</v>
      </c>
      <c r="G2143" s="2" t="s">
        <v>91</v>
      </c>
      <c r="I2143" s="95" t="s">
        <v>7231</v>
      </c>
      <c r="J2143" t="s">
        <v>61</v>
      </c>
      <c r="K2143" t="s">
        <v>62</v>
      </c>
      <c r="M2143">
        <v>66.44</v>
      </c>
      <c r="N2143" s="4">
        <f t="shared" si="33"/>
        <v>-50</v>
      </c>
      <c r="O2143" t="s">
        <v>605</v>
      </c>
    </row>
    <row r="2144" spans="1:15" x14ac:dyDescent="0.25">
      <c r="A2144" s="43">
        <v>45730</v>
      </c>
      <c r="B2144" s="1" t="s">
        <v>2018</v>
      </c>
      <c r="C2144" t="s">
        <v>2019</v>
      </c>
      <c r="D2144" s="23">
        <v>-1328.8</v>
      </c>
      <c r="E2144" t="s">
        <v>35</v>
      </c>
      <c r="F2144" s="2">
        <v>212901001</v>
      </c>
      <c r="G2144" s="2" t="s">
        <v>91</v>
      </c>
      <c r="I2144" s="95" t="s">
        <v>7231</v>
      </c>
      <c r="J2144" t="s">
        <v>61</v>
      </c>
      <c r="K2144" t="s">
        <v>62</v>
      </c>
      <c r="M2144">
        <v>66.44</v>
      </c>
      <c r="N2144" s="4">
        <f t="shared" si="33"/>
        <v>-20</v>
      </c>
      <c r="O2144" t="s">
        <v>605</v>
      </c>
    </row>
    <row r="2145" spans="1:17" x14ac:dyDescent="0.25">
      <c r="A2145" s="43">
        <v>45730</v>
      </c>
      <c r="B2145" s="1" t="s">
        <v>2020</v>
      </c>
      <c r="C2145" t="s">
        <v>2021</v>
      </c>
      <c r="D2145" s="23">
        <v>-3322</v>
      </c>
      <c r="E2145" t="s">
        <v>35</v>
      </c>
      <c r="F2145" s="2">
        <v>212901001</v>
      </c>
      <c r="G2145" s="2" t="s">
        <v>91</v>
      </c>
      <c r="I2145" s="95" t="s">
        <v>7231</v>
      </c>
      <c r="J2145" t="s">
        <v>61</v>
      </c>
      <c r="K2145" t="s">
        <v>62</v>
      </c>
      <c r="M2145">
        <v>66.44</v>
      </c>
      <c r="N2145" s="4">
        <f t="shared" si="33"/>
        <v>-50</v>
      </c>
      <c r="O2145" t="s">
        <v>605</v>
      </c>
    </row>
    <row r="2146" spans="1:17" x14ac:dyDescent="0.25">
      <c r="A2146" s="43">
        <v>45730</v>
      </c>
      <c r="B2146" s="1" t="s">
        <v>2022</v>
      </c>
      <c r="C2146" t="s">
        <v>2023</v>
      </c>
      <c r="D2146" s="23">
        <v>-6644</v>
      </c>
      <c r="E2146" t="s">
        <v>35</v>
      </c>
      <c r="F2146" s="2">
        <v>212901001</v>
      </c>
      <c r="G2146" s="2" t="s">
        <v>91</v>
      </c>
      <c r="I2146" s="95" t="s">
        <v>7231</v>
      </c>
      <c r="J2146" t="s">
        <v>61</v>
      </c>
      <c r="K2146" t="s">
        <v>62</v>
      </c>
      <c r="M2146">
        <v>66.44</v>
      </c>
      <c r="N2146" s="4">
        <f t="shared" si="33"/>
        <v>-100</v>
      </c>
      <c r="O2146" t="s">
        <v>605</v>
      </c>
    </row>
    <row r="2147" spans="1:17" x14ac:dyDescent="0.25">
      <c r="A2147" s="46">
        <v>45730</v>
      </c>
      <c r="B2147" s="27" t="s">
        <v>2024</v>
      </c>
      <c r="C2147" s="28" t="s">
        <v>52</v>
      </c>
      <c r="D2147" s="29">
        <v>-7972.8</v>
      </c>
      <c r="E2147" s="28" t="s">
        <v>35</v>
      </c>
      <c r="F2147" s="30">
        <v>610129001</v>
      </c>
      <c r="G2147" s="30" t="s">
        <v>53</v>
      </c>
      <c r="H2147" s="30"/>
      <c r="I2147" s="95" t="s">
        <v>7231</v>
      </c>
      <c r="J2147" s="28" t="s">
        <v>54</v>
      </c>
      <c r="K2147" s="28" t="s">
        <v>55</v>
      </c>
      <c r="L2147" s="28" t="s">
        <v>56</v>
      </c>
      <c r="M2147" s="28">
        <v>66.44</v>
      </c>
      <c r="N2147" s="4">
        <f t="shared" si="33"/>
        <v>-120</v>
      </c>
      <c r="O2147" t="s">
        <v>605</v>
      </c>
      <c r="Q2147" s="36" t="s">
        <v>2025</v>
      </c>
    </row>
    <row r="2148" spans="1:17" x14ac:dyDescent="0.25">
      <c r="A2148" s="43">
        <v>45730</v>
      </c>
      <c r="B2148" s="1" t="s">
        <v>619</v>
      </c>
      <c r="C2148" t="s">
        <v>2026</v>
      </c>
      <c r="D2148" s="23">
        <v>-3986.4</v>
      </c>
      <c r="E2148" t="s">
        <v>35</v>
      </c>
      <c r="F2148" s="2">
        <v>212901001</v>
      </c>
      <c r="G2148" s="2" t="s">
        <v>91</v>
      </c>
      <c r="I2148" s="95" t="s">
        <v>7231</v>
      </c>
      <c r="J2148" t="s">
        <v>61</v>
      </c>
      <c r="K2148" t="s">
        <v>62</v>
      </c>
      <c r="M2148">
        <v>66.44</v>
      </c>
      <c r="N2148" s="4">
        <f t="shared" si="33"/>
        <v>-60</v>
      </c>
      <c r="O2148" t="s">
        <v>605</v>
      </c>
    </row>
    <row r="2149" spans="1:17" x14ac:dyDescent="0.25">
      <c r="A2149" s="43">
        <v>45730</v>
      </c>
      <c r="B2149" s="1" t="s">
        <v>1898</v>
      </c>
      <c r="C2149" t="s">
        <v>2027</v>
      </c>
      <c r="D2149" s="23">
        <v>-3986.4</v>
      </c>
      <c r="E2149" t="s">
        <v>35</v>
      </c>
      <c r="F2149" s="2">
        <v>212901001</v>
      </c>
      <c r="G2149" s="2" t="s">
        <v>91</v>
      </c>
      <c r="I2149" s="95" t="s">
        <v>7231</v>
      </c>
      <c r="J2149" t="s">
        <v>61</v>
      </c>
      <c r="K2149" t="s">
        <v>62</v>
      </c>
      <c r="M2149">
        <v>66.44</v>
      </c>
      <c r="N2149" s="4">
        <f t="shared" si="33"/>
        <v>-60</v>
      </c>
      <c r="O2149" t="s">
        <v>605</v>
      </c>
    </row>
    <row r="2150" spans="1:17" x14ac:dyDescent="0.25">
      <c r="A2150" s="43">
        <v>45730</v>
      </c>
      <c r="B2150" s="1" t="s">
        <v>2028</v>
      </c>
      <c r="C2150" t="s">
        <v>2029</v>
      </c>
      <c r="D2150" s="23">
        <v>-5315.2</v>
      </c>
      <c r="E2150" t="s">
        <v>35</v>
      </c>
      <c r="F2150" s="2">
        <v>212901001</v>
      </c>
      <c r="G2150" s="2" t="s">
        <v>91</v>
      </c>
      <c r="I2150" s="95" t="s">
        <v>7231</v>
      </c>
      <c r="J2150" t="s">
        <v>61</v>
      </c>
      <c r="K2150" t="s">
        <v>62</v>
      </c>
      <c r="M2150">
        <v>66.44</v>
      </c>
      <c r="N2150" s="4">
        <f t="shared" si="33"/>
        <v>-80</v>
      </c>
      <c r="O2150" t="s">
        <v>605</v>
      </c>
    </row>
    <row r="2151" spans="1:17" x14ac:dyDescent="0.25">
      <c r="A2151" s="43">
        <v>45730</v>
      </c>
      <c r="B2151" s="1" t="s">
        <v>2030</v>
      </c>
      <c r="C2151" t="s">
        <v>2031</v>
      </c>
      <c r="D2151" s="23">
        <v>-2657.6</v>
      </c>
      <c r="E2151" t="s">
        <v>35</v>
      </c>
      <c r="F2151" s="2">
        <v>212901001</v>
      </c>
      <c r="G2151" s="2" t="s">
        <v>91</v>
      </c>
      <c r="I2151" s="95" t="s">
        <v>7231</v>
      </c>
      <c r="J2151" t="s">
        <v>61</v>
      </c>
      <c r="K2151" t="s">
        <v>62</v>
      </c>
      <c r="M2151">
        <v>66.44</v>
      </c>
      <c r="N2151" s="4">
        <f t="shared" si="33"/>
        <v>-40</v>
      </c>
      <c r="O2151" t="s">
        <v>605</v>
      </c>
    </row>
    <row r="2152" spans="1:17" x14ac:dyDescent="0.25">
      <c r="A2152" s="43">
        <v>45730</v>
      </c>
      <c r="B2152" s="1" t="s">
        <v>2032</v>
      </c>
      <c r="C2152" t="s">
        <v>2033</v>
      </c>
      <c r="D2152" s="23">
        <v>-6644</v>
      </c>
      <c r="E2152" t="s">
        <v>35</v>
      </c>
      <c r="F2152" s="2">
        <v>212901001</v>
      </c>
      <c r="G2152" s="2" t="s">
        <v>91</v>
      </c>
      <c r="I2152" s="95" t="s">
        <v>7231</v>
      </c>
      <c r="J2152" t="s">
        <v>61</v>
      </c>
      <c r="K2152" t="s">
        <v>62</v>
      </c>
      <c r="M2152">
        <v>66.44</v>
      </c>
      <c r="N2152" s="4">
        <f t="shared" si="33"/>
        <v>-100</v>
      </c>
      <c r="O2152" t="s">
        <v>605</v>
      </c>
    </row>
    <row r="2153" spans="1:17" x14ac:dyDescent="0.25">
      <c r="A2153" s="43">
        <v>45730</v>
      </c>
      <c r="B2153" s="1" t="s">
        <v>2034</v>
      </c>
      <c r="C2153" t="s">
        <v>2035</v>
      </c>
      <c r="D2153" s="23">
        <v>-3322</v>
      </c>
      <c r="E2153" t="s">
        <v>35</v>
      </c>
      <c r="F2153" s="2">
        <v>212901001</v>
      </c>
      <c r="G2153" s="2" t="s">
        <v>91</v>
      </c>
      <c r="I2153" s="95" t="s">
        <v>7231</v>
      </c>
      <c r="J2153" t="s">
        <v>61</v>
      </c>
      <c r="K2153" t="s">
        <v>62</v>
      </c>
      <c r="M2153">
        <v>66.44</v>
      </c>
      <c r="N2153" s="4">
        <f t="shared" si="33"/>
        <v>-50</v>
      </c>
      <c r="O2153" t="s">
        <v>605</v>
      </c>
    </row>
    <row r="2154" spans="1:17" x14ac:dyDescent="0.25">
      <c r="A2154" s="43">
        <v>45730</v>
      </c>
      <c r="B2154" s="1" t="s">
        <v>2036</v>
      </c>
      <c r="C2154" t="s">
        <v>2037</v>
      </c>
      <c r="D2154" s="23">
        <v>-2790.48</v>
      </c>
      <c r="E2154" t="s">
        <v>35</v>
      </c>
      <c r="F2154" s="2">
        <v>212901001</v>
      </c>
      <c r="G2154" s="2" t="s">
        <v>91</v>
      </c>
      <c r="I2154" s="95" t="s">
        <v>7231</v>
      </c>
      <c r="J2154" t="s">
        <v>61</v>
      </c>
      <c r="K2154" t="s">
        <v>62</v>
      </c>
      <c r="M2154">
        <v>66.44</v>
      </c>
      <c r="N2154" s="4">
        <f t="shared" si="33"/>
        <v>-42</v>
      </c>
      <c r="O2154" t="s">
        <v>605</v>
      </c>
    </row>
    <row r="2155" spans="1:17" x14ac:dyDescent="0.25">
      <c r="A2155" s="43">
        <v>45730</v>
      </c>
      <c r="B2155" s="1" t="s">
        <v>2038</v>
      </c>
      <c r="C2155" t="s">
        <v>2039</v>
      </c>
      <c r="D2155" s="23">
        <v>-3322</v>
      </c>
      <c r="E2155" t="s">
        <v>35</v>
      </c>
      <c r="F2155" s="2">
        <v>212901001</v>
      </c>
      <c r="G2155" s="2" t="s">
        <v>91</v>
      </c>
      <c r="I2155" s="95" t="s">
        <v>7231</v>
      </c>
      <c r="J2155" t="s">
        <v>61</v>
      </c>
      <c r="K2155" t="s">
        <v>62</v>
      </c>
      <c r="M2155">
        <v>66.44</v>
      </c>
      <c r="N2155" s="4">
        <f t="shared" si="33"/>
        <v>-50</v>
      </c>
      <c r="O2155" t="s">
        <v>605</v>
      </c>
    </row>
    <row r="2156" spans="1:17" x14ac:dyDescent="0.25">
      <c r="A2156" s="43">
        <v>45730</v>
      </c>
      <c r="B2156" s="1" t="s">
        <v>615</v>
      </c>
      <c r="C2156" t="s">
        <v>2040</v>
      </c>
      <c r="D2156" s="23">
        <v>-3986.4</v>
      </c>
      <c r="E2156" t="s">
        <v>35</v>
      </c>
      <c r="F2156" s="2">
        <v>212901001</v>
      </c>
      <c r="G2156" s="2" t="s">
        <v>91</v>
      </c>
      <c r="I2156" s="95" t="s">
        <v>7231</v>
      </c>
      <c r="J2156" t="s">
        <v>61</v>
      </c>
      <c r="K2156" t="s">
        <v>62</v>
      </c>
      <c r="M2156">
        <v>66.44</v>
      </c>
      <c r="N2156" s="4">
        <f t="shared" si="33"/>
        <v>-60</v>
      </c>
      <c r="O2156" t="s">
        <v>605</v>
      </c>
    </row>
    <row r="2157" spans="1:17" x14ac:dyDescent="0.25">
      <c r="A2157" s="43">
        <v>45730</v>
      </c>
      <c r="B2157" s="1" t="s">
        <v>1896</v>
      </c>
      <c r="C2157" t="s">
        <v>2041</v>
      </c>
      <c r="D2157" s="23">
        <v>-3986.4</v>
      </c>
      <c r="E2157" t="s">
        <v>35</v>
      </c>
      <c r="F2157" s="2">
        <v>212901001</v>
      </c>
      <c r="G2157" s="2" t="s">
        <v>91</v>
      </c>
      <c r="I2157" s="95" t="s">
        <v>7231</v>
      </c>
      <c r="J2157" t="s">
        <v>61</v>
      </c>
      <c r="K2157" t="s">
        <v>62</v>
      </c>
      <c r="M2157">
        <v>66.44</v>
      </c>
      <c r="N2157" s="4">
        <f t="shared" si="33"/>
        <v>-60</v>
      </c>
      <c r="O2157" t="s">
        <v>605</v>
      </c>
    </row>
    <row r="2158" spans="1:17" x14ac:dyDescent="0.25">
      <c r="A2158" s="43">
        <v>45730</v>
      </c>
      <c r="B2158" s="1" t="s">
        <v>1909</v>
      </c>
      <c r="C2158" t="s">
        <v>2042</v>
      </c>
      <c r="D2158" s="23">
        <v>-3986.4</v>
      </c>
      <c r="E2158" t="s">
        <v>35</v>
      </c>
      <c r="F2158" s="2">
        <v>212901001</v>
      </c>
      <c r="G2158" s="2" t="s">
        <v>91</v>
      </c>
      <c r="I2158" s="95" t="s">
        <v>7231</v>
      </c>
      <c r="J2158" t="s">
        <v>61</v>
      </c>
      <c r="K2158" t="s">
        <v>62</v>
      </c>
      <c r="M2158">
        <v>66.44</v>
      </c>
      <c r="N2158" s="4">
        <f t="shared" si="33"/>
        <v>-60</v>
      </c>
      <c r="O2158" t="s">
        <v>605</v>
      </c>
    </row>
    <row r="2159" spans="1:17" x14ac:dyDescent="0.25">
      <c r="A2159" s="43">
        <v>45730</v>
      </c>
      <c r="B2159" s="1" t="s">
        <v>2043</v>
      </c>
      <c r="C2159" t="s">
        <v>2044</v>
      </c>
      <c r="D2159" s="23">
        <v>-1993.2</v>
      </c>
      <c r="E2159" t="s">
        <v>35</v>
      </c>
      <c r="F2159" s="2">
        <v>212901001</v>
      </c>
      <c r="G2159" s="2" t="s">
        <v>91</v>
      </c>
      <c r="I2159" s="95" t="s">
        <v>7231</v>
      </c>
      <c r="J2159" t="s">
        <v>61</v>
      </c>
      <c r="K2159" t="s">
        <v>62</v>
      </c>
      <c r="M2159">
        <v>66.44</v>
      </c>
      <c r="N2159" s="4">
        <f t="shared" si="33"/>
        <v>-30</v>
      </c>
      <c r="O2159" t="s">
        <v>605</v>
      </c>
    </row>
    <row r="2160" spans="1:17" x14ac:dyDescent="0.25">
      <c r="A2160" s="43">
        <v>45730</v>
      </c>
      <c r="B2160" s="1" t="s">
        <v>2045</v>
      </c>
      <c r="C2160" t="s">
        <v>2046</v>
      </c>
      <c r="D2160" s="23">
        <v>-4650.8</v>
      </c>
      <c r="E2160" t="s">
        <v>35</v>
      </c>
      <c r="F2160" s="2">
        <v>212901001</v>
      </c>
      <c r="G2160" s="2" t="s">
        <v>91</v>
      </c>
      <c r="I2160" s="95" t="s">
        <v>7231</v>
      </c>
      <c r="J2160" t="s">
        <v>61</v>
      </c>
      <c r="K2160" t="s">
        <v>62</v>
      </c>
      <c r="M2160">
        <v>66.44</v>
      </c>
      <c r="N2160" s="4">
        <f t="shared" si="33"/>
        <v>-70</v>
      </c>
      <c r="O2160" t="s">
        <v>605</v>
      </c>
    </row>
    <row r="2161" spans="1:17" x14ac:dyDescent="0.25">
      <c r="A2161" s="43">
        <v>45730</v>
      </c>
      <c r="B2161" s="1" t="s">
        <v>2047</v>
      </c>
      <c r="C2161" t="s">
        <v>2048</v>
      </c>
      <c r="D2161" s="23">
        <v>-3322</v>
      </c>
      <c r="E2161" t="s">
        <v>35</v>
      </c>
      <c r="F2161" s="2">
        <v>212901001</v>
      </c>
      <c r="G2161" s="2" t="s">
        <v>91</v>
      </c>
      <c r="I2161" s="95" t="s">
        <v>7231</v>
      </c>
      <c r="J2161" t="s">
        <v>61</v>
      </c>
      <c r="K2161" t="s">
        <v>62</v>
      </c>
      <c r="M2161">
        <v>66.44</v>
      </c>
      <c r="N2161" s="4">
        <f t="shared" si="33"/>
        <v>-50</v>
      </c>
      <c r="O2161" t="s">
        <v>605</v>
      </c>
    </row>
    <row r="2162" spans="1:17" x14ac:dyDescent="0.25">
      <c r="A2162" s="43">
        <v>45730</v>
      </c>
      <c r="B2162" s="1" t="s">
        <v>2049</v>
      </c>
      <c r="C2162" t="s">
        <v>2050</v>
      </c>
      <c r="D2162" s="23">
        <v>-3322</v>
      </c>
      <c r="E2162" t="s">
        <v>35</v>
      </c>
      <c r="F2162" s="2">
        <v>212901001</v>
      </c>
      <c r="G2162" s="2" t="s">
        <v>91</v>
      </c>
      <c r="I2162" s="95" t="s">
        <v>7231</v>
      </c>
      <c r="J2162" t="s">
        <v>61</v>
      </c>
      <c r="K2162" t="s">
        <v>62</v>
      </c>
      <c r="M2162">
        <v>66.44</v>
      </c>
      <c r="N2162" s="4">
        <f t="shared" si="33"/>
        <v>-50</v>
      </c>
      <c r="O2162" t="s">
        <v>605</v>
      </c>
    </row>
    <row r="2163" spans="1:17" x14ac:dyDescent="0.25">
      <c r="A2163" s="43">
        <v>45730</v>
      </c>
      <c r="B2163" s="1" t="s">
        <v>2051</v>
      </c>
      <c r="C2163" t="s">
        <v>2052</v>
      </c>
      <c r="D2163" s="23">
        <v>-3322</v>
      </c>
      <c r="E2163" t="s">
        <v>35</v>
      </c>
      <c r="F2163" s="2">
        <v>212901001</v>
      </c>
      <c r="G2163" s="2" t="s">
        <v>91</v>
      </c>
      <c r="I2163" s="95" t="s">
        <v>7231</v>
      </c>
      <c r="J2163" t="s">
        <v>61</v>
      </c>
      <c r="K2163" t="s">
        <v>62</v>
      </c>
      <c r="M2163">
        <v>66.44</v>
      </c>
      <c r="N2163" s="4">
        <f t="shared" si="33"/>
        <v>-50</v>
      </c>
      <c r="O2163" t="s">
        <v>605</v>
      </c>
    </row>
    <row r="2164" spans="1:17" x14ac:dyDescent="0.25">
      <c r="A2164" s="43">
        <v>45730</v>
      </c>
      <c r="B2164" s="1" t="s">
        <v>2053</v>
      </c>
      <c r="C2164" t="s">
        <v>2054</v>
      </c>
      <c r="D2164" s="23">
        <v>-1328.8</v>
      </c>
      <c r="E2164" t="s">
        <v>35</v>
      </c>
      <c r="F2164" s="2">
        <v>212901001</v>
      </c>
      <c r="G2164" s="2" t="s">
        <v>91</v>
      </c>
      <c r="I2164" s="95" t="s">
        <v>7231</v>
      </c>
      <c r="J2164" t="s">
        <v>61</v>
      </c>
      <c r="K2164" t="s">
        <v>62</v>
      </c>
      <c r="M2164">
        <v>66.44</v>
      </c>
      <c r="N2164" s="4">
        <f t="shared" si="33"/>
        <v>-20</v>
      </c>
      <c r="O2164" t="s">
        <v>605</v>
      </c>
    </row>
    <row r="2165" spans="1:17" x14ac:dyDescent="0.25">
      <c r="A2165" s="43">
        <v>45730</v>
      </c>
      <c r="B2165" s="1" t="s">
        <v>2055</v>
      </c>
      <c r="C2165" t="s">
        <v>2056</v>
      </c>
      <c r="D2165" s="23">
        <v>-9301.6</v>
      </c>
      <c r="E2165" t="s">
        <v>35</v>
      </c>
      <c r="F2165" s="2">
        <v>212901001</v>
      </c>
      <c r="G2165" s="2" t="s">
        <v>91</v>
      </c>
      <c r="I2165" s="95" t="s">
        <v>7231</v>
      </c>
      <c r="J2165" t="s">
        <v>61</v>
      </c>
      <c r="K2165" t="s">
        <v>62</v>
      </c>
      <c r="M2165">
        <v>66.44</v>
      </c>
      <c r="N2165" s="4">
        <f t="shared" si="33"/>
        <v>-140</v>
      </c>
      <c r="O2165" t="s">
        <v>605</v>
      </c>
    </row>
    <row r="2166" spans="1:17" x14ac:dyDescent="0.25">
      <c r="A2166" s="43">
        <v>45730</v>
      </c>
      <c r="B2166" s="1" t="s">
        <v>2057</v>
      </c>
      <c r="C2166" t="s">
        <v>622</v>
      </c>
      <c r="D2166" s="23">
        <v>-8.3000000000000007</v>
      </c>
      <c r="E2166" t="s">
        <v>35</v>
      </c>
      <c r="F2166" s="2">
        <v>610148001</v>
      </c>
      <c r="G2166" s="2" t="s">
        <v>41</v>
      </c>
      <c r="I2166" s="95" t="s">
        <v>7231</v>
      </c>
      <c r="J2166" t="s">
        <v>42</v>
      </c>
      <c r="K2166" t="s">
        <v>41</v>
      </c>
      <c r="M2166">
        <v>66.44</v>
      </c>
      <c r="N2166" s="4">
        <f t="shared" si="33"/>
        <v>-0.12492474413004216</v>
      </c>
      <c r="O2166" t="s">
        <v>605</v>
      </c>
      <c r="Q2166" s="36" t="s">
        <v>1310</v>
      </c>
    </row>
    <row r="2167" spans="1:17" x14ac:dyDescent="0.25">
      <c r="A2167" s="43">
        <v>45730</v>
      </c>
      <c r="B2167" s="1" t="s">
        <v>2058</v>
      </c>
      <c r="C2167" t="s">
        <v>622</v>
      </c>
      <c r="D2167" s="23">
        <v>-3.32</v>
      </c>
      <c r="E2167" t="s">
        <v>35</v>
      </c>
      <c r="F2167" s="2">
        <v>610148001</v>
      </c>
      <c r="G2167" s="2" t="s">
        <v>41</v>
      </c>
      <c r="I2167" s="95" t="s">
        <v>7231</v>
      </c>
      <c r="J2167" t="s">
        <v>42</v>
      </c>
      <c r="K2167" t="s">
        <v>41</v>
      </c>
      <c r="M2167">
        <v>66.44</v>
      </c>
      <c r="N2167" s="4">
        <f t="shared" si="33"/>
        <v>-4.9969897652016856E-2</v>
      </c>
      <c r="O2167" t="s">
        <v>605</v>
      </c>
      <c r="Q2167" s="36" t="s">
        <v>1310</v>
      </c>
    </row>
    <row r="2168" spans="1:17" x14ac:dyDescent="0.25">
      <c r="A2168" s="43">
        <v>45730</v>
      </c>
      <c r="B2168" s="1" t="s">
        <v>2059</v>
      </c>
      <c r="C2168" t="s">
        <v>622</v>
      </c>
      <c r="D2168" s="23">
        <v>-33.22</v>
      </c>
      <c r="E2168" t="s">
        <v>35</v>
      </c>
      <c r="F2168" s="2">
        <v>610148001</v>
      </c>
      <c r="G2168" s="2" t="s">
        <v>41</v>
      </c>
      <c r="I2168" s="95" t="s">
        <v>7231</v>
      </c>
      <c r="J2168" t="s">
        <v>42</v>
      </c>
      <c r="K2168" t="s">
        <v>41</v>
      </c>
      <c r="M2168">
        <v>66.44</v>
      </c>
      <c r="N2168" s="4">
        <f t="shared" si="33"/>
        <v>-0.5</v>
      </c>
      <c r="O2168" t="s">
        <v>605</v>
      </c>
      <c r="Q2168" s="36" t="s">
        <v>1310</v>
      </c>
    </row>
    <row r="2169" spans="1:17" x14ac:dyDescent="0.25">
      <c r="A2169" s="43">
        <v>45730</v>
      </c>
      <c r="B2169" s="1" t="s">
        <v>2060</v>
      </c>
      <c r="C2169" t="s">
        <v>622</v>
      </c>
      <c r="D2169" s="23">
        <v>-6.64</v>
      </c>
      <c r="E2169" t="s">
        <v>35</v>
      </c>
      <c r="F2169" s="2">
        <v>610148001</v>
      </c>
      <c r="G2169" s="2" t="s">
        <v>41</v>
      </c>
      <c r="I2169" s="95" t="s">
        <v>7231</v>
      </c>
      <c r="J2169" t="s">
        <v>42</v>
      </c>
      <c r="K2169" t="s">
        <v>41</v>
      </c>
      <c r="M2169">
        <v>66.44</v>
      </c>
      <c r="N2169" s="4">
        <f t="shared" si="33"/>
        <v>-9.9939795304033713E-2</v>
      </c>
      <c r="O2169" t="s">
        <v>605</v>
      </c>
      <c r="Q2169" s="36" t="s">
        <v>1310</v>
      </c>
    </row>
    <row r="2170" spans="1:17" x14ac:dyDescent="0.25">
      <c r="A2170" s="43">
        <v>45730</v>
      </c>
      <c r="B2170" s="1" t="s">
        <v>623</v>
      </c>
      <c r="C2170" t="s">
        <v>622</v>
      </c>
      <c r="D2170" s="23">
        <v>-9.9600000000000009</v>
      </c>
      <c r="E2170" t="s">
        <v>35</v>
      </c>
      <c r="F2170" s="2">
        <v>610148001</v>
      </c>
      <c r="G2170" s="2" t="s">
        <v>41</v>
      </c>
      <c r="I2170" s="95" t="s">
        <v>7231</v>
      </c>
      <c r="J2170" t="s">
        <v>42</v>
      </c>
      <c r="K2170" t="s">
        <v>41</v>
      </c>
      <c r="M2170">
        <v>66.44</v>
      </c>
      <c r="N2170" s="4">
        <f t="shared" si="33"/>
        <v>-0.14990969295605058</v>
      </c>
      <c r="O2170" t="s">
        <v>605</v>
      </c>
      <c r="Q2170" s="36" t="s">
        <v>1310</v>
      </c>
    </row>
    <row r="2171" spans="1:17" x14ac:dyDescent="0.25">
      <c r="A2171" s="43">
        <v>45730</v>
      </c>
      <c r="B2171" s="1" t="s">
        <v>1919</v>
      </c>
      <c r="C2171" t="s">
        <v>622</v>
      </c>
      <c r="D2171" s="23">
        <v>-9.9600000000000009</v>
      </c>
      <c r="E2171" t="s">
        <v>35</v>
      </c>
      <c r="F2171" s="2">
        <v>610148001</v>
      </c>
      <c r="G2171" s="2" t="s">
        <v>41</v>
      </c>
      <c r="I2171" s="95" t="s">
        <v>7231</v>
      </c>
      <c r="J2171" t="s">
        <v>42</v>
      </c>
      <c r="K2171" t="s">
        <v>41</v>
      </c>
      <c r="M2171">
        <v>66.44</v>
      </c>
      <c r="N2171" s="4">
        <f t="shared" si="33"/>
        <v>-0.14990969295605058</v>
      </c>
      <c r="O2171" t="s">
        <v>605</v>
      </c>
      <c r="Q2171" s="36" t="s">
        <v>1310</v>
      </c>
    </row>
    <row r="2172" spans="1:17" x14ac:dyDescent="0.25">
      <c r="A2172" s="43">
        <v>45730</v>
      </c>
      <c r="B2172" s="1" t="s">
        <v>1918</v>
      </c>
      <c r="C2172" t="s">
        <v>622</v>
      </c>
      <c r="D2172" s="23">
        <v>-9.9600000000000009</v>
      </c>
      <c r="E2172" t="s">
        <v>35</v>
      </c>
      <c r="F2172" s="2">
        <v>610148001</v>
      </c>
      <c r="G2172" s="2" t="s">
        <v>41</v>
      </c>
      <c r="I2172" s="95" t="s">
        <v>7231</v>
      </c>
      <c r="J2172" t="s">
        <v>42</v>
      </c>
      <c r="K2172" t="s">
        <v>41</v>
      </c>
      <c r="M2172">
        <v>66.44</v>
      </c>
      <c r="N2172" s="4">
        <f t="shared" si="33"/>
        <v>-0.14990969295605058</v>
      </c>
      <c r="O2172" t="s">
        <v>605</v>
      </c>
      <c r="Q2172" s="36" t="s">
        <v>1310</v>
      </c>
    </row>
    <row r="2173" spans="1:17" x14ac:dyDescent="0.25">
      <c r="A2173" s="43">
        <v>45730</v>
      </c>
      <c r="B2173" s="1" t="s">
        <v>2061</v>
      </c>
      <c r="C2173" t="s">
        <v>622</v>
      </c>
      <c r="D2173" s="23">
        <v>-13.28</v>
      </c>
      <c r="E2173" t="s">
        <v>35</v>
      </c>
      <c r="F2173" s="2">
        <v>610148001</v>
      </c>
      <c r="G2173" s="2" t="s">
        <v>41</v>
      </c>
      <c r="I2173" s="95" t="s">
        <v>7231</v>
      </c>
      <c r="J2173" t="s">
        <v>42</v>
      </c>
      <c r="K2173" t="s">
        <v>41</v>
      </c>
      <c r="M2173">
        <v>66.44</v>
      </c>
      <c r="N2173" s="4">
        <f t="shared" si="33"/>
        <v>-0.19987959060806743</v>
      </c>
      <c r="O2173" t="s">
        <v>605</v>
      </c>
      <c r="Q2173" s="36" t="s">
        <v>1310</v>
      </c>
    </row>
    <row r="2174" spans="1:17" x14ac:dyDescent="0.25">
      <c r="A2174" s="43">
        <v>45730</v>
      </c>
      <c r="B2174" s="1" t="s">
        <v>2062</v>
      </c>
      <c r="C2174" t="s">
        <v>622</v>
      </c>
      <c r="D2174" s="23">
        <v>-13.28</v>
      </c>
      <c r="E2174" t="s">
        <v>35</v>
      </c>
      <c r="F2174" s="2">
        <v>610148001</v>
      </c>
      <c r="G2174" s="2" t="s">
        <v>41</v>
      </c>
      <c r="I2174" s="95" t="s">
        <v>7231</v>
      </c>
      <c r="J2174" t="s">
        <v>42</v>
      </c>
      <c r="K2174" t="s">
        <v>41</v>
      </c>
      <c r="M2174">
        <v>66.44</v>
      </c>
      <c r="N2174" s="4">
        <f t="shared" si="33"/>
        <v>-0.19987959060806743</v>
      </c>
      <c r="O2174" t="s">
        <v>605</v>
      </c>
      <c r="Q2174" s="36" t="s">
        <v>1310</v>
      </c>
    </row>
    <row r="2175" spans="1:17" x14ac:dyDescent="0.25">
      <c r="A2175" s="43">
        <v>45730</v>
      </c>
      <c r="B2175" s="1" t="s">
        <v>2063</v>
      </c>
      <c r="C2175" t="s">
        <v>622</v>
      </c>
      <c r="D2175" s="23">
        <v>-8.3000000000000007</v>
      </c>
      <c r="E2175" t="s">
        <v>35</v>
      </c>
      <c r="F2175" s="2">
        <v>610148001</v>
      </c>
      <c r="G2175" s="2" t="s">
        <v>41</v>
      </c>
      <c r="I2175" s="95" t="s">
        <v>7231</v>
      </c>
      <c r="J2175" t="s">
        <v>42</v>
      </c>
      <c r="K2175" t="s">
        <v>41</v>
      </c>
      <c r="M2175">
        <v>66.44</v>
      </c>
      <c r="N2175" s="4">
        <f t="shared" si="33"/>
        <v>-0.12492474413004216</v>
      </c>
      <c r="O2175" t="s">
        <v>605</v>
      </c>
      <c r="Q2175" s="36" t="s">
        <v>1310</v>
      </c>
    </row>
    <row r="2176" spans="1:17" x14ac:dyDescent="0.25">
      <c r="A2176" s="43">
        <v>45730</v>
      </c>
      <c r="B2176" s="1" t="s">
        <v>2064</v>
      </c>
      <c r="C2176" t="s">
        <v>622</v>
      </c>
      <c r="D2176" s="23">
        <v>-18.27</v>
      </c>
      <c r="E2176" t="s">
        <v>35</v>
      </c>
      <c r="F2176" s="2">
        <v>610148001</v>
      </c>
      <c r="G2176" s="2" t="s">
        <v>41</v>
      </c>
      <c r="I2176" s="95" t="s">
        <v>7231</v>
      </c>
      <c r="J2176" t="s">
        <v>42</v>
      </c>
      <c r="K2176" t="s">
        <v>41</v>
      </c>
      <c r="M2176">
        <v>66.44</v>
      </c>
      <c r="N2176" s="4">
        <f t="shared" si="33"/>
        <v>-0.27498494882600844</v>
      </c>
      <c r="O2176" t="s">
        <v>605</v>
      </c>
      <c r="Q2176" s="36" t="s">
        <v>1310</v>
      </c>
    </row>
    <row r="2177" spans="1:17" x14ac:dyDescent="0.25">
      <c r="A2177" s="43">
        <v>45730</v>
      </c>
      <c r="B2177" s="1" t="s">
        <v>2065</v>
      </c>
      <c r="C2177" t="s">
        <v>622</v>
      </c>
      <c r="D2177" s="23">
        <v>-6.64</v>
      </c>
      <c r="E2177" t="s">
        <v>35</v>
      </c>
      <c r="F2177" s="2">
        <v>610148001</v>
      </c>
      <c r="G2177" s="2" t="s">
        <v>41</v>
      </c>
      <c r="I2177" s="95" t="s">
        <v>7231</v>
      </c>
      <c r="J2177" t="s">
        <v>42</v>
      </c>
      <c r="K2177" t="s">
        <v>41</v>
      </c>
      <c r="M2177">
        <v>66.44</v>
      </c>
      <c r="N2177" s="4">
        <f t="shared" si="33"/>
        <v>-9.9939795304033713E-2</v>
      </c>
      <c r="O2177" t="s">
        <v>605</v>
      </c>
      <c r="Q2177" s="36" t="s">
        <v>1310</v>
      </c>
    </row>
    <row r="2178" spans="1:17" x14ac:dyDescent="0.25">
      <c r="A2178" s="43">
        <v>45730</v>
      </c>
      <c r="B2178" s="1" t="s">
        <v>2066</v>
      </c>
      <c r="C2178" t="s">
        <v>622</v>
      </c>
      <c r="D2178" s="23">
        <v>-6.64</v>
      </c>
      <c r="E2178" t="s">
        <v>35</v>
      </c>
      <c r="F2178" s="2">
        <v>610148001</v>
      </c>
      <c r="G2178" s="2" t="s">
        <v>41</v>
      </c>
      <c r="I2178" s="95" t="s">
        <v>7231</v>
      </c>
      <c r="J2178" t="s">
        <v>42</v>
      </c>
      <c r="K2178" t="s">
        <v>41</v>
      </c>
      <c r="M2178">
        <v>66.44</v>
      </c>
      <c r="N2178" s="4">
        <f t="shared" si="33"/>
        <v>-9.9939795304033713E-2</v>
      </c>
      <c r="O2178" t="s">
        <v>605</v>
      </c>
      <c r="Q2178" s="36" t="s">
        <v>1310</v>
      </c>
    </row>
    <row r="2179" spans="1:17" x14ac:dyDescent="0.25">
      <c r="A2179" s="43">
        <v>45730</v>
      </c>
      <c r="B2179" s="1" t="s">
        <v>2067</v>
      </c>
      <c r="C2179" t="s">
        <v>622</v>
      </c>
      <c r="D2179" s="23">
        <v>-16.61</v>
      </c>
      <c r="E2179" t="s">
        <v>35</v>
      </c>
      <c r="F2179" s="2">
        <v>610148001</v>
      </c>
      <c r="G2179" s="2" t="s">
        <v>41</v>
      </c>
      <c r="I2179" s="95" t="s">
        <v>7231</v>
      </c>
      <c r="J2179" t="s">
        <v>42</v>
      </c>
      <c r="K2179" t="s">
        <v>41</v>
      </c>
      <c r="M2179">
        <v>66.44</v>
      </c>
      <c r="N2179" s="4">
        <f t="shared" si="33"/>
        <v>-0.25</v>
      </c>
      <c r="O2179" t="s">
        <v>605</v>
      </c>
      <c r="Q2179" s="36" t="s">
        <v>1310</v>
      </c>
    </row>
    <row r="2180" spans="1:17" x14ac:dyDescent="0.25">
      <c r="A2180" s="43">
        <v>45730</v>
      </c>
      <c r="B2180" s="1" t="s">
        <v>2068</v>
      </c>
      <c r="C2180" t="s">
        <v>622</v>
      </c>
      <c r="D2180" s="23">
        <v>-24.91</v>
      </c>
      <c r="E2180" t="s">
        <v>35</v>
      </c>
      <c r="F2180" s="2">
        <v>610148001</v>
      </c>
      <c r="G2180" s="2" t="s">
        <v>41</v>
      </c>
      <c r="I2180" s="95" t="s">
        <v>7231</v>
      </c>
      <c r="J2180" t="s">
        <v>42</v>
      </c>
      <c r="K2180" t="s">
        <v>41</v>
      </c>
      <c r="M2180">
        <v>66.44</v>
      </c>
      <c r="N2180" s="4">
        <f t="shared" si="33"/>
        <v>-0.37492474413004218</v>
      </c>
      <c r="O2180" t="s">
        <v>605</v>
      </c>
      <c r="Q2180" s="36" t="s">
        <v>1310</v>
      </c>
    </row>
    <row r="2181" spans="1:17" x14ac:dyDescent="0.25">
      <c r="A2181" s="43">
        <v>45730</v>
      </c>
      <c r="B2181" s="1" t="s">
        <v>2069</v>
      </c>
      <c r="C2181" t="s">
        <v>622</v>
      </c>
      <c r="D2181" s="23">
        <v>-8.3000000000000007</v>
      </c>
      <c r="E2181" t="s">
        <v>35</v>
      </c>
      <c r="F2181" s="2">
        <v>610148001</v>
      </c>
      <c r="G2181" s="2" t="s">
        <v>41</v>
      </c>
      <c r="I2181" s="95" t="s">
        <v>7231</v>
      </c>
      <c r="J2181" t="s">
        <v>42</v>
      </c>
      <c r="K2181" t="s">
        <v>41</v>
      </c>
      <c r="M2181">
        <v>66.44</v>
      </c>
      <c r="N2181" s="4">
        <f t="shared" si="33"/>
        <v>-0.12492474413004216</v>
      </c>
      <c r="O2181" t="s">
        <v>605</v>
      </c>
      <c r="Q2181" s="36" t="s">
        <v>1310</v>
      </c>
    </row>
    <row r="2182" spans="1:17" x14ac:dyDescent="0.25">
      <c r="A2182" s="43">
        <v>45730</v>
      </c>
      <c r="B2182" s="1" t="s">
        <v>2070</v>
      </c>
      <c r="C2182" t="s">
        <v>622</v>
      </c>
      <c r="D2182" s="23">
        <v>-8.3000000000000007</v>
      </c>
      <c r="E2182" t="s">
        <v>35</v>
      </c>
      <c r="F2182" s="2">
        <v>610148001</v>
      </c>
      <c r="G2182" s="2" t="s">
        <v>41</v>
      </c>
      <c r="I2182" s="95" t="s">
        <v>7231</v>
      </c>
      <c r="J2182" t="s">
        <v>42</v>
      </c>
      <c r="K2182" t="s">
        <v>41</v>
      </c>
      <c r="M2182">
        <v>66.44</v>
      </c>
      <c r="N2182" s="4">
        <f t="shared" si="33"/>
        <v>-0.12492474413004216</v>
      </c>
      <c r="O2182" t="s">
        <v>605</v>
      </c>
      <c r="Q2182" s="36" t="s">
        <v>1310</v>
      </c>
    </row>
    <row r="2183" spans="1:17" x14ac:dyDescent="0.25">
      <c r="A2183" s="43">
        <v>45730</v>
      </c>
      <c r="B2183" s="1" t="s">
        <v>2071</v>
      </c>
      <c r="C2183" t="s">
        <v>622</v>
      </c>
      <c r="D2183" s="23">
        <v>-4.9800000000000004</v>
      </c>
      <c r="E2183" t="s">
        <v>35</v>
      </c>
      <c r="F2183" s="2">
        <v>610148001</v>
      </c>
      <c r="G2183" s="2" t="s">
        <v>41</v>
      </c>
      <c r="I2183" s="95" t="s">
        <v>7231</v>
      </c>
      <c r="J2183" t="s">
        <v>42</v>
      </c>
      <c r="K2183" t="s">
        <v>41</v>
      </c>
      <c r="M2183">
        <v>66.44</v>
      </c>
      <c r="N2183" s="4">
        <f t="shared" si="33"/>
        <v>-7.4954846478025292E-2</v>
      </c>
      <c r="O2183" t="s">
        <v>605</v>
      </c>
      <c r="Q2183" s="36" t="s">
        <v>1310</v>
      </c>
    </row>
    <row r="2184" spans="1:17" x14ac:dyDescent="0.25">
      <c r="A2184" s="43">
        <v>45730</v>
      </c>
      <c r="B2184" s="1" t="s">
        <v>624</v>
      </c>
      <c r="C2184" t="s">
        <v>622</v>
      </c>
      <c r="D2184" s="23">
        <v>-9.9600000000000009</v>
      </c>
      <c r="E2184" t="s">
        <v>35</v>
      </c>
      <c r="F2184" s="2">
        <v>610148001</v>
      </c>
      <c r="G2184" s="2" t="s">
        <v>41</v>
      </c>
      <c r="I2184" s="95" t="s">
        <v>7231</v>
      </c>
      <c r="J2184" t="s">
        <v>42</v>
      </c>
      <c r="K2184" t="s">
        <v>41</v>
      </c>
      <c r="M2184">
        <v>66.44</v>
      </c>
      <c r="N2184" s="4">
        <f t="shared" si="33"/>
        <v>-0.14990969295605058</v>
      </c>
      <c r="O2184" t="s">
        <v>605</v>
      </c>
      <c r="Q2184" s="36" t="s">
        <v>1310</v>
      </c>
    </row>
    <row r="2185" spans="1:17" x14ac:dyDescent="0.25">
      <c r="A2185" s="43">
        <v>45730</v>
      </c>
      <c r="B2185" s="1" t="s">
        <v>2072</v>
      </c>
      <c r="C2185" t="s">
        <v>622</v>
      </c>
      <c r="D2185" s="23">
        <v>-16.61</v>
      </c>
      <c r="E2185" t="s">
        <v>35</v>
      </c>
      <c r="F2185" s="2">
        <v>610148001</v>
      </c>
      <c r="G2185" s="2" t="s">
        <v>41</v>
      </c>
      <c r="I2185" s="95" t="s">
        <v>7231</v>
      </c>
      <c r="J2185" t="s">
        <v>42</v>
      </c>
      <c r="K2185" t="s">
        <v>41</v>
      </c>
      <c r="M2185">
        <v>66.44</v>
      </c>
      <c r="N2185" s="4">
        <f t="shared" si="33"/>
        <v>-0.25</v>
      </c>
      <c r="O2185" t="s">
        <v>605</v>
      </c>
      <c r="Q2185" s="36" t="s">
        <v>1310</v>
      </c>
    </row>
    <row r="2186" spans="1:17" x14ac:dyDescent="0.25">
      <c r="A2186" s="43">
        <v>45730</v>
      </c>
      <c r="B2186" s="1" t="s">
        <v>2073</v>
      </c>
      <c r="C2186" t="s">
        <v>622</v>
      </c>
      <c r="D2186" s="23">
        <v>-13.28</v>
      </c>
      <c r="E2186" t="s">
        <v>35</v>
      </c>
      <c r="F2186" s="2">
        <v>610148001</v>
      </c>
      <c r="G2186" s="2" t="s">
        <v>41</v>
      </c>
      <c r="I2186" s="95" t="s">
        <v>7231</v>
      </c>
      <c r="J2186" t="s">
        <v>42</v>
      </c>
      <c r="K2186" t="s">
        <v>41</v>
      </c>
      <c r="M2186">
        <v>66.44</v>
      </c>
      <c r="N2186" s="4">
        <f t="shared" si="33"/>
        <v>-0.19987959060806743</v>
      </c>
      <c r="O2186" t="s">
        <v>605</v>
      </c>
      <c r="Q2186" s="36" t="s">
        <v>1310</v>
      </c>
    </row>
    <row r="2187" spans="1:17" x14ac:dyDescent="0.25">
      <c r="A2187" s="43">
        <v>45730</v>
      </c>
      <c r="B2187" s="1" t="s">
        <v>2074</v>
      </c>
      <c r="C2187" t="s">
        <v>622</v>
      </c>
      <c r="D2187" s="23">
        <v>-8.3000000000000007</v>
      </c>
      <c r="E2187" t="s">
        <v>35</v>
      </c>
      <c r="F2187" s="2">
        <v>610148001</v>
      </c>
      <c r="G2187" s="2" t="s">
        <v>41</v>
      </c>
      <c r="I2187" s="95" t="s">
        <v>7231</v>
      </c>
      <c r="J2187" t="s">
        <v>42</v>
      </c>
      <c r="K2187" t="s">
        <v>41</v>
      </c>
      <c r="M2187">
        <v>66.44</v>
      </c>
      <c r="N2187" s="4">
        <f t="shared" si="33"/>
        <v>-0.12492474413004216</v>
      </c>
      <c r="O2187" t="s">
        <v>605</v>
      </c>
      <c r="Q2187" s="36" t="s">
        <v>1310</v>
      </c>
    </row>
    <row r="2188" spans="1:17" x14ac:dyDescent="0.25">
      <c r="A2188" s="43">
        <v>45730</v>
      </c>
      <c r="B2188" s="1" t="s">
        <v>2075</v>
      </c>
      <c r="C2188" t="s">
        <v>622</v>
      </c>
      <c r="D2188" s="23">
        <v>-11.62</v>
      </c>
      <c r="E2188" t="s">
        <v>35</v>
      </c>
      <c r="F2188" s="2">
        <v>610148001</v>
      </c>
      <c r="G2188" s="2" t="s">
        <v>41</v>
      </c>
      <c r="I2188" s="95" t="s">
        <v>7231</v>
      </c>
      <c r="J2188" t="s">
        <v>42</v>
      </c>
      <c r="K2188" t="s">
        <v>41</v>
      </c>
      <c r="M2188">
        <v>66.44</v>
      </c>
      <c r="N2188" s="4">
        <f t="shared" ref="N2188:N2251" si="34">D2188/M2188</f>
        <v>-0.17489464178205899</v>
      </c>
      <c r="O2188" t="s">
        <v>605</v>
      </c>
      <c r="Q2188" s="36" t="s">
        <v>1310</v>
      </c>
    </row>
    <row r="2189" spans="1:17" x14ac:dyDescent="0.25">
      <c r="A2189" s="43">
        <v>45730</v>
      </c>
      <c r="B2189" s="1" t="s">
        <v>1917</v>
      </c>
      <c r="C2189" t="s">
        <v>622</v>
      </c>
      <c r="D2189" s="23">
        <v>-9.9600000000000009</v>
      </c>
      <c r="E2189" t="s">
        <v>35</v>
      </c>
      <c r="F2189" s="2">
        <v>610148001</v>
      </c>
      <c r="G2189" s="2" t="s">
        <v>41</v>
      </c>
      <c r="I2189" s="95" t="s">
        <v>7231</v>
      </c>
      <c r="J2189" t="s">
        <v>42</v>
      </c>
      <c r="K2189" t="s">
        <v>41</v>
      </c>
      <c r="M2189">
        <v>66.44</v>
      </c>
      <c r="N2189" s="4">
        <f t="shared" si="34"/>
        <v>-0.14990969295605058</v>
      </c>
      <c r="O2189" t="s">
        <v>605</v>
      </c>
      <c r="Q2189" s="36" t="s">
        <v>1310</v>
      </c>
    </row>
    <row r="2190" spans="1:17" x14ac:dyDescent="0.25">
      <c r="A2190" s="43">
        <v>45730</v>
      </c>
      <c r="B2190" s="1" t="s">
        <v>2076</v>
      </c>
      <c r="C2190" t="s">
        <v>622</v>
      </c>
      <c r="D2190" s="23">
        <v>-24.91</v>
      </c>
      <c r="E2190" t="s">
        <v>35</v>
      </c>
      <c r="F2190" s="2">
        <v>610148001</v>
      </c>
      <c r="G2190" s="2" t="s">
        <v>41</v>
      </c>
      <c r="I2190" s="95" t="s">
        <v>7231</v>
      </c>
      <c r="J2190" t="s">
        <v>42</v>
      </c>
      <c r="K2190" t="s">
        <v>41</v>
      </c>
      <c r="M2190">
        <v>66.44</v>
      </c>
      <c r="N2190" s="4">
        <f t="shared" si="34"/>
        <v>-0.37492474413004218</v>
      </c>
      <c r="O2190" t="s">
        <v>605</v>
      </c>
      <c r="Q2190" s="36" t="s">
        <v>1310</v>
      </c>
    </row>
    <row r="2191" spans="1:17" x14ac:dyDescent="0.25">
      <c r="A2191" s="43">
        <v>45730</v>
      </c>
      <c r="B2191" s="1" t="s">
        <v>2077</v>
      </c>
      <c r="C2191" t="s">
        <v>622</v>
      </c>
      <c r="D2191" s="23">
        <v>-8.3000000000000007</v>
      </c>
      <c r="E2191" t="s">
        <v>35</v>
      </c>
      <c r="F2191" s="2">
        <v>610148001</v>
      </c>
      <c r="G2191" s="2" t="s">
        <v>41</v>
      </c>
      <c r="I2191" s="95" t="s">
        <v>7231</v>
      </c>
      <c r="J2191" t="s">
        <v>42</v>
      </c>
      <c r="K2191" t="s">
        <v>41</v>
      </c>
      <c r="M2191">
        <v>66.44</v>
      </c>
      <c r="N2191" s="4">
        <f t="shared" si="34"/>
        <v>-0.12492474413004216</v>
      </c>
      <c r="O2191" t="s">
        <v>605</v>
      </c>
      <c r="Q2191" s="36" t="s">
        <v>1310</v>
      </c>
    </row>
    <row r="2192" spans="1:17" x14ac:dyDescent="0.25">
      <c r="A2192" s="43">
        <v>45730</v>
      </c>
      <c r="B2192" s="1" t="s">
        <v>2078</v>
      </c>
      <c r="C2192" t="s">
        <v>622</v>
      </c>
      <c r="D2192" s="23">
        <v>-6.97</v>
      </c>
      <c r="E2192" t="s">
        <v>35</v>
      </c>
      <c r="F2192" s="2">
        <v>610148001</v>
      </c>
      <c r="G2192" s="2" t="s">
        <v>41</v>
      </c>
      <c r="I2192" s="95" t="s">
        <v>7231</v>
      </c>
      <c r="J2192" t="s">
        <v>42</v>
      </c>
      <c r="K2192" t="s">
        <v>41</v>
      </c>
      <c r="M2192">
        <v>66.44</v>
      </c>
      <c r="N2192" s="4">
        <f t="shared" si="34"/>
        <v>-0.10490668272125225</v>
      </c>
      <c r="O2192" t="s">
        <v>605</v>
      </c>
      <c r="Q2192" s="36" t="s">
        <v>1310</v>
      </c>
    </row>
    <row r="2193" spans="1:17" x14ac:dyDescent="0.25">
      <c r="A2193" s="43">
        <v>45730</v>
      </c>
      <c r="B2193" s="1" t="s">
        <v>2079</v>
      </c>
      <c r="C2193" t="s">
        <v>622</v>
      </c>
      <c r="D2193" s="23">
        <v>-8.3000000000000007</v>
      </c>
      <c r="E2193" t="s">
        <v>35</v>
      </c>
      <c r="F2193" s="2">
        <v>610148001</v>
      </c>
      <c r="G2193" s="2" t="s">
        <v>41</v>
      </c>
      <c r="I2193" s="95" t="s">
        <v>7231</v>
      </c>
      <c r="J2193" t="s">
        <v>42</v>
      </c>
      <c r="K2193" t="s">
        <v>41</v>
      </c>
      <c r="M2193">
        <v>66.44</v>
      </c>
      <c r="N2193" s="4">
        <f t="shared" si="34"/>
        <v>-0.12492474413004216</v>
      </c>
      <c r="O2193" t="s">
        <v>605</v>
      </c>
      <c r="Q2193" s="36" t="s">
        <v>1310</v>
      </c>
    </row>
    <row r="2194" spans="1:17" x14ac:dyDescent="0.25">
      <c r="A2194" s="43">
        <v>45730</v>
      </c>
      <c r="B2194" s="1" t="s">
        <v>1920</v>
      </c>
      <c r="C2194" t="s">
        <v>622</v>
      </c>
      <c r="D2194" s="23">
        <v>-9.9600000000000009</v>
      </c>
      <c r="E2194" t="s">
        <v>35</v>
      </c>
      <c r="F2194" s="2">
        <v>610148001</v>
      </c>
      <c r="G2194" s="2" t="s">
        <v>41</v>
      </c>
      <c r="I2194" s="95" t="s">
        <v>7231</v>
      </c>
      <c r="J2194" t="s">
        <v>42</v>
      </c>
      <c r="K2194" t="s">
        <v>41</v>
      </c>
      <c r="M2194">
        <v>66.44</v>
      </c>
      <c r="N2194" s="4">
        <f t="shared" si="34"/>
        <v>-0.14990969295605058</v>
      </c>
      <c r="O2194" t="s">
        <v>605</v>
      </c>
      <c r="Q2194" s="36" t="s">
        <v>1310</v>
      </c>
    </row>
    <row r="2195" spans="1:17" x14ac:dyDescent="0.25">
      <c r="A2195" s="43">
        <v>45730</v>
      </c>
      <c r="B2195" s="1" t="s">
        <v>2080</v>
      </c>
      <c r="C2195" t="s">
        <v>622</v>
      </c>
      <c r="D2195" s="23">
        <v>-6.64</v>
      </c>
      <c r="E2195" t="s">
        <v>35</v>
      </c>
      <c r="F2195" s="2">
        <v>610148001</v>
      </c>
      <c r="G2195" s="2" t="s">
        <v>41</v>
      </c>
      <c r="I2195" s="95" t="s">
        <v>7231</v>
      </c>
      <c r="J2195" t="s">
        <v>42</v>
      </c>
      <c r="K2195" t="s">
        <v>41</v>
      </c>
      <c r="M2195">
        <v>66.44</v>
      </c>
      <c r="N2195" s="4">
        <f t="shared" si="34"/>
        <v>-9.9939795304033713E-2</v>
      </c>
      <c r="O2195" t="s">
        <v>605</v>
      </c>
      <c r="Q2195" s="36" t="s">
        <v>1310</v>
      </c>
    </row>
    <row r="2196" spans="1:17" x14ac:dyDescent="0.25">
      <c r="A2196" s="43">
        <v>45730</v>
      </c>
      <c r="B2196" s="1" t="s">
        <v>2081</v>
      </c>
      <c r="C2196" t="s">
        <v>622</v>
      </c>
      <c r="D2196" s="23">
        <v>-6.64</v>
      </c>
      <c r="E2196" t="s">
        <v>35</v>
      </c>
      <c r="F2196" s="2">
        <v>610148001</v>
      </c>
      <c r="G2196" s="2" t="s">
        <v>41</v>
      </c>
      <c r="I2196" s="95" t="s">
        <v>7231</v>
      </c>
      <c r="J2196" t="s">
        <v>42</v>
      </c>
      <c r="K2196" t="s">
        <v>41</v>
      </c>
      <c r="M2196">
        <v>66.44</v>
      </c>
      <c r="N2196" s="4">
        <f t="shared" si="34"/>
        <v>-9.9939795304033713E-2</v>
      </c>
      <c r="O2196" t="s">
        <v>605</v>
      </c>
      <c r="Q2196" s="36" t="s">
        <v>1310</v>
      </c>
    </row>
    <row r="2197" spans="1:17" x14ac:dyDescent="0.25">
      <c r="A2197" s="43">
        <v>45730</v>
      </c>
      <c r="B2197" s="1" t="s">
        <v>2082</v>
      </c>
      <c r="C2197" t="s">
        <v>622</v>
      </c>
      <c r="D2197" s="23">
        <v>-6.64</v>
      </c>
      <c r="E2197" t="s">
        <v>35</v>
      </c>
      <c r="F2197" s="2">
        <v>610148001</v>
      </c>
      <c r="G2197" s="2" t="s">
        <v>41</v>
      </c>
      <c r="I2197" s="95" t="s">
        <v>7231</v>
      </c>
      <c r="J2197" t="s">
        <v>42</v>
      </c>
      <c r="K2197" t="s">
        <v>41</v>
      </c>
      <c r="M2197">
        <v>66.44</v>
      </c>
      <c r="N2197" s="4">
        <f t="shared" si="34"/>
        <v>-9.9939795304033713E-2</v>
      </c>
      <c r="O2197" t="s">
        <v>605</v>
      </c>
      <c r="Q2197" s="36" t="s">
        <v>1310</v>
      </c>
    </row>
    <row r="2198" spans="1:17" x14ac:dyDescent="0.25">
      <c r="A2198" s="43">
        <v>45730</v>
      </c>
      <c r="B2198" s="1" t="s">
        <v>2083</v>
      </c>
      <c r="C2198" t="s">
        <v>622</v>
      </c>
      <c r="D2198" s="23">
        <v>-4.9800000000000004</v>
      </c>
      <c r="E2198" t="s">
        <v>35</v>
      </c>
      <c r="F2198" s="2">
        <v>610148001</v>
      </c>
      <c r="G2198" s="2" t="s">
        <v>41</v>
      </c>
      <c r="I2198" s="95" t="s">
        <v>7231</v>
      </c>
      <c r="J2198" t="s">
        <v>42</v>
      </c>
      <c r="K2198" t="s">
        <v>41</v>
      </c>
      <c r="M2198">
        <v>66.44</v>
      </c>
      <c r="N2198" s="4">
        <f t="shared" si="34"/>
        <v>-7.4954846478025292E-2</v>
      </c>
      <c r="O2198" t="s">
        <v>605</v>
      </c>
      <c r="Q2198" s="36" t="s">
        <v>1310</v>
      </c>
    </row>
    <row r="2199" spans="1:17" x14ac:dyDescent="0.25">
      <c r="A2199" s="43">
        <v>45730</v>
      </c>
      <c r="B2199" s="1" t="s">
        <v>2084</v>
      </c>
      <c r="C2199" t="s">
        <v>622</v>
      </c>
      <c r="D2199" s="23">
        <v>-13.28</v>
      </c>
      <c r="E2199" t="s">
        <v>35</v>
      </c>
      <c r="F2199" s="2">
        <v>610148001</v>
      </c>
      <c r="G2199" s="2" t="s">
        <v>41</v>
      </c>
      <c r="I2199" s="95" t="s">
        <v>7231</v>
      </c>
      <c r="J2199" t="s">
        <v>42</v>
      </c>
      <c r="K2199" t="s">
        <v>41</v>
      </c>
      <c r="M2199">
        <v>66.44</v>
      </c>
      <c r="N2199" s="4">
        <f t="shared" si="34"/>
        <v>-0.19987959060806743</v>
      </c>
      <c r="O2199" t="s">
        <v>605</v>
      </c>
      <c r="Q2199" s="36" t="s">
        <v>1310</v>
      </c>
    </row>
    <row r="2200" spans="1:17" x14ac:dyDescent="0.25">
      <c r="A2200" s="43">
        <v>45730</v>
      </c>
      <c r="B2200" s="1" t="s">
        <v>2085</v>
      </c>
      <c r="C2200" t="s">
        <v>622</v>
      </c>
      <c r="D2200" s="23">
        <v>-8.3000000000000007</v>
      </c>
      <c r="E2200" t="s">
        <v>35</v>
      </c>
      <c r="F2200" s="2">
        <v>610148001</v>
      </c>
      <c r="G2200" s="2" t="s">
        <v>41</v>
      </c>
      <c r="I2200" s="95" t="s">
        <v>7231</v>
      </c>
      <c r="J2200" t="s">
        <v>42</v>
      </c>
      <c r="K2200" t="s">
        <v>41</v>
      </c>
      <c r="M2200">
        <v>66.44</v>
      </c>
      <c r="N2200" s="4">
        <f t="shared" si="34"/>
        <v>-0.12492474413004216</v>
      </c>
      <c r="O2200" t="s">
        <v>605</v>
      </c>
      <c r="Q2200" s="36" t="s">
        <v>1310</v>
      </c>
    </row>
    <row r="2201" spans="1:17" x14ac:dyDescent="0.25">
      <c r="A2201" s="43">
        <v>45730</v>
      </c>
      <c r="B2201" s="1" t="s">
        <v>2086</v>
      </c>
      <c r="C2201" t="s">
        <v>622</v>
      </c>
      <c r="D2201" s="23">
        <v>-3.32</v>
      </c>
      <c r="E2201" t="s">
        <v>35</v>
      </c>
      <c r="F2201" s="2">
        <v>610148001</v>
      </c>
      <c r="G2201" s="2" t="s">
        <v>41</v>
      </c>
      <c r="I2201" s="95" t="s">
        <v>7231</v>
      </c>
      <c r="J2201" t="s">
        <v>42</v>
      </c>
      <c r="K2201" t="s">
        <v>41</v>
      </c>
      <c r="M2201">
        <v>66.44</v>
      </c>
      <c r="N2201" s="4">
        <f t="shared" si="34"/>
        <v>-4.9969897652016856E-2</v>
      </c>
      <c r="O2201" t="s">
        <v>605</v>
      </c>
      <c r="Q2201" s="36" t="s">
        <v>1310</v>
      </c>
    </row>
    <row r="2202" spans="1:17" x14ac:dyDescent="0.25">
      <c r="A2202" s="43">
        <v>45730</v>
      </c>
      <c r="B2202" s="1" t="s">
        <v>2087</v>
      </c>
      <c r="C2202" t="s">
        <v>622</v>
      </c>
      <c r="D2202" s="23">
        <v>-3.32</v>
      </c>
      <c r="E2202" t="s">
        <v>35</v>
      </c>
      <c r="F2202" s="2">
        <v>610148001</v>
      </c>
      <c r="G2202" s="2" t="s">
        <v>41</v>
      </c>
      <c r="I2202" s="95" t="s">
        <v>7231</v>
      </c>
      <c r="J2202" t="s">
        <v>42</v>
      </c>
      <c r="K2202" t="s">
        <v>41</v>
      </c>
      <c r="M2202">
        <v>66.44</v>
      </c>
      <c r="N2202" s="4">
        <f t="shared" si="34"/>
        <v>-4.9969897652016856E-2</v>
      </c>
      <c r="O2202" t="s">
        <v>605</v>
      </c>
      <c r="Q2202" s="36" t="s">
        <v>1310</v>
      </c>
    </row>
    <row r="2203" spans="1:17" x14ac:dyDescent="0.25">
      <c r="A2203" s="43">
        <v>45730</v>
      </c>
      <c r="B2203" s="1" t="s">
        <v>2088</v>
      </c>
      <c r="C2203" t="s">
        <v>622</v>
      </c>
      <c r="D2203" s="23">
        <v>-19.93</v>
      </c>
      <c r="E2203" t="s">
        <v>35</v>
      </c>
      <c r="F2203" s="2">
        <v>610148001</v>
      </c>
      <c r="G2203" s="2" t="s">
        <v>41</v>
      </c>
      <c r="I2203" s="95" t="s">
        <v>7231</v>
      </c>
      <c r="J2203" t="s">
        <v>42</v>
      </c>
      <c r="K2203" t="s">
        <v>41</v>
      </c>
      <c r="M2203">
        <v>66.44</v>
      </c>
      <c r="N2203" s="4">
        <f t="shared" si="34"/>
        <v>-0.29996989765201687</v>
      </c>
      <c r="O2203" t="s">
        <v>605</v>
      </c>
      <c r="Q2203" s="36" t="s">
        <v>1310</v>
      </c>
    </row>
    <row r="2204" spans="1:17" x14ac:dyDescent="0.25">
      <c r="A2204" s="43">
        <v>45730</v>
      </c>
      <c r="B2204" s="1" t="s">
        <v>625</v>
      </c>
      <c r="C2204" t="s">
        <v>622</v>
      </c>
      <c r="D2204" s="23">
        <v>-9.9600000000000009</v>
      </c>
      <c r="E2204" t="s">
        <v>35</v>
      </c>
      <c r="F2204" s="2">
        <v>610148001</v>
      </c>
      <c r="G2204" s="2" t="s">
        <v>41</v>
      </c>
      <c r="I2204" s="95" t="s">
        <v>7231</v>
      </c>
      <c r="J2204" t="s">
        <v>42</v>
      </c>
      <c r="K2204" t="s">
        <v>41</v>
      </c>
      <c r="M2204">
        <v>66.44</v>
      </c>
      <c r="N2204" s="4">
        <f t="shared" si="34"/>
        <v>-0.14990969295605058</v>
      </c>
      <c r="O2204" t="s">
        <v>605</v>
      </c>
      <c r="Q2204" s="36" t="s">
        <v>1310</v>
      </c>
    </row>
    <row r="2205" spans="1:17" x14ac:dyDescent="0.25">
      <c r="A2205" s="43">
        <v>45730</v>
      </c>
      <c r="B2205" s="1" t="s">
        <v>621</v>
      </c>
      <c r="C2205" t="s">
        <v>622</v>
      </c>
      <c r="D2205" s="23">
        <v>-9.9600000000000009</v>
      </c>
      <c r="E2205" t="s">
        <v>35</v>
      </c>
      <c r="F2205" s="2">
        <v>610148001</v>
      </c>
      <c r="G2205" s="2" t="s">
        <v>41</v>
      </c>
      <c r="I2205" s="95" t="s">
        <v>7231</v>
      </c>
      <c r="J2205" t="s">
        <v>42</v>
      </c>
      <c r="K2205" t="s">
        <v>41</v>
      </c>
      <c r="M2205">
        <v>66.44</v>
      </c>
      <c r="N2205" s="4">
        <f t="shared" si="34"/>
        <v>-0.14990969295605058</v>
      </c>
      <c r="O2205" t="s">
        <v>605</v>
      </c>
      <c r="Q2205" s="36" t="s">
        <v>1310</v>
      </c>
    </row>
    <row r="2206" spans="1:17" x14ac:dyDescent="0.25">
      <c r="A2206" s="43">
        <v>45730</v>
      </c>
      <c r="B2206" s="1" t="s">
        <v>1271</v>
      </c>
      <c r="C2206" t="s">
        <v>622</v>
      </c>
      <c r="D2206" s="23">
        <v>-9.9600000000000009</v>
      </c>
      <c r="E2206" t="s">
        <v>35</v>
      </c>
      <c r="F2206" s="2">
        <v>610148001</v>
      </c>
      <c r="G2206" s="2" t="s">
        <v>41</v>
      </c>
      <c r="I2206" s="95" t="s">
        <v>7231</v>
      </c>
      <c r="J2206" t="s">
        <v>42</v>
      </c>
      <c r="K2206" t="s">
        <v>41</v>
      </c>
      <c r="M2206">
        <v>66.44</v>
      </c>
      <c r="N2206" s="4">
        <f t="shared" si="34"/>
        <v>-0.14990969295605058</v>
      </c>
      <c r="O2206" t="s">
        <v>605</v>
      </c>
      <c r="Q2206" s="36" t="s">
        <v>1310</v>
      </c>
    </row>
    <row r="2207" spans="1:17" x14ac:dyDescent="0.25">
      <c r="A2207" s="43">
        <v>45730</v>
      </c>
      <c r="B2207" s="1" t="s">
        <v>1912</v>
      </c>
      <c r="C2207" t="s">
        <v>622</v>
      </c>
      <c r="D2207" s="23">
        <v>-9.9600000000000009</v>
      </c>
      <c r="E2207" t="s">
        <v>35</v>
      </c>
      <c r="F2207" s="2">
        <v>610148001</v>
      </c>
      <c r="G2207" s="2" t="s">
        <v>41</v>
      </c>
      <c r="I2207" s="95" t="s">
        <v>7231</v>
      </c>
      <c r="J2207" t="s">
        <v>42</v>
      </c>
      <c r="K2207" t="s">
        <v>41</v>
      </c>
      <c r="M2207">
        <v>66.44</v>
      </c>
      <c r="N2207" s="4">
        <f t="shared" si="34"/>
        <v>-0.14990969295605058</v>
      </c>
      <c r="O2207" t="s">
        <v>605</v>
      </c>
      <c r="Q2207" s="36" t="s">
        <v>1310</v>
      </c>
    </row>
    <row r="2208" spans="1:17" x14ac:dyDescent="0.25">
      <c r="A2208" s="43">
        <v>45730</v>
      </c>
      <c r="B2208" s="1" t="s">
        <v>1913</v>
      </c>
      <c r="C2208" t="s">
        <v>622</v>
      </c>
      <c r="D2208" s="23">
        <v>-9.9600000000000009</v>
      </c>
      <c r="E2208" t="s">
        <v>35</v>
      </c>
      <c r="F2208" s="2">
        <v>610148001</v>
      </c>
      <c r="G2208" s="2" t="s">
        <v>41</v>
      </c>
      <c r="I2208" s="95" t="s">
        <v>7231</v>
      </c>
      <c r="J2208" t="s">
        <v>42</v>
      </c>
      <c r="K2208" t="s">
        <v>41</v>
      </c>
      <c r="M2208">
        <v>66.44</v>
      </c>
      <c r="N2208" s="4">
        <f t="shared" si="34"/>
        <v>-0.14990969295605058</v>
      </c>
      <c r="O2208" t="s">
        <v>605</v>
      </c>
      <c r="Q2208" s="36" t="s">
        <v>1310</v>
      </c>
    </row>
    <row r="2209" spans="1:17" x14ac:dyDescent="0.25">
      <c r="A2209" s="43">
        <v>45730</v>
      </c>
      <c r="B2209" s="1" t="s">
        <v>2089</v>
      </c>
      <c r="C2209" t="s">
        <v>622</v>
      </c>
      <c r="D2209" s="23">
        <v>-2.98</v>
      </c>
      <c r="E2209" t="s">
        <v>35</v>
      </c>
      <c r="F2209" s="2">
        <v>610148001</v>
      </c>
      <c r="G2209" s="2" t="s">
        <v>41</v>
      </c>
      <c r="I2209" s="95" t="s">
        <v>7231</v>
      </c>
      <c r="J2209" t="s">
        <v>42</v>
      </c>
      <c r="K2209" t="s">
        <v>41</v>
      </c>
      <c r="M2209">
        <v>66.44</v>
      </c>
      <c r="N2209" s="4">
        <f t="shared" si="34"/>
        <v>-4.4852498494882605E-2</v>
      </c>
      <c r="O2209" t="s">
        <v>605</v>
      </c>
      <c r="Q2209" s="36" t="s">
        <v>1310</v>
      </c>
    </row>
    <row r="2210" spans="1:17" x14ac:dyDescent="0.25">
      <c r="A2210" s="43">
        <v>45730</v>
      </c>
      <c r="B2210" s="1" t="s">
        <v>1915</v>
      </c>
      <c r="C2210" t="s">
        <v>622</v>
      </c>
      <c r="D2210" s="23">
        <v>-9.9600000000000009</v>
      </c>
      <c r="E2210" t="s">
        <v>35</v>
      </c>
      <c r="F2210" s="2">
        <v>610148001</v>
      </c>
      <c r="G2210" s="2" t="s">
        <v>41</v>
      </c>
      <c r="I2210" s="95" t="s">
        <v>7231</v>
      </c>
      <c r="J2210" t="s">
        <v>42</v>
      </c>
      <c r="K2210" t="s">
        <v>41</v>
      </c>
      <c r="M2210">
        <v>66.44</v>
      </c>
      <c r="N2210" s="4">
        <f t="shared" si="34"/>
        <v>-0.14990969295605058</v>
      </c>
      <c r="O2210" t="s">
        <v>605</v>
      </c>
      <c r="Q2210" s="36" t="s">
        <v>1310</v>
      </c>
    </row>
    <row r="2211" spans="1:17" x14ac:dyDescent="0.25">
      <c r="A2211" s="43">
        <v>45730</v>
      </c>
      <c r="B2211" s="1" t="s">
        <v>2090</v>
      </c>
      <c r="C2211" t="s">
        <v>622</v>
      </c>
      <c r="D2211" s="23">
        <v>-13.28</v>
      </c>
      <c r="E2211" t="s">
        <v>35</v>
      </c>
      <c r="F2211" s="2">
        <v>610148001</v>
      </c>
      <c r="G2211" s="2" t="s">
        <v>41</v>
      </c>
      <c r="I2211" s="95" t="s">
        <v>7231</v>
      </c>
      <c r="J2211" t="s">
        <v>42</v>
      </c>
      <c r="K2211" t="s">
        <v>41</v>
      </c>
      <c r="M2211">
        <v>66.44</v>
      </c>
      <c r="N2211" s="4">
        <f t="shared" si="34"/>
        <v>-0.19987959060806743</v>
      </c>
      <c r="O2211" t="s">
        <v>605</v>
      </c>
      <c r="Q2211" s="36" t="s">
        <v>1310</v>
      </c>
    </row>
    <row r="2212" spans="1:17" x14ac:dyDescent="0.25">
      <c r="A2212" s="43">
        <v>45730</v>
      </c>
      <c r="B2212" s="1" t="s">
        <v>2091</v>
      </c>
      <c r="C2212" t="s">
        <v>622</v>
      </c>
      <c r="D2212" s="23">
        <v>-8.3000000000000007</v>
      </c>
      <c r="E2212" t="s">
        <v>35</v>
      </c>
      <c r="F2212" s="2">
        <v>610148001</v>
      </c>
      <c r="G2212" s="2" t="s">
        <v>41</v>
      </c>
      <c r="I2212" s="95" t="s">
        <v>7231</v>
      </c>
      <c r="J2212" t="s">
        <v>42</v>
      </c>
      <c r="K2212" t="s">
        <v>41</v>
      </c>
      <c r="M2212">
        <v>66.44</v>
      </c>
      <c r="N2212" s="4">
        <f t="shared" si="34"/>
        <v>-0.12492474413004216</v>
      </c>
      <c r="O2212" t="s">
        <v>605</v>
      </c>
      <c r="Q2212" s="36" t="s">
        <v>1310</v>
      </c>
    </row>
    <row r="2213" spans="1:17" x14ac:dyDescent="0.25">
      <c r="A2213" s="43">
        <v>45730</v>
      </c>
      <c r="B2213" s="1" t="s">
        <v>2092</v>
      </c>
      <c r="C2213" t="s">
        <v>622</v>
      </c>
      <c r="D2213" s="23">
        <v>-11.62</v>
      </c>
      <c r="E2213" t="s">
        <v>35</v>
      </c>
      <c r="F2213" s="2">
        <v>610148001</v>
      </c>
      <c r="G2213" s="2" t="s">
        <v>41</v>
      </c>
      <c r="I2213" s="95" t="s">
        <v>7231</v>
      </c>
      <c r="J2213" t="s">
        <v>42</v>
      </c>
      <c r="K2213" t="s">
        <v>41</v>
      </c>
      <c r="M2213">
        <v>66.44</v>
      </c>
      <c r="N2213" s="4">
        <f t="shared" si="34"/>
        <v>-0.17489464178205899</v>
      </c>
      <c r="O2213" t="s">
        <v>605</v>
      </c>
      <c r="Q2213" s="36" t="s">
        <v>1310</v>
      </c>
    </row>
    <row r="2214" spans="1:17" x14ac:dyDescent="0.25">
      <c r="A2214" s="43">
        <v>45730</v>
      </c>
      <c r="B2214" s="1" t="s">
        <v>2093</v>
      </c>
      <c r="C2214" t="s">
        <v>622</v>
      </c>
      <c r="D2214" s="23">
        <v>-8.3000000000000007</v>
      </c>
      <c r="E2214" t="s">
        <v>35</v>
      </c>
      <c r="F2214" s="2">
        <v>610148001</v>
      </c>
      <c r="G2214" s="2" t="s">
        <v>41</v>
      </c>
      <c r="I2214" s="95" t="s">
        <v>7231</v>
      </c>
      <c r="J2214" t="s">
        <v>42</v>
      </c>
      <c r="K2214" t="s">
        <v>41</v>
      </c>
      <c r="M2214">
        <v>66.44</v>
      </c>
      <c r="N2214" s="4">
        <f t="shared" si="34"/>
        <v>-0.12492474413004216</v>
      </c>
      <c r="O2214" t="s">
        <v>605</v>
      </c>
      <c r="Q2214" s="36" t="s">
        <v>1310</v>
      </c>
    </row>
    <row r="2215" spans="1:17" x14ac:dyDescent="0.25">
      <c r="A2215" s="43">
        <v>45730</v>
      </c>
      <c r="B2215" s="1" t="s">
        <v>2094</v>
      </c>
      <c r="C2215" t="s">
        <v>622</v>
      </c>
      <c r="D2215" s="23">
        <v>-8.3000000000000007</v>
      </c>
      <c r="E2215" t="s">
        <v>35</v>
      </c>
      <c r="F2215" s="2">
        <v>610148001</v>
      </c>
      <c r="G2215" s="2" t="s">
        <v>41</v>
      </c>
      <c r="I2215" s="95" t="s">
        <v>7231</v>
      </c>
      <c r="J2215" t="s">
        <v>42</v>
      </c>
      <c r="K2215" t="s">
        <v>41</v>
      </c>
      <c r="M2215">
        <v>66.44</v>
      </c>
      <c r="N2215" s="4">
        <f t="shared" si="34"/>
        <v>-0.12492474413004216</v>
      </c>
      <c r="O2215" t="s">
        <v>605</v>
      </c>
      <c r="Q2215" s="36" t="s">
        <v>1310</v>
      </c>
    </row>
    <row r="2216" spans="1:17" x14ac:dyDescent="0.25">
      <c r="A2216" s="43">
        <v>45730</v>
      </c>
      <c r="B2216" s="1" t="s">
        <v>2095</v>
      </c>
      <c r="C2216" t="s">
        <v>622</v>
      </c>
      <c r="D2216" s="23">
        <v>-8.3000000000000007</v>
      </c>
      <c r="E2216" t="s">
        <v>35</v>
      </c>
      <c r="F2216" s="2">
        <v>610148001</v>
      </c>
      <c r="G2216" s="2" t="s">
        <v>41</v>
      </c>
      <c r="I2216" s="95" t="s">
        <v>7231</v>
      </c>
      <c r="J2216" t="s">
        <v>42</v>
      </c>
      <c r="K2216" t="s">
        <v>41</v>
      </c>
      <c r="M2216">
        <v>66.44</v>
      </c>
      <c r="N2216" s="4">
        <f t="shared" si="34"/>
        <v>-0.12492474413004216</v>
      </c>
      <c r="O2216" t="s">
        <v>605</v>
      </c>
      <c r="Q2216" s="36" t="s">
        <v>1310</v>
      </c>
    </row>
    <row r="2217" spans="1:17" x14ac:dyDescent="0.25">
      <c r="A2217" s="43">
        <v>45730</v>
      </c>
      <c r="B2217" s="1" t="s">
        <v>1272</v>
      </c>
      <c r="C2217" t="s">
        <v>622</v>
      </c>
      <c r="D2217" s="23">
        <v>-9.9600000000000009</v>
      </c>
      <c r="E2217" t="s">
        <v>35</v>
      </c>
      <c r="F2217" s="2">
        <v>610148001</v>
      </c>
      <c r="G2217" s="2" t="s">
        <v>41</v>
      </c>
      <c r="I2217" s="95" t="s">
        <v>7231</v>
      </c>
      <c r="J2217" t="s">
        <v>42</v>
      </c>
      <c r="K2217" t="s">
        <v>41</v>
      </c>
      <c r="M2217">
        <v>66.44</v>
      </c>
      <c r="N2217" s="4">
        <f t="shared" si="34"/>
        <v>-0.14990969295605058</v>
      </c>
      <c r="O2217" t="s">
        <v>605</v>
      </c>
      <c r="Q2217" s="36" t="s">
        <v>1310</v>
      </c>
    </row>
    <row r="2218" spans="1:17" x14ac:dyDescent="0.25">
      <c r="A2218" s="43">
        <v>45730</v>
      </c>
      <c r="B2218" s="1" t="s">
        <v>2096</v>
      </c>
      <c r="C2218" t="s">
        <v>622</v>
      </c>
      <c r="D2218" s="23">
        <v>-8.3000000000000007</v>
      </c>
      <c r="E2218" t="s">
        <v>35</v>
      </c>
      <c r="F2218" s="2">
        <v>610148001</v>
      </c>
      <c r="G2218" s="2" t="s">
        <v>41</v>
      </c>
      <c r="I2218" s="95" t="s">
        <v>7231</v>
      </c>
      <c r="J2218" t="s">
        <v>42</v>
      </c>
      <c r="K2218" t="s">
        <v>41</v>
      </c>
      <c r="M2218">
        <v>66.44</v>
      </c>
      <c r="N2218" s="4">
        <f t="shared" si="34"/>
        <v>-0.12492474413004216</v>
      </c>
      <c r="O2218" t="s">
        <v>605</v>
      </c>
      <c r="Q2218" s="36" t="s">
        <v>1310</v>
      </c>
    </row>
    <row r="2219" spans="1:17" x14ac:dyDescent="0.25">
      <c r="A2219" s="43">
        <v>45730</v>
      </c>
      <c r="B2219" s="1" t="s">
        <v>2097</v>
      </c>
      <c r="C2219" t="s">
        <v>622</v>
      </c>
      <c r="D2219" s="23">
        <v>-8.3000000000000007</v>
      </c>
      <c r="E2219" t="s">
        <v>35</v>
      </c>
      <c r="F2219" s="2">
        <v>610148001</v>
      </c>
      <c r="G2219" s="2" t="s">
        <v>41</v>
      </c>
      <c r="I2219" s="95" t="s">
        <v>7231</v>
      </c>
      <c r="J2219" t="s">
        <v>42</v>
      </c>
      <c r="K2219" t="s">
        <v>41</v>
      </c>
      <c r="M2219">
        <v>66.44</v>
      </c>
      <c r="N2219" s="4">
        <f t="shared" si="34"/>
        <v>-0.12492474413004216</v>
      </c>
      <c r="O2219" t="s">
        <v>605</v>
      </c>
      <c r="Q2219" s="36" t="s">
        <v>1310</v>
      </c>
    </row>
    <row r="2220" spans="1:17" x14ac:dyDescent="0.25">
      <c r="A2220" s="43">
        <v>45730</v>
      </c>
      <c r="B2220" s="1" t="s">
        <v>2098</v>
      </c>
      <c r="C2220" t="s">
        <v>622</v>
      </c>
      <c r="D2220" s="23">
        <v>-8.3000000000000007</v>
      </c>
      <c r="E2220" t="s">
        <v>35</v>
      </c>
      <c r="F2220" s="2">
        <v>610148001</v>
      </c>
      <c r="G2220" s="2" t="s">
        <v>41</v>
      </c>
      <c r="I2220" s="95" t="s">
        <v>7231</v>
      </c>
      <c r="J2220" t="s">
        <v>42</v>
      </c>
      <c r="K2220" t="s">
        <v>41</v>
      </c>
      <c r="M2220">
        <v>66.44</v>
      </c>
      <c r="N2220" s="4">
        <f t="shared" si="34"/>
        <v>-0.12492474413004216</v>
      </c>
      <c r="O2220" t="s">
        <v>605</v>
      </c>
      <c r="Q2220" s="36" t="s">
        <v>1310</v>
      </c>
    </row>
    <row r="2221" spans="1:17" x14ac:dyDescent="0.25">
      <c r="A2221" s="43">
        <v>45730</v>
      </c>
      <c r="B2221" s="1" t="s">
        <v>2099</v>
      </c>
      <c r="C2221" t="s">
        <v>622</v>
      </c>
      <c r="D2221" s="23">
        <v>-8.3000000000000007</v>
      </c>
      <c r="E2221" t="s">
        <v>35</v>
      </c>
      <c r="F2221" s="2">
        <v>610148001</v>
      </c>
      <c r="G2221" s="2" t="s">
        <v>41</v>
      </c>
      <c r="I2221" s="95" t="s">
        <v>7231</v>
      </c>
      <c r="J2221" t="s">
        <v>42</v>
      </c>
      <c r="K2221" t="s">
        <v>41</v>
      </c>
      <c r="M2221">
        <v>66.44</v>
      </c>
      <c r="N2221" s="4">
        <f t="shared" si="34"/>
        <v>-0.12492474413004216</v>
      </c>
      <c r="O2221" t="s">
        <v>605</v>
      </c>
      <c r="Q2221" s="36" t="s">
        <v>1310</v>
      </c>
    </row>
    <row r="2222" spans="1:17" x14ac:dyDescent="0.25">
      <c r="A2222" s="43">
        <v>45730</v>
      </c>
      <c r="B2222" s="1" t="s">
        <v>2100</v>
      </c>
      <c r="C2222" t="s">
        <v>622</v>
      </c>
      <c r="D2222" s="23">
        <v>-3.32</v>
      </c>
      <c r="E2222" t="s">
        <v>35</v>
      </c>
      <c r="F2222" s="2">
        <v>610148001</v>
      </c>
      <c r="G2222" s="2" t="s">
        <v>41</v>
      </c>
      <c r="I2222" s="95" t="s">
        <v>7231</v>
      </c>
      <c r="J2222" t="s">
        <v>42</v>
      </c>
      <c r="K2222" t="s">
        <v>41</v>
      </c>
      <c r="M2222">
        <v>66.44</v>
      </c>
      <c r="N2222" s="4">
        <f t="shared" si="34"/>
        <v>-4.9969897652016856E-2</v>
      </c>
      <c r="O2222" t="s">
        <v>605</v>
      </c>
      <c r="Q2222" s="36" t="s">
        <v>1310</v>
      </c>
    </row>
    <row r="2223" spans="1:17" x14ac:dyDescent="0.25">
      <c r="A2223" s="43">
        <v>45730</v>
      </c>
      <c r="B2223" s="1" t="s">
        <v>2101</v>
      </c>
      <c r="C2223" t="s">
        <v>622</v>
      </c>
      <c r="D2223" s="23">
        <v>-16.61</v>
      </c>
      <c r="E2223" t="s">
        <v>35</v>
      </c>
      <c r="F2223" s="2">
        <v>610148001</v>
      </c>
      <c r="G2223" s="2" t="s">
        <v>41</v>
      </c>
      <c r="I2223" s="95" t="s">
        <v>7231</v>
      </c>
      <c r="J2223" t="s">
        <v>42</v>
      </c>
      <c r="K2223" t="s">
        <v>41</v>
      </c>
      <c r="M2223">
        <v>66.44</v>
      </c>
      <c r="N2223" s="4">
        <f t="shared" si="34"/>
        <v>-0.25</v>
      </c>
      <c r="O2223" t="s">
        <v>605</v>
      </c>
      <c r="Q2223" s="36" t="s">
        <v>1310</v>
      </c>
    </row>
    <row r="2224" spans="1:17" x14ac:dyDescent="0.25">
      <c r="A2224" s="43">
        <v>45730</v>
      </c>
      <c r="B2224" s="1" t="s">
        <v>2102</v>
      </c>
      <c r="C2224" t="s">
        <v>622</v>
      </c>
      <c r="D2224" s="23">
        <v>-13.28</v>
      </c>
      <c r="E2224" t="s">
        <v>35</v>
      </c>
      <c r="F2224" s="2">
        <v>610148001</v>
      </c>
      <c r="G2224" s="2" t="s">
        <v>41</v>
      </c>
      <c r="I2224" s="95" t="s">
        <v>7231</v>
      </c>
      <c r="J2224" t="s">
        <v>42</v>
      </c>
      <c r="K2224" t="s">
        <v>41</v>
      </c>
      <c r="M2224">
        <v>66.44</v>
      </c>
      <c r="N2224" s="4">
        <f t="shared" si="34"/>
        <v>-0.19987959060806743</v>
      </c>
      <c r="O2224" t="s">
        <v>605</v>
      </c>
      <c r="Q2224" s="36" t="s">
        <v>1310</v>
      </c>
    </row>
    <row r="2225" spans="1:17" x14ac:dyDescent="0.25">
      <c r="A2225" s="43">
        <v>45730</v>
      </c>
      <c r="B2225" s="1" t="s">
        <v>2103</v>
      </c>
      <c r="C2225" t="s">
        <v>622</v>
      </c>
      <c r="D2225" s="23">
        <v>-13.28</v>
      </c>
      <c r="E2225" t="s">
        <v>35</v>
      </c>
      <c r="F2225" s="2">
        <v>610148001</v>
      </c>
      <c r="G2225" s="2" t="s">
        <v>41</v>
      </c>
      <c r="I2225" s="95" t="s">
        <v>7231</v>
      </c>
      <c r="J2225" t="s">
        <v>42</v>
      </c>
      <c r="K2225" t="s">
        <v>41</v>
      </c>
      <c r="M2225">
        <v>66.44</v>
      </c>
      <c r="N2225" s="4">
        <f t="shared" si="34"/>
        <v>-0.19987959060806743</v>
      </c>
      <c r="O2225" t="s">
        <v>605</v>
      </c>
      <c r="Q2225" s="36" t="s">
        <v>1310</v>
      </c>
    </row>
    <row r="2226" spans="1:17" x14ac:dyDescent="0.25">
      <c r="A2226" s="43">
        <v>45730</v>
      </c>
      <c r="B2226" s="1" t="s">
        <v>2104</v>
      </c>
      <c r="C2226" t="s">
        <v>622</v>
      </c>
      <c r="D2226" s="23">
        <v>-8.3000000000000007</v>
      </c>
      <c r="E2226" t="s">
        <v>35</v>
      </c>
      <c r="F2226" s="2">
        <v>610148001</v>
      </c>
      <c r="G2226" s="2" t="s">
        <v>41</v>
      </c>
      <c r="I2226" s="95" t="s">
        <v>7231</v>
      </c>
      <c r="J2226" t="s">
        <v>42</v>
      </c>
      <c r="K2226" t="s">
        <v>41</v>
      </c>
      <c r="M2226">
        <v>66.44</v>
      </c>
      <c r="N2226" s="4">
        <f t="shared" si="34"/>
        <v>-0.12492474413004216</v>
      </c>
      <c r="O2226" t="s">
        <v>605</v>
      </c>
      <c r="Q2226" s="36" t="s">
        <v>1310</v>
      </c>
    </row>
    <row r="2227" spans="1:17" x14ac:dyDescent="0.25">
      <c r="A2227" s="43">
        <v>45730</v>
      </c>
      <c r="B2227" s="1" t="s">
        <v>2105</v>
      </c>
      <c r="C2227" t="s">
        <v>622</v>
      </c>
      <c r="D2227" s="23">
        <v>-8.3000000000000007</v>
      </c>
      <c r="E2227" t="s">
        <v>35</v>
      </c>
      <c r="F2227" s="2">
        <v>610148001</v>
      </c>
      <c r="G2227" s="2" t="s">
        <v>41</v>
      </c>
      <c r="I2227" s="95" t="s">
        <v>7231</v>
      </c>
      <c r="J2227" t="s">
        <v>42</v>
      </c>
      <c r="K2227" t="s">
        <v>41</v>
      </c>
      <c r="M2227">
        <v>66.44</v>
      </c>
      <c r="N2227" s="4">
        <f t="shared" si="34"/>
        <v>-0.12492474413004216</v>
      </c>
      <c r="O2227" t="s">
        <v>605</v>
      </c>
      <c r="Q2227" s="36" t="s">
        <v>1310</v>
      </c>
    </row>
    <row r="2228" spans="1:17" x14ac:dyDescent="0.25">
      <c r="A2228" s="43">
        <v>45730</v>
      </c>
      <c r="B2228" s="1" t="s">
        <v>2106</v>
      </c>
      <c r="C2228" t="s">
        <v>622</v>
      </c>
      <c r="D2228" s="23">
        <v>-6.64</v>
      </c>
      <c r="E2228" t="s">
        <v>35</v>
      </c>
      <c r="F2228" s="2">
        <v>610148001</v>
      </c>
      <c r="G2228" s="2" t="s">
        <v>41</v>
      </c>
      <c r="I2228" s="95" t="s">
        <v>7231</v>
      </c>
      <c r="J2228" t="s">
        <v>42</v>
      </c>
      <c r="K2228" t="s">
        <v>41</v>
      </c>
      <c r="M2228">
        <v>66.44</v>
      </c>
      <c r="N2228" s="4">
        <f t="shared" si="34"/>
        <v>-9.9939795304033713E-2</v>
      </c>
      <c r="O2228" t="s">
        <v>605</v>
      </c>
      <c r="Q2228" s="36" t="s">
        <v>1310</v>
      </c>
    </row>
    <row r="2229" spans="1:17" x14ac:dyDescent="0.25">
      <c r="A2229" s="43">
        <v>45730</v>
      </c>
      <c r="B2229" s="1" t="s">
        <v>2107</v>
      </c>
      <c r="C2229" t="s">
        <v>622</v>
      </c>
      <c r="D2229" s="23">
        <v>-16.61</v>
      </c>
      <c r="E2229" t="s">
        <v>35</v>
      </c>
      <c r="F2229" s="2">
        <v>610148001</v>
      </c>
      <c r="G2229" s="2" t="s">
        <v>41</v>
      </c>
      <c r="I2229" s="95" t="s">
        <v>7231</v>
      </c>
      <c r="J2229" t="s">
        <v>42</v>
      </c>
      <c r="K2229" t="s">
        <v>41</v>
      </c>
      <c r="M2229">
        <v>66.44</v>
      </c>
      <c r="N2229" s="4">
        <f t="shared" si="34"/>
        <v>-0.25</v>
      </c>
      <c r="O2229" t="s">
        <v>605</v>
      </c>
      <c r="Q2229" s="36" t="s">
        <v>1310</v>
      </c>
    </row>
    <row r="2230" spans="1:17" x14ac:dyDescent="0.25">
      <c r="A2230" s="43">
        <v>45730</v>
      </c>
      <c r="B2230" s="1" t="s">
        <v>2108</v>
      </c>
      <c r="C2230" t="s">
        <v>622</v>
      </c>
      <c r="D2230" s="23">
        <v>-16.61</v>
      </c>
      <c r="E2230" t="s">
        <v>35</v>
      </c>
      <c r="F2230" s="2">
        <v>610148001</v>
      </c>
      <c r="G2230" s="2" t="s">
        <v>41</v>
      </c>
      <c r="I2230" s="95" t="s">
        <v>7231</v>
      </c>
      <c r="J2230" t="s">
        <v>42</v>
      </c>
      <c r="K2230" t="s">
        <v>41</v>
      </c>
      <c r="M2230">
        <v>66.44</v>
      </c>
      <c r="N2230" s="4">
        <f t="shared" si="34"/>
        <v>-0.25</v>
      </c>
      <c r="O2230" t="s">
        <v>605</v>
      </c>
      <c r="Q2230" s="36" t="s">
        <v>1310</v>
      </c>
    </row>
    <row r="2231" spans="1:17" x14ac:dyDescent="0.25">
      <c r="A2231" s="43">
        <v>45730</v>
      </c>
      <c r="B2231" s="1" t="s">
        <v>2109</v>
      </c>
      <c r="C2231" t="s">
        <v>622</v>
      </c>
      <c r="D2231" s="23">
        <v>-11.62</v>
      </c>
      <c r="E2231" t="s">
        <v>35</v>
      </c>
      <c r="F2231" s="2">
        <v>610148001</v>
      </c>
      <c r="G2231" s="2" t="s">
        <v>41</v>
      </c>
      <c r="I2231" s="95" t="s">
        <v>7231</v>
      </c>
      <c r="J2231" t="s">
        <v>42</v>
      </c>
      <c r="K2231" t="s">
        <v>41</v>
      </c>
      <c r="M2231">
        <v>66.44</v>
      </c>
      <c r="N2231" s="4">
        <f t="shared" si="34"/>
        <v>-0.17489464178205899</v>
      </c>
      <c r="O2231" t="s">
        <v>605</v>
      </c>
      <c r="Q2231" s="36" t="s">
        <v>1310</v>
      </c>
    </row>
    <row r="2232" spans="1:17" x14ac:dyDescent="0.25">
      <c r="A2232" s="43">
        <v>45730</v>
      </c>
      <c r="B2232" s="1" t="s">
        <v>2110</v>
      </c>
      <c r="C2232" t="s">
        <v>622</v>
      </c>
      <c r="D2232" s="23">
        <v>-8.3000000000000007</v>
      </c>
      <c r="E2232" t="s">
        <v>35</v>
      </c>
      <c r="F2232" s="2">
        <v>610148001</v>
      </c>
      <c r="G2232" s="2" t="s">
        <v>41</v>
      </c>
      <c r="I2232" s="95" t="s">
        <v>7231</v>
      </c>
      <c r="J2232" t="s">
        <v>42</v>
      </c>
      <c r="K2232" t="s">
        <v>41</v>
      </c>
      <c r="M2232">
        <v>66.44</v>
      </c>
      <c r="N2232" s="4">
        <f t="shared" si="34"/>
        <v>-0.12492474413004216</v>
      </c>
      <c r="O2232" t="s">
        <v>605</v>
      </c>
      <c r="Q2232" s="36" t="s">
        <v>1310</v>
      </c>
    </row>
    <row r="2233" spans="1:17" x14ac:dyDescent="0.25">
      <c r="A2233" s="43">
        <v>45730</v>
      </c>
      <c r="B2233" s="1" t="s">
        <v>2111</v>
      </c>
      <c r="C2233" t="s">
        <v>622</v>
      </c>
      <c r="D2233" s="23">
        <v>-23.25</v>
      </c>
      <c r="E2233" t="s">
        <v>35</v>
      </c>
      <c r="F2233" s="2">
        <v>610148001</v>
      </c>
      <c r="G2233" s="2" t="s">
        <v>41</v>
      </c>
      <c r="I2233" s="95" t="s">
        <v>7231</v>
      </c>
      <c r="J2233" t="s">
        <v>42</v>
      </c>
      <c r="K2233" t="s">
        <v>41</v>
      </c>
      <c r="M2233">
        <v>66.44</v>
      </c>
      <c r="N2233" s="4">
        <f t="shared" si="34"/>
        <v>-0.34993979530403374</v>
      </c>
      <c r="O2233" t="s">
        <v>605</v>
      </c>
      <c r="Q2233" s="36" t="s">
        <v>1310</v>
      </c>
    </row>
    <row r="2234" spans="1:17" x14ac:dyDescent="0.25">
      <c r="A2234" s="43">
        <v>45730</v>
      </c>
      <c r="B2234" s="1" t="s">
        <v>1916</v>
      </c>
      <c r="C2234" t="s">
        <v>622</v>
      </c>
      <c r="D2234" s="23">
        <v>-9.9600000000000009</v>
      </c>
      <c r="E2234" t="s">
        <v>35</v>
      </c>
      <c r="F2234" s="2">
        <v>610148001</v>
      </c>
      <c r="G2234" s="2" t="s">
        <v>41</v>
      </c>
      <c r="I2234" s="95" t="s">
        <v>7231</v>
      </c>
      <c r="J2234" t="s">
        <v>42</v>
      </c>
      <c r="K2234" t="s">
        <v>41</v>
      </c>
      <c r="M2234">
        <v>66.44</v>
      </c>
      <c r="N2234" s="4">
        <f t="shared" si="34"/>
        <v>-0.14990969295605058</v>
      </c>
      <c r="O2234" t="s">
        <v>605</v>
      </c>
      <c r="Q2234" s="36" t="s">
        <v>1310</v>
      </c>
    </row>
    <row r="2235" spans="1:17" x14ac:dyDescent="0.25">
      <c r="A2235" s="43">
        <v>45730</v>
      </c>
      <c r="B2235" s="1" t="s">
        <v>1914</v>
      </c>
      <c r="C2235" t="s">
        <v>622</v>
      </c>
      <c r="D2235" s="23">
        <v>-9.9600000000000009</v>
      </c>
      <c r="E2235" t="s">
        <v>35</v>
      </c>
      <c r="F2235" s="2">
        <v>610148001</v>
      </c>
      <c r="G2235" s="2" t="s">
        <v>41</v>
      </c>
      <c r="I2235" s="95" t="s">
        <v>7231</v>
      </c>
      <c r="J2235" t="s">
        <v>42</v>
      </c>
      <c r="K2235" t="s">
        <v>41</v>
      </c>
      <c r="M2235">
        <v>66.44</v>
      </c>
      <c r="N2235" s="4">
        <f t="shared" si="34"/>
        <v>-0.14990969295605058</v>
      </c>
      <c r="O2235" t="s">
        <v>605</v>
      </c>
      <c r="Q2235" s="36" t="s">
        <v>1310</v>
      </c>
    </row>
    <row r="2236" spans="1:17" x14ac:dyDescent="0.25">
      <c r="A2236" s="43">
        <v>45730</v>
      </c>
      <c r="B2236" s="1" t="s">
        <v>1911</v>
      </c>
      <c r="C2236" t="s">
        <v>622</v>
      </c>
      <c r="D2236" s="23">
        <v>-9.9600000000000009</v>
      </c>
      <c r="E2236" t="s">
        <v>35</v>
      </c>
      <c r="F2236" s="2">
        <v>610148001</v>
      </c>
      <c r="G2236" s="2" t="s">
        <v>41</v>
      </c>
      <c r="I2236" s="95" t="s">
        <v>7231</v>
      </c>
      <c r="J2236" t="s">
        <v>42</v>
      </c>
      <c r="K2236" t="s">
        <v>41</v>
      </c>
      <c r="M2236">
        <v>66.44</v>
      </c>
      <c r="N2236" s="4">
        <f t="shared" si="34"/>
        <v>-0.14990969295605058</v>
      </c>
      <c r="O2236" t="s">
        <v>605</v>
      </c>
      <c r="Q2236" s="36" t="s">
        <v>1310</v>
      </c>
    </row>
    <row r="2237" spans="1:17" x14ac:dyDescent="0.25">
      <c r="A2237" s="43">
        <v>45730</v>
      </c>
      <c r="B2237" s="1" t="s">
        <v>2112</v>
      </c>
      <c r="C2237" t="s">
        <v>622</v>
      </c>
      <c r="D2237" s="23">
        <v>-6.97</v>
      </c>
      <c r="E2237" t="s">
        <v>35</v>
      </c>
      <c r="F2237" s="2">
        <v>610148001</v>
      </c>
      <c r="G2237" s="2" t="s">
        <v>41</v>
      </c>
      <c r="I2237" s="95" t="s">
        <v>7231</v>
      </c>
      <c r="J2237" t="s">
        <v>42</v>
      </c>
      <c r="K2237" t="s">
        <v>41</v>
      </c>
      <c r="M2237">
        <v>66.44</v>
      </c>
      <c r="N2237" s="4">
        <f t="shared" si="34"/>
        <v>-0.10490668272125225</v>
      </c>
      <c r="O2237" t="s">
        <v>605</v>
      </c>
      <c r="Q2237" s="36" t="s">
        <v>1310</v>
      </c>
    </row>
    <row r="2238" spans="1:17" x14ac:dyDescent="0.25">
      <c r="A2238" s="43">
        <v>45730</v>
      </c>
      <c r="B2238" s="1" t="s">
        <v>2113</v>
      </c>
      <c r="C2238" t="s">
        <v>622</v>
      </c>
      <c r="D2238" s="23">
        <v>-6.64</v>
      </c>
      <c r="E2238" t="s">
        <v>35</v>
      </c>
      <c r="F2238" s="2">
        <v>610148001</v>
      </c>
      <c r="G2238" s="2" t="s">
        <v>41</v>
      </c>
      <c r="I2238" s="95" t="s">
        <v>7231</v>
      </c>
      <c r="J2238" t="s">
        <v>42</v>
      </c>
      <c r="K2238" t="s">
        <v>41</v>
      </c>
      <c r="M2238">
        <v>66.44</v>
      </c>
      <c r="N2238" s="4">
        <f t="shared" si="34"/>
        <v>-9.9939795304033713E-2</v>
      </c>
      <c r="O2238" t="s">
        <v>605</v>
      </c>
      <c r="Q2238" s="36" t="s">
        <v>1310</v>
      </c>
    </row>
    <row r="2239" spans="1:17" x14ac:dyDescent="0.25">
      <c r="A2239" s="43">
        <v>45734</v>
      </c>
      <c r="B2239" s="1" t="s">
        <v>2114</v>
      </c>
      <c r="C2239" t="s">
        <v>293</v>
      </c>
      <c r="D2239" s="23">
        <v>1600000</v>
      </c>
      <c r="E2239" t="s">
        <v>45</v>
      </c>
      <c r="F2239" s="2">
        <v>210115002</v>
      </c>
      <c r="G2239" s="2" t="s">
        <v>46</v>
      </c>
      <c r="I2239" s="95" t="s">
        <v>7231</v>
      </c>
      <c r="K2239" t="s">
        <v>293</v>
      </c>
      <c r="M2239">
        <v>66.790000000000006</v>
      </c>
      <c r="N2239" s="4">
        <f t="shared" si="34"/>
        <v>23955.681988321601</v>
      </c>
      <c r="O2239" t="s">
        <v>605</v>
      </c>
    </row>
    <row r="2240" spans="1:17" x14ac:dyDescent="0.25">
      <c r="A2240" s="43">
        <v>45734</v>
      </c>
      <c r="B2240" s="1" t="s">
        <v>1892</v>
      </c>
      <c r="C2240" t="s">
        <v>2115</v>
      </c>
      <c r="D2240" s="23">
        <v>-200000</v>
      </c>
      <c r="E2240" t="s">
        <v>35</v>
      </c>
      <c r="F2240" s="2">
        <v>110110001</v>
      </c>
      <c r="G2240" s="2" t="s">
        <v>655</v>
      </c>
      <c r="I2240" s="95" t="s">
        <v>7231</v>
      </c>
      <c r="J2240" t="s">
        <v>1336</v>
      </c>
      <c r="K2240" t="s">
        <v>657</v>
      </c>
      <c r="M2240">
        <v>66.790000000000006</v>
      </c>
      <c r="N2240" s="4">
        <f t="shared" si="34"/>
        <v>-2994.4602485402002</v>
      </c>
      <c r="O2240" t="s">
        <v>605</v>
      </c>
      <c r="P2240" t="s">
        <v>2116</v>
      </c>
      <c r="Q2240" s="36" t="s">
        <v>2117</v>
      </c>
    </row>
    <row r="2241" spans="1:17" x14ac:dyDescent="0.25">
      <c r="A2241" s="43">
        <v>45734</v>
      </c>
      <c r="B2241" s="1" t="s">
        <v>1896</v>
      </c>
      <c r="C2241" t="s">
        <v>2118</v>
      </c>
      <c r="D2241" s="23">
        <v>-114347.17</v>
      </c>
      <c r="E2241" t="s">
        <v>35</v>
      </c>
      <c r="F2241" s="2">
        <v>210101001</v>
      </c>
      <c r="G2241" s="2" t="s">
        <v>36</v>
      </c>
      <c r="I2241" s="95" t="s">
        <v>7231</v>
      </c>
      <c r="J2241" t="s">
        <v>182</v>
      </c>
      <c r="K2241" t="s">
        <v>183</v>
      </c>
      <c r="M2241">
        <v>66.790000000000006</v>
      </c>
      <c r="N2241" s="4">
        <f t="shared" si="34"/>
        <v>-1712.0402754903428</v>
      </c>
      <c r="O2241" t="s">
        <v>605</v>
      </c>
    </row>
    <row r="2242" spans="1:17" x14ac:dyDescent="0.25">
      <c r="A2242" s="43">
        <v>45734</v>
      </c>
      <c r="B2242" s="1" t="s">
        <v>1904</v>
      </c>
      <c r="C2242" t="s">
        <v>2115</v>
      </c>
      <c r="D2242" s="23">
        <v>-200000</v>
      </c>
      <c r="E2242" t="s">
        <v>35</v>
      </c>
      <c r="F2242" s="2">
        <v>110110001</v>
      </c>
      <c r="G2242" s="2" t="s">
        <v>655</v>
      </c>
      <c r="I2242" s="95" t="s">
        <v>7231</v>
      </c>
      <c r="J2242" t="s">
        <v>1336</v>
      </c>
      <c r="K2242" t="s">
        <v>657</v>
      </c>
      <c r="M2242">
        <v>66.790000000000006</v>
      </c>
      <c r="N2242" s="4">
        <f t="shared" si="34"/>
        <v>-2994.4602485402002</v>
      </c>
      <c r="O2242" t="s">
        <v>605</v>
      </c>
      <c r="P2242" t="s">
        <v>2116</v>
      </c>
      <c r="Q2242" s="36" t="s">
        <v>2117</v>
      </c>
    </row>
    <row r="2243" spans="1:17" x14ac:dyDescent="0.25">
      <c r="A2243" s="43">
        <v>45734</v>
      </c>
      <c r="B2243" s="1" t="s">
        <v>1267</v>
      </c>
      <c r="C2243" t="s">
        <v>2118</v>
      </c>
      <c r="D2243" s="23">
        <v>-200000</v>
      </c>
      <c r="E2243" t="s">
        <v>35</v>
      </c>
      <c r="F2243" s="2">
        <v>210101001</v>
      </c>
      <c r="G2243" s="2" t="s">
        <v>36</v>
      </c>
      <c r="I2243" s="95" t="s">
        <v>7231</v>
      </c>
      <c r="J2243" t="s">
        <v>182</v>
      </c>
      <c r="K2243" t="s">
        <v>183</v>
      </c>
      <c r="M2243">
        <v>66.790000000000006</v>
      </c>
      <c r="N2243" s="4">
        <f t="shared" si="34"/>
        <v>-2994.4602485402002</v>
      </c>
      <c r="O2243" t="s">
        <v>605</v>
      </c>
    </row>
    <row r="2244" spans="1:17" x14ac:dyDescent="0.25">
      <c r="A2244" s="43">
        <v>45734</v>
      </c>
      <c r="B2244" s="1" t="s">
        <v>1909</v>
      </c>
      <c r="C2244" t="s">
        <v>2115</v>
      </c>
      <c r="D2244" s="23">
        <v>-200000</v>
      </c>
      <c r="E2244" t="s">
        <v>35</v>
      </c>
      <c r="F2244" s="2">
        <v>110110001</v>
      </c>
      <c r="G2244" s="2" t="s">
        <v>655</v>
      </c>
      <c r="I2244" s="95" t="s">
        <v>7231</v>
      </c>
      <c r="J2244" t="s">
        <v>1336</v>
      </c>
      <c r="K2244" t="s">
        <v>657</v>
      </c>
      <c r="M2244">
        <v>66.790000000000006</v>
      </c>
      <c r="N2244" s="4">
        <f t="shared" si="34"/>
        <v>-2994.4602485402002</v>
      </c>
      <c r="O2244" t="s">
        <v>605</v>
      </c>
      <c r="P2244" t="s">
        <v>2116</v>
      </c>
      <c r="Q2244" s="36" t="s">
        <v>2117</v>
      </c>
    </row>
    <row r="2245" spans="1:17" x14ac:dyDescent="0.25">
      <c r="A2245" s="43">
        <v>45734</v>
      </c>
      <c r="B2245" s="1" t="s">
        <v>1268</v>
      </c>
      <c r="C2245" t="s">
        <v>2118</v>
      </c>
      <c r="D2245" s="23">
        <v>-200000</v>
      </c>
      <c r="E2245" t="s">
        <v>35</v>
      </c>
      <c r="F2245" s="2">
        <v>210101001</v>
      </c>
      <c r="G2245" s="2" t="s">
        <v>36</v>
      </c>
      <c r="I2245" s="95" t="s">
        <v>7231</v>
      </c>
      <c r="J2245" t="s">
        <v>182</v>
      </c>
      <c r="K2245" t="s">
        <v>183</v>
      </c>
      <c r="M2245">
        <v>66.790000000000006</v>
      </c>
      <c r="N2245" s="4">
        <f t="shared" si="34"/>
        <v>-2994.4602485402002</v>
      </c>
      <c r="O2245" t="s">
        <v>605</v>
      </c>
    </row>
    <row r="2246" spans="1:17" x14ac:dyDescent="0.25">
      <c r="A2246" s="43">
        <v>45734</v>
      </c>
      <c r="B2246" s="1" t="s">
        <v>619</v>
      </c>
      <c r="C2246" t="s">
        <v>2118</v>
      </c>
      <c r="D2246" s="23">
        <v>-200000</v>
      </c>
      <c r="E2246" t="s">
        <v>35</v>
      </c>
      <c r="F2246" s="2">
        <v>210101001</v>
      </c>
      <c r="G2246" s="2" t="s">
        <v>36</v>
      </c>
      <c r="I2246" s="95" t="s">
        <v>7231</v>
      </c>
      <c r="J2246" t="s">
        <v>182</v>
      </c>
      <c r="K2246" t="s">
        <v>183</v>
      </c>
      <c r="M2246">
        <v>66.790000000000006</v>
      </c>
      <c r="N2246" s="4">
        <f t="shared" si="34"/>
        <v>-2994.4602485402002</v>
      </c>
      <c r="O2246" t="s">
        <v>605</v>
      </c>
    </row>
    <row r="2247" spans="1:17" x14ac:dyDescent="0.25">
      <c r="A2247" s="43">
        <v>45734</v>
      </c>
      <c r="B2247" s="1" t="s">
        <v>1894</v>
      </c>
      <c r="C2247" t="s">
        <v>2115</v>
      </c>
      <c r="D2247" s="23">
        <v>-10371.08</v>
      </c>
      <c r="E2247" t="s">
        <v>35</v>
      </c>
      <c r="F2247" s="2">
        <v>110110001</v>
      </c>
      <c r="G2247" s="2" t="s">
        <v>655</v>
      </c>
      <c r="I2247" s="95" t="s">
        <v>7231</v>
      </c>
      <c r="J2247" t="s">
        <v>1336</v>
      </c>
      <c r="K2247" t="s">
        <v>657</v>
      </c>
      <c r="M2247">
        <v>66.790000000000006</v>
      </c>
      <c r="N2247" s="4">
        <f t="shared" si="34"/>
        <v>-155.27893397215149</v>
      </c>
      <c r="O2247" t="s">
        <v>605</v>
      </c>
      <c r="Q2247" s="36" t="s">
        <v>2117</v>
      </c>
    </row>
    <row r="2248" spans="1:17" x14ac:dyDescent="0.25">
      <c r="A2248" s="43">
        <v>45734</v>
      </c>
      <c r="B2248" s="1" t="s">
        <v>1898</v>
      </c>
      <c r="C2248" t="s">
        <v>2115</v>
      </c>
      <c r="D2248" s="23">
        <v>-200000</v>
      </c>
      <c r="E2248" t="s">
        <v>35</v>
      </c>
      <c r="F2248" s="2">
        <v>110110001</v>
      </c>
      <c r="G2248" s="2" t="s">
        <v>655</v>
      </c>
      <c r="I2248" s="95" t="s">
        <v>7231</v>
      </c>
      <c r="J2248" t="s">
        <v>1336</v>
      </c>
      <c r="K2248" t="s">
        <v>657</v>
      </c>
      <c r="M2248">
        <v>66.790000000000006</v>
      </c>
      <c r="N2248" s="4">
        <f t="shared" si="34"/>
        <v>-2994.4602485402002</v>
      </c>
      <c r="O2248" t="s">
        <v>605</v>
      </c>
      <c r="Q2248" s="36" t="s">
        <v>2117</v>
      </c>
    </row>
    <row r="2249" spans="1:17" x14ac:dyDescent="0.25">
      <c r="A2249" s="43">
        <v>45734</v>
      </c>
      <c r="B2249" s="1" t="s">
        <v>617</v>
      </c>
      <c r="C2249" t="s">
        <v>2119</v>
      </c>
      <c r="D2249" s="23">
        <v>-16363.06</v>
      </c>
      <c r="E2249" t="s">
        <v>35</v>
      </c>
      <c r="F2249" s="2">
        <v>210101001</v>
      </c>
      <c r="G2249" s="2" t="s">
        <v>36</v>
      </c>
      <c r="I2249" s="95" t="s">
        <v>7231</v>
      </c>
      <c r="J2249" t="s">
        <v>1306</v>
      </c>
      <c r="K2249" t="s">
        <v>600</v>
      </c>
      <c r="M2249">
        <v>66.790000000000006</v>
      </c>
      <c r="N2249" s="4">
        <f t="shared" si="34"/>
        <v>-244.99266357239105</v>
      </c>
      <c r="O2249" t="s">
        <v>605</v>
      </c>
    </row>
    <row r="2250" spans="1:17" ht="15.75" x14ac:dyDescent="0.25">
      <c r="A2250" s="55">
        <v>45734</v>
      </c>
      <c r="B2250" s="56" t="s">
        <v>2120</v>
      </c>
      <c r="C2250" s="3" t="s">
        <v>2121</v>
      </c>
      <c r="D2250" s="54">
        <v>-10494.89</v>
      </c>
      <c r="E2250" s="3" t="s">
        <v>35</v>
      </c>
      <c r="F2250" s="57">
        <v>110114001</v>
      </c>
      <c r="G2250" s="57" t="s">
        <v>181</v>
      </c>
      <c r="H2250" s="57"/>
      <c r="I2250" s="95" t="s">
        <v>7231</v>
      </c>
      <c r="J2250" s="58" t="s">
        <v>2122</v>
      </c>
      <c r="K2250" s="58" t="s">
        <v>2123</v>
      </c>
      <c r="L2250" s="58"/>
      <c r="M2250">
        <v>66.790000000000006</v>
      </c>
      <c r="N2250" s="4">
        <f t="shared" si="34"/>
        <v>-157.13265458901031</v>
      </c>
      <c r="O2250" t="s">
        <v>605</v>
      </c>
      <c r="P2250" s="34" t="s">
        <v>1529</v>
      </c>
    </row>
    <row r="2251" spans="1:17" x14ac:dyDescent="0.25">
      <c r="A2251" s="43">
        <v>45734</v>
      </c>
      <c r="B2251" s="1" t="s">
        <v>2120</v>
      </c>
      <c r="C2251" t="s">
        <v>673</v>
      </c>
      <c r="D2251" s="23">
        <v>-31.48</v>
      </c>
      <c r="E2251" t="s">
        <v>35</v>
      </c>
      <c r="F2251" s="2">
        <v>610148001</v>
      </c>
      <c r="G2251" s="2" t="s">
        <v>41</v>
      </c>
      <c r="I2251" s="95" t="s">
        <v>7231</v>
      </c>
      <c r="J2251" t="s">
        <v>42</v>
      </c>
      <c r="K2251" t="s">
        <v>41</v>
      </c>
      <c r="M2251">
        <v>66.790000000000006</v>
      </c>
      <c r="N2251" s="4">
        <f t="shared" si="34"/>
        <v>-0.47132804312022752</v>
      </c>
      <c r="O2251" t="s">
        <v>605</v>
      </c>
      <c r="Q2251" s="36" t="s">
        <v>1310</v>
      </c>
    </row>
    <row r="2252" spans="1:17" x14ac:dyDescent="0.25">
      <c r="A2252" s="43">
        <v>45734</v>
      </c>
      <c r="B2252" s="1" t="s">
        <v>2124</v>
      </c>
      <c r="C2252" t="s">
        <v>2125</v>
      </c>
      <c r="D2252" s="23">
        <v>-3607.81</v>
      </c>
      <c r="E2252" t="s">
        <v>35</v>
      </c>
      <c r="F2252" s="2">
        <v>110114001</v>
      </c>
      <c r="G2252" s="2" t="s">
        <v>181</v>
      </c>
      <c r="I2252" s="95" t="s">
        <v>7231</v>
      </c>
      <c r="J2252" t="s">
        <v>2122</v>
      </c>
      <c r="K2252" t="s">
        <v>2123</v>
      </c>
      <c r="M2252">
        <v>66.790000000000006</v>
      </c>
      <c r="N2252" s="4">
        <f t="shared" ref="N2252:N2315" si="35">D2252/M2252</f>
        <v>-54.017218146429101</v>
      </c>
      <c r="O2252" t="s">
        <v>605</v>
      </c>
      <c r="P2252" s="34" t="s">
        <v>1529</v>
      </c>
    </row>
    <row r="2253" spans="1:17" x14ac:dyDescent="0.25">
      <c r="A2253" s="43">
        <v>45734</v>
      </c>
      <c r="B2253" s="1" t="s">
        <v>2124</v>
      </c>
      <c r="C2253" t="s">
        <v>673</v>
      </c>
      <c r="D2253" s="23">
        <v>-10.82</v>
      </c>
      <c r="E2253" t="s">
        <v>35</v>
      </c>
      <c r="F2253" s="2">
        <v>610148001</v>
      </c>
      <c r="G2253" s="2" t="s">
        <v>41</v>
      </c>
      <c r="I2253" s="95" t="s">
        <v>7231</v>
      </c>
      <c r="J2253" t="s">
        <v>42</v>
      </c>
      <c r="K2253" t="s">
        <v>41</v>
      </c>
      <c r="M2253">
        <v>66.790000000000006</v>
      </c>
      <c r="N2253" s="4">
        <f t="shared" si="35"/>
        <v>-0.16200029944602484</v>
      </c>
      <c r="O2253" t="s">
        <v>605</v>
      </c>
      <c r="Q2253" s="36" t="s">
        <v>1310</v>
      </c>
    </row>
    <row r="2254" spans="1:17" x14ac:dyDescent="0.25">
      <c r="A2254" s="43">
        <v>45734</v>
      </c>
      <c r="B2254" s="1" t="s">
        <v>1913</v>
      </c>
      <c r="C2254" t="s">
        <v>622</v>
      </c>
      <c r="D2254" s="23">
        <v>-25.92</v>
      </c>
      <c r="E2254" t="s">
        <v>35</v>
      </c>
      <c r="F2254" s="2">
        <v>610148001</v>
      </c>
      <c r="G2254" s="2" t="s">
        <v>41</v>
      </c>
      <c r="I2254" s="95" t="s">
        <v>7231</v>
      </c>
      <c r="J2254" t="s">
        <v>42</v>
      </c>
      <c r="K2254" t="s">
        <v>41</v>
      </c>
      <c r="M2254">
        <v>66.790000000000006</v>
      </c>
      <c r="N2254" s="4">
        <f t="shared" si="35"/>
        <v>-0.38808204821080999</v>
      </c>
      <c r="O2254" t="s">
        <v>605</v>
      </c>
      <c r="Q2254" s="36" t="s">
        <v>1310</v>
      </c>
    </row>
    <row r="2255" spans="1:17" x14ac:dyDescent="0.25">
      <c r="A2255" s="43">
        <v>45734</v>
      </c>
      <c r="B2255" s="1" t="s">
        <v>1912</v>
      </c>
      <c r="C2255" t="s">
        <v>622</v>
      </c>
      <c r="D2255" s="23">
        <v>-500</v>
      </c>
      <c r="E2255" t="s">
        <v>35</v>
      </c>
      <c r="F2255" s="2">
        <v>610148001</v>
      </c>
      <c r="G2255" s="2" t="s">
        <v>41</v>
      </c>
      <c r="I2255" s="95" t="s">
        <v>7231</v>
      </c>
      <c r="J2255" t="s">
        <v>42</v>
      </c>
      <c r="K2255" t="s">
        <v>41</v>
      </c>
      <c r="M2255">
        <v>66.790000000000006</v>
      </c>
      <c r="N2255" s="4">
        <f t="shared" si="35"/>
        <v>-7.4861506213505011</v>
      </c>
      <c r="O2255" t="s">
        <v>605</v>
      </c>
      <c r="Q2255" s="36" t="s">
        <v>1310</v>
      </c>
    </row>
    <row r="2256" spans="1:17" x14ac:dyDescent="0.25">
      <c r="A2256" s="43">
        <v>45734</v>
      </c>
      <c r="B2256" s="1" t="s">
        <v>1915</v>
      </c>
      <c r="C2256" t="s">
        <v>622</v>
      </c>
      <c r="D2256" s="23">
        <v>-500</v>
      </c>
      <c r="E2256" t="s">
        <v>35</v>
      </c>
      <c r="F2256" s="2">
        <v>610148001</v>
      </c>
      <c r="G2256" s="2" t="s">
        <v>41</v>
      </c>
      <c r="I2256" s="95" t="s">
        <v>7231</v>
      </c>
      <c r="J2256" t="s">
        <v>42</v>
      </c>
      <c r="K2256" t="s">
        <v>41</v>
      </c>
      <c r="M2256">
        <v>66.790000000000006</v>
      </c>
      <c r="N2256" s="4">
        <f t="shared" si="35"/>
        <v>-7.4861506213505011</v>
      </c>
      <c r="O2256" t="s">
        <v>605</v>
      </c>
      <c r="Q2256" s="36" t="s">
        <v>1310</v>
      </c>
    </row>
    <row r="2257" spans="1:17" x14ac:dyDescent="0.25">
      <c r="A2257" s="43">
        <v>45734</v>
      </c>
      <c r="B2257" s="1" t="s">
        <v>1271</v>
      </c>
      <c r="C2257" t="s">
        <v>622</v>
      </c>
      <c r="D2257" s="23">
        <v>-500</v>
      </c>
      <c r="E2257" t="s">
        <v>35</v>
      </c>
      <c r="F2257" s="2">
        <v>610148001</v>
      </c>
      <c r="G2257" s="2" t="s">
        <v>41</v>
      </c>
      <c r="I2257" s="95" t="s">
        <v>7231</v>
      </c>
      <c r="J2257" t="s">
        <v>42</v>
      </c>
      <c r="K2257" t="s">
        <v>41</v>
      </c>
      <c r="M2257">
        <v>66.790000000000006</v>
      </c>
      <c r="N2257" s="4">
        <f t="shared" si="35"/>
        <v>-7.4861506213505011</v>
      </c>
      <c r="O2257" t="s">
        <v>605</v>
      </c>
      <c r="Q2257" s="36" t="s">
        <v>1310</v>
      </c>
    </row>
    <row r="2258" spans="1:17" x14ac:dyDescent="0.25">
      <c r="A2258" s="43">
        <v>45734</v>
      </c>
      <c r="B2258" s="1" t="s">
        <v>1272</v>
      </c>
      <c r="C2258" t="s">
        <v>622</v>
      </c>
      <c r="D2258" s="23">
        <v>-500</v>
      </c>
      <c r="E2258" t="s">
        <v>35</v>
      </c>
      <c r="F2258" s="2">
        <v>610148001</v>
      </c>
      <c r="G2258" s="2" t="s">
        <v>41</v>
      </c>
      <c r="I2258" s="95" t="s">
        <v>7231</v>
      </c>
      <c r="J2258" t="s">
        <v>42</v>
      </c>
      <c r="K2258" t="s">
        <v>41</v>
      </c>
      <c r="M2258">
        <v>66.790000000000006</v>
      </c>
      <c r="N2258" s="4">
        <f t="shared" si="35"/>
        <v>-7.4861506213505011</v>
      </c>
      <c r="O2258" t="s">
        <v>605</v>
      </c>
      <c r="Q2258" s="36" t="s">
        <v>1310</v>
      </c>
    </row>
    <row r="2259" spans="1:17" x14ac:dyDescent="0.25">
      <c r="A2259" s="43">
        <v>45734</v>
      </c>
      <c r="B2259" s="1" t="s">
        <v>1917</v>
      </c>
      <c r="C2259" t="s">
        <v>622</v>
      </c>
      <c r="D2259" s="23">
        <v>-285.86</v>
      </c>
      <c r="E2259" t="s">
        <v>35</v>
      </c>
      <c r="F2259" s="2">
        <v>610148001</v>
      </c>
      <c r="G2259" s="2" t="s">
        <v>41</v>
      </c>
      <c r="I2259" s="95" t="s">
        <v>7231</v>
      </c>
      <c r="J2259" t="s">
        <v>42</v>
      </c>
      <c r="K2259" t="s">
        <v>41</v>
      </c>
      <c r="M2259">
        <v>66.790000000000006</v>
      </c>
      <c r="N2259" s="4">
        <f t="shared" si="35"/>
        <v>-4.2799820332385083</v>
      </c>
      <c r="O2259" t="s">
        <v>605</v>
      </c>
      <c r="Q2259" s="36" t="s">
        <v>1310</v>
      </c>
    </row>
    <row r="2260" spans="1:17" x14ac:dyDescent="0.25">
      <c r="A2260" s="43">
        <v>45734</v>
      </c>
      <c r="B2260" s="1" t="s">
        <v>1916</v>
      </c>
      <c r="C2260" t="s">
        <v>622</v>
      </c>
      <c r="D2260" s="23">
        <v>-500</v>
      </c>
      <c r="E2260" t="s">
        <v>35</v>
      </c>
      <c r="F2260" s="2">
        <v>610148001</v>
      </c>
      <c r="G2260" s="2" t="s">
        <v>41</v>
      </c>
      <c r="I2260" s="95" t="s">
        <v>7231</v>
      </c>
      <c r="J2260" t="s">
        <v>42</v>
      </c>
      <c r="K2260" t="s">
        <v>41</v>
      </c>
      <c r="M2260">
        <v>66.790000000000006</v>
      </c>
      <c r="N2260" s="4">
        <f t="shared" si="35"/>
        <v>-7.4861506213505011</v>
      </c>
      <c r="O2260" t="s">
        <v>605</v>
      </c>
      <c r="Q2260" s="36" t="s">
        <v>1310</v>
      </c>
    </row>
    <row r="2261" spans="1:17" x14ac:dyDescent="0.25">
      <c r="A2261" s="43">
        <v>45734</v>
      </c>
      <c r="B2261" s="1" t="s">
        <v>1919</v>
      </c>
      <c r="C2261" t="s">
        <v>622</v>
      </c>
      <c r="D2261" s="23">
        <v>-500</v>
      </c>
      <c r="E2261" t="s">
        <v>35</v>
      </c>
      <c r="F2261" s="2">
        <v>610148001</v>
      </c>
      <c r="G2261" s="2" t="s">
        <v>41</v>
      </c>
      <c r="I2261" s="95" t="s">
        <v>7231</v>
      </c>
      <c r="J2261" t="s">
        <v>42</v>
      </c>
      <c r="K2261" t="s">
        <v>41</v>
      </c>
      <c r="M2261">
        <v>66.790000000000006</v>
      </c>
      <c r="N2261" s="4">
        <f t="shared" si="35"/>
        <v>-7.4861506213505011</v>
      </c>
      <c r="O2261" t="s">
        <v>605</v>
      </c>
      <c r="Q2261" s="36" t="s">
        <v>1310</v>
      </c>
    </row>
    <row r="2262" spans="1:17" x14ac:dyDescent="0.25">
      <c r="A2262" s="43">
        <v>45734</v>
      </c>
      <c r="B2262" s="1" t="s">
        <v>624</v>
      </c>
      <c r="C2262" t="s">
        <v>622</v>
      </c>
      <c r="D2262" s="23">
        <v>-40.9</v>
      </c>
      <c r="E2262" t="s">
        <v>35</v>
      </c>
      <c r="F2262" s="2">
        <v>610148001</v>
      </c>
      <c r="G2262" s="2" t="s">
        <v>41</v>
      </c>
      <c r="I2262" s="95" t="s">
        <v>7231</v>
      </c>
      <c r="J2262" t="s">
        <v>42</v>
      </c>
      <c r="K2262" t="s">
        <v>41</v>
      </c>
      <c r="M2262">
        <v>66.790000000000006</v>
      </c>
      <c r="N2262" s="4">
        <f t="shared" si="35"/>
        <v>-0.61236712082647093</v>
      </c>
      <c r="O2262" t="s">
        <v>605</v>
      </c>
      <c r="Q2262" s="36" t="s">
        <v>1310</v>
      </c>
    </row>
    <row r="2263" spans="1:17" x14ac:dyDescent="0.25">
      <c r="A2263" s="43">
        <v>45734</v>
      </c>
      <c r="B2263" s="1" t="s">
        <v>621</v>
      </c>
      <c r="C2263" t="s">
        <v>622</v>
      </c>
      <c r="D2263" s="23">
        <v>-500</v>
      </c>
      <c r="E2263" t="s">
        <v>35</v>
      </c>
      <c r="F2263" s="2">
        <v>610148001</v>
      </c>
      <c r="G2263" s="2" t="s">
        <v>41</v>
      </c>
      <c r="I2263" s="95" t="s">
        <v>7231</v>
      </c>
      <c r="J2263" t="s">
        <v>42</v>
      </c>
      <c r="K2263" t="s">
        <v>41</v>
      </c>
      <c r="M2263">
        <v>66.790000000000006</v>
      </c>
      <c r="N2263" s="4">
        <f t="shared" si="35"/>
        <v>-7.4861506213505011</v>
      </c>
      <c r="O2263" t="s">
        <v>605</v>
      </c>
      <c r="Q2263" s="36" t="s">
        <v>1310</v>
      </c>
    </row>
    <row r="2264" spans="1:17" x14ac:dyDescent="0.25">
      <c r="A2264" s="43">
        <v>45734</v>
      </c>
      <c r="B2264" s="1" t="s">
        <v>2126</v>
      </c>
      <c r="C2264" t="s">
        <v>293</v>
      </c>
      <c r="D2264" s="23">
        <v>550000</v>
      </c>
      <c r="E2264" t="s">
        <v>45</v>
      </c>
      <c r="F2264" s="2">
        <v>210115002</v>
      </c>
      <c r="G2264" s="2" t="s">
        <v>46</v>
      </c>
      <c r="I2264" s="95" t="s">
        <v>7231</v>
      </c>
      <c r="K2264" t="s">
        <v>293</v>
      </c>
      <c r="M2264">
        <v>66.790000000000006</v>
      </c>
      <c r="N2264" s="4">
        <f t="shared" si="35"/>
        <v>8234.7656834855516</v>
      </c>
      <c r="O2264" t="s">
        <v>605</v>
      </c>
    </row>
    <row r="2265" spans="1:17" x14ac:dyDescent="0.25">
      <c r="A2265" s="43">
        <v>45734</v>
      </c>
      <c r="B2265" s="1" t="s">
        <v>613</v>
      </c>
      <c r="C2265" t="s">
        <v>2127</v>
      </c>
      <c r="D2265" s="23">
        <v>-542580.35</v>
      </c>
      <c r="E2265" t="s">
        <v>35</v>
      </c>
      <c r="F2265" s="2">
        <v>210101001</v>
      </c>
      <c r="G2265" s="2" t="s">
        <v>36</v>
      </c>
      <c r="I2265" s="95" t="s">
        <v>7231</v>
      </c>
      <c r="J2265" t="s">
        <v>1306</v>
      </c>
      <c r="K2265" t="s">
        <v>600</v>
      </c>
      <c r="M2265">
        <v>66.790000000000006</v>
      </c>
      <c r="N2265" s="4">
        <f t="shared" si="35"/>
        <v>-8123.6764485701442</v>
      </c>
      <c r="O2265" t="s">
        <v>605</v>
      </c>
    </row>
    <row r="2266" spans="1:17" x14ac:dyDescent="0.25">
      <c r="A2266" s="43">
        <v>45734</v>
      </c>
      <c r="B2266" s="1" t="s">
        <v>615</v>
      </c>
      <c r="C2266" t="s">
        <v>2128</v>
      </c>
      <c r="D2266" s="23">
        <v>-2130.6</v>
      </c>
      <c r="E2266" t="s">
        <v>35</v>
      </c>
      <c r="F2266" s="2">
        <v>210101001</v>
      </c>
      <c r="G2266" s="2" t="s">
        <v>36</v>
      </c>
      <c r="I2266" s="95" t="s">
        <v>7231</v>
      </c>
      <c r="J2266" t="s">
        <v>1424</v>
      </c>
      <c r="K2266" t="s">
        <v>1425</v>
      </c>
      <c r="M2266">
        <v>66.790000000000006</v>
      </c>
      <c r="N2266" s="4">
        <f t="shared" si="35"/>
        <v>-31.899985027698754</v>
      </c>
      <c r="O2266" t="s">
        <v>605</v>
      </c>
    </row>
    <row r="2267" spans="1:17" x14ac:dyDescent="0.25">
      <c r="A2267" s="43">
        <v>45734</v>
      </c>
      <c r="B2267" s="1" t="s">
        <v>617</v>
      </c>
      <c r="C2267" t="s">
        <v>2129</v>
      </c>
      <c r="D2267" s="23">
        <v>-600</v>
      </c>
      <c r="E2267" t="s">
        <v>35</v>
      </c>
      <c r="F2267" s="2">
        <v>210101001</v>
      </c>
      <c r="G2267" s="2" t="s">
        <v>36</v>
      </c>
      <c r="I2267" s="95" t="s">
        <v>7231</v>
      </c>
      <c r="J2267" t="s">
        <v>928</v>
      </c>
      <c r="K2267" t="s">
        <v>929</v>
      </c>
      <c r="M2267">
        <v>66.790000000000006</v>
      </c>
      <c r="N2267" s="4">
        <f t="shared" si="35"/>
        <v>-8.9833807456206003</v>
      </c>
      <c r="O2267" t="s">
        <v>605</v>
      </c>
    </row>
    <row r="2268" spans="1:17" x14ac:dyDescent="0.25">
      <c r="A2268" s="43">
        <v>45734</v>
      </c>
      <c r="B2268" s="1" t="s">
        <v>624</v>
      </c>
      <c r="C2268" t="s">
        <v>622</v>
      </c>
      <c r="D2268" s="23">
        <v>-1.5</v>
      </c>
      <c r="E2268" t="s">
        <v>35</v>
      </c>
      <c r="F2268" s="2">
        <v>610148001</v>
      </c>
      <c r="G2268" s="2" t="s">
        <v>41</v>
      </c>
      <c r="I2268" s="95" t="s">
        <v>7231</v>
      </c>
      <c r="J2268" t="s">
        <v>42</v>
      </c>
      <c r="K2268" t="s">
        <v>41</v>
      </c>
      <c r="M2268">
        <v>66.790000000000006</v>
      </c>
      <c r="N2268" s="4">
        <f t="shared" si="35"/>
        <v>-2.2458451864051501E-2</v>
      </c>
      <c r="O2268" t="s">
        <v>605</v>
      </c>
      <c r="Q2268" s="36" t="s">
        <v>1310</v>
      </c>
    </row>
    <row r="2269" spans="1:17" x14ac:dyDescent="0.25">
      <c r="A2269" s="43">
        <v>45734</v>
      </c>
      <c r="B2269" s="1" t="s">
        <v>623</v>
      </c>
      <c r="C2269" t="s">
        <v>622</v>
      </c>
      <c r="D2269" s="23">
        <v>-1356.45</v>
      </c>
      <c r="E2269" t="s">
        <v>35</v>
      </c>
      <c r="F2269" s="2">
        <v>610148001</v>
      </c>
      <c r="G2269" s="2" t="s">
        <v>41</v>
      </c>
      <c r="I2269" s="95" t="s">
        <v>7231</v>
      </c>
      <c r="J2269" t="s">
        <v>42</v>
      </c>
      <c r="K2269" t="s">
        <v>41</v>
      </c>
      <c r="M2269">
        <v>66.790000000000006</v>
      </c>
      <c r="N2269" s="4">
        <f t="shared" si="35"/>
        <v>-20.309178020661776</v>
      </c>
      <c r="O2269" t="s">
        <v>605</v>
      </c>
      <c r="Q2269" s="36" t="s">
        <v>1310</v>
      </c>
    </row>
    <row r="2270" spans="1:17" x14ac:dyDescent="0.25">
      <c r="A2270" s="43">
        <v>45734</v>
      </c>
      <c r="B2270" s="1" t="s">
        <v>625</v>
      </c>
      <c r="C2270" t="s">
        <v>622</v>
      </c>
      <c r="D2270" s="23">
        <v>-5.32</v>
      </c>
      <c r="E2270" t="s">
        <v>35</v>
      </c>
      <c r="F2270" s="2">
        <v>610148001</v>
      </c>
      <c r="G2270" s="2" t="s">
        <v>41</v>
      </c>
      <c r="I2270" s="95" t="s">
        <v>7231</v>
      </c>
      <c r="J2270" t="s">
        <v>42</v>
      </c>
      <c r="K2270" t="s">
        <v>41</v>
      </c>
      <c r="M2270">
        <v>66.790000000000006</v>
      </c>
      <c r="N2270" s="4">
        <f t="shared" si="35"/>
        <v>-7.9652642611169333E-2</v>
      </c>
      <c r="O2270" t="s">
        <v>605</v>
      </c>
      <c r="Q2270" s="36" t="s">
        <v>1310</v>
      </c>
    </row>
    <row r="2271" spans="1:17" x14ac:dyDescent="0.25">
      <c r="A2271" s="43">
        <v>45737</v>
      </c>
      <c r="B2271" s="1" t="s">
        <v>2130</v>
      </c>
      <c r="C2271" t="s">
        <v>2131</v>
      </c>
      <c r="D2271" s="23">
        <v>126716.66</v>
      </c>
      <c r="E2271" t="s">
        <v>45</v>
      </c>
      <c r="F2271" s="2">
        <v>110106001</v>
      </c>
      <c r="G2271" s="2" t="s">
        <v>1011</v>
      </c>
      <c r="I2271" s="95" t="s">
        <v>7231</v>
      </c>
      <c r="K2271" t="s">
        <v>2132</v>
      </c>
      <c r="M2271">
        <v>67.86</v>
      </c>
      <c r="N2271" s="4">
        <f t="shared" si="35"/>
        <v>1867.3247863247864</v>
      </c>
      <c r="O2271" t="s">
        <v>605</v>
      </c>
    </row>
    <row r="2272" spans="1:17" x14ac:dyDescent="0.25">
      <c r="A2272" s="43">
        <v>45737</v>
      </c>
      <c r="B2272" s="1" t="s">
        <v>2133</v>
      </c>
      <c r="C2272" t="s">
        <v>293</v>
      </c>
      <c r="D2272" s="23">
        <v>475000</v>
      </c>
      <c r="E2272" t="s">
        <v>45</v>
      </c>
      <c r="F2272" s="2">
        <v>210115002</v>
      </c>
      <c r="G2272" s="2" t="s">
        <v>46</v>
      </c>
      <c r="I2272" s="95" t="s">
        <v>7231</v>
      </c>
      <c r="K2272" t="s">
        <v>293</v>
      </c>
      <c r="M2272">
        <v>67.86</v>
      </c>
      <c r="N2272" s="4">
        <f t="shared" si="35"/>
        <v>6999.7052755673449</v>
      </c>
      <c r="O2272" t="s">
        <v>605</v>
      </c>
    </row>
    <row r="2273" spans="1:17" x14ac:dyDescent="0.25">
      <c r="A2273" s="43">
        <v>45737</v>
      </c>
      <c r="B2273" s="1" t="s">
        <v>1894</v>
      </c>
      <c r="C2273" t="s">
        <v>2134</v>
      </c>
      <c r="D2273" s="23">
        <v>-8652.6</v>
      </c>
      <c r="E2273" t="s">
        <v>35</v>
      </c>
      <c r="F2273" s="2">
        <v>210101001</v>
      </c>
      <c r="G2273" s="2" t="s">
        <v>36</v>
      </c>
      <c r="I2273" s="95" t="s">
        <v>7231</v>
      </c>
      <c r="J2273" t="s">
        <v>86</v>
      </c>
      <c r="K2273" t="s">
        <v>87</v>
      </c>
      <c r="M2273">
        <v>67.86</v>
      </c>
      <c r="N2273" s="4">
        <f t="shared" si="35"/>
        <v>-127.50663129973475</v>
      </c>
      <c r="O2273" t="s">
        <v>605</v>
      </c>
    </row>
    <row r="2274" spans="1:17" x14ac:dyDescent="0.25">
      <c r="A2274" s="43">
        <v>45737</v>
      </c>
      <c r="B2274" s="1" t="s">
        <v>1898</v>
      </c>
      <c r="C2274" t="s">
        <v>2135</v>
      </c>
      <c r="D2274" s="23">
        <v>-1357.2</v>
      </c>
      <c r="E2274" t="s">
        <v>35</v>
      </c>
      <c r="F2274" s="2">
        <v>212901001</v>
      </c>
      <c r="G2274" s="2" t="s">
        <v>91</v>
      </c>
      <c r="I2274" s="95" t="s">
        <v>7231</v>
      </c>
      <c r="J2274" t="s">
        <v>61</v>
      </c>
      <c r="K2274" t="s">
        <v>62</v>
      </c>
      <c r="M2274">
        <v>67.86</v>
      </c>
      <c r="N2274" s="4">
        <f t="shared" si="35"/>
        <v>-20</v>
      </c>
      <c r="O2274" t="s">
        <v>605</v>
      </c>
    </row>
    <row r="2275" spans="1:17" x14ac:dyDescent="0.25">
      <c r="A2275" s="43">
        <v>45737</v>
      </c>
      <c r="B2275" s="1" t="s">
        <v>1904</v>
      </c>
      <c r="C2275" t="s">
        <v>2136</v>
      </c>
      <c r="D2275" s="23">
        <v>-1357.2</v>
      </c>
      <c r="E2275" t="s">
        <v>35</v>
      </c>
      <c r="F2275" s="2">
        <v>212901001</v>
      </c>
      <c r="G2275" s="2" t="s">
        <v>91</v>
      </c>
      <c r="I2275" s="95" t="s">
        <v>7231</v>
      </c>
      <c r="J2275" t="s">
        <v>61</v>
      </c>
      <c r="K2275" t="s">
        <v>62</v>
      </c>
      <c r="M2275">
        <v>67.86</v>
      </c>
      <c r="N2275" s="4">
        <f t="shared" si="35"/>
        <v>-20</v>
      </c>
      <c r="O2275" t="s">
        <v>605</v>
      </c>
    </row>
    <row r="2276" spans="1:17" x14ac:dyDescent="0.25">
      <c r="A2276" s="46">
        <v>45737</v>
      </c>
      <c r="B2276" s="27" t="s">
        <v>615</v>
      </c>
      <c r="C2276" s="28" t="s">
        <v>52</v>
      </c>
      <c r="D2276" s="29">
        <v>-8143.2</v>
      </c>
      <c r="E2276" s="28" t="s">
        <v>35</v>
      </c>
      <c r="F2276" s="30">
        <v>610129001</v>
      </c>
      <c r="G2276" s="30" t="s">
        <v>53</v>
      </c>
      <c r="H2276" s="30"/>
      <c r="I2276" s="95" t="s">
        <v>7231</v>
      </c>
      <c r="J2276" s="28" t="s">
        <v>54</v>
      </c>
      <c r="K2276" s="28" t="s">
        <v>55</v>
      </c>
      <c r="L2276" s="28" t="s">
        <v>56</v>
      </c>
      <c r="M2276" s="28">
        <v>67.86</v>
      </c>
      <c r="N2276" s="4">
        <f t="shared" si="35"/>
        <v>-120</v>
      </c>
      <c r="O2276" t="s">
        <v>605</v>
      </c>
      <c r="Q2276" s="36" t="s">
        <v>2137</v>
      </c>
    </row>
    <row r="2277" spans="1:17" x14ac:dyDescent="0.25">
      <c r="A2277" s="43">
        <v>45737</v>
      </c>
      <c r="B2277" s="1" t="s">
        <v>1909</v>
      </c>
      <c r="C2277" t="s">
        <v>2138</v>
      </c>
      <c r="D2277" s="23">
        <v>-1357.2</v>
      </c>
      <c r="E2277" t="s">
        <v>35</v>
      </c>
      <c r="F2277" s="2">
        <v>212901001</v>
      </c>
      <c r="G2277" s="2" t="s">
        <v>91</v>
      </c>
      <c r="I2277" s="95" t="s">
        <v>7231</v>
      </c>
      <c r="J2277" t="s">
        <v>61</v>
      </c>
      <c r="K2277" t="s">
        <v>62</v>
      </c>
      <c r="M2277">
        <v>67.86</v>
      </c>
      <c r="N2277" s="4">
        <f t="shared" si="35"/>
        <v>-20</v>
      </c>
      <c r="O2277" t="s">
        <v>605</v>
      </c>
    </row>
    <row r="2278" spans="1:17" x14ac:dyDescent="0.25">
      <c r="A2278" s="43">
        <v>45737</v>
      </c>
      <c r="B2278" s="1" t="s">
        <v>1896</v>
      </c>
      <c r="C2278" t="s">
        <v>2139</v>
      </c>
      <c r="D2278" s="23">
        <v>-1357.2</v>
      </c>
      <c r="E2278" t="s">
        <v>35</v>
      </c>
      <c r="F2278" s="2">
        <v>212901001</v>
      </c>
      <c r="G2278" s="2" t="s">
        <v>91</v>
      </c>
      <c r="I2278" s="95" t="s">
        <v>7231</v>
      </c>
      <c r="J2278" t="s">
        <v>61</v>
      </c>
      <c r="K2278" t="s">
        <v>62</v>
      </c>
      <c r="M2278">
        <v>67.86</v>
      </c>
      <c r="N2278" s="4">
        <f t="shared" si="35"/>
        <v>-20</v>
      </c>
      <c r="O2278" t="s">
        <v>605</v>
      </c>
    </row>
    <row r="2279" spans="1:17" x14ac:dyDescent="0.25">
      <c r="A2279" s="43">
        <v>45737</v>
      </c>
      <c r="B2279" s="1" t="s">
        <v>619</v>
      </c>
      <c r="C2279" t="s">
        <v>2140</v>
      </c>
      <c r="D2279" s="23">
        <v>-200000</v>
      </c>
      <c r="E2279" t="s">
        <v>35</v>
      </c>
      <c r="F2279" s="2">
        <v>210101001</v>
      </c>
      <c r="G2279" s="2" t="s">
        <v>36</v>
      </c>
      <c r="I2279" s="95" t="s">
        <v>7231</v>
      </c>
      <c r="J2279" t="s">
        <v>37</v>
      </c>
      <c r="K2279" t="s">
        <v>38</v>
      </c>
      <c r="M2279">
        <v>67.86</v>
      </c>
      <c r="N2279" s="4">
        <f t="shared" si="35"/>
        <v>-2947.2443265546713</v>
      </c>
      <c r="O2279" t="s">
        <v>605</v>
      </c>
    </row>
    <row r="2280" spans="1:17" x14ac:dyDescent="0.25">
      <c r="A2280" s="46">
        <v>45737</v>
      </c>
      <c r="B2280" s="27" t="s">
        <v>617</v>
      </c>
      <c r="C2280" s="28" t="s">
        <v>2141</v>
      </c>
      <c r="D2280" s="29">
        <v>-6786</v>
      </c>
      <c r="E2280" s="28" t="s">
        <v>35</v>
      </c>
      <c r="F2280" s="30">
        <v>610122005</v>
      </c>
      <c r="G2280" s="30" t="s">
        <v>401</v>
      </c>
      <c r="H2280" s="30"/>
      <c r="I2280" s="95" t="s">
        <v>7231</v>
      </c>
      <c r="J2280" s="28" t="s">
        <v>608</v>
      </c>
      <c r="K2280" s="28" t="s">
        <v>609</v>
      </c>
      <c r="L2280" s="28" t="s">
        <v>56</v>
      </c>
      <c r="M2280" s="28">
        <v>67.86</v>
      </c>
      <c r="N2280" s="4">
        <f t="shared" si="35"/>
        <v>-100</v>
      </c>
      <c r="O2280" t="s">
        <v>605</v>
      </c>
      <c r="Q2280" s="36" t="s">
        <v>2142</v>
      </c>
    </row>
    <row r="2281" spans="1:17" x14ac:dyDescent="0.25">
      <c r="A2281" s="43">
        <v>45737</v>
      </c>
      <c r="B2281" s="1" t="s">
        <v>1886</v>
      </c>
      <c r="C2281" t="s">
        <v>2143</v>
      </c>
      <c r="D2281" s="23">
        <v>-5721.19</v>
      </c>
      <c r="E2281" t="s">
        <v>35</v>
      </c>
      <c r="F2281" s="2">
        <v>210101001</v>
      </c>
      <c r="G2281" s="2" t="s">
        <v>36</v>
      </c>
      <c r="I2281" s="95" t="s">
        <v>7231</v>
      </c>
      <c r="J2281" t="s">
        <v>86</v>
      </c>
      <c r="K2281" t="s">
        <v>87</v>
      </c>
      <c r="M2281">
        <v>67.86</v>
      </c>
      <c r="N2281" s="4">
        <f t="shared" si="35"/>
        <v>-84.308723843206593</v>
      </c>
      <c r="O2281" t="s">
        <v>605</v>
      </c>
    </row>
    <row r="2282" spans="1:17" x14ac:dyDescent="0.25">
      <c r="A2282" s="43">
        <v>45737</v>
      </c>
      <c r="B2282" s="1" t="s">
        <v>1907</v>
      </c>
      <c r="C2282" t="s">
        <v>2144</v>
      </c>
      <c r="D2282" s="23">
        <v>-10154.57</v>
      </c>
      <c r="E2282" t="s">
        <v>35</v>
      </c>
      <c r="F2282" s="2">
        <v>210101001</v>
      </c>
      <c r="G2282" s="2" t="s">
        <v>36</v>
      </c>
      <c r="I2282" s="95" t="s">
        <v>7231</v>
      </c>
      <c r="J2282" t="s">
        <v>182</v>
      </c>
      <c r="K2282" t="s">
        <v>183</v>
      </c>
      <c r="M2282">
        <v>67.86</v>
      </c>
      <c r="N2282" s="4">
        <f t="shared" si="35"/>
        <v>-149.63999410551133</v>
      </c>
      <c r="O2282" t="s">
        <v>605</v>
      </c>
    </row>
    <row r="2283" spans="1:17" x14ac:dyDescent="0.25">
      <c r="A2283" s="43">
        <v>45737</v>
      </c>
      <c r="B2283" s="1" t="s">
        <v>1892</v>
      </c>
      <c r="C2283" t="s">
        <v>2145</v>
      </c>
      <c r="D2283" s="23">
        <v>-1357.2</v>
      </c>
      <c r="E2283" t="s">
        <v>35</v>
      </c>
      <c r="F2283" s="2">
        <v>212901001</v>
      </c>
      <c r="G2283" s="2" t="s">
        <v>91</v>
      </c>
      <c r="I2283" s="95" t="s">
        <v>7231</v>
      </c>
      <c r="J2283" t="s">
        <v>61</v>
      </c>
      <c r="K2283" t="s">
        <v>62</v>
      </c>
      <c r="M2283">
        <v>67.86</v>
      </c>
      <c r="N2283" s="4">
        <f t="shared" si="35"/>
        <v>-20</v>
      </c>
      <c r="O2283" t="s">
        <v>605</v>
      </c>
    </row>
    <row r="2284" spans="1:17" x14ac:dyDescent="0.25">
      <c r="A2284" s="43">
        <v>45737</v>
      </c>
      <c r="B2284" s="1" t="s">
        <v>1268</v>
      </c>
      <c r="C2284" t="s">
        <v>2146</v>
      </c>
      <c r="D2284" s="23">
        <v>-3393</v>
      </c>
      <c r="E2284" t="s">
        <v>35</v>
      </c>
      <c r="F2284" s="2">
        <v>212901001</v>
      </c>
      <c r="G2284" s="2" t="s">
        <v>91</v>
      </c>
      <c r="I2284" s="95" t="s">
        <v>7231</v>
      </c>
      <c r="J2284" t="s">
        <v>61</v>
      </c>
      <c r="K2284" t="s">
        <v>62</v>
      </c>
      <c r="M2284">
        <v>67.86</v>
      </c>
      <c r="N2284" s="4">
        <f t="shared" si="35"/>
        <v>-50</v>
      </c>
      <c r="O2284" t="s">
        <v>605</v>
      </c>
    </row>
    <row r="2285" spans="1:17" x14ac:dyDescent="0.25">
      <c r="A2285" s="43">
        <v>45737</v>
      </c>
      <c r="B2285" s="1" t="s">
        <v>619</v>
      </c>
      <c r="C2285" t="s">
        <v>2147</v>
      </c>
      <c r="D2285" s="23">
        <v>-3257.28</v>
      </c>
      <c r="E2285" t="s">
        <v>35</v>
      </c>
      <c r="F2285" s="2">
        <v>212901001</v>
      </c>
      <c r="G2285" s="2" t="s">
        <v>91</v>
      </c>
      <c r="I2285" s="95" t="s">
        <v>7231</v>
      </c>
      <c r="J2285" t="s">
        <v>61</v>
      </c>
      <c r="K2285" t="s">
        <v>62</v>
      </c>
      <c r="M2285">
        <v>67.86</v>
      </c>
      <c r="N2285" s="4">
        <f t="shared" si="35"/>
        <v>-48</v>
      </c>
      <c r="O2285" t="s">
        <v>605</v>
      </c>
    </row>
    <row r="2286" spans="1:17" x14ac:dyDescent="0.25">
      <c r="A2286" s="43">
        <v>45737</v>
      </c>
      <c r="B2286" s="1" t="s">
        <v>613</v>
      </c>
      <c r="C2286" t="s">
        <v>2140</v>
      </c>
      <c r="D2286" s="23">
        <v>-165003.22</v>
      </c>
      <c r="E2286" t="s">
        <v>35</v>
      </c>
      <c r="F2286" s="2">
        <v>210101001</v>
      </c>
      <c r="G2286" s="2" t="s">
        <v>36</v>
      </c>
      <c r="I2286" s="95" t="s">
        <v>7231</v>
      </c>
      <c r="J2286" t="s">
        <v>37</v>
      </c>
      <c r="K2286" t="s">
        <v>38</v>
      </c>
      <c r="M2286">
        <v>67.86</v>
      </c>
      <c r="N2286" s="4">
        <f t="shared" si="35"/>
        <v>-2431.5240200412613</v>
      </c>
      <c r="O2286" t="s">
        <v>605</v>
      </c>
    </row>
    <row r="2287" spans="1:17" x14ac:dyDescent="0.25">
      <c r="A2287" s="43">
        <v>45737</v>
      </c>
      <c r="B2287" s="1" t="s">
        <v>1900</v>
      </c>
      <c r="C2287" t="s">
        <v>2148</v>
      </c>
      <c r="D2287" s="23">
        <v>-58565.89</v>
      </c>
      <c r="E2287" t="s">
        <v>35</v>
      </c>
      <c r="F2287" s="2">
        <v>210101001</v>
      </c>
      <c r="G2287" s="2" t="s">
        <v>36</v>
      </c>
      <c r="I2287" s="95" t="s">
        <v>7231</v>
      </c>
      <c r="J2287" t="s">
        <v>37</v>
      </c>
      <c r="K2287" t="s">
        <v>38</v>
      </c>
      <c r="M2287">
        <v>67.86</v>
      </c>
      <c r="N2287" s="4">
        <f t="shared" si="35"/>
        <v>-863.03993516062485</v>
      </c>
      <c r="O2287" t="s">
        <v>605</v>
      </c>
    </row>
    <row r="2288" spans="1:17" x14ac:dyDescent="0.25">
      <c r="A2288" s="43">
        <v>45737</v>
      </c>
      <c r="B2288" s="1" t="s">
        <v>1915</v>
      </c>
      <c r="C2288" t="s">
        <v>622</v>
      </c>
      <c r="D2288" s="23">
        <v>-3.39</v>
      </c>
      <c r="E2288" t="s">
        <v>35</v>
      </c>
      <c r="F2288" s="2">
        <v>610148001</v>
      </c>
      <c r="G2288" s="2" t="s">
        <v>41</v>
      </c>
      <c r="I2288" s="95" t="s">
        <v>7231</v>
      </c>
      <c r="J2288" t="s">
        <v>42</v>
      </c>
      <c r="K2288" t="s">
        <v>41</v>
      </c>
      <c r="M2288">
        <v>67.86</v>
      </c>
      <c r="N2288" s="4">
        <f t="shared" si="35"/>
        <v>-4.9955791335101682E-2</v>
      </c>
      <c r="O2288" t="s">
        <v>605</v>
      </c>
      <c r="Q2288" s="36" t="s">
        <v>1310</v>
      </c>
    </row>
    <row r="2289" spans="1:17" x14ac:dyDescent="0.25">
      <c r="A2289" s="43">
        <v>45737</v>
      </c>
      <c r="B2289" s="1" t="s">
        <v>1913</v>
      </c>
      <c r="C2289" t="s">
        <v>622</v>
      </c>
      <c r="D2289" s="23">
        <v>-21.63</v>
      </c>
      <c r="E2289" t="s">
        <v>35</v>
      </c>
      <c r="F2289" s="2">
        <v>610148001</v>
      </c>
      <c r="G2289" s="2" t="s">
        <v>41</v>
      </c>
      <c r="I2289" s="95" t="s">
        <v>7231</v>
      </c>
      <c r="J2289" t="s">
        <v>42</v>
      </c>
      <c r="K2289" t="s">
        <v>41</v>
      </c>
      <c r="M2289">
        <v>67.86</v>
      </c>
      <c r="N2289" s="4">
        <f t="shared" si="35"/>
        <v>-0.31874447391688771</v>
      </c>
      <c r="O2289" t="s">
        <v>605</v>
      </c>
      <c r="Q2289" s="36" t="s">
        <v>1310</v>
      </c>
    </row>
    <row r="2290" spans="1:17" x14ac:dyDescent="0.25">
      <c r="A2290" s="43">
        <v>45737</v>
      </c>
      <c r="B2290" s="1" t="s">
        <v>1911</v>
      </c>
      <c r="C2290" t="s">
        <v>622</v>
      </c>
      <c r="D2290" s="23">
        <v>-25.38</v>
      </c>
      <c r="E2290" t="s">
        <v>35</v>
      </c>
      <c r="F2290" s="2">
        <v>610148001</v>
      </c>
      <c r="G2290" s="2" t="s">
        <v>41</v>
      </c>
      <c r="I2290" s="95" t="s">
        <v>7231</v>
      </c>
      <c r="J2290" t="s">
        <v>42</v>
      </c>
      <c r="K2290" t="s">
        <v>41</v>
      </c>
      <c r="M2290">
        <v>67.86</v>
      </c>
      <c r="N2290" s="4">
        <f t="shared" si="35"/>
        <v>-0.37400530503978779</v>
      </c>
      <c r="O2290" t="s">
        <v>605</v>
      </c>
      <c r="Q2290" s="36" t="s">
        <v>1310</v>
      </c>
    </row>
    <row r="2291" spans="1:17" x14ac:dyDescent="0.25">
      <c r="A2291" s="43">
        <v>45737</v>
      </c>
      <c r="B2291" s="1" t="s">
        <v>624</v>
      </c>
      <c r="C2291" t="s">
        <v>622</v>
      </c>
      <c r="D2291" s="23">
        <v>-16.96</v>
      </c>
      <c r="E2291" t="s">
        <v>35</v>
      </c>
      <c r="F2291" s="2">
        <v>610148001</v>
      </c>
      <c r="G2291" s="2" t="s">
        <v>41</v>
      </c>
      <c r="I2291" s="95" t="s">
        <v>7231</v>
      </c>
      <c r="J2291" t="s">
        <v>42</v>
      </c>
      <c r="K2291" t="s">
        <v>41</v>
      </c>
      <c r="M2291">
        <v>67.86</v>
      </c>
      <c r="N2291" s="4">
        <f t="shared" si="35"/>
        <v>-0.24992631889183614</v>
      </c>
      <c r="O2291" t="s">
        <v>605</v>
      </c>
      <c r="Q2291" s="36" t="s">
        <v>1310</v>
      </c>
    </row>
    <row r="2292" spans="1:17" x14ac:dyDescent="0.25">
      <c r="A2292" s="43">
        <v>45737</v>
      </c>
      <c r="B2292" s="1" t="s">
        <v>621</v>
      </c>
      <c r="C2292" t="s">
        <v>622</v>
      </c>
      <c r="D2292" s="23">
        <v>-8.14</v>
      </c>
      <c r="E2292" t="s">
        <v>35</v>
      </c>
      <c r="F2292" s="2">
        <v>610148001</v>
      </c>
      <c r="G2292" s="2" t="s">
        <v>41</v>
      </c>
      <c r="I2292" s="95" t="s">
        <v>7231</v>
      </c>
      <c r="J2292" t="s">
        <v>42</v>
      </c>
      <c r="K2292" t="s">
        <v>41</v>
      </c>
      <c r="M2292">
        <v>67.86</v>
      </c>
      <c r="N2292" s="4">
        <f t="shared" si="35"/>
        <v>-0.11995284409077514</v>
      </c>
      <c r="O2292" t="s">
        <v>605</v>
      </c>
      <c r="Q2292" s="36" t="s">
        <v>1310</v>
      </c>
    </row>
    <row r="2293" spans="1:17" x14ac:dyDescent="0.25">
      <c r="A2293" s="43">
        <v>45737</v>
      </c>
      <c r="B2293" s="1" t="s">
        <v>1912</v>
      </c>
      <c r="C2293" t="s">
        <v>622</v>
      </c>
      <c r="D2293" s="23">
        <v>-3.39</v>
      </c>
      <c r="E2293" t="s">
        <v>35</v>
      </c>
      <c r="F2293" s="2">
        <v>610148001</v>
      </c>
      <c r="G2293" s="2" t="s">
        <v>41</v>
      </c>
      <c r="I2293" s="95" t="s">
        <v>7231</v>
      </c>
      <c r="J2293" t="s">
        <v>42</v>
      </c>
      <c r="K2293" t="s">
        <v>41</v>
      </c>
      <c r="M2293">
        <v>67.86</v>
      </c>
      <c r="N2293" s="4">
        <f t="shared" si="35"/>
        <v>-4.9955791335101682E-2</v>
      </c>
      <c r="O2293" t="s">
        <v>605</v>
      </c>
      <c r="Q2293" s="36" t="s">
        <v>1310</v>
      </c>
    </row>
    <row r="2294" spans="1:17" x14ac:dyDescent="0.25">
      <c r="A2294" s="43">
        <v>45737</v>
      </c>
      <c r="B2294" s="1" t="s">
        <v>1914</v>
      </c>
      <c r="C2294" t="s">
        <v>622</v>
      </c>
      <c r="D2294" s="23">
        <v>-14.3</v>
      </c>
      <c r="E2294" t="s">
        <v>35</v>
      </c>
      <c r="F2294" s="2">
        <v>610148001</v>
      </c>
      <c r="G2294" s="2" t="s">
        <v>41</v>
      </c>
      <c r="I2294" s="95" t="s">
        <v>7231</v>
      </c>
      <c r="J2294" t="s">
        <v>42</v>
      </c>
      <c r="K2294" t="s">
        <v>41</v>
      </c>
      <c r="M2294">
        <v>67.86</v>
      </c>
      <c r="N2294" s="4">
        <f t="shared" si="35"/>
        <v>-0.21072796934865901</v>
      </c>
      <c r="O2294" t="s">
        <v>605</v>
      </c>
      <c r="Q2294" s="36" t="s">
        <v>1310</v>
      </c>
    </row>
    <row r="2295" spans="1:17" x14ac:dyDescent="0.25">
      <c r="A2295" s="43">
        <v>45737</v>
      </c>
      <c r="B2295" s="1" t="s">
        <v>621</v>
      </c>
      <c r="C2295" t="s">
        <v>622</v>
      </c>
      <c r="D2295" s="23">
        <v>-500</v>
      </c>
      <c r="E2295" t="s">
        <v>35</v>
      </c>
      <c r="F2295" s="2">
        <v>610148001</v>
      </c>
      <c r="G2295" s="2" t="s">
        <v>41</v>
      </c>
      <c r="I2295" s="95" t="s">
        <v>7231</v>
      </c>
      <c r="J2295" t="s">
        <v>42</v>
      </c>
      <c r="K2295" t="s">
        <v>41</v>
      </c>
      <c r="M2295">
        <v>67.86</v>
      </c>
      <c r="N2295" s="4">
        <f t="shared" si="35"/>
        <v>-7.3681108163866789</v>
      </c>
      <c r="O2295" t="s">
        <v>605</v>
      </c>
      <c r="Q2295" s="36" t="s">
        <v>1310</v>
      </c>
    </row>
    <row r="2296" spans="1:17" x14ac:dyDescent="0.25">
      <c r="A2296" s="43">
        <v>45737</v>
      </c>
      <c r="B2296" s="1" t="s">
        <v>1918</v>
      </c>
      <c r="C2296" t="s">
        <v>622</v>
      </c>
      <c r="D2296" s="23">
        <v>-146.41</v>
      </c>
      <c r="E2296" t="s">
        <v>35</v>
      </c>
      <c r="F2296" s="2">
        <v>610148001</v>
      </c>
      <c r="G2296" s="2" t="s">
        <v>41</v>
      </c>
      <c r="I2296" s="95" t="s">
        <v>7231</v>
      </c>
      <c r="J2296" t="s">
        <v>42</v>
      </c>
      <c r="K2296" t="s">
        <v>41</v>
      </c>
      <c r="M2296">
        <v>67.86</v>
      </c>
      <c r="N2296" s="4">
        <f t="shared" si="35"/>
        <v>-2.1575302092543471</v>
      </c>
      <c r="O2296" t="s">
        <v>605</v>
      </c>
      <c r="Q2296" s="36" t="s">
        <v>1310</v>
      </c>
    </row>
    <row r="2297" spans="1:17" x14ac:dyDescent="0.25">
      <c r="A2297" s="43">
        <v>45737</v>
      </c>
      <c r="B2297" s="1" t="s">
        <v>623</v>
      </c>
      <c r="C2297" t="s">
        <v>622</v>
      </c>
      <c r="D2297" s="23">
        <v>-412.5</v>
      </c>
      <c r="E2297" t="s">
        <v>35</v>
      </c>
      <c r="F2297" s="2">
        <v>610148001</v>
      </c>
      <c r="G2297" s="2" t="s">
        <v>41</v>
      </c>
      <c r="I2297" s="95" t="s">
        <v>7231</v>
      </c>
      <c r="J2297" t="s">
        <v>42</v>
      </c>
      <c r="K2297" t="s">
        <v>41</v>
      </c>
      <c r="M2297">
        <v>67.86</v>
      </c>
      <c r="N2297" s="4">
        <f t="shared" si="35"/>
        <v>-6.0786914235190102</v>
      </c>
      <c r="O2297" t="s">
        <v>605</v>
      </c>
      <c r="Q2297" s="36" t="s">
        <v>1310</v>
      </c>
    </row>
    <row r="2298" spans="1:17" x14ac:dyDescent="0.25">
      <c r="A2298" s="43">
        <v>45737</v>
      </c>
      <c r="B2298" s="1" t="s">
        <v>1271</v>
      </c>
      <c r="C2298" t="s">
        <v>622</v>
      </c>
      <c r="D2298" s="23">
        <v>-8.48</v>
      </c>
      <c r="E2298" t="s">
        <v>35</v>
      </c>
      <c r="F2298" s="2">
        <v>610148001</v>
      </c>
      <c r="G2298" s="2" t="s">
        <v>41</v>
      </c>
      <c r="I2298" s="95" t="s">
        <v>7231</v>
      </c>
      <c r="J2298" t="s">
        <v>42</v>
      </c>
      <c r="K2298" t="s">
        <v>41</v>
      </c>
      <c r="M2298">
        <v>67.86</v>
      </c>
      <c r="N2298" s="4">
        <f t="shared" si="35"/>
        <v>-0.12496315944591807</v>
      </c>
      <c r="O2298" t="s">
        <v>605</v>
      </c>
      <c r="Q2298" s="36" t="s">
        <v>1310</v>
      </c>
    </row>
    <row r="2299" spans="1:17" x14ac:dyDescent="0.25">
      <c r="A2299" s="43">
        <v>45737</v>
      </c>
      <c r="B2299" s="1" t="s">
        <v>1916</v>
      </c>
      <c r="C2299" t="s">
        <v>622</v>
      </c>
      <c r="D2299" s="23">
        <v>-3.39</v>
      </c>
      <c r="E2299" t="s">
        <v>35</v>
      </c>
      <c r="F2299" s="2">
        <v>610148001</v>
      </c>
      <c r="G2299" s="2" t="s">
        <v>41</v>
      </c>
      <c r="I2299" s="95" t="s">
        <v>7231</v>
      </c>
      <c r="J2299" t="s">
        <v>42</v>
      </c>
      <c r="K2299" t="s">
        <v>41</v>
      </c>
      <c r="M2299">
        <v>67.86</v>
      </c>
      <c r="N2299" s="4">
        <f t="shared" si="35"/>
        <v>-4.9955791335101682E-2</v>
      </c>
      <c r="O2299" t="s">
        <v>605</v>
      </c>
      <c r="Q2299" s="36" t="s">
        <v>1310</v>
      </c>
    </row>
    <row r="2300" spans="1:17" x14ac:dyDescent="0.25">
      <c r="A2300" s="43">
        <v>45737</v>
      </c>
      <c r="B2300" s="1" t="s">
        <v>1919</v>
      </c>
      <c r="C2300" t="s">
        <v>622</v>
      </c>
      <c r="D2300" s="23">
        <v>-3.39</v>
      </c>
      <c r="E2300" t="s">
        <v>35</v>
      </c>
      <c r="F2300" s="2">
        <v>610148001</v>
      </c>
      <c r="G2300" s="2" t="s">
        <v>41</v>
      </c>
      <c r="I2300" s="95" t="s">
        <v>7231</v>
      </c>
      <c r="J2300" t="s">
        <v>42</v>
      </c>
      <c r="K2300" t="s">
        <v>41</v>
      </c>
      <c r="M2300">
        <v>67.86</v>
      </c>
      <c r="N2300" s="4">
        <f t="shared" si="35"/>
        <v>-4.9955791335101682E-2</v>
      </c>
      <c r="O2300" t="s">
        <v>605</v>
      </c>
      <c r="Q2300" s="36" t="s">
        <v>1310</v>
      </c>
    </row>
    <row r="2301" spans="1:17" x14ac:dyDescent="0.25">
      <c r="A2301" s="43">
        <v>45737</v>
      </c>
      <c r="B2301" s="1" t="s">
        <v>625</v>
      </c>
      <c r="C2301" t="s">
        <v>622</v>
      </c>
      <c r="D2301" s="23">
        <v>-20.350000000000001</v>
      </c>
      <c r="E2301" t="s">
        <v>35</v>
      </c>
      <c r="F2301" s="2">
        <v>610148001</v>
      </c>
      <c r="G2301" s="2" t="s">
        <v>41</v>
      </c>
      <c r="I2301" s="95" t="s">
        <v>7231</v>
      </c>
      <c r="J2301" t="s">
        <v>42</v>
      </c>
      <c r="K2301" t="s">
        <v>41</v>
      </c>
      <c r="M2301">
        <v>67.86</v>
      </c>
      <c r="N2301" s="4">
        <f t="shared" si="35"/>
        <v>-0.29988211022693784</v>
      </c>
      <c r="O2301" t="s">
        <v>605</v>
      </c>
      <c r="Q2301" s="36" t="s">
        <v>1310</v>
      </c>
    </row>
    <row r="2302" spans="1:17" x14ac:dyDescent="0.25">
      <c r="A2302" s="43">
        <v>45737</v>
      </c>
      <c r="B2302" s="1" t="s">
        <v>1917</v>
      </c>
      <c r="C2302" t="s">
        <v>622</v>
      </c>
      <c r="D2302" s="23">
        <v>-3.39</v>
      </c>
      <c r="E2302" t="s">
        <v>35</v>
      </c>
      <c r="F2302" s="2">
        <v>610148001</v>
      </c>
      <c r="G2302" s="2" t="s">
        <v>41</v>
      </c>
      <c r="I2302" s="95" t="s">
        <v>7231</v>
      </c>
      <c r="J2302" t="s">
        <v>42</v>
      </c>
      <c r="K2302" t="s">
        <v>41</v>
      </c>
      <c r="M2302">
        <v>67.86</v>
      </c>
      <c r="N2302" s="4">
        <f t="shared" si="35"/>
        <v>-4.9955791335101682E-2</v>
      </c>
      <c r="O2302" t="s">
        <v>605</v>
      </c>
      <c r="Q2302" s="36" t="s">
        <v>1310</v>
      </c>
    </row>
    <row r="2303" spans="1:17" x14ac:dyDescent="0.25">
      <c r="A2303" s="43">
        <v>45737</v>
      </c>
      <c r="B2303" s="1" t="s">
        <v>2149</v>
      </c>
      <c r="C2303" t="s">
        <v>293</v>
      </c>
      <c r="D2303" s="23">
        <v>40000</v>
      </c>
      <c r="E2303" t="s">
        <v>45</v>
      </c>
      <c r="F2303" s="2">
        <v>210115002</v>
      </c>
      <c r="G2303" s="2" t="s">
        <v>46</v>
      </c>
      <c r="I2303" s="95" t="s">
        <v>7231</v>
      </c>
      <c r="K2303" t="s">
        <v>293</v>
      </c>
      <c r="M2303">
        <v>67.86</v>
      </c>
      <c r="N2303" s="4">
        <f t="shared" si="35"/>
        <v>589.44886531093425</v>
      </c>
      <c r="O2303" t="s">
        <v>605</v>
      </c>
    </row>
    <row r="2304" spans="1:17" x14ac:dyDescent="0.25">
      <c r="A2304" s="43">
        <v>45737</v>
      </c>
      <c r="B2304" s="1" t="s">
        <v>613</v>
      </c>
      <c r="C2304" t="s">
        <v>2150</v>
      </c>
      <c r="D2304" s="23">
        <v>-4750.2</v>
      </c>
      <c r="E2304" t="s">
        <v>35</v>
      </c>
      <c r="F2304" s="2">
        <v>212901001</v>
      </c>
      <c r="G2304" s="2" t="s">
        <v>91</v>
      </c>
      <c r="I2304" s="95" t="s">
        <v>7231</v>
      </c>
      <c r="J2304" t="s">
        <v>61</v>
      </c>
      <c r="K2304" t="s">
        <v>62</v>
      </c>
      <c r="M2304">
        <v>67.86</v>
      </c>
      <c r="N2304" s="4">
        <f t="shared" si="35"/>
        <v>-70</v>
      </c>
      <c r="O2304" t="s">
        <v>605</v>
      </c>
    </row>
    <row r="2305" spans="1:17" x14ac:dyDescent="0.25">
      <c r="A2305" s="43">
        <v>45737</v>
      </c>
      <c r="B2305" s="1" t="s">
        <v>617</v>
      </c>
      <c r="C2305" t="s">
        <v>2151</v>
      </c>
      <c r="D2305" s="23">
        <v>-17902.330000000002</v>
      </c>
      <c r="E2305" t="s">
        <v>35</v>
      </c>
      <c r="F2305" s="2">
        <v>110114001</v>
      </c>
      <c r="G2305" s="2" t="s">
        <v>181</v>
      </c>
      <c r="I2305" s="95" t="s">
        <v>7231</v>
      </c>
      <c r="J2305" t="s">
        <v>182</v>
      </c>
      <c r="K2305" t="s">
        <v>183</v>
      </c>
      <c r="M2305">
        <v>67.86</v>
      </c>
      <c r="N2305" s="4">
        <f t="shared" si="35"/>
        <v>-263.81270262304747</v>
      </c>
      <c r="O2305" t="s">
        <v>605</v>
      </c>
      <c r="P2305" s="34" t="s">
        <v>1339</v>
      </c>
    </row>
    <row r="2306" spans="1:17" x14ac:dyDescent="0.25">
      <c r="A2306" s="43">
        <v>45737</v>
      </c>
      <c r="B2306" s="1" t="s">
        <v>615</v>
      </c>
      <c r="C2306" t="s">
        <v>2152</v>
      </c>
      <c r="D2306" s="23">
        <v>-43188.4</v>
      </c>
      <c r="E2306" t="s">
        <v>35</v>
      </c>
      <c r="F2306" s="2">
        <v>210101001</v>
      </c>
      <c r="G2306" s="2" t="s">
        <v>36</v>
      </c>
      <c r="I2306" s="95" t="s">
        <v>7231</v>
      </c>
      <c r="J2306" t="s">
        <v>37</v>
      </c>
      <c r="K2306" t="s">
        <v>38</v>
      </c>
      <c r="M2306">
        <v>67.86</v>
      </c>
      <c r="N2306" s="4">
        <f t="shared" si="35"/>
        <v>-636.43383436486886</v>
      </c>
      <c r="O2306" t="s">
        <v>605</v>
      </c>
    </row>
    <row r="2307" spans="1:17" x14ac:dyDescent="0.25">
      <c r="A2307" s="43">
        <v>45737</v>
      </c>
      <c r="B2307" s="1" t="s">
        <v>619</v>
      </c>
      <c r="C2307" t="s">
        <v>2153</v>
      </c>
      <c r="D2307" s="23">
        <v>-148809</v>
      </c>
      <c r="E2307" t="s">
        <v>35</v>
      </c>
      <c r="F2307" s="2">
        <v>210101001</v>
      </c>
      <c r="G2307" s="2" t="s">
        <v>36</v>
      </c>
      <c r="I2307" s="95" t="s">
        <v>7231</v>
      </c>
      <c r="J2307" t="s">
        <v>1424</v>
      </c>
      <c r="K2307" t="s">
        <v>1425</v>
      </c>
      <c r="M2307">
        <v>67.86</v>
      </c>
      <c r="N2307" s="4">
        <f t="shared" si="35"/>
        <v>-2192.8824049513705</v>
      </c>
      <c r="O2307" t="s">
        <v>605</v>
      </c>
    </row>
    <row r="2308" spans="1:17" x14ac:dyDescent="0.25">
      <c r="A2308" s="43">
        <v>45737</v>
      </c>
      <c r="B2308" s="1" t="s">
        <v>621</v>
      </c>
      <c r="C2308" t="s">
        <v>622</v>
      </c>
      <c r="D2308" s="23">
        <v>-372.02</v>
      </c>
      <c r="E2308" t="s">
        <v>35</v>
      </c>
      <c r="F2308" s="2">
        <v>610148001</v>
      </c>
      <c r="G2308" s="2" t="s">
        <v>41</v>
      </c>
      <c r="I2308" s="95" t="s">
        <v>7231</v>
      </c>
      <c r="J2308" t="s">
        <v>42</v>
      </c>
      <c r="K2308" t="s">
        <v>41</v>
      </c>
      <c r="M2308">
        <v>67.86</v>
      </c>
      <c r="N2308" s="4">
        <f t="shared" si="35"/>
        <v>-5.4821691718243439</v>
      </c>
      <c r="O2308" t="s">
        <v>605</v>
      </c>
      <c r="Q2308" s="36" t="s">
        <v>1310</v>
      </c>
    </row>
    <row r="2309" spans="1:17" x14ac:dyDescent="0.25">
      <c r="A2309" s="43">
        <v>45737</v>
      </c>
      <c r="B2309" s="1" t="s">
        <v>624</v>
      </c>
      <c r="C2309" t="s">
        <v>622</v>
      </c>
      <c r="D2309" s="23">
        <v>-44.75</v>
      </c>
      <c r="E2309" t="s">
        <v>35</v>
      </c>
      <c r="F2309" s="2">
        <v>610148001</v>
      </c>
      <c r="G2309" s="2" t="s">
        <v>41</v>
      </c>
      <c r="I2309" s="95" t="s">
        <v>7231</v>
      </c>
      <c r="J2309" t="s">
        <v>42</v>
      </c>
      <c r="K2309" t="s">
        <v>41</v>
      </c>
      <c r="M2309">
        <v>67.86</v>
      </c>
      <c r="N2309" s="4">
        <f t="shared" si="35"/>
        <v>-0.65944591806660768</v>
      </c>
      <c r="O2309" t="s">
        <v>605</v>
      </c>
      <c r="Q2309" s="36" t="s">
        <v>1310</v>
      </c>
    </row>
    <row r="2310" spans="1:17" x14ac:dyDescent="0.25">
      <c r="A2310" s="43">
        <v>45737</v>
      </c>
      <c r="B2310" s="1" t="s">
        <v>625</v>
      </c>
      <c r="C2310" t="s">
        <v>622</v>
      </c>
      <c r="D2310" s="23">
        <v>-107.97</v>
      </c>
      <c r="E2310" t="s">
        <v>35</v>
      </c>
      <c r="F2310" s="2">
        <v>610148001</v>
      </c>
      <c r="G2310" s="2" t="s">
        <v>41</v>
      </c>
      <c r="I2310" s="95" t="s">
        <v>7231</v>
      </c>
      <c r="J2310" t="s">
        <v>42</v>
      </c>
      <c r="K2310" t="s">
        <v>41</v>
      </c>
      <c r="M2310">
        <v>67.86</v>
      </c>
      <c r="N2310" s="4">
        <f t="shared" si="35"/>
        <v>-1.5910698496905393</v>
      </c>
      <c r="O2310" t="s">
        <v>605</v>
      </c>
      <c r="Q2310" s="36" t="s">
        <v>1310</v>
      </c>
    </row>
    <row r="2311" spans="1:17" x14ac:dyDescent="0.25">
      <c r="A2311" s="43">
        <v>45737</v>
      </c>
      <c r="B2311" s="1" t="s">
        <v>623</v>
      </c>
      <c r="C2311" t="s">
        <v>622</v>
      </c>
      <c r="D2311" s="23">
        <v>-11.87</v>
      </c>
      <c r="E2311" t="s">
        <v>35</v>
      </c>
      <c r="F2311" s="2">
        <v>610148001</v>
      </c>
      <c r="G2311" s="2" t="s">
        <v>41</v>
      </c>
      <c r="I2311" s="95" t="s">
        <v>7231</v>
      </c>
      <c r="J2311" t="s">
        <v>42</v>
      </c>
      <c r="K2311" t="s">
        <v>41</v>
      </c>
      <c r="M2311">
        <v>67.86</v>
      </c>
      <c r="N2311" s="4">
        <f t="shared" si="35"/>
        <v>-0.17491895078101974</v>
      </c>
      <c r="O2311" t="s">
        <v>605</v>
      </c>
      <c r="Q2311" s="36" t="s">
        <v>1310</v>
      </c>
    </row>
    <row r="2312" spans="1:17" x14ac:dyDescent="0.25">
      <c r="A2312" s="43">
        <v>45737</v>
      </c>
      <c r="B2312" s="1" t="s">
        <v>2154</v>
      </c>
      <c r="C2312" t="s">
        <v>2155</v>
      </c>
      <c r="D2312" s="23">
        <v>1115821.98</v>
      </c>
      <c r="E2312" t="s">
        <v>45</v>
      </c>
      <c r="F2312" s="2">
        <v>110106001</v>
      </c>
      <c r="G2312" s="2" t="s">
        <v>1011</v>
      </c>
      <c r="I2312" s="95" t="s">
        <v>7231</v>
      </c>
      <c r="K2312" t="s">
        <v>2156</v>
      </c>
      <c r="M2312">
        <v>67.86</v>
      </c>
      <c r="N2312" s="4">
        <f t="shared" si="35"/>
        <v>16443</v>
      </c>
      <c r="O2312" t="s">
        <v>605</v>
      </c>
    </row>
    <row r="2313" spans="1:17" x14ac:dyDescent="0.25">
      <c r="A2313" s="43">
        <v>45740</v>
      </c>
      <c r="B2313" s="1" t="s">
        <v>619</v>
      </c>
      <c r="C2313" t="s">
        <v>2157</v>
      </c>
      <c r="D2313" s="23">
        <v>-54992.28</v>
      </c>
      <c r="E2313" t="s">
        <v>35</v>
      </c>
      <c r="F2313" s="2">
        <v>110114001</v>
      </c>
      <c r="G2313" s="2" t="s">
        <v>181</v>
      </c>
      <c r="I2313" s="95" t="s">
        <v>7231</v>
      </c>
      <c r="J2313" t="s">
        <v>37</v>
      </c>
      <c r="K2313" t="s">
        <v>38</v>
      </c>
      <c r="M2313">
        <v>68.31</v>
      </c>
      <c r="N2313" s="4">
        <f t="shared" si="35"/>
        <v>-805.03996486605183</v>
      </c>
      <c r="O2313" t="s">
        <v>605</v>
      </c>
      <c r="P2313" s="34" t="s">
        <v>1339</v>
      </c>
    </row>
    <row r="2314" spans="1:17" x14ac:dyDescent="0.25">
      <c r="A2314" s="43">
        <v>45740</v>
      </c>
      <c r="B2314" s="1" t="s">
        <v>617</v>
      </c>
      <c r="C2314" t="s">
        <v>2158</v>
      </c>
      <c r="D2314" s="23">
        <v>-14263.48</v>
      </c>
      <c r="E2314" t="s">
        <v>35</v>
      </c>
      <c r="F2314" s="2">
        <v>210101001</v>
      </c>
      <c r="G2314" s="2" t="s">
        <v>36</v>
      </c>
      <c r="I2314" s="95" t="s">
        <v>7231</v>
      </c>
      <c r="J2314" t="s">
        <v>182</v>
      </c>
      <c r="K2314" t="s">
        <v>183</v>
      </c>
      <c r="M2314">
        <v>68.31</v>
      </c>
      <c r="N2314" s="4">
        <f t="shared" si="35"/>
        <v>-208.80515297906601</v>
      </c>
      <c r="O2314" t="s">
        <v>605</v>
      </c>
    </row>
    <row r="2315" spans="1:17" x14ac:dyDescent="0.25">
      <c r="A2315" s="43">
        <v>45740</v>
      </c>
      <c r="B2315" s="1" t="s">
        <v>615</v>
      </c>
      <c r="C2315" t="s">
        <v>2159</v>
      </c>
      <c r="D2315" s="23">
        <v>-27321.15</v>
      </c>
      <c r="E2315" t="s">
        <v>35</v>
      </c>
      <c r="F2315" s="2">
        <v>210101001</v>
      </c>
      <c r="G2315" s="2" t="s">
        <v>36</v>
      </c>
      <c r="I2315" s="95" t="s">
        <v>7231</v>
      </c>
      <c r="J2315" t="s">
        <v>394</v>
      </c>
      <c r="K2315" t="s">
        <v>395</v>
      </c>
      <c r="M2315">
        <v>68.31</v>
      </c>
      <c r="N2315" s="4">
        <f t="shared" si="35"/>
        <v>-399.95827843653933</v>
      </c>
      <c r="O2315" t="s">
        <v>605</v>
      </c>
    </row>
    <row r="2316" spans="1:17" x14ac:dyDescent="0.25">
      <c r="A2316" s="43">
        <v>45740</v>
      </c>
      <c r="B2316" s="1" t="s">
        <v>1268</v>
      </c>
      <c r="C2316" t="s">
        <v>2160</v>
      </c>
      <c r="D2316" s="23">
        <v>-5626.01</v>
      </c>
      <c r="E2316" t="s">
        <v>35</v>
      </c>
      <c r="F2316" s="2">
        <v>210101001</v>
      </c>
      <c r="G2316" s="2" t="s">
        <v>36</v>
      </c>
      <c r="I2316" s="95" t="s">
        <v>7231</v>
      </c>
      <c r="J2316" t="s">
        <v>182</v>
      </c>
      <c r="K2316" t="s">
        <v>183</v>
      </c>
      <c r="M2316">
        <v>68.31</v>
      </c>
      <c r="N2316" s="4">
        <f t="shared" ref="N2316:N2379" si="36">D2316/M2316</f>
        <v>-82.359976577367888</v>
      </c>
      <c r="O2316" t="s">
        <v>605</v>
      </c>
    </row>
    <row r="2317" spans="1:17" x14ac:dyDescent="0.25">
      <c r="A2317" s="43">
        <v>45740</v>
      </c>
      <c r="B2317" s="1" t="s">
        <v>613</v>
      </c>
      <c r="C2317" t="s">
        <v>2161</v>
      </c>
      <c r="D2317" s="23">
        <v>-61014.49</v>
      </c>
      <c r="E2317" t="s">
        <v>35</v>
      </c>
      <c r="F2317" s="2">
        <v>210101001</v>
      </c>
      <c r="G2317" s="2" t="s">
        <v>36</v>
      </c>
      <c r="I2317" s="95" t="s">
        <v>7231</v>
      </c>
      <c r="J2317" t="s">
        <v>37</v>
      </c>
      <c r="K2317" t="s">
        <v>38</v>
      </c>
      <c r="M2317">
        <v>68.31</v>
      </c>
      <c r="N2317" s="4">
        <f t="shared" si="36"/>
        <v>-893.19997072170975</v>
      </c>
      <c r="O2317" t="s">
        <v>605</v>
      </c>
    </row>
    <row r="2318" spans="1:17" x14ac:dyDescent="0.25">
      <c r="A2318" s="43">
        <v>45740</v>
      </c>
      <c r="B2318" s="1" t="s">
        <v>623</v>
      </c>
      <c r="C2318" t="s">
        <v>622</v>
      </c>
      <c r="D2318" s="23">
        <v>-152.53</v>
      </c>
      <c r="E2318" t="s">
        <v>35</v>
      </c>
      <c r="F2318" s="2">
        <v>610148001</v>
      </c>
      <c r="G2318" s="2" t="s">
        <v>41</v>
      </c>
      <c r="I2318" s="95" t="s">
        <v>7231</v>
      </c>
      <c r="J2318" t="s">
        <v>42</v>
      </c>
      <c r="K2318" t="s">
        <v>41</v>
      </c>
      <c r="M2318">
        <v>68.31</v>
      </c>
      <c r="N2318" s="4">
        <f t="shared" si="36"/>
        <v>-2.2329087981261893</v>
      </c>
      <c r="O2318" t="s">
        <v>605</v>
      </c>
      <c r="Q2318" s="36" t="s">
        <v>1310</v>
      </c>
    </row>
    <row r="2319" spans="1:17" x14ac:dyDescent="0.25">
      <c r="A2319" s="43">
        <v>45740</v>
      </c>
      <c r="B2319" s="1" t="s">
        <v>625</v>
      </c>
      <c r="C2319" t="s">
        <v>622</v>
      </c>
      <c r="D2319" s="23">
        <v>-68.3</v>
      </c>
      <c r="E2319" t="s">
        <v>35</v>
      </c>
      <c r="F2319" s="2">
        <v>610148001</v>
      </c>
      <c r="G2319" s="2" t="s">
        <v>41</v>
      </c>
      <c r="I2319" s="95" t="s">
        <v>7231</v>
      </c>
      <c r="J2319" t="s">
        <v>42</v>
      </c>
      <c r="K2319" t="s">
        <v>41</v>
      </c>
      <c r="M2319">
        <v>68.31</v>
      </c>
      <c r="N2319" s="4">
        <f t="shared" si="36"/>
        <v>-0.99985360854926064</v>
      </c>
      <c r="O2319" t="s">
        <v>605</v>
      </c>
      <c r="Q2319" s="36" t="s">
        <v>1310</v>
      </c>
    </row>
    <row r="2320" spans="1:17" x14ac:dyDescent="0.25">
      <c r="A2320" s="43">
        <v>45740</v>
      </c>
      <c r="B2320" s="1" t="s">
        <v>621</v>
      </c>
      <c r="C2320" t="s">
        <v>622</v>
      </c>
      <c r="D2320" s="23">
        <v>-137.47999999999999</v>
      </c>
      <c r="E2320" t="s">
        <v>35</v>
      </c>
      <c r="F2320" s="2">
        <v>610148001</v>
      </c>
      <c r="G2320" s="2" t="s">
        <v>41</v>
      </c>
      <c r="I2320" s="95" t="s">
        <v>7231</v>
      </c>
      <c r="J2320" t="s">
        <v>42</v>
      </c>
      <c r="K2320" t="s">
        <v>41</v>
      </c>
      <c r="M2320">
        <v>68.31</v>
      </c>
      <c r="N2320" s="4">
        <f t="shared" si="36"/>
        <v>-2.0125896647635777</v>
      </c>
      <c r="O2320" t="s">
        <v>605</v>
      </c>
      <c r="Q2320" s="36" t="s">
        <v>1310</v>
      </c>
    </row>
    <row r="2321" spans="1:17" x14ac:dyDescent="0.25">
      <c r="A2321" s="43">
        <v>45740</v>
      </c>
      <c r="B2321" s="1" t="s">
        <v>1271</v>
      </c>
      <c r="C2321" t="s">
        <v>622</v>
      </c>
      <c r="D2321" s="23">
        <v>-14.06</v>
      </c>
      <c r="E2321" t="s">
        <v>35</v>
      </c>
      <c r="F2321" s="2">
        <v>610148001</v>
      </c>
      <c r="G2321" s="2" t="s">
        <v>41</v>
      </c>
      <c r="I2321" s="95" t="s">
        <v>7231</v>
      </c>
      <c r="J2321" t="s">
        <v>42</v>
      </c>
      <c r="K2321" t="s">
        <v>41</v>
      </c>
      <c r="M2321">
        <v>68.31</v>
      </c>
      <c r="N2321" s="4">
        <f t="shared" si="36"/>
        <v>-0.20582637973942322</v>
      </c>
      <c r="O2321" t="s">
        <v>605</v>
      </c>
      <c r="Q2321" s="36" t="s">
        <v>1310</v>
      </c>
    </row>
    <row r="2322" spans="1:17" x14ac:dyDescent="0.25">
      <c r="A2322" s="43">
        <v>45740</v>
      </c>
      <c r="B2322" s="1" t="s">
        <v>624</v>
      </c>
      <c r="C2322" t="s">
        <v>622</v>
      </c>
      <c r="D2322" s="23">
        <v>-35.65</v>
      </c>
      <c r="E2322" t="s">
        <v>35</v>
      </c>
      <c r="F2322" s="2">
        <v>610148001</v>
      </c>
      <c r="G2322" s="2" t="s">
        <v>41</v>
      </c>
      <c r="I2322" s="95" t="s">
        <v>7231</v>
      </c>
      <c r="J2322" t="s">
        <v>42</v>
      </c>
      <c r="K2322" t="s">
        <v>41</v>
      </c>
      <c r="M2322">
        <v>68.31</v>
      </c>
      <c r="N2322" s="4">
        <f t="shared" si="36"/>
        <v>-0.52188552188552184</v>
      </c>
      <c r="O2322" t="s">
        <v>605</v>
      </c>
      <c r="Q2322" s="36" t="s">
        <v>1310</v>
      </c>
    </row>
    <row r="2323" spans="1:17" x14ac:dyDescent="0.25">
      <c r="A2323" s="43">
        <v>45740</v>
      </c>
      <c r="B2323" s="1" t="s">
        <v>2162</v>
      </c>
      <c r="C2323" t="s">
        <v>2163</v>
      </c>
      <c r="D2323" s="23">
        <v>21716.69</v>
      </c>
      <c r="E2323" t="s">
        <v>45</v>
      </c>
      <c r="F2323" s="2">
        <v>110106001</v>
      </c>
      <c r="G2323" s="2" t="s">
        <v>1011</v>
      </c>
      <c r="I2323" s="95" t="s">
        <v>7231</v>
      </c>
      <c r="K2323" t="s">
        <v>2164</v>
      </c>
      <c r="M2323">
        <v>68.31</v>
      </c>
      <c r="N2323" s="4">
        <f t="shared" si="36"/>
        <v>317.91377543551454</v>
      </c>
      <c r="O2323" t="s">
        <v>605</v>
      </c>
    </row>
    <row r="2324" spans="1:17" x14ac:dyDescent="0.25">
      <c r="A2324" s="43">
        <v>45740</v>
      </c>
      <c r="B2324" s="1" t="s">
        <v>2165</v>
      </c>
      <c r="C2324" t="s">
        <v>2166</v>
      </c>
      <c r="D2324" s="23">
        <v>-47543.76</v>
      </c>
      <c r="E2324" t="s">
        <v>35</v>
      </c>
      <c r="F2324" s="2">
        <v>210101001</v>
      </c>
      <c r="G2324" s="2" t="s">
        <v>36</v>
      </c>
      <c r="I2324" s="95" t="s">
        <v>7231</v>
      </c>
      <c r="J2324" t="s">
        <v>928</v>
      </c>
      <c r="K2324" t="s">
        <v>929</v>
      </c>
      <c r="M2324">
        <v>68.31</v>
      </c>
      <c r="N2324" s="4">
        <f t="shared" si="36"/>
        <v>-696</v>
      </c>
      <c r="O2324" t="s">
        <v>605</v>
      </c>
    </row>
    <row r="2325" spans="1:17" x14ac:dyDescent="0.25">
      <c r="A2325" s="43">
        <v>45740</v>
      </c>
      <c r="B2325" s="1" t="s">
        <v>2167</v>
      </c>
      <c r="C2325" t="s">
        <v>622</v>
      </c>
      <c r="D2325" s="23">
        <v>-118.85</v>
      </c>
      <c r="E2325" t="s">
        <v>35</v>
      </c>
      <c r="F2325" s="2">
        <v>610148001</v>
      </c>
      <c r="G2325" s="2" t="s">
        <v>41</v>
      </c>
      <c r="I2325" s="95" t="s">
        <v>7231</v>
      </c>
      <c r="J2325" t="s">
        <v>42</v>
      </c>
      <c r="K2325" t="s">
        <v>41</v>
      </c>
      <c r="M2325">
        <v>68.31</v>
      </c>
      <c r="N2325" s="4">
        <f t="shared" si="36"/>
        <v>-1.739862392036305</v>
      </c>
      <c r="O2325" t="s">
        <v>605</v>
      </c>
      <c r="Q2325" s="36" t="s">
        <v>1310</v>
      </c>
    </row>
    <row r="2326" spans="1:17" x14ac:dyDescent="0.25">
      <c r="A2326" s="43">
        <v>45741</v>
      </c>
      <c r="B2326" s="56" t="s">
        <v>619</v>
      </c>
      <c r="C2326" s="3" t="s">
        <v>2168</v>
      </c>
      <c r="D2326" s="54">
        <v>-2054.6799999999998</v>
      </c>
      <c r="E2326" s="3" t="s">
        <v>35</v>
      </c>
      <c r="F2326" s="57">
        <v>110114001</v>
      </c>
      <c r="G2326" s="57" t="s">
        <v>181</v>
      </c>
      <c r="H2326" s="57"/>
      <c r="I2326" s="95" t="s">
        <v>7231</v>
      </c>
      <c r="J2326" s="3" t="s">
        <v>631</v>
      </c>
      <c r="K2326" s="3" t="s">
        <v>632</v>
      </c>
      <c r="L2326" s="3"/>
      <c r="M2326">
        <v>68.39</v>
      </c>
      <c r="N2326" s="4">
        <f t="shared" si="36"/>
        <v>-30.04357362187454</v>
      </c>
      <c r="O2326" t="s">
        <v>605</v>
      </c>
      <c r="P2326" s="34" t="s">
        <v>1529</v>
      </c>
    </row>
    <row r="2327" spans="1:17" x14ac:dyDescent="0.25">
      <c r="A2327" s="43">
        <v>45741</v>
      </c>
      <c r="B2327" s="1" t="s">
        <v>613</v>
      </c>
      <c r="C2327" t="s">
        <v>2169</v>
      </c>
      <c r="D2327" s="23">
        <v>-39668.29</v>
      </c>
      <c r="E2327" t="s">
        <v>35</v>
      </c>
      <c r="F2327" s="2">
        <v>210101001</v>
      </c>
      <c r="G2327" s="2" t="s">
        <v>36</v>
      </c>
      <c r="I2327" s="95" t="s">
        <v>7231</v>
      </c>
      <c r="J2327" t="s">
        <v>37</v>
      </c>
      <c r="K2327" t="s">
        <v>38</v>
      </c>
      <c r="M2327">
        <v>68.39</v>
      </c>
      <c r="N2327" s="4">
        <f t="shared" si="36"/>
        <v>-580.0305600233952</v>
      </c>
      <c r="O2327" t="s">
        <v>605</v>
      </c>
    </row>
    <row r="2328" spans="1:17" x14ac:dyDescent="0.25">
      <c r="A2328" s="43">
        <v>45741</v>
      </c>
      <c r="B2328" s="1" t="s">
        <v>615</v>
      </c>
      <c r="C2328" t="s">
        <v>2170</v>
      </c>
      <c r="D2328" s="23">
        <v>-437702.84</v>
      </c>
      <c r="E2328" t="s">
        <v>35</v>
      </c>
      <c r="F2328" s="2">
        <v>110114001</v>
      </c>
      <c r="G2328" s="2" t="s">
        <v>181</v>
      </c>
      <c r="I2328" s="95" t="s">
        <v>7231</v>
      </c>
      <c r="J2328" t="s">
        <v>2171</v>
      </c>
      <c r="K2328" t="s">
        <v>2172</v>
      </c>
      <c r="M2328">
        <v>68.39</v>
      </c>
      <c r="N2328" s="4">
        <f t="shared" si="36"/>
        <v>-6400.1000146220213</v>
      </c>
      <c r="O2328" t="s">
        <v>605</v>
      </c>
      <c r="P2328" s="34" t="s">
        <v>1339</v>
      </c>
    </row>
    <row r="2329" spans="1:17" x14ac:dyDescent="0.25">
      <c r="A2329" s="43">
        <v>45741</v>
      </c>
      <c r="B2329" s="1" t="s">
        <v>617</v>
      </c>
      <c r="C2329" t="s">
        <v>2173</v>
      </c>
      <c r="D2329" s="23">
        <v>-1785.29</v>
      </c>
      <c r="E2329" t="s">
        <v>35</v>
      </c>
      <c r="F2329" s="2">
        <v>210101001</v>
      </c>
      <c r="G2329" s="2" t="s">
        <v>36</v>
      </c>
      <c r="I2329" s="95" t="s">
        <v>7231</v>
      </c>
      <c r="J2329" t="s">
        <v>182</v>
      </c>
      <c r="K2329" t="s">
        <v>183</v>
      </c>
      <c r="M2329">
        <v>68.39</v>
      </c>
      <c r="N2329" s="4">
        <f t="shared" si="36"/>
        <v>-26.104547448457375</v>
      </c>
      <c r="O2329" t="s">
        <v>605</v>
      </c>
    </row>
    <row r="2330" spans="1:17" x14ac:dyDescent="0.25">
      <c r="A2330" s="43">
        <v>45741</v>
      </c>
      <c r="B2330" s="1" t="s">
        <v>624</v>
      </c>
      <c r="C2330" t="s">
        <v>622</v>
      </c>
      <c r="D2330" s="23">
        <v>-4.46</v>
      </c>
      <c r="E2330" t="s">
        <v>35</v>
      </c>
      <c r="F2330" s="2">
        <v>610148001</v>
      </c>
      <c r="G2330" s="2" t="s">
        <v>41</v>
      </c>
      <c r="I2330" s="95" t="s">
        <v>7231</v>
      </c>
      <c r="J2330" t="s">
        <v>42</v>
      </c>
      <c r="K2330" t="s">
        <v>41</v>
      </c>
      <c r="M2330">
        <v>68.39</v>
      </c>
      <c r="N2330" s="4">
        <f t="shared" si="36"/>
        <v>-6.5214212604181893E-2</v>
      </c>
      <c r="O2330" t="s">
        <v>605</v>
      </c>
      <c r="Q2330" s="36" t="s">
        <v>1310</v>
      </c>
    </row>
    <row r="2331" spans="1:17" x14ac:dyDescent="0.25">
      <c r="A2331" s="43">
        <v>45741</v>
      </c>
      <c r="B2331" s="1" t="s">
        <v>621</v>
      </c>
      <c r="C2331" t="s">
        <v>622</v>
      </c>
      <c r="D2331" s="23">
        <v>-5.13</v>
      </c>
      <c r="E2331" t="s">
        <v>35</v>
      </c>
      <c r="F2331" s="2">
        <v>610148001</v>
      </c>
      <c r="G2331" s="2" t="s">
        <v>41</v>
      </c>
      <c r="I2331" s="95" t="s">
        <v>7231</v>
      </c>
      <c r="J2331" t="s">
        <v>42</v>
      </c>
      <c r="K2331" t="s">
        <v>41</v>
      </c>
      <c r="M2331">
        <v>68.39</v>
      </c>
      <c r="N2331" s="4">
        <f t="shared" si="36"/>
        <v>-7.5010966515572444E-2</v>
      </c>
      <c r="O2331" t="s">
        <v>605</v>
      </c>
      <c r="Q2331" s="36" t="s">
        <v>1310</v>
      </c>
    </row>
    <row r="2332" spans="1:17" x14ac:dyDescent="0.25">
      <c r="A2332" s="43">
        <v>45741</v>
      </c>
      <c r="B2332" s="1" t="s">
        <v>625</v>
      </c>
      <c r="C2332" t="s">
        <v>622</v>
      </c>
      <c r="D2332" s="23">
        <v>-1094.25</v>
      </c>
      <c r="E2332" t="s">
        <v>35</v>
      </c>
      <c r="F2332" s="2">
        <v>610148001</v>
      </c>
      <c r="G2332" s="2" t="s">
        <v>41</v>
      </c>
      <c r="I2332" s="95" t="s">
        <v>7231</v>
      </c>
      <c r="J2332" t="s">
        <v>42</v>
      </c>
      <c r="K2332" t="s">
        <v>41</v>
      </c>
      <c r="M2332">
        <v>68.39</v>
      </c>
      <c r="N2332" s="4">
        <f t="shared" si="36"/>
        <v>-16.000146220207633</v>
      </c>
      <c r="O2332" t="s">
        <v>605</v>
      </c>
      <c r="Q2332" s="36" t="s">
        <v>1310</v>
      </c>
    </row>
    <row r="2333" spans="1:17" x14ac:dyDescent="0.25">
      <c r="A2333" s="43">
        <v>45741</v>
      </c>
      <c r="B2333" s="1" t="s">
        <v>623</v>
      </c>
      <c r="C2333" t="s">
        <v>622</v>
      </c>
      <c r="D2333" s="23">
        <v>-99.17</v>
      </c>
      <c r="E2333" t="s">
        <v>35</v>
      </c>
      <c r="F2333" s="2">
        <v>610148001</v>
      </c>
      <c r="G2333" s="2" t="s">
        <v>41</v>
      </c>
      <c r="I2333" s="95" t="s">
        <v>7231</v>
      </c>
      <c r="J2333" t="s">
        <v>42</v>
      </c>
      <c r="K2333" t="s">
        <v>41</v>
      </c>
      <c r="M2333">
        <v>68.39</v>
      </c>
      <c r="N2333" s="4">
        <f t="shared" si="36"/>
        <v>-1.4500657990934347</v>
      </c>
      <c r="O2333" t="s">
        <v>605</v>
      </c>
      <c r="Q2333" s="36" t="s">
        <v>1310</v>
      </c>
    </row>
    <row r="2334" spans="1:17" x14ac:dyDescent="0.25">
      <c r="A2334" s="43">
        <v>45741</v>
      </c>
      <c r="B2334" s="1" t="s">
        <v>613</v>
      </c>
      <c r="C2334" t="s">
        <v>2174</v>
      </c>
      <c r="D2334" s="23">
        <v>-57472.3</v>
      </c>
      <c r="E2334" t="s">
        <v>35</v>
      </c>
      <c r="F2334" s="2">
        <v>210101001</v>
      </c>
      <c r="G2334" s="2" t="s">
        <v>36</v>
      </c>
      <c r="I2334" s="95" t="s">
        <v>7231</v>
      </c>
      <c r="J2334" t="s">
        <v>928</v>
      </c>
      <c r="K2334" t="s">
        <v>929</v>
      </c>
      <c r="M2334">
        <v>68.39</v>
      </c>
      <c r="N2334" s="4">
        <f t="shared" si="36"/>
        <v>-840.36116391285282</v>
      </c>
      <c r="O2334" t="s">
        <v>605</v>
      </c>
    </row>
    <row r="2335" spans="1:17" x14ac:dyDescent="0.25">
      <c r="A2335" s="43">
        <v>45741</v>
      </c>
      <c r="B2335" s="1" t="s">
        <v>615</v>
      </c>
      <c r="C2335" t="s">
        <v>2175</v>
      </c>
      <c r="D2335" s="23">
        <v>-8227.5499999999993</v>
      </c>
      <c r="E2335" t="s">
        <v>35</v>
      </c>
      <c r="F2335" s="2">
        <v>210101001</v>
      </c>
      <c r="G2335" s="2" t="s">
        <v>36</v>
      </c>
      <c r="I2335" s="95" t="s">
        <v>7231</v>
      </c>
      <c r="J2335" t="s">
        <v>398</v>
      </c>
      <c r="K2335" t="s">
        <v>399</v>
      </c>
      <c r="M2335">
        <v>68.39</v>
      </c>
      <c r="N2335" s="4">
        <f t="shared" si="36"/>
        <v>-120.30340693083782</v>
      </c>
      <c r="O2335" t="s">
        <v>605</v>
      </c>
    </row>
    <row r="2336" spans="1:17" x14ac:dyDescent="0.25">
      <c r="A2336" s="43">
        <v>45741</v>
      </c>
      <c r="B2336" s="1" t="s">
        <v>625</v>
      </c>
      <c r="C2336" t="s">
        <v>622</v>
      </c>
      <c r="D2336" s="23">
        <v>-20.56</v>
      </c>
      <c r="E2336" t="s">
        <v>35</v>
      </c>
      <c r="F2336" s="2">
        <v>610148001</v>
      </c>
      <c r="G2336" s="2" t="s">
        <v>41</v>
      </c>
      <c r="I2336" s="95" t="s">
        <v>7231</v>
      </c>
      <c r="J2336" t="s">
        <v>42</v>
      </c>
      <c r="K2336" t="s">
        <v>41</v>
      </c>
      <c r="M2336">
        <v>68.39</v>
      </c>
      <c r="N2336" s="4">
        <f t="shared" si="36"/>
        <v>-0.30062874689282054</v>
      </c>
      <c r="O2336" t="s">
        <v>605</v>
      </c>
      <c r="Q2336" s="36" t="s">
        <v>1310</v>
      </c>
    </row>
    <row r="2337" spans="1:17" x14ac:dyDescent="0.25">
      <c r="A2337" s="43">
        <v>45741</v>
      </c>
      <c r="B2337" s="1" t="s">
        <v>623</v>
      </c>
      <c r="C2337" t="s">
        <v>622</v>
      </c>
      <c r="D2337" s="23">
        <v>-143.68</v>
      </c>
      <c r="E2337" t="s">
        <v>35</v>
      </c>
      <c r="F2337" s="2">
        <v>610148001</v>
      </c>
      <c r="G2337" s="2" t="s">
        <v>41</v>
      </c>
      <c r="I2337" s="95" t="s">
        <v>7231</v>
      </c>
      <c r="J2337" t="s">
        <v>42</v>
      </c>
      <c r="K2337" t="s">
        <v>41</v>
      </c>
      <c r="M2337">
        <v>68.39</v>
      </c>
      <c r="N2337" s="4">
        <f t="shared" si="36"/>
        <v>-2.1008919432665594</v>
      </c>
      <c r="O2337" t="s">
        <v>605</v>
      </c>
      <c r="Q2337" s="36" t="s">
        <v>1310</v>
      </c>
    </row>
    <row r="2338" spans="1:17" x14ac:dyDescent="0.25">
      <c r="A2338" s="43">
        <v>45741</v>
      </c>
      <c r="B2338" s="1" t="s">
        <v>2176</v>
      </c>
      <c r="C2338" t="s">
        <v>293</v>
      </c>
      <c r="D2338" s="23">
        <v>800000</v>
      </c>
      <c r="E2338" t="s">
        <v>45</v>
      </c>
      <c r="F2338" s="2">
        <v>210115002</v>
      </c>
      <c r="G2338" s="2" t="s">
        <v>46</v>
      </c>
      <c r="I2338" s="95" t="s">
        <v>7231</v>
      </c>
      <c r="K2338" t="s">
        <v>293</v>
      </c>
      <c r="M2338">
        <v>68.39</v>
      </c>
      <c r="N2338" s="4">
        <f t="shared" si="36"/>
        <v>11697.616610615587</v>
      </c>
      <c r="O2338" t="s">
        <v>605</v>
      </c>
    </row>
    <row r="2339" spans="1:17" x14ac:dyDescent="0.25">
      <c r="A2339" s="43">
        <v>45741</v>
      </c>
      <c r="B2339" s="1" t="s">
        <v>1268</v>
      </c>
      <c r="C2339" t="s">
        <v>2177</v>
      </c>
      <c r="D2339" s="23">
        <v>-200000</v>
      </c>
      <c r="E2339" t="s">
        <v>35</v>
      </c>
      <c r="F2339" s="2">
        <v>210101001</v>
      </c>
      <c r="G2339" s="2" t="s">
        <v>36</v>
      </c>
      <c r="I2339" s="95" t="s">
        <v>7231</v>
      </c>
      <c r="J2339" t="s">
        <v>1007</v>
      </c>
      <c r="K2339" t="s">
        <v>1008</v>
      </c>
      <c r="M2339">
        <v>68.39</v>
      </c>
      <c r="N2339" s="4">
        <f t="shared" si="36"/>
        <v>-2924.4041526538967</v>
      </c>
      <c r="O2339" t="s">
        <v>605</v>
      </c>
    </row>
    <row r="2340" spans="1:17" x14ac:dyDescent="0.25">
      <c r="A2340" s="43">
        <v>45741</v>
      </c>
      <c r="B2340" s="1" t="s">
        <v>619</v>
      </c>
      <c r="C2340" t="s">
        <v>2177</v>
      </c>
      <c r="D2340" s="23">
        <v>-200000</v>
      </c>
      <c r="E2340" t="s">
        <v>35</v>
      </c>
      <c r="F2340" s="2">
        <v>210101001</v>
      </c>
      <c r="G2340" s="2" t="s">
        <v>36</v>
      </c>
      <c r="I2340" s="95" t="s">
        <v>7231</v>
      </c>
      <c r="J2340" t="s">
        <v>1007</v>
      </c>
      <c r="K2340" t="s">
        <v>1008</v>
      </c>
      <c r="M2340">
        <v>68.39</v>
      </c>
      <c r="N2340" s="4">
        <f t="shared" si="36"/>
        <v>-2924.4041526538967</v>
      </c>
      <c r="O2340" t="s">
        <v>605</v>
      </c>
    </row>
    <row r="2341" spans="1:17" x14ac:dyDescent="0.25">
      <c r="A2341" s="43">
        <v>45741</v>
      </c>
      <c r="B2341" s="1" t="s">
        <v>617</v>
      </c>
      <c r="C2341" t="s">
        <v>2177</v>
      </c>
      <c r="D2341" s="23">
        <v>-200000</v>
      </c>
      <c r="E2341" t="s">
        <v>35</v>
      </c>
      <c r="F2341" s="2">
        <v>210101001</v>
      </c>
      <c r="G2341" s="2" t="s">
        <v>36</v>
      </c>
      <c r="I2341" s="95" t="s">
        <v>7231</v>
      </c>
      <c r="J2341" t="s">
        <v>1007</v>
      </c>
      <c r="K2341" t="s">
        <v>1008</v>
      </c>
      <c r="M2341">
        <v>68.39</v>
      </c>
      <c r="N2341" s="4">
        <f t="shared" si="36"/>
        <v>-2924.4041526538967</v>
      </c>
      <c r="O2341" t="s">
        <v>605</v>
      </c>
    </row>
    <row r="2342" spans="1:17" x14ac:dyDescent="0.25">
      <c r="A2342" s="43">
        <v>45741</v>
      </c>
      <c r="B2342" s="1" t="s">
        <v>613</v>
      </c>
      <c r="C2342" t="s">
        <v>2177</v>
      </c>
      <c r="D2342" s="23">
        <v>-200000</v>
      </c>
      <c r="E2342" t="s">
        <v>35</v>
      </c>
      <c r="F2342" s="2">
        <v>210101001</v>
      </c>
      <c r="G2342" s="2" t="s">
        <v>36</v>
      </c>
      <c r="I2342" s="95" t="s">
        <v>7231</v>
      </c>
      <c r="J2342" t="s">
        <v>1007</v>
      </c>
      <c r="K2342" t="s">
        <v>1008</v>
      </c>
      <c r="M2342">
        <v>68.39</v>
      </c>
      <c r="N2342" s="4">
        <f t="shared" si="36"/>
        <v>-2924.4041526538967</v>
      </c>
      <c r="O2342" t="s">
        <v>605</v>
      </c>
    </row>
    <row r="2343" spans="1:17" x14ac:dyDescent="0.25">
      <c r="A2343" s="43">
        <v>45741</v>
      </c>
      <c r="B2343" s="1" t="s">
        <v>1267</v>
      </c>
      <c r="C2343" t="s">
        <v>2177</v>
      </c>
      <c r="D2343" s="23">
        <v>-31321.200000000001</v>
      </c>
      <c r="E2343" t="s">
        <v>35</v>
      </c>
      <c r="F2343" s="2">
        <v>210101001</v>
      </c>
      <c r="G2343" s="2" t="s">
        <v>36</v>
      </c>
      <c r="I2343" s="95" t="s">
        <v>7231</v>
      </c>
      <c r="J2343" t="s">
        <v>1007</v>
      </c>
      <c r="K2343" t="s">
        <v>1008</v>
      </c>
      <c r="M2343">
        <v>68.39</v>
      </c>
      <c r="N2343" s="4">
        <f t="shared" si="36"/>
        <v>-457.97923673051616</v>
      </c>
      <c r="O2343" t="s">
        <v>605</v>
      </c>
    </row>
    <row r="2344" spans="1:17" x14ac:dyDescent="0.25">
      <c r="A2344" s="43">
        <v>45741</v>
      </c>
      <c r="B2344" s="1" t="s">
        <v>615</v>
      </c>
      <c r="C2344" t="s">
        <v>2177</v>
      </c>
      <c r="D2344" s="23">
        <v>-200000</v>
      </c>
      <c r="E2344" t="s">
        <v>35</v>
      </c>
      <c r="F2344" s="2">
        <v>210101001</v>
      </c>
      <c r="G2344" s="2" t="s">
        <v>36</v>
      </c>
      <c r="I2344" s="95" t="s">
        <v>7231</v>
      </c>
      <c r="J2344" t="s">
        <v>1007</v>
      </c>
      <c r="K2344" t="s">
        <v>1008</v>
      </c>
      <c r="M2344">
        <v>68.39</v>
      </c>
      <c r="N2344" s="4">
        <f t="shared" si="36"/>
        <v>-2924.4041526538967</v>
      </c>
      <c r="O2344" t="s">
        <v>605</v>
      </c>
    </row>
    <row r="2345" spans="1:17" x14ac:dyDescent="0.25">
      <c r="A2345" s="43">
        <v>45741</v>
      </c>
      <c r="B2345" s="1" t="s">
        <v>625</v>
      </c>
      <c r="C2345" t="s">
        <v>622</v>
      </c>
      <c r="D2345" s="23">
        <v>-500</v>
      </c>
      <c r="E2345" t="s">
        <v>35</v>
      </c>
      <c r="F2345" s="2">
        <v>610148001</v>
      </c>
      <c r="G2345" s="2" t="s">
        <v>41</v>
      </c>
      <c r="I2345" s="95" t="s">
        <v>7231</v>
      </c>
      <c r="J2345" t="s">
        <v>42</v>
      </c>
      <c r="K2345" t="s">
        <v>41</v>
      </c>
      <c r="M2345">
        <v>68.39</v>
      </c>
      <c r="N2345" s="4">
        <f t="shared" si="36"/>
        <v>-7.311010381634742</v>
      </c>
      <c r="O2345" t="s">
        <v>605</v>
      </c>
      <c r="Q2345" s="36" t="s">
        <v>1310</v>
      </c>
    </row>
    <row r="2346" spans="1:17" x14ac:dyDescent="0.25">
      <c r="A2346" s="43">
        <v>45741</v>
      </c>
      <c r="B2346" s="1" t="s">
        <v>623</v>
      </c>
      <c r="C2346" t="s">
        <v>622</v>
      </c>
      <c r="D2346" s="23">
        <v>-500</v>
      </c>
      <c r="E2346" t="s">
        <v>35</v>
      </c>
      <c r="F2346" s="2">
        <v>610148001</v>
      </c>
      <c r="G2346" s="2" t="s">
        <v>41</v>
      </c>
      <c r="I2346" s="95" t="s">
        <v>7231</v>
      </c>
      <c r="J2346" t="s">
        <v>42</v>
      </c>
      <c r="K2346" t="s">
        <v>41</v>
      </c>
      <c r="M2346">
        <v>68.39</v>
      </c>
      <c r="N2346" s="4">
        <f t="shared" si="36"/>
        <v>-7.311010381634742</v>
      </c>
      <c r="O2346" t="s">
        <v>605</v>
      </c>
      <c r="Q2346" s="36" t="s">
        <v>1310</v>
      </c>
    </row>
    <row r="2347" spans="1:17" x14ac:dyDescent="0.25">
      <c r="A2347" s="43">
        <v>45741</v>
      </c>
      <c r="B2347" s="1" t="s">
        <v>1271</v>
      </c>
      <c r="C2347" t="s">
        <v>622</v>
      </c>
      <c r="D2347" s="23">
        <v>-500</v>
      </c>
      <c r="E2347" t="s">
        <v>35</v>
      </c>
      <c r="F2347" s="2">
        <v>610148001</v>
      </c>
      <c r="G2347" s="2" t="s">
        <v>41</v>
      </c>
      <c r="I2347" s="95" t="s">
        <v>7231</v>
      </c>
      <c r="J2347" t="s">
        <v>42</v>
      </c>
      <c r="K2347" t="s">
        <v>41</v>
      </c>
      <c r="M2347">
        <v>68.39</v>
      </c>
      <c r="N2347" s="4">
        <f t="shared" si="36"/>
        <v>-7.311010381634742</v>
      </c>
      <c r="O2347" t="s">
        <v>605</v>
      </c>
      <c r="Q2347" s="36" t="s">
        <v>1310</v>
      </c>
    </row>
    <row r="2348" spans="1:17" x14ac:dyDescent="0.25">
      <c r="A2348" s="43">
        <v>45741</v>
      </c>
      <c r="B2348" s="1" t="s">
        <v>624</v>
      </c>
      <c r="C2348" t="s">
        <v>622</v>
      </c>
      <c r="D2348" s="23">
        <v>-500</v>
      </c>
      <c r="E2348" t="s">
        <v>35</v>
      </c>
      <c r="F2348" s="2">
        <v>610148001</v>
      </c>
      <c r="G2348" s="2" t="s">
        <v>41</v>
      </c>
      <c r="I2348" s="95" t="s">
        <v>7231</v>
      </c>
      <c r="J2348" t="s">
        <v>42</v>
      </c>
      <c r="K2348" t="s">
        <v>41</v>
      </c>
      <c r="M2348">
        <v>68.39</v>
      </c>
      <c r="N2348" s="4">
        <f t="shared" si="36"/>
        <v>-7.311010381634742</v>
      </c>
      <c r="O2348" t="s">
        <v>605</v>
      </c>
      <c r="Q2348" s="36" t="s">
        <v>1310</v>
      </c>
    </row>
    <row r="2349" spans="1:17" x14ac:dyDescent="0.25">
      <c r="A2349" s="43">
        <v>45741</v>
      </c>
      <c r="B2349" s="1" t="s">
        <v>621</v>
      </c>
      <c r="C2349" t="s">
        <v>622</v>
      </c>
      <c r="D2349" s="23">
        <v>-500</v>
      </c>
      <c r="E2349" t="s">
        <v>35</v>
      </c>
      <c r="F2349" s="2">
        <v>610148001</v>
      </c>
      <c r="G2349" s="2" t="s">
        <v>41</v>
      </c>
      <c r="I2349" s="95" t="s">
        <v>7231</v>
      </c>
      <c r="J2349" t="s">
        <v>42</v>
      </c>
      <c r="K2349" t="s">
        <v>41</v>
      </c>
      <c r="M2349">
        <v>68.39</v>
      </c>
      <c r="N2349" s="4">
        <f t="shared" si="36"/>
        <v>-7.311010381634742</v>
      </c>
      <c r="O2349" t="s">
        <v>605</v>
      </c>
      <c r="Q2349" s="36" t="s">
        <v>1310</v>
      </c>
    </row>
    <row r="2350" spans="1:17" x14ac:dyDescent="0.25">
      <c r="A2350" s="43">
        <v>45741</v>
      </c>
      <c r="B2350" s="1" t="s">
        <v>1272</v>
      </c>
      <c r="C2350" t="s">
        <v>622</v>
      </c>
      <c r="D2350" s="23">
        <v>-78.3</v>
      </c>
      <c r="E2350" t="s">
        <v>35</v>
      </c>
      <c r="F2350" s="2">
        <v>610148001</v>
      </c>
      <c r="G2350" s="2" t="s">
        <v>41</v>
      </c>
      <c r="I2350" s="95" t="s">
        <v>7231</v>
      </c>
      <c r="J2350" t="s">
        <v>42</v>
      </c>
      <c r="K2350" t="s">
        <v>41</v>
      </c>
      <c r="M2350">
        <v>68.39</v>
      </c>
      <c r="N2350" s="4">
        <f t="shared" si="36"/>
        <v>-1.1449042257640005</v>
      </c>
      <c r="O2350" t="s">
        <v>605</v>
      </c>
      <c r="Q2350" s="36" t="s">
        <v>1310</v>
      </c>
    </row>
    <row r="2351" spans="1:17" x14ac:dyDescent="0.25">
      <c r="A2351" s="43">
        <v>45742</v>
      </c>
      <c r="B2351" s="1" t="s">
        <v>2178</v>
      </c>
      <c r="C2351" t="s">
        <v>293</v>
      </c>
      <c r="D2351" s="23">
        <v>150000</v>
      </c>
      <c r="E2351" t="s">
        <v>45</v>
      </c>
      <c r="F2351" s="2">
        <v>210115002</v>
      </c>
      <c r="G2351" s="2" t="s">
        <v>46</v>
      </c>
      <c r="I2351" s="95" t="s">
        <v>7231</v>
      </c>
      <c r="K2351" t="s">
        <v>293</v>
      </c>
      <c r="M2351">
        <v>68.7</v>
      </c>
      <c r="N2351" s="4">
        <f t="shared" si="36"/>
        <v>2183.406113537118</v>
      </c>
      <c r="O2351" t="s">
        <v>605</v>
      </c>
    </row>
    <row r="2352" spans="1:17" x14ac:dyDescent="0.25">
      <c r="A2352" s="43">
        <v>45742</v>
      </c>
      <c r="B2352" s="1" t="s">
        <v>615</v>
      </c>
      <c r="C2352" t="s">
        <v>2179</v>
      </c>
      <c r="D2352" s="23">
        <v>-20719.919999999998</v>
      </c>
      <c r="E2352" t="s">
        <v>35</v>
      </c>
      <c r="F2352" s="2">
        <v>210101001</v>
      </c>
      <c r="G2352" s="2" t="s">
        <v>36</v>
      </c>
      <c r="I2352" s="95" t="s">
        <v>7231</v>
      </c>
      <c r="J2352" t="s">
        <v>398</v>
      </c>
      <c r="K2352" t="s">
        <v>399</v>
      </c>
      <c r="M2352">
        <v>68.7</v>
      </c>
      <c r="N2352" s="4">
        <f t="shared" si="36"/>
        <v>-301.59999999999997</v>
      </c>
      <c r="O2352" t="s">
        <v>605</v>
      </c>
    </row>
    <row r="2353" spans="1:17" x14ac:dyDescent="0.25">
      <c r="A2353" s="43">
        <v>45742</v>
      </c>
      <c r="B2353" s="1" t="s">
        <v>613</v>
      </c>
      <c r="C2353" t="s">
        <v>2180</v>
      </c>
      <c r="D2353" s="23">
        <v>-240543.43</v>
      </c>
      <c r="E2353" t="s">
        <v>35</v>
      </c>
      <c r="F2353" s="2">
        <v>110114001</v>
      </c>
      <c r="G2353" s="2" t="s">
        <v>181</v>
      </c>
      <c r="I2353" s="95" t="s">
        <v>7231</v>
      </c>
      <c r="J2353" t="s">
        <v>37</v>
      </c>
      <c r="K2353" t="s">
        <v>38</v>
      </c>
      <c r="M2353">
        <v>68.7</v>
      </c>
      <c r="N2353" s="4">
        <f t="shared" si="36"/>
        <v>-3501.3599708879183</v>
      </c>
      <c r="O2353" t="s">
        <v>605</v>
      </c>
      <c r="P2353" s="34" t="s">
        <v>1339</v>
      </c>
    </row>
    <row r="2354" spans="1:17" x14ac:dyDescent="0.25">
      <c r="A2354" s="43">
        <v>45742</v>
      </c>
      <c r="B2354" s="1" t="s">
        <v>625</v>
      </c>
      <c r="C2354" t="s">
        <v>622</v>
      </c>
      <c r="D2354" s="23">
        <v>-51.79</v>
      </c>
      <c r="E2354" t="s">
        <v>35</v>
      </c>
      <c r="F2354" s="2">
        <v>610148001</v>
      </c>
      <c r="G2354" s="2" t="s">
        <v>41</v>
      </c>
      <c r="I2354" s="95" t="s">
        <v>7231</v>
      </c>
      <c r="J2354" t="s">
        <v>42</v>
      </c>
      <c r="K2354" t="s">
        <v>41</v>
      </c>
      <c r="M2354">
        <v>68.7</v>
      </c>
      <c r="N2354" s="4">
        <f t="shared" si="36"/>
        <v>-0.75385735080058225</v>
      </c>
      <c r="O2354" t="s">
        <v>605</v>
      </c>
      <c r="Q2354" s="36" t="s">
        <v>1310</v>
      </c>
    </row>
    <row r="2355" spans="1:17" x14ac:dyDescent="0.25">
      <c r="A2355" s="43">
        <v>45742</v>
      </c>
      <c r="B2355" s="1" t="s">
        <v>623</v>
      </c>
      <c r="C2355" t="s">
        <v>622</v>
      </c>
      <c r="D2355" s="23">
        <v>-601.35</v>
      </c>
      <c r="E2355" t="s">
        <v>35</v>
      </c>
      <c r="F2355" s="2">
        <v>610148001</v>
      </c>
      <c r="G2355" s="2" t="s">
        <v>41</v>
      </c>
      <c r="I2355" s="95" t="s">
        <v>7231</v>
      </c>
      <c r="J2355" t="s">
        <v>42</v>
      </c>
      <c r="K2355" t="s">
        <v>41</v>
      </c>
      <c r="M2355">
        <v>68.7</v>
      </c>
      <c r="N2355" s="4">
        <f t="shared" si="36"/>
        <v>-8.7532751091703052</v>
      </c>
      <c r="O2355" t="s">
        <v>605</v>
      </c>
      <c r="Q2355" s="36" t="s">
        <v>1310</v>
      </c>
    </row>
    <row r="2356" spans="1:17" x14ac:dyDescent="0.25">
      <c r="A2356" s="43">
        <v>45742</v>
      </c>
      <c r="B2356" s="1" t="s">
        <v>2181</v>
      </c>
      <c r="C2356" t="s">
        <v>293</v>
      </c>
      <c r="D2356" s="23">
        <v>160000</v>
      </c>
      <c r="E2356" t="s">
        <v>45</v>
      </c>
      <c r="F2356" s="2">
        <v>210115002</v>
      </c>
      <c r="G2356" s="2" t="s">
        <v>46</v>
      </c>
      <c r="I2356" s="95" t="s">
        <v>7231</v>
      </c>
      <c r="K2356" t="s">
        <v>293</v>
      </c>
      <c r="M2356">
        <v>68.7</v>
      </c>
      <c r="N2356" s="4">
        <f t="shared" si="36"/>
        <v>2328.9665211062588</v>
      </c>
      <c r="O2356" t="s">
        <v>605</v>
      </c>
    </row>
    <row r="2357" spans="1:17" x14ac:dyDescent="0.25">
      <c r="A2357" s="43">
        <v>45742</v>
      </c>
      <c r="B2357" s="1" t="s">
        <v>613</v>
      </c>
      <c r="C2357" t="s">
        <v>2180</v>
      </c>
      <c r="D2357" s="23">
        <v>-178960.75</v>
      </c>
      <c r="E2357" t="s">
        <v>35</v>
      </c>
      <c r="F2357" s="2">
        <v>110114001</v>
      </c>
      <c r="G2357" s="2" t="s">
        <v>181</v>
      </c>
      <c r="I2357" s="95" t="s">
        <v>7231</v>
      </c>
      <c r="J2357" t="s">
        <v>37</v>
      </c>
      <c r="K2357" t="s">
        <v>38</v>
      </c>
      <c r="M2357">
        <v>68.7</v>
      </c>
      <c r="N2357" s="4">
        <f t="shared" si="36"/>
        <v>-2604.9599708879182</v>
      </c>
      <c r="O2357" t="s">
        <v>605</v>
      </c>
      <c r="P2357" s="34" t="s">
        <v>1339</v>
      </c>
    </row>
    <row r="2358" spans="1:17" x14ac:dyDescent="0.25">
      <c r="A2358" s="43">
        <v>45742</v>
      </c>
      <c r="B2358" s="1" t="s">
        <v>623</v>
      </c>
      <c r="C2358" t="s">
        <v>622</v>
      </c>
      <c r="D2358" s="23">
        <v>-447.4</v>
      </c>
      <c r="E2358" t="s">
        <v>35</v>
      </c>
      <c r="F2358" s="2">
        <v>610148001</v>
      </c>
      <c r="G2358" s="2" t="s">
        <v>41</v>
      </c>
      <c r="I2358" s="95" t="s">
        <v>7231</v>
      </c>
      <c r="J2358" t="s">
        <v>42</v>
      </c>
      <c r="K2358" t="s">
        <v>41</v>
      </c>
      <c r="M2358">
        <v>68.7</v>
      </c>
      <c r="N2358" s="4">
        <f t="shared" si="36"/>
        <v>-6.5123726346433761</v>
      </c>
      <c r="O2358" t="s">
        <v>605</v>
      </c>
      <c r="Q2358" s="36" t="s">
        <v>1310</v>
      </c>
    </row>
    <row r="2359" spans="1:17" x14ac:dyDescent="0.25">
      <c r="A2359" s="43">
        <v>45743</v>
      </c>
      <c r="B2359" s="1" t="s">
        <v>2182</v>
      </c>
      <c r="C2359" t="s">
        <v>293</v>
      </c>
      <c r="D2359" s="23">
        <v>120000</v>
      </c>
      <c r="E2359" t="s">
        <v>45</v>
      </c>
      <c r="F2359" s="2">
        <v>210115002</v>
      </c>
      <c r="G2359" s="2" t="s">
        <v>46</v>
      </c>
      <c r="I2359" s="95" t="s">
        <v>7231</v>
      </c>
      <c r="K2359" t="s">
        <v>293</v>
      </c>
      <c r="M2359">
        <v>69.02</v>
      </c>
      <c r="N2359" s="4">
        <f t="shared" si="36"/>
        <v>1738.6264850767895</v>
      </c>
      <c r="O2359" t="s">
        <v>605</v>
      </c>
    </row>
    <row r="2360" spans="1:17" x14ac:dyDescent="0.25">
      <c r="A2360" s="43">
        <v>45743</v>
      </c>
      <c r="B2360" s="1" t="s">
        <v>617</v>
      </c>
      <c r="C2360" t="s">
        <v>2183</v>
      </c>
      <c r="D2360" s="23">
        <v>-25178.49</v>
      </c>
      <c r="E2360" t="s">
        <v>35</v>
      </c>
      <c r="F2360" s="2">
        <v>110114001</v>
      </c>
      <c r="G2360" s="2" t="s">
        <v>181</v>
      </c>
      <c r="I2360" s="95" t="s">
        <v>7231</v>
      </c>
      <c r="J2360" t="s">
        <v>376</v>
      </c>
      <c r="K2360" t="s">
        <v>377</v>
      </c>
      <c r="M2360">
        <v>69.02</v>
      </c>
      <c r="N2360" s="4">
        <f t="shared" si="36"/>
        <v>-364.79991306867578</v>
      </c>
      <c r="O2360" t="s">
        <v>605</v>
      </c>
      <c r="P2360" s="34" t="s">
        <v>1339</v>
      </c>
    </row>
    <row r="2361" spans="1:17" x14ac:dyDescent="0.25">
      <c r="A2361" s="43">
        <v>45743</v>
      </c>
      <c r="B2361" s="1" t="s">
        <v>615</v>
      </c>
      <c r="C2361" t="s">
        <v>2184</v>
      </c>
      <c r="D2361" s="23">
        <v>-31609.5</v>
      </c>
      <c r="E2361" t="s">
        <v>35</v>
      </c>
      <c r="F2361" s="2">
        <v>110114001</v>
      </c>
      <c r="G2361" s="2" t="s">
        <v>181</v>
      </c>
      <c r="I2361" s="95" t="s">
        <v>7231</v>
      </c>
      <c r="J2361" t="s">
        <v>283</v>
      </c>
      <c r="K2361" t="s">
        <v>284</v>
      </c>
      <c r="M2361">
        <v>69.02</v>
      </c>
      <c r="N2361" s="4">
        <f t="shared" si="36"/>
        <v>-457.9759490002898</v>
      </c>
      <c r="O2361" t="s">
        <v>605</v>
      </c>
      <c r="P2361" s="34" t="s">
        <v>1339</v>
      </c>
    </row>
    <row r="2362" spans="1:17" x14ac:dyDescent="0.25">
      <c r="A2362" s="43">
        <v>45743</v>
      </c>
      <c r="B2362" s="1" t="s">
        <v>613</v>
      </c>
      <c r="C2362" t="s">
        <v>2185</v>
      </c>
      <c r="D2362" s="23">
        <v>-63753.599999999999</v>
      </c>
      <c r="E2362" t="s">
        <v>35</v>
      </c>
      <c r="F2362" s="2">
        <v>210101001</v>
      </c>
      <c r="G2362" s="2" t="s">
        <v>36</v>
      </c>
      <c r="I2362" s="95" t="s">
        <v>7231</v>
      </c>
      <c r="J2362" t="s">
        <v>37</v>
      </c>
      <c r="K2362" t="s">
        <v>38</v>
      </c>
      <c r="M2362">
        <v>69.02</v>
      </c>
      <c r="N2362" s="4">
        <f t="shared" si="36"/>
        <v>-923.69747899159665</v>
      </c>
      <c r="O2362" t="s">
        <v>605</v>
      </c>
    </row>
    <row r="2363" spans="1:17" x14ac:dyDescent="0.25">
      <c r="A2363" s="43">
        <v>45743</v>
      </c>
      <c r="B2363" s="1" t="s">
        <v>623</v>
      </c>
      <c r="C2363" t="s">
        <v>622</v>
      </c>
      <c r="D2363" s="23">
        <v>-159.38</v>
      </c>
      <c r="E2363" t="s">
        <v>35</v>
      </c>
      <c r="F2363" s="2">
        <v>610148001</v>
      </c>
      <c r="G2363" s="2" t="s">
        <v>41</v>
      </c>
      <c r="I2363" s="95" t="s">
        <v>7231</v>
      </c>
      <c r="J2363" t="s">
        <v>42</v>
      </c>
      <c r="K2363" t="s">
        <v>41</v>
      </c>
      <c r="M2363">
        <v>69.02</v>
      </c>
      <c r="N2363" s="4">
        <f t="shared" si="36"/>
        <v>-2.3091857432628222</v>
      </c>
      <c r="O2363" t="s">
        <v>605</v>
      </c>
      <c r="Q2363" s="36" t="s">
        <v>1310</v>
      </c>
    </row>
    <row r="2364" spans="1:17" x14ac:dyDescent="0.25">
      <c r="A2364" s="43">
        <v>45743</v>
      </c>
      <c r="B2364" s="1" t="s">
        <v>624</v>
      </c>
      <c r="C2364" t="s">
        <v>622</v>
      </c>
      <c r="D2364" s="23">
        <v>-62.94</v>
      </c>
      <c r="E2364" t="s">
        <v>35</v>
      </c>
      <c r="F2364" s="2">
        <v>610148001</v>
      </c>
      <c r="G2364" s="2" t="s">
        <v>41</v>
      </c>
      <c r="I2364" s="95" t="s">
        <v>7231</v>
      </c>
      <c r="J2364" t="s">
        <v>42</v>
      </c>
      <c r="K2364" t="s">
        <v>41</v>
      </c>
      <c r="M2364">
        <v>69.02</v>
      </c>
      <c r="N2364" s="4">
        <f t="shared" si="36"/>
        <v>-0.91190959142277606</v>
      </c>
      <c r="O2364" t="s">
        <v>605</v>
      </c>
      <c r="Q2364" s="36" t="s">
        <v>1310</v>
      </c>
    </row>
    <row r="2365" spans="1:17" x14ac:dyDescent="0.25">
      <c r="A2365" s="43">
        <v>45743</v>
      </c>
      <c r="B2365" s="1" t="s">
        <v>625</v>
      </c>
      <c r="C2365" t="s">
        <v>622</v>
      </c>
      <c r="D2365" s="23">
        <v>-79.02</v>
      </c>
      <c r="E2365" t="s">
        <v>35</v>
      </c>
      <c r="F2365" s="2">
        <v>610148001</v>
      </c>
      <c r="G2365" s="2" t="s">
        <v>41</v>
      </c>
      <c r="I2365" s="95" t="s">
        <v>7231</v>
      </c>
      <c r="J2365" t="s">
        <v>42</v>
      </c>
      <c r="K2365" t="s">
        <v>41</v>
      </c>
      <c r="M2365">
        <v>69.02</v>
      </c>
      <c r="N2365" s="4">
        <f t="shared" si="36"/>
        <v>-1.1448855404230658</v>
      </c>
      <c r="O2365" t="s">
        <v>605</v>
      </c>
      <c r="Q2365" s="36" t="s">
        <v>1310</v>
      </c>
    </row>
    <row r="2366" spans="1:17" x14ac:dyDescent="0.25">
      <c r="A2366" s="43">
        <v>45743</v>
      </c>
      <c r="B2366" s="1" t="s">
        <v>2186</v>
      </c>
      <c r="C2366" t="s">
        <v>293</v>
      </c>
      <c r="D2366" s="23">
        <v>50000</v>
      </c>
      <c r="E2366" t="s">
        <v>45</v>
      </c>
      <c r="F2366" s="2">
        <v>210115002</v>
      </c>
      <c r="G2366" s="2" t="s">
        <v>46</v>
      </c>
      <c r="I2366" s="95" t="s">
        <v>7231</v>
      </c>
      <c r="K2366" t="s">
        <v>293</v>
      </c>
      <c r="M2366">
        <v>69.02</v>
      </c>
      <c r="N2366" s="4">
        <f t="shared" si="36"/>
        <v>724.42770211532888</v>
      </c>
      <c r="O2366" t="s">
        <v>605</v>
      </c>
    </row>
    <row r="2367" spans="1:17" x14ac:dyDescent="0.25">
      <c r="A2367" s="43">
        <v>45743</v>
      </c>
      <c r="B2367" s="1" t="s">
        <v>617</v>
      </c>
      <c r="C2367" t="s">
        <v>2187</v>
      </c>
      <c r="D2367" s="23">
        <v>-11953.8</v>
      </c>
      <c r="E2367" t="s">
        <v>35</v>
      </c>
      <c r="F2367" s="2">
        <v>110114001</v>
      </c>
      <c r="G2367" s="2" t="s">
        <v>181</v>
      </c>
      <c r="I2367" s="95" t="s">
        <v>7231</v>
      </c>
      <c r="J2367" t="s">
        <v>680</v>
      </c>
      <c r="K2367" t="s">
        <v>681</v>
      </c>
      <c r="M2367">
        <v>69.02</v>
      </c>
      <c r="N2367" s="4">
        <f t="shared" si="36"/>
        <v>-173.19327731092437</v>
      </c>
      <c r="O2367" t="s">
        <v>605</v>
      </c>
      <c r="P2367" s="34" t="s">
        <v>1339</v>
      </c>
    </row>
    <row r="2368" spans="1:17" x14ac:dyDescent="0.25">
      <c r="A2368" s="43">
        <v>45743</v>
      </c>
      <c r="B2368" s="1" t="s">
        <v>613</v>
      </c>
      <c r="C2368" t="s">
        <v>2188</v>
      </c>
      <c r="D2368" s="23">
        <v>-1761.39</v>
      </c>
      <c r="E2368" t="s">
        <v>35</v>
      </c>
      <c r="F2368" s="2">
        <v>110114001</v>
      </c>
      <c r="G2368" s="2" t="s">
        <v>181</v>
      </c>
      <c r="I2368" s="95" t="s">
        <v>7231</v>
      </c>
      <c r="J2368" t="s">
        <v>182</v>
      </c>
      <c r="K2368" t="s">
        <v>183</v>
      </c>
      <c r="M2368">
        <v>69.02</v>
      </c>
      <c r="N2368" s="4">
        <f t="shared" si="36"/>
        <v>-25.519994204578385</v>
      </c>
      <c r="O2368" t="s">
        <v>605</v>
      </c>
      <c r="P2368" s="34" t="s">
        <v>1339</v>
      </c>
    </row>
    <row r="2369" spans="1:20" x14ac:dyDescent="0.25">
      <c r="A2369" s="43">
        <v>45743</v>
      </c>
      <c r="B2369" s="1" t="s">
        <v>619</v>
      </c>
      <c r="C2369" t="s">
        <v>2189</v>
      </c>
      <c r="D2369" s="23">
        <v>-4963.92</v>
      </c>
      <c r="E2369" t="s">
        <v>35</v>
      </c>
      <c r="F2369" s="2">
        <v>110114001</v>
      </c>
      <c r="G2369" s="2" t="s">
        <v>181</v>
      </c>
      <c r="I2369" s="95" t="s">
        <v>7231</v>
      </c>
      <c r="J2369" t="s">
        <v>398</v>
      </c>
      <c r="K2369" t="s">
        <v>399</v>
      </c>
      <c r="M2369">
        <v>69.02</v>
      </c>
      <c r="N2369" s="4">
        <f t="shared" si="36"/>
        <v>-71.920023181686474</v>
      </c>
      <c r="O2369" t="s">
        <v>605</v>
      </c>
      <c r="P2369" s="34" t="s">
        <v>1339</v>
      </c>
    </row>
    <row r="2370" spans="1:20" x14ac:dyDescent="0.25">
      <c r="A2370" s="43">
        <v>45743</v>
      </c>
      <c r="B2370" s="1" t="s">
        <v>615</v>
      </c>
      <c r="C2370" t="s">
        <v>2190</v>
      </c>
      <c r="D2370" s="23">
        <v>-23556.78</v>
      </c>
      <c r="E2370" t="s">
        <v>35</v>
      </c>
      <c r="F2370" s="2">
        <v>110114001</v>
      </c>
      <c r="G2370" s="2" t="s">
        <v>181</v>
      </c>
      <c r="I2370" s="95" t="s">
        <v>7231</v>
      </c>
      <c r="J2370" t="s">
        <v>398</v>
      </c>
      <c r="K2370" t="s">
        <v>399</v>
      </c>
      <c r="M2370">
        <v>69.02</v>
      </c>
      <c r="N2370" s="4">
        <f t="shared" si="36"/>
        <v>-341.30368009272672</v>
      </c>
      <c r="O2370" t="s">
        <v>605</v>
      </c>
      <c r="P2370" s="34" t="s">
        <v>1339</v>
      </c>
    </row>
    <row r="2371" spans="1:20" x14ac:dyDescent="0.25">
      <c r="A2371" s="43">
        <v>45743</v>
      </c>
      <c r="B2371" s="1" t="s">
        <v>625</v>
      </c>
      <c r="C2371" t="s">
        <v>622</v>
      </c>
      <c r="D2371" s="23">
        <v>-58.89</v>
      </c>
      <c r="E2371" t="s">
        <v>35</v>
      </c>
      <c r="F2371" s="2">
        <v>610148001</v>
      </c>
      <c r="G2371" s="2" t="s">
        <v>41</v>
      </c>
      <c r="I2371" s="95" t="s">
        <v>7231</v>
      </c>
      <c r="J2371" t="s">
        <v>42</v>
      </c>
      <c r="K2371" t="s">
        <v>41</v>
      </c>
      <c r="M2371">
        <v>69.02</v>
      </c>
      <c r="N2371" s="4">
        <f t="shared" si="36"/>
        <v>-0.85323094755143447</v>
      </c>
      <c r="O2371" t="s">
        <v>605</v>
      </c>
      <c r="Q2371" s="36" t="s">
        <v>1310</v>
      </c>
    </row>
    <row r="2372" spans="1:20" x14ac:dyDescent="0.25">
      <c r="A2372" s="43">
        <v>45743</v>
      </c>
      <c r="B2372" s="1" t="s">
        <v>624</v>
      </c>
      <c r="C2372" t="s">
        <v>622</v>
      </c>
      <c r="D2372" s="23">
        <v>-29.88</v>
      </c>
      <c r="E2372" t="s">
        <v>35</v>
      </c>
      <c r="F2372" s="2">
        <v>610148001</v>
      </c>
      <c r="G2372" s="2" t="s">
        <v>41</v>
      </c>
      <c r="I2372" s="95" t="s">
        <v>7231</v>
      </c>
      <c r="J2372" t="s">
        <v>42</v>
      </c>
      <c r="K2372" t="s">
        <v>41</v>
      </c>
      <c r="M2372">
        <v>69.02</v>
      </c>
      <c r="N2372" s="4">
        <f t="shared" si="36"/>
        <v>-0.43291799478412057</v>
      </c>
      <c r="O2372" t="s">
        <v>605</v>
      </c>
      <c r="Q2372" s="36" t="s">
        <v>1310</v>
      </c>
    </row>
    <row r="2373" spans="1:20" x14ac:dyDescent="0.25">
      <c r="A2373" s="43">
        <v>45743</v>
      </c>
      <c r="B2373" s="1" t="s">
        <v>621</v>
      </c>
      <c r="C2373" t="s">
        <v>622</v>
      </c>
      <c r="D2373" s="23">
        <v>-12.4</v>
      </c>
      <c r="E2373" t="s">
        <v>35</v>
      </c>
      <c r="F2373" s="2">
        <v>610148001</v>
      </c>
      <c r="G2373" s="2" t="s">
        <v>41</v>
      </c>
      <c r="I2373" s="95" t="s">
        <v>7231</v>
      </c>
      <c r="J2373" t="s">
        <v>42</v>
      </c>
      <c r="K2373" t="s">
        <v>41</v>
      </c>
      <c r="M2373">
        <v>69.02</v>
      </c>
      <c r="N2373" s="4">
        <f t="shared" si="36"/>
        <v>-0.17965807012460158</v>
      </c>
      <c r="O2373" t="s">
        <v>605</v>
      </c>
      <c r="Q2373" s="36" t="s">
        <v>1310</v>
      </c>
    </row>
    <row r="2374" spans="1:20" x14ac:dyDescent="0.25">
      <c r="A2374" s="43">
        <v>45743</v>
      </c>
      <c r="B2374" s="1" t="s">
        <v>623</v>
      </c>
      <c r="C2374" t="s">
        <v>622</v>
      </c>
      <c r="D2374" s="23">
        <v>-4.4000000000000004</v>
      </c>
      <c r="E2374" t="s">
        <v>35</v>
      </c>
      <c r="F2374" s="2">
        <v>610148001</v>
      </c>
      <c r="G2374" s="2" t="s">
        <v>41</v>
      </c>
      <c r="I2374" s="95" t="s">
        <v>7231</v>
      </c>
      <c r="J2374" t="s">
        <v>42</v>
      </c>
      <c r="K2374" t="s">
        <v>41</v>
      </c>
      <c r="M2374">
        <v>69.02</v>
      </c>
      <c r="N2374" s="4">
        <f t="shared" si="36"/>
        <v>-6.3749637786148949E-2</v>
      </c>
      <c r="O2374" t="s">
        <v>605</v>
      </c>
      <c r="Q2374" s="35" t="s">
        <v>1310</v>
      </c>
    </row>
    <row r="2375" spans="1:20" x14ac:dyDescent="0.25">
      <c r="A2375" s="43">
        <v>45744</v>
      </c>
      <c r="B2375" s="1" t="s">
        <v>2191</v>
      </c>
      <c r="C2375" t="s">
        <v>2192</v>
      </c>
      <c r="D2375" s="23">
        <v>12888.06</v>
      </c>
      <c r="E2375" t="s">
        <v>45</v>
      </c>
      <c r="F2375" s="2">
        <v>110114001</v>
      </c>
      <c r="G2375" s="2" t="s">
        <v>181</v>
      </c>
      <c r="I2375" s="95" t="s">
        <v>7231</v>
      </c>
      <c r="K2375" t="s">
        <v>1162</v>
      </c>
      <c r="M2375">
        <v>69.44</v>
      </c>
      <c r="N2375" s="4">
        <f t="shared" si="36"/>
        <v>185.59994239631337</v>
      </c>
      <c r="O2375" t="s">
        <v>605</v>
      </c>
    </row>
    <row r="2376" spans="1:20" x14ac:dyDescent="0.25">
      <c r="A2376" s="43">
        <v>45747</v>
      </c>
      <c r="B2376" s="1" t="s">
        <v>2193</v>
      </c>
      <c r="C2376" t="s">
        <v>2194</v>
      </c>
      <c r="D2376" s="23">
        <v>1099.2</v>
      </c>
      <c r="E2376" t="s">
        <v>45</v>
      </c>
      <c r="F2376" s="2">
        <v>110114001</v>
      </c>
      <c r="G2376" s="2" t="s">
        <v>181</v>
      </c>
      <c r="I2376" s="95" t="s">
        <v>7231</v>
      </c>
      <c r="K2376" t="s">
        <v>1162</v>
      </c>
      <c r="M2376">
        <v>69.569999999999993</v>
      </c>
      <c r="N2376" s="4">
        <f t="shared" si="36"/>
        <v>15.799913755929282</v>
      </c>
      <c r="O2376" t="s">
        <v>605</v>
      </c>
    </row>
    <row r="2377" spans="1:20" x14ac:dyDescent="0.25">
      <c r="A2377" s="22">
        <v>45747</v>
      </c>
      <c r="B2377">
        <v>71600000000</v>
      </c>
      <c r="C2377" t="s">
        <v>676</v>
      </c>
      <c r="D2377" s="23">
        <v>-0.5</v>
      </c>
      <c r="E2377" t="s">
        <v>35</v>
      </c>
      <c r="F2377" s="2">
        <v>610148001</v>
      </c>
      <c r="G2377" s="2" t="s">
        <v>41</v>
      </c>
      <c r="I2377" s="95" t="s">
        <v>7231</v>
      </c>
      <c r="J2377" t="s">
        <v>42</v>
      </c>
      <c r="K2377" t="s">
        <v>41</v>
      </c>
      <c r="M2377">
        <v>69.569999999999993</v>
      </c>
      <c r="N2377" s="4">
        <f t="shared" si="36"/>
        <v>-7.1870058933448337E-3</v>
      </c>
      <c r="O2377" t="s">
        <v>39</v>
      </c>
      <c r="Q2377" s="24" t="s">
        <v>1310</v>
      </c>
    </row>
    <row r="2378" spans="1:20" x14ac:dyDescent="0.25">
      <c r="A2378" s="22">
        <v>45747</v>
      </c>
      <c r="B2378">
        <v>91577700000</v>
      </c>
      <c r="C2378" t="s">
        <v>678</v>
      </c>
      <c r="D2378" s="23">
        <v>-0.5</v>
      </c>
      <c r="E2378" t="s">
        <v>35</v>
      </c>
      <c r="F2378" s="2">
        <v>610148001</v>
      </c>
      <c r="G2378" s="2" t="s">
        <v>41</v>
      </c>
      <c r="I2378" s="95" t="s">
        <v>7231</v>
      </c>
      <c r="J2378" t="s">
        <v>42</v>
      </c>
      <c r="K2378" t="s">
        <v>41</v>
      </c>
      <c r="M2378">
        <v>69.569999999999993</v>
      </c>
      <c r="N2378" s="4">
        <f t="shared" si="36"/>
        <v>-7.1870058933448337E-3</v>
      </c>
      <c r="O2378" t="s">
        <v>39</v>
      </c>
      <c r="Q2378" s="24" t="s">
        <v>1310</v>
      </c>
    </row>
    <row r="2379" spans="1:20" x14ac:dyDescent="0.25">
      <c r="A2379" s="22">
        <v>45776</v>
      </c>
      <c r="B2379" s="1">
        <v>90</v>
      </c>
      <c r="C2379" t="s">
        <v>50</v>
      </c>
      <c r="D2379" s="23">
        <v>-64.58</v>
      </c>
      <c r="E2379" t="s">
        <v>35</v>
      </c>
      <c r="F2379" s="2">
        <v>610148001</v>
      </c>
      <c r="G2379" s="2" t="s">
        <v>41</v>
      </c>
      <c r="I2379" s="95" t="s">
        <v>7231</v>
      </c>
      <c r="J2379" t="s">
        <v>42</v>
      </c>
      <c r="K2379" t="s">
        <v>41</v>
      </c>
      <c r="M2379">
        <v>86.66</v>
      </c>
      <c r="N2379" s="4">
        <f t="shared" si="36"/>
        <v>-0.74521117009000692</v>
      </c>
      <c r="O2379" t="s">
        <v>51</v>
      </c>
      <c r="Q2379" s="24" t="s">
        <v>2195</v>
      </c>
    </row>
    <row r="2380" spans="1:20" x14ac:dyDescent="0.25">
      <c r="A2380" s="22">
        <v>45776</v>
      </c>
      <c r="B2380" s="1">
        <v>89</v>
      </c>
      <c r="C2380" t="s">
        <v>2196</v>
      </c>
      <c r="D2380" s="23">
        <v>-21527.5</v>
      </c>
      <c r="E2380" t="s">
        <v>35</v>
      </c>
      <c r="F2380" s="2">
        <v>840101001</v>
      </c>
      <c r="G2380" s="2" t="s">
        <v>60</v>
      </c>
      <c r="I2380" s="95" t="s">
        <v>7231</v>
      </c>
      <c r="J2380" t="s">
        <v>61</v>
      </c>
      <c r="K2380" t="s">
        <v>62</v>
      </c>
      <c r="M2380">
        <v>86.66</v>
      </c>
      <c r="N2380" s="4">
        <f t="shared" ref="N2380:N2443" si="37">D2380/M2380</f>
        <v>-248.41333948765291</v>
      </c>
      <c r="O2380" t="s">
        <v>51</v>
      </c>
    </row>
    <row r="2381" spans="1:20" x14ac:dyDescent="0.25">
      <c r="A2381" s="22">
        <v>45776</v>
      </c>
      <c r="B2381" s="1">
        <v>88</v>
      </c>
      <c r="C2381" t="s">
        <v>82</v>
      </c>
      <c r="D2381" s="23">
        <v>25000</v>
      </c>
      <c r="E2381" t="s">
        <v>45</v>
      </c>
      <c r="F2381" s="2">
        <v>210115002</v>
      </c>
      <c r="G2381" s="2" t="s">
        <v>46</v>
      </c>
      <c r="I2381" s="95" t="s">
        <v>7231</v>
      </c>
      <c r="K2381" t="s">
        <v>82</v>
      </c>
      <c r="M2381">
        <v>86.66</v>
      </c>
      <c r="N2381" s="4">
        <f t="shared" si="37"/>
        <v>288.48372951765521</v>
      </c>
      <c r="O2381" t="s">
        <v>51</v>
      </c>
    </row>
    <row r="2382" spans="1:20" x14ac:dyDescent="0.25">
      <c r="A2382" s="22">
        <v>45777</v>
      </c>
      <c r="B2382" s="1">
        <v>92</v>
      </c>
      <c r="C2382" t="s">
        <v>68</v>
      </c>
      <c r="D2382" s="23">
        <v>-0.5</v>
      </c>
      <c r="E2382" t="s">
        <v>35</v>
      </c>
      <c r="F2382" s="2">
        <v>610148001</v>
      </c>
      <c r="G2382" s="2" t="s">
        <v>41</v>
      </c>
      <c r="I2382" s="95" t="s">
        <v>7231</v>
      </c>
      <c r="J2382" t="s">
        <v>42</v>
      </c>
      <c r="K2382" t="s">
        <v>41</v>
      </c>
      <c r="M2382">
        <v>86.85</v>
      </c>
      <c r="N2382" s="4">
        <f t="shared" si="37"/>
        <v>-5.7570523891767415E-3</v>
      </c>
      <c r="O2382" t="s">
        <v>51</v>
      </c>
      <c r="Q2382" s="24" t="s">
        <v>2195</v>
      </c>
    </row>
    <row r="2383" spans="1:20" x14ac:dyDescent="0.25">
      <c r="A2383" s="22">
        <v>45777</v>
      </c>
      <c r="B2383" s="1">
        <v>91</v>
      </c>
      <c r="C2383" t="s">
        <v>69</v>
      </c>
      <c r="D2383" s="23">
        <v>-0.5</v>
      </c>
      <c r="E2383" t="s">
        <v>35</v>
      </c>
      <c r="F2383" s="2">
        <v>610148001</v>
      </c>
      <c r="G2383" s="2" t="s">
        <v>41</v>
      </c>
      <c r="I2383" s="95" t="s">
        <v>7231</v>
      </c>
      <c r="J2383" t="s">
        <v>42</v>
      </c>
      <c r="K2383" t="s">
        <v>41</v>
      </c>
      <c r="M2383">
        <v>86.85</v>
      </c>
      <c r="N2383" s="4">
        <f t="shared" si="37"/>
        <v>-5.7570523891767415E-3</v>
      </c>
      <c r="O2383" t="s">
        <v>51</v>
      </c>
      <c r="Q2383" s="24" t="s">
        <v>2195</v>
      </c>
    </row>
    <row r="2384" spans="1:20" x14ac:dyDescent="0.25">
      <c r="A2384" s="22">
        <v>45748</v>
      </c>
      <c r="B2384" s="1">
        <v>711589745</v>
      </c>
      <c r="C2384" t="s">
        <v>2197</v>
      </c>
      <c r="D2384" s="23">
        <v>2748</v>
      </c>
      <c r="E2384" t="s">
        <v>45</v>
      </c>
      <c r="F2384" s="2">
        <v>212901001</v>
      </c>
      <c r="G2384" s="2" t="s">
        <v>91</v>
      </c>
      <c r="I2384" s="95" t="s">
        <v>7231</v>
      </c>
      <c r="J2384" t="s">
        <v>61</v>
      </c>
      <c r="K2384" t="s">
        <v>62</v>
      </c>
      <c r="M2384">
        <v>69.78</v>
      </c>
      <c r="N2384" s="4">
        <f t="shared" si="37"/>
        <v>39.380911435941528</v>
      </c>
      <c r="O2384" t="s">
        <v>83</v>
      </c>
      <c r="R2384">
        <v>1</v>
      </c>
      <c r="S2384" t="e">
        <f>VLOOKUP(R2384,[1]!NOMINA[#Data],4,FALSE)</f>
        <v>#REF!</v>
      </c>
      <c r="T2384" t="e">
        <f>VLOOKUP(R2384,[1]!NOMINA[#Data],5,FALSE)</f>
        <v>#REF!</v>
      </c>
    </row>
    <row r="2385" spans="1:17" x14ac:dyDescent="0.25">
      <c r="A2385" s="22">
        <v>45748</v>
      </c>
      <c r="B2385" s="1">
        <v>145555249</v>
      </c>
      <c r="C2385" t="s">
        <v>2198</v>
      </c>
      <c r="D2385" s="23">
        <v>128702.23</v>
      </c>
      <c r="E2385" t="s">
        <v>45</v>
      </c>
      <c r="F2385" s="2">
        <v>110106001</v>
      </c>
      <c r="G2385" s="2" t="s">
        <v>1011</v>
      </c>
      <c r="I2385" s="95" t="s">
        <v>7231</v>
      </c>
      <c r="K2385" t="s">
        <v>2199</v>
      </c>
      <c r="M2385">
        <v>69.78</v>
      </c>
      <c r="N2385" s="4">
        <f t="shared" si="37"/>
        <v>1844.3999713384924</v>
      </c>
      <c r="O2385" t="s">
        <v>83</v>
      </c>
    </row>
    <row r="2386" spans="1:17" x14ac:dyDescent="0.25">
      <c r="A2386" s="22">
        <v>45748</v>
      </c>
      <c r="B2386" s="1">
        <v>710790898</v>
      </c>
      <c r="C2386" t="s">
        <v>2200</v>
      </c>
      <c r="D2386" s="23">
        <v>-84182.59</v>
      </c>
      <c r="E2386" t="s">
        <v>35</v>
      </c>
      <c r="F2386" s="2">
        <v>210101001</v>
      </c>
      <c r="G2386" s="2" t="s">
        <v>36</v>
      </c>
      <c r="I2386" s="95" t="s">
        <v>7231</v>
      </c>
      <c r="J2386" t="s">
        <v>182</v>
      </c>
      <c r="K2386" t="s">
        <v>183</v>
      </c>
      <c r="M2386">
        <v>69.78</v>
      </c>
      <c r="N2386" s="4">
        <f t="shared" si="37"/>
        <v>-1206.3999713384924</v>
      </c>
      <c r="O2386" t="s">
        <v>83</v>
      </c>
    </row>
    <row r="2387" spans="1:17" x14ac:dyDescent="0.25">
      <c r="A2387" s="22">
        <v>45748</v>
      </c>
      <c r="B2387" s="1">
        <v>710790898</v>
      </c>
      <c r="C2387" t="s">
        <v>185</v>
      </c>
      <c r="D2387" s="23">
        <v>-252.55</v>
      </c>
      <c r="E2387" t="s">
        <v>35</v>
      </c>
      <c r="F2387" s="2">
        <v>610148001</v>
      </c>
      <c r="G2387" s="2" t="s">
        <v>41</v>
      </c>
      <c r="I2387" s="95" t="s">
        <v>7231</v>
      </c>
      <c r="J2387" t="s">
        <v>42</v>
      </c>
      <c r="K2387" t="s">
        <v>41</v>
      </c>
      <c r="M2387">
        <v>69.78</v>
      </c>
      <c r="N2387" s="4">
        <f t="shared" si="37"/>
        <v>-3.6192318715964462</v>
      </c>
      <c r="O2387" t="s">
        <v>83</v>
      </c>
      <c r="Q2387" s="24" t="s">
        <v>2195</v>
      </c>
    </row>
    <row r="2388" spans="1:17" x14ac:dyDescent="0.25">
      <c r="A2388" s="22">
        <v>45748</v>
      </c>
      <c r="B2388" s="1">
        <v>76937557</v>
      </c>
      <c r="C2388" t="s">
        <v>2201</v>
      </c>
      <c r="D2388" s="23">
        <v>56418.53</v>
      </c>
      <c r="E2388" t="s">
        <v>45</v>
      </c>
      <c r="F2388" s="2">
        <v>110106001</v>
      </c>
      <c r="G2388" s="2" t="s">
        <v>1011</v>
      </c>
      <c r="I2388" s="95" t="s">
        <v>7231</v>
      </c>
      <c r="K2388" t="s">
        <v>2199</v>
      </c>
      <c r="M2388">
        <v>69.78</v>
      </c>
      <c r="N2388" s="4">
        <f t="shared" si="37"/>
        <v>808.52006305531665</v>
      </c>
      <c r="O2388" t="s">
        <v>83</v>
      </c>
    </row>
    <row r="2389" spans="1:17" x14ac:dyDescent="0.25">
      <c r="A2389" s="22">
        <v>45748</v>
      </c>
      <c r="B2389" s="1">
        <v>0</v>
      </c>
      <c r="C2389" t="s">
        <v>92</v>
      </c>
      <c r="D2389" s="23">
        <v>-69.56</v>
      </c>
      <c r="E2389" t="s">
        <v>35</v>
      </c>
      <c r="F2389" s="2">
        <v>610148001</v>
      </c>
      <c r="G2389" s="2" t="s">
        <v>41</v>
      </c>
      <c r="I2389" s="95" t="s">
        <v>7231</v>
      </c>
      <c r="J2389" t="s">
        <v>42</v>
      </c>
      <c r="K2389" t="s">
        <v>41</v>
      </c>
      <c r="M2389">
        <v>69.78</v>
      </c>
      <c r="N2389" s="4">
        <f t="shared" si="37"/>
        <v>-0.99684723416451704</v>
      </c>
      <c r="O2389" t="s">
        <v>83</v>
      </c>
      <c r="Q2389" s="24" t="s">
        <v>2195</v>
      </c>
    </row>
    <row r="2390" spans="1:17" x14ac:dyDescent="0.25">
      <c r="A2390" s="22">
        <v>45748</v>
      </c>
      <c r="B2390" s="1">
        <v>628118</v>
      </c>
      <c r="C2390" t="s">
        <v>2202</v>
      </c>
      <c r="D2390" s="23">
        <v>-28488.92</v>
      </c>
      <c r="E2390" t="s">
        <v>35</v>
      </c>
      <c r="F2390" s="2">
        <v>213401001</v>
      </c>
      <c r="G2390" s="2" t="s">
        <v>94</v>
      </c>
      <c r="I2390" s="95" t="s">
        <v>7231</v>
      </c>
      <c r="J2390" t="s">
        <v>95</v>
      </c>
      <c r="K2390" t="s">
        <v>96</v>
      </c>
      <c r="M2390">
        <v>69.78</v>
      </c>
      <c r="N2390" s="4">
        <f t="shared" si="37"/>
        <v>-408.26769848094006</v>
      </c>
      <c r="O2390" t="s">
        <v>83</v>
      </c>
      <c r="Q2390" s="24" t="s">
        <v>2203</v>
      </c>
    </row>
    <row r="2391" spans="1:17" x14ac:dyDescent="0.25">
      <c r="A2391" s="22">
        <v>45749</v>
      </c>
      <c r="B2391" s="1">
        <v>143640690</v>
      </c>
      <c r="C2391" t="s">
        <v>82</v>
      </c>
      <c r="D2391" s="23">
        <v>132000</v>
      </c>
      <c r="E2391" t="s">
        <v>45</v>
      </c>
      <c r="F2391" s="2">
        <v>210115002</v>
      </c>
      <c r="G2391" s="2" t="s">
        <v>46</v>
      </c>
      <c r="I2391" s="95" t="s">
        <v>7231</v>
      </c>
      <c r="K2391" t="s">
        <v>82</v>
      </c>
      <c r="M2391">
        <v>70.010000000000005</v>
      </c>
      <c r="N2391" s="4">
        <f t="shared" si="37"/>
        <v>1885.4449364376517</v>
      </c>
      <c r="O2391" t="s">
        <v>83</v>
      </c>
    </row>
    <row r="2392" spans="1:17" x14ac:dyDescent="0.25">
      <c r="A2392" s="22">
        <v>45749</v>
      </c>
      <c r="B2392" s="1">
        <v>110844410</v>
      </c>
      <c r="C2392" t="s">
        <v>2204</v>
      </c>
      <c r="D2392" s="23">
        <v>-42230.03</v>
      </c>
      <c r="E2392" t="s">
        <v>35</v>
      </c>
      <c r="F2392" s="2">
        <v>210101001</v>
      </c>
      <c r="G2392" s="2" t="s">
        <v>36</v>
      </c>
      <c r="I2392" s="95" t="s">
        <v>7231</v>
      </c>
      <c r="J2392" t="s">
        <v>182</v>
      </c>
      <c r="K2392" t="s">
        <v>183</v>
      </c>
      <c r="M2392">
        <v>70.010000000000005</v>
      </c>
      <c r="N2392" s="4">
        <f t="shared" si="37"/>
        <v>-603.19997143265243</v>
      </c>
      <c r="O2392" t="s">
        <v>83</v>
      </c>
    </row>
    <row r="2393" spans="1:17" x14ac:dyDescent="0.25">
      <c r="A2393" s="22">
        <v>45749</v>
      </c>
      <c r="B2393" s="1">
        <v>110844409</v>
      </c>
      <c r="C2393" t="s">
        <v>2205</v>
      </c>
      <c r="D2393" s="23">
        <v>-11901.7</v>
      </c>
      <c r="E2393" t="s">
        <v>35</v>
      </c>
      <c r="F2393" s="2">
        <v>210101001</v>
      </c>
      <c r="G2393" s="2" t="s">
        <v>36</v>
      </c>
      <c r="I2393" s="95" t="s">
        <v>7231</v>
      </c>
      <c r="J2393" t="s">
        <v>1007</v>
      </c>
      <c r="K2393" t="s">
        <v>1008</v>
      </c>
      <c r="M2393">
        <v>70.010000000000005</v>
      </c>
      <c r="N2393" s="4">
        <f t="shared" si="37"/>
        <v>-170</v>
      </c>
      <c r="O2393" t="s">
        <v>83</v>
      </c>
    </row>
    <row r="2394" spans="1:17" x14ac:dyDescent="0.25">
      <c r="A2394" s="22">
        <v>45749</v>
      </c>
      <c r="B2394" s="1">
        <v>210844412</v>
      </c>
      <c r="C2394" t="s">
        <v>2206</v>
      </c>
      <c r="D2394" s="23">
        <v>-67405.63</v>
      </c>
      <c r="E2394" t="s">
        <v>35</v>
      </c>
      <c r="F2394" s="2">
        <v>210101001</v>
      </c>
      <c r="G2394" s="2" t="s">
        <v>36</v>
      </c>
      <c r="I2394" s="95" t="s">
        <v>7231</v>
      </c>
      <c r="J2394" t="s">
        <v>182</v>
      </c>
      <c r="K2394" t="s">
        <v>183</v>
      </c>
      <c r="M2394">
        <v>70.010000000000005</v>
      </c>
      <c r="N2394" s="4">
        <f t="shared" si="37"/>
        <v>-962.80002856734757</v>
      </c>
      <c r="O2394" t="s">
        <v>83</v>
      </c>
    </row>
    <row r="2395" spans="1:17" x14ac:dyDescent="0.25">
      <c r="A2395" s="22">
        <v>45749</v>
      </c>
      <c r="B2395" s="1">
        <v>210844411</v>
      </c>
      <c r="C2395" t="s">
        <v>2207</v>
      </c>
      <c r="D2395" s="23">
        <v>-560.08000000000004</v>
      </c>
      <c r="E2395" t="s">
        <v>35</v>
      </c>
      <c r="F2395" s="2">
        <v>210101001</v>
      </c>
      <c r="G2395" s="2" t="s">
        <v>36</v>
      </c>
      <c r="I2395" s="95" t="s">
        <v>7231</v>
      </c>
      <c r="J2395" t="s">
        <v>414</v>
      </c>
      <c r="K2395" t="s">
        <v>415</v>
      </c>
      <c r="M2395">
        <v>70.010000000000005</v>
      </c>
      <c r="N2395" s="4">
        <f t="shared" si="37"/>
        <v>-8</v>
      </c>
      <c r="O2395" t="s">
        <v>83</v>
      </c>
    </row>
    <row r="2396" spans="1:17" x14ac:dyDescent="0.25">
      <c r="A2396" s="22">
        <v>45749</v>
      </c>
      <c r="B2396" s="1">
        <v>210844415</v>
      </c>
      <c r="C2396" t="s">
        <v>2208</v>
      </c>
      <c r="D2396" s="23">
        <v>-42230.03</v>
      </c>
      <c r="E2396" t="s">
        <v>35</v>
      </c>
      <c r="F2396" s="2">
        <v>210101001</v>
      </c>
      <c r="G2396" s="2" t="s">
        <v>36</v>
      </c>
      <c r="I2396" s="95" t="s">
        <v>7231</v>
      </c>
      <c r="J2396" t="s">
        <v>680</v>
      </c>
      <c r="K2396" t="s">
        <v>681</v>
      </c>
      <c r="M2396">
        <v>70.010000000000005</v>
      </c>
      <c r="N2396" s="4">
        <f t="shared" si="37"/>
        <v>-603.19997143265243</v>
      </c>
      <c r="O2396" t="s">
        <v>83</v>
      </c>
    </row>
    <row r="2397" spans="1:17" x14ac:dyDescent="0.25">
      <c r="A2397" s="22">
        <v>45749</v>
      </c>
      <c r="B2397" s="1">
        <v>210844413</v>
      </c>
      <c r="C2397" t="s">
        <v>2209</v>
      </c>
      <c r="D2397" s="23">
        <v>-5846.4</v>
      </c>
      <c r="E2397" t="s">
        <v>35</v>
      </c>
      <c r="F2397" s="2">
        <v>210101001</v>
      </c>
      <c r="G2397" s="2" t="s">
        <v>36</v>
      </c>
      <c r="I2397" s="95" t="s">
        <v>7231</v>
      </c>
      <c r="J2397" t="s">
        <v>182</v>
      </c>
      <c r="K2397" t="s">
        <v>183</v>
      </c>
      <c r="M2397">
        <v>70.010000000000005</v>
      </c>
      <c r="N2397" s="4">
        <f t="shared" si="37"/>
        <v>-83.508070275674896</v>
      </c>
      <c r="O2397" t="s">
        <v>83</v>
      </c>
    </row>
    <row r="2398" spans="1:17" x14ac:dyDescent="0.25">
      <c r="A2398" s="22">
        <v>45749</v>
      </c>
      <c r="B2398" s="1">
        <v>210844414</v>
      </c>
      <c r="C2398" t="s">
        <v>2210</v>
      </c>
      <c r="D2398" s="23">
        <v>-45478.49</v>
      </c>
      <c r="E2398" t="s">
        <v>35</v>
      </c>
      <c r="F2398" s="2">
        <v>210101001</v>
      </c>
      <c r="G2398" s="2" t="s">
        <v>36</v>
      </c>
      <c r="I2398" s="95" t="s">
        <v>7231</v>
      </c>
      <c r="J2398" t="s">
        <v>414</v>
      </c>
      <c r="K2398" t="s">
        <v>415</v>
      </c>
      <c r="M2398">
        <v>70.010000000000005</v>
      </c>
      <c r="N2398" s="4">
        <f t="shared" si="37"/>
        <v>-649.59991429795741</v>
      </c>
      <c r="O2398" t="s">
        <v>83</v>
      </c>
    </row>
    <row r="2399" spans="1:17" x14ac:dyDescent="0.25">
      <c r="A2399" s="22">
        <v>45749</v>
      </c>
      <c r="B2399" s="1">
        <v>210844417</v>
      </c>
      <c r="C2399" t="s">
        <v>2211</v>
      </c>
      <c r="D2399" s="23">
        <v>-2517.56</v>
      </c>
      <c r="E2399" t="s">
        <v>35</v>
      </c>
      <c r="F2399" s="2">
        <v>210101001</v>
      </c>
      <c r="G2399" s="2" t="s">
        <v>36</v>
      </c>
      <c r="I2399" s="95" t="s">
        <v>7231</v>
      </c>
      <c r="J2399" t="s">
        <v>398</v>
      </c>
      <c r="K2399" t="s">
        <v>399</v>
      </c>
      <c r="M2399">
        <v>70.010000000000005</v>
      </c>
      <c r="N2399" s="4">
        <f t="shared" si="37"/>
        <v>-35.960005713469499</v>
      </c>
      <c r="O2399" t="s">
        <v>83</v>
      </c>
    </row>
    <row r="2400" spans="1:17" x14ac:dyDescent="0.25">
      <c r="A2400" s="22">
        <v>45749</v>
      </c>
      <c r="B2400" s="1">
        <v>210844416</v>
      </c>
      <c r="C2400" t="s">
        <v>2212</v>
      </c>
      <c r="D2400" s="23">
        <v>-3500.5</v>
      </c>
      <c r="E2400" t="s">
        <v>35</v>
      </c>
      <c r="F2400" s="2">
        <v>210101001</v>
      </c>
      <c r="G2400" s="2" t="s">
        <v>36</v>
      </c>
      <c r="I2400" s="95" t="s">
        <v>7231</v>
      </c>
      <c r="J2400" t="s">
        <v>86</v>
      </c>
      <c r="K2400" t="s">
        <v>87</v>
      </c>
      <c r="M2400">
        <v>70.010000000000005</v>
      </c>
      <c r="N2400" s="4">
        <f t="shared" si="37"/>
        <v>-49.999999999999993</v>
      </c>
      <c r="O2400" t="s">
        <v>83</v>
      </c>
    </row>
    <row r="2401" spans="1:17" x14ac:dyDescent="0.25">
      <c r="A2401" s="22">
        <v>45749</v>
      </c>
      <c r="B2401" s="1">
        <v>50468958</v>
      </c>
      <c r="C2401" t="s">
        <v>89</v>
      </c>
      <c r="D2401" s="23">
        <v>-554.16999999999996</v>
      </c>
      <c r="E2401" t="s">
        <v>35</v>
      </c>
      <c r="F2401" s="2">
        <v>610148001</v>
      </c>
      <c r="G2401" s="2" t="s">
        <v>41</v>
      </c>
      <c r="I2401" s="95" t="s">
        <v>7231</v>
      </c>
      <c r="J2401" t="s">
        <v>42</v>
      </c>
      <c r="K2401" t="s">
        <v>41</v>
      </c>
      <c r="M2401">
        <v>70.010000000000005</v>
      </c>
      <c r="N2401" s="4">
        <f t="shared" si="37"/>
        <v>-7.9155834880731311</v>
      </c>
      <c r="O2401" t="s">
        <v>83</v>
      </c>
      <c r="Q2401" s="24" t="s">
        <v>2195</v>
      </c>
    </row>
    <row r="2402" spans="1:17" x14ac:dyDescent="0.25">
      <c r="A2402" s="22">
        <v>45750</v>
      </c>
      <c r="B2402" s="1">
        <v>105404078</v>
      </c>
      <c r="C2402" t="s">
        <v>82</v>
      </c>
      <c r="D2402" s="23">
        <v>45000</v>
      </c>
      <c r="E2402" t="s">
        <v>45</v>
      </c>
      <c r="F2402" s="2">
        <v>210115002</v>
      </c>
      <c r="G2402" s="2" t="s">
        <v>46</v>
      </c>
      <c r="I2402" s="95" t="s">
        <v>7231</v>
      </c>
      <c r="K2402" t="s">
        <v>82</v>
      </c>
      <c r="M2402">
        <v>70.25</v>
      </c>
      <c r="N2402" s="4">
        <f t="shared" si="37"/>
        <v>640.56939501779357</v>
      </c>
      <c r="O2402" t="s">
        <v>83</v>
      </c>
    </row>
    <row r="2403" spans="1:17" x14ac:dyDescent="0.25">
      <c r="A2403" s="22">
        <v>45750</v>
      </c>
      <c r="B2403" s="1">
        <v>10881931</v>
      </c>
      <c r="C2403" t="s">
        <v>2213</v>
      </c>
      <c r="D2403" s="23">
        <v>-8154.8</v>
      </c>
      <c r="E2403" t="s">
        <v>35</v>
      </c>
      <c r="F2403" s="2">
        <v>210101001</v>
      </c>
      <c r="G2403" s="2" t="s">
        <v>36</v>
      </c>
      <c r="I2403" s="95" t="s">
        <v>7231</v>
      </c>
      <c r="J2403" t="s">
        <v>414</v>
      </c>
      <c r="K2403" t="s">
        <v>415</v>
      </c>
      <c r="M2403">
        <v>70.25</v>
      </c>
      <c r="N2403" s="4">
        <f t="shared" si="37"/>
        <v>-116.08256227758007</v>
      </c>
      <c r="O2403" t="s">
        <v>83</v>
      </c>
    </row>
    <row r="2404" spans="1:17" x14ac:dyDescent="0.25">
      <c r="A2404" s="22">
        <v>45750</v>
      </c>
      <c r="B2404" s="1">
        <v>10881934</v>
      </c>
      <c r="C2404" t="s">
        <v>2214</v>
      </c>
      <c r="D2404" s="23">
        <v>-29875.1</v>
      </c>
      <c r="E2404" t="s">
        <v>35</v>
      </c>
      <c r="F2404" s="2">
        <v>210101001</v>
      </c>
      <c r="G2404" s="2" t="s">
        <v>36</v>
      </c>
      <c r="I2404" s="95" t="s">
        <v>7231</v>
      </c>
      <c r="J2404" t="s">
        <v>414</v>
      </c>
      <c r="K2404" t="s">
        <v>415</v>
      </c>
      <c r="M2404">
        <v>70.25</v>
      </c>
      <c r="N2404" s="4">
        <f t="shared" si="37"/>
        <v>-425.26832740213518</v>
      </c>
      <c r="O2404" t="s">
        <v>83</v>
      </c>
    </row>
    <row r="2405" spans="1:17" x14ac:dyDescent="0.25">
      <c r="A2405" s="22">
        <v>45750</v>
      </c>
      <c r="B2405" s="1">
        <v>10881933</v>
      </c>
      <c r="C2405" t="s">
        <v>2215</v>
      </c>
      <c r="D2405" s="23">
        <v>-2424.31</v>
      </c>
      <c r="E2405" t="s">
        <v>35</v>
      </c>
      <c r="F2405" s="2">
        <v>210101001</v>
      </c>
      <c r="G2405" s="2" t="s">
        <v>36</v>
      </c>
      <c r="I2405" s="95" t="s">
        <v>7231</v>
      </c>
      <c r="J2405" t="s">
        <v>398</v>
      </c>
      <c r="K2405" t="s">
        <v>399</v>
      </c>
      <c r="M2405">
        <v>70.25</v>
      </c>
      <c r="N2405" s="4">
        <f t="shared" si="37"/>
        <v>-34.509750889679715</v>
      </c>
      <c r="O2405" t="s">
        <v>83</v>
      </c>
    </row>
    <row r="2406" spans="1:17" x14ac:dyDescent="0.25">
      <c r="A2406" s="22">
        <v>45750</v>
      </c>
      <c r="B2406" s="1">
        <v>10881935</v>
      </c>
      <c r="C2406" t="s">
        <v>2216</v>
      </c>
      <c r="D2406" s="23">
        <v>-2743.98</v>
      </c>
      <c r="E2406" t="s">
        <v>35</v>
      </c>
      <c r="F2406" s="2">
        <v>210101001</v>
      </c>
      <c r="G2406" s="2" t="s">
        <v>36</v>
      </c>
      <c r="I2406" s="95" t="s">
        <v>7231</v>
      </c>
      <c r="J2406" t="s">
        <v>182</v>
      </c>
      <c r="K2406" t="s">
        <v>183</v>
      </c>
      <c r="M2406">
        <v>70.25</v>
      </c>
      <c r="N2406" s="4">
        <f t="shared" si="37"/>
        <v>-39.060213523131672</v>
      </c>
      <c r="O2406" t="s">
        <v>83</v>
      </c>
    </row>
    <row r="2407" spans="1:17" x14ac:dyDescent="0.25">
      <c r="A2407" s="22">
        <v>45750</v>
      </c>
      <c r="B2407" s="1">
        <v>10881936</v>
      </c>
      <c r="C2407" t="s">
        <v>2217</v>
      </c>
      <c r="D2407" s="23">
        <v>-324.8</v>
      </c>
      <c r="E2407" t="s">
        <v>35</v>
      </c>
      <c r="F2407" s="2">
        <v>210101001</v>
      </c>
      <c r="G2407" s="2" t="s">
        <v>36</v>
      </c>
      <c r="I2407" s="95" t="s">
        <v>7231</v>
      </c>
      <c r="J2407" t="s">
        <v>182</v>
      </c>
      <c r="K2407" t="s">
        <v>183</v>
      </c>
      <c r="M2407">
        <v>70.25</v>
      </c>
      <c r="N2407" s="4">
        <f t="shared" si="37"/>
        <v>-4.6234875444839858</v>
      </c>
      <c r="O2407" t="s">
        <v>83</v>
      </c>
    </row>
    <row r="2408" spans="1:17" x14ac:dyDescent="0.25">
      <c r="A2408" s="22">
        <v>45750</v>
      </c>
      <c r="B2408" s="1">
        <v>50426989</v>
      </c>
      <c r="C2408" t="s">
        <v>89</v>
      </c>
      <c r="D2408" s="23">
        <v>-108.8</v>
      </c>
      <c r="E2408" t="s">
        <v>35</v>
      </c>
      <c r="F2408" s="2">
        <v>610148001</v>
      </c>
      <c r="G2408" s="2" t="s">
        <v>41</v>
      </c>
      <c r="I2408" s="95" t="s">
        <v>7231</v>
      </c>
      <c r="J2408" t="s">
        <v>42</v>
      </c>
      <c r="K2408" t="s">
        <v>41</v>
      </c>
      <c r="M2408">
        <v>70.25</v>
      </c>
      <c r="N2408" s="4">
        <f t="shared" si="37"/>
        <v>-1.5487544483985765</v>
      </c>
      <c r="O2408" t="s">
        <v>83</v>
      </c>
      <c r="Q2408" s="24" t="s">
        <v>2195</v>
      </c>
    </row>
    <row r="2409" spans="1:17" x14ac:dyDescent="0.25">
      <c r="A2409" s="22">
        <v>45750</v>
      </c>
      <c r="B2409" s="1">
        <v>135208577</v>
      </c>
      <c r="C2409" t="s">
        <v>82</v>
      </c>
      <c r="D2409" s="23">
        <v>121000</v>
      </c>
      <c r="E2409" t="s">
        <v>45</v>
      </c>
      <c r="F2409" s="2">
        <v>210115002</v>
      </c>
      <c r="G2409" s="2" t="s">
        <v>46</v>
      </c>
      <c r="I2409" s="95" t="s">
        <v>7231</v>
      </c>
      <c r="K2409" t="s">
        <v>82</v>
      </c>
      <c r="M2409">
        <v>70.25</v>
      </c>
      <c r="N2409" s="4">
        <f t="shared" si="37"/>
        <v>1722.4199288256227</v>
      </c>
      <c r="O2409" t="s">
        <v>83</v>
      </c>
    </row>
    <row r="2410" spans="1:17" x14ac:dyDescent="0.25">
      <c r="A2410" s="22">
        <v>45750</v>
      </c>
      <c r="B2410" s="1">
        <v>510892861</v>
      </c>
      <c r="C2410" t="s">
        <v>2210</v>
      </c>
      <c r="D2410" s="23">
        <v>-45478.49</v>
      </c>
      <c r="E2410" t="s">
        <v>35</v>
      </c>
      <c r="F2410" s="2">
        <v>210101001</v>
      </c>
      <c r="G2410" s="2" t="s">
        <v>36</v>
      </c>
      <c r="I2410" s="95" t="s">
        <v>7231</v>
      </c>
      <c r="J2410" t="s">
        <v>414</v>
      </c>
      <c r="K2410" t="s">
        <v>415</v>
      </c>
      <c r="M2410">
        <v>70.25</v>
      </c>
      <c r="N2410" s="4">
        <f t="shared" si="37"/>
        <v>-647.38064056939504</v>
      </c>
      <c r="O2410" t="s">
        <v>83</v>
      </c>
    </row>
    <row r="2411" spans="1:17" x14ac:dyDescent="0.25">
      <c r="A2411" s="22">
        <v>45750</v>
      </c>
      <c r="B2411" s="1">
        <v>510892862</v>
      </c>
      <c r="C2411" t="s">
        <v>2218</v>
      </c>
      <c r="D2411" s="23">
        <v>-67636.7</v>
      </c>
      <c r="E2411" t="s">
        <v>35</v>
      </c>
      <c r="F2411" s="2">
        <v>210101001</v>
      </c>
      <c r="G2411" s="2" t="s">
        <v>36</v>
      </c>
      <c r="I2411" s="95" t="s">
        <v>7231</v>
      </c>
      <c r="J2411" t="s">
        <v>182</v>
      </c>
      <c r="K2411" t="s">
        <v>183</v>
      </c>
      <c r="M2411">
        <v>70.25</v>
      </c>
      <c r="N2411" s="4">
        <f t="shared" si="37"/>
        <v>-962.8</v>
      </c>
      <c r="O2411" t="s">
        <v>83</v>
      </c>
    </row>
    <row r="2412" spans="1:17" x14ac:dyDescent="0.25">
      <c r="A2412" s="22">
        <v>45750</v>
      </c>
      <c r="B2412" s="1">
        <v>510892863</v>
      </c>
      <c r="C2412" t="s">
        <v>2219</v>
      </c>
      <c r="D2412" s="23">
        <v>-3389.96</v>
      </c>
      <c r="E2412" t="s">
        <v>35</v>
      </c>
      <c r="F2412" s="2">
        <v>210101001</v>
      </c>
      <c r="G2412" s="2" t="s">
        <v>36</v>
      </c>
      <c r="I2412" s="95" t="s">
        <v>7231</v>
      </c>
      <c r="J2412" t="s">
        <v>398</v>
      </c>
      <c r="K2412" t="s">
        <v>399</v>
      </c>
      <c r="M2412">
        <v>70.25</v>
      </c>
      <c r="N2412" s="4">
        <f t="shared" si="37"/>
        <v>-48.255658362989323</v>
      </c>
      <c r="O2412" t="s">
        <v>83</v>
      </c>
    </row>
    <row r="2413" spans="1:17" x14ac:dyDescent="0.25">
      <c r="A2413" s="22">
        <v>45750</v>
      </c>
      <c r="B2413" s="1">
        <v>50469216</v>
      </c>
      <c r="C2413" t="s">
        <v>89</v>
      </c>
      <c r="D2413" s="23">
        <v>-291.26</v>
      </c>
      <c r="E2413" t="s">
        <v>35</v>
      </c>
      <c r="F2413" s="2">
        <v>610148001</v>
      </c>
      <c r="G2413" s="2" t="s">
        <v>41</v>
      </c>
      <c r="I2413" s="95" t="s">
        <v>7231</v>
      </c>
      <c r="J2413" t="s">
        <v>42</v>
      </c>
      <c r="K2413" t="s">
        <v>41</v>
      </c>
      <c r="M2413">
        <v>70.25</v>
      </c>
      <c r="N2413" s="4">
        <f t="shared" si="37"/>
        <v>-4.1460498220640565</v>
      </c>
      <c r="O2413" t="s">
        <v>83</v>
      </c>
      <c r="Q2413" s="24" t="s">
        <v>2195</v>
      </c>
    </row>
    <row r="2414" spans="1:17" x14ac:dyDescent="0.25">
      <c r="A2414" s="22">
        <v>45750</v>
      </c>
      <c r="B2414" s="1">
        <v>50469216</v>
      </c>
      <c r="C2414" t="s">
        <v>792</v>
      </c>
      <c r="D2414" s="23">
        <v>-0.13</v>
      </c>
      <c r="E2414" t="s">
        <v>35</v>
      </c>
      <c r="F2414" s="2">
        <v>610148001</v>
      </c>
      <c r="G2414" s="2" t="s">
        <v>41</v>
      </c>
      <c r="I2414" s="95" t="s">
        <v>7231</v>
      </c>
      <c r="J2414" t="s">
        <v>42</v>
      </c>
      <c r="K2414" t="s">
        <v>41</v>
      </c>
      <c r="M2414">
        <v>70.25</v>
      </c>
      <c r="N2414" s="4">
        <f t="shared" si="37"/>
        <v>-1.8505338078291815E-3</v>
      </c>
      <c r="O2414" t="s">
        <v>83</v>
      </c>
      <c r="Q2414" s="24" t="s">
        <v>2195</v>
      </c>
    </row>
    <row r="2415" spans="1:17" x14ac:dyDescent="0.25">
      <c r="A2415" s="22">
        <v>45750</v>
      </c>
      <c r="B2415" s="1">
        <v>210893071</v>
      </c>
      <c r="C2415" t="s">
        <v>2220</v>
      </c>
      <c r="D2415" s="23">
        <v>-4736.1899999999996</v>
      </c>
      <c r="E2415" t="s">
        <v>35</v>
      </c>
      <c r="F2415" s="2">
        <v>210101001</v>
      </c>
      <c r="G2415" s="2" t="s">
        <v>36</v>
      </c>
      <c r="I2415" s="95" t="s">
        <v>7231</v>
      </c>
      <c r="J2415" t="s">
        <v>804</v>
      </c>
      <c r="K2415" t="s">
        <v>805</v>
      </c>
      <c r="M2415">
        <v>70.25</v>
      </c>
      <c r="N2415" s="4">
        <f t="shared" si="37"/>
        <v>-67.419074733096082</v>
      </c>
      <c r="O2415" t="s">
        <v>83</v>
      </c>
    </row>
    <row r="2416" spans="1:17" x14ac:dyDescent="0.25">
      <c r="A2416" s="22">
        <v>45750</v>
      </c>
      <c r="B2416" s="1">
        <v>210893071</v>
      </c>
      <c r="C2416" t="s">
        <v>185</v>
      </c>
      <c r="D2416" s="23">
        <v>-14.21</v>
      </c>
      <c r="E2416" t="s">
        <v>35</v>
      </c>
      <c r="F2416" s="2">
        <v>610148001</v>
      </c>
      <c r="G2416" s="2" t="s">
        <v>41</v>
      </c>
      <c r="I2416" s="95" t="s">
        <v>7231</v>
      </c>
      <c r="J2416" t="s">
        <v>42</v>
      </c>
      <c r="K2416" t="s">
        <v>41</v>
      </c>
      <c r="M2416">
        <v>70.25</v>
      </c>
      <c r="N2416" s="4">
        <f t="shared" si="37"/>
        <v>-0.20227758007117438</v>
      </c>
      <c r="O2416" t="s">
        <v>83</v>
      </c>
      <c r="Q2416" s="24" t="s">
        <v>2195</v>
      </c>
    </row>
    <row r="2417" spans="1:17" x14ac:dyDescent="0.25">
      <c r="A2417" s="22">
        <v>45750</v>
      </c>
      <c r="B2417" s="1">
        <v>143855978</v>
      </c>
      <c r="C2417" t="s">
        <v>82</v>
      </c>
      <c r="D2417" s="23">
        <v>353000</v>
      </c>
      <c r="E2417" t="s">
        <v>45</v>
      </c>
      <c r="F2417" s="2">
        <v>210115002</v>
      </c>
      <c r="G2417" s="2" t="s">
        <v>46</v>
      </c>
      <c r="I2417" s="95" t="s">
        <v>7231</v>
      </c>
      <c r="K2417" t="s">
        <v>82</v>
      </c>
      <c r="M2417">
        <v>70.25</v>
      </c>
      <c r="N2417" s="4">
        <f t="shared" si="37"/>
        <v>5024.9110320284699</v>
      </c>
      <c r="O2417" t="s">
        <v>83</v>
      </c>
    </row>
    <row r="2418" spans="1:17" x14ac:dyDescent="0.25">
      <c r="A2418" s="22">
        <v>45750</v>
      </c>
      <c r="B2418" s="1">
        <v>910895231</v>
      </c>
      <c r="C2418" t="s">
        <v>2221</v>
      </c>
      <c r="D2418" s="23">
        <v>-200000</v>
      </c>
      <c r="E2418" t="s">
        <v>35</v>
      </c>
      <c r="F2418" s="2">
        <v>210101001</v>
      </c>
      <c r="G2418" s="2" t="s">
        <v>36</v>
      </c>
      <c r="I2418" s="95" t="s">
        <v>7231</v>
      </c>
      <c r="J2418" t="s">
        <v>37</v>
      </c>
      <c r="K2418" t="s">
        <v>38</v>
      </c>
      <c r="M2418">
        <v>70.25</v>
      </c>
      <c r="N2418" s="4">
        <f t="shared" si="37"/>
        <v>-2846.9750889679717</v>
      </c>
      <c r="O2418" t="s">
        <v>83</v>
      </c>
    </row>
    <row r="2419" spans="1:17" x14ac:dyDescent="0.25">
      <c r="A2419" s="22">
        <v>45750</v>
      </c>
      <c r="B2419" s="1">
        <v>910895231</v>
      </c>
      <c r="C2419" t="s">
        <v>185</v>
      </c>
      <c r="D2419" s="23">
        <v>-600</v>
      </c>
      <c r="E2419" t="s">
        <v>35</v>
      </c>
      <c r="F2419" s="2">
        <v>610148001</v>
      </c>
      <c r="G2419" s="2" t="s">
        <v>41</v>
      </c>
      <c r="I2419" s="95" t="s">
        <v>7231</v>
      </c>
      <c r="J2419" t="s">
        <v>42</v>
      </c>
      <c r="K2419" t="s">
        <v>41</v>
      </c>
      <c r="M2419">
        <v>70.25</v>
      </c>
      <c r="N2419" s="4">
        <f t="shared" si="37"/>
        <v>-8.5409252669039137</v>
      </c>
      <c r="O2419" t="s">
        <v>83</v>
      </c>
      <c r="Q2419" s="24" t="s">
        <v>2195</v>
      </c>
    </row>
    <row r="2420" spans="1:17" x14ac:dyDescent="0.25">
      <c r="A2420" s="22">
        <v>45750</v>
      </c>
      <c r="B2420" s="1">
        <v>210895255</v>
      </c>
      <c r="C2420" t="s">
        <v>2221</v>
      </c>
      <c r="D2420" s="23">
        <v>-152469.47</v>
      </c>
      <c r="E2420" t="s">
        <v>35</v>
      </c>
      <c r="F2420" s="2">
        <v>210101001</v>
      </c>
      <c r="G2420" s="2" t="s">
        <v>36</v>
      </c>
      <c r="I2420" s="95" t="s">
        <v>7231</v>
      </c>
      <c r="J2420" t="s">
        <v>37</v>
      </c>
      <c r="K2420" t="s">
        <v>38</v>
      </c>
      <c r="M2420">
        <v>70.25</v>
      </c>
      <c r="N2420" s="4">
        <f t="shared" si="37"/>
        <v>-2170.3839145907473</v>
      </c>
      <c r="O2420" t="s">
        <v>83</v>
      </c>
    </row>
    <row r="2421" spans="1:17" x14ac:dyDescent="0.25">
      <c r="A2421" s="22">
        <v>45750</v>
      </c>
      <c r="B2421" s="1">
        <v>210895255</v>
      </c>
      <c r="C2421" t="s">
        <v>185</v>
      </c>
      <c r="D2421" s="23">
        <v>-457.41</v>
      </c>
      <c r="E2421" t="s">
        <v>35</v>
      </c>
      <c r="F2421" s="2">
        <v>610148001</v>
      </c>
      <c r="G2421" s="2" t="s">
        <v>41</v>
      </c>
      <c r="I2421" s="95" t="s">
        <v>7231</v>
      </c>
      <c r="J2421" t="s">
        <v>42</v>
      </c>
      <c r="K2421" t="s">
        <v>41</v>
      </c>
      <c r="M2421">
        <v>70.25</v>
      </c>
      <c r="N2421" s="4">
        <f t="shared" si="37"/>
        <v>-6.5111743772241999</v>
      </c>
      <c r="O2421" t="s">
        <v>83</v>
      </c>
      <c r="Q2421" s="24" t="s">
        <v>2195</v>
      </c>
    </row>
    <row r="2422" spans="1:17" x14ac:dyDescent="0.25">
      <c r="A2422" s="22">
        <v>45751</v>
      </c>
      <c r="B2422" s="1">
        <v>12021418</v>
      </c>
      <c r="C2422" t="s">
        <v>2222</v>
      </c>
      <c r="D2422" s="23">
        <v>9171.0499999999993</v>
      </c>
      <c r="E2422" t="s">
        <v>45</v>
      </c>
      <c r="F2422" s="2">
        <v>110106001</v>
      </c>
      <c r="G2422" s="2" t="s">
        <v>1011</v>
      </c>
      <c r="I2422" s="95" t="s">
        <v>7231</v>
      </c>
      <c r="K2422" t="s">
        <v>2223</v>
      </c>
      <c r="M2422">
        <v>70.59</v>
      </c>
      <c r="N2422" s="4">
        <f t="shared" si="37"/>
        <v>129.91996033432497</v>
      </c>
      <c r="O2422" t="s">
        <v>83</v>
      </c>
    </row>
    <row r="2423" spans="1:17" x14ac:dyDescent="0.25">
      <c r="A2423" s="22">
        <v>45751</v>
      </c>
      <c r="B2423" s="1">
        <v>12021418</v>
      </c>
      <c r="C2423" t="s">
        <v>1013</v>
      </c>
      <c r="D2423" s="23">
        <v>-137.56</v>
      </c>
      <c r="E2423" t="s">
        <v>35</v>
      </c>
      <c r="F2423" s="2">
        <v>610148001</v>
      </c>
      <c r="G2423" s="2" t="s">
        <v>41</v>
      </c>
      <c r="I2423" s="95" t="s">
        <v>7231</v>
      </c>
      <c r="J2423" t="s">
        <v>42</v>
      </c>
      <c r="K2423" t="s">
        <v>41</v>
      </c>
      <c r="M2423">
        <v>70.59</v>
      </c>
      <c r="N2423" s="4">
        <f t="shared" si="37"/>
        <v>-1.9487179487179487</v>
      </c>
      <c r="O2423" t="s">
        <v>83</v>
      </c>
      <c r="Q2423" s="24" t="s">
        <v>2195</v>
      </c>
    </row>
    <row r="2424" spans="1:17" x14ac:dyDescent="0.25">
      <c r="A2424" s="22">
        <v>45751</v>
      </c>
      <c r="B2424" s="1">
        <v>206277025</v>
      </c>
      <c r="C2424" t="s">
        <v>2224</v>
      </c>
      <c r="D2424" s="23">
        <v>20962.41</v>
      </c>
      <c r="E2424" t="s">
        <v>45</v>
      </c>
      <c r="F2424" s="2">
        <v>110106001</v>
      </c>
      <c r="G2424" s="2" t="s">
        <v>1011</v>
      </c>
      <c r="I2424" s="95" t="s">
        <v>7231</v>
      </c>
      <c r="K2424" t="s">
        <v>2223</v>
      </c>
      <c r="M2424">
        <v>70.59</v>
      </c>
      <c r="N2424" s="4">
        <f t="shared" si="37"/>
        <v>296.96005099872502</v>
      </c>
      <c r="O2424" t="s">
        <v>83</v>
      </c>
    </row>
    <row r="2425" spans="1:17" x14ac:dyDescent="0.25">
      <c r="A2425" s="22">
        <v>45751</v>
      </c>
      <c r="B2425" s="1">
        <v>206277025</v>
      </c>
      <c r="C2425" t="s">
        <v>1013</v>
      </c>
      <c r="D2425" s="23">
        <v>-314.43</v>
      </c>
      <c r="E2425" t="s">
        <v>35</v>
      </c>
      <c r="F2425" s="2">
        <v>610148001</v>
      </c>
      <c r="G2425" s="2" t="s">
        <v>41</v>
      </c>
      <c r="I2425" s="95" t="s">
        <v>7231</v>
      </c>
      <c r="J2425" t="s">
        <v>42</v>
      </c>
      <c r="K2425" t="s">
        <v>41</v>
      </c>
      <c r="M2425">
        <v>70.59</v>
      </c>
      <c r="N2425" s="4">
        <f t="shared" si="37"/>
        <v>-4.4543136421589455</v>
      </c>
      <c r="O2425" t="s">
        <v>83</v>
      </c>
      <c r="Q2425" s="24" t="s">
        <v>2195</v>
      </c>
    </row>
    <row r="2426" spans="1:17" x14ac:dyDescent="0.25">
      <c r="A2426" s="22">
        <v>45751</v>
      </c>
      <c r="B2426" s="1">
        <v>131834685</v>
      </c>
      <c r="C2426" t="s">
        <v>82</v>
      </c>
      <c r="D2426" s="23">
        <v>72000</v>
      </c>
      <c r="E2426" t="s">
        <v>45</v>
      </c>
      <c r="F2426" s="2">
        <v>210115002</v>
      </c>
      <c r="G2426" s="2" t="s">
        <v>46</v>
      </c>
      <c r="I2426" s="95" t="s">
        <v>7231</v>
      </c>
      <c r="K2426" t="s">
        <v>82</v>
      </c>
      <c r="M2426">
        <v>70.59</v>
      </c>
      <c r="N2426" s="4">
        <f t="shared" si="37"/>
        <v>1019.974500637484</v>
      </c>
      <c r="O2426" t="s">
        <v>83</v>
      </c>
    </row>
    <row r="2427" spans="1:17" x14ac:dyDescent="0.25">
      <c r="A2427" s="22">
        <v>45751</v>
      </c>
      <c r="B2427" s="1">
        <v>110943895</v>
      </c>
      <c r="C2427" t="s">
        <v>2225</v>
      </c>
      <c r="D2427" s="23">
        <v>-35554</v>
      </c>
      <c r="E2427" t="s">
        <v>35</v>
      </c>
      <c r="F2427" s="2">
        <v>210101001</v>
      </c>
      <c r="G2427" s="2" t="s">
        <v>36</v>
      </c>
      <c r="I2427" s="95" t="s">
        <v>7231</v>
      </c>
      <c r="J2427" t="s">
        <v>1007</v>
      </c>
      <c r="K2427" t="s">
        <v>1008</v>
      </c>
      <c r="M2427">
        <v>70.59</v>
      </c>
      <c r="N2427" s="4">
        <f t="shared" si="37"/>
        <v>-503.66907493979312</v>
      </c>
      <c r="O2427" t="s">
        <v>83</v>
      </c>
    </row>
    <row r="2428" spans="1:17" x14ac:dyDescent="0.25">
      <c r="A2428" s="22">
        <v>45751</v>
      </c>
      <c r="B2428" s="1">
        <v>10943894</v>
      </c>
      <c r="C2428" t="s">
        <v>2226</v>
      </c>
      <c r="D2428" s="23">
        <v>-35554</v>
      </c>
      <c r="E2428" t="s">
        <v>35</v>
      </c>
      <c r="F2428" s="2">
        <v>210101001</v>
      </c>
      <c r="G2428" s="2" t="s">
        <v>36</v>
      </c>
      <c r="I2428" s="95" t="s">
        <v>7231</v>
      </c>
      <c r="J2428" t="s">
        <v>1007</v>
      </c>
      <c r="K2428" t="s">
        <v>1008</v>
      </c>
      <c r="M2428">
        <v>70.59</v>
      </c>
      <c r="N2428" s="4">
        <f t="shared" si="37"/>
        <v>-503.66907493979312</v>
      </c>
      <c r="O2428" t="s">
        <v>83</v>
      </c>
    </row>
    <row r="2429" spans="1:17" x14ac:dyDescent="0.25">
      <c r="A2429" s="22">
        <v>45751</v>
      </c>
      <c r="B2429" s="1">
        <v>50495705</v>
      </c>
      <c r="C2429" t="s">
        <v>89</v>
      </c>
      <c r="D2429" s="23">
        <v>-177.77</v>
      </c>
      <c r="E2429" t="s">
        <v>35</v>
      </c>
      <c r="F2429" s="2">
        <v>610148001</v>
      </c>
      <c r="G2429" s="2" t="s">
        <v>41</v>
      </c>
      <c r="I2429" s="95" t="s">
        <v>7231</v>
      </c>
      <c r="J2429" t="s">
        <v>42</v>
      </c>
      <c r="K2429" t="s">
        <v>41</v>
      </c>
      <c r="M2429">
        <v>70.59</v>
      </c>
      <c r="N2429" s="4">
        <f t="shared" si="37"/>
        <v>-2.5183453746989657</v>
      </c>
      <c r="O2429" t="s">
        <v>83</v>
      </c>
      <c r="Q2429" s="24" t="s">
        <v>2195</v>
      </c>
    </row>
    <row r="2430" spans="1:17" x14ac:dyDescent="0.25">
      <c r="A2430" s="22">
        <v>45751</v>
      </c>
      <c r="B2430" s="1">
        <v>133832602</v>
      </c>
      <c r="C2430" t="s">
        <v>82</v>
      </c>
      <c r="D2430" s="23">
        <v>335000</v>
      </c>
      <c r="E2430" t="s">
        <v>45</v>
      </c>
      <c r="F2430" s="2">
        <v>210115002</v>
      </c>
      <c r="G2430" s="2" t="s">
        <v>46</v>
      </c>
      <c r="I2430" s="95" t="s">
        <v>7231</v>
      </c>
      <c r="K2430" t="s">
        <v>82</v>
      </c>
      <c r="M2430">
        <v>70.59</v>
      </c>
      <c r="N2430" s="4">
        <f t="shared" si="37"/>
        <v>4745.7146904660713</v>
      </c>
      <c r="O2430" t="s">
        <v>83</v>
      </c>
    </row>
    <row r="2431" spans="1:17" x14ac:dyDescent="0.25">
      <c r="A2431" s="22">
        <v>45751</v>
      </c>
      <c r="B2431" s="1">
        <v>710945535</v>
      </c>
      <c r="C2431" t="s">
        <v>2227</v>
      </c>
      <c r="D2431" s="23">
        <v>-5647.2</v>
      </c>
      <c r="E2431" t="s">
        <v>35</v>
      </c>
      <c r="F2431" s="2">
        <v>212901001</v>
      </c>
      <c r="G2431" s="2" t="s">
        <v>91</v>
      </c>
      <c r="I2431" s="95" t="s">
        <v>7231</v>
      </c>
      <c r="J2431" t="s">
        <v>61</v>
      </c>
      <c r="K2431" t="s">
        <v>62</v>
      </c>
      <c r="M2431">
        <v>70.59</v>
      </c>
      <c r="N2431" s="4">
        <f t="shared" si="37"/>
        <v>-80</v>
      </c>
      <c r="O2431" t="s">
        <v>83</v>
      </c>
    </row>
    <row r="2432" spans="1:17" x14ac:dyDescent="0.25">
      <c r="A2432" s="22">
        <v>45751</v>
      </c>
      <c r="B2432" s="1">
        <v>810945539</v>
      </c>
      <c r="C2432" t="s">
        <v>2228</v>
      </c>
      <c r="D2432" s="23">
        <v>-4235.3999999999996</v>
      </c>
      <c r="E2432" t="s">
        <v>35</v>
      </c>
      <c r="F2432" s="2">
        <v>212901001</v>
      </c>
      <c r="G2432" s="2" t="s">
        <v>91</v>
      </c>
      <c r="I2432" s="95" t="s">
        <v>7231</v>
      </c>
      <c r="J2432" t="s">
        <v>61</v>
      </c>
      <c r="K2432" t="s">
        <v>62</v>
      </c>
      <c r="M2432">
        <v>70.59</v>
      </c>
      <c r="N2432" s="4">
        <f t="shared" si="37"/>
        <v>-59.999999999999993</v>
      </c>
      <c r="O2432" t="s">
        <v>83</v>
      </c>
    </row>
    <row r="2433" spans="1:15" x14ac:dyDescent="0.25">
      <c r="A2433" s="22">
        <v>45751</v>
      </c>
      <c r="B2433" s="1">
        <v>810945537</v>
      </c>
      <c r="C2433" t="s">
        <v>2229</v>
      </c>
      <c r="D2433" s="23">
        <v>-4235.3999999999996</v>
      </c>
      <c r="E2433" t="s">
        <v>35</v>
      </c>
      <c r="F2433" s="2">
        <v>212901001</v>
      </c>
      <c r="G2433" s="2" t="s">
        <v>91</v>
      </c>
      <c r="I2433" s="95" t="s">
        <v>7231</v>
      </c>
      <c r="J2433" t="s">
        <v>61</v>
      </c>
      <c r="K2433" t="s">
        <v>62</v>
      </c>
      <c r="M2433">
        <v>70.59</v>
      </c>
      <c r="N2433" s="4">
        <f t="shared" si="37"/>
        <v>-59.999999999999993</v>
      </c>
      <c r="O2433" t="s">
        <v>83</v>
      </c>
    </row>
    <row r="2434" spans="1:15" x14ac:dyDescent="0.25">
      <c r="A2434" s="22">
        <v>45751</v>
      </c>
      <c r="B2434" s="1">
        <v>810945536</v>
      </c>
      <c r="C2434" t="s">
        <v>2230</v>
      </c>
      <c r="D2434" s="23">
        <v>-2117.6999999999998</v>
      </c>
      <c r="E2434" t="s">
        <v>35</v>
      </c>
      <c r="F2434" s="2">
        <v>212901001</v>
      </c>
      <c r="G2434" s="2" t="s">
        <v>91</v>
      </c>
      <c r="I2434" s="95" t="s">
        <v>7231</v>
      </c>
      <c r="J2434" t="s">
        <v>61</v>
      </c>
      <c r="K2434" t="s">
        <v>62</v>
      </c>
      <c r="M2434">
        <v>70.59</v>
      </c>
      <c r="N2434" s="4">
        <f t="shared" si="37"/>
        <v>-29.999999999999996</v>
      </c>
      <c r="O2434" t="s">
        <v>83</v>
      </c>
    </row>
    <row r="2435" spans="1:15" x14ac:dyDescent="0.25">
      <c r="A2435" s="22">
        <v>45751</v>
      </c>
      <c r="B2435" s="1">
        <v>810945543</v>
      </c>
      <c r="C2435" t="s">
        <v>2231</v>
      </c>
      <c r="D2435" s="23">
        <v>-4235.3999999999996</v>
      </c>
      <c r="E2435" t="s">
        <v>35</v>
      </c>
      <c r="F2435" s="2">
        <v>212901001</v>
      </c>
      <c r="G2435" s="2" t="s">
        <v>91</v>
      </c>
      <c r="I2435" s="95" t="s">
        <v>7231</v>
      </c>
      <c r="J2435" t="s">
        <v>61</v>
      </c>
      <c r="K2435" t="s">
        <v>62</v>
      </c>
      <c r="M2435">
        <v>70.59</v>
      </c>
      <c r="N2435" s="4">
        <f t="shared" si="37"/>
        <v>-59.999999999999993</v>
      </c>
      <c r="O2435" t="s">
        <v>83</v>
      </c>
    </row>
    <row r="2436" spans="1:15" x14ac:dyDescent="0.25">
      <c r="A2436" s="22">
        <v>45751</v>
      </c>
      <c r="B2436" s="1">
        <v>810945540</v>
      </c>
      <c r="C2436" t="s">
        <v>2232</v>
      </c>
      <c r="D2436" s="23">
        <v>-4235.3999999999996</v>
      </c>
      <c r="E2436" t="s">
        <v>35</v>
      </c>
      <c r="F2436" s="2">
        <v>212901001</v>
      </c>
      <c r="G2436" s="2" t="s">
        <v>91</v>
      </c>
      <c r="I2436" s="95" t="s">
        <v>7231</v>
      </c>
      <c r="J2436" t="s">
        <v>61</v>
      </c>
      <c r="K2436" t="s">
        <v>62</v>
      </c>
      <c r="M2436">
        <v>70.59</v>
      </c>
      <c r="N2436" s="4">
        <f t="shared" si="37"/>
        <v>-59.999999999999993</v>
      </c>
      <c r="O2436" t="s">
        <v>83</v>
      </c>
    </row>
    <row r="2437" spans="1:15" x14ac:dyDescent="0.25">
      <c r="A2437" s="22">
        <v>45751</v>
      </c>
      <c r="B2437" s="1">
        <v>810945541</v>
      </c>
      <c r="C2437" t="s">
        <v>2233</v>
      </c>
      <c r="D2437" s="23">
        <v>-4235.3999999999996</v>
      </c>
      <c r="E2437" t="s">
        <v>35</v>
      </c>
      <c r="F2437" s="2">
        <v>212901001</v>
      </c>
      <c r="G2437" s="2" t="s">
        <v>91</v>
      </c>
      <c r="I2437" s="95" t="s">
        <v>7231</v>
      </c>
      <c r="J2437" t="s">
        <v>61</v>
      </c>
      <c r="K2437" t="s">
        <v>62</v>
      </c>
      <c r="M2437">
        <v>70.59</v>
      </c>
      <c r="N2437" s="4">
        <f t="shared" si="37"/>
        <v>-59.999999999999993</v>
      </c>
      <c r="O2437" t="s">
        <v>83</v>
      </c>
    </row>
    <row r="2438" spans="1:15" x14ac:dyDescent="0.25">
      <c r="A2438" s="22">
        <v>45751</v>
      </c>
      <c r="B2438" s="1">
        <v>810945542</v>
      </c>
      <c r="C2438" t="s">
        <v>2234</v>
      </c>
      <c r="D2438" s="23">
        <v>-4235.3999999999996</v>
      </c>
      <c r="E2438" t="s">
        <v>35</v>
      </c>
      <c r="F2438" s="2">
        <v>212901001</v>
      </c>
      <c r="G2438" s="2" t="s">
        <v>91</v>
      </c>
      <c r="I2438" s="95" t="s">
        <v>7231</v>
      </c>
      <c r="J2438" t="s">
        <v>61</v>
      </c>
      <c r="K2438" t="s">
        <v>62</v>
      </c>
      <c r="M2438">
        <v>70.59</v>
      </c>
      <c r="N2438" s="4">
        <f t="shared" si="37"/>
        <v>-59.999999999999993</v>
      </c>
      <c r="O2438" t="s">
        <v>83</v>
      </c>
    </row>
    <row r="2439" spans="1:15" x14ac:dyDescent="0.25">
      <c r="A2439" s="22">
        <v>45751</v>
      </c>
      <c r="B2439" s="1">
        <v>810945547</v>
      </c>
      <c r="C2439" t="s">
        <v>2235</v>
      </c>
      <c r="D2439" s="23">
        <v>-4235.3999999999996</v>
      </c>
      <c r="E2439" t="s">
        <v>35</v>
      </c>
      <c r="F2439" s="2">
        <v>212901001</v>
      </c>
      <c r="G2439" s="2" t="s">
        <v>91</v>
      </c>
      <c r="I2439" s="95" t="s">
        <v>7231</v>
      </c>
      <c r="J2439" t="s">
        <v>61</v>
      </c>
      <c r="K2439" t="s">
        <v>62</v>
      </c>
      <c r="M2439">
        <v>70.59</v>
      </c>
      <c r="N2439" s="4">
        <f t="shared" si="37"/>
        <v>-59.999999999999993</v>
      </c>
      <c r="O2439" t="s">
        <v>83</v>
      </c>
    </row>
    <row r="2440" spans="1:15" x14ac:dyDescent="0.25">
      <c r="A2440" s="22">
        <v>45751</v>
      </c>
      <c r="B2440" s="1">
        <v>810945544</v>
      </c>
      <c r="C2440" t="s">
        <v>2236</v>
      </c>
      <c r="D2440" s="23">
        <v>-4235.3999999999996</v>
      </c>
      <c r="E2440" t="s">
        <v>35</v>
      </c>
      <c r="F2440" s="2">
        <v>212901001</v>
      </c>
      <c r="G2440" s="2" t="s">
        <v>91</v>
      </c>
      <c r="I2440" s="95" t="s">
        <v>7231</v>
      </c>
      <c r="J2440" t="s">
        <v>61</v>
      </c>
      <c r="K2440" t="s">
        <v>62</v>
      </c>
      <c r="M2440">
        <v>70.59</v>
      </c>
      <c r="N2440" s="4">
        <f t="shared" si="37"/>
        <v>-59.999999999999993</v>
      </c>
      <c r="O2440" t="s">
        <v>83</v>
      </c>
    </row>
    <row r="2441" spans="1:15" x14ac:dyDescent="0.25">
      <c r="A2441" s="22">
        <v>45751</v>
      </c>
      <c r="B2441" s="1">
        <v>810945545</v>
      </c>
      <c r="C2441" t="s">
        <v>2237</v>
      </c>
      <c r="D2441" s="23">
        <v>-4235.3999999999996</v>
      </c>
      <c r="E2441" t="s">
        <v>35</v>
      </c>
      <c r="F2441" s="2">
        <v>212901001</v>
      </c>
      <c r="G2441" s="2" t="s">
        <v>91</v>
      </c>
      <c r="I2441" s="95" t="s">
        <v>7231</v>
      </c>
      <c r="J2441" t="s">
        <v>61</v>
      </c>
      <c r="K2441" t="s">
        <v>62</v>
      </c>
      <c r="M2441">
        <v>70.59</v>
      </c>
      <c r="N2441" s="4">
        <f t="shared" si="37"/>
        <v>-59.999999999999993</v>
      </c>
      <c r="O2441" t="s">
        <v>83</v>
      </c>
    </row>
    <row r="2442" spans="1:15" x14ac:dyDescent="0.25">
      <c r="A2442" s="22">
        <v>45751</v>
      </c>
      <c r="B2442" s="1">
        <v>910945552</v>
      </c>
      <c r="C2442" t="s">
        <v>2238</v>
      </c>
      <c r="D2442" s="23">
        <v>-4235.3999999999996</v>
      </c>
      <c r="E2442" t="s">
        <v>35</v>
      </c>
      <c r="F2442" s="2">
        <v>212901001</v>
      </c>
      <c r="G2442" s="2" t="s">
        <v>91</v>
      </c>
      <c r="I2442" s="95" t="s">
        <v>7231</v>
      </c>
      <c r="J2442" t="s">
        <v>61</v>
      </c>
      <c r="K2442" t="s">
        <v>62</v>
      </c>
      <c r="M2442">
        <v>70.59</v>
      </c>
      <c r="N2442" s="4">
        <f t="shared" si="37"/>
        <v>-59.999999999999993</v>
      </c>
      <c r="O2442" t="s">
        <v>83</v>
      </c>
    </row>
    <row r="2443" spans="1:15" x14ac:dyDescent="0.25">
      <c r="A2443" s="22">
        <v>45751</v>
      </c>
      <c r="B2443" s="1">
        <v>910945548</v>
      </c>
      <c r="C2443" t="s">
        <v>2239</v>
      </c>
      <c r="D2443" s="23">
        <v>-4235.3999999999996</v>
      </c>
      <c r="E2443" t="s">
        <v>35</v>
      </c>
      <c r="F2443" s="2">
        <v>212901001</v>
      </c>
      <c r="G2443" s="2" t="s">
        <v>91</v>
      </c>
      <c r="I2443" s="95" t="s">
        <v>7231</v>
      </c>
      <c r="J2443" t="s">
        <v>61</v>
      </c>
      <c r="K2443" t="s">
        <v>62</v>
      </c>
      <c r="M2443">
        <v>70.59</v>
      </c>
      <c r="N2443" s="4">
        <f t="shared" si="37"/>
        <v>-59.999999999999993</v>
      </c>
      <c r="O2443" t="s">
        <v>83</v>
      </c>
    </row>
    <row r="2444" spans="1:15" x14ac:dyDescent="0.25">
      <c r="A2444" s="22">
        <v>45751</v>
      </c>
      <c r="B2444" s="1">
        <v>910945550</v>
      </c>
      <c r="C2444" t="s">
        <v>2240</v>
      </c>
      <c r="D2444" s="23">
        <v>-4235.3999999999996</v>
      </c>
      <c r="E2444" t="s">
        <v>35</v>
      </c>
      <c r="F2444" s="2">
        <v>212901001</v>
      </c>
      <c r="G2444" s="2" t="s">
        <v>91</v>
      </c>
      <c r="I2444" s="95" t="s">
        <v>7231</v>
      </c>
      <c r="J2444" t="s">
        <v>61</v>
      </c>
      <c r="K2444" t="s">
        <v>62</v>
      </c>
      <c r="M2444">
        <v>70.59</v>
      </c>
      <c r="N2444" s="4">
        <f t="shared" ref="N2444:N2507" si="38">D2444/M2444</f>
        <v>-59.999999999999993</v>
      </c>
      <c r="O2444" t="s">
        <v>83</v>
      </c>
    </row>
    <row r="2445" spans="1:15" x14ac:dyDescent="0.25">
      <c r="A2445" s="22">
        <v>45751</v>
      </c>
      <c r="B2445" s="1">
        <v>910945549</v>
      </c>
      <c r="C2445" t="s">
        <v>2241</v>
      </c>
      <c r="D2445" s="23">
        <v>-4235.3999999999996</v>
      </c>
      <c r="E2445" t="s">
        <v>35</v>
      </c>
      <c r="F2445" s="2">
        <v>212901001</v>
      </c>
      <c r="G2445" s="2" t="s">
        <v>91</v>
      </c>
      <c r="I2445" s="95" t="s">
        <v>7231</v>
      </c>
      <c r="J2445" t="s">
        <v>61</v>
      </c>
      <c r="K2445" t="s">
        <v>62</v>
      </c>
      <c r="M2445">
        <v>70.59</v>
      </c>
      <c r="N2445" s="4">
        <f t="shared" si="38"/>
        <v>-59.999999999999993</v>
      </c>
      <c r="O2445" t="s">
        <v>83</v>
      </c>
    </row>
    <row r="2446" spans="1:15" x14ac:dyDescent="0.25">
      <c r="A2446" s="22">
        <v>45751</v>
      </c>
      <c r="B2446" s="1">
        <v>910945557</v>
      </c>
      <c r="C2446" t="s">
        <v>2242</v>
      </c>
      <c r="D2446" s="23">
        <v>-5647.2</v>
      </c>
      <c r="E2446" t="s">
        <v>35</v>
      </c>
      <c r="F2446" s="2">
        <v>212901001</v>
      </c>
      <c r="G2446" s="2" t="s">
        <v>91</v>
      </c>
      <c r="I2446" s="95" t="s">
        <v>7231</v>
      </c>
      <c r="J2446" t="s">
        <v>61</v>
      </c>
      <c r="K2446" t="s">
        <v>62</v>
      </c>
      <c r="M2446">
        <v>70.59</v>
      </c>
      <c r="N2446" s="4">
        <f t="shared" si="38"/>
        <v>-80</v>
      </c>
      <c r="O2446" t="s">
        <v>83</v>
      </c>
    </row>
    <row r="2447" spans="1:15" x14ac:dyDescent="0.25">
      <c r="A2447" s="22">
        <v>45751</v>
      </c>
      <c r="B2447" s="1">
        <v>910945555</v>
      </c>
      <c r="C2447" t="s">
        <v>2243</v>
      </c>
      <c r="D2447" s="23">
        <v>-7059</v>
      </c>
      <c r="E2447" t="s">
        <v>35</v>
      </c>
      <c r="F2447" s="2">
        <v>212901001</v>
      </c>
      <c r="G2447" s="2" t="s">
        <v>91</v>
      </c>
      <c r="I2447" s="95" t="s">
        <v>7231</v>
      </c>
      <c r="J2447" t="s">
        <v>61</v>
      </c>
      <c r="K2447" t="s">
        <v>62</v>
      </c>
      <c r="M2447">
        <v>70.59</v>
      </c>
      <c r="N2447" s="4">
        <f t="shared" si="38"/>
        <v>-100</v>
      </c>
      <c r="O2447" t="s">
        <v>83</v>
      </c>
    </row>
    <row r="2448" spans="1:15" x14ac:dyDescent="0.25">
      <c r="A2448" s="22">
        <v>45751</v>
      </c>
      <c r="B2448" s="1">
        <v>910945554</v>
      </c>
      <c r="C2448" t="s">
        <v>2244</v>
      </c>
      <c r="D2448" s="23">
        <v>-10588.5</v>
      </c>
      <c r="E2448" t="s">
        <v>35</v>
      </c>
      <c r="F2448" s="2">
        <v>212901001</v>
      </c>
      <c r="G2448" s="2" t="s">
        <v>91</v>
      </c>
      <c r="I2448" s="95" t="s">
        <v>7231</v>
      </c>
      <c r="J2448" t="s">
        <v>61</v>
      </c>
      <c r="K2448" t="s">
        <v>62</v>
      </c>
      <c r="M2448">
        <v>70.59</v>
      </c>
      <c r="N2448" s="4">
        <f t="shared" si="38"/>
        <v>-150</v>
      </c>
      <c r="O2448" t="s">
        <v>83</v>
      </c>
    </row>
    <row r="2449" spans="1:15" x14ac:dyDescent="0.25">
      <c r="A2449" s="22">
        <v>45751</v>
      </c>
      <c r="B2449" s="1">
        <v>910945556</v>
      </c>
      <c r="C2449" t="s">
        <v>2245</v>
      </c>
      <c r="D2449" s="23">
        <v>-5647.2</v>
      </c>
      <c r="E2449" t="s">
        <v>35</v>
      </c>
      <c r="F2449" s="2">
        <v>212901001</v>
      </c>
      <c r="G2449" s="2" t="s">
        <v>91</v>
      </c>
      <c r="I2449" s="95" t="s">
        <v>7231</v>
      </c>
      <c r="J2449" t="s">
        <v>61</v>
      </c>
      <c r="K2449" t="s">
        <v>62</v>
      </c>
      <c r="M2449">
        <v>70.59</v>
      </c>
      <c r="N2449" s="4">
        <f t="shared" si="38"/>
        <v>-80</v>
      </c>
      <c r="O2449" t="s">
        <v>83</v>
      </c>
    </row>
    <row r="2450" spans="1:15" x14ac:dyDescent="0.25">
      <c r="A2450" s="22">
        <v>45751</v>
      </c>
      <c r="B2450" s="1">
        <v>910945551</v>
      </c>
      <c r="C2450" t="s">
        <v>2246</v>
      </c>
      <c r="D2450" s="23">
        <v>-4235.3999999999996</v>
      </c>
      <c r="E2450" t="s">
        <v>35</v>
      </c>
      <c r="F2450" s="2">
        <v>212901001</v>
      </c>
      <c r="G2450" s="2" t="s">
        <v>91</v>
      </c>
      <c r="I2450" s="95" t="s">
        <v>7231</v>
      </c>
      <c r="J2450" t="s">
        <v>61</v>
      </c>
      <c r="K2450" t="s">
        <v>62</v>
      </c>
      <c r="M2450">
        <v>70.59</v>
      </c>
      <c r="N2450" s="4">
        <f t="shared" si="38"/>
        <v>-59.999999999999993</v>
      </c>
      <c r="O2450" t="s">
        <v>83</v>
      </c>
    </row>
    <row r="2451" spans="1:15" x14ac:dyDescent="0.25">
      <c r="A2451" s="22">
        <v>45751</v>
      </c>
      <c r="B2451" s="1">
        <v>10945559</v>
      </c>
      <c r="C2451" t="s">
        <v>2247</v>
      </c>
      <c r="D2451" s="23">
        <v>-5647.2</v>
      </c>
      <c r="E2451" t="s">
        <v>35</v>
      </c>
      <c r="F2451" s="2">
        <v>212901001</v>
      </c>
      <c r="G2451" s="2" t="s">
        <v>91</v>
      </c>
      <c r="I2451" s="95" t="s">
        <v>7231</v>
      </c>
      <c r="J2451" t="s">
        <v>61</v>
      </c>
      <c r="K2451" t="s">
        <v>62</v>
      </c>
      <c r="M2451">
        <v>70.59</v>
      </c>
      <c r="N2451" s="4">
        <f t="shared" si="38"/>
        <v>-80</v>
      </c>
      <c r="O2451" t="s">
        <v>83</v>
      </c>
    </row>
    <row r="2452" spans="1:15" x14ac:dyDescent="0.25">
      <c r="A2452" s="22">
        <v>45751</v>
      </c>
      <c r="B2452" s="1">
        <v>10945561</v>
      </c>
      <c r="C2452" t="s">
        <v>2248</v>
      </c>
      <c r="D2452" s="23">
        <v>-5647.2</v>
      </c>
      <c r="E2452" t="s">
        <v>35</v>
      </c>
      <c r="F2452" s="2">
        <v>212901001</v>
      </c>
      <c r="G2452" s="2" t="s">
        <v>91</v>
      </c>
      <c r="I2452" s="95" t="s">
        <v>7231</v>
      </c>
      <c r="J2452" t="s">
        <v>61</v>
      </c>
      <c r="K2452" t="s">
        <v>62</v>
      </c>
      <c r="M2452">
        <v>70.59</v>
      </c>
      <c r="N2452" s="4">
        <f t="shared" si="38"/>
        <v>-80</v>
      </c>
      <c r="O2452" t="s">
        <v>83</v>
      </c>
    </row>
    <row r="2453" spans="1:15" x14ac:dyDescent="0.25">
      <c r="A2453" s="22">
        <v>45751</v>
      </c>
      <c r="B2453" s="1">
        <v>910945558</v>
      </c>
      <c r="C2453" t="s">
        <v>2249</v>
      </c>
      <c r="D2453" s="23">
        <v>-5647.2</v>
      </c>
      <c r="E2453" t="s">
        <v>35</v>
      </c>
      <c r="F2453" s="2">
        <v>212901001</v>
      </c>
      <c r="G2453" s="2" t="s">
        <v>91</v>
      </c>
      <c r="I2453" s="95" t="s">
        <v>7231</v>
      </c>
      <c r="J2453" t="s">
        <v>61</v>
      </c>
      <c r="K2453" t="s">
        <v>62</v>
      </c>
      <c r="M2453">
        <v>70.59</v>
      </c>
      <c r="N2453" s="4">
        <f t="shared" si="38"/>
        <v>-80</v>
      </c>
      <c r="O2453" t="s">
        <v>83</v>
      </c>
    </row>
    <row r="2454" spans="1:15" x14ac:dyDescent="0.25">
      <c r="A2454" s="22">
        <v>45751</v>
      </c>
      <c r="B2454" s="1">
        <v>10945560</v>
      </c>
      <c r="C2454" t="s">
        <v>2250</v>
      </c>
      <c r="D2454" s="23">
        <v>-5647.2</v>
      </c>
      <c r="E2454" t="s">
        <v>35</v>
      </c>
      <c r="F2454" s="2">
        <v>212901001</v>
      </c>
      <c r="G2454" s="2" t="s">
        <v>91</v>
      </c>
      <c r="I2454" s="95" t="s">
        <v>7231</v>
      </c>
      <c r="J2454" t="s">
        <v>61</v>
      </c>
      <c r="K2454" t="s">
        <v>62</v>
      </c>
      <c r="M2454">
        <v>70.59</v>
      </c>
      <c r="N2454" s="4">
        <f t="shared" si="38"/>
        <v>-80</v>
      </c>
      <c r="O2454" t="s">
        <v>83</v>
      </c>
    </row>
    <row r="2455" spans="1:15" x14ac:dyDescent="0.25">
      <c r="A2455" s="22">
        <v>45751</v>
      </c>
      <c r="B2455" s="1">
        <v>10945566</v>
      </c>
      <c r="C2455" t="s">
        <v>2251</v>
      </c>
      <c r="D2455" s="23">
        <v>-3529.5</v>
      </c>
      <c r="E2455" t="s">
        <v>35</v>
      </c>
      <c r="F2455" s="2">
        <v>212901001</v>
      </c>
      <c r="G2455" s="2" t="s">
        <v>91</v>
      </c>
      <c r="I2455" s="95" t="s">
        <v>7231</v>
      </c>
      <c r="J2455" t="s">
        <v>61</v>
      </c>
      <c r="K2455" t="s">
        <v>62</v>
      </c>
      <c r="M2455">
        <v>70.59</v>
      </c>
      <c r="N2455" s="4">
        <f t="shared" si="38"/>
        <v>-50</v>
      </c>
      <c r="O2455" t="s">
        <v>83</v>
      </c>
    </row>
    <row r="2456" spans="1:15" x14ac:dyDescent="0.25">
      <c r="A2456" s="22">
        <v>45751</v>
      </c>
      <c r="B2456" s="1">
        <v>10945563</v>
      </c>
      <c r="C2456" t="s">
        <v>2252</v>
      </c>
      <c r="D2456" s="23">
        <v>-3529.5</v>
      </c>
      <c r="E2456" t="s">
        <v>35</v>
      </c>
      <c r="F2456" s="2">
        <v>212901001</v>
      </c>
      <c r="G2456" s="2" t="s">
        <v>91</v>
      </c>
      <c r="I2456" s="95" t="s">
        <v>7231</v>
      </c>
      <c r="J2456" t="s">
        <v>61</v>
      </c>
      <c r="K2456" t="s">
        <v>62</v>
      </c>
      <c r="M2456">
        <v>70.59</v>
      </c>
      <c r="N2456" s="4">
        <f t="shared" si="38"/>
        <v>-50</v>
      </c>
      <c r="O2456" t="s">
        <v>83</v>
      </c>
    </row>
    <row r="2457" spans="1:15" x14ac:dyDescent="0.25">
      <c r="A2457" s="22">
        <v>45751</v>
      </c>
      <c r="B2457" s="1">
        <v>10945562</v>
      </c>
      <c r="C2457" t="s">
        <v>2253</v>
      </c>
      <c r="D2457" s="23">
        <v>-2964.78</v>
      </c>
      <c r="E2457" t="s">
        <v>35</v>
      </c>
      <c r="F2457" s="2">
        <v>212901001</v>
      </c>
      <c r="G2457" s="2" t="s">
        <v>91</v>
      </c>
      <c r="I2457" s="95" t="s">
        <v>7231</v>
      </c>
      <c r="J2457" t="s">
        <v>61</v>
      </c>
      <c r="K2457" t="s">
        <v>62</v>
      </c>
      <c r="M2457">
        <v>70.59</v>
      </c>
      <c r="N2457" s="4">
        <f t="shared" si="38"/>
        <v>-42</v>
      </c>
      <c r="O2457" t="s">
        <v>83</v>
      </c>
    </row>
    <row r="2458" spans="1:15" x14ac:dyDescent="0.25">
      <c r="A2458" s="22">
        <v>45751</v>
      </c>
      <c r="B2458" s="1">
        <v>10945567</v>
      </c>
      <c r="C2458" t="s">
        <v>2254</v>
      </c>
      <c r="D2458" s="23">
        <v>-3529.5</v>
      </c>
      <c r="E2458" t="s">
        <v>35</v>
      </c>
      <c r="F2458" s="2">
        <v>212901001</v>
      </c>
      <c r="G2458" s="2" t="s">
        <v>91</v>
      </c>
      <c r="I2458" s="95" t="s">
        <v>7231</v>
      </c>
      <c r="J2458" t="s">
        <v>61</v>
      </c>
      <c r="K2458" t="s">
        <v>62</v>
      </c>
      <c r="M2458">
        <v>70.59</v>
      </c>
      <c r="N2458" s="4">
        <f t="shared" si="38"/>
        <v>-50</v>
      </c>
      <c r="O2458" t="s">
        <v>83</v>
      </c>
    </row>
    <row r="2459" spans="1:15" x14ac:dyDescent="0.25">
      <c r="A2459" s="22">
        <v>45751</v>
      </c>
      <c r="B2459" s="1">
        <v>10945565</v>
      </c>
      <c r="C2459" t="s">
        <v>2255</v>
      </c>
      <c r="D2459" s="23">
        <v>-3529.5</v>
      </c>
      <c r="E2459" t="s">
        <v>35</v>
      </c>
      <c r="F2459" s="2">
        <v>212901001</v>
      </c>
      <c r="G2459" s="2" t="s">
        <v>91</v>
      </c>
      <c r="I2459" s="95" t="s">
        <v>7231</v>
      </c>
      <c r="J2459" t="s">
        <v>61</v>
      </c>
      <c r="K2459" t="s">
        <v>62</v>
      </c>
      <c r="M2459">
        <v>70.59</v>
      </c>
      <c r="N2459" s="4">
        <f t="shared" si="38"/>
        <v>-50</v>
      </c>
      <c r="O2459" t="s">
        <v>83</v>
      </c>
    </row>
    <row r="2460" spans="1:15" x14ac:dyDescent="0.25">
      <c r="A2460" s="22">
        <v>45751</v>
      </c>
      <c r="B2460" s="1">
        <v>10945564</v>
      </c>
      <c r="C2460" t="s">
        <v>2256</v>
      </c>
      <c r="D2460" s="23">
        <v>-3529.5</v>
      </c>
      <c r="E2460" t="s">
        <v>35</v>
      </c>
      <c r="F2460" s="2">
        <v>212901001</v>
      </c>
      <c r="G2460" s="2" t="s">
        <v>91</v>
      </c>
      <c r="I2460" s="95" t="s">
        <v>7231</v>
      </c>
      <c r="J2460" t="s">
        <v>61</v>
      </c>
      <c r="K2460" t="s">
        <v>62</v>
      </c>
      <c r="M2460">
        <v>70.59</v>
      </c>
      <c r="N2460" s="4">
        <f t="shared" si="38"/>
        <v>-50</v>
      </c>
      <c r="O2460" t="s">
        <v>83</v>
      </c>
    </row>
    <row r="2461" spans="1:15" x14ac:dyDescent="0.25">
      <c r="A2461" s="22">
        <v>45751</v>
      </c>
      <c r="B2461" s="1">
        <v>110945572</v>
      </c>
      <c r="C2461" t="s">
        <v>2257</v>
      </c>
      <c r="D2461" s="23">
        <v>-2823.6</v>
      </c>
      <c r="E2461" t="s">
        <v>35</v>
      </c>
      <c r="F2461" s="2">
        <v>212901001</v>
      </c>
      <c r="G2461" s="2" t="s">
        <v>91</v>
      </c>
      <c r="I2461" s="95" t="s">
        <v>7231</v>
      </c>
      <c r="J2461" t="s">
        <v>61</v>
      </c>
      <c r="K2461" t="s">
        <v>62</v>
      </c>
      <c r="M2461">
        <v>70.59</v>
      </c>
      <c r="N2461" s="4">
        <f t="shared" si="38"/>
        <v>-40</v>
      </c>
      <c r="O2461" t="s">
        <v>83</v>
      </c>
    </row>
    <row r="2462" spans="1:15" x14ac:dyDescent="0.25">
      <c r="A2462" s="22">
        <v>45751</v>
      </c>
      <c r="B2462" s="1">
        <v>110945571</v>
      </c>
      <c r="C2462" t="s">
        <v>2258</v>
      </c>
      <c r="D2462" s="23">
        <v>-2823.6</v>
      </c>
      <c r="E2462" t="s">
        <v>35</v>
      </c>
      <c r="F2462" s="2">
        <v>212901001</v>
      </c>
      <c r="G2462" s="2" t="s">
        <v>91</v>
      </c>
      <c r="I2462" s="95" t="s">
        <v>7231</v>
      </c>
      <c r="J2462" t="s">
        <v>61</v>
      </c>
      <c r="K2462" t="s">
        <v>62</v>
      </c>
      <c r="M2462">
        <v>70.59</v>
      </c>
      <c r="N2462" s="4">
        <f t="shared" si="38"/>
        <v>-40</v>
      </c>
      <c r="O2462" t="s">
        <v>83</v>
      </c>
    </row>
    <row r="2463" spans="1:15" x14ac:dyDescent="0.25">
      <c r="A2463" s="22">
        <v>45751</v>
      </c>
      <c r="B2463" s="1">
        <v>10945568</v>
      </c>
      <c r="C2463" t="s">
        <v>2259</v>
      </c>
      <c r="D2463" s="23">
        <v>-2823.6</v>
      </c>
      <c r="E2463" t="s">
        <v>35</v>
      </c>
      <c r="F2463" s="2">
        <v>212901001</v>
      </c>
      <c r="G2463" s="2" t="s">
        <v>91</v>
      </c>
      <c r="I2463" s="95" t="s">
        <v>7231</v>
      </c>
      <c r="J2463" t="s">
        <v>61</v>
      </c>
      <c r="K2463" t="s">
        <v>62</v>
      </c>
      <c r="M2463">
        <v>70.59</v>
      </c>
      <c r="N2463" s="4">
        <f t="shared" si="38"/>
        <v>-40</v>
      </c>
      <c r="O2463" t="s">
        <v>83</v>
      </c>
    </row>
    <row r="2464" spans="1:15" x14ac:dyDescent="0.25">
      <c r="A2464" s="22">
        <v>45751</v>
      </c>
      <c r="B2464" s="1">
        <v>110945580</v>
      </c>
      <c r="C2464" t="s">
        <v>2260</v>
      </c>
      <c r="D2464" s="23">
        <v>-10588.5</v>
      </c>
      <c r="E2464" t="s">
        <v>35</v>
      </c>
      <c r="F2464" s="2">
        <v>212901001</v>
      </c>
      <c r="G2464" s="2" t="s">
        <v>91</v>
      </c>
      <c r="I2464" s="95" t="s">
        <v>7231</v>
      </c>
      <c r="J2464" t="s">
        <v>61</v>
      </c>
      <c r="K2464" t="s">
        <v>62</v>
      </c>
      <c r="M2464">
        <v>70.59</v>
      </c>
      <c r="N2464" s="4">
        <f t="shared" si="38"/>
        <v>-150</v>
      </c>
      <c r="O2464" t="s">
        <v>83</v>
      </c>
    </row>
    <row r="2465" spans="1:15" x14ac:dyDescent="0.25">
      <c r="A2465" s="22">
        <v>45751</v>
      </c>
      <c r="B2465" s="1">
        <v>110945573</v>
      </c>
      <c r="C2465" t="s">
        <v>2261</v>
      </c>
      <c r="D2465" s="23">
        <v>-2823.6</v>
      </c>
      <c r="E2465" t="s">
        <v>35</v>
      </c>
      <c r="F2465" s="2">
        <v>212901001</v>
      </c>
      <c r="G2465" s="2" t="s">
        <v>91</v>
      </c>
      <c r="I2465" s="95" t="s">
        <v>7231</v>
      </c>
      <c r="J2465" t="s">
        <v>61</v>
      </c>
      <c r="K2465" t="s">
        <v>62</v>
      </c>
      <c r="M2465">
        <v>70.59</v>
      </c>
      <c r="N2465" s="4">
        <f t="shared" si="38"/>
        <v>-40</v>
      </c>
      <c r="O2465" t="s">
        <v>83</v>
      </c>
    </row>
    <row r="2466" spans="1:15" x14ac:dyDescent="0.25">
      <c r="A2466" s="22">
        <v>45751</v>
      </c>
      <c r="B2466" s="1">
        <v>110945579</v>
      </c>
      <c r="C2466" t="s">
        <v>2262</v>
      </c>
      <c r="D2466" s="23">
        <v>-7059</v>
      </c>
      <c r="E2466" t="s">
        <v>35</v>
      </c>
      <c r="F2466" s="2">
        <v>212901001</v>
      </c>
      <c r="G2466" s="2" t="s">
        <v>91</v>
      </c>
      <c r="I2466" s="95" t="s">
        <v>7231</v>
      </c>
      <c r="J2466" t="s">
        <v>61</v>
      </c>
      <c r="K2466" t="s">
        <v>62</v>
      </c>
      <c r="M2466">
        <v>70.59</v>
      </c>
      <c r="N2466" s="4">
        <f t="shared" si="38"/>
        <v>-100</v>
      </c>
      <c r="O2466" t="s">
        <v>83</v>
      </c>
    </row>
    <row r="2467" spans="1:15" x14ac:dyDescent="0.25">
      <c r="A2467" s="22">
        <v>45751</v>
      </c>
      <c r="B2467" s="1">
        <v>110945574</v>
      </c>
      <c r="C2467" t="s">
        <v>2263</v>
      </c>
      <c r="D2467" s="23">
        <v>-2823.6</v>
      </c>
      <c r="E2467" t="s">
        <v>35</v>
      </c>
      <c r="F2467" s="2">
        <v>212901001</v>
      </c>
      <c r="G2467" s="2" t="s">
        <v>91</v>
      </c>
      <c r="I2467" s="95" t="s">
        <v>7231</v>
      </c>
      <c r="J2467" t="s">
        <v>61</v>
      </c>
      <c r="K2467" t="s">
        <v>62</v>
      </c>
      <c r="M2467">
        <v>70.59</v>
      </c>
      <c r="N2467" s="4">
        <f t="shared" si="38"/>
        <v>-40</v>
      </c>
      <c r="O2467" t="s">
        <v>83</v>
      </c>
    </row>
    <row r="2468" spans="1:15" x14ac:dyDescent="0.25">
      <c r="A2468" s="22">
        <v>45751</v>
      </c>
      <c r="B2468" s="1">
        <v>210945585</v>
      </c>
      <c r="C2468" t="s">
        <v>2264</v>
      </c>
      <c r="D2468" s="23">
        <v>-5435.43</v>
      </c>
      <c r="E2468" t="s">
        <v>35</v>
      </c>
      <c r="F2468" s="2">
        <v>212901001</v>
      </c>
      <c r="G2468" s="2" t="s">
        <v>91</v>
      </c>
      <c r="I2468" s="95" t="s">
        <v>7231</v>
      </c>
      <c r="J2468" t="s">
        <v>61</v>
      </c>
      <c r="K2468" t="s">
        <v>62</v>
      </c>
      <c r="M2468">
        <v>70.59</v>
      </c>
      <c r="N2468" s="4">
        <f t="shared" si="38"/>
        <v>-77</v>
      </c>
      <c r="O2468" t="s">
        <v>83</v>
      </c>
    </row>
    <row r="2469" spans="1:15" x14ac:dyDescent="0.25">
      <c r="A2469" s="22">
        <v>45751</v>
      </c>
      <c r="B2469" s="1">
        <v>110945576</v>
      </c>
      <c r="C2469" t="s">
        <v>2265</v>
      </c>
      <c r="D2469" s="23">
        <v>-2823.6</v>
      </c>
      <c r="E2469" t="s">
        <v>35</v>
      </c>
      <c r="F2469" s="2">
        <v>212901001</v>
      </c>
      <c r="G2469" s="2" t="s">
        <v>91</v>
      </c>
      <c r="I2469" s="95" t="s">
        <v>7231</v>
      </c>
      <c r="J2469" t="s">
        <v>61</v>
      </c>
      <c r="K2469" t="s">
        <v>62</v>
      </c>
      <c r="M2469">
        <v>70.59</v>
      </c>
      <c r="N2469" s="4">
        <f t="shared" si="38"/>
        <v>-40</v>
      </c>
      <c r="O2469" t="s">
        <v>83</v>
      </c>
    </row>
    <row r="2470" spans="1:15" x14ac:dyDescent="0.25">
      <c r="A2470" s="22">
        <v>45751</v>
      </c>
      <c r="B2470" s="1">
        <v>110945577</v>
      </c>
      <c r="C2470" t="s">
        <v>2266</v>
      </c>
      <c r="D2470" s="23">
        <v>-7059</v>
      </c>
      <c r="E2470" t="s">
        <v>35</v>
      </c>
      <c r="F2470" s="2">
        <v>212901001</v>
      </c>
      <c r="G2470" s="2" t="s">
        <v>91</v>
      </c>
      <c r="I2470" s="95" t="s">
        <v>7231</v>
      </c>
      <c r="J2470" t="s">
        <v>61</v>
      </c>
      <c r="K2470" t="s">
        <v>62</v>
      </c>
      <c r="M2470">
        <v>70.59</v>
      </c>
      <c r="N2470" s="4">
        <f t="shared" si="38"/>
        <v>-100</v>
      </c>
      <c r="O2470" t="s">
        <v>83</v>
      </c>
    </row>
    <row r="2471" spans="1:15" x14ac:dyDescent="0.25">
      <c r="A2471" s="22">
        <v>45751</v>
      </c>
      <c r="B2471" s="1">
        <v>210945584</v>
      </c>
      <c r="C2471" t="s">
        <v>2267</v>
      </c>
      <c r="D2471" s="23">
        <v>-7059</v>
      </c>
      <c r="E2471" t="s">
        <v>35</v>
      </c>
      <c r="F2471" s="2">
        <v>212901001</v>
      </c>
      <c r="G2471" s="2" t="s">
        <v>91</v>
      </c>
      <c r="I2471" s="95" t="s">
        <v>7231</v>
      </c>
      <c r="J2471" t="s">
        <v>61</v>
      </c>
      <c r="K2471" t="s">
        <v>62</v>
      </c>
      <c r="M2471">
        <v>70.59</v>
      </c>
      <c r="N2471" s="4">
        <f t="shared" si="38"/>
        <v>-100</v>
      </c>
      <c r="O2471" t="s">
        <v>83</v>
      </c>
    </row>
    <row r="2472" spans="1:15" x14ac:dyDescent="0.25">
      <c r="A2472" s="22">
        <v>45751</v>
      </c>
      <c r="B2472" s="1">
        <v>210945583</v>
      </c>
      <c r="C2472" t="s">
        <v>2268</v>
      </c>
      <c r="D2472" s="23">
        <v>-5647.2</v>
      </c>
      <c r="E2472" t="s">
        <v>35</v>
      </c>
      <c r="F2472" s="2">
        <v>212901001</v>
      </c>
      <c r="G2472" s="2" t="s">
        <v>91</v>
      </c>
      <c r="I2472" s="95" t="s">
        <v>7231</v>
      </c>
      <c r="J2472" t="s">
        <v>61</v>
      </c>
      <c r="K2472" t="s">
        <v>62</v>
      </c>
      <c r="M2472">
        <v>70.59</v>
      </c>
      <c r="N2472" s="4">
        <f t="shared" si="38"/>
        <v>-80</v>
      </c>
      <c r="O2472" t="s">
        <v>83</v>
      </c>
    </row>
    <row r="2473" spans="1:15" x14ac:dyDescent="0.25">
      <c r="A2473" s="22">
        <v>45751</v>
      </c>
      <c r="B2473" s="1">
        <v>110945581</v>
      </c>
      <c r="C2473" t="s">
        <v>2269</v>
      </c>
      <c r="D2473" s="23">
        <v>-2117.6999999999998</v>
      </c>
      <c r="E2473" t="s">
        <v>35</v>
      </c>
      <c r="F2473" s="2">
        <v>212901001</v>
      </c>
      <c r="G2473" s="2" t="s">
        <v>91</v>
      </c>
      <c r="I2473" s="95" t="s">
        <v>7231</v>
      </c>
      <c r="J2473" t="s">
        <v>61</v>
      </c>
      <c r="K2473" t="s">
        <v>62</v>
      </c>
      <c r="M2473">
        <v>70.59</v>
      </c>
      <c r="N2473" s="4">
        <f t="shared" si="38"/>
        <v>-29.999999999999996</v>
      </c>
      <c r="O2473" t="s">
        <v>83</v>
      </c>
    </row>
    <row r="2474" spans="1:15" x14ac:dyDescent="0.25">
      <c r="A2474" s="22">
        <v>45751</v>
      </c>
      <c r="B2474" s="1">
        <v>110945582</v>
      </c>
      <c r="C2474" t="s">
        <v>2270</v>
      </c>
      <c r="D2474" s="23">
        <v>-7764.9</v>
      </c>
      <c r="E2474" t="s">
        <v>35</v>
      </c>
      <c r="F2474" s="2">
        <v>212901001</v>
      </c>
      <c r="G2474" s="2" t="s">
        <v>91</v>
      </c>
      <c r="I2474" s="95" t="s">
        <v>7231</v>
      </c>
      <c r="J2474" t="s">
        <v>61</v>
      </c>
      <c r="K2474" t="s">
        <v>62</v>
      </c>
      <c r="M2474">
        <v>70.59</v>
      </c>
      <c r="N2474" s="4">
        <f t="shared" si="38"/>
        <v>-109.99999999999999</v>
      </c>
      <c r="O2474" t="s">
        <v>83</v>
      </c>
    </row>
    <row r="2475" spans="1:15" x14ac:dyDescent="0.25">
      <c r="A2475" s="22">
        <v>45751</v>
      </c>
      <c r="B2475" s="1">
        <v>110945575</v>
      </c>
      <c r="C2475" t="s">
        <v>2271</v>
      </c>
      <c r="D2475" s="23">
        <v>-2823.6</v>
      </c>
      <c r="E2475" t="s">
        <v>35</v>
      </c>
      <c r="F2475" s="2">
        <v>212901001</v>
      </c>
      <c r="G2475" s="2" t="s">
        <v>91</v>
      </c>
      <c r="I2475" s="95" t="s">
        <v>7231</v>
      </c>
      <c r="J2475" t="s">
        <v>61</v>
      </c>
      <c r="K2475" t="s">
        <v>62</v>
      </c>
      <c r="M2475">
        <v>70.59</v>
      </c>
      <c r="N2475" s="4">
        <f t="shared" si="38"/>
        <v>-40</v>
      </c>
      <c r="O2475" t="s">
        <v>83</v>
      </c>
    </row>
    <row r="2476" spans="1:15" x14ac:dyDescent="0.25">
      <c r="A2476" s="22">
        <v>45751</v>
      </c>
      <c r="B2476" s="1">
        <v>210945587</v>
      </c>
      <c r="C2476" t="s">
        <v>2272</v>
      </c>
      <c r="D2476" s="23">
        <v>-4941.3</v>
      </c>
      <c r="E2476" t="s">
        <v>35</v>
      </c>
      <c r="F2476" s="2">
        <v>212901001</v>
      </c>
      <c r="G2476" s="2" t="s">
        <v>91</v>
      </c>
      <c r="I2476" s="95" t="s">
        <v>7231</v>
      </c>
      <c r="J2476" t="s">
        <v>61</v>
      </c>
      <c r="K2476" t="s">
        <v>62</v>
      </c>
      <c r="M2476">
        <v>70.59</v>
      </c>
      <c r="N2476" s="4">
        <f t="shared" si="38"/>
        <v>-70</v>
      </c>
      <c r="O2476" t="s">
        <v>83</v>
      </c>
    </row>
    <row r="2477" spans="1:15" x14ac:dyDescent="0.25">
      <c r="A2477" s="22">
        <v>45751</v>
      </c>
      <c r="B2477" s="1">
        <v>210945586</v>
      </c>
      <c r="C2477" t="s">
        <v>2273</v>
      </c>
      <c r="D2477" s="23">
        <v>-4941.3</v>
      </c>
      <c r="E2477" t="s">
        <v>35</v>
      </c>
      <c r="F2477" s="2">
        <v>212901001</v>
      </c>
      <c r="G2477" s="2" t="s">
        <v>91</v>
      </c>
      <c r="I2477" s="95" t="s">
        <v>7231</v>
      </c>
      <c r="J2477" t="s">
        <v>61</v>
      </c>
      <c r="K2477" t="s">
        <v>62</v>
      </c>
      <c r="M2477">
        <v>70.59</v>
      </c>
      <c r="N2477" s="4">
        <f t="shared" si="38"/>
        <v>-70</v>
      </c>
      <c r="O2477" t="s">
        <v>83</v>
      </c>
    </row>
    <row r="2478" spans="1:15" x14ac:dyDescent="0.25">
      <c r="A2478" s="22">
        <v>45751</v>
      </c>
      <c r="B2478" s="1">
        <v>210945588</v>
      </c>
      <c r="C2478" t="s">
        <v>2274</v>
      </c>
      <c r="D2478" s="23">
        <v>-4941.3</v>
      </c>
      <c r="E2478" t="s">
        <v>35</v>
      </c>
      <c r="F2478" s="2">
        <v>212901001</v>
      </c>
      <c r="G2478" s="2" t="s">
        <v>91</v>
      </c>
      <c r="I2478" s="95" t="s">
        <v>7231</v>
      </c>
      <c r="J2478" t="s">
        <v>61</v>
      </c>
      <c r="K2478" t="s">
        <v>62</v>
      </c>
      <c r="M2478">
        <v>70.59</v>
      </c>
      <c r="N2478" s="4">
        <f t="shared" si="38"/>
        <v>-70</v>
      </c>
      <c r="O2478" t="s">
        <v>83</v>
      </c>
    </row>
    <row r="2479" spans="1:15" x14ac:dyDescent="0.25">
      <c r="A2479" s="22">
        <v>45751</v>
      </c>
      <c r="B2479" s="1">
        <v>210945589</v>
      </c>
      <c r="C2479" t="s">
        <v>2275</v>
      </c>
      <c r="D2479" s="23">
        <v>-3529.5</v>
      </c>
      <c r="E2479" t="s">
        <v>35</v>
      </c>
      <c r="F2479" s="2">
        <v>212901001</v>
      </c>
      <c r="G2479" s="2" t="s">
        <v>91</v>
      </c>
      <c r="I2479" s="95" t="s">
        <v>7231</v>
      </c>
      <c r="J2479" t="s">
        <v>61</v>
      </c>
      <c r="K2479" t="s">
        <v>62</v>
      </c>
      <c r="M2479">
        <v>70.59</v>
      </c>
      <c r="N2479" s="4">
        <f t="shared" si="38"/>
        <v>-50</v>
      </c>
      <c r="O2479" t="s">
        <v>83</v>
      </c>
    </row>
    <row r="2480" spans="1:15" x14ac:dyDescent="0.25">
      <c r="A2480" s="22">
        <v>45751</v>
      </c>
      <c r="B2480" s="1">
        <v>210945590</v>
      </c>
      <c r="C2480" t="s">
        <v>2276</v>
      </c>
      <c r="D2480" s="23">
        <v>-3529.5</v>
      </c>
      <c r="E2480" t="s">
        <v>35</v>
      </c>
      <c r="F2480" s="2">
        <v>212901001</v>
      </c>
      <c r="G2480" s="2" t="s">
        <v>91</v>
      </c>
      <c r="I2480" s="95" t="s">
        <v>7231</v>
      </c>
      <c r="J2480" t="s">
        <v>61</v>
      </c>
      <c r="K2480" t="s">
        <v>62</v>
      </c>
      <c r="M2480">
        <v>70.59</v>
      </c>
      <c r="N2480" s="4">
        <f t="shared" si="38"/>
        <v>-50</v>
      </c>
      <c r="O2480" t="s">
        <v>83</v>
      </c>
    </row>
    <row r="2481" spans="1:15" x14ac:dyDescent="0.25">
      <c r="A2481" s="22">
        <v>45751</v>
      </c>
      <c r="B2481" s="1">
        <v>210945591</v>
      </c>
      <c r="C2481" t="s">
        <v>2277</v>
      </c>
      <c r="D2481" s="23">
        <v>-3529.5</v>
      </c>
      <c r="E2481" t="s">
        <v>35</v>
      </c>
      <c r="F2481" s="2">
        <v>212901001</v>
      </c>
      <c r="G2481" s="2" t="s">
        <v>91</v>
      </c>
      <c r="I2481" s="95" t="s">
        <v>7231</v>
      </c>
      <c r="J2481" t="s">
        <v>61</v>
      </c>
      <c r="K2481" t="s">
        <v>62</v>
      </c>
      <c r="M2481">
        <v>70.59</v>
      </c>
      <c r="N2481" s="4">
        <f t="shared" si="38"/>
        <v>-50</v>
      </c>
      <c r="O2481" t="s">
        <v>83</v>
      </c>
    </row>
    <row r="2482" spans="1:15" x14ac:dyDescent="0.25">
      <c r="A2482" s="22">
        <v>45751</v>
      </c>
      <c r="B2482" s="1">
        <v>210945592</v>
      </c>
      <c r="C2482" t="s">
        <v>2278</v>
      </c>
      <c r="D2482" s="23">
        <v>-3529.5</v>
      </c>
      <c r="E2482" t="s">
        <v>35</v>
      </c>
      <c r="F2482" s="2">
        <v>212901001</v>
      </c>
      <c r="G2482" s="2" t="s">
        <v>91</v>
      </c>
      <c r="I2482" s="95" t="s">
        <v>7231</v>
      </c>
      <c r="J2482" t="s">
        <v>61</v>
      </c>
      <c r="K2482" t="s">
        <v>62</v>
      </c>
      <c r="M2482">
        <v>70.59</v>
      </c>
      <c r="N2482" s="4">
        <f t="shared" si="38"/>
        <v>-50</v>
      </c>
      <c r="O2482" t="s">
        <v>83</v>
      </c>
    </row>
    <row r="2483" spans="1:15" x14ac:dyDescent="0.25">
      <c r="A2483" s="22">
        <v>45751</v>
      </c>
      <c r="B2483" s="1">
        <v>310945595</v>
      </c>
      <c r="C2483" t="s">
        <v>2279</v>
      </c>
      <c r="D2483" s="23">
        <v>-3529.5</v>
      </c>
      <c r="E2483" t="s">
        <v>35</v>
      </c>
      <c r="F2483" s="2">
        <v>212901001</v>
      </c>
      <c r="G2483" s="2" t="s">
        <v>91</v>
      </c>
      <c r="I2483" s="95" t="s">
        <v>7231</v>
      </c>
      <c r="J2483" t="s">
        <v>61</v>
      </c>
      <c r="K2483" t="s">
        <v>62</v>
      </c>
      <c r="M2483">
        <v>70.59</v>
      </c>
      <c r="N2483" s="4">
        <f t="shared" si="38"/>
        <v>-50</v>
      </c>
      <c r="O2483" t="s">
        <v>83</v>
      </c>
    </row>
    <row r="2484" spans="1:15" x14ac:dyDescent="0.25">
      <c r="A2484" s="22">
        <v>45751</v>
      </c>
      <c r="B2484" s="1">
        <v>310945594</v>
      </c>
      <c r="C2484" t="s">
        <v>2280</v>
      </c>
      <c r="D2484" s="23">
        <v>-3529.5</v>
      </c>
      <c r="E2484" t="s">
        <v>35</v>
      </c>
      <c r="F2484" s="2">
        <v>212901001</v>
      </c>
      <c r="G2484" s="2" t="s">
        <v>91</v>
      </c>
      <c r="I2484" s="95" t="s">
        <v>7231</v>
      </c>
      <c r="J2484" t="s">
        <v>61</v>
      </c>
      <c r="K2484" t="s">
        <v>62</v>
      </c>
      <c r="M2484">
        <v>70.59</v>
      </c>
      <c r="N2484" s="4">
        <f t="shared" si="38"/>
        <v>-50</v>
      </c>
      <c r="O2484" t="s">
        <v>83</v>
      </c>
    </row>
    <row r="2485" spans="1:15" x14ac:dyDescent="0.25">
      <c r="A2485" s="22">
        <v>45751</v>
      </c>
      <c r="B2485" s="1">
        <v>310945596</v>
      </c>
      <c r="C2485" t="s">
        <v>2276</v>
      </c>
      <c r="D2485" s="23">
        <v>-3529.5</v>
      </c>
      <c r="E2485" t="s">
        <v>35</v>
      </c>
      <c r="F2485" s="2">
        <v>212901001</v>
      </c>
      <c r="G2485" s="2" t="s">
        <v>91</v>
      </c>
      <c r="I2485" s="95" t="s">
        <v>7231</v>
      </c>
      <c r="J2485" t="s">
        <v>61</v>
      </c>
      <c r="K2485" t="s">
        <v>62</v>
      </c>
      <c r="M2485">
        <v>70.59</v>
      </c>
      <c r="N2485" s="4">
        <f t="shared" si="38"/>
        <v>-50</v>
      </c>
      <c r="O2485" t="s">
        <v>83</v>
      </c>
    </row>
    <row r="2486" spans="1:15" x14ac:dyDescent="0.25">
      <c r="A2486" s="22">
        <v>45751</v>
      </c>
      <c r="B2486" s="1">
        <v>310945593</v>
      </c>
      <c r="C2486" t="s">
        <v>2281</v>
      </c>
      <c r="D2486" s="23">
        <v>-3529.5</v>
      </c>
      <c r="E2486" t="s">
        <v>35</v>
      </c>
      <c r="F2486" s="2">
        <v>212901001</v>
      </c>
      <c r="G2486" s="2" t="s">
        <v>91</v>
      </c>
      <c r="I2486" s="95" t="s">
        <v>7231</v>
      </c>
      <c r="J2486" t="s">
        <v>61</v>
      </c>
      <c r="K2486" t="s">
        <v>62</v>
      </c>
      <c r="M2486">
        <v>70.59</v>
      </c>
      <c r="N2486" s="4">
        <f t="shared" si="38"/>
        <v>-50</v>
      </c>
      <c r="O2486" t="s">
        <v>83</v>
      </c>
    </row>
    <row r="2487" spans="1:15" x14ac:dyDescent="0.25">
      <c r="A2487" s="22">
        <v>45751</v>
      </c>
      <c r="B2487" s="1">
        <v>310945601</v>
      </c>
      <c r="C2487" t="s">
        <v>2282</v>
      </c>
      <c r="D2487" s="23">
        <v>-3529.5</v>
      </c>
      <c r="E2487" t="s">
        <v>35</v>
      </c>
      <c r="F2487" s="2">
        <v>212901001</v>
      </c>
      <c r="G2487" s="2" t="s">
        <v>91</v>
      </c>
      <c r="I2487" s="95" t="s">
        <v>7231</v>
      </c>
      <c r="J2487" t="s">
        <v>61</v>
      </c>
      <c r="K2487" t="s">
        <v>62</v>
      </c>
      <c r="M2487">
        <v>70.59</v>
      </c>
      <c r="N2487" s="4">
        <f t="shared" si="38"/>
        <v>-50</v>
      </c>
      <c r="O2487" t="s">
        <v>83</v>
      </c>
    </row>
    <row r="2488" spans="1:15" x14ac:dyDescent="0.25">
      <c r="A2488" s="22">
        <v>45751</v>
      </c>
      <c r="B2488" s="1">
        <v>310945599</v>
      </c>
      <c r="C2488" t="s">
        <v>2283</v>
      </c>
      <c r="D2488" s="23">
        <v>-3529.5</v>
      </c>
      <c r="E2488" t="s">
        <v>35</v>
      </c>
      <c r="F2488" s="2">
        <v>212901001</v>
      </c>
      <c r="G2488" s="2" t="s">
        <v>91</v>
      </c>
      <c r="I2488" s="95" t="s">
        <v>7231</v>
      </c>
      <c r="J2488" t="s">
        <v>61</v>
      </c>
      <c r="K2488" t="s">
        <v>62</v>
      </c>
      <c r="M2488">
        <v>70.59</v>
      </c>
      <c r="N2488" s="4">
        <f t="shared" si="38"/>
        <v>-50</v>
      </c>
      <c r="O2488" t="s">
        <v>83</v>
      </c>
    </row>
    <row r="2489" spans="1:15" x14ac:dyDescent="0.25">
      <c r="A2489" s="22">
        <v>45751</v>
      </c>
      <c r="B2489" s="1">
        <v>310945603</v>
      </c>
      <c r="C2489" t="s">
        <v>2284</v>
      </c>
      <c r="D2489" s="23">
        <v>-3529.5</v>
      </c>
      <c r="E2489" t="s">
        <v>35</v>
      </c>
      <c r="F2489" s="2">
        <v>212901001</v>
      </c>
      <c r="G2489" s="2" t="s">
        <v>91</v>
      </c>
      <c r="I2489" s="95" t="s">
        <v>7231</v>
      </c>
      <c r="J2489" t="s">
        <v>61</v>
      </c>
      <c r="K2489" t="s">
        <v>62</v>
      </c>
      <c r="M2489">
        <v>70.59</v>
      </c>
      <c r="N2489" s="4">
        <f t="shared" si="38"/>
        <v>-50</v>
      </c>
      <c r="O2489" t="s">
        <v>83</v>
      </c>
    </row>
    <row r="2490" spans="1:15" x14ac:dyDescent="0.25">
      <c r="A2490" s="22">
        <v>45751</v>
      </c>
      <c r="B2490" s="1">
        <v>310945598</v>
      </c>
      <c r="C2490" t="s">
        <v>2285</v>
      </c>
      <c r="D2490" s="23">
        <v>-3529.5</v>
      </c>
      <c r="E2490" t="s">
        <v>35</v>
      </c>
      <c r="F2490" s="2">
        <v>212901001</v>
      </c>
      <c r="G2490" s="2" t="s">
        <v>91</v>
      </c>
      <c r="I2490" s="95" t="s">
        <v>7231</v>
      </c>
      <c r="J2490" t="s">
        <v>61</v>
      </c>
      <c r="K2490" t="s">
        <v>62</v>
      </c>
      <c r="M2490">
        <v>70.59</v>
      </c>
      <c r="N2490" s="4">
        <f t="shared" si="38"/>
        <v>-50</v>
      </c>
      <c r="O2490" t="s">
        <v>83</v>
      </c>
    </row>
    <row r="2491" spans="1:15" x14ac:dyDescent="0.25">
      <c r="A2491" s="22">
        <v>45751</v>
      </c>
      <c r="B2491" s="1">
        <v>310945602</v>
      </c>
      <c r="C2491" t="s">
        <v>2286</v>
      </c>
      <c r="D2491" s="23">
        <v>-3529.5</v>
      </c>
      <c r="E2491" t="s">
        <v>35</v>
      </c>
      <c r="F2491" s="2">
        <v>212901001</v>
      </c>
      <c r="G2491" s="2" t="s">
        <v>91</v>
      </c>
      <c r="I2491" s="95" t="s">
        <v>7231</v>
      </c>
      <c r="J2491" t="s">
        <v>61</v>
      </c>
      <c r="K2491" t="s">
        <v>62</v>
      </c>
      <c r="M2491">
        <v>70.59</v>
      </c>
      <c r="N2491" s="4">
        <f t="shared" si="38"/>
        <v>-50</v>
      </c>
      <c r="O2491" t="s">
        <v>83</v>
      </c>
    </row>
    <row r="2492" spans="1:15" x14ac:dyDescent="0.25">
      <c r="A2492" s="22">
        <v>45751</v>
      </c>
      <c r="B2492" s="1">
        <v>310945600</v>
      </c>
      <c r="C2492" t="s">
        <v>2287</v>
      </c>
      <c r="D2492" s="23">
        <v>-3529.5</v>
      </c>
      <c r="E2492" t="s">
        <v>35</v>
      </c>
      <c r="F2492" s="2">
        <v>212901001</v>
      </c>
      <c r="G2492" s="2" t="s">
        <v>91</v>
      </c>
      <c r="I2492" s="95" t="s">
        <v>7231</v>
      </c>
      <c r="J2492" t="s">
        <v>61</v>
      </c>
      <c r="K2492" t="s">
        <v>62</v>
      </c>
      <c r="M2492">
        <v>70.59</v>
      </c>
      <c r="N2492" s="4">
        <f t="shared" si="38"/>
        <v>-50</v>
      </c>
      <c r="O2492" t="s">
        <v>83</v>
      </c>
    </row>
    <row r="2493" spans="1:15" x14ac:dyDescent="0.25">
      <c r="A2493" s="22">
        <v>45751</v>
      </c>
      <c r="B2493" s="1">
        <v>410945604</v>
      </c>
      <c r="C2493" t="s">
        <v>2288</v>
      </c>
      <c r="D2493" s="23">
        <v>-2964.78</v>
      </c>
      <c r="E2493" t="s">
        <v>35</v>
      </c>
      <c r="F2493" s="2">
        <v>212901001</v>
      </c>
      <c r="G2493" s="2" t="s">
        <v>91</v>
      </c>
      <c r="I2493" s="95" t="s">
        <v>7231</v>
      </c>
      <c r="J2493" t="s">
        <v>61</v>
      </c>
      <c r="K2493" t="s">
        <v>62</v>
      </c>
      <c r="M2493">
        <v>70.59</v>
      </c>
      <c r="N2493" s="4">
        <f t="shared" si="38"/>
        <v>-42</v>
      </c>
      <c r="O2493" t="s">
        <v>83</v>
      </c>
    </row>
    <row r="2494" spans="1:15" x14ac:dyDescent="0.25">
      <c r="A2494" s="22">
        <v>45751</v>
      </c>
      <c r="B2494" s="1">
        <v>410945605</v>
      </c>
      <c r="C2494" t="s">
        <v>2289</v>
      </c>
      <c r="D2494" s="23">
        <v>-1411.8</v>
      </c>
      <c r="E2494" t="s">
        <v>35</v>
      </c>
      <c r="F2494" s="2">
        <v>212901001</v>
      </c>
      <c r="G2494" s="2" t="s">
        <v>91</v>
      </c>
      <c r="I2494" s="95" t="s">
        <v>7231</v>
      </c>
      <c r="J2494" t="s">
        <v>61</v>
      </c>
      <c r="K2494" t="s">
        <v>62</v>
      </c>
      <c r="M2494">
        <v>70.59</v>
      </c>
      <c r="N2494" s="4">
        <f t="shared" si="38"/>
        <v>-20</v>
      </c>
      <c r="O2494" t="s">
        <v>83</v>
      </c>
    </row>
    <row r="2495" spans="1:15" x14ac:dyDescent="0.25">
      <c r="A2495" s="22">
        <v>45751</v>
      </c>
      <c r="B2495" s="1">
        <v>410945609</v>
      </c>
      <c r="C2495" t="s">
        <v>2290</v>
      </c>
      <c r="D2495" s="23">
        <v>-7059</v>
      </c>
      <c r="E2495" t="s">
        <v>35</v>
      </c>
      <c r="F2495" s="2">
        <v>212901001</v>
      </c>
      <c r="G2495" s="2" t="s">
        <v>91</v>
      </c>
      <c r="I2495" s="95" t="s">
        <v>7231</v>
      </c>
      <c r="J2495" t="s">
        <v>61</v>
      </c>
      <c r="K2495" t="s">
        <v>62</v>
      </c>
      <c r="M2495">
        <v>70.59</v>
      </c>
      <c r="N2495" s="4">
        <f t="shared" si="38"/>
        <v>-100</v>
      </c>
      <c r="O2495" t="s">
        <v>83</v>
      </c>
    </row>
    <row r="2496" spans="1:15" x14ac:dyDescent="0.25">
      <c r="A2496" s="22">
        <v>45751</v>
      </c>
      <c r="B2496" s="1">
        <v>410945606</v>
      </c>
      <c r="C2496" t="s">
        <v>2291</v>
      </c>
      <c r="D2496" s="23">
        <v>-1411.8</v>
      </c>
      <c r="E2496" t="s">
        <v>35</v>
      </c>
      <c r="F2496" s="2">
        <v>212901001</v>
      </c>
      <c r="G2496" s="2" t="s">
        <v>91</v>
      </c>
      <c r="I2496" s="95" t="s">
        <v>7231</v>
      </c>
      <c r="J2496" t="s">
        <v>61</v>
      </c>
      <c r="K2496" t="s">
        <v>62</v>
      </c>
      <c r="M2496">
        <v>70.59</v>
      </c>
      <c r="N2496" s="4">
        <f t="shared" si="38"/>
        <v>-20</v>
      </c>
      <c r="O2496" t="s">
        <v>83</v>
      </c>
    </row>
    <row r="2497" spans="1:17" x14ac:dyDescent="0.25">
      <c r="A2497" s="22">
        <v>45751</v>
      </c>
      <c r="B2497" s="1">
        <v>410945607</v>
      </c>
      <c r="C2497" t="s">
        <v>2292</v>
      </c>
      <c r="D2497" s="23">
        <v>-1411.8</v>
      </c>
      <c r="E2497" t="s">
        <v>35</v>
      </c>
      <c r="F2497" s="2">
        <v>212901001</v>
      </c>
      <c r="G2497" s="2" t="s">
        <v>91</v>
      </c>
      <c r="I2497" s="95" t="s">
        <v>7231</v>
      </c>
      <c r="J2497" t="s">
        <v>61</v>
      </c>
      <c r="K2497" t="s">
        <v>62</v>
      </c>
      <c r="M2497">
        <v>70.59</v>
      </c>
      <c r="N2497" s="4">
        <f t="shared" si="38"/>
        <v>-20</v>
      </c>
      <c r="O2497" t="s">
        <v>83</v>
      </c>
    </row>
    <row r="2498" spans="1:17" x14ac:dyDescent="0.25">
      <c r="A2498" s="22">
        <v>45751</v>
      </c>
      <c r="B2498" s="1">
        <v>410945608</v>
      </c>
      <c r="C2498" t="s">
        <v>2293</v>
      </c>
      <c r="D2498" s="23">
        <v>-1411.8</v>
      </c>
      <c r="E2498" t="s">
        <v>35</v>
      </c>
      <c r="F2498" s="2">
        <v>212901001</v>
      </c>
      <c r="G2498" s="2" t="s">
        <v>91</v>
      </c>
      <c r="I2498" s="95" t="s">
        <v>7231</v>
      </c>
      <c r="J2498" t="s">
        <v>61</v>
      </c>
      <c r="K2498" t="s">
        <v>62</v>
      </c>
      <c r="M2498">
        <v>70.59</v>
      </c>
      <c r="N2498" s="4">
        <f t="shared" si="38"/>
        <v>-20</v>
      </c>
      <c r="O2498" t="s">
        <v>83</v>
      </c>
    </row>
    <row r="2499" spans="1:17" x14ac:dyDescent="0.25">
      <c r="A2499" s="22">
        <v>45751</v>
      </c>
      <c r="B2499" s="1">
        <v>410945610</v>
      </c>
      <c r="C2499" t="s">
        <v>2294</v>
      </c>
      <c r="D2499" s="23">
        <v>-14118</v>
      </c>
      <c r="E2499" t="s">
        <v>35</v>
      </c>
      <c r="F2499" s="2">
        <v>212901001</v>
      </c>
      <c r="G2499" s="2" t="s">
        <v>91</v>
      </c>
      <c r="I2499" s="95" t="s">
        <v>7231</v>
      </c>
      <c r="J2499" t="s">
        <v>61</v>
      </c>
      <c r="K2499" t="s">
        <v>62</v>
      </c>
      <c r="M2499">
        <v>70.59</v>
      </c>
      <c r="N2499" s="4">
        <f t="shared" si="38"/>
        <v>-200</v>
      </c>
      <c r="O2499" t="s">
        <v>83</v>
      </c>
    </row>
    <row r="2500" spans="1:17" x14ac:dyDescent="0.25">
      <c r="A2500" s="22">
        <v>45751</v>
      </c>
      <c r="B2500" s="1">
        <v>410945611</v>
      </c>
      <c r="C2500" t="s">
        <v>2295</v>
      </c>
      <c r="D2500" s="23">
        <v>-8611.98</v>
      </c>
      <c r="E2500" t="s">
        <v>35</v>
      </c>
      <c r="F2500" s="2">
        <v>212901001</v>
      </c>
      <c r="G2500" s="2" t="s">
        <v>91</v>
      </c>
      <c r="I2500" s="95" t="s">
        <v>7231</v>
      </c>
      <c r="J2500" t="s">
        <v>61</v>
      </c>
      <c r="K2500" t="s">
        <v>62</v>
      </c>
      <c r="M2500">
        <v>70.59</v>
      </c>
      <c r="N2500" s="4">
        <f t="shared" si="38"/>
        <v>-121.99999999999999</v>
      </c>
      <c r="O2500" t="s">
        <v>83</v>
      </c>
    </row>
    <row r="2501" spans="1:17" x14ac:dyDescent="0.25">
      <c r="A2501" s="22">
        <v>45751</v>
      </c>
      <c r="B2501" s="1">
        <v>410945613</v>
      </c>
      <c r="C2501" t="s">
        <v>2296</v>
      </c>
      <c r="D2501" s="23">
        <v>-2823.6</v>
      </c>
      <c r="E2501" t="s">
        <v>35</v>
      </c>
      <c r="F2501" s="2">
        <v>212901001</v>
      </c>
      <c r="G2501" s="2" t="s">
        <v>91</v>
      </c>
      <c r="I2501" s="95" t="s">
        <v>7231</v>
      </c>
      <c r="J2501" t="s">
        <v>61</v>
      </c>
      <c r="K2501" t="s">
        <v>62</v>
      </c>
      <c r="M2501">
        <v>70.59</v>
      </c>
      <c r="N2501" s="4">
        <f t="shared" si="38"/>
        <v>-40</v>
      </c>
      <c r="O2501" t="s">
        <v>83</v>
      </c>
    </row>
    <row r="2502" spans="1:17" x14ac:dyDescent="0.25">
      <c r="A2502" s="22">
        <v>45751</v>
      </c>
      <c r="B2502" s="1">
        <v>410945612</v>
      </c>
      <c r="C2502" t="s">
        <v>2297</v>
      </c>
      <c r="D2502" s="23">
        <v>-2117.6999999999998</v>
      </c>
      <c r="E2502" t="s">
        <v>35</v>
      </c>
      <c r="F2502" s="2">
        <v>212901001</v>
      </c>
      <c r="G2502" s="2" t="s">
        <v>91</v>
      </c>
      <c r="I2502" s="95" t="s">
        <v>7231</v>
      </c>
      <c r="J2502" t="s">
        <v>61</v>
      </c>
      <c r="K2502" t="s">
        <v>62</v>
      </c>
      <c r="M2502">
        <v>70.59</v>
      </c>
      <c r="N2502" s="4">
        <f t="shared" si="38"/>
        <v>-29.999999999999996</v>
      </c>
      <c r="O2502" t="s">
        <v>83</v>
      </c>
    </row>
    <row r="2503" spans="1:17" x14ac:dyDescent="0.25">
      <c r="A2503" s="22">
        <v>45751</v>
      </c>
      <c r="B2503" s="1">
        <v>50483470</v>
      </c>
      <c r="C2503" t="s">
        <v>2298</v>
      </c>
      <c r="D2503" s="23">
        <v>-9882.6</v>
      </c>
      <c r="E2503" t="s">
        <v>35</v>
      </c>
      <c r="F2503" s="2">
        <v>212901001</v>
      </c>
      <c r="G2503" s="2" t="s">
        <v>91</v>
      </c>
      <c r="I2503" s="95" t="s">
        <v>7231</v>
      </c>
      <c r="J2503" t="s">
        <v>61</v>
      </c>
      <c r="K2503" t="s">
        <v>62</v>
      </c>
      <c r="M2503">
        <v>70.59</v>
      </c>
      <c r="N2503" s="4">
        <f t="shared" si="38"/>
        <v>-140</v>
      </c>
      <c r="O2503" t="s">
        <v>83</v>
      </c>
    </row>
    <row r="2504" spans="1:17" x14ac:dyDescent="0.25">
      <c r="A2504" s="22">
        <v>45751</v>
      </c>
      <c r="B2504" s="1">
        <v>50483470</v>
      </c>
      <c r="C2504" t="s">
        <v>179</v>
      </c>
      <c r="D2504" s="23">
        <v>-14.82</v>
      </c>
      <c r="E2504" t="s">
        <v>35</v>
      </c>
      <c r="F2504" s="2">
        <v>610148001</v>
      </c>
      <c r="G2504" s="2" t="s">
        <v>41</v>
      </c>
      <c r="I2504" s="95" t="s">
        <v>7231</v>
      </c>
      <c r="J2504" t="s">
        <v>42</v>
      </c>
      <c r="K2504" t="s">
        <v>41</v>
      </c>
      <c r="M2504">
        <v>70.59</v>
      </c>
      <c r="N2504" s="4">
        <f t="shared" si="38"/>
        <v>-0.20994475138121546</v>
      </c>
      <c r="O2504" t="s">
        <v>83</v>
      </c>
      <c r="Q2504" s="24" t="s">
        <v>2195</v>
      </c>
    </row>
    <row r="2505" spans="1:17" x14ac:dyDescent="0.25">
      <c r="A2505" s="22">
        <v>45751</v>
      </c>
      <c r="B2505" s="1">
        <v>50483470</v>
      </c>
      <c r="C2505" t="s">
        <v>89</v>
      </c>
      <c r="D2505" s="23">
        <v>-798.19</v>
      </c>
      <c r="E2505" t="s">
        <v>35</v>
      </c>
      <c r="F2505" s="2">
        <v>610148001</v>
      </c>
      <c r="G2505" s="2" t="s">
        <v>41</v>
      </c>
      <c r="I2505" s="95" t="s">
        <v>7231</v>
      </c>
      <c r="J2505" t="s">
        <v>42</v>
      </c>
      <c r="K2505" t="s">
        <v>41</v>
      </c>
      <c r="M2505">
        <v>70.59</v>
      </c>
      <c r="N2505" s="4">
        <f t="shared" si="38"/>
        <v>-11.307408981442132</v>
      </c>
      <c r="O2505" t="s">
        <v>83</v>
      </c>
      <c r="Q2505" s="24" t="s">
        <v>2195</v>
      </c>
    </row>
    <row r="2506" spans="1:17" x14ac:dyDescent="0.25">
      <c r="A2506" s="22">
        <v>45751</v>
      </c>
      <c r="B2506" s="1">
        <v>140919996</v>
      </c>
      <c r="C2506" t="s">
        <v>82</v>
      </c>
      <c r="D2506" s="23">
        <v>90000</v>
      </c>
      <c r="E2506" t="s">
        <v>45</v>
      </c>
      <c r="F2506" s="2">
        <v>210115002</v>
      </c>
      <c r="G2506" s="2" t="s">
        <v>46</v>
      </c>
      <c r="I2506" s="95" t="s">
        <v>7231</v>
      </c>
      <c r="K2506" t="s">
        <v>82</v>
      </c>
      <c r="M2506">
        <v>70.59</v>
      </c>
      <c r="N2506" s="4">
        <f t="shared" si="38"/>
        <v>1274.968125796855</v>
      </c>
      <c r="O2506" t="s">
        <v>83</v>
      </c>
    </row>
    <row r="2507" spans="1:17" x14ac:dyDescent="0.25">
      <c r="A2507" s="22">
        <v>45751</v>
      </c>
      <c r="B2507" s="1">
        <v>910947883</v>
      </c>
      <c r="C2507" t="s">
        <v>2299</v>
      </c>
      <c r="D2507" s="23">
        <v>-95461.54</v>
      </c>
      <c r="E2507" t="s">
        <v>35</v>
      </c>
      <c r="F2507" s="2">
        <v>210101001</v>
      </c>
      <c r="G2507" s="2" t="s">
        <v>36</v>
      </c>
      <c r="I2507" s="95" t="s">
        <v>7231</v>
      </c>
      <c r="J2507" t="s">
        <v>1007</v>
      </c>
      <c r="K2507" t="s">
        <v>1008</v>
      </c>
      <c r="M2507">
        <v>70.59</v>
      </c>
      <c r="N2507" s="4">
        <f t="shared" si="38"/>
        <v>-1352.338008216461</v>
      </c>
      <c r="O2507" t="s">
        <v>83</v>
      </c>
    </row>
    <row r="2508" spans="1:17" x14ac:dyDescent="0.25">
      <c r="A2508" s="22">
        <v>45751</v>
      </c>
      <c r="B2508" s="1">
        <v>910947883</v>
      </c>
      <c r="C2508" t="s">
        <v>185</v>
      </c>
      <c r="D2508" s="23">
        <v>-286.38</v>
      </c>
      <c r="E2508" t="s">
        <v>35</v>
      </c>
      <c r="F2508" s="2">
        <v>610148001</v>
      </c>
      <c r="G2508" s="2" t="s">
        <v>41</v>
      </c>
      <c r="I2508" s="95" t="s">
        <v>7231</v>
      </c>
      <c r="J2508" t="s">
        <v>42</v>
      </c>
      <c r="K2508" t="s">
        <v>41</v>
      </c>
      <c r="M2508">
        <v>70.59</v>
      </c>
      <c r="N2508" s="4">
        <f t="shared" ref="N2508:N2571" si="39">D2508/M2508</f>
        <v>-4.0569485762855928</v>
      </c>
      <c r="O2508" t="s">
        <v>83</v>
      </c>
      <c r="Q2508" s="24" t="s">
        <v>2195</v>
      </c>
    </row>
    <row r="2509" spans="1:17" x14ac:dyDescent="0.25">
      <c r="A2509" s="22">
        <v>45751</v>
      </c>
      <c r="B2509" s="1">
        <v>150814085</v>
      </c>
      <c r="C2509" t="s">
        <v>82</v>
      </c>
      <c r="D2509" s="23">
        <v>50000</v>
      </c>
      <c r="E2509" t="s">
        <v>45</v>
      </c>
      <c r="F2509" s="2">
        <v>210115002</v>
      </c>
      <c r="G2509" s="2" t="s">
        <v>46</v>
      </c>
      <c r="I2509" s="95" t="s">
        <v>7231</v>
      </c>
      <c r="K2509" t="s">
        <v>82</v>
      </c>
      <c r="M2509">
        <v>70.59</v>
      </c>
      <c r="N2509" s="4">
        <f t="shared" si="39"/>
        <v>708.31562544269718</v>
      </c>
      <c r="O2509" t="s">
        <v>83</v>
      </c>
    </row>
    <row r="2510" spans="1:17" x14ac:dyDescent="0.25">
      <c r="A2510" s="22">
        <v>45751</v>
      </c>
      <c r="B2510" s="1">
        <v>610952741</v>
      </c>
      <c r="C2510" t="s">
        <v>2300</v>
      </c>
      <c r="D2510" s="23">
        <v>-36664.449999999997</v>
      </c>
      <c r="E2510" t="s">
        <v>35</v>
      </c>
      <c r="F2510" s="2">
        <v>210101001</v>
      </c>
      <c r="G2510" s="2" t="s">
        <v>36</v>
      </c>
      <c r="I2510" s="95" t="s">
        <v>7231</v>
      </c>
      <c r="J2510" t="s">
        <v>1306</v>
      </c>
      <c r="K2510" t="s">
        <v>600</v>
      </c>
      <c r="M2510">
        <v>70.59</v>
      </c>
      <c r="N2510" s="4">
        <f t="shared" si="39"/>
        <v>-519.40005666524996</v>
      </c>
      <c r="O2510" t="s">
        <v>83</v>
      </c>
    </row>
    <row r="2511" spans="1:17" x14ac:dyDescent="0.25">
      <c r="A2511" s="22">
        <v>45751</v>
      </c>
      <c r="B2511" s="1">
        <v>50416147</v>
      </c>
      <c r="C2511" t="s">
        <v>2301</v>
      </c>
      <c r="D2511" s="23">
        <v>-13314.02</v>
      </c>
      <c r="E2511" t="s">
        <v>35</v>
      </c>
      <c r="F2511" s="2">
        <v>110106001</v>
      </c>
      <c r="G2511" s="2" t="s">
        <v>1011</v>
      </c>
      <c r="I2511" s="95" t="s">
        <v>7231</v>
      </c>
      <c r="K2511" t="s">
        <v>1162</v>
      </c>
      <c r="M2511">
        <v>70.59</v>
      </c>
      <c r="N2511" s="4">
        <f t="shared" si="39"/>
        <v>-188.6105680691316</v>
      </c>
      <c r="O2511" t="s">
        <v>83</v>
      </c>
    </row>
    <row r="2512" spans="1:17" x14ac:dyDescent="0.25">
      <c r="A2512" s="22">
        <v>45751</v>
      </c>
      <c r="B2512" s="1">
        <v>50416147</v>
      </c>
      <c r="C2512" t="s">
        <v>179</v>
      </c>
      <c r="D2512" s="23">
        <v>-19.97</v>
      </c>
      <c r="E2512" t="s">
        <v>35</v>
      </c>
      <c r="F2512" s="2">
        <v>610148001</v>
      </c>
      <c r="G2512" s="2" t="s">
        <v>41</v>
      </c>
      <c r="I2512" s="95" t="s">
        <v>7231</v>
      </c>
      <c r="J2512" t="s">
        <v>42</v>
      </c>
      <c r="K2512" t="s">
        <v>41</v>
      </c>
      <c r="M2512">
        <v>70.59</v>
      </c>
      <c r="N2512" s="4">
        <f t="shared" si="39"/>
        <v>-0.28290126080181327</v>
      </c>
      <c r="O2512" t="s">
        <v>83</v>
      </c>
      <c r="Q2512" s="24" t="s">
        <v>2195</v>
      </c>
    </row>
    <row r="2513" spans="1:17" x14ac:dyDescent="0.25">
      <c r="A2513" s="22">
        <v>45751</v>
      </c>
      <c r="B2513" s="1">
        <v>50416147</v>
      </c>
      <c r="C2513" t="s">
        <v>89</v>
      </c>
      <c r="D2513" s="23">
        <v>-91.66</v>
      </c>
      <c r="E2513" t="s">
        <v>35</v>
      </c>
      <c r="F2513" s="2">
        <v>610148001</v>
      </c>
      <c r="G2513" s="2" t="s">
        <v>41</v>
      </c>
      <c r="I2513" s="95" t="s">
        <v>7231</v>
      </c>
      <c r="J2513" t="s">
        <v>42</v>
      </c>
      <c r="K2513" t="s">
        <v>41</v>
      </c>
      <c r="M2513">
        <v>70.59</v>
      </c>
      <c r="N2513" s="4">
        <f t="shared" si="39"/>
        <v>-1.2984842045615526</v>
      </c>
      <c r="O2513" t="s">
        <v>83</v>
      </c>
      <c r="Q2513" s="24" t="s">
        <v>2195</v>
      </c>
    </row>
    <row r="2514" spans="1:17" x14ac:dyDescent="0.25">
      <c r="A2514" s="22">
        <v>45754</v>
      </c>
      <c r="B2514" s="1">
        <v>211068660</v>
      </c>
      <c r="C2514" t="s">
        <v>2302</v>
      </c>
      <c r="D2514" s="23">
        <v>-6786</v>
      </c>
      <c r="E2514" t="s">
        <v>35</v>
      </c>
      <c r="F2514" s="2">
        <v>210101001</v>
      </c>
      <c r="G2514" s="2" t="s">
        <v>36</v>
      </c>
      <c r="I2514" s="95" t="s">
        <v>7231</v>
      </c>
      <c r="J2514" t="s">
        <v>414</v>
      </c>
      <c r="K2514" t="s">
        <v>415</v>
      </c>
      <c r="M2514">
        <v>72.19</v>
      </c>
      <c r="N2514" s="4">
        <f t="shared" si="39"/>
        <v>-94.001939326776565</v>
      </c>
      <c r="O2514" t="s">
        <v>83</v>
      </c>
    </row>
    <row r="2515" spans="1:17" x14ac:dyDescent="0.25">
      <c r="A2515" s="22">
        <v>45754</v>
      </c>
      <c r="B2515" s="1">
        <v>211068660</v>
      </c>
      <c r="C2515" t="s">
        <v>185</v>
      </c>
      <c r="D2515" s="23">
        <v>-20.36</v>
      </c>
      <c r="E2515" t="s">
        <v>35</v>
      </c>
      <c r="F2515" s="2">
        <v>610148001</v>
      </c>
      <c r="G2515" s="2" t="s">
        <v>41</v>
      </c>
      <c r="I2515" s="95" t="s">
        <v>7231</v>
      </c>
      <c r="J2515" t="s">
        <v>42</v>
      </c>
      <c r="K2515" t="s">
        <v>41</v>
      </c>
      <c r="M2515">
        <v>72.19</v>
      </c>
      <c r="N2515" s="4">
        <f t="shared" si="39"/>
        <v>-0.28203352264856629</v>
      </c>
      <c r="O2515" t="s">
        <v>83</v>
      </c>
      <c r="Q2515" s="24" t="s">
        <v>2195</v>
      </c>
    </row>
    <row r="2516" spans="1:17" x14ac:dyDescent="0.25">
      <c r="A2516" s="22">
        <v>45754</v>
      </c>
      <c r="B2516" s="1">
        <v>922013174</v>
      </c>
      <c r="C2516" t="s">
        <v>2303</v>
      </c>
      <c r="D2516" s="23">
        <v>10718.77</v>
      </c>
      <c r="E2516" t="s">
        <v>45</v>
      </c>
      <c r="F2516" s="2">
        <v>110106001</v>
      </c>
      <c r="G2516" s="2" t="s">
        <v>1011</v>
      </c>
      <c r="I2516" s="95" t="s">
        <v>7231</v>
      </c>
      <c r="K2516" t="s">
        <v>2223</v>
      </c>
      <c r="M2516">
        <v>72.19</v>
      </c>
      <c r="N2516" s="4">
        <f t="shared" si="39"/>
        <v>148.47998337719906</v>
      </c>
      <c r="O2516" t="s">
        <v>83</v>
      </c>
    </row>
    <row r="2517" spans="1:17" x14ac:dyDescent="0.25">
      <c r="A2517" s="22">
        <v>45754</v>
      </c>
      <c r="B2517" s="1">
        <v>922013174</v>
      </c>
      <c r="C2517" t="s">
        <v>1013</v>
      </c>
      <c r="D2517" s="23">
        <v>-160.78</v>
      </c>
      <c r="E2517" t="s">
        <v>35</v>
      </c>
      <c r="F2517" s="2">
        <v>610148001</v>
      </c>
      <c r="G2517" s="2" t="s">
        <v>41</v>
      </c>
      <c r="I2517" s="95" t="s">
        <v>7231</v>
      </c>
      <c r="J2517" t="s">
        <v>42</v>
      </c>
      <c r="K2517" t="s">
        <v>41</v>
      </c>
      <c r="M2517">
        <v>72.19</v>
      </c>
      <c r="N2517" s="4">
        <f t="shared" si="39"/>
        <v>-2.2271782795401025</v>
      </c>
      <c r="O2517" t="s">
        <v>83</v>
      </c>
      <c r="Q2517" s="24" t="s">
        <v>2195</v>
      </c>
    </row>
    <row r="2518" spans="1:17" x14ac:dyDescent="0.25">
      <c r="A2518" s="22">
        <v>45754</v>
      </c>
      <c r="B2518" s="1">
        <v>811091734</v>
      </c>
      <c r="C2518" t="s">
        <v>2304</v>
      </c>
      <c r="D2518" s="23">
        <v>-8052.72</v>
      </c>
      <c r="E2518" t="s">
        <v>35</v>
      </c>
      <c r="F2518" s="2">
        <v>210101001</v>
      </c>
      <c r="G2518" s="2" t="s">
        <v>36</v>
      </c>
      <c r="I2518" s="95" t="s">
        <v>7231</v>
      </c>
      <c r="J2518" t="s">
        <v>414</v>
      </c>
      <c r="K2518" t="s">
        <v>415</v>
      </c>
      <c r="M2518">
        <v>72.19</v>
      </c>
      <c r="N2518" s="4">
        <f t="shared" si="39"/>
        <v>-111.54896800110819</v>
      </c>
      <c r="O2518" t="s">
        <v>83</v>
      </c>
    </row>
    <row r="2519" spans="1:17" x14ac:dyDescent="0.25">
      <c r="A2519" s="22">
        <v>45754</v>
      </c>
      <c r="B2519" s="1">
        <v>811091734</v>
      </c>
      <c r="C2519" t="s">
        <v>185</v>
      </c>
      <c r="D2519" s="23">
        <v>-24.16</v>
      </c>
      <c r="E2519" t="s">
        <v>35</v>
      </c>
      <c r="F2519" s="2">
        <v>610148001</v>
      </c>
      <c r="G2519" s="2" t="s">
        <v>41</v>
      </c>
      <c r="I2519" s="95" t="s">
        <v>7231</v>
      </c>
      <c r="J2519" t="s">
        <v>42</v>
      </c>
      <c r="K2519" t="s">
        <v>41</v>
      </c>
      <c r="M2519">
        <v>72.19</v>
      </c>
      <c r="N2519" s="4">
        <f t="shared" si="39"/>
        <v>-0.33467239229810225</v>
      </c>
      <c r="O2519" t="s">
        <v>83</v>
      </c>
      <c r="Q2519" s="24" t="s">
        <v>2195</v>
      </c>
    </row>
    <row r="2520" spans="1:17" x14ac:dyDescent="0.25">
      <c r="A2520" s="22">
        <v>45754</v>
      </c>
      <c r="B2520" s="1">
        <v>151358700</v>
      </c>
      <c r="C2520" t="s">
        <v>82</v>
      </c>
      <c r="D2520" s="23">
        <v>40000</v>
      </c>
      <c r="E2520" t="s">
        <v>45</v>
      </c>
      <c r="F2520" s="2">
        <v>210115002</v>
      </c>
      <c r="G2520" s="2" t="s">
        <v>46</v>
      </c>
      <c r="I2520" s="95" t="s">
        <v>7231</v>
      </c>
      <c r="K2520" t="s">
        <v>82</v>
      </c>
      <c r="M2520">
        <v>72.19</v>
      </c>
      <c r="N2520" s="4">
        <f t="shared" si="39"/>
        <v>554.09336473195731</v>
      </c>
      <c r="O2520" t="s">
        <v>83</v>
      </c>
    </row>
    <row r="2521" spans="1:17" x14ac:dyDescent="0.25">
      <c r="A2521" s="22">
        <v>45754</v>
      </c>
      <c r="B2521" s="1">
        <v>208759405</v>
      </c>
      <c r="C2521" t="s">
        <v>2305</v>
      </c>
      <c r="D2521" s="23">
        <v>10719</v>
      </c>
      <c r="E2521" t="s">
        <v>45</v>
      </c>
      <c r="F2521" s="2">
        <v>110106001</v>
      </c>
      <c r="G2521" s="2" t="s">
        <v>1011</v>
      </c>
      <c r="I2521" s="95" t="s">
        <v>7231</v>
      </c>
      <c r="K2521" t="s">
        <v>1617</v>
      </c>
      <c r="M2521">
        <v>72.19</v>
      </c>
      <c r="N2521" s="4">
        <f t="shared" si="39"/>
        <v>148.48316941404627</v>
      </c>
      <c r="O2521" t="s">
        <v>83</v>
      </c>
    </row>
    <row r="2522" spans="1:17" x14ac:dyDescent="0.25">
      <c r="A2522" s="22">
        <v>45754</v>
      </c>
      <c r="B2522" s="1">
        <v>208759405</v>
      </c>
      <c r="C2522" t="s">
        <v>1013</v>
      </c>
      <c r="D2522" s="23">
        <v>-160.78</v>
      </c>
      <c r="E2522" t="s">
        <v>35</v>
      </c>
      <c r="F2522" s="2">
        <v>610148001</v>
      </c>
      <c r="G2522" s="2" t="s">
        <v>41</v>
      </c>
      <c r="I2522" s="95" t="s">
        <v>7231</v>
      </c>
      <c r="J2522" t="s">
        <v>42</v>
      </c>
      <c r="K2522" t="s">
        <v>41</v>
      </c>
      <c r="M2522">
        <v>72.19</v>
      </c>
      <c r="N2522" s="4">
        <f t="shared" si="39"/>
        <v>-2.2271782795401025</v>
      </c>
      <c r="O2522" t="s">
        <v>83</v>
      </c>
      <c r="Q2522" s="24" t="s">
        <v>2195</v>
      </c>
    </row>
    <row r="2523" spans="1:17" x14ac:dyDescent="0.25">
      <c r="A2523" s="22">
        <v>45754</v>
      </c>
      <c r="B2523" s="1">
        <v>711100259</v>
      </c>
      <c r="C2523" t="s">
        <v>2306</v>
      </c>
      <c r="D2523" s="23">
        <v>-35168.080000000002</v>
      </c>
      <c r="E2523" t="s">
        <v>35</v>
      </c>
      <c r="F2523" s="2">
        <v>210101001</v>
      </c>
      <c r="G2523" s="2" t="s">
        <v>36</v>
      </c>
      <c r="I2523" s="95" t="s">
        <v>7231</v>
      </c>
      <c r="J2523" t="s">
        <v>182</v>
      </c>
      <c r="K2523" t="s">
        <v>183</v>
      </c>
      <c r="M2523">
        <v>72.19</v>
      </c>
      <c r="N2523" s="4">
        <f t="shared" si="39"/>
        <v>-487.15999445906641</v>
      </c>
      <c r="O2523" t="s">
        <v>83</v>
      </c>
    </row>
    <row r="2524" spans="1:17" x14ac:dyDescent="0.25">
      <c r="A2524" s="22">
        <v>45754</v>
      </c>
      <c r="B2524" s="1">
        <v>711100259</v>
      </c>
      <c r="C2524" t="s">
        <v>185</v>
      </c>
      <c r="D2524" s="23">
        <v>-105.5</v>
      </c>
      <c r="E2524" t="s">
        <v>35</v>
      </c>
      <c r="F2524" s="2">
        <v>610148001</v>
      </c>
      <c r="G2524" s="2" t="s">
        <v>41</v>
      </c>
      <c r="I2524" s="95" t="s">
        <v>7231</v>
      </c>
      <c r="J2524" t="s">
        <v>42</v>
      </c>
      <c r="K2524" t="s">
        <v>41</v>
      </c>
      <c r="M2524">
        <v>72.19</v>
      </c>
      <c r="N2524" s="4">
        <f t="shared" si="39"/>
        <v>-1.4614212494805374</v>
      </c>
      <c r="O2524" t="s">
        <v>83</v>
      </c>
      <c r="Q2524" s="24" t="s">
        <v>2195</v>
      </c>
    </row>
    <row r="2525" spans="1:17" x14ac:dyDescent="0.25">
      <c r="A2525" s="22">
        <v>45755</v>
      </c>
      <c r="B2525" s="1">
        <v>329021476</v>
      </c>
      <c r="C2525" t="s">
        <v>2307</v>
      </c>
      <c r="D2525" s="23">
        <v>10892.49</v>
      </c>
      <c r="E2525" t="s">
        <v>45</v>
      </c>
      <c r="F2525" s="2">
        <v>110106001</v>
      </c>
      <c r="G2525" s="2" t="s">
        <v>1011</v>
      </c>
      <c r="I2525" s="95" t="s">
        <v>7231</v>
      </c>
      <c r="K2525" t="s">
        <v>1617</v>
      </c>
      <c r="M2525">
        <v>73.36</v>
      </c>
      <c r="N2525" s="4">
        <f t="shared" si="39"/>
        <v>148.47996183206106</v>
      </c>
      <c r="O2525" t="s">
        <v>83</v>
      </c>
    </row>
    <row r="2526" spans="1:17" x14ac:dyDescent="0.25">
      <c r="A2526" s="22">
        <v>45755</v>
      </c>
      <c r="B2526" s="1">
        <v>329021476</v>
      </c>
      <c r="C2526" t="s">
        <v>1013</v>
      </c>
      <c r="D2526" s="23">
        <v>-163.38</v>
      </c>
      <c r="E2526" t="s">
        <v>35</v>
      </c>
      <c r="F2526" s="2">
        <v>610148001</v>
      </c>
      <c r="G2526" s="2" t="s">
        <v>41</v>
      </c>
      <c r="I2526" s="95" t="s">
        <v>7231</v>
      </c>
      <c r="J2526" t="s">
        <v>42</v>
      </c>
      <c r="K2526" t="s">
        <v>41</v>
      </c>
      <c r="M2526">
        <v>73.36</v>
      </c>
      <c r="N2526" s="4">
        <f t="shared" si="39"/>
        <v>-2.2270992366412212</v>
      </c>
      <c r="O2526" t="s">
        <v>83</v>
      </c>
      <c r="Q2526" s="24" t="s">
        <v>2195</v>
      </c>
    </row>
    <row r="2527" spans="1:17" x14ac:dyDescent="0.25">
      <c r="A2527" s="22">
        <v>45755</v>
      </c>
      <c r="B2527" s="1">
        <v>411129823</v>
      </c>
      <c r="C2527" t="s">
        <v>2308</v>
      </c>
      <c r="D2527" s="23">
        <v>-3668</v>
      </c>
      <c r="E2527" t="s">
        <v>35</v>
      </c>
      <c r="F2527" s="2">
        <v>210101001</v>
      </c>
      <c r="G2527" s="2" t="s">
        <v>36</v>
      </c>
      <c r="I2527" s="95" t="s">
        <v>7231</v>
      </c>
      <c r="J2527" t="s">
        <v>86</v>
      </c>
      <c r="K2527" t="s">
        <v>87</v>
      </c>
      <c r="M2527">
        <v>73.36</v>
      </c>
      <c r="N2527" s="4">
        <f t="shared" si="39"/>
        <v>-50</v>
      </c>
      <c r="O2527" t="s">
        <v>83</v>
      </c>
    </row>
    <row r="2528" spans="1:17" x14ac:dyDescent="0.25">
      <c r="A2528" s="22">
        <v>45755</v>
      </c>
      <c r="B2528" s="1">
        <v>411129823</v>
      </c>
      <c r="C2528" t="s">
        <v>185</v>
      </c>
      <c r="D2528" s="23">
        <v>-11</v>
      </c>
      <c r="E2528" t="s">
        <v>35</v>
      </c>
      <c r="F2528" s="2">
        <v>610148001</v>
      </c>
      <c r="G2528" s="2" t="s">
        <v>41</v>
      </c>
      <c r="I2528" s="95" t="s">
        <v>7231</v>
      </c>
      <c r="J2528" t="s">
        <v>42</v>
      </c>
      <c r="K2528" t="s">
        <v>41</v>
      </c>
      <c r="M2528">
        <v>73.36</v>
      </c>
      <c r="N2528" s="4">
        <f t="shared" si="39"/>
        <v>-0.1499454743729553</v>
      </c>
      <c r="O2528" t="s">
        <v>83</v>
      </c>
      <c r="Q2528" s="24" t="s">
        <v>2195</v>
      </c>
    </row>
    <row r="2529" spans="1:17" x14ac:dyDescent="0.25">
      <c r="A2529" s="22">
        <v>45755</v>
      </c>
      <c r="B2529" s="1">
        <v>209300314</v>
      </c>
      <c r="C2529" t="s">
        <v>2309</v>
      </c>
      <c r="D2529" s="23">
        <v>10892.49</v>
      </c>
      <c r="E2529" t="s">
        <v>45</v>
      </c>
      <c r="F2529" s="2">
        <v>110106001</v>
      </c>
      <c r="G2529" s="2" t="s">
        <v>1011</v>
      </c>
      <c r="I2529" s="95" t="s">
        <v>7231</v>
      </c>
      <c r="K2529" t="s">
        <v>1617</v>
      </c>
      <c r="M2529">
        <v>73.36</v>
      </c>
      <c r="N2529" s="4">
        <f t="shared" si="39"/>
        <v>148.47996183206106</v>
      </c>
      <c r="O2529" t="s">
        <v>83</v>
      </c>
    </row>
    <row r="2530" spans="1:17" x14ac:dyDescent="0.25">
      <c r="A2530" s="22">
        <v>45755</v>
      </c>
      <c r="B2530" s="1">
        <v>209300314</v>
      </c>
      <c r="C2530" t="s">
        <v>1013</v>
      </c>
      <c r="D2530" s="23">
        <v>-163.38</v>
      </c>
      <c r="E2530" t="s">
        <v>35</v>
      </c>
      <c r="F2530" s="2">
        <v>610148001</v>
      </c>
      <c r="G2530" s="2" t="s">
        <v>41</v>
      </c>
      <c r="I2530" s="95" t="s">
        <v>7231</v>
      </c>
      <c r="J2530" t="s">
        <v>42</v>
      </c>
      <c r="K2530" t="s">
        <v>41</v>
      </c>
      <c r="M2530">
        <v>73.36</v>
      </c>
      <c r="N2530" s="4">
        <f t="shared" si="39"/>
        <v>-2.2270992366412212</v>
      </c>
      <c r="O2530" t="s">
        <v>83</v>
      </c>
      <c r="Q2530" s="24" t="s">
        <v>2195</v>
      </c>
    </row>
    <row r="2531" spans="1:17" x14ac:dyDescent="0.25">
      <c r="A2531" s="22">
        <v>45755</v>
      </c>
      <c r="B2531" s="1">
        <v>611145823</v>
      </c>
      <c r="C2531" t="s">
        <v>2310</v>
      </c>
      <c r="D2531" s="23">
        <v>-19061.810000000001</v>
      </c>
      <c r="E2531" t="s">
        <v>35</v>
      </c>
      <c r="F2531" s="2">
        <v>210101001</v>
      </c>
      <c r="G2531" s="2" t="s">
        <v>36</v>
      </c>
      <c r="I2531" s="95" t="s">
        <v>7231</v>
      </c>
      <c r="J2531" t="s">
        <v>928</v>
      </c>
      <c r="K2531" t="s">
        <v>929</v>
      </c>
      <c r="M2531">
        <v>73.36</v>
      </c>
      <c r="N2531" s="4">
        <f t="shared" si="39"/>
        <v>-259.83928571428572</v>
      </c>
      <c r="O2531" t="s">
        <v>83</v>
      </c>
    </row>
    <row r="2532" spans="1:17" x14ac:dyDescent="0.25">
      <c r="A2532" s="22">
        <v>45755</v>
      </c>
      <c r="B2532" s="1">
        <v>611145823</v>
      </c>
      <c r="C2532" t="s">
        <v>185</v>
      </c>
      <c r="D2532" s="23">
        <v>-57.19</v>
      </c>
      <c r="E2532" t="s">
        <v>35</v>
      </c>
      <c r="F2532" s="2">
        <v>610148001</v>
      </c>
      <c r="G2532" s="2" t="s">
        <v>41</v>
      </c>
      <c r="I2532" s="95" t="s">
        <v>7231</v>
      </c>
      <c r="J2532" t="s">
        <v>42</v>
      </c>
      <c r="K2532" t="s">
        <v>41</v>
      </c>
      <c r="M2532">
        <v>73.36</v>
      </c>
      <c r="N2532" s="4">
        <f t="shared" si="39"/>
        <v>-0.77958015267175573</v>
      </c>
      <c r="O2532" t="s">
        <v>83</v>
      </c>
      <c r="Q2532" s="24" t="s">
        <v>2195</v>
      </c>
    </row>
    <row r="2533" spans="1:17" x14ac:dyDescent="0.25">
      <c r="A2533" s="22">
        <v>45755</v>
      </c>
      <c r="B2533" s="1">
        <v>129015161</v>
      </c>
      <c r="C2533" t="s">
        <v>2311</v>
      </c>
      <c r="D2533" s="23">
        <v>11200</v>
      </c>
      <c r="E2533" t="s">
        <v>45</v>
      </c>
      <c r="F2533" s="2">
        <v>110106001</v>
      </c>
      <c r="G2533" s="2" t="s">
        <v>1011</v>
      </c>
      <c r="I2533" s="95" t="s">
        <v>7231</v>
      </c>
      <c r="K2533" t="s">
        <v>1617</v>
      </c>
      <c r="M2533">
        <v>73.36</v>
      </c>
      <c r="N2533" s="4">
        <f t="shared" si="39"/>
        <v>152.67175572519085</v>
      </c>
      <c r="O2533" t="s">
        <v>83</v>
      </c>
    </row>
    <row r="2534" spans="1:17" x14ac:dyDescent="0.25">
      <c r="A2534" s="22">
        <v>45755</v>
      </c>
      <c r="B2534" s="1">
        <v>129015161</v>
      </c>
      <c r="C2534" t="s">
        <v>1013</v>
      </c>
      <c r="D2534" s="23">
        <v>-168</v>
      </c>
      <c r="E2534" t="s">
        <v>35</v>
      </c>
      <c r="F2534" s="2">
        <v>610148001</v>
      </c>
      <c r="G2534" s="2" t="s">
        <v>41</v>
      </c>
      <c r="I2534" s="95" t="s">
        <v>7231</v>
      </c>
      <c r="J2534" t="s">
        <v>42</v>
      </c>
      <c r="K2534" t="s">
        <v>41</v>
      </c>
      <c r="M2534">
        <v>73.36</v>
      </c>
      <c r="N2534" s="4">
        <f t="shared" si="39"/>
        <v>-2.2900763358778624</v>
      </c>
      <c r="O2534" t="s">
        <v>83</v>
      </c>
      <c r="Q2534" s="24" t="s">
        <v>2195</v>
      </c>
    </row>
    <row r="2535" spans="1:17" x14ac:dyDescent="0.25">
      <c r="A2535" s="22">
        <v>45755</v>
      </c>
      <c r="B2535" s="1">
        <v>237015163</v>
      </c>
      <c r="C2535" t="s">
        <v>2311</v>
      </c>
      <c r="D2535" s="23">
        <v>1054.05</v>
      </c>
      <c r="E2535" t="s">
        <v>45</v>
      </c>
      <c r="F2535" s="2">
        <v>110106001</v>
      </c>
      <c r="G2535" s="2" t="s">
        <v>1011</v>
      </c>
      <c r="I2535" s="95" t="s">
        <v>7231</v>
      </c>
      <c r="K2535" t="s">
        <v>1617</v>
      </c>
      <c r="M2535">
        <v>73.36</v>
      </c>
      <c r="N2535" s="4">
        <f t="shared" si="39"/>
        <v>14.368184296619411</v>
      </c>
      <c r="O2535" t="s">
        <v>83</v>
      </c>
    </row>
    <row r="2536" spans="1:17" x14ac:dyDescent="0.25">
      <c r="A2536" s="22">
        <v>45755</v>
      </c>
      <c r="B2536" s="1">
        <v>237015163</v>
      </c>
      <c r="C2536" t="s">
        <v>1013</v>
      </c>
      <c r="D2536" s="23">
        <v>-15.81</v>
      </c>
      <c r="E2536" t="s">
        <v>35</v>
      </c>
      <c r="F2536" s="2">
        <v>610148001</v>
      </c>
      <c r="G2536" s="2" t="s">
        <v>41</v>
      </c>
      <c r="I2536" s="95" t="s">
        <v>7231</v>
      </c>
      <c r="J2536" t="s">
        <v>42</v>
      </c>
      <c r="K2536" t="s">
        <v>41</v>
      </c>
      <c r="M2536">
        <v>73.36</v>
      </c>
      <c r="N2536" s="4">
        <f t="shared" si="39"/>
        <v>-0.21551254089422028</v>
      </c>
      <c r="O2536" t="s">
        <v>83</v>
      </c>
      <c r="Q2536" s="24" t="s">
        <v>2195</v>
      </c>
    </row>
    <row r="2537" spans="1:17" x14ac:dyDescent="0.25">
      <c r="A2537" s="22">
        <v>45755</v>
      </c>
      <c r="B2537" s="1">
        <v>811147150</v>
      </c>
      <c r="C2537" t="s">
        <v>2312</v>
      </c>
      <c r="D2537" s="23">
        <v>-3000</v>
      </c>
      <c r="E2537" t="s">
        <v>35</v>
      </c>
      <c r="F2537" s="2">
        <v>210101001</v>
      </c>
      <c r="G2537" s="2" t="s">
        <v>36</v>
      </c>
      <c r="I2537" s="95" t="s">
        <v>7231</v>
      </c>
      <c r="J2537" t="s">
        <v>414</v>
      </c>
      <c r="K2537" t="s">
        <v>415</v>
      </c>
      <c r="M2537">
        <v>73.36</v>
      </c>
      <c r="N2537" s="4">
        <f t="shared" si="39"/>
        <v>-40.894220283533258</v>
      </c>
      <c r="O2537" t="s">
        <v>83</v>
      </c>
    </row>
    <row r="2538" spans="1:17" x14ac:dyDescent="0.25">
      <c r="A2538" s="22">
        <v>45755</v>
      </c>
      <c r="B2538" s="1">
        <v>811147150</v>
      </c>
      <c r="C2538" t="s">
        <v>185</v>
      </c>
      <c r="D2538" s="23">
        <v>-9</v>
      </c>
      <c r="E2538" t="s">
        <v>35</v>
      </c>
      <c r="F2538" s="2">
        <v>610148001</v>
      </c>
      <c r="G2538" s="2" t="s">
        <v>41</v>
      </c>
      <c r="I2538" s="95" t="s">
        <v>7231</v>
      </c>
      <c r="J2538" t="s">
        <v>42</v>
      </c>
      <c r="K2538" t="s">
        <v>41</v>
      </c>
      <c r="M2538">
        <v>73.36</v>
      </c>
      <c r="N2538" s="4">
        <f t="shared" si="39"/>
        <v>-0.12268266085059978</v>
      </c>
      <c r="O2538" t="s">
        <v>83</v>
      </c>
      <c r="Q2538" s="24" t="s">
        <v>2195</v>
      </c>
    </row>
    <row r="2539" spans="1:17" x14ac:dyDescent="0.25">
      <c r="A2539" s="22">
        <v>45756</v>
      </c>
      <c r="B2539" s="1">
        <v>411192418</v>
      </c>
      <c r="C2539" t="s">
        <v>2313</v>
      </c>
      <c r="D2539" s="23">
        <v>-27.38</v>
      </c>
      <c r="E2539" t="s">
        <v>35</v>
      </c>
      <c r="F2539" s="2">
        <v>210101001</v>
      </c>
      <c r="G2539" s="2" t="s">
        <v>36</v>
      </c>
      <c r="I2539" s="95" t="s">
        <v>7231</v>
      </c>
      <c r="J2539" t="s">
        <v>928</v>
      </c>
      <c r="K2539" t="s">
        <v>929</v>
      </c>
      <c r="M2539">
        <v>74.28</v>
      </c>
      <c r="N2539" s="4">
        <f t="shared" si="39"/>
        <v>-0.36860527732902532</v>
      </c>
      <c r="O2539" t="s">
        <v>83</v>
      </c>
    </row>
    <row r="2540" spans="1:17" x14ac:dyDescent="0.25">
      <c r="A2540" s="22">
        <v>45756</v>
      </c>
      <c r="B2540" s="1">
        <v>411192418</v>
      </c>
      <c r="C2540" t="s">
        <v>185</v>
      </c>
      <c r="D2540" s="23">
        <v>-0.08</v>
      </c>
      <c r="E2540" t="s">
        <v>35</v>
      </c>
      <c r="F2540" s="2">
        <v>610148001</v>
      </c>
      <c r="G2540" s="2" t="s">
        <v>41</v>
      </c>
      <c r="I2540" s="95" t="s">
        <v>7231</v>
      </c>
      <c r="J2540" t="s">
        <v>42</v>
      </c>
      <c r="K2540" t="s">
        <v>41</v>
      </c>
      <c r="M2540">
        <v>74.28</v>
      </c>
      <c r="N2540" s="4">
        <f t="shared" si="39"/>
        <v>-1.0770059235325794E-3</v>
      </c>
      <c r="O2540" t="s">
        <v>83</v>
      </c>
      <c r="Q2540" s="24" t="s">
        <v>2195</v>
      </c>
    </row>
    <row r="2541" spans="1:17" x14ac:dyDescent="0.25">
      <c r="A2541" s="22">
        <v>45756</v>
      </c>
      <c r="B2541" s="1">
        <v>411192472</v>
      </c>
      <c r="C2541" t="s">
        <v>2314</v>
      </c>
      <c r="D2541" s="23">
        <v>-41.7</v>
      </c>
      <c r="E2541" t="s">
        <v>35</v>
      </c>
      <c r="F2541" s="2">
        <v>210101001</v>
      </c>
      <c r="G2541" s="2" t="s">
        <v>36</v>
      </c>
      <c r="I2541" s="95" t="s">
        <v>7231</v>
      </c>
      <c r="J2541" t="s">
        <v>283</v>
      </c>
      <c r="K2541" t="s">
        <v>1628</v>
      </c>
      <c r="M2541">
        <v>74.28</v>
      </c>
      <c r="N2541" s="4">
        <f t="shared" si="39"/>
        <v>-0.56138933764135701</v>
      </c>
      <c r="O2541" t="s">
        <v>83</v>
      </c>
    </row>
    <row r="2542" spans="1:17" x14ac:dyDescent="0.25">
      <c r="A2542" s="22">
        <v>45756</v>
      </c>
      <c r="B2542" s="1">
        <v>411192472</v>
      </c>
      <c r="C2542" t="s">
        <v>185</v>
      </c>
      <c r="D2542" s="23">
        <v>-0.13</v>
      </c>
      <c r="E2542" t="s">
        <v>35</v>
      </c>
      <c r="F2542" s="2">
        <v>610148001</v>
      </c>
      <c r="G2542" s="2" t="s">
        <v>41</v>
      </c>
      <c r="I2542" s="95" t="s">
        <v>7231</v>
      </c>
      <c r="J2542" t="s">
        <v>42</v>
      </c>
      <c r="K2542" t="s">
        <v>41</v>
      </c>
      <c r="M2542">
        <v>74.28</v>
      </c>
      <c r="N2542" s="4">
        <f t="shared" si="39"/>
        <v>-1.7501346257404416E-3</v>
      </c>
      <c r="O2542" t="s">
        <v>83</v>
      </c>
      <c r="Q2542" s="24" t="s">
        <v>2195</v>
      </c>
    </row>
    <row r="2543" spans="1:17" x14ac:dyDescent="0.25">
      <c r="A2543" s="22">
        <v>45757</v>
      </c>
      <c r="B2543" s="1">
        <v>611221256</v>
      </c>
      <c r="C2543" t="s">
        <v>2315</v>
      </c>
      <c r="D2543" s="23">
        <v>-2542.1999999999998</v>
      </c>
      <c r="E2543" t="s">
        <v>35</v>
      </c>
      <c r="F2543" s="2">
        <v>210101001</v>
      </c>
      <c r="G2543" s="2" t="s">
        <v>36</v>
      </c>
      <c r="I2543" s="95" t="s">
        <v>7231</v>
      </c>
      <c r="J2543" t="s">
        <v>376</v>
      </c>
      <c r="K2543" t="s">
        <v>377</v>
      </c>
      <c r="M2543">
        <v>75.8</v>
      </c>
      <c r="N2543" s="4">
        <f t="shared" si="39"/>
        <v>-33.538258575197887</v>
      </c>
      <c r="O2543" t="s">
        <v>83</v>
      </c>
    </row>
    <row r="2544" spans="1:17" x14ac:dyDescent="0.25">
      <c r="A2544" s="22">
        <v>45757</v>
      </c>
      <c r="B2544" s="1">
        <v>611221256</v>
      </c>
      <c r="C2544" t="s">
        <v>185</v>
      </c>
      <c r="D2544" s="23">
        <v>-7.63</v>
      </c>
      <c r="E2544" t="s">
        <v>35</v>
      </c>
      <c r="F2544" s="2">
        <v>610148001</v>
      </c>
      <c r="G2544" s="2" t="s">
        <v>41</v>
      </c>
      <c r="I2544" s="95" t="s">
        <v>7231</v>
      </c>
      <c r="J2544" t="s">
        <v>42</v>
      </c>
      <c r="K2544" t="s">
        <v>41</v>
      </c>
      <c r="M2544">
        <v>75.8</v>
      </c>
      <c r="N2544" s="4">
        <f t="shared" si="39"/>
        <v>-0.10065963060686016</v>
      </c>
      <c r="O2544" t="s">
        <v>83</v>
      </c>
      <c r="Q2544" s="24" t="s">
        <v>2195</v>
      </c>
    </row>
    <row r="2545" spans="1:17" x14ac:dyDescent="0.25">
      <c r="A2545" s="22">
        <v>45757</v>
      </c>
      <c r="B2545" s="1">
        <v>111226299</v>
      </c>
      <c r="C2545" t="s">
        <v>2316</v>
      </c>
      <c r="D2545" s="23">
        <v>-2428.02</v>
      </c>
      <c r="E2545" t="s">
        <v>35</v>
      </c>
      <c r="F2545" s="2">
        <v>210101001</v>
      </c>
      <c r="G2545" s="2" t="s">
        <v>36</v>
      </c>
      <c r="I2545" s="95" t="s">
        <v>7231</v>
      </c>
      <c r="J2545" t="s">
        <v>414</v>
      </c>
      <c r="K2545" t="s">
        <v>415</v>
      </c>
      <c r="M2545">
        <v>75.8</v>
      </c>
      <c r="N2545" s="4">
        <f t="shared" si="39"/>
        <v>-32.031926121372031</v>
      </c>
      <c r="O2545" t="s">
        <v>83</v>
      </c>
    </row>
    <row r="2546" spans="1:17" x14ac:dyDescent="0.25">
      <c r="A2546" s="22">
        <v>45757</v>
      </c>
      <c r="B2546" s="1">
        <v>111226299</v>
      </c>
      <c r="C2546" t="s">
        <v>185</v>
      </c>
      <c r="D2546" s="23">
        <v>-7.28</v>
      </c>
      <c r="E2546" t="s">
        <v>35</v>
      </c>
      <c r="F2546" s="2">
        <v>610148001</v>
      </c>
      <c r="G2546" s="2" t="s">
        <v>41</v>
      </c>
      <c r="I2546" s="95" t="s">
        <v>7231</v>
      </c>
      <c r="J2546" t="s">
        <v>42</v>
      </c>
      <c r="K2546" t="s">
        <v>41</v>
      </c>
      <c r="M2546">
        <v>75.8</v>
      </c>
      <c r="N2546" s="4">
        <f t="shared" si="39"/>
        <v>-9.6042216358839055E-2</v>
      </c>
      <c r="O2546" t="s">
        <v>83</v>
      </c>
      <c r="Q2546" s="24" t="s">
        <v>2195</v>
      </c>
    </row>
    <row r="2547" spans="1:17" x14ac:dyDescent="0.25">
      <c r="A2547" s="22">
        <v>45757</v>
      </c>
      <c r="B2547" s="1">
        <v>611235654</v>
      </c>
      <c r="C2547" t="s">
        <v>2317</v>
      </c>
      <c r="D2547" s="23">
        <v>-5062.92</v>
      </c>
      <c r="E2547" t="s">
        <v>35</v>
      </c>
      <c r="F2547" s="2">
        <v>210101001</v>
      </c>
      <c r="G2547" s="2" t="s">
        <v>36</v>
      </c>
      <c r="I2547" s="95" t="s">
        <v>7231</v>
      </c>
      <c r="J2547" t="s">
        <v>182</v>
      </c>
      <c r="K2547" t="s">
        <v>183</v>
      </c>
      <c r="M2547">
        <v>75.8</v>
      </c>
      <c r="N2547" s="4">
        <f t="shared" si="39"/>
        <v>-66.793139841688657</v>
      </c>
      <c r="O2547" t="s">
        <v>83</v>
      </c>
    </row>
    <row r="2548" spans="1:17" x14ac:dyDescent="0.25">
      <c r="A2548" s="22">
        <v>45757</v>
      </c>
      <c r="B2548" s="1">
        <v>511235653</v>
      </c>
      <c r="C2548" t="s">
        <v>2318</v>
      </c>
      <c r="D2548" s="23">
        <v>-10480.870000000001</v>
      </c>
      <c r="E2548" t="s">
        <v>35</v>
      </c>
      <c r="F2548" s="2">
        <v>210101001</v>
      </c>
      <c r="G2548" s="2" t="s">
        <v>36</v>
      </c>
      <c r="I2548" s="95" t="s">
        <v>7231</v>
      </c>
      <c r="J2548" t="s">
        <v>1007</v>
      </c>
      <c r="K2548" t="s">
        <v>1008</v>
      </c>
      <c r="M2548">
        <v>75.8</v>
      </c>
      <c r="N2548" s="4">
        <f t="shared" si="39"/>
        <v>-138.27005277044856</v>
      </c>
      <c r="O2548" t="s">
        <v>83</v>
      </c>
    </row>
    <row r="2549" spans="1:17" x14ac:dyDescent="0.25">
      <c r="A2549" s="22">
        <v>45757</v>
      </c>
      <c r="B2549" s="1">
        <v>50472392</v>
      </c>
      <c r="C2549" t="s">
        <v>89</v>
      </c>
      <c r="D2549" s="23">
        <v>-38.85</v>
      </c>
      <c r="E2549" t="s">
        <v>35</v>
      </c>
      <c r="F2549" s="2">
        <v>610148001</v>
      </c>
      <c r="G2549" s="2" t="s">
        <v>41</v>
      </c>
      <c r="I2549" s="95" t="s">
        <v>7231</v>
      </c>
      <c r="J2549" t="s">
        <v>42</v>
      </c>
      <c r="K2549" t="s">
        <v>41</v>
      </c>
      <c r="M2549">
        <v>75.8</v>
      </c>
      <c r="N2549" s="4">
        <f t="shared" si="39"/>
        <v>-0.5125329815303431</v>
      </c>
      <c r="O2549" t="s">
        <v>83</v>
      </c>
      <c r="Q2549" s="24" t="s">
        <v>2195</v>
      </c>
    </row>
    <row r="2550" spans="1:17" x14ac:dyDescent="0.25">
      <c r="A2550" s="22">
        <v>45758</v>
      </c>
      <c r="B2550" s="1">
        <v>114901125</v>
      </c>
      <c r="C2550" t="s">
        <v>82</v>
      </c>
      <c r="D2550" s="23">
        <v>360000</v>
      </c>
      <c r="E2550" t="s">
        <v>45</v>
      </c>
      <c r="F2550" s="2">
        <v>210115002</v>
      </c>
      <c r="G2550" s="2" t="s">
        <v>46</v>
      </c>
      <c r="I2550" s="95" t="s">
        <v>7231</v>
      </c>
      <c r="K2550" t="s">
        <v>82</v>
      </c>
      <c r="M2550">
        <v>77.260000000000005</v>
      </c>
      <c r="N2550" s="4">
        <f t="shared" si="39"/>
        <v>4659.5909914574158</v>
      </c>
      <c r="O2550" t="s">
        <v>83</v>
      </c>
    </row>
    <row r="2551" spans="1:17" x14ac:dyDescent="0.25">
      <c r="A2551" s="22">
        <v>45758</v>
      </c>
      <c r="B2551" s="1">
        <v>811282132</v>
      </c>
      <c r="C2551" t="s">
        <v>2319</v>
      </c>
      <c r="D2551" s="23">
        <v>-4635.6000000000004</v>
      </c>
      <c r="E2551" t="s">
        <v>35</v>
      </c>
      <c r="F2551" s="2">
        <v>212901001</v>
      </c>
      <c r="G2551" s="2" t="s">
        <v>91</v>
      </c>
      <c r="I2551" s="95" t="s">
        <v>7231</v>
      </c>
      <c r="J2551" t="s">
        <v>61</v>
      </c>
      <c r="K2551" t="s">
        <v>62</v>
      </c>
      <c r="M2551">
        <v>77.260000000000005</v>
      </c>
      <c r="N2551" s="4">
        <f t="shared" si="39"/>
        <v>-60</v>
      </c>
      <c r="O2551" t="s">
        <v>83</v>
      </c>
    </row>
    <row r="2552" spans="1:17" x14ac:dyDescent="0.25">
      <c r="A2552" s="22">
        <v>45758</v>
      </c>
      <c r="B2552" s="1">
        <v>811282130</v>
      </c>
      <c r="C2552" t="s">
        <v>2320</v>
      </c>
      <c r="D2552" s="23">
        <v>-2317.8000000000002</v>
      </c>
      <c r="E2552" t="s">
        <v>35</v>
      </c>
      <c r="F2552" s="2">
        <v>212901001</v>
      </c>
      <c r="G2552" s="2" t="s">
        <v>91</v>
      </c>
      <c r="I2552" s="95" t="s">
        <v>7231</v>
      </c>
      <c r="J2552" t="s">
        <v>61</v>
      </c>
      <c r="K2552" t="s">
        <v>62</v>
      </c>
      <c r="M2552">
        <v>77.260000000000005</v>
      </c>
      <c r="N2552" s="4">
        <f t="shared" si="39"/>
        <v>-30</v>
      </c>
      <c r="O2552" t="s">
        <v>83</v>
      </c>
    </row>
    <row r="2553" spans="1:17" x14ac:dyDescent="0.25">
      <c r="A2553" s="22">
        <v>45758</v>
      </c>
      <c r="B2553" s="1">
        <v>811282131</v>
      </c>
      <c r="C2553" t="s">
        <v>2321</v>
      </c>
      <c r="D2553" s="23">
        <v>-4635.6000000000004</v>
      </c>
      <c r="E2553" t="s">
        <v>35</v>
      </c>
      <c r="F2553" s="2">
        <v>212901001</v>
      </c>
      <c r="G2553" s="2" t="s">
        <v>91</v>
      </c>
      <c r="I2553" s="95" t="s">
        <v>7231</v>
      </c>
      <c r="J2553" t="s">
        <v>61</v>
      </c>
      <c r="K2553" t="s">
        <v>62</v>
      </c>
      <c r="M2553">
        <v>77.260000000000005</v>
      </c>
      <c r="N2553" s="4">
        <f t="shared" si="39"/>
        <v>-60</v>
      </c>
      <c r="O2553" t="s">
        <v>83</v>
      </c>
    </row>
    <row r="2554" spans="1:17" x14ac:dyDescent="0.25">
      <c r="A2554" s="22">
        <v>45758</v>
      </c>
      <c r="B2554" s="1">
        <v>711282129</v>
      </c>
      <c r="C2554" t="s">
        <v>2322</v>
      </c>
      <c r="D2554" s="23">
        <v>-6180.8</v>
      </c>
      <c r="E2554" t="s">
        <v>35</v>
      </c>
      <c r="F2554" s="2">
        <v>212901001</v>
      </c>
      <c r="G2554" s="2" t="s">
        <v>91</v>
      </c>
      <c r="I2554" s="95" t="s">
        <v>7231</v>
      </c>
      <c r="J2554" t="s">
        <v>61</v>
      </c>
      <c r="K2554" t="s">
        <v>62</v>
      </c>
      <c r="M2554">
        <v>77.260000000000005</v>
      </c>
      <c r="N2554" s="4">
        <f t="shared" si="39"/>
        <v>-80</v>
      </c>
      <c r="O2554" t="s">
        <v>83</v>
      </c>
    </row>
    <row r="2555" spans="1:17" x14ac:dyDescent="0.25">
      <c r="A2555" s="22">
        <v>45758</v>
      </c>
      <c r="B2555" s="1">
        <v>811282133</v>
      </c>
      <c r="C2555" t="s">
        <v>2323</v>
      </c>
      <c r="D2555" s="23">
        <v>-4635.6000000000004</v>
      </c>
      <c r="E2555" t="s">
        <v>35</v>
      </c>
      <c r="F2555" s="2">
        <v>212901001</v>
      </c>
      <c r="G2555" s="2" t="s">
        <v>91</v>
      </c>
      <c r="I2555" s="95" t="s">
        <v>7231</v>
      </c>
      <c r="J2555" t="s">
        <v>61</v>
      </c>
      <c r="K2555" t="s">
        <v>62</v>
      </c>
      <c r="M2555">
        <v>77.260000000000005</v>
      </c>
      <c r="N2555" s="4">
        <f t="shared" si="39"/>
        <v>-60</v>
      </c>
      <c r="O2555" t="s">
        <v>83</v>
      </c>
    </row>
    <row r="2556" spans="1:17" x14ac:dyDescent="0.25">
      <c r="A2556" s="22">
        <v>45758</v>
      </c>
      <c r="B2556" s="1">
        <v>811282136</v>
      </c>
      <c r="C2556" t="s">
        <v>2324</v>
      </c>
      <c r="D2556" s="23">
        <v>-4635.6000000000004</v>
      </c>
      <c r="E2556" t="s">
        <v>35</v>
      </c>
      <c r="F2556" s="2">
        <v>212901001</v>
      </c>
      <c r="G2556" s="2" t="s">
        <v>91</v>
      </c>
      <c r="I2556" s="95" t="s">
        <v>7231</v>
      </c>
      <c r="J2556" t="s">
        <v>61</v>
      </c>
      <c r="K2556" t="s">
        <v>62</v>
      </c>
      <c r="M2556">
        <v>77.260000000000005</v>
      </c>
      <c r="N2556" s="4">
        <f t="shared" si="39"/>
        <v>-60</v>
      </c>
      <c r="O2556" t="s">
        <v>83</v>
      </c>
    </row>
    <row r="2557" spans="1:17" x14ac:dyDescent="0.25">
      <c r="A2557" s="22">
        <v>45758</v>
      </c>
      <c r="B2557" s="1">
        <v>811282135</v>
      </c>
      <c r="C2557" t="s">
        <v>2325</v>
      </c>
      <c r="D2557" s="23">
        <v>-4635.6000000000004</v>
      </c>
      <c r="E2557" t="s">
        <v>35</v>
      </c>
      <c r="F2557" s="2">
        <v>212901001</v>
      </c>
      <c r="G2557" s="2" t="s">
        <v>91</v>
      </c>
      <c r="I2557" s="95" t="s">
        <v>7231</v>
      </c>
      <c r="J2557" t="s">
        <v>61</v>
      </c>
      <c r="K2557" t="s">
        <v>62</v>
      </c>
      <c r="M2557">
        <v>77.260000000000005</v>
      </c>
      <c r="N2557" s="4">
        <f t="shared" si="39"/>
        <v>-60</v>
      </c>
      <c r="O2557" t="s">
        <v>83</v>
      </c>
    </row>
    <row r="2558" spans="1:17" x14ac:dyDescent="0.25">
      <c r="A2558" s="22">
        <v>45758</v>
      </c>
      <c r="B2558" s="1">
        <v>811282134</v>
      </c>
      <c r="C2558" t="s">
        <v>2326</v>
      </c>
      <c r="D2558" s="23">
        <v>-4635.6000000000004</v>
      </c>
      <c r="E2558" t="s">
        <v>35</v>
      </c>
      <c r="F2558" s="2">
        <v>212901001</v>
      </c>
      <c r="G2558" s="2" t="s">
        <v>91</v>
      </c>
      <c r="I2558" s="95" t="s">
        <v>7231</v>
      </c>
      <c r="J2558" t="s">
        <v>61</v>
      </c>
      <c r="K2558" t="s">
        <v>62</v>
      </c>
      <c r="M2558">
        <v>77.260000000000005</v>
      </c>
      <c r="N2558" s="4">
        <f t="shared" si="39"/>
        <v>-60</v>
      </c>
      <c r="O2558" t="s">
        <v>83</v>
      </c>
    </row>
    <row r="2559" spans="1:17" x14ac:dyDescent="0.25">
      <c r="A2559" s="22">
        <v>45758</v>
      </c>
      <c r="B2559" s="1">
        <v>811282139</v>
      </c>
      <c r="C2559" t="s">
        <v>2327</v>
      </c>
      <c r="D2559" s="23">
        <v>-4635.6000000000004</v>
      </c>
      <c r="E2559" t="s">
        <v>35</v>
      </c>
      <c r="F2559" s="2">
        <v>212901001</v>
      </c>
      <c r="G2559" s="2" t="s">
        <v>91</v>
      </c>
      <c r="I2559" s="95" t="s">
        <v>7231</v>
      </c>
      <c r="J2559" t="s">
        <v>61</v>
      </c>
      <c r="K2559" t="s">
        <v>62</v>
      </c>
      <c r="M2559">
        <v>77.260000000000005</v>
      </c>
      <c r="N2559" s="4">
        <f t="shared" si="39"/>
        <v>-60</v>
      </c>
      <c r="O2559" t="s">
        <v>83</v>
      </c>
    </row>
    <row r="2560" spans="1:17" x14ac:dyDescent="0.25">
      <c r="A2560" s="22">
        <v>45758</v>
      </c>
      <c r="B2560" s="1">
        <v>811282138</v>
      </c>
      <c r="C2560" t="s">
        <v>2328</v>
      </c>
      <c r="D2560" s="23">
        <v>-4635.6000000000004</v>
      </c>
      <c r="E2560" t="s">
        <v>35</v>
      </c>
      <c r="F2560" s="2">
        <v>212901001</v>
      </c>
      <c r="G2560" s="2" t="s">
        <v>91</v>
      </c>
      <c r="I2560" s="95" t="s">
        <v>7231</v>
      </c>
      <c r="J2560" t="s">
        <v>61</v>
      </c>
      <c r="K2560" t="s">
        <v>62</v>
      </c>
      <c r="M2560">
        <v>77.260000000000005</v>
      </c>
      <c r="N2560" s="4">
        <f t="shared" si="39"/>
        <v>-60</v>
      </c>
      <c r="O2560" t="s">
        <v>83</v>
      </c>
    </row>
    <row r="2561" spans="1:15" x14ac:dyDescent="0.25">
      <c r="A2561" s="22">
        <v>45758</v>
      </c>
      <c r="B2561" s="1">
        <v>911282144</v>
      </c>
      <c r="C2561" t="s">
        <v>2329</v>
      </c>
      <c r="D2561" s="23">
        <v>-4635.6000000000004</v>
      </c>
      <c r="E2561" t="s">
        <v>35</v>
      </c>
      <c r="F2561" s="2">
        <v>212901001</v>
      </c>
      <c r="G2561" s="2" t="s">
        <v>91</v>
      </c>
      <c r="I2561" s="95" t="s">
        <v>7231</v>
      </c>
      <c r="J2561" t="s">
        <v>61</v>
      </c>
      <c r="K2561" t="s">
        <v>62</v>
      </c>
      <c r="M2561">
        <v>77.260000000000005</v>
      </c>
      <c r="N2561" s="4">
        <f t="shared" si="39"/>
        <v>-60</v>
      </c>
      <c r="O2561" t="s">
        <v>83</v>
      </c>
    </row>
    <row r="2562" spans="1:15" x14ac:dyDescent="0.25">
      <c r="A2562" s="22">
        <v>45758</v>
      </c>
      <c r="B2562" s="1">
        <v>811282140</v>
      </c>
      <c r="C2562" t="s">
        <v>2330</v>
      </c>
      <c r="D2562" s="23">
        <v>-4635.6000000000004</v>
      </c>
      <c r="E2562" t="s">
        <v>35</v>
      </c>
      <c r="F2562" s="2">
        <v>212901001</v>
      </c>
      <c r="G2562" s="2" t="s">
        <v>91</v>
      </c>
      <c r="I2562" s="95" t="s">
        <v>7231</v>
      </c>
      <c r="J2562" t="s">
        <v>61</v>
      </c>
      <c r="K2562" t="s">
        <v>62</v>
      </c>
      <c r="M2562">
        <v>77.260000000000005</v>
      </c>
      <c r="N2562" s="4">
        <f t="shared" si="39"/>
        <v>-60</v>
      </c>
      <c r="O2562" t="s">
        <v>83</v>
      </c>
    </row>
    <row r="2563" spans="1:15" x14ac:dyDescent="0.25">
      <c r="A2563" s="22">
        <v>45758</v>
      </c>
      <c r="B2563" s="1">
        <v>811282142</v>
      </c>
      <c r="C2563" t="s">
        <v>2331</v>
      </c>
      <c r="D2563" s="23">
        <v>-4635.6000000000004</v>
      </c>
      <c r="E2563" t="s">
        <v>35</v>
      </c>
      <c r="F2563" s="2">
        <v>212901001</v>
      </c>
      <c r="G2563" s="2" t="s">
        <v>91</v>
      </c>
      <c r="I2563" s="95" t="s">
        <v>7231</v>
      </c>
      <c r="J2563" t="s">
        <v>61</v>
      </c>
      <c r="K2563" t="s">
        <v>62</v>
      </c>
      <c r="M2563">
        <v>77.260000000000005</v>
      </c>
      <c r="N2563" s="4">
        <f t="shared" si="39"/>
        <v>-60</v>
      </c>
      <c r="O2563" t="s">
        <v>83</v>
      </c>
    </row>
    <row r="2564" spans="1:15" x14ac:dyDescent="0.25">
      <c r="A2564" s="22">
        <v>45758</v>
      </c>
      <c r="B2564" s="1">
        <v>911282143</v>
      </c>
      <c r="C2564" t="s">
        <v>2332</v>
      </c>
      <c r="D2564" s="23">
        <v>-4635.6000000000004</v>
      </c>
      <c r="E2564" t="s">
        <v>35</v>
      </c>
      <c r="F2564" s="2">
        <v>212901001</v>
      </c>
      <c r="G2564" s="2" t="s">
        <v>91</v>
      </c>
      <c r="I2564" s="95" t="s">
        <v>7231</v>
      </c>
      <c r="J2564" t="s">
        <v>61</v>
      </c>
      <c r="K2564" t="s">
        <v>62</v>
      </c>
      <c r="M2564">
        <v>77.260000000000005</v>
      </c>
      <c r="N2564" s="4">
        <f t="shared" si="39"/>
        <v>-60</v>
      </c>
      <c r="O2564" t="s">
        <v>83</v>
      </c>
    </row>
    <row r="2565" spans="1:15" x14ac:dyDescent="0.25">
      <c r="A2565" s="22">
        <v>45758</v>
      </c>
      <c r="B2565" s="1">
        <v>911282145</v>
      </c>
      <c r="C2565" t="s">
        <v>2333</v>
      </c>
      <c r="D2565" s="23">
        <v>-4635.6000000000004</v>
      </c>
      <c r="E2565" t="s">
        <v>35</v>
      </c>
      <c r="F2565" s="2">
        <v>212901001</v>
      </c>
      <c r="G2565" s="2" t="s">
        <v>91</v>
      </c>
      <c r="I2565" s="95" t="s">
        <v>7231</v>
      </c>
      <c r="J2565" t="s">
        <v>61</v>
      </c>
      <c r="K2565" t="s">
        <v>62</v>
      </c>
      <c r="M2565">
        <v>77.260000000000005</v>
      </c>
      <c r="N2565" s="4">
        <f t="shared" si="39"/>
        <v>-60</v>
      </c>
      <c r="O2565" t="s">
        <v>83</v>
      </c>
    </row>
    <row r="2566" spans="1:15" x14ac:dyDescent="0.25">
      <c r="A2566" s="22">
        <v>45758</v>
      </c>
      <c r="B2566" s="1">
        <v>911282147</v>
      </c>
      <c r="C2566" t="s">
        <v>2334</v>
      </c>
      <c r="D2566" s="23">
        <v>-4635.6000000000004</v>
      </c>
      <c r="E2566" t="s">
        <v>35</v>
      </c>
      <c r="F2566" s="2">
        <v>212901001</v>
      </c>
      <c r="G2566" s="2" t="s">
        <v>91</v>
      </c>
      <c r="I2566" s="95" t="s">
        <v>7231</v>
      </c>
      <c r="J2566" t="s">
        <v>61</v>
      </c>
      <c r="K2566" t="s">
        <v>62</v>
      </c>
      <c r="M2566">
        <v>77.260000000000005</v>
      </c>
      <c r="N2566" s="4">
        <f t="shared" si="39"/>
        <v>-60</v>
      </c>
      <c r="O2566" t="s">
        <v>83</v>
      </c>
    </row>
    <row r="2567" spans="1:15" x14ac:dyDescent="0.25">
      <c r="A2567" s="22">
        <v>45758</v>
      </c>
      <c r="B2567" s="1">
        <v>11282155</v>
      </c>
      <c r="C2567" t="s">
        <v>2335</v>
      </c>
      <c r="D2567" s="23">
        <v>-6180.8</v>
      </c>
      <c r="E2567" t="s">
        <v>35</v>
      </c>
      <c r="F2567" s="2">
        <v>212901001</v>
      </c>
      <c r="G2567" s="2" t="s">
        <v>91</v>
      </c>
      <c r="I2567" s="95" t="s">
        <v>7231</v>
      </c>
      <c r="J2567" t="s">
        <v>61</v>
      </c>
      <c r="K2567" t="s">
        <v>62</v>
      </c>
      <c r="M2567">
        <v>77.260000000000005</v>
      </c>
      <c r="N2567" s="4">
        <f t="shared" si="39"/>
        <v>-80</v>
      </c>
      <c r="O2567" t="s">
        <v>83</v>
      </c>
    </row>
    <row r="2568" spans="1:15" x14ac:dyDescent="0.25">
      <c r="A2568" s="22">
        <v>45758</v>
      </c>
      <c r="B2568" s="1">
        <v>911282149</v>
      </c>
      <c r="C2568" t="s">
        <v>2336</v>
      </c>
      <c r="D2568" s="23">
        <v>-11589</v>
      </c>
      <c r="E2568" t="s">
        <v>35</v>
      </c>
      <c r="F2568" s="2">
        <v>212901001</v>
      </c>
      <c r="G2568" s="2" t="s">
        <v>91</v>
      </c>
      <c r="I2568" s="95" t="s">
        <v>7231</v>
      </c>
      <c r="J2568" t="s">
        <v>61</v>
      </c>
      <c r="K2568" t="s">
        <v>62</v>
      </c>
      <c r="M2568">
        <v>77.260000000000005</v>
      </c>
      <c r="N2568" s="4">
        <f t="shared" si="39"/>
        <v>-150</v>
      </c>
      <c r="O2568" t="s">
        <v>83</v>
      </c>
    </row>
    <row r="2569" spans="1:15" x14ac:dyDescent="0.25">
      <c r="A2569" s="22">
        <v>45758</v>
      </c>
      <c r="B2569" s="1">
        <v>11282157</v>
      </c>
      <c r="C2569" t="s">
        <v>2337</v>
      </c>
      <c r="D2569" s="23">
        <v>-6180.8</v>
      </c>
      <c r="E2569" t="s">
        <v>35</v>
      </c>
      <c r="F2569" s="2">
        <v>212901001</v>
      </c>
      <c r="G2569" s="2" t="s">
        <v>91</v>
      </c>
      <c r="I2569" s="95" t="s">
        <v>7231</v>
      </c>
      <c r="J2569" t="s">
        <v>61</v>
      </c>
      <c r="K2569" t="s">
        <v>62</v>
      </c>
      <c r="M2569">
        <v>77.260000000000005</v>
      </c>
      <c r="N2569" s="4">
        <f t="shared" si="39"/>
        <v>-80</v>
      </c>
      <c r="O2569" t="s">
        <v>83</v>
      </c>
    </row>
    <row r="2570" spans="1:15" x14ac:dyDescent="0.25">
      <c r="A2570" s="22">
        <v>45758</v>
      </c>
      <c r="B2570" s="1">
        <v>911282150</v>
      </c>
      <c r="C2570" t="s">
        <v>2338</v>
      </c>
      <c r="D2570" s="23">
        <v>-7726</v>
      </c>
      <c r="E2570" t="s">
        <v>35</v>
      </c>
      <c r="F2570" s="2">
        <v>212901001</v>
      </c>
      <c r="G2570" s="2" t="s">
        <v>91</v>
      </c>
      <c r="I2570" s="95" t="s">
        <v>7231</v>
      </c>
      <c r="J2570" t="s">
        <v>61</v>
      </c>
      <c r="K2570" t="s">
        <v>62</v>
      </c>
      <c r="M2570">
        <v>77.260000000000005</v>
      </c>
      <c r="N2570" s="4">
        <f t="shared" si="39"/>
        <v>-100</v>
      </c>
      <c r="O2570" t="s">
        <v>83</v>
      </c>
    </row>
    <row r="2571" spans="1:15" x14ac:dyDescent="0.25">
      <c r="A2571" s="22">
        <v>45758</v>
      </c>
      <c r="B2571" s="1">
        <v>911282151</v>
      </c>
      <c r="C2571" t="s">
        <v>2339</v>
      </c>
      <c r="D2571" s="23">
        <v>-6180.8</v>
      </c>
      <c r="E2571" t="s">
        <v>35</v>
      </c>
      <c r="F2571" s="2">
        <v>212901001</v>
      </c>
      <c r="G2571" s="2" t="s">
        <v>91</v>
      </c>
      <c r="I2571" s="95" t="s">
        <v>7231</v>
      </c>
      <c r="J2571" t="s">
        <v>61</v>
      </c>
      <c r="K2571" t="s">
        <v>62</v>
      </c>
      <c r="M2571">
        <v>77.260000000000005</v>
      </c>
      <c r="N2571" s="4">
        <f t="shared" si="39"/>
        <v>-80</v>
      </c>
      <c r="O2571" t="s">
        <v>83</v>
      </c>
    </row>
    <row r="2572" spans="1:15" x14ac:dyDescent="0.25">
      <c r="A2572" s="22">
        <v>45758</v>
      </c>
      <c r="B2572" s="1">
        <v>911282152</v>
      </c>
      <c r="C2572" t="s">
        <v>2340</v>
      </c>
      <c r="D2572" s="23">
        <v>-6180.8</v>
      </c>
      <c r="E2572" t="s">
        <v>35</v>
      </c>
      <c r="F2572" s="2">
        <v>212901001</v>
      </c>
      <c r="G2572" s="2" t="s">
        <v>91</v>
      </c>
      <c r="I2572" s="95" t="s">
        <v>7231</v>
      </c>
      <c r="J2572" t="s">
        <v>61</v>
      </c>
      <c r="K2572" t="s">
        <v>62</v>
      </c>
      <c r="M2572">
        <v>77.260000000000005</v>
      </c>
      <c r="N2572" s="4">
        <f t="shared" ref="N2572:N2635" si="40">D2572/M2572</f>
        <v>-80</v>
      </c>
      <c r="O2572" t="s">
        <v>83</v>
      </c>
    </row>
    <row r="2573" spans="1:15" x14ac:dyDescent="0.25">
      <c r="A2573" s="22">
        <v>45758</v>
      </c>
      <c r="B2573" s="1">
        <v>911282153</v>
      </c>
      <c r="C2573" t="s">
        <v>2341</v>
      </c>
      <c r="D2573" s="23">
        <v>-6180.8</v>
      </c>
      <c r="E2573" t="s">
        <v>35</v>
      </c>
      <c r="F2573" s="2">
        <v>212901001</v>
      </c>
      <c r="G2573" s="2" t="s">
        <v>91</v>
      </c>
      <c r="I2573" s="95" t="s">
        <v>7231</v>
      </c>
      <c r="J2573" t="s">
        <v>61</v>
      </c>
      <c r="K2573" t="s">
        <v>62</v>
      </c>
      <c r="M2573">
        <v>77.260000000000005</v>
      </c>
      <c r="N2573" s="4">
        <f t="shared" si="40"/>
        <v>-80</v>
      </c>
      <c r="O2573" t="s">
        <v>83</v>
      </c>
    </row>
    <row r="2574" spans="1:15" x14ac:dyDescent="0.25">
      <c r="A2574" s="22">
        <v>45758</v>
      </c>
      <c r="B2574" s="1">
        <v>11282156</v>
      </c>
      <c r="C2574" t="s">
        <v>2342</v>
      </c>
      <c r="D2574" s="23">
        <v>-6180.8</v>
      </c>
      <c r="E2574" t="s">
        <v>35</v>
      </c>
      <c r="F2574" s="2">
        <v>212901001</v>
      </c>
      <c r="G2574" s="2" t="s">
        <v>91</v>
      </c>
      <c r="I2574" s="95" t="s">
        <v>7231</v>
      </c>
      <c r="J2574" t="s">
        <v>61</v>
      </c>
      <c r="K2574" t="s">
        <v>62</v>
      </c>
      <c r="M2574">
        <v>77.260000000000005</v>
      </c>
      <c r="N2574" s="4">
        <f t="shared" si="40"/>
        <v>-80</v>
      </c>
      <c r="O2574" t="s">
        <v>83</v>
      </c>
    </row>
    <row r="2575" spans="1:15" x14ac:dyDescent="0.25">
      <c r="A2575" s="22">
        <v>45758</v>
      </c>
      <c r="B2575" s="1">
        <v>11282159</v>
      </c>
      <c r="C2575" t="s">
        <v>2343</v>
      </c>
      <c r="D2575" s="23">
        <v>-3863</v>
      </c>
      <c r="E2575" t="s">
        <v>35</v>
      </c>
      <c r="F2575" s="2">
        <v>212901001</v>
      </c>
      <c r="G2575" s="2" t="s">
        <v>91</v>
      </c>
      <c r="I2575" s="95" t="s">
        <v>7231</v>
      </c>
      <c r="J2575" t="s">
        <v>61</v>
      </c>
      <c r="K2575" t="s">
        <v>62</v>
      </c>
      <c r="M2575">
        <v>77.260000000000005</v>
      </c>
      <c r="N2575" s="4">
        <f t="shared" si="40"/>
        <v>-50</v>
      </c>
      <c r="O2575" t="s">
        <v>83</v>
      </c>
    </row>
    <row r="2576" spans="1:15" x14ac:dyDescent="0.25">
      <c r="A2576" s="22">
        <v>45758</v>
      </c>
      <c r="B2576" s="1">
        <v>11282158</v>
      </c>
      <c r="C2576" t="s">
        <v>2344</v>
      </c>
      <c r="D2576" s="23">
        <v>-3244.92</v>
      </c>
      <c r="E2576" t="s">
        <v>35</v>
      </c>
      <c r="F2576" s="2">
        <v>212901001</v>
      </c>
      <c r="G2576" s="2" t="s">
        <v>91</v>
      </c>
      <c r="I2576" s="95" t="s">
        <v>7231</v>
      </c>
      <c r="J2576" t="s">
        <v>61</v>
      </c>
      <c r="K2576" t="s">
        <v>62</v>
      </c>
      <c r="M2576">
        <v>77.260000000000005</v>
      </c>
      <c r="N2576" s="4">
        <f t="shared" si="40"/>
        <v>-42</v>
      </c>
      <c r="O2576" t="s">
        <v>83</v>
      </c>
    </row>
    <row r="2577" spans="1:15" x14ac:dyDescent="0.25">
      <c r="A2577" s="22">
        <v>45758</v>
      </c>
      <c r="B2577" s="1">
        <v>11282161</v>
      </c>
      <c r="C2577" t="s">
        <v>2345</v>
      </c>
      <c r="D2577" s="23">
        <v>-3244.92</v>
      </c>
      <c r="E2577" t="s">
        <v>35</v>
      </c>
      <c r="F2577" s="2">
        <v>212901001</v>
      </c>
      <c r="G2577" s="2" t="s">
        <v>91</v>
      </c>
      <c r="I2577" s="95" t="s">
        <v>7231</v>
      </c>
      <c r="J2577" t="s">
        <v>61</v>
      </c>
      <c r="K2577" t="s">
        <v>62</v>
      </c>
      <c r="M2577">
        <v>77.260000000000005</v>
      </c>
      <c r="N2577" s="4">
        <f t="shared" si="40"/>
        <v>-42</v>
      </c>
      <c r="O2577" t="s">
        <v>83</v>
      </c>
    </row>
    <row r="2578" spans="1:15" x14ac:dyDescent="0.25">
      <c r="A2578" s="22">
        <v>45758</v>
      </c>
      <c r="B2578" s="1">
        <v>11282160</v>
      </c>
      <c r="C2578" t="s">
        <v>2346</v>
      </c>
      <c r="D2578" s="23">
        <v>-3863</v>
      </c>
      <c r="E2578" t="s">
        <v>35</v>
      </c>
      <c r="F2578" s="2">
        <v>212901001</v>
      </c>
      <c r="G2578" s="2" t="s">
        <v>91</v>
      </c>
      <c r="I2578" s="95" t="s">
        <v>7231</v>
      </c>
      <c r="J2578" t="s">
        <v>61</v>
      </c>
      <c r="K2578" t="s">
        <v>62</v>
      </c>
      <c r="M2578">
        <v>77.260000000000005</v>
      </c>
      <c r="N2578" s="4">
        <f t="shared" si="40"/>
        <v>-50</v>
      </c>
      <c r="O2578" t="s">
        <v>83</v>
      </c>
    </row>
    <row r="2579" spans="1:15" x14ac:dyDescent="0.25">
      <c r="A2579" s="22">
        <v>45758</v>
      </c>
      <c r="B2579" s="1">
        <v>11282162</v>
      </c>
      <c r="C2579" t="s">
        <v>2347</v>
      </c>
      <c r="D2579" s="23">
        <v>-3863</v>
      </c>
      <c r="E2579" t="s">
        <v>35</v>
      </c>
      <c r="F2579" s="2">
        <v>212901001</v>
      </c>
      <c r="G2579" s="2" t="s">
        <v>91</v>
      </c>
      <c r="I2579" s="95" t="s">
        <v>7231</v>
      </c>
      <c r="J2579" t="s">
        <v>61</v>
      </c>
      <c r="K2579" t="s">
        <v>62</v>
      </c>
      <c r="M2579">
        <v>77.260000000000005</v>
      </c>
      <c r="N2579" s="4">
        <f t="shared" si="40"/>
        <v>-50</v>
      </c>
      <c r="O2579" t="s">
        <v>83</v>
      </c>
    </row>
    <row r="2580" spans="1:15" x14ac:dyDescent="0.25">
      <c r="A2580" s="22">
        <v>45758</v>
      </c>
      <c r="B2580" s="1">
        <v>111282165</v>
      </c>
      <c r="C2580" t="s">
        <v>2348</v>
      </c>
      <c r="D2580" s="23">
        <v>-3090.4</v>
      </c>
      <c r="E2580" t="s">
        <v>35</v>
      </c>
      <c r="F2580" s="2">
        <v>212901001</v>
      </c>
      <c r="G2580" s="2" t="s">
        <v>91</v>
      </c>
      <c r="I2580" s="95" t="s">
        <v>7231</v>
      </c>
      <c r="J2580" t="s">
        <v>61</v>
      </c>
      <c r="K2580" t="s">
        <v>62</v>
      </c>
      <c r="M2580">
        <v>77.260000000000005</v>
      </c>
      <c r="N2580" s="4">
        <f t="shared" si="40"/>
        <v>-40</v>
      </c>
      <c r="O2580" t="s">
        <v>83</v>
      </c>
    </row>
    <row r="2581" spans="1:15" x14ac:dyDescent="0.25">
      <c r="A2581" s="22">
        <v>45758</v>
      </c>
      <c r="B2581" s="1">
        <v>111282164</v>
      </c>
      <c r="C2581" t="s">
        <v>2349</v>
      </c>
      <c r="D2581" s="23">
        <v>-3090.4</v>
      </c>
      <c r="E2581" t="s">
        <v>35</v>
      </c>
      <c r="F2581" s="2">
        <v>212901001</v>
      </c>
      <c r="G2581" s="2" t="s">
        <v>91</v>
      </c>
      <c r="I2581" s="95" t="s">
        <v>7231</v>
      </c>
      <c r="J2581" t="s">
        <v>61</v>
      </c>
      <c r="K2581" t="s">
        <v>62</v>
      </c>
      <c r="M2581">
        <v>77.260000000000005</v>
      </c>
      <c r="N2581" s="4">
        <f t="shared" si="40"/>
        <v>-40</v>
      </c>
      <c r="O2581" t="s">
        <v>83</v>
      </c>
    </row>
    <row r="2582" spans="1:15" x14ac:dyDescent="0.25">
      <c r="A2582" s="22">
        <v>45758</v>
      </c>
      <c r="B2582" s="1">
        <v>111282166</v>
      </c>
      <c r="C2582" t="s">
        <v>2350</v>
      </c>
      <c r="D2582" s="23">
        <v>-3090.4</v>
      </c>
      <c r="E2582" t="s">
        <v>35</v>
      </c>
      <c r="F2582" s="2">
        <v>212901001</v>
      </c>
      <c r="G2582" s="2" t="s">
        <v>91</v>
      </c>
      <c r="I2582" s="95" t="s">
        <v>7231</v>
      </c>
      <c r="J2582" t="s">
        <v>61</v>
      </c>
      <c r="K2582" t="s">
        <v>62</v>
      </c>
      <c r="M2582">
        <v>77.260000000000005</v>
      </c>
      <c r="N2582" s="4">
        <f t="shared" si="40"/>
        <v>-40</v>
      </c>
      <c r="O2582" t="s">
        <v>83</v>
      </c>
    </row>
    <row r="2583" spans="1:15" x14ac:dyDescent="0.25">
      <c r="A2583" s="22">
        <v>45758</v>
      </c>
      <c r="B2583" s="1">
        <v>111282167</v>
      </c>
      <c r="C2583" t="s">
        <v>2351</v>
      </c>
      <c r="D2583" s="23">
        <v>-3090.4</v>
      </c>
      <c r="E2583" t="s">
        <v>35</v>
      </c>
      <c r="F2583" s="2">
        <v>212901001</v>
      </c>
      <c r="G2583" s="2" t="s">
        <v>91</v>
      </c>
      <c r="I2583" s="95" t="s">
        <v>7231</v>
      </c>
      <c r="J2583" t="s">
        <v>61</v>
      </c>
      <c r="K2583" t="s">
        <v>62</v>
      </c>
      <c r="M2583">
        <v>77.260000000000005</v>
      </c>
      <c r="N2583" s="4">
        <f t="shared" si="40"/>
        <v>-40</v>
      </c>
      <c r="O2583" t="s">
        <v>83</v>
      </c>
    </row>
    <row r="2584" spans="1:15" x14ac:dyDescent="0.25">
      <c r="A2584" s="22">
        <v>45758</v>
      </c>
      <c r="B2584" s="1">
        <v>11282163</v>
      </c>
      <c r="C2584" t="s">
        <v>2352</v>
      </c>
      <c r="D2584" s="23">
        <v>-3863</v>
      </c>
      <c r="E2584" t="s">
        <v>35</v>
      </c>
      <c r="F2584" s="2">
        <v>212901001</v>
      </c>
      <c r="G2584" s="2" t="s">
        <v>91</v>
      </c>
      <c r="I2584" s="95" t="s">
        <v>7231</v>
      </c>
      <c r="J2584" t="s">
        <v>61</v>
      </c>
      <c r="K2584" t="s">
        <v>62</v>
      </c>
      <c r="M2584">
        <v>77.260000000000005</v>
      </c>
      <c r="N2584" s="4">
        <f t="shared" si="40"/>
        <v>-50</v>
      </c>
      <c r="O2584" t="s">
        <v>83</v>
      </c>
    </row>
    <row r="2585" spans="1:15" x14ac:dyDescent="0.25">
      <c r="A2585" s="22">
        <v>45758</v>
      </c>
      <c r="B2585" s="1">
        <v>111282170</v>
      </c>
      <c r="C2585" t="s">
        <v>2353</v>
      </c>
      <c r="D2585" s="23">
        <v>-3090.4</v>
      </c>
      <c r="E2585" t="s">
        <v>35</v>
      </c>
      <c r="F2585" s="2">
        <v>212901001</v>
      </c>
      <c r="G2585" s="2" t="s">
        <v>91</v>
      </c>
      <c r="I2585" s="95" t="s">
        <v>7231</v>
      </c>
      <c r="J2585" t="s">
        <v>61</v>
      </c>
      <c r="K2585" t="s">
        <v>62</v>
      </c>
      <c r="M2585">
        <v>77.260000000000005</v>
      </c>
      <c r="N2585" s="4">
        <f t="shared" si="40"/>
        <v>-40</v>
      </c>
      <c r="O2585" t="s">
        <v>83</v>
      </c>
    </row>
    <row r="2586" spans="1:15" x14ac:dyDescent="0.25">
      <c r="A2586" s="22">
        <v>45758</v>
      </c>
      <c r="B2586" s="1">
        <v>111282169</v>
      </c>
      <c r="C2586" t="s">
        <v>2354</v>
      </c>
      <c r="D2586" s="23">
        <v>-3090.4</v>
      </c>
      <c r="E2586" t="s">
        <v>35</v>
      </c>
      <c r="F2586" s="2">
        <v>212901001</v>
      </c>
      <c r="G2586" s="2" t="s">
        <v>91</v>
      </c>
      <c r="I2586" s="95" t="s">
        <v>7231</v>
      </c>
      <c r="J2586" t="s">
        <v>61</v>
      </c>
      <c r="K2586" t="s">
        <v>62</v>
      </c>
      <c r="M2586">
        <v>77.260000000000005</v>
      </c>
      <c r="N2586" s="4">
        <f t="shared" si="40"/>
        <v>-40</v>
      </c>
      <c r="O2586" t="s">
        <v>83</v>
      </c>
    </row>
    <row r="2587" spans="1:15" x14ac:dyDescent="0.25">
      <c r="A2587" s="22">
        <v>45758</v>
      </c>
      <c r="B2587" s="1">
        <v>111282171</v>
      </c>
      <c r="C2587" t="s">
        <v>2355</v>
      </c>
      <c r="D2587" s="23">
        <v>-3090.4</v>
      </c>
      <c r="E2587" t="s">
        <v>35</v>
      </c>
      <c r="F2587" s="2">
        <v>212901001</v>
      </c>
      <c r="G2587" s="2" t="s">
        <v>91</v>
      </c>
      <c r="I2587" s="95" t="s">
        <v>7231</v>
      </c>
      <c r="J2587" t="s">
        <v>61</v>
      </c>
      <c r="K2587" t="s">
        <v>62</v>
      </c>
      <c r="M2587">
        <v>77.260000000000005</v>
      </c>
      <c r="N2587" s="4">
        <f t="shared" si="40"/>
        <v>-40</v>
      </c>
      <c r="O2587" t="s">
        <v>83</v>
      </c>
    </row>
    <row r="2588" spans="1:15" x14ac:dyDescent="0.25">
      <c r="A2588" s="22">
        <v>45758</v>
      </c>
      <c r="B2588" s="1">
        <v>211282172</v>
      </c>
      <c r="C2588" t="s">
        <v>2356</v>
      </c>
      <c r="D2588" s="23">
        <v>-7726</v>
      </c>
      <c r="E2588" t="s">
        <v>35</v>
      </c>
      <c r="F2588" s="2">
        <v>212901001</v>
      </c>
      <c r="G2588" s="2" t="s">
        <v>91</v>
      </c>
      <c r="I2588" s="95" t="s">
        <v>7231</v>
      </c>
      <c r="J2588" t="s">
        <v>61</v>
      </c>
      <c r="K2588" t="s">
        <v>62</v>
      </c>
      <c r="M2588">
        <v>77.260000000000005</v>
      </c>
      <c r="N2588" s="4">
        <f t="shared" si="40"/>
        <v>-100</v>
      </c>
      <c r="O2588" t="s">
        <v>83</v>
      </c>
    </row>
    <row r="2589" spans="1:15" x14ac:dyDescent="0.25">
      <c r="A2589" s="22">
        <v>45758</v>
      </c>
      <c r="B2589" s="1">
        <v>211282174</v>
      </c>
      <c r="C2589" t="s">
        <v>2357</v>
      </c>
      <c r="D2589" s="23">
        <v>-11589</v>
      </c>
      <c r="E2589" t="s">
        <v>35</v>
      </c>
      <c r="F2589" s="2">
        <v>212901001</v>
      </c>
      <c r="G2589" s="2" t="s">
        <v>91</v>
      </c>
      <c r="I2589" s="95" t="s">
        <v>7231</v>
      </c>
      <c r="J2589" t="s">
        <v>61</v>
      </c>
      <c r="K2589" t="s">
        <v>62</v>
      </c>
      <c r="M2589">
        <v>77.260000000000005</v>
      </c>
      <c r="N2589" s="4">
        <f t="shared" si="40"/>
        <v>-150</v>
      </c>
      <c r="O2589" t="s">
        <v>83</v>
      </c>
    </row>
    <row r="2590" spans="1:15" x14ac:dyDescent="0.25">
      <c r="A2590" s="22">
        <v>45758</v>
      </c>
      <c r="B2590" s="1">
        <v>211282173</v>
      </c>
      <c r="C2590" t="s">
        <v>2358</v>
      </c>
      <c r="D2590" s="23">
        <v>-7726</v>
      </c>
      <c r="E2590" t="s">
        <v>35</v>
      </c>
      <c r="F2590" s="2">
        <v>212901001</v>
      </c>
      <c r="G2590" s="2" t="s">
        <v>91</v>
      </c>
      <c r="I2590" s="95" t="s">
        <v>7231</v>
      </c>
      <c r="J2590" t="s">
        <v>61</v>
      </c>
      <c r="K2590" t="s">
        <v>62</v>
      </c>
      <c r="M2590">
        <v>77.260000000000005</v>
      </c>
      <c r="N2590" s="4">
        <f t="shared" si="40"/>
        <v>-100</v>
      </c>
      <c r="O2590" t="s">
        <v>83</v>
      </c>
    </row>
    <row r="2591" spans="1:15" x14ac:dyDescent="0.25">
      <c r="A2591" s="22">
        <v>45758</v>
      </c>
      <c r="B2591" s="1">
        <v>211282175</v>
      </c>
      <c r="C2591" t="s">
        <v>2359</v>
      </c>
      <c r="D2591" s="23">
        <v>-2317.8000000000002</v>
      </c>
      <c r="E2591" t="s">
        <v>35</v>
      </c>
      <c r="F2591" s="2">
        <v>212901001</v>
      </c>
      <c r="G2591" s="2" t="s">
        <v>91</v>
      </c>
      <c r="I2591" s="95" t="s">
        <v>7231</v>
      </c>
      <c r="J2591" t="s">
        <v>61</v>
      </c>
      <c r="K2591" t="s">
        <v>62</v>
      </c>
      <c r="M2591">
        <v>77.260000000000005</v>
      </c>
      <c r="N2591" s="4">
        <f t="shared" si="40"/>
        <v>-30</v>
      </c>
      <c r="O2591" t="s">
        <v>83</v>
      </c>
    </row>
    <row r="2592" spans="1:15" x14ac:dyDescent="0.25">
      <c r="A2592" s="22">
        <v>45758</v>
      </c>
      <c r="B2592" s="1">
        <v>211282176</v>
      </c>
      <c r="C2592" t="s">
        <v>2360</v>
      </c>
      <c r="D2592" s="23">
        <v>-8498.6</v>
      </c>
      <c r="E2592" t="s">
        <v>35</v>
      </c>
      <c r="F2592" s="2">
        <v>212901001</v>
      </c>
      <c r="G2592" s="2" t="s">
        <v>91</v>
      </c>
      <c r="I2592" s="95" t="s">
        <v>7231</v>
      </c>
      <c r="J2592" t="s">
        <v>61</v>
      </c>
      <c r="K2592" t="s">
        <v>62</v>
      </c>
      <c r="M2592">
        <v>77.260000000000005</v>
      </c>
      <c r="N2592" s="4">
        <f t="shared" si="40"/>
        <v>-110</v>
      </c>
      <c r="O2592" t="s">
        <v>83</v>
      </c>
    </row>
    <row r="2593" spans="1:15" x14ac:dyDescent="0.25">
      <c r="A2593" s="22">
        <v>45758</v>
      </c>
      <c r="B2593" s="1">
        <v>211282178</v>
      </c>
      <c r="C2593" t="s">
        <v>2361</v>
      </c>
      <c r="D2593" s="23">
        <v>-7726</v>
      </c>
      <c r="E2593" t="s">
        <v>35</v>
      </c>
      <c r="F2593" s="2">
        <v>212901001</v>
      </c>
      <c r="G2593" s="2" t="s">
        <v>91</v>
      </c>
      <c r="I2593" s="95" t="s">
        <v>7231</v>
      </c>
      <c r="J2593" t="s">
        <v>61</v>
      </c>
      <c r="K2593" t="s">
        <v>62</v>
      </c>
      <c r="M2593">
        <v>77.260000000000005</v>
      </c>
      <c r="N2593" s="4">
        <f t="shared" si="40"/>
        <v>-100</v>
      </c>
      <c r="O2593" t="s">
        <v>83</v>
      </c>
    </row>
    <row r="2594" spans="1:15" x14ac:dyDescent="0.25">
      <c r="A2594" s="22">
        <v>45758</v>
      </c>
      <c r="B2594" s="1">
        <v>211282180</v>
      </c>
      <c r="C2594" t="s">
        <v>2362</v>
      </c>
      <c r="D2594" s="23">
        <v>-3553.96</v>
      </c>
      <c r="E2594" t="s">
        <v>35</v>
      </c>
      <c r="F2594" s="2">
        <v>212901001</v>
      </c>
      <c r="G2594" s="2" t="s">
        <v>91</v>
      </c>
      <c r="I2594" s="95" t="s">
        <v>7231</v>
      </c>
      <c r="J2594" t="s">
        <v>61</v>
      </c>
      <c r="K2594" t="s">
        <v>62</v>
      </c>
      <c r="M2594">
        <v>77.260000000000005</v>
      </c>
      <c r="N2594" s="4">
        <f t="shared" si="40"/>
        <v>-46</v>
      </c>
      <c r="O2594" t="s">
        <v>83</v>
      </c>
    </row>
    <row r="2595" spans="1:15" x14ac:dyDescent="0.25">
      <c r="A2595" s="22">
        <v>45758</v>
      </c>
      <c r="B2595" s="1">
        <v>211282177</v>
      </c>
      <c r="C2595" t="s">
        <v>2363</v>
      </c>
      <c r="D2595" s="23">
        <v>-6180.8</v>
      </c>
      <c r="E2595" t="s">
        <v>35</v>
      </c>
      <c r="F2595" s="2">
        <v>212901001</v>
      </c>
      <c r="G2595" s="2" t="s">
        <v>91</v>
      </c>
      <c r="I2595" s="95" t="s">
        <v>7231</v>
      </c>
      <c r="J2595" t="s">
        <v>61</v>
      </c>
      <c r="K2595" t="s">
        <v>62</v>
      </c>
      <c r="M2595">
        <v>77.260000000000005</v>
      </c>
      <c r="N2595" s="4">
        <f t="shared" si="40"/>
        <v>-80</v>
      </c>
      <c r="O2595" t="s">
        <v>83</v>
      </c>
    </row>
    <row r="2596" spans="1:15" x14ac:dyDescent="0.25">
      <c r="A2596" s="22">
        <v>45758</v>
      </c>
      <c r="B2596" s="1">
        <v>211282182</v>
      </c>
      <c r="C2596" t="s">
        <v>2364</v>
      </c>
      <c r="D2596" s="23">
        <v>-5408.2</v>
      </c>
      <c r="E2596" t="s">
        <v>35</v>
      </c>
      <c r="F2596" s="2">
        <v>212901001</v>
      </c>
      <c r="G2596" s="2" t="s">
        <v>91</v>
      </c>
      <c r="I2596" s="95" t="s">
        <v>7231</v>
      </c>
      <c r="J2596" t="s">
        <v>61</v>
      </c>
      <c r="K2596" t="s">
        <v>62</v>
      </c>
      <c r="M2596">
        <v>77.260000000000005</v>
      </c>
      <c r="N2596" s="4">
        <f t="shared" si="40"/>
        <v>-70</v>
      </c>
      <c r="O2596" t="s">
        <v>83</v>
      </c>
    </row>
    <row r="2597" spans="1:15" x14ac:dyDescent="0.25">
      <c r="A2597" s="22">
        <v>45758</v>
      </c>
      <c r="B2597" s="1">
        <v>311282183</v>
      </c>
      <c r="C2597" t="s">
        <v>2365</v>
      </c>
      <c r="D2597" s="23">
        <v>-5408.2</v>
      </c>
      <c r="E2597" t="s">
        <v>35</v>
      </c>
      <c r="F2597" s="2">
        <v>212901001</v>
      </c>
      <c r="G2597" s="2" t="s">
        <v>91</v>
      </c>
      <c r="I2597" s="95" t="s">
        <v>7231</v>
      </c>
      <c r="J2597" t="s">
        <v>61</v>
      </c>
      <c r="K2597" t="s">
        <v>62</v>
      </c>
      <c r="M2597">
        <v>77.260000000000005</v>
      </c>
      <c r="N2597" s="4">
        <f t="shared" si="40"/>
        <v>-70</v>
      </c>
      <c r="O2597" t="s">
        <v>83</v>
      </c>
    </row>
    <row r="2598" spans="1:15" x14ac:dyDescent="0.25">
      <c r="A2598" s="22">
        <v>45758</v>
      </c>
      <c r="B2598" s="1">
        <v>311282185</v>
      </c>
      <c r="C2598" t="s">
        <v>2366</v>
      </c>
      <c r="D2598" s="23">
        <v>-5408.2</v>
      </c>
      <c r="E2598" t="s">
        <v>35</v>
      </c>
      <c r="F2598" s="2">
        <v>212901001</v>
      </c>
      <c r="G2598" s="2" t="s">
        <v>91</v>
      </c>
      <c r="I2598" s="95" t="s">
        <v>7231</v>
      </c>
      <c r="J2598" t="s">
        <v>61</v>
      </c>
      <c r="K2598" t="s">
        <v>62</v>
      </c>
      <c r="M2598">
        <v>77.260000000000005</v>
      </c>
      <c r="N2598" s="4">
        <f t="shared" si="40"/>
        <v>-70</v>
      </c>
      <c r="O2598" t="s">
        <v>83</v>
      </c>
    </row>
    <row r="2599" spans="1:15" x14ac:dyDescent="0.25">
      <c r="A2599" s="22">
        <v>45758</v>
      </c>
      <c r="B2599" s="1">
        <v>311282187</v>
      </c>
      <c r="C2599" t="s">
        <v>2367</v>
      </c>
      <c r="D2599" s="23">
        <v>-3863</v>
      </c>
      <c r="E2599" t="s">
        <v>35</v>
      </c>
      <c r="F2599" s="2">
        <v>212901001</v>
      </c>
      <c r="G2599" s="2" t="s">
        <v>91</v>
      </c>
      <c r="I2599" s="95" t="s">
        <v>7231</v>
      </c>
      <c r="J2599" t="s">
        <v>61</v>
      </c>
      <c r="K2599" t="s">
        <v>62</v>
      </c>
      <c r="M2599">
        <v>77.260000000000005</v>
      </c>
      <c r="N2599" s="4">
        <f t="shared" si="40"/>
        <v>-50</v>
      </c>
      <c r="O2599" t="s">
        <v>83</v>
      </c>
    </row>
    <row r="2600" spans="1:15" x14ac:dyDescent="0.25">
      <c r="A2600" s="22">
        <v>45758</v>
      </c>
      <c r="B2600" s="1">
        <v>311282186</v>
      </c>
      <c r="C2600" t="s">
        <v>2368</v>
      </c>
      <c r="D2600" s="23">
        <v>-3244.92</v>
      </c>
      <c r="E2600" t="s">
        <v>35</v>
      </c>
      <c r="F2600" s="2">
        <v>212901001</v>
      </c>
      <c r="G2600" s="2" t="s">
        <v>91</v>
      </c>
      <c r="I2600" s="95" t="s">
        <v>7231</v>
      </c>
      <c r="J2600" t="s">
        <v>61</v>
      </c>
      <c r="K2600" t="s">
        <v>62</v>
      </c>
      <c r="M2600">
        <v>77.260000000000005</v>
      </c>
      <c r="N2600" s="4">
        <f t="shared" si="40"/>
        <v>-42</v>
      </c>
      <c r="O2600" t="s">
        <v>83</v>
      </c>
    </row>
    <row r="2601" spans="1:15" x14ac:dyDescent="0.25">
      <c r="A2601" s="22">
        <v>45758</v>
      </c>
      <c r="B2601" s="1">
        <v>311282190</v>
      </c>
      <c r="C2601" t="s">
        <v>2369</v>
      </c>
      <c r="D2601" s="23">
        <v>-3863</v>
      </c>
      <c r="E2601" t="s">
        <v>35</v>
      </c>
      <c r="F2601" s="2">
        <v>212901001</v>
      </c>
      <c r="G2601" s="2" t="s">
        <v>91</v>
      </c>
      <c r="I2601" s="95" t="s">
        <v>7231</v>
      </c>
      <c r="J2601" t="s">
        <v>61</v>
      </c>
      <c r="K2601" t="s">
        <v>62</v>
      </c>
      <c r="M2601">
        <v>77.260000000000005</v>
      </c>
      <c r="N2601" s="4">
        <f t="shared" si="40"/>
        <v>-50</v>
      </c>
      <c r="O2601" t="s">
        <v>83</v>
      </c>
    </row>
    <row r="2602" spans="1:15" x14ac:dyDescent="0.25">
      <c r="A2602" s="22">
        <v>45758</v>
      </c>
      <c r="B2602" s="1">
        <v>311282188</v>
      </c>
      <c r="C2602" t="s">
        <v>2370</v>
      </c>
      <c r="D2602" s="23">
        <v>-3863</v>
      </c>
      <c r="E2602" t="s">
        <v>35</v>
      </c>
      <c r="F2602" s="2">
        <v>212901001</v>
      </c>
      <c r="G2602" s="2" t="s">
        <v>91</v>
      </c>
      <c r="I2602" s="95" t="s">
        <v>7231</v>
      </c>
      <c r="J2602" t="s">
        <v>61</v>
      </c>
      <c r="K2602" t="s">
        <v>62</v>
      </c>
      <c r="M2602">
        <v>77.260000000000005</v>
      </c>
      <c r="N2602" s="4">
        <f t="shared" si="40"/>
        <v>-50</v>
      </c>
      <c r="O2602" t="s">
        <v>83</v>
      </c>
    </row>
    <row r="2603" spans="1:15" x14ac:dyDescent="0.25">
      <c r="A2603" s="22">
        <v>45758</v>
      </c>
      <c r="B2603" s="1">
        <v>411282196</v>
      </c>
      <c r="C2603" t="s">
        <v>2371</v>
      </c>
      <c r="D2603" s="23">
        <v>-3863</v>
      </c>
      <c r="E2603" t="s">
        <v>35</v>
      </c>
      <c r="F2603" s="2">
        <v>212901001</v>
      </c>
      <c r="G2603" s="2" t="s">
        <v>91</v>
      </c>
      <c r="I2603" s="95" t="s">
        <v>7231</v>
      </c>
      <c r="J2603" t="s">
        <v>61</v>
      </c>
      <c r="K2603" t="s">
        <v>62</v>
      </c>
      <c r="M2603">
        <v>77.260000000000005</v>
      </c>
      <c r="N2603" s="4">
        <f t="shared" si="40"/>
        <v>-50</v>
      </c>
      <c r="O2603" t="s">
        <v>83</v>
      </c>
    </row>
    <row r="2604" spans="1:15" x14ac:dyDescent="0.25">
      <c r="A2604" s="22">
        <v>45758</v>
      </c>
      <c r="B2604" s="1">
        <v>311282189</v>
      </c>
      <c r="C2604" t="s">
        <v>2372</v>
      </c>
      <c r="D2604" s="23">
        <v>-3244.92</v>
      </c>
      <c r="E2604" t="s">
        <v>35</v>
      </c>
      <c r="F2604" s="2">
        <v>212901001</v>
      </c>
      <c r="G2604" s="2" t="s">
        <v>91</v>
      </c>
      <c r="I2604" s="95" t="s">
        <v>7231</v>
      </c>
      <c r="J2604" t="s">
        <v>61</v>
      </c>
      <c r="K2604" t="s">
        <v>62</v>
      </c>
      <c r="M2604">
        <v>77.260000000000005</v>
      </c>
      <c r="N2604" s="4">
        <f t="shared" si="40"/>
        <v>-42</v>
      </c>
      <c r="O2604" t="s">
        <v>83</v>
      </c>
    </row>
    <row r="2605" spans="1:15" x14ac:dyDescent="0.25">
      <c r="A2605" s="22">
        <v>45758</v>
      </c>
      <c r="B2605" s="1">
        <v>311282191</v>
      </c>
      <c r="C2605" t="s">
        <v>2367</v>
      </c>
      <c r="D2605" s="23">
        <v>-3863</v>
      </c>
      <c r="E2605" t="s">
        <v>35</v>
      </c>
      <c r="F2605" s="2">
        <v>212901001</v>
      </c>
      <c r="G2605" s="2" t="s">
        <v>91</v>
      </c>
      <c r="I2605" s="95" t="s">
        <v>7231</v>
      </c>
      <c r="J2605" t="s">
        <v>61</v>
      </c>
      <c r="K2605" t="s">
        <v>62</v>
      </c>
      <c r="M2605">
        <v>77.260000000000005</v>
      </c>
      <c r="N2605" s="4">
        <f t="shared" si="40"/>
        <v>-50</v>
      </c>
      <c r="O2605" t="s">
        <v>83</v>
      </c>
    </row>
    <row r="2606" spans="1:15" x14ac:dyDescent="0.25">
      <c r="A2606" s="22">
        <v>45758</v>
      </c>
      <c r="B2606" s="1">
        <v>411282195</v>
      </c>
      <c r="C2606" t="s">
        <v>2373</v>
      </c>
      <c r="D2606" s="23">
        <v>-3863</v>
      </c>
      <c r="E2606" t="s">
        <v>35</v>
      </c>
      <c r="F2606" s="2">
        <v>212901001</v>
      </c>
      <c r="G2606" s="2" t="s">
        <v>91</v>
      </c>
      <c r="I2606" s="95" t="s">
        <v>7231</v>
      </c>
      <c r="J2606" t="s">
        <v>61</v>
      </c>
      <c r="K2606" t="s">
        <v>62</v>
      </c>
      <c r="M2606">
        <v>77.260000000000005</v>
      </c>
      <c r="N2606" s="4">
        <f t="shared" si="40"/>
        <v>-50</v>
      </c>
      <c r="O2606" t="s">
        <v>83</v>
      </c>
    </row>
    <row r="2607" spans="1:15" x14ac:dyDescent="0.25">
      <c r="A2607" s="22">
        <v>45758</v>
      </c>
      <c r="B2607" s="1">
        <v>411282197</v>
      </c>
      <c r="C2607" t="s">
        <v>2374</v>
      </c>
      <c r="D2607" s="23">
        <v>-3863</v>
      </c>
      <c r="E2607" t="s">
        <v>35</v>
      </c>
      <c r="F2607" s="2">
        <v>212901001</v>
      </c>
      <c r="G2607" s="2" t="s">
        <v>91</v>
      </c>
      <c r="I2607" s="95" t="s">
        <v>7231</v>
      </c>
      <c r="J2607" t="s">
        <v>61</v>
      </c>
      <c r="K2607" t="s">
        <v>62</v>
      </c>
      <c r="M2607">
        <v>77.260000000000005</v>
      </c>
      <c r="N2607" s="4">
        <f t="shared" si="40"/>
        <v>-50</v>
      </c>
      <c r="O2607" t="s">
        <v>83</v>
      </c>
    </row>
    <row r="2608" spans="1:15" x14ac:dyDescent="0.25">
      <c r="A2608" s="22">
        <v>45758</v>
      </c>
      <c r="B2608" s="1">
        <v>411282198</v>
      </c>
      <c r="C2608" t="s">
        <v>2375</v>
      </c>
      <c r="D2608" s="23">
        <v>-2626.84</v>
      </c>
      <c r="E2608" t="s">
        <v>35</v>
      </c>
      <c r="F2608" s="2">
        <v>212901001</v>
      </c>
      <c r="G2608" s="2" t="s">
        <v>91</v>
      </c>
      <c r="I2608" s="95" t="s">
        <v>7231</v>
      </c>
      <c r="J2608" t="s">
        <v>61</v>
      </c>
      <c r="K2608" t="s">
        <v>62</v>
      </c>
      <c r="M2608">
        <v>77.260000000000005</v>
      </c>
      <c r="N2608" s="4">
        <f t="shared" si="40"/>
        <v>-34</v>
      </c>
      <c r="O2608" t="s">
        <v>83</v>
      </c>
    </row>
    <row r="2609" spans="1:17" x14ac:dyDescent="0.25">
      <c r="A2609" s="22">
        <v>45758</v>
      </c>
      <c r="B2609" s="1">
        <v>411282199</v>
      </c>
      <c r="C2609" t="s">
        <v>2376</v>
      </c>
      <c r="D2609" s="23">
        <v>-3863</v>
      </c>
      <c r="E2609" t="s">
        <v>35</v>
      </c>
      <c r="F2609" s="2">
        <v>212901001</v>
      </c>
      <c r="G2609" s="2" t="s">
        <v>91</v>
      </c>
      <c r="I2609" s="95" t="s">
        <v>7231</v>
      </c>
      <c r="J2609" t="s">
        <v>61</v>
      </c>
      <c r="K2609" t="s">
        <v>62</v>
      </c>
      <c r="M2609">
        <v>77.260000000000005</v>
      </c>
      <c r="N2609" s="4">
        <f t="shared" si="40"/>
        <v>-50</v>
      </c>
      <c r="O2609" t="s">
        <v>83</v>
      </c>
    </row>
    <row r="2610" spans="1:17" x14ac:dyDescent="0.25">
      <c r="A2610" s="22">
        <v>45758</v>
      </c>
      <c r="B2610" s="1">
        <v>411282201</v>
      </c>
      <c r="C2610" t="s">
        <v>2377</v>
      </c>
      <c r="D2610" s="23">
        <v>-3863</v>
      </c>
      <c r="E2610" t="s">
        <v>35</v>
      </c>
      <c r="F2610" s="2">
        <v>212901001</v>
      </c>
      <c r="G2610" s="2" t="s">
        <v>91</v>
      </c>
      <c r="I2610" s="95" t="s">
        <v>7231</v>
      </c>
      <c r="J2610" t="s">
        <v>61</v>
      </c>
      <c r="K2610" t="s">
        <v>62</v>
      </c>
      <c r="M2610">
        <v>77.260000000000005</v>
      </c>
      <c r="N2610" s="4">
        <f t="shared" si="40"/>
        <v>-50</v>
      </c>
      <c r="O2610" t="s">
        <v>83</v>
      </c>
    </row>
    <row r="2611" spans="1:17" x14ac:dyDescent="0.25">
      <c r="A2611" s="22">
        <v>45758</v>
      </c>
      <c r="B2611" s="1">
        <v>411282200</v>
      </c>
      <c r="C2611" t="s">
        <v>2378</v>
      </c>
      <c r="D2611" s="23">
        <v>-3863</v>
      </c>
      <c r="E2611" t="s">
        <v>35</v>
      </c>
      <c r="F2611" s="2">
        <v>212901001</v>
      </c>
      <c r="G2611" s="2" t="s">
        <v>91</v>
      </c>
      <c r="I2611" s="95" t="s">
        <v>7231</v>
      </c>
      <c r="J2611" t="s">
        <v>61</v>
      </c>
      <c r="K2611" t="s">
        <v>62</v>
      </c>
      <c r="M2611">
        <v>77.260000000000005</v>
      </c>
      <c r="N2611" s="4">
        <f t="shared" si="40"/>
        <v>-50</v>
      </c>
      <c r="O2611" t="s">
        <v>83</v>
      </c>
    </row>
    <row r="2612" spans="1:17" x14ac:dyDescent="0.25">
      <c r="A2612" s="22">
        <v>45758</v>
      </c>
      <c r="B2612" s="1">
        <v>411282202</v>
      </c>
      <c r="C2612" t="s">
        <v>2379</v>
      </c>
      <c r="D2612" s="23">
        <v>-3863</v>
      </c>
      <c r="E2612" t="s">
        <v>35</v>
      </c>
      <c r="F2612" s="2">
        <v>212901001</v>
      </c>
      <c r="G2612" s="2" t="s">
        <v>91</v>
      </c>
      <c r="I2612" s="95" t="s">
        <v>7231</v>
      </c>
      <c r="J2612" t="s">
        <v>61</v>
      </c>
      <c r="K2612" t="s">
        <v>62</v>
      </c>
      <c r="M2612">
        <v>77.260000000000005</v>
      </c>
      <c r="N2612" s="4">
        <f t="shared" si="40"/>
        <v>-50</v>
      </c>
      <c r="O2612" t="s">
        <v>83</v>
      </c>
    </row>
    <row r="2613" spans="1:17" x14ac:dyDescent="0.25">
      <c r="A2613" s="22">
        <v>45758</v>
      </c>
      <c r="B2613" s="1">
        <v>411282203</v>
      </c>
      <c r="C2613" t="s">
        <v>2380</v>
      </c>
      <c r="D2613" s="23">
        <v>-3863</v>
      </c>
      <c r="E2613" t="s">
        <v>35</v>
      </c>
      <c r="F2613" s="2">
        <v>212901001</v>
      </c>
      <c r="G2613" s="2" t="s">
        <v>91</v>
      </c>
      <c r="I2613" s="95" t="s">
        <v>7231</v>
      </c>
      <c r="J2613" t="s">
        <v>61</v>
      </c>
      <c r="K2613" t="s">
        <v>62</v>
      </c>
      <c r="M2613">
        <v>77.260000000000005</v>
      </c>
      <c r="N2613" s="4">
        <f t="shared" si="40"/>
        <v>-50</v>
      </c>
      <c r="O2613" t="s">
        <v>83</v>
      </c>
    </row>
    <row r="2614" spans="1:17" x14ac:dyDescent="0.25">
      <c r="A2614" s="22">
        <v>45758</v>
      </c>
      <c r="B2614" s="1">
        <v>511282204</v>
      </c>
      <c r="C2614" t="s">
        <v>2381</v>
      </c>
      <c r="D2614" s="23">
        <v>-1545.2</v>
      </c>
      <c r="E2614" t="s">
        <v>35</v>
      </c>
      <c r="F2614" s="2">
        <v>212901001</v>
      </c>
      <c r="G2614" s="2" t="s">
        <v>91</v>
      </c>
      <c r="I2614" s="95" t="s">
        <v>7231</v>
      </c>
      <c r="J2614" t="s">
        <v>61</v>
      </c>
      <c r="K2614" t="s">
        <v>62</v>
      </c>
      <c r="M2614">
        <v>77.260000000000005</v>
      </c>
      <c r="N2614" s="4">
        <f t="shared" si="40"/>
        <v>-20</v>
      </c>
      <c r="O2614" t="s">
        <v>83</v>
      </c>
    </row>
    <row r="2615" spans="1:17" x14ac:dyDescent="0.25">
      <c r="A2615" s="22">
        <v>45758</v>
      </c>
      <c r="B2615" s="1">
        <v>511282206</v>
      </c>
      <c r="C2615" t="s">
        <v>2382</v>
      </c>
      <c r="D2615" s="23">
        <v>-1545.2</v>
      </c>
      <c r="E2615" t="s">
        <v>35</v>
      </c>
      <c r="F2615" s="2">
        <v>212901001</v>
      </c>
      <c r="G2615" s="2" t="s">
        <v>91</v>
      </c>
      <c r="I2615" s="95" t="s">
        <v>7231</v>
      </c>
      <c r="J2615" t="s">
        <v>61</v>
      </c>
      <c r="K2615" t="s">
        <v>62</v>
      </c>
      <c r="M2615">
        <v>77.260000000000005</v>
      </c>
      <c r="N2615" s="4">
        <f t="shared" si="40"/>
        <v>-20</v>
      </c>
      <c r="O2615" t="s">
        <v>83</v>
      </c>
    </row>
    <row r="2616" spans="1:17" x14ac:dyDescent="0.25">
      <c r="A2616" s="22">
        <v>45758</v>
      </c>
      <c r="B2616" s="1">
        <v>511282210</v>
      </c>
      <c r="C2616" t="s">
        <v>2383</v>
      </c>
      <c r="D2616" s="23">
        <v>-7726</v>
      </c>
      <c r="E2616" t="s">
        <v>35</v>
      </c>
      <c r="F2616" s="2">
        <v>212901001</v>
      </c>
      <c r="G2616" s="2" t="s">
        <v>91</v>
      </c>
      <c r="I2616" s="95" t="s">
        <v>7231</v>
      </c>
      <c r="J2616" t="s">
        <v>61</v>
      </c>
      <c r="K2616" t="s">
        <v>62</v>
      </c>
      <c r="M2616">
        <v>77.260000000000005</v>
      </c>
      <c r="N2616" s="4">
        <f t="shared" si="40"/>
        <v>-100</v>
      </c>
      <c r="O2616" t="s">
        <v>83</v>
      </c>
    </row>
    <row r="2617" spans="1:17" x14ac:dyDescent="0.25">
      <c r="A2617" s="22">
        <v>45758</v>
      </c>
      <c r="B2617" s="1">
        <v>511282209</v>
      </c>
      <c r="C2617" t="s">
        <v>2384</v>
      </c>
      <c r="D2617" s="23">
        <v>-1545.2</v>
      </c>
      <c r="E2617" t="s">
        <v>35</v>
      </c>
      <c r="F2617" s="2">
        <v>212901001</v>
      </c>
      <c r="G2617" s="2" t="s">
        <v>91</v>
      </c>
      <c r="I2617" s="95" t="s">
        <v>7231</v>
      </c>
      <c r="J2617" t="s">
        <v>61</v>
      </c>
      <c r="K2617" t="s">
        <v>62</v>
      </c>
      <c r="M2617">
        <v>77.260000000000005</v>
      </c>
      <c r="N2617" s="4">
        <f t="shared" si="40"/>
        <v>-20</v>
      </c>
      <c r="O2617" t="s">
        <v>83</v>
      </c>
    </row>
    <row r="2618" spans="1:17" x14ac:dyDescent="0.25">
      <c r="A2618" s="22">
        <v>45758</v>
      </c>
      <c r="B2618" s="1">
        <v>511282207</v>
      </c>
      <c r="C2618" t="s">
        <v>2385</v>
      </c>
      <c r="D2618" s="23">
        <v>-1545.2</v>
      </c>
      <c r="E2618" t="s">
        <v>35</v>
      </c>
      <c r="F2618" s="2">
        <v>212901001</v>
      </c>
      <c r="G2618" s="2" t="s">
        <v>91</v>
      </c>
      <c r="I2618" s="95" t="s">
        <v>7231</v>
      </c>
      <c r="J2618" t="s">
        <v>61</v>
      </c>
      <c r="K2618" t="s">
        <v>62</v>
      </c>
      <c r="M2618">
        <v>77.260000000000005</v>
      </c>
      <c r="N2618" s="4">
        <f t="shared" si="40"/>
        <v>-20</v>
      </c>
      <c r="O2618" t="s">
        <v>83</v>
      </c>
    </row>
    <row r="2619" spans="1:17" x14ac:dyDescent="0.25">
      <c r="A2619" s="22">
        <v>45758</v>
      </c>
      <c r="B2619" s="1">
        <v>511282211</v>
      </c>
      <c r="C2619" t="s">
        <v>2386</v>
      </c>
      <c r="D2619" s="23">
        <v>-15452</v>
      </c>
      <c r="E2619" t="s">
        <v>35</v>
      </c>
      <c r="F2619" s="2">
        <v>212901001</v>
      </c>
      <c r="G2619" s="2" t="s">
        <v>91</v>
      </c>
      <c r="I2619" s="95" t="s">
        <v>7231</v>
      </c>
      <c r="J2619" t="s">
        <v>61</v>
      </c>
      <c r="K2619" t="s">
        <v>62</v>
      </c>
      <c r="M2619">
        <v>77.260000000000005</v>
      </c>
      <c r="N2619" s="4">
        <f t="shared" si="40"/>
        <v>-200</v>
      </c>
      <c r="O2619" t="s">
        <v>83</v>
      </c>
    </row>
    <row r="2620" spans="1:17" x14ac:dyDescent="0.25">
      <c r="A2620" s="22">
        <v>45758</v>
      </c>
      <c r="B2620" s="1">
        <v>511282212</v>
      </c>
      <c r="C2620" t="s">
        <v>2387</v>
      </c>
      <c r="D2620" s="23">
        <v>-9425.7199999999993</v>
      </c>
      <c r="E2620" t="s">
        <v>35</v>
      </c>
      <c r="F2620" s="2">
        <v>212901001</v>
      </c>
      <c r="G2620" s="2" t="s">
        <v>91</v>
      </c>
      <c r="I2620" s="95" t="s">
        <v>7231</v>
      </c>
      <c r="J2620" t="s">
        <v>61</v>
      </c>
      <c r="K2620" t="s">
        <v>62</v>
      </c>
      <c r="M2620">
        <v>77.260000000000005</v>
      </c>
      <c r="N2620" s="4">
        <f t="shared" si="40"/>
        <v>-121.99999999999999</v>
      </c>
      <c r="O2620" t="s">
        <v>83</v>
      </c>
    </row>
    <row r="2621" spans="1:17" x14ac:dyDescent="0.25">
      <c r="A2621" s="22">
        <v>45758</v>
      </c>
      <c r="B2621" s="1">
        <v>611282214</v>
      </c>
      <c r="C2621" t="s">
        <v>2388</v>
      </c>
      <c r="D2621" s="23">
        <v>-3090.4</v>
      </c>
      <c r="E2621" t="s">
        <v>35</v>
      </c>
      <c r="F2621" s="2">
        <v>212901001</v>
      </c>
      <c r="G2621" s="2" t="s">
        <v>91</v>
      </c>
      <c r="I2621" s="95" t="s">
        <v>7231</v>
      </c>
      <c r="J2621" t="s">
        <v>61</v>
      </c>
      <c r="K2621" t="s">
        <v>62</v>
      </c>
      <c r="M2621">
        <v>77.260000000000005</v>
      </c>
      <c r="N2621" s="4">
        <f t="shared" si="40"/>
        <v>-40</v>
      </c>
      <c r="O2621" t="s">
        <v>83</v>
      </c>
    </row>
    <row r="2622" spans="1:17" x14ac:dyDescent="0.25">
      <c r="A2622" s="22">
        <v>45758</v>
      </c>
      <c r="B2622" s="1">
        <v>511282213</v>
      </c>
      <c r="C2622" t="s">
        <v>2389</v>
      </c>
      <c r="D2622" s="23">
        <v>-2317.8000000000002</v>
      </c>
      <c r="E2622" t="s">
        <v>35</v>
      </c>
      <c r="F2622" s="2">
        <v>212901001</v>
      </c>
      <c r="G2622" s="2" t="s">
        <v>91</v>
      </c>
      <c r="I2622" s="95" t="s">
        <v>7231</v>
      </c>
      <c r="J2622" t="s">
        <v>61</v>
      </c>
      <c r="K2622" t="s">
        <v>62</v>
      </c>
      <c r="M2622">
        <v>77.260000000000005</v>
      </c>
      <c r="N2622" s="4">
        <f t="shared" si="40"/>
        <v>-30</v>
      </c>
      <c r="O2622" t="s">
        <v>83</v>
      </c>
    </row>
    <row r="2623" spans="1:17" x14ac:dyDescent="0.25">
      <c r="A2623" s="22">
        <v>45758</v>
      </c>
      <c r="B2623" s="1">
        <v>50441894</v>
      </c>
      <c r="C2623" t="s">
        <v>2390</v>
      </c>
      <c r="D2623" s="23">
        <v>-10816.4</v>
      </c>
      <c r="E2623" t="s">
        <v>35</v>
      </c>
      <c r="F2623" s="2">
        <v>212901001</v>
      </c>
      <c r="G2623" s="2" t="s">
        <v>91</v>
      </c>
      <c r="I2623" s="95" t="s">
        <v>7231</v>
      </c>
      <c r="J2623" t="s">
        <v>61</v>
      </c>
      <c r="K2623" t="s">
        <v>62</v>
      </c>
      <c r="M2623">
        <v>77.260000000000005</v>
      </c>
      <c r="N2623" s="4">
        <f t="shared" si="40"/>
        <v>-140</v>
      </c>
      <c r="O2623" t="s">
        <v>83</v>
      </c>
    </row>
    <row r="2624" spans="1:17" x14ac:dyDescent="0.25">
      <c r="A2624" s="22">
        <v>45758</v>
      </c>
      <c r="B2624" s="1">
        <v>50441894</v>
      </c>
      <c r="C2624" t="s">
        <v>179</v>
      </c>
      <c r="D2624" s="23">
        <v>-16.22</v>
      </c>
      <c r="E2624" t="s">
        <v>35</v>
      </c>
      <c r="F2624" s="2">
        <v>610148001</v>
      </c>
      <c r="G2624" s="2" t="s">
        <v>41</v>
      </c>
      <c r="I2624" s="95" t="s">
        <v>7231</v>
      </c>
      <c r="J2624" t="s">
        <v>42</v>
      </c>
      <c r="K2624" t="s">
        <v>41</v>
      </c>
      <c r="M2624">
        <v>77.260000000000005</v>
      </c>
      <c r="N2624" s="4">
        <f t="shared" si="40"/>
        <v>-0.20994046078177581</v>
      </c>
      <c r="O2624" t="s">
        <v>83</v>
      </c>
      <c r="Q2624" s="24" t="s">
        <v>2195</v>
      </c>
    </row>
    <row r="2625" spans="1:20" x14ac:dyDescent="0.25">
      <c r="A2625" s="22">
        <v>45758</v>
      </c>
      <c r="B2625" s="1">
        <v>50441894</v>
      </c>
      <c r="C2625" t="s">
        <v>89</v>
      </c>
      <c r="D2625" s="23">
        <v>-861.44</v>
      </c>
      <c r="E2625" t="s">
        <v>35</v>
      </c>
      <c r="F2625" s="2">
        <v>610148001</v>
      </c>
      <c r="G2625" s="2" t="s">
        <v>41</v>
      </c>
      <c r="I2625" s="95" t="s">
        <v>7231</v>
      </c>
      <c r="J2625" t="s">
        <v>42</v>
      </c>
      <c r="K2625" t="s">
        <v>41</v>
      </c>
      <c r="M2625">
        <v>77.260000000000005</v>
      </c>
      <c r="N2625" s="4">
        <f t="shared" si="40"/>
        <v>-11.149883510225214</v>
      </c>
      <c r="O2625" t="s">
        <v>83</v>
      </c>
      <c r="Q2625" s="24" t="s">
        <v>2195</v>
      </c>
    </row>
    <row r="2626" spans="1:20" x14ac:dyDescent="0.25">
      <c r="A2626" s="22">
        <v>45758</v>
      </c>
      <c r="B2626" s="1">
        <v>140501270</v>
      </c>
      <c r="C2626" t="s">
        <v>82</v>
      </c>
      <c r="D2626" s="23">
        <v>60000</v>
      </c>
      <c r="E2626" t="s">
        <v>45</v>
      </c>
      <c r="F2626" s="2">
        <v>210115002</v>
      </c>
      <c r="G2626" s="2" t="s">
        <v>46</v>
      </c>
      <c r="I2626" s="95" t="s">
        <v>7231</v>
      </c>
      <c r="K2626" t="s">
        <v>82</v>
      </c>
      <c r="M2626">
        <v>77.260000000000005</v>
      </c>
      <c r="N2626" s="4">
        <f t="shared" si="40"/>
        <v>776.59849857623601</v>
      </c>
      <c r="O2626" t="s">
        <v>83</v>
      </c>
    </row>
    <row r="2627" spans="1:20" x14ac:dyDescent="0.25">
      <c r="A2627" s="22">
        <v>45758</v>
      </c>
      <c r="B2627" s="1">
        <v>211293059</v>
      </c>
      <c r="C2627" t="s">
        <v>2391</v>
      </c>
      <c r="D2627" s="23">
        <v>-50110.77</v>
      </c>
      <c r="E2627" t="s">
        <v>35</v>
      </c>
      <c r="F2627" s="2">
        <v>210101001</v>
      </c>
      <c r="G2627" s="2" t="s">
        <v>36</v>
      </c>
      <c r="I2627" s="95" t="s">
        <v>7231</v>
      </c>
      <c r="J2627" t="s">
        <v>182</v>
      </c>
      <c r="K2627" t="s">
        <v>183</v>
      </c>
      <c r="M2627">
        <v>77.260000000000005</v>
      </c>
      <c r="N2627" s="4">
        <f t="shared" si="40"/>
        <v>-648.59914574165145</v>
      </c>
      <c r="O2627" t="s">
        <v>83</v>
      </c>
    </row>
    <row r="2628" spans="1:20" x14ac:dyDescent="0.25">
      <c r="A2628" s="22">
        <v>45758</v>
      </c>
      <c r="B2628" s="1">
        <v>211293057</v>
      </c>
      <c r="C2628" t="s">
        <v>2392</v>
      </c>
      <c r="D2628" s="23">
        <v>-3863</v>
      </c>
      <c r="E2628" t="s">
        <v>35</v>
      </c>
      <c r="F2628" s="2">
        <v>212901001</v>
      </c>
      <c r="G2628" s="2" t="s">
        <v>91</v>
      </c>
      <c r="I2628" s="95" t="s">
        <v>7231</v>
      </c>
      <c r="J2628" t="s">
        <v>61</v>
      </c>
      <c r="K2628" t="s">
        <v>62</v>
      </c>
      <c r="M2628">
        <v>77.260000000000005</v>
      </c>
      <c r="N2628" s="4">
        <f t="shared" si="40"/>
        <v>-50</v>
      </c>
      <c r="O2628" t="s">
        <v>83</v>
      </c>
    </row>
    <row r="2629" spans="1:20" x14ac:dyDescent="0.25">
      <c r="A2629" s="22">
        <v>45758</v>
      </c>
      <c r="B2629" s="1">
        <v>211293058</v>
      </c>
      <c r="C2629" t="s">
        <v>2393</v>
      </c>
      <c r="D2629" s="23">
        <v>-3357.46</v>
      </c>
      <c r="E2629" t="s">
        <v>35</v>
      </c>
      <c r="F2629" s="2">
        <v>110114001</v>
      </c>
      <c r="G2629" s="2" t="s">
        <v>181</v>
      </c>
      <c r="I2629" s="95" t="s">
        <v>7231</v>
      </c>
      <c r="J2629" t="s">
        <v>86</v>
      </c>
      <c r="K2629" t="s">
        <v>87</v>
      </c>
      <c r="M2629">
        <v>77.260000000000005</v>
      </c>
      <c r="N2629" s="4">
        <f t="shared" si="40"/>
        <v>-43.456639917162825</v>
      </c>
      <c r="O2629" t="s">
        <v>83</v>
      </c>
      <c r="P2629" s="34" t="s">
        <v>1529</v>
      </c>
    </row>
    <row r="2630" spans="1:20" x14ac:dyDescent="0.25">
      <c r="A2630" s="22">
        <v>45758</v>
      </c>
      <c r="B2630" s="1">
        <v>50489095</v>
      </c>
      <c r="C2630" t="s">
        <v>89</v>
      </c>
      <c r="D2630" s="23">
        <v>-143.32</v>
      </c>
      <c r="E2630" t="s">
        <v>35</v>
      </c>
      <c r="F2630" s="2">
        <v>610148001</v>
      </c>
      <c r="G2630" s="2" t="s">
        <v>41</v>
      </c>
      <c r="I2630" s="95" t="s">
        <v>7231</v>
      </c>
      <c r="J2630" t="s">
        <v>42</v>
      </c>
      <c r="K2630" t="s">
        <v>41</v>
      </c>
      <c r="M2630">
        <v>77.260000000000005</v>
      </c>
      <c r="N2630" s="4">
        <f t="shared" si="40"/>
        <v>-1.8550349469324356</v>
      </c>
      <c r="O2630" t="s">
        <v>83</v>
      </c>
      <c r="Q2630" s="24" t="s">
        <v>2195</v>
      </c>
    </row>
    <row r="2631" spans="1:20" x14ac:dyDescent="0.25">
      <c r="A2631" s="22">
        <v>45761</v>
      </c>
      <c r="B2631" s="1">
        <v>213563431</v>
      </c>
      <c r="C2631" t="s">
        <v>2394</v>
      </c>
      <c r="D2631" s="23">
        <v>6908.22</v>
      </c>
      <c r="E2631" t="s">
        <v>45</v>
      </c>
      <c r="F2631" s="2">
        <v>110106001</v>
      </c>
      <c r="G2631" s="2" t="s">
        <v>1011</v>
      </c>
      <c r="I2631" s="95" t="s">
        <v>7231</v>
      </c>
      <c r="K2631" t="s">
        <v>2395</v>
      </c>
      <c r="M2631">
        <v>78.36</v>
      </c>
      <c r="N2631" s="4">
        <f t="shared" si="40"/>
        <v>88.160030627871365</v>
      </c>
      <c r="O2631" t="s">
        <v>83</v>
      </c>
    </row>
    <row r="2632" spans="1:20" x14ac:dyDescent="0.25">
      <c r="A2632" s="22">
        <v>45761</v>
      </c>
      <c r="B2632" s="1">
        <v>213563431</v>
      </c>
      <c r="C2632" t="s">
        <v>1013</v>
      </c>
      <c r="D2632" s="23">
        <v>-103.62</v>
      </c>
      <c r="E2632" t="s">
        <v>35</v>
      </c>
      <c r="F2632" s="2">
        <v>610148001</v>
      </c>
      <c r="G2632" s="2" t="s">
        <v>41</v>
      </c>
      <c r="I2632" s="95" t="s">
        <v>7231</v>
      </c>
      <c r="J2632" t="s">
        <v>42</v>
      </c>
      <c r="K2632" t="s">
        <v>41</v>
      </c>
      <c r="M2632">
        <v>78.36</v>
      </c>
      <c r="N2632" s="4">
        <f t="shared" si="40"/>
        <v>-1.3223583460949464</v>
      </c>
      <c r="O2632" t="s">
        <v>83</v>
      </c>
      <c r="Q2632" s="24" t="s">
        <v>2195</v>
      </c>
    </row>
    <row r="2633" spans="1:20" x14ac:dyDescent="0.25">
      <c r="A2633" s="22">
        <v>45761</v>
      </c>
      <c r="B2633" s="1">
        <v>112235891</v>
      </c>
      <c r="C2633" t="s">
        <v>2396</v>
      </c>
      <c r="D2633" s="23">
        <v>-3291.12</v>
      </c>
      <c r="E2633" t="s">
        <v>35</v>
      </c>
      <c r="F2633" s="2">
        <v>210101001</v>
      </c>
      <c r="G2633" s="2" t="s">
        <v>2397</v>
      </c>
      <c r="I2633" s="95" t="s">
        <v>7231</v>
      </c>
      <c r="J2633" t="s">
        <v>2398</v>
      </c>
      <c r="K2633" t="s">
        <v>632</v>
      </c>
      <c r="M2633">
        <v>78.36</v>
      </c>
      <c r="N2633" s="4">
        <f t="shared" si="40"/>
        <v>-42</v>
      </c>
      <c r="O2633" t="s">
        <v>83</v>
      </c>
    </row>
    <row r="2634" spans="1:20" x14ac:dyDescent="0.25">
      <c r="A2634" s="22">
        <v>45761</v>
      </c>
      <c r="B2634" s="1">
        <v>50457908</v>
      </c>
      <c r="C2634" t="s">
        <v>82</v>
      </c>
      <c r="D2634" s="23">
        <v>310000</v>
      </c>
      <c r="E2634" t="s">
        <v>45</v>
      </c>
      <c r="F2634" s="2">
        <v>210115002</v>
      </c>
      <c r="G2634" s="2" t="s">
        <v>46</v>
      </c>
      <c r="I2634" s="95" t="s">
        <v>7231</v>
      </c>
      <c r="K2634" t="s">
        <v>82</v>
      </c>
      <c r="M2634">
        <v>78.36</v>
      </c>
      <c r="N2634" s="4">
        <f t="shared" si="40"/>
        <v>3956.1000510464523</v>
      </c>
      <c r="O2634" t="s">
        <v>83</v>
      </c>
    </row>
    <row r="2635" spans="1:20" x14ac:dyDescent="0.25">
      <c r="A2635" s="22">
        <v>45761</v>
      </c>
      <c r="B2635" s="1">
        <v>711430718</v>
      </c>
      <c r="C2635" t="s">
        <v>2399</v>
      </c>
      <c r="D2635" s="23">
        <v>-7406.59</v>
      </c>
      <c r="E2635" t="s">
        <v>35</v>
      </c>
      <c r="F2635" s="2">
        <v>212901001</v>
      </c>
      <c r="G2635" s="2" t="s">
        <v>91</v>
      </c>
      <c r="I2635" s="95" t="s">
        <v>7231</v>
      </c>
      <c r="J2635" t="s">
        <v>61</v>
      </c>
      <c r="K2635" t="s">
        <v>62</v>
      </c>
      <c r="M2635">
        <v>78.36</v>
      </c>
      <c r="N2635" s="4">
        <f t="shared" si="40"/>
        <v>-94.52003573251659</v>
      </c>
      <c r="O2635" t="s">
        <v>83</v>
      </c>
      <c r="R2635">
        <v>9</v>
      </c>
      <c r="S2635" t="e">
        <f>VLOOKUP(R2635,[1]!NOMINA[#Data],4,FALSE)</f>
        <v>#REF!</v>
      </c>
      <c r="T2635" t="e">
        <f>VLOOKUP(R2635,[1]!NOMINA[#Data],5,FALSE)</f>
        <v>#REF!</v>
      </c>
    </row>
    <row r="2636" spans="1:20" x14ac:dyDescent="0.25">
      <c r="A2636" s="22">
        <v>45761</v>
      </c>
      <c r="B2636" s="1">
        <v>711430719</v>
      </c>
      <c r="C2636" t="s">
        <v>2400</v>
      </c>
      <c r="D2636" s="23">
        <v>-3056.04</v>
      </c>
      <c r="E2636" t="s">
        <v>35</v>
      </c>
      <c r="F2636" s="2">
        <v>212901001</v>
      </c>
      <c r="G2636" s="2" t="s">
        <v>91</v>
      </c>
      <c r="I2636" s="95" t="s">
        <v>7231</v>
      </c>
      <c r="J2636" t="s">
        <v>61</v>
      </c>
      <c r="K2636" t="s">
        <v>62</v>
      </c>
      <c r="M2636">
        <v>78.36</v>
      </c>
      <c r="N2636" s="4">
        <f t="shared" ref="N2636:N2699" si="41">D2636/M2636</f>
        <v>-39</v>
      </c>
      <c r="O2636" t="s">
        <v>83</v>
      </c>
      <c r="R2636">
        <v>26</v>
      </c>
      <c r="S2636" t="e">
        <f>VLOOKUP(Tabla3[[#This Row],[Nº]],[1]!NOMINA[#Data],4,FALSE)</f>
        <v>#REF!</v>
      </c>
      <c r="T2636" t="e">
        <f>VLOOKUP(Tabla3[[#This Row],[Nº]],[1]!NOMINA[#Data],5,FALSE)</f>
        <v>#REF!</v>
      </c>
    </row>
    <row r="2637" spans="1:20" x14ac:dyDescent="0.25">
      <c r="A2637" s="22">
        <v>45761</v>
      </c>
      <c r="B2637" s="1">
        <v>711430720</v>
      </c>
      <c r="C2637" t="s">
        <v>2401</v>
      </c>
      <c r="D2637" s="23">
        <v>-1232.5999999999999</v>
      </c>
      <c r="E2637" t="s">
        <v>35</v>
      </c>
      <c r="F2637" s="2">
        <v>212901001</v>
      </c>
      <c r="G2637" s="2" t="s">
        <v>91</v>
      </c>
      <c r="I2637" s="95" t="s">
        <v>7231</v>
      </c>
      <c r="J2637" t="s">
        <v>61</v>
      </c>
      <c r="K2637" t="s">
        <v>62</v>
      </c>
      <c r="M2637">
        <v>78.36</v>
      </c>
      <c r="N2637" s="4">
        <f t="shared" si="41"/>
        <v>-15.729964267483409</v>
      </c>
      <c r="O2637" t="s">
        <v>83</v>
      </c>
      <c r="R2637">
        <v>29</v>
      </c>
      <c r="S2637" t="e">
        <f>VLOOKUP(R2637,[1]!NOMINA[#Data],4,FALSE)</f>
        <v>#REF!</v>
      </c>
      <c r="T2637" t="e">
        <f>VLOOKUP(R2637,[1]!NOMINA[#Data],5,FALSE)</f>
        <v>#REF!</v>
      </c>
    </row>
    <row r="2638" spans="1:20" x14ac:dyDescent="0.25">
      <c r="A2638" s="22">
        <v>45761</v>
      </c>
      <c r="B2638" s="1">
        <v>811430723</v>
      </c>
      <c r="C2638" t="s">
        <v>2402</v>
      </c>
      <c r="D2638" s="23">
        <v>-6631.61</v>
      </c>
      <c r="E2638" t="s">
        <v>35</v>
      </c>
      <c r="F2638" s="2">
        <v>212901001</v>
      </c>
      <c r="G2638" s="2" t="s">
        <v>91</v>
      </c>
      <c r="I2638" s="95" t="s">
        <v>7231</v>
      </c>
      <c r="J2638" t="s">
        <v>61</v>
      </c>
      <c r="K2638" t="s">
        <v>62</v>
      </c>
      <c r="M2638">
        <v>78.36</v>
      </c>
      <c r="N2638" s="4">
        <f t="shared" si="41"/>
        <v>-84.630040837161815</v>
      </c>
      <c r="O2638" t="s">
        <v>83</v>
      </c>
      <c r="R2638">
        <v>18</v>
      </c>
      <c r="S2638" t="e">
        <f>VLOOKUP(Tabla3[[#This Row],[Nº]],[1]!NOMINA[#Data],4,FALSE)</f>
        <v>#REF!</v>
      </c>
      <c r="T2638" t="e">
        <f>VLOOKUP(Tabla3[[#This Row],[Nº]],[1]!NOMINA[#Data],5,FALSE)</f>
        <v>#REF!</v>
      </c>
    </row>
    <row r="2639" spans="1:20" x14ac:dyDescent="0.25">
      <c r="A2639" s="22">
        <v>45761</v>
      </c>
      <c r="B2639" s="1">
        <v>711430721</v>
      </c>
      <c r="C2639" t="s">
        <v>2403</v>
      </c>
      <c r="D2639" s="23">
        <v>-1651.83</v>
      </c>
      <c r="E2639" t="s">
        <v>35</v>
      </c>
      <c r="F2639" s="2">
        <v>212901001</v>
      </c>
      <c r="G2639" s="2" t="s">
        <v>91</v>
      </c>
      <c r="I2639" s="95" t="s">
        <v>7231</v>
      </c>
      <c r="J2639" t="s">
        <v>61</v>
      </c>
      <c r="K2639" t="s">
        <v>62</v>
      </c>
      <c r="M2639">
        <v>78.36</v>
      </c>
      <c r="N2639" s="4">
        <f t="shared" si="41"/>
        <v>-21.080015313935682</v>
      </c>
      <c r="O2639" t="s">
        <v>83</v>
      </c>
      <c r="R2639">
        <v>44</v>
      </c>
      <c r="S2639" t="e">
        <f>VLOOKUP(R2639,[1]!NOMINA[#Data],4,FALSE)</f>
        <v>#REF!</v>
      </c>
      <c r="T2639" t="e">
        <f>VLOOKUP(R2639,[1]!NOMINA[#Data],5,FALSE)</f>
        <v>#REF!</v>
      </c>
    </row>
    <row r="2640" spans="1:20" x14ac:dyDescent="0.25">
      <c r="A2640" s="22">
        <v>45761</v>
      </c>
      <c r="B2640" s="1">
        <v>711430722</v>
      </c>
      <c r="C2640" t="s">
        <v>2404</v>
      </c>
      <c r="D2640" s="23">
        <v>-6619.85</v>
      </c>
      <c r="E2640" t="s">
        <v>35</v>
      </c>
      <c r="F2640" s="2">
        <v>212901001</v>
      </c>
      <c r="G2640" s="2" t="s">
        <v>91</v>
      </c>
      <c r="I2640" s="95" t="s">
        <v>7231</v>
      </c>
      <c r="J2640" t="s">
        <v>61</v>
      </c>
      <c r="K2640" t="s">
        <v>62</v>
      </c>
      <c r="M2640">
        <v>78.36</v>
      </c>
      <c r="N2640" s="4">
        <f t="shared" si="41"/>
        <v>-84.47996426748341</v>
      </c>
      <c r="O2640" t="s">
        <v>83</v>
      </c>
      <c r="R2640">
        <v>10</v>
      </c>
      <c r="S2640" t="e">
        <f>VLOOKUP(R2640,[1]!NOMINA[#Data],4,FALSE)</f>
        <v>#REF!</v>
      </c>
      <c r="T2640" t="e">
        <f>VLOOKUP(R2640,[1]!NOMINA[#Data],5,FALSE)</f>
        <v>#REF!</v>
      </c>
    </row>
    <row r="2641" spans="1:20" x14ac:dyDescent="0.25">
      <c r="A2641" s="22">
        <v>45761</v>
      </c>
      <c r="B2641" s="1">
        <v>811430725</v>
      </c>
      <c r="C2641" t="s">
        <v>2405</v>
      </c>
      <c r="D2641" s="23">
        <v>-7419.12</v>
      </c>
      <c r="E2641" t="s">
        <v>35</v>
      </c>
      <c r="F2641" s="2">
        <v>212901001</v>
      </c>
      <c r="G2641" s="2" t="s">
        <v>91</v>
      </c>
      <c r="I2641" s="95" t="s">
        <v>7231</v>
      </c>
      <c r="J2641" t="s">
        <v>61</v>
      </c>
      <c r="K2641" t="s">
        <v>62</v>
      </c>
      <c r="M2641">
        <v>78.36</v>
      </c>
      <c r="N2641" s="4">
        <f t="shared" si="41"/>
        <v>-94.679938744257271</v>
      </c>
      <c r="O2641" t="s">
        <v>83</v>
      </c>
      <c r="R2641">
        <v>15</v>
      </c>
      <c r="S2641" t="e">
        <f>VLOOKUP(R2641,[1]!NOMINA[#Data],4,FALSE)</f>
        <v>#REF!</v>
      </c>
      <c r="T2641" t="e">
        <f>VLOOKUP(R2641,[1]!NOMINA[#Data],5,FALSE)</f>
        <v>#REF!</v>
      </c>
    </row>
    <row r="2642" spans="1:20" x14ac:dyDescent="0.25">
      <c r="A2642" s="22">
        <v>45761</v>
      </c>
      <c r="B2642" s="1">
        <v>811430724</v>
      </c>
      <c r="C2642" t="s">
        <v>2406</v>
      </c>
      <c r="D2642" s="23">
        <v>-6595.56</v>
      </c>
      <c r="E2642" t="s">
        <v>35</v>
      </c>
      <c r="F2642" s="2">
        <v>212901001</v>
      </c>
      <c r="G2642" s="2" t="s">
        <v>91</v>
      </c>
      <c r="I2642" s="95" t="s">
        <v>7231</v>
      </c>
      <c r="J2642" t="s">
        <v>61</v>
      </c>
      <c r="K2642" t="s">
        <v>62</v>
      </c>
      <c r="M2642">
        <v>78.36</v>
      </c>
      <c r="N2642" s="4">
        <f t="shared" si="41"/>
        <v>-84.169984686064325</v>
      </c>
      <c r="O2642" t="s">
        <v>83</v>
      </c>
      <c r="R2642">
        <v>38</v>
      </c>
      <c r="S2642" t="e">
        <f>VLOOKUP(R2642,[1]!NOMINA[#Data],4,FALSE)</f>
        <v>#REF!</v>
      </c>
      <c r="T2642" t="e">
        <f>VLOOKUP(R2642,[1]!NOMINA[#Data],5,FALSE)</f>
        <v>#REF!</v>
      </c>
    </row>
    <row r="2643" spans="1:20" x14ac:dyDescent="0.25">
      <c r="A2643" s="22">
        <v>45761</v>
      </c>
      <c r="B2643" s="1">
        <v>811430728</v>
      </c>
      <c r="C2643" t="s">
        <v>2407</v>
      </c>
      <c r="D2643" s="23">
        <v>-7379.16</v>
      </c>
      <c r="E2643" t="s">
        <v>35</v>
      </c>
      <c r="F2643" s="2">
        <v>212901001</v>
      </c>
      <c r="G2643" s="2" t="s">
        <v>91</v>
      </c>
      <c r="I2643" s="95" t="s">
        <v>7231</v>
      </c>
      <c r="J2643" t="s">
        <v>61</v>
      </c>
      <c r="K2643" t="s">
        <v>62</v>
      </c>
      <c r="M2643">
        <v>78.36</v>
      </c>
      <c r="N2643" s="4">
        <f t="shared" si="41"/>
        <v>-94.169984686064311</v>
      </c>
      <c r="O2643" t="s">
        <v>83</v>
      </c>
      <c r="R2643">
        <v>13</v>
      </c>
      <c r="S2643" t="e">
        <f>VLOOKUP(R2643,[1]!NOMINA[#Data],4,FALSE)</f>
        <v>#REF!</v>
      </c>
      <c r="T2643" t="e">
        <f>VLOOKUP(R2643,[1]!NOMINA[#Data],5,FALSE)</f>
        <v>#REF!</v>
      </c>
    </row>
    <row r="2644" spans="1:20" x14ac:dyDescent="0.25">
      <c r="A2644" s="22">
        <v>45761</v>
      </c>
      <c r="B2644" s="1">
        <v>811430726</v>
      </c>
      <c r="C2644" t="s">
        <v>2408</v>
      </c>
      <c r="D2644" s="23">
        <v>-6382.42</v>
      </c>
      <c r="E2644" t="s">
        <v>35</v>
      </c>
      <c r="F2644" s="2">
        <v>212901001</v>
      </c>
      <c r="G2644" s="2" t="s">
        <v>91</v>
      </c>
      <c r="I2644" s="95" t="s">
        <v>7231</v>
      </c>
      <c r="J2644" t="s">
        <v>61</v>
      </c>
      <c r="K2644" t="s">
        <v>62</v>
      </c>
      <c r="M2644">
        <v>78.36</v>
      </c>
      <c r="N2644" s="4">
        <f t="shared" si="41"/>
        <v>-81.44997447677386</v>
      </c>
      <c r="O2644" t="s">
        <v>83</v>
      </c>
      <c r="R2644">
        <v>20</v>
      </c>
      <c r="S2644" t="e">
        <f>VLOOKUP(Tabla3[[#This Row],[Nº]],[1]!NOMINA[#Data],4,FALSE)</f>
        <v>#REF!</v>
      </c>
      <c r="T2644" t="e">
        <f>VLOOKUP(Tabla3[[#This Row],[Nº]],[1]!NOMINA[#Data],5,FALSE)</f>
        <v>#REF!</v>
      </c>
    </row>
    <row r="2645" spans="1:20" x14ac:dyDescent="0.25">
      <c r="A2645" s="22">
        <v>45761</v>
      </c>
      <c r="B2645" s="1">
        <v>811430727</v>
      </c>
      <c r="C2645" t="s">
        <v>2409</v>
      </c>
      <c r="D2645" s="23">
        <v>-3081.12</v>
      </c>
      <c r="E2645" t="s">
        <v>35</v>
      </c>
      <c r="F2645" s="2">
        <v>212901001</v>
      </c>
      <c r="G2645" s="2" t="s">
        <v>91</v>
      </c>
      <c r="I2645" s="95" t="s">
        <v>7231</v>
      </c>
      <c r="J2645" t="s">
        <v>61</v>
      </c>
      <c r="K2645" t="s">
        <v>62</v>
      </c>
      <c r="M2645">
        <v>78.36</v>
      </c>
      <c r="N2645" s="4">
        <f t="shared" si="41"/>
        <v>-39.320061255742722</v>
      </c>
      <c r="O2645" t="s">
        <v>83</v>
      </c>
      <c r="R2645">
        <v>41</v>
      </c>
      <c r="S2645" t="e">
        <f>VLOOKUP(R2645,[1]!NOMINA[#Data],4,FALSE)</f>
        <v>#REF!</v>
      </c>
      <c r="T2645" t="e">
        <f>VLOOKUP(R2645,[1]!NOMINA[#Data],5,FALSE)</f>
        <v>#REF!</v>
      </c>
    </row>
    <row r="2646" spans="1:20" x14ac:dyDescent="0.25">
      <c r="A2646" s="22">
        <v>45761</v>
      </c>
      <c r="B2646" s="1">
        <v>811430730</v>
      </c>
      <c r="C2646" t="s">
        <v>2410</v>
      </c>
      <c r="D2646" s="23">
        <v>-7406.59</v>
      </c>
      <c r="E2646" t="s">
        <v>35</v>
      </c>
      <c r="F2646" s="2">
        <v>212901001</v>
      </c>
      <c r="G2646" s="2" t="s">
        <v>91</v>
      </c>
      <c r="I2646" s="95" t="s">
        <v>7231</v>
      </c>
      <c r="J2646" t="s">
        <v>61</v>
      </c>
      <c r="K2646" t="s">
        <v>62</v>
      </c>
      <c r="M2646">
        <v>78.36</v>
      </c>
      <c r="N2646" s="4">
        <f t="shared" si="41"/>
        <v>-94.52003573251659</v>
      </c>
      <c r="O2646" t="s">
        <v>83</v>
      </c>
      <c r="R2646">
        <v>8</v>
      </c>
      <c r="S2646" t="e">
        <f>VLOOKUP(R2646,[1]!NOMINA[#Data],4,FALSE)</f>
        <v>#REF!</v>
      </c>
      <c r="T2646" t="e">
        <f>VLOOKUP(R2646,[1]!NOMINA[#Data],5,FALSE)</f>
        <v>#REF!</v>
      </c>
    </row>
    <row r="2647" spans="1:20" x14ac:dyDescent="0.25">
      <c r="A2647" s="22">
        <v>45761</v>
      </c>
      <c r="B2647" s="1">
        <v>811430731</v>
      </c>
      <c r="C2647" t="s">
        <v>2411</v>
      </c>
      <c r="D2647" s="23">
        <v>-3054.47</v>
      </c>
      <c r="E2647" t="s">
        <v>35</v>
      </c>
      <c r="F2647" s="2">
        <v>212901001</v>
      </c>
      <c r="G2647" s="2" t="s">
        <v>91</v>
      </c>
      <c r="I2647" s="95" t="s">
        <v>7231</v>
      </c>
      <c r="J2647" t="s">
        <v>61</v>
      </c>
      <c r="K2647" t="s">
        <v>62</v>
      </c>
      <c r="M2647">
        <v>78.36</v>
      </c>
      <c r="N2647" s="4">
        <f t="shared" si="41"/>
        <v>-38.97996426748341</v>
      </c>
      <c r="O2647" t="s">
        <v>83</v>
      </c>
      <c r="R2647">
        <v>23</v>
      </c>
      <c r="S2647" t="e">
        <f>VLOOKUP(R2647,[1]!NOMINA[#Data],4,FALSE)</f>
        <v>#REF!</v>
      </c>
      <c r="T2647" t="e">
        <f>VLOOKUP(R2647,[1]!NOMINA[#Data],5,FALSE)</f>
        <v>#REF!</v>
      </c>
    </row>
    <row r="2648" spans="1:20" x14ac:dyDescent="0.25">
      <c r="A2648" s="22">
        <v>45761</v>
      </c>
      <c r="B2648" s="1">
        <v>811430729</v>
      </c>
      <c r="C2648" t="s">
        <v>2412</v>
      </c>
      <c r="D2648" s="23">
        <v>-7406.59</v>
      </c>
      <c r="E2648" t="s">
        <v>35</v>
      </c>
      <c r="F2648" s="2">
        <v>212901001</v>
      </c>
      <c r="G2648" s="2" t="s">
        <v>91</v>
      </c>
      <c r="I2648" s="95" t="s">
        <v>7231</v>
      </c>
      <c r="J2648" t="s">
        <v>61</v>
      </c>
      <c r="K2648" t="s">
        <v>62</v>
      </c>
      <c r="M2648">
        <v>78.36</v>
      </c>
      <c r="N2648" s="4">
        <f t="shared" si="41"/>
        <v>-94.52003573251659</v>
      </c>
      <c r="O2648" t="s">
        <v>83</v>
      </c>
      <c r="R2648">
        <v>11</v>
      </c>
      <c r="S2648" t="e">
        <f>VLOOKUP(R2648,[1]!NOMINA[#Data],4,FALSE)</f>
        <v>#REF!</v>
      </c>
      <c r="T2648" t="e">
        <f>VLOOKUP(R2648,[1]!NOMINA[#Data],5,FALSE)</f>
        <v>#REF!</v>
      </c>
    </row>
    <row r="2649" spans="1:20" x14ac:dyDescent="0.25">
      <c r="A2649" s="22">
        <v>45761</v>
      </c>
      <c r="B2649" s="1">
        <v>811430733</v>
      </c>
      <c r="C2649" t="s">
        <v>2413</v>
      </c>
      <c r="D2649" s="23">
        <v>-17696.82</v>
      </c>
      <c r="E2649" t="s">
        <v>35</v>
      </c>
      <c r="F2649" s="2">
        <v>212901001</v>
      </c>
      <c r="G2649" s="2" t="s">
        <v>91</v>
      </c>
      <c r="I2649" s="95" t="s">
        <v>7231</v>
      </c>
      <c r="J2649" t="s">
        <v>61</v>
      </c>
      <c r="K2649" t="s">
        <v>62</v>
      </c>
      <c r="M2649">
        <v>78.36</v>
      </c>
      <c r="N2649" s="4">
        <f t="shared" si="41"/>
        <v>-225.83996937212862</v>
      </c>
      <c r="O2649" t="s">
        <v>83</v>
      </c>
      <c r="R2649">
        <v>43</v>
      </c>
      <c r="S2649" t="e">
        <f>VLOOKUP(R2649,[1]!NOMINA[#Data],4,FALSE)</f>
        <v>#REF!</v>
      </c>
      <c r="T2649" t="e">
        <f>VLOOKUP(R2649,[1]!NOMINA[#Data],5,FALSE)</f>
        <v>#REF!</v>
      </c>
    </row>
    <row r="2650" spans="1:20" x14ac:dyDescent="0.25">
      <c r="A2650" s="22">
        <v>45761</v>
      </c>
      <c r="B2650" s="1">
        <v>911430735</v>
      </c>
      <c r="C2650" t="s">
        <v>2414</v>
      </c>
      <c r="D2650" s="23">
        <v>-8136.9</v>
      </c>
      <c r="E2650" t="s">
        <v>35</v>
      </c>
      <c r="F2650" s="2">
        <v>212901001</v>
      </c>
      <c r="G2650" s="2" t="s">
        <v>91</v>
      </c>
      <c r="I2650" s="95" t="s">
        <v>7231</v>
      </c>
      <c r="J2650" t="s">
        <v>61</v>
      </c>
      <c r="K2650" t="s">
        <v>62</v>
      </c>
      <c r="M2650">
        <v>78.36</v>
      </c>
      <c r="N2650" s="4">
        <f t="shared" si="41"/>
        <v>-103.83996937212864</v>
      </c>
      <c r="O2650" t="s">
        <v>83</v>
      </c>
      <c r="R2650">
        <v>4</v>
      </c>
      <c r="S2650" t="e">
        <f>VLOOKUP(R2650,[1]!NOMINA[#Data],4,FALSE)</f>
        <v>#REF!</v>
      </c>
      <c r="T2650" t="e">
        <f>VLOOKUP(R2650,[1]!NOMINA[#Data],5,FALSE)</f>
        <v>#REF!</v>
      </c>
    </row>
    <row r="2651" spans="1:20" x14ac:dyDescent="0.25">
      <c r="A2651" s="22">
        <v>45761</v>
      </c>
      <c r="B2651" s="1">
        <v>911430734</v>
      </c>
      <c r="C2651" t="s">
        <v>2415</v>
      </c>
      <c r="D2651" s="23">
        <v>-7419.12</v>
      </c>
      <c r="E2651" t="s">
        <v>35</v>
      </c>
      <c r="F2651" s="2">
        <v>212901001</v>
      </c>
      <c r="G2651" s="2" t="s">
        <v>91</v>
      </c>
      <c r="I2651" s="95" t="s">
        <v>7231</v>
      </c>
      <c r="J2651" t="s">
        <v>61</v>
      </c>
      <c r="K2651" t="s">
        <v>62</v>
      </c>
      <c r="M2651">
        <v>78.36</v>
      </c>
      <c r="N2651" s="4">
        <f t="shared" si="41"/>
        <v>-94.679938744257271</v>
      </c>
      <c r="O2651" t="s">
        <v>83</v>
      </c>
      <c r="R2651">
        <v>17</v>
      </c>
      <c r="S2651" t="e">
        <f>VLOOKUP(R2651,[1]!NOMINA[#Data],4,FALSE)</f>
        <v>#REF!</v>
      </c>
      <c r="T2651" t="e">
        <f>VLOOKUP(R2651,[1]!NOMINA[#Data],5,FALSE)</f>
        <v>#REF!</v>
      </c>
    </row>
    <row r="2652" spans="1:20" x14ac:dyDescent="0.25">
      <c r="A2652" s="22">
        <v>45761</v>
      </c>
      <c r="B2652" s="1">
        <v>911430736</v>
      </c>
      <c r="C2652" t="s">
        <v>2416</v>
      </c>
      <c r="D2652" s="23">
        <v>-4389.7299999999996</v>
      </c>
      <c r="E2652" t="s">
        <v>35</v>
      </c>
      <c r="F2652" s="2">
        <v>212901001</v>
      </c>
      <c r="G2652" s="2" t="s">
        <v>91</v>
      </c>
      <c r="I2652" s="95" t="s">
        <v>7231</v>
      </c>
      <c r="J2652" t="s">
        <v>61</v>
      </c>
      <c r="K2652" t="s">
        <v>62</v>
      </c>
      <c r="M2652">
        <v>78.36</v>
      </c>
      <c r="N2652" s="4">
        <f t="shared" si="41"/>
        <v>-56.020035732516583</v>
      </c>
      <c r="O2652" t="s">
        <v>83</v>
      </c>
      <c r="R2652">
        <v>14</v>
      </c>
      <c r="S2652" t="e">
        <f>VLOOKUP(R2652,[1]!NOMINA[#Data],4,FALSE)</f>
        <v>#REF!</v>
      </c>
      <c r="T2652" t="e">
        <f>VLOOKUP(R2652,[1]!NOMINA[#Data],5,FALSE)</f>
        <v>#REF!</v>
      </c>
    </row>
    <row r="2653" spans="1:20" x14ac:dyDescent="0.25">
      <c r="A2653" s="22">
        <v>45761</v>
      </c>
      <c r="B2653" s="1">
        <v>911430737</v>
      </c>
      <c r="C2653" t="s">
        <v>2417</v>
      </c>
      <c r="D2653" s="23">
        <v>-6631.61</v>
      </c>
      <c r="E2653" t="s">
        <v>35</v>
      </c>
      <c r="F2653" s="2">
        <v>212901001</v>
      </c>
      <c r="G2653" s="2" t="s">
        <v>91</v>
      </c>
      <c r="I2653" s="95" t="s">
        <v>7231</v>
      </c>
      <c r="J2653" t="s">
        <v>61</v>
      </c>
      <c r="K2653" t="s">
        <v>62</v>
      </c>
      <c r="M2653">
        <v>78.36</v>
      </c>
      <c r="N2653" s="4">
        <f t="shared" si="41"/>
        <v>-84.630040837161815</v>
      </c>
      <c r="O2653" t="s">
        <v>83</v>
      </c>
      <c r="R2653">
        <v>22</v>
      </c>
      <c r="S2653" t="e">
        <f>VLOOKUP(Tabla3[[#This Row],[Nº]],[1]!NOMINA[#Data],4,FALSE)</f>
        <v>#REF!</v>
      </c>
      <c r="T2653" t="e">
        <f>VLOOKUP(R2653,[1]!NOMINA[#Data],5,FALSE)</f>
        <v>#REF!</v>
      </c>
    </row>
    <row r="2654" spans="1:20" x14ac:dyDescent="0.25">
      <c r="A2654" s="22">
        <v>45761</v>
      </c>
      <c r="B2654" s="1">
        <v>911430739</v>
      </c>
      <c r="C2654" t="s">
        <v>2418</v>
      </c>
      <c r="D2654" s="23">
        <v>-6620.64</v>
      </c>
      <c r="E2654" t="s">
        <v>35</v>
      </c>
      <c r="F2654" s="2">
        <v>212901001</v>
      </c>
      <c r="G2654" s="2" t="s">
        <v>91</v>
      </c>
      <c r="I2654" s="95" t="s">
        <v>7231</v>
      </c>
      <c r="J2654" t="s">
        <v>61</v>
      </c>
      <c r="K2654" t="s">
        <v>62</v>
      </c>
      <c r="M2654">
        <v>78.36</v>
      </c>
      <c r="N2654" s="4">
        <f t="shared" si="41"/>
        <v>-84.490045941807054</v>
      </c>
      <c r="O2654" t="s">
        <v>83</v>
      </c>
      <c r="R2654">
        <v>39</v>
      </c>
      <c r="S2654" t="e">
        <f>VLOOKUP(R2654,[1]!NOMINA[#Data],4,FALSE)</f>
        <v>#REF!</v>
      </c>
      <c r="T2654" t="e">
        <f>VLOOKUP(R2654,[1]!NOMINA[#Data],5,FALSE)</f>
        <v>#REF!</v>
      </c>
    </row>
    <row r="2655" spans="1:20" x14ac:dyDescent="0.25">
      <c r="A2655" s="22">
        <v>45761</v>
      </c>
      <c r="B2655" s="1">
        <v>911430738</v>
      </c>
      <c r="C2655" t="s">
        <v>2419</v>
      </c>
      <c r="D2655" s="23">
        <v>-4385.03</v>
      </c>
      <c r="E2655" t="s">
        <v>35</v>
      </c>
      <c r="F2655" s="2">
        <v>212901001</v>
      </c>
      <c r="G2655" s="2" t="s">
        <v>91</v>
      </c>
      <c r="I2655" s="95" t="s">
        <v>7231</v>
      </c>
      <c r="J2655" t="s">
        <v>61</v>
      </c>
      <c r="K2655" t="s">
        <v>62</v>
      </c>
      <c r="M2655">
        <v>78.36</v>
      </c>
      <c r="N2655" s="4">
        <f t="shared" si="41"/>
        <v>-55.960056151097497</v>
      </c>
      <c r="O2655" t="s">
        <v>83</v>
      </c>
      <c r="R2655">
        <v>42</v>
      </c>
      <c r="S2655" t="e">
        <f>VLOOKUP(R2655,[1]!NOMINA[#Data],4,FALSE)</f>
        <v>#REF!</v>
      </c>
      <c r="T2655" t="e">
        <f>VLOOKUP(R2655,[1]!NOMINA[#Data],5,FALSE)</f>
        <v>#REF!</v>
      </c>
    </row>
    <row r="2656" spans="1:20" x14ac:dyDescent="0.25">
      <c r="A2656" s="22">
        <v>45761</v>
      </c>
      <c r="B2656" s="1">
        <v>911430741</v>
      </c>
      <c r="C2656" t="s">
        <v>2420</v>
      </c>
      <c r="D2656" s="23">
        <v>-4389.7299999999996</v>
      </c>
      <c r="E2656" t="s">
        <v>35</v>
      </c>
      <c r="F2656" s="2">
        <v>212901001</v>
      </c>
      <c r="G2656" s="2" t="s">
        <v>91</v>
      </c>
      <c r="I2656" s="95" t="s">
        <v>7231</v>
      </c>
      <c r="J2656" t="s">
        <v>61</v>
      </c>
      <c r="K2656" t="s">
        <v>62</v>
      </c>
      <c r="M2656">
        <v>78.36</v>
      </c>
      <c r="N2656" s="4">
        <f t="shared" si="41"/>
        <v>-56.020035732516583</v>
      </c>
      <c r="O2656" t="s">
        <v>83</v>
      </c>
      <c r="R2656">
        <v>21</v>
      </c>
      <c r="S2656" t="e">
        <f>VLOOKUP(R2656,[1]!NOMINA[#Data],4,FALSE)</f>
        <v>#REF!</v>
      </c>
      <c r="T2656" t="e">
        <f>VLOOKUP(R2656,[1]!NOMINA[#Data],5,FALSE)</f>
        <v>#REF!</v>
      </c>
    </row>
    <row r="2657" spans="1:20" x14ac:dyDescent="0.25">
      <c r="A2657" s="22">
        <v>45761</v>
      </c>
      <c r="B2657" s="1">
        <v>911430743</v>
      </c>
      <c r="C2657" t="s">
        <v>2421</v>
      </c>
      <c r="D2657" s="23">
        <v>-3056.04</v>
      </c>
      <c r="E2657" t="s">
        <v>35</v>
      </c>
      <c r="F2657" s="2">
        <v>212901001</v>
      </c>
      <c r="G2657" s="2" t="s">
        <v>91</v>
      </c>
      <c r="I2657" s="95" t="s">
        <v>7231</v>
      </c>
      <c r="J2657" t="s">
        <v>61</v>
      </c>
      <c r="K2657" t="s">
        <v>62</v>
      </c>
      <c r="M2657">
        <v>78.36</v>
      </c>
      <c r="N2657" s="4">
        <f t="shared" si="41"/>
        <v>-39</v>
      </c>
      <c r="O2657" t="s">
        <v>83</v>
      </c>
      <c r="R2657">
        <v>25</v>
      </c>
      <c r="S2657" t="e">
        <f>VLOOKUP(R2657,[1]!NOMINA[#Data],4,FALSE)</f>
        <v>#REF!</v>
      </c>
      <c r="T2657" t="e">
        <f>VLOOKUP(R2657,[1]!NOMINA[#Data],5,FALSE)</f>
        <v>#REF!</v>
      </c>
    </row>
    <row r="2658" spans="1:20" x14ac:dyDescent="0.25">
      <c r="A2658" s="22">
        <v>45761</v>
      </c>
      <c r="B2658" s="1">
        <v>911430744</v>
      </c>
      <c r="C2658" t="s">
        <v>2422</v>
      </c>
      <c r="D2658" s="23">
        <v>-7379.16</v>
      </c>
      <c r="E2658" t="s">
        <v>35</v>
      </c>
      <c r="F2658" s="2">
        <v>212901001</v>
      </c>
      <c r="G2658" s="2" t="s">
        <v>91</v>
      </c>
      <c r="I2658" s="95" t="s">
        <v>7231</v>
      </c>
      <c r="J2658" t="s">
        <v>61</v>
      </c>
      <c r="K2658" t="s">
        <v>62</v>
      </c>
      <c r="M2658">
        <v>78.36</v>
      </c>
      <c r="N2658" s="4">
        <f t="shared" si="41"/>
        <v>-94.169984686064311</v>
      </c>
      <c r="O2658" t="s">
        <v>83</v>
      </c>
      <c r="R2658">
        <v>12</v>
      </c>
      <c r="S2658" t="e">
        <f>VLOOKUP(R2658,[1]!NOMINA[#Data],4,FALSE)</f>
        <v>#REF!</v>
      </c>
      <c r="T2658" t="e">
        <f>VLOOKUP(R2658,[1]!NOMINA[#Data],5,FALSE)</f>
        <v>#REF!</v>
      </c>
    </row>
    <row r="2659" spans="1:20" x14ac:dyDescent="0.25">
      <c r="A2659" s="22">
        <v>45761</v>
      </c>
      <c r="B2659" s="1">
        <v>911430745</v>
      </c>
      <c r="C2659" t="s">
        <v>2423</v>
      </c>
      <c r="D2659" s="23">
        <v>-39114.959999999999</v>
      </c>
      <c r="E2659" t="s">
        <v>35</v>
      </c>
      <c r="F2659" s="2">
        <v>212901001</v>
      </c>
      <c r="G2659" s="2" t="s">
        <v>91</v>
      </c>
      <c r="I2659" s="95" t="s">
        <v>7231</v>
      </c>
      <c r="J2659" t="s">
        <v>61</v>
      </c>
      <c r="K2659" t="s">
        <v>62</v>
      </c>
      <c r="M2659">
        <v>78.36</v>
      </c>
      <c r="N2659" s="4">
        <f t="shared" si="41"/>
        <v>-499.16998468606431</v>
      </c>
      <c r="O2659" t="s">
        <v>83</v>
      </c>
      <c r="R2659">
        <v>2</v>
      </c>
      <c r="S2659" t="e">
        <f>VLOOKUP(Tabla3[[#This Row],[Nº]],[1]!NOMINA[#Data],4,FALSE)</f>
        <v>#REF!</v>
      </c>
      <c r="T2659" t="e">
        <f>VLOOKUP(Tabla3[[#This Row],[Nº]],[1]!NOMINA[#Data],5,FALSE)</f>
        <v>#REF!</v>
      </c>
    </row>
    <row r="2660" spans="1:20" x14ac:dyDescent="0.25">
      <c r="A2660" s="22">
        <v>45761</v>
      </c>
      <c r="B2660" s="1">
        <v>11430746</v>
      </c>
      <c r="C2660" t="s">
        <v>2424</v>
      </c>
      <c r="D2660" s="23">
        <v>-3500.34</v>
      </c>
      <c r="E2660" t="s">
        <v>35</v>
      </c>
      <c r="F2660" s="2">
        <v>212901001</v>
      </c>
      <c r="G2660" s="2" t="s">
        <v>91</v>
      </c>
      <c r="I2660" s="95" t="s">
        <v>7231</v>
      </c>
      <c r="J2660" t="s">
        <v>61</v>
      </c>
      <c r="K2660" t="s">
        <v>62</v>
      </c>
      <c r="M2660">
        <v>78.36</v>
      </c>
      <c r="N2660" s="4">
        <f t="shared" si="41"/>
        <v>-44.669984686064318</v>
      </c>
      <c r="O2660" t="s">
        <v>83</v>
      </c>
      <c r="R2660">
        <v>28</v>
      </c>
      <c r="S2660" t="e">
        <f>VLOOKUP(R2660,[1]!NOMINA[#Data],4,FALSE)</f>
        <v>#REF!</v>
      </c>
      <c r="T2660" t="e">
        <f>VLOOKUP(R2660,[1]!NOMINA[#Data],5,FALSE)</f>
        <v>#REF!</v>
      </c>
    </row>
    <row r="2661" spans="1:20" x14ac:dyDescent="0.25">
      <c r="A2661" s="22">
        <v>45761</v>
      </c>
      <c r="B2661" s="1">
        <v>11430750</v>
      </c>
      <c r="C2661" t="s">
        <v>2425</v>
      </c>
      <c r="D2661" s="23">
        <v>-21614.04</v>
      </c>
      <c r="E2661" t="s">
        <v>35</v>
      </c>
      <c r="F2661" s="2">
        <v>212901001</v>
      </c>
      <c r="G2661" s="2" t="s">
        <v>91</v>
      </c>
      <c r="I2661" s="95" t="s">
        <v>7231</v>
      </c>
      <c r="J2661" t="s">
        <v>61</v>
      </c>
      <c r="K2661" t="s">
        <v>62</v>
      </c>
      <c r="M2661">
        <v>78.36</v>
      </c>
      <c r="N2661" s="4">
        <f t="shared" si="41"/>
        <v>-275.83001531393569</v>
      </c>
      <c r="O2661" t="s">
        <v>83</v>
      </c>
      <c r="R2661">
        <v>3</v>
      </c>
      <c r="S2661" t="e">
        <f>VLOOKUP(R2661,[1]!NOMINA[#Data],4,FALSE)</f>
        <v>#REF!</v>
      </c>
      <c r="T2661" t="e">
        <f>VLOOKUP(R2661,[1]!NOMINA[#Data],5,FALSE)</f>
        <v>#REF!</v>
      </c>
    </row>
    <row r="2662" spans="1:20" x14ac:dyDescent="0.25">
      <c r="A2662" s="22">
        <v>45761</v>
      </c>
      <c r="B2662" s="1">
        <v>11430752</v>
      </c>
      <c r="C2662" t="s">
        <v>2426</v>
      </c>
      <c r="D2662" s="23">
        <v>-4399.91</v>
      </c>
      <c r="E2662" t="s">
        <v>35</v>
      </c>
      <c r="F2662" s="2">
        <v>212901001</v>
      </c>
      <c r="G2662" s="2" t="s">
        <v>91</v>
      </c>
      <c r="I2662" s="95" t="s">
        <v>7231</v>
      </c>
      <c r="J2662" t="s">
        <v>61</v>
      </c>
      <c r="K2662" t="s">
        <v>62</v>
      </c>
      <c r="M2662">
        <v>78.36</v>
      </c>
      <c r="N2662" s="4">
        <f t="shared" si="41"/>
        <v>-56.149948953547728</v>
      </c>
      <c r="O2662" t="s">
        <v>83</v>
      </c>
      <c r="R2662">
        <v>19</v>
      </c>
      <c r="S2662" t="e">
        <f>VLOOKUP(R2662,[1]!NOMINA[#Data],4,FALSE)</f>
        <v>#REF!</v>
      </c>
      <c r="T2662" t="e">
        <f>VLOOKUP(R2662,[1]!NOMINA[#Data],5,FALSE)</f>
        <v>#REF!</v>
      </c>
    </row>
    <row r="2663" spans="1:20" x14ac:dyDescent="0.25">
      <c r="A2663" s="22">
        <v>45761</v>
      </c>
      <c r="B2663" s="1">
        <v>11430747</v>
      </c>
      <c r="C2663" t="s">
        <v>2427</v>
      </c>
      <c r="D2663" s="23">
        <v>-12342.48</v>
      </c>
      <c r="E2663" t="s">
        <v>35</v>
      </c>
      <c r="F2663" s="2">
        <v>212901001</v>
      </c>
      <c r="G2663" s="2" t="s">
        <v>91</v>
      </c>
      <c r="I2663" s="95" t="s">
        <v>7231</v>
      </c>
      <c r="J2663" t="s">
        <v>61</v>
      </c>
      <c r="K2663" t="s">
        <v>62</v>
      </c>
      <c r="M2663">
        <v>78.36</v>
      </c>
      <c r="N2663" s="4">
        <f t="shared" si="41"/>
        <v>-157.50995405819296</v>
      </c>
      <c r="O2663" t="s">
        <v>83</v>
      </c>
      <c r="R2663">
        <v>6</v>
      </c>
      <c r="S2663" t="e">
        <f>VLOOKUP(R2663,[1]!NOMINA[#Data],4,FALSE)</f>
        <v>#REF!</v>
      </c>
      <c r="T2663" t="e">
        <f>VLOOKUP(R2663,[1]!NOMINA[#Data],5,FALSE)</f>
        <v>#REF!</v>
      </c>
    </row>
    <row r="2664" spans="1:20" x14ac:dyDescent="0.25">
      <c r="A2664" s="22">
        <v>45761</v>
      </c>
      <c r="B2664" s="1">
        <v>11430756</v>
      </c>
      <c r="C2664" t="s">
        <v>2428</v>
      </c>
      <c r="D2664" s="23">
        <v>-3500.34</v>
      </c>
      <c r="E2664" t="s">
        <v>35</v>
      </c>
      <c r="F2664" s="2">
        <v>212901001</v>
      </c>
      <c r="G2664" s="2" t="s">
        <v>91</v>
      </c>
      <c r="I2664" s="95" t="s">
        <v>7231</v>
      </c>
      <c r="J2664" t="s">
        <v>61</v>
      </c>
      <c r="K2664" t="s">
        <v>62</v>
      </c>
      <c r="M2664">
        <v>78.36</v>
      </c>
      <c r="N2664" s="4">
        <f t="shared" si="41"/>
        <v>-44.669984686064318</v>
      </c>
      <c r="O2664" t="s">
        <v>83</v>
      </c>
      <c r="R2664">
        <v>37</v>
      </c>
      <c r="S2664" t="e">
        <f>VLOOKUP(Tabla3[[#This Row],[Nº]],[1]!NOMINA[#Data],4,FALSE)</f>
        <v>#REF!</v>
      </c>
      <c r="T2664" t="e">
        <f>VLOOKUP(Tabla3[[#This Row],[Nº]],[1]!NOMINA[#Data],5,FALSE)</f>
        <v>#REF!</v>
      </c>
    </row>
    <row r="2665" spans="1:20" x14ac:dyDescent="0.25">
      <c r="A2665" s="22">
        <v>45761</v>
      </c>
      <c r="B2665" s="1">
        <v>11430754</v>
      </c>
      <c r="C2665" t="s">
        <v>2429</v>
      </c>
      <c r="D2665" s="23">
        <v>-6404.36</v>
      </c>
      <c r="E2665" t="s">
        <v>35</v>
      </c>
      <c r="F2665" s="2">
        <v>212901001</v>
      </c>
      <c r="G2665" s="2" t="s">
        <v>91</v>
      </c>
      <c r="I2665" s="95" t="s">
        <v>7231</v>
      </c>
      <c r="J2665" t="s">
        <v>61</v>
      </c>
      <c r="K2665" t="s">
        <v>62</v>
      </c>
      <c r="M2665">
        <v>78.36</v>
      </c>
      <c r="N2665" s="4">
        <f t="shared" si="41"/>
        <v>-81.72996426748341</v>
      </c>
      <c r="O2665" t="s">
        <v>83</v>
      </c>
      <c r="R2665">
        <v>5</v>
      </c>
      <c r="S2665" t="e">
        <f>VLOOKUP(R2665,[1]!NOMINA[#Data],4,FALSE)</f>
        <v>#REF!</v>
      </c>
      <c r="T2665" t="e">
        <f>VLOOKUP(R2665,[1]!NOMINA[#Data],5,FALSE)</f>
        <v>#REF!</v>
      </c>
    </row>
    <row r="2666" spans="1:20" x14ac:dyDescent="0.25">
      <c r="A2666" s="22">
        <v>45761</v>
      </c>
      <c r="B2666" s="1">
        <v>11430755</v>
      </c>
      <c r="C2666" t="s">
        <v>2430</v>
      </c>
      <c r="D2666" s="23">
        <v>-6631.61</v>
      </c>
      <c r="E2666" t="s">
        <v>35</v>
      </c>
      <c r="F2666" s="2">
        <v>212901001</v>
      </c>
      <c r="G2666" s="2" t="s">
        <v>91</v>
      </c>
      <c r="I2666" s="95" t="s">
        <v>7231</v>
      </c>
      <c r="J2666" t="s">
        <v>61</v>
      </c>
      <c r="K2666" t="s">
        <v>62</v>
      </c>
      <c r="M2666">
        <v>78.36</v>
      </c>
      <c r="N2666" s="4">
        <f t="shared" si="41"/>
        <v>-84.630040837161815</v>
      </c>
      <c r="O2666" t="s">
        <v>83</v>
      </c>
      <c r="R2666">
        <v>16</v>
      </c>
      <c r="S2666" t="e">
        <f>VLOOKUP(Tabla3[[#This Row],[Nº]],[1]!NOMINA[#Data],4,FALSE)</f>
        <v>#REF!</v>
      </c>
      <c r="T2666" t="e">
        <f>VLOOKUP(Tabla3[[#This Row],[Nº]],[1]!NOMINA[#Data],5,FALSE)</f>
        <v>#REF!</v>
      </c>
    </row>
    <row r="2667" spans="1:20" x14ac:dyDescent="0.25">
      <c r="A2667" s="22">
        <v>45761</v>
      </c>
      <c r="B2667" s="1">
        <v>111430760</v>
      </c>
      <c r="C2667" s="3" t="s">
        <v>2431</v>
      </c>
      <c r="D2667" s="23">
        <v>-61.65</v>
      </c>
      <c r="E2667" t="s">
        <v>35</v>
      </c>
      <c r="F2667" s="2">
        <v>212901001</v>
      </c>
      <c r="G2667" s="2" t="s">
        <v>91</v>
      </c>
      <c r="I2667" s="95" t="s">
        <v>7231</v>
      </c>
      <c r="J2667" t="s">
        <v>61</v>
      </c>
      <c r="K2667" t="s">
        <v>62</v>
      </c>
      <c r="M2667">
        <v>78.36</v>
      </c>
      <c r="N2667" s="4">
        <f t="shared" si="41"/>
        <v>-0.78675344563552829</v>
      </c>
      <c r="O2667" t="s">
        <v>83</v>
      </c>
      <c r="R2667">
        <v>9</v>
      </c>
      <c r="S2667" t="e">
        <f>VLOOKUP(R2667,[1]!NOMINA[#Data],4,FALSE)</f>
        <v>#REF!</v>
      </c>
      <c r="T2667" t="e">
        <f>VLOOKUP(R2667,[1]!NOMINA[#Data],5,FALSE)</f>
        <v>#REF!</v>
      </c>
    </row>
    <row r="2668" spans="1:20" x14ac:dyDescent="0.25">
      <c r="A2668" s="22">
        <v>45761</v>
      </c>
      <c r="B2668" s="1">
        <v>11430757</v>
      </c>
      <c r="C2668" t="s">
        <v>2432</v>
      </c>
      <c r="D2668" s="23">
        <v>-3424.33</v>
      </c>
      <c r="E2668" t="s">
        <v>35</v>
      </c>
      <c r="F2668" s="2">
        <v>212901001</v>
      </c>
      <c r="G2668" s="2" t="s">
        <v>91</v>
      </c>
      <c r="I2668" s="95" t="s">
        <v>7231</v>
      </c>
      <c r="J2668" t="s">
        <v>61</v>
      </c>
      <c r="K2668" t="s">
        <v>62</v>
      </c>
      <c r="M2668">
        <v>78.36</v>
      </c>
      <c r="N2668" s="4">
        <f t="shared" si="41"/>
        <v>-43.69997447677386</v>
      </c>
      <c r="O2668" t="s">
        <v>83</v>
      </c>
      <c r="R2668">
        <v>7</v>
      </c>
      <c r="S2668" t="e">
        <f>VLOOKUP(R2668,[1]!NOMINA[#Data],4,FALSE)</f>
        <v>#REF!</v>
      </c>
      <c r="T2668" t="e">
        <f>VLOOKUP(R2668,[1]!NOMINA[#Data],5,FALSE)</f>
        <v>#REF!</v>
      </c>
    </row>
    <row r="2669" spans="1:20" x14ac:dyDescent="0.25">
      <c r="A2669" s="22">
        <v>45761</v>
      </c>
      <c r="B2669" s="1">
        <v>111430758</v>
      </c>
      <c r="C2669" t="s">
        <v>2433</v>
      </c>
      <c r="D2669" s="23">
        <v>-31278.959999999999</v>
      </c>
      <c r="E2669" t="s">
        <v>35</v>
      </c>
      <c r="F2669" s="2">
        <v>212901001</v>
      </c>
      <c r="G2669" s="2" t="s">
        <v>91</v>
      </c>
      <c r="I2669" s="95" t="s">
        <v>7231</v>
      </c>
      <c r="J2669" t="s">
        <v>61</v>
      </c>
      <c r="K2669" t="s">
        <v>62</v>
      </c>
      <c r="M2669">
        <v>78.36</v>
      </c>
      <c r="N2669" s="4">
        <f t="shared" si="41"/>
        <v>-399.16998468606431</v>
      </c>
      <c r="O2669" t="s">
        <v>83</v>
      </c>
      <c r="R2669">
        <v>1</v>
      </c>
      <c r="S2669" t="e">
        <f>VLOOKUP(R2669,[1]!NOMINA[#Data],4,FALSE)</f>
        <v>#REF!</v>
      </c>
      <c r="T2669" t="e">
        <f>VLOOKUP(R2669,[1]!NOMINA[#Data],5,FALSE)</f>
        <v>#REF!</v>
      </c>
    </row>
    <row r="2670" spans="1:20" x14ac:dyDescent="0.25">
      <c r="A2670" s="22">
        <v>45761</v>
      </c>
      <c r="B2670" s="1">
        <v>11430748</v>
      </c>
      <c r="C2670" t="s">
        <v>2434</v>
      </c>
      <c r="D2670" s="23">
        <v>-4395.21</v>
      </c>
      <c r="E2670" t="s">
        <v>35</v>
      </c>
      <c r="F2670" s="2">
        <v>212901001</v>
      </c>
      <c r="G2670" s="2" t="s">
        <v>91</v>
      </c>
      <c r="I2670" s="95" t="s">
        <v>7231</v>
      </c>
      <c r="J2670" t="s">
        <v>61</v>
      </c>
      <c r="K2670" t="s">
        <v>62</v>
      </c>
      <c r="M2670">
        <v>78.36</v>
      </c>
      <c r="N2670" s="4">
        <f t="shared" si="41"/>
        <v>-56.089969372128635</v>
      </c>
      <c r="O2670" t="s">
        <v>83</v>
      </c>
      <c r="R2670">
        <v>24</v>
      </c>
      <c r="S2670" t="e">
        <f>VLOOKUP(R2670,[1]!NOMINA[#Data],4,FALSE)</f>
        <v>#REF!</v>
      </c>
      <c r="T2670" t="e">
        <f>VLOOKUP(R2670,[1]!NOMINA[#Data],5,FALSE)</f>
        <v>#REF!</v>
      </c>
    </row>
    <row r="2671" spans="1:20" x14ac:dyDescent="0.25">
      <c r="A2671" s="22">
        <v>45761</v>
      </c>
      <c r="B2671" s="1">
        <v>111430759</v>
      </c>
      <c r="C2671" s="3" t="s">
        <v>2435</v>
      </c>
      <c r="D2671" s="23">
        <v>-4924.93</v>
      </c>
      <c r="E2671" t="s">
        <v>35</v>
      </c>
      <c r="F2671" s="2">
        <v>212901001</v>
      </c>
      <c r="G2671" s="2" t="s">
        <v>91</v>
      </c>
      <c r="I2671" s="95" t="s">
        <v>7231</v>
      </c>
      <c r="J2671" t="s">
        <v>61</v>
      </c>
      <c r="K2671" t="s">
        <v>62</v>
      </c>
      <c r="M2671">
        <v>78.36</v>
      </c>
      <c r="N2671" s="4">
        <f t="shared" si="41"/>
        <v>-62.850051046452279</v>
      </c>
      <c r="O2671" t="s">
        <v>83</v>
      </c>
      <c r="R2671">
        <v>36</v>
      </c>
      <c r="S2671" t="e">
        <f>VLOOKUP(R2671,[1]!NOMINA[#Data],4,FALSE)</f>
        <v>#REF!</v>
      </c>
      <c r="T2671" t="e">
        <f>VLOOKUP(R2671,[1]!NOMINA[#Data],5,FALSE)</f>
        <v>#REF!</v>
      </c>
    </row>
    <row r="2672" spans="1:20" x14ac:dyDescent="0.25">
      <c r="A2672" s="22">
        <v>45761</v>
      </c>
      <c r="B2672" s="1">
        <v>111430762</v>
      </c>
      <c r="C2672" t="s">
        <v>2436</v>
      </c>
      <c r="D2672" s="23">
        <v>-61.65</v>
      </c>
      <c r="E2672" t="s">
        <v>35</v>
      </c>
      <c r="F2672" s="2">
        <v>212901001</v>
      </c>
      <c r="G2672" s="2" t="s">
        <v>91</v>
      </c>
      <c r="I2672" s="95" t="s">
        <v>7231</v>
      </c>
      <c r="J2672" t="s">
        <v>61</v>
      </c>
      <c r="K2672" t="s">
        <v>62</v>
      </c>
      <c r="M2672">
        <v>78.36</v>
      </c>
      <c r="N2672" s="4">
        <f t="shared" si="41"/>
        <v>-0.78675344563552829</v>
      </c>
      <c r="O2672" t="s">
        <v>83</v>
      </c>
      <c r="R2672">
        <v>26</v>
      </c>
      <c r="S2672" t="e">
        <f>VLOOKUP(Tabla3[[#This Row],[Nº]],[1]!NOMINA[#Data],4,FALSE)</f>
        <v>#REF!</v>
      </c>
      <c r="T2672" t="e">
        <f>VLOOKUP(Tabla3[[#This Row],[Nº]],[1]!NOMINA[#Data],5,FALSE)</f>
        <v>#REF!</v>
      </c>
    </row>
    <row r="2673" spans="1:20" x14ac:dyDescent="0.25">
      <c r="A2673" s="22">
        <v>45761</v>
      </c>
      <c r="B2673" s="1">
        <v>111430765</v>
      </c>
      <c r="C2673" s="3" t="s">
        <v>2437</v>
      </c>
      <c r="D2673" s="23">
        <v>-61.65</v>
      </c>
      <c r="E2673" t="s">
        <v>35</v>
      </c>
      <c r="F2673" s="2">
        <v>212901001</v>
      </c>
      <c r="G2673" s="2" t="s">
        <v>91</v>
      </c>
      <c r="I2673" s="95" t="s">
        <v>7231</v>
      </c>
      <c r="J2673" t="s">
        <v>61</v>
      </c>
      <c r="K2673" t="s">
        <v>62</v>
      </c>
      <c r="M2673">
        <v>78.36</v>
      </c>
      <c r="N2673" s="4">
        <f t="shared" si="41"/>
        <v>-0.78675344563552829</v>
      </c>
      <c r="O2673" t="s">
        <v>83</v>
      </c>
      <c r="R2673">
        <v>10</v>
      </c>
      <c r="S2673" t="e">
        <f>VLOOKUP(R2673,[1]!NOMINA[#Data],4,FALSE)</f>
        <v>#REF!</v>
      </c>
      <c r="T2673" t="e">
        <f>VLOOKUP(R2673,[1]!NOMINA[#Data],5,FALSE)</f>
        <v>#REF!</v>
      </c>
    </row>
    <row r="2674" spans="1:20" x14ac:dyDescent="0.25">
      <c r="A2674" s="22">
        <v>45761</v>
      </c>
      <c r="B2674" s="1">
        <v>111430763</v>
      </c>
      <c r="C2674" s="3" t="s">
        <v>2438</v>
      </c>
      <c r="D2674" s="23">
        <v>-23.04</v>
      </c>
      <c r="E2674" t="s">
        <v>35</v>
      </c>
      <c r="F2674" s="2">
        <v>212901001</v>
      </c>
      <c r="G2674" s="2" t="s">
        <v>91</v>
      </c>
      <c r="I2674" s="95" t="s">
        <v>7231</v>
      </c>
      <c r="J2674" t="s">
        <v>61</v>
      </c>
      <c r="K2674" t="s">
        <v>62</v>
      </c>
      <c r="M2674">
        <v>78.36</v>
      </c>
      <c r="N2674" s="4">
        <f t="shared" si="41"/>
        <v>-0.29402756508422662</v>
      </c>
      <c r="O2674" t="s">
        <v>83</v>
      </c>
      <c r="R2674">
        <v>29</v>
      </c>
      <c r="S2674" t="e">
        <f>VLOOKUP(R2674,[1]!NOMINA[#Data],4,FALSE)</f>
        <v>#REF!</v>
      </c>
      <c r="T2674" t="e">
        <f>VLOOKUP(R2674,[1]!NOMINA[#Data],5,FALSE)</f>
        <v>#REF!</v>
      </c>
    </row>
    <row r="2675" spans="1:20" x14ac:dyDescent="0.25">
      <c r="A2675" s="22">
        <v>45761</v>
      </c>
      <c r="B2675" s="1">
        <v>111430766</v>
      </c>
      <c r="C2675" s="3" t="s">
        <v>2439</v>
      </c>
      <c r="D2675" s="23">
        <v>-61.65</v>
      </c>
      <c r="E2675" t="s">
        <v>35</v>
      </c>
      <c r="F2675" s="2">
        <v>212901001</v>
      </c>
      <c r="G2675" s="2" t="s">
        <v>91</v>
      </c>
      <c r="I2675" s="95" t="s">
        <v>7231</v>
      </c>
      <c r="J2675" t="s">
        <v>61</v>
      </c>
      <c r="K2675" t="s">
        <v>62</v>
      </c>
      <c r="M2675">
        <v>78.36</v>
      </c>
      <c r="N2675" s="4">
        <f t="shared" si="41"/>
        <v>-0.78675344563552829</v>
      </c>
      <c r="O2675" t="s">
        <v>83</v>
      </c>
      <c r="R2675">
        <v>18</v>
      </c>
      <c r="S2675" t="e">
        <f>VLOOKUP(Tabla3[[#This Row],[Nº]],[1]!NOMINA[#Data],4,FALSE)</f>
        <v>#REF!</v>
      </c>
      <c r="T2675" t="e">
        <f>VLOOKUP(Tabla3[[#This Row],[Nº]],[1]!NOMINA[#Data],5,FALSE)</f>
        <v>#REF!</v>
      </c>
    </row>
    <row r="2676" spans="1:20" x14ac:dyDescent="0.25">
      <c r="A2676" s="22">
        <v>45761</v>
      </c>
      <c r="B2676" s="1">
        <v>111430764</v>
      </c>
      <c r="C2676" s="3" t="s">
        <v>2440</v>
      </c>
      <c r="D2676" s="23">
        <v>-23.04</v>
      </c>
      <c r="E2676" t="s">
        <v>35</v>
      </c>
      <c r="F2676" s="2">
        <v>212901001</v>
      </c>
      <c r="G2676" s="2" t="s">
        <v>91</v>
      </c>
      <c r="I2676" s="95" t="s">
        <v>7231</v>
      </c>
      <c r="J2676" t="s">
        <v>61</v>
      </c>
      <c r="K2676" t="s">
        <v>62</v>
      </c>
      <c r="M2676">
        <v>78.36</v>
      </c>
      <c r="N2676" s="4">
        <f t="shared" si="41"/>
        <v>-0.29402756508422662</v>
      </c>
      <c r="O2676" t="s">
        <v>83</v>
      </c>
      <c r="R2676">
        <v>44</v>
      </c>
      <c r="S2676" t="e">
        <f>VLOOKUP(R2676,[1]!NOMINA[#Data],4,FALSE)</f>
        <v>#REF!</v>
      </c>
      <c r="T2676" t="e">
        <f>VLOOKUP(R2676,[1]!NOMINA[#Data],5,FALSE)</f>
        <v>#REF!</v>
      </c>
    </row>
    <row r="2677" spans="1:20" x14ac:dyDescent="0.25">
      <c r="A2677" s="22">
        <v>45761</v>
      </c>
      <c r="B2677" s="1">
        <v>11430751</v>
      </c>
      <c r="C2677" t="s">
        <v>2441</v>
      </c>
      <c r="D2677" s="23">
        <v>-3056.04</v>
      </c>
      <c r="E2677" t="s">
        <v>35</v>
      </c>
      <c r="F2677" s="2">
        <v>212901001</v>
      </c>
      <c r="G2677" s="2" t="s">
        <v>91</v>
      </c>
      <c r="I2677" s="95" t="s">
        <v>7231</v>
      </c>
      <c r="J2677" t="s">
        <v>61</v>
      </c>
      <c r="K2677" t="s">
        <v>62</v>
      </c>
      <c r="M2677">
        <v>78.36</v>
      </c>
      <c r="N2677" s="4">
        <f t="shared" si="41"/>
        <v>-39</v>
      </c>
      <c r="O2677" t="s">
        <v>83</v>
      </c>
      <c r="R2677">
        <v>27</v>
      </c>
      <c r="S2677" t="e">
        <f>VLOOKUP(R2677,[1]!NOMINA[#Data],4,FALSE)</f>
        <v>#REF!</v>
      </c>
      <c r="T2677" t="e">
        <f>VLOOKUP(R2677,[1]!NOMINA[#Data],5,FALSE)</f>
        <v>#REF!</v>
      </c>
    </row>
    <row r="2678" spans="1:20" x14ac:dyDescent="0.25">
      <c r="A2678" s="22">
        <v>45761</v>
      </c>
      <c r="B2678" s="1">
        <v>111430767</v>
      </c>
      <c r="C2678" s="3" t="s">
        <v>2442</v>
      </c>
      <c r="D2678" s="23">
        <v>-61.65</v>
      </c>
      <c r="E2678" t="s">
        <v>35</v>
      </c>
      <c r="F2678" s="2">
        <v>212901001</v>
      </c>
      <c r="G2678" s="2" t="s">
        <v>91</v>
      </c>
      <c r="I2678" s="95" t="s">
        <v>7231</v>
      </c>
      <c r="J2678" t="s">
        <v>61</v>
      </c>
      <c r="K2678" t="s">
        <v>62</v>
      </c>
      <c r="M2678">
        <v>78.36</v>
      </c>
      <c r="N2678" s="4">
        <f t="shared" si="41"/>
        <v>-0.78675344563552829</v>
      </c>
      <c r="O2678" t="s">
        <v>83</v>
      </c>
      <c r="R2678">
        <v>38</v>
      </c>
      <c r="S2678" t="e">
        <f>VLOOKUP(R2678,[1]!NOMINA[#Data],4,FALSE)</f>
        <v>#REF!</v>
      </c>
      <c r="T2678" t="e">
        <f>VLOOKUP(R2678,[1]!NOMINA[#Data],5,FALSE)</f>
        <v>#REF!</v>
      </c>
    </row>
    <row r="2679" spans="1:20" x14ac:dyDescent="0.25">
      <c r="A2679" s="22">
        <v>45761</v>
      </c>
      <c r="B2679" s="1">
        <v>111430769</v>
      </c>
      <c r="C2679" t="s">
        <v>2443</v>
      </c>
      <c r="D2679" s="23">
        <v>-61.65</v>
      </c>
      <c r="E2679" t="s">
        <v>35</v>
      </c>
      <c r="F2679" s="2">
        <v>212901001</v>
      </c>
      <c r="G2679" s="2" t="s">
        <v>91</v>
      </c>
      <c r="I2679" s="95" t="s">
        <v>7231</v>
      </c>
      <c r="J2679" t="s">
        <v>61</v>
      </c>
      <c r="K2679" t="s">
        <v>62</v>
      </c>
      <c r="M2679">
        <v>78.36</v>
      </c>
      <c r="N2679" s="4">
        <f t="shared" si="41"/>
        <v>-0.78675344563552829</v>
      </c>
      <c r="O2679" t="s">
        <v>83</v>
      </c>
      <c r="R2679">
        <v>15</v>
      </c>
      <c r="S2679" t="e">
        <f>VLOOKUP(R2679,[1]!NOMINA[#Data],4,FALSE)</f>
        <v>#REF!</v>
      </c>
      <c r="T2679" t="e">
        <f>VLOOKUP(R2679,[1]!NOMINA[#Data],5,FALSE)</f>
        <v>#REF!</v>
      </c>
    </row>
    <row r="2680" spans="1:20" x14ac:dyDescent="0.25">
      <c r="A2680" s="22">
        <v>45761</v>
      </c>
      <c r="B2680" s="1">
        <v>111430768</v>
      </c>
      <c r="C2680" t="s">
        <v>2444</v>
      </c>
      <c r="D2680" s="23">
        <v>-61.65</v>
      </c>
      <c r="E2680" t="s">
        <v>35</v>
      </c>
      <c r="F2680" s="2">
        <v>212901001</v>
      </c>
      <c r="G2680" s="2" t="s">
        <v>91</v>
      </c>
      <c r="I2680" s="95" t="s">
        <v>7231</v>
      </c>
      <c r="J2680" t="s">
        <v>61</v>
      </c>
      <c r="K2680" t="s">
        <v>62</v>
      </c>
      <c r="M2680">
        <v>78.36</v>
      </c>
      <c r="N2680" s="4">
        <f t="shared" si="41"/>
        <v>-0.78675344563552829</v>
      </c>
      <c r="O2680" t="s">
        <v>83</v>
      </c>
      <c r="R2680">
        <v>1</v>
      </c>
      <c r="S2680" t="e">
        <f>VLOOKUP(R2680,[1]!NOMINA[#Data],4,FALSE)</f>
        <v>#REF!</v>
      </c>
      <c r="T2680" t="e">
        <f>VLOOKUP(R2680,[1]!NOMINA[#Data],5,FALSE)</f>
        <v>#REF!</v>
      </c>
    </row>
    <row r="2681" spans="1:20" x14ac:dyDescent="0.25">
      <c r="A2681" s="22">
        <v>45761</v>
      </c>
      <c r="B2681" s="1">
        <v>211430773</v>
      </c>
      <c r="C2681" t="s">
        <v>2445</v>
      </c>
      <c r="D2681" s="23">
        <v>-61.65</v>
      </c>
      <c r="E2681" t="s">
        <v>35</v>
      </c>
      <c r="F2681" s="2">
        <v>212901001</v>
      </c>
      <c r="G2681" s="2" t="s">
        <v>91</v>
      </c>
      <c r="I2681" s="95" t="s">
        <v>7231</v>
      </c>
      <c r="J2681" t="s">
        <v>61</v>
      </c>
      <c r="K2681" t="s">
        <v>62</v>
      </c>
      <c r="M2681">
        <v>78.36</v>
      </c>
      <c r="N2681" s="4">
        <f t="shared" si="41"/>
        <v>-0.78675344563552829</v>
      </c>
      <c r="O2681" t="s">
        <v>83</v>
      </c>
      <c r="R2681">
        <v>20</v>
      </c>
      <c r="S2681" t="e">
        <f>VLOOKUP(Tabla3[[#This Row],[Nº]],[1]!NOMINA[#Data],4,FALSE)</f>
        <v>#REF!</v>
      </c>
      <c r="T2681" t="e">
        <f>VLOOKUP(Tabla3[[#This Row],[Nº]],[1]!NOMINA[#Data],5,FALSE)</f>
        <v>#REF!</v>
      </c>
    </row>
    <row r="2682" spans="1:20" x14ac:dyDescent="0.25">
      <c r="A2682" s="22">
        <v>45761</v>
      </c>
      <c r="B2682" s="1">
        <v>211430770</v>
      </c>
      <c r="C2682" t="s">
        <v>2446</v>
      </c>
      <c r="D2682" s="23">
        <v>-61.65</v>
      </c>
      <c r="E2682" t="s">
        <v>35</v>
      </c>
      <c r="F2682" s="2">
        <v>212901001</v>
      </c>
      <c r="G2682" s="2" t="s">
        <v>91</v>
      </c>
      <c r="I2682" s="95" t="s">
        <v>7231</v>
      </c>
      <c r="J2682" t="s">
        <v>61</v>
      </c>
      <c r="K2682" t="s">
        <v>62</v>
      </c>
      <c r="M2682">
        <v>78.36</v>
      </c>
      <c r="N2682" s="4">
        <f t="shared" si="41"/>
        <v>-0.78675344563552829</v>
      </c>
      <c r="O2682" t="s">
        <v>83</v>
      </c>
      <c r="R2682">
        <v>41</v>
      </c>
      <c r="S2682" t="e">
        <f>VLOOKUP(R2682,[1]!NOMINA[#Data],4,FALSE)</f>
        <v>#REF!</v>
      </c>
      <c r="T2682" t="e">
        <f>VLOOKUP(R2682,[1]!NOMINA[#Data],5,FALSE)</f>
        <v>#REF!</v>
      </c>
    </row>
    <row r="2683" spans="1:20" x14ac:dyDescent="0.25">
      <c r="A2683" s="22">
        <v>45761</v>
      </c>
      <c r="B2683" s="1">
        <v>211430771</v>
      </c>
      <c r="C2683" t="s">
        <v>2447</v>
      </c>
      <c r="D2683" s="23">
        <v>-61.65</v>
      </c>
      <c r="E2683" t="s">
        <v>35</v>
      </c>
      <c r="F2683" s="2">
        <v>212901001</v>
      </c>
      <c r="G2683" s="2" t="s">
        <v>91</v>
      </c>
      <c r="I2683" s="95" t="s">
        <v>7231</v>
      </c>
      <c r="J2683" t="s">
        <v>61</v>
      </c>
      <c r="K2683" t="s">
        <v>62</v>
      </c>
      <c r="M2683">
        <v>78.36</v>
      </c>
      <c r="N2683" s="4">
        <f t="shared" si="41"/>
        <v>-0.78675344563552829</v>
      </c>
      <c r="O2683" t="s">
        <v>83</v>
      </c>
      <c r="R2683">
        <v>13</v>
      </c>
      <c r="S2683" t="e">
        <f>VLOOKUP(R2683,[1]!NOMINA[#Data],4,FALSE)</f>
        <v>#REF!</v>
      </c>
      <c r="T2683" t="e">
        <f>VLOOKUP(R2683,[1]!NOMINA[#Data],5,FALSE)</f>
        <v>#REF!</v>
      </c>
    </row>
    <row r="2684" spans="1:20" x14ac:dyDescent="0.25">
      <c r="A2684" s="22">
        <v>45761</v>
      </c>
      <c r="B2684" s="1">
        <v>211430774</v>
      </c>
      <c r="C2684" t="s">
        <v>2448</v>
      </c>
      <c r="D2684" s="23">
        <v>-61.65</v>
      </c>
      <c r="E2684" t="s">
        <v>35</v>
      </c>
      <c r="F2684" s="2">
        <v>212901001</v>
      </c>
      <c r="G2684" s="2" t="s">
        <v>91</v>
      </c>
      <c r="I2684" s="95" t="s">
        <v>7231</v>
      </c>
      <c r="J2684" t="s">
        <v>61</v>
      </c>
      <c r="K2684" t="s">
        <v>62</v>
      </c>
      <c r="M2684">
        <v>78.36</v>
      </c>
      <c r="N2684" s="4">
        <f t="shared" si="41"/>
        <v>-0.78675344563552829</v>
      </c>
      <c r="O2684" t="s">
        <v>83</v>
      </c>
      <c r="R2684">
        <v>8</v>
      </c>
      <c r="S2684" t="e">
        <f>VLOOKUP(R2684,[1]!NOMINA[#Data],4,FALSE)</f>
        <v>#REF!</v>
      </c>
      <c r="T2684" t="e">
        <f>VLOOKUP(R2684,[1]!NOMINA[#Data],5,FALSE)</f>
        <v>#REF!</v>
      </c>
    </row>
    <row r="2685" spans="1:20" x14ac:dyDescent="0.25">
      <c r="A2685" s="22">
        <v>45761</v>
      </c>
      <c r="B2685" s="1">
        <v>211430775</v>
      </c>
      <c r="C2685" s="3" t="s">
        <v>2449</v>
      </c>
      <c r="D2685" s="23">
        <v>-61.65</v>
      </c>
      <c r="E2685" t="s">
        <v>35</v>
      </c>
      <c r="F2685" s="2">
        <v>212901001</v>
      </c>
      <c r="G2685" s="2" t="s">
        <v>91</v>
      </c>
      <c r="I2685" s="95" t="s">
        <v>7231</v>
      </c>
      <c r="J2685" t="s">
        <v>61</v>
      </c>
      <c r="K2685" t="s">
        <v>62</v>
      </c>
      <c r="M2685">
        <v>78.36</v>
      </c>
      <c r="N2685" s="4">
        <f t="shared" si="41"/>
        <v>-0.78675344563552829</v>
      </c>
      <c r="O2685" t="s">
        <v>83</v>
      </c>
      <c r="R2685">
        <v>11</v>
      </c>
      <c r="S2685" t="e">
        <f>VLOOKUP(R2685,[1]!NOMINA[#Data],4,FALSE)</f>
        <v>#REF!</v>
      </c>
      <c r="T2685" t="e">
        <f>VLOOKUP(R2685,[1]!NOMINA[#Data],5,FALSE)</f>
        <v>#REF!</v>
      </c>
    </row>
    <row r="2686" spans="1:20" x14ac:dyDescent="0.25">
      <c r="A2686" s="22">
        <v>45761</v>
      </c>
      <c r="B2686" s="1">
        <v>211430776</v>
      </c>
      <c r="C2686" t="s">
        <v>2450</v>
      </c>
      <c r="D2686" s="23">
        <v>-61.65</v>
      </c>
      <c r="E2686" t="s">
        <v>35</v>
      </c>
      <c r="F2686" s="2">
        <v>212901001</v>
      </c>
      <c r="G2686" s="2" t="s">
        <v>91</v>
      </c>
      <c r="I2686" s="95" t="s">
        <v>7231</v>
      </c>
      <c r="J2686" t="s">
        <v>61</v>
      </c>
      <c r="K2686" t="s">
        <v>62</v>
      </c>
      <c r="M2686">
        <v>78.36</v>
      </c>
      <c r="N2686" s="4">
        <f t="shared" si="41"/>
        <v>-0.78675344563552829</v>
      </c>
      <c r="O2686" t="s">
        <v>83</v>
      </c>
      <c r="R2686">
        <v>23</v>
      </c>
      <c r="S2686" t="e">
        <f>VLOOKUP(R2686,[1]!NOMINA[#Data],4,FALSE)</f>
        <v>#REF!</v>
      </c>
      <c r="T2686" t="e">
        <f>VLOOKUP(R2686,[1]!NOMINA[#Data],5,FALSE)</f>
        <v>#REF!</v>
      </c>
    </row>
    <row r="2687" spans="1:20" x14ac:dyDescent="0.25">
      <c r="A2687" s="22">
        <v>45761</v>
      </c>
      <c r="B2687" s="1">
        <v>211430779</v>
      </c>
      <c r="C2687" s="3" t="s">
        <v>2451</v>
      </c>
      <c r="D2687" s="23">
        <v>-61.65</v>
      </c>
      <c r="E2687" t="s">
        <v>35</v>
      </c>
      <c r="F2687" s="2">
        <v>212901001</v>
      </c>
      <c r="G2687" s="2" t="s">
        <v>91</v>
      </c>
      <c r="I2687" s="95" t="s">
        <v>7231</v>
      </c>
      <c r="J2687" t="s">
        <v>61</v>
      </c>
      <c r="K2687" t="s">
        <v>62</v>
      </c>
      <c r="M2687">
        <v>78.36</v>
      </c>
      <c r="N2687" s="4">
        <f t="shared" si="41"/>
        <v>-0.78675344563552829</v>
      </c>
      <c r="O2687" t="s">
        <v>83</v>
      </c>
      <c r="R2687">
        <v>43</v>
      </c>
      <c r="S2687" t="e">
        <f>VLOOKUP(R2687,[1]!NOMINA[#Data],4,FALSE)</f>
        <v>#REF!</v>
      </c>
      <c r="T2687" t="e">
        <f>VLOOKUP(R2687,[1]!NOMINA[#Data],5,FALSE)</f>
        <v>#REF!</v>
      </c>
    </row>
    <row r="2688" spans="1:20" x14ac:dyDescent="0.25">
      <c r="A2688" s="22">
        <v>45761</v>
      </c>
      <c r="B2688" s="1">
        <v>211430778</v>
      </c>
      <c r="C2688" t="s">
        <v>2452</v>
      </c>
      <c r="D2688" s="23">
        <v>-61.65</v>
      </c>
      <c r="E2688" t="s">
        <v>35</v>
      </c>
      <c r="F2688" s="2">
        <v>212901001</v>
      </c>
      <c r="G2688" s="2" t="s">
        <v>91</v>
      </c>
      <c r="I2688" s="95" t="s">
        <v>7231</v>
      </c>
      <c r="J2688" t="s">
        <v>61</v>
      </c>
      <c r="K2688" t="s">
        <v>62</v>
      </c>
      <c r="M2688">
        <v>78.36</v>
      </c>
      <c r="N2688" s="4">
        <f t="shared" si="41"/>
        <v>-0.78675344563552829</v>
      </c>
      <c r="O2688" t="s">
        <v>83</v>
      </c>
      <c r="R2688">
        <v>17</v>
      </c>
      <c r="S2688" t="e">
        <f>VLOOKUP(R2688,[1]!NOMINA[#Data],4,FALSE)</f>
        <v>#REF!</v>
      </c>
      <c r="T2688" t="e">
        <f>VLOOKUP(R2688,[1]!NOMINA[#Data],5,FALSE)</f>
        <v>#REF!</v>
      </c>
    </row>
    <row r="2689" spans="1:20" x14ac:dyDescent="0.25">
      <c r="A2689" s="22">
        <v>45761</v>
      </c>
      <c r="B2689" s="1">
        <v>211430780</v>
      </c>
      <c r="C2689" t="s">
        <v>2453</v>
      </c>
      <c r="D2689" s="23">
        <v>-61.65</v>
      </c>
      <c r="E2689" t="s">
        <v>35</v>
      </c>
      <c r="F2689" s="2">
        <v>212901001</v>
      </c>
      <c r="G2689" s="2" t="s">
        <v>91</v>
      </c>
      <c r="I2689" s="95" t="s">
        <v>7231</v>
      </c>
      <c r="J2689" t="s">
        <v>61</v>
      </c>
      <c r="K2689" t="s">
        <v>62</v>
      </c>
      <c r="M2689">
        <v>78.36</v>
      </c>
      <c r="N2689" s="4">
        <f t="shared" si="41"/>
        <v>-0.78675344563552829</v>
      </c>
      <c r="O2689" t="s">
        <v>83</v>
      </c>
      <c r="R2689">
        <v>4</v>
      </c>
      <c r="S2689" t="e">
        <f>VLOOKUP(R2689,[1]!NOMINA[#Data],4,FALSE)</f>
        <v>#REF!</v>
      </c>
      <c r="T2689" t="e">
        <f>VLOOKUP(R2689,[1]!NOMINA[#Data],5,FALSE)</f>
        <v>#REF!</v>
      </c>
    </row>
    <row r="2690" spans="1:20" x14ac:dyDescent="0.25">
      <c r="A2690" s="22">
        <v>45761</v>
      </c>
      <c r="B2690" s="1">
        <v>311430781</v>
      </c>
      <c r="C2690" t="s">
        <v>2454</v>
      </c>
      <c r="D2690" s="23">
        <v>-61.65</v>
      </c>
      <c r="E2690" t="s">
        <v>35</v>
      </c>
      <c r="F2690" s="2">
        <v>212901001</v>
      </c>
      <c r="G2690" s="2" t="s">
        <v>91</v>
      </c>
      <c r="I2690" s="95" t="s">
        <v>7231</v>
      </c>
      <c r="J2690" t="s">
        <v>61</v>
      </c>
      <c r="K2690" t="s">
        <v>62</v>
      </c>
      <c r="M2690">
        <v>78.36</v>
      </c>
      <c r="N2690" s="4">
        <f t="shared" si="41"/>
        <v>-0.78675344563552829</v>
      </c>
      <c r="O2690" t="s">
        <v>83</v>
      </c>
      <c r="R2690">
        <v>14</v>
      </c>
      <c r="S2690" t="e">
        <f>VLOOKUP(R2690,[1]!NOMINA[#Data],4,FALSE)</f>
        <v>#REF!</v>
      </c>
      <c r="T2690" t="e">
        <f>VLOOKUP(R2690,[1]!NOMINA[#Data],5,FALSE)</f>
        <v>#REF!</v>
      </c>
    </row>
    <row r="2691" spans="1:20" x14ac:dyDescent="0.25">
      <c r="A2691" s="22">
        <v>45761</v>
      </c>
      <c r="B2691" s="1">
        <v>311430782</v>
      </c>
      <c r="C2691" s="3" t="s">
        <v>2455</v>
      </c>
      <c r="D2691" s="23">
        <v>-61.65</v>
      </c>
      <c r="E2691" t="s">
        <v>35</v>
      </c>
      <c r="F2691" s="2">
        <v>212901001</v>
      </c>
      <c r="G2691" s="2" t="s">
        <v>91</v>
      </c>
      <c r="I2691" s="95" t="s">
        <v>7231</v>
      </c>
      <c r="J2691" t="s">
        <v>61</v>
      </c>
      <c r="K2691" t="s">
        <v>62</v>
      </c>
      <c r="M2691">
        <v>78.36</v>
      </c>
      <c r="N2691" s="4">
        <f t="shared" si="41"/>
        <v>-0.78675344563552829</v>
      </c>
      <c r="O2691" t="s">
        <v>83</v>
      </c>
      <c r="R2691">
        <v>22</v>
      </c>
      <c r="S2691" t="e">
        <f>VLOOKUP(Tabla3[[#This Row],[Nº]],[1]!NOMINA[#Data],4,FALSE)</f>
        <v>#REF!</v>
      </c>
      <c r="T2691" t="e">
        <f>VLOOKUP(R2691,[1]!NOMINA[#Data],5,FALSE)</f>
        <v>#REF!</v>
      </c>
    </row>
    <row r="2692" spans="1:20" x14ac:dyDescent="0.25">
      <c r="A2692" s="22">
        <v>45761</v>
      </c>
      <c r="B2692" s="1">
        <v>311430783</v>
      </c>
      <c r="C2692" t="s">
        <v>2456</v>
      </c>
      <c r="D2692" s="23">
        <v>-61.65</v>
      </c>
      <c r="E2692" t="s">
        <v>35</v>
      </c>
      <c r="F2692" s="2">
        <v>212901001</v>
      </c>
      <c r="G2692" s="2" t="s">
        <v>91</v>
      </c>
      <c r="I2692" s="95" t="s">
        <v>7231</v>
      </c>
      <c r="J2692" t="s">
        <v>61</v>
      </c>
      <c r="K2692" t="s">
        <v>62</v>
      </c>
      <c r="M2692">
        <v>78.36</v>
      </c>
      <c r="N2692" s="4">
        <f t="shared" si="41"/>
        <v>-0.78675344563552829</v>
      </c>
      <c r="O2692" t="s">
        <v>83</v>
      </c>
      <c r="R2692">
        <v>42</v>
      </c>
      <c r="S2692" t="e">
        <f>VLOOKUP(R2692,[1]!NOMINA[#Data],4,FALSE)</f>
        <v>#REF!</v>
      </c>
      <c r="T2692" t="e">
        <f>VLOOKUP(R2692,[1]!NOMINA[#Data],5,FALSE)</f>
        <v>#REF!</v>
      </c>
    </row>
    <row r="2693" spans="1:20" x14ac:dyDescent="0.25">
      <c r="A2693" s="22">
        <v>45761</v>
      </c>
      <c r="B2693" s="1">
        <v>311430784</v>
      </c>
      <c r="C2693" t="s">
        <v>2457</v>
      </c>
      <c r="D2693" s="23">
        <v>-61.65</v>
      </c>
      <c r="E2693" t="s">
        <v>35</v>
      </c>
      <c r="F2693" s="2">
        <v>212901001</v>
      </c>
      <c r="G2693" s="2" t="s">
        <v>91</v>
      </c>
      <c r="I2693" s="95" t="s">
        <v>7231</v>
      </c>
      <c r="J2693" t="s">
        <v>61</v>
      </c>
      <c r="K2693" t="s">
        <v>62</v>
      </c>
      <c r="M2693">
        <v>78.36</v>
      </c>
      <c r="N2693" s="4">
        <f t="shared" si="41"/>
        <v>-0.78675344563552829</v>
      </c>
      <c r="O2693" t="s">
        <v>83</v>
      </c>
      <c r="R2693">
        <v>39</v>
      </c>
      <c r="S2693" t="e">
        <f>VLOOKUP(R2693,[1]!NOMINA[#Data],4,FALSE)</f>
        <v>#REF!</v>
      </c>
      <c r="T2693" t="e">
        <f>VLOOKUP(R2693,[1]!NOMINA[#Data],5,FALSE)</f>
        <v>#REF!</v>
      </c>
    </row>
    <row r="2694" spans="1:20" x14ac:dyDescent="0.25">
      <c r="A2694" s="22">
        <v>45761</v>
      </c>
      <c r="B2694" s="1">
        <v>311430788</v>
      </c>
      <c r="C2694" t="s">
        <v>2458</v>
      </c>
      <c r="D2694" s="23">
        <v>-61.65</v>
      </c>
      <c r="E2694" t="s">
        <v>35</v>
      </c>
      <c r="F2694" s="2">
        <v>212901001</v>
      </c>
      <c r="G2694" s="2" t="s">
        <v>91</v>
      </c>
      <c r="I2694" s="95" t="s">
        <v>7231</v>
      </c>
      <c r="J2694" t="s">
        <v>61</v>
      </c>
      <c r="K2694" t="s">
        <v>62</v>
      </c>
      <c r="M2694">
        <v>78.36</v>
      </c>
      <c r="N2694" s="4">
        <f t="shared" si="41"/>
        <v>-0.78675344563552829</v>
      </c>
      <c r="O2694" t="s">
        <v>83</v>
      </c>
      <c r="R2694">
        <v>21</v>
      </c>
      <c r="S2694" t="e">
        <f>VLOOKUP(R2694,[1]!NOMINA[#Data],4,FALSE)</f>
        <v>#REF!</v>
      </c>
      <c r="T2694" t="e">
        <f>VLOOKUP(R2694,[1]!NOMINA[#Data],5,FALSE)</f>
        <v>#REF!</v>
      </c>
    </row>
    <row r="2695" spans="1:20" x14ac:dyDescent="0.25">
      <c r="A2695" s="22">
        <v>45761</v>
      </c>
      <c r="B2695" s="1">
        <v>311430785</v>
      </c>
      <c r="C2695" t="s">
        <v>2459</v>
      </c>
      <c r="D2695" s="23">
        <v>-61.65</v>
      </c>
      <c r="E2695" t="s">
        <v>35</v>
      </c>
      <c r="F2695" s="2">
        <v>212901001</v>
      </c>
      <c r="G2695" s="2" t="s">
        <v>91</v>
      </c>
      <c r="I2695" s="95" t="s">
        <v>7231</v>
      </c>
      <c r="J2695" t="s">
        <v>61</v>
      </c>
      <c r="K2695" t="s">
        <v>62</v>
      </c>
      <c r="M2695">
        <v>78.36</v>
      </c>
      <c r="N2695" s="4">
        <f t="shared" si="41"/>
        <v>-0.78675344563552829</v>
      </c>
      <c r="O2695" t="s">
        <v>83</v>
      </c>
      <c r="R2695">
        <v>25</v>
      </c>
      <c r="S2695" t="e">
        <f>VLOOKUP(R2695,[1]!NOMINA[#Data],4,FALSE)</f>
        <v>#REF!</v>
      </c>
      <c r="T2695" t="e">
        <f>VLOOKUP(R2695,[1]!NOMINA[#Data],5,FALSE)</f>
        <v>#REF!</v>
      </c>
    </row>
    <row r="2696" spans="1:20" x14ac:dyDescent="0.25">
      <c r="A2696" s="22">
        <v>45761</v>
      </c>
      <c r="B2696" s="1">
        <v>311430787</v>
      </c>
      <c r="C2696" t="s">
        <v>2460</v>
      </c>
      <c r="D2696" s="23">
        <v>-61.65</v>
      </c>
      <c r="E2696" t="s">
        <v>35</v>
      </c>
      <c r="F2696" s="2">
        <v>212901001</v>
      </c>
      <c r="G2696" s="2" t="s">
        <v>91</v>
      </c>
      <c r="I2696" s="95" t="s">
        <v>7231</v>
      </c>
      <c r="J2696" t="s">
        <v>61</v>
      </c>
      <c r="K2696" t="s">
        <v>62</v>
      </c>
      <c r="M2696">
        <v>78.36</v>
      </c>
      <c r="N2696" s="4">
        <f t="shared" si="41"/>
        <v>-0.78675344563552829</v>
      </c>
      <c r="O2696" t="s">
        <v>83</v>
      </c>
      <c r="R2696">
        <v>12</v>
      </c>
      <c r="S2696" t="e">
        <f>VLOOKUP(R2696,[1]!NOMINA[#Data],4,FALSE)</f>
        <v>#REF!</v>
      </c>
      <c r="T2696" t="e">
        <f>VLOOKUP(R2696,[1]!NOMINA[#Data],5,FALSE)</f>
        <v>#REF!</v>
      </c>
    </row>
    <row r="2697" spans="1:20" x14ac:dyDescent="0.25">
      <c r="A2697" s="22">
        <v>45761</v>
      </c>
      <c r="B2697" s="1">
        <v>311430789</v>
      </c>
      <c r="C2697" t="s">
        <v>2461</v>
      </c>
      <c r="D2697" s="23">
        <v>-61.65</v>
      </c>
      <c r="E2697" t="s">
        <v>35</v>
      </c>
      <c r="F2697" s="2">
        <v>212901001</v>
      </c>
      <c r="G2697" s="2" t="s">
        <v>91</v>
      </c>
      <c r="I2697" s="95" t="s">
        <v>7231</v>
      </c>
      <c r="J2697" t="s">
        <v>61</v>
      </c>
      <c r="K2697" t="s">
        <v>62</v>
      </c>
      <c r="M2697">
        <v>78.36</v>
      </c>
      <c r="N2697" s="4">
        <f t="shared" si="41"/>
        <v>-0.78675344563552829</v>
      </c>
      <c r="O2697" t="s">
        <v>83</v>
      </c>
      <c r="R2697">
        <v>2</v>
      </c>
      <c r="S2697" t="e">
        <f>VLOOKUP(Tabla3[[#This Row],[Nº]],[1]!NOMINA[#Data],4,FALSE)</f>
        <v>#REF!</v>
      </c>
      <c r="T2697" t="e">
        <f>VLOOKUP(Tabla3[[#This Row],[Nº]],[1]!NOMINA[#Data],5,FALSE)</f>
        <v>#REF!</v>
      </c>
    </row>
    <row r="2698" spans="1:20" x14ac:dyDescent="0.25">
      <c r="A2698" s="22">
        <v>45761</v>
      </c>
      <c r="B2698" s="1">
        <v>311430790</v>
      </c>
      <c r="C2698" s="3" t="s">
        <v>2462</v>
      </c>
      <c r="D2698" s="23">
        <v>-61.65</v>
      </c>
      <c r="E2698" t="s">
        <v>35</v>
      </c>
      <c r="F2698" s="2">
        <v>212901001</v>
      </c>
      <c r="G2698" s="2" t="s">
        <v>91</v>
      </c>
      <c r="I2698" s="95" t="s">
        <v>7231</v>
      </c>
      <c r="J2698" t="s">
        <v>61</v>
      </c>
      <c r="K2698" t="s">
        <v>62</v>
      </c>
      <c r="M2698">
        <v>78.36</v>
      </c>
      <c r="N2698" s="4">
        <f t="shared" si="41"/>
        <v>-0.78675344563552829</v>
      </c>
      <c r="O2698" t="s">
        <v>83</v>
      </c>
      <c r="R2698">
        <v>28</v>
      </c>
      <c r="S2698" t="e">
        <f>VLOOKUP(R2698,[1]!NOMINA[#Data],4,FALSE)</f>
        <v>#REF!</v>
      </c>
      <c r="T2698" t="e">
        <f>VLOOKUP(R2698,[1]!NOMINA[#Data],5,FALSE)</f>
        <v>#REF!</v>
      </c>
    </row>
    <row r="2699" spans="1:20" x14ac:dyDescent="0.25">
      <c r="A2699" s="22">
        <v>45761</v>
      </c>
      <c r="B2699" s="1">
        <v>311430792</v>
      </c>
      <c r="C2699" t="s">
        <v>2463</v>
      </c>
      <c r="D2699" s="23">
        <v>-61.65</v>
      </c>
      <c r="E2699" t="s">
        <v>35</v>
      </c>
      <c r="F2699" s="2">
        <v>212901001</v>
      </c>
      <c r="G2699" s="2" t="s">
        <v>91</v>
      </c>
      <c r="I2699" s="95" t="s">
        <v>7231</v>
      </c>
      <c r="J2699" t="s">
        <v>61</v>
      </c>
      <c r="K2699" t="s">
        <v>62</v>
      </c>
      <c r="M2699">
        <v>78.36</v>
      </c>
      <c r="N2699" s="4">
        <f t="shared" si="41"/>
        <v>-0.78675344563552829</v>
      </c>
      <c r="O2699" t="s">
        <v>83</v>
      </c>
      <c r="R2699">
        <v>6</v>
      </c>
      <c r="S2699" t="e">
        <f>VLOOKUP(R2699,[1]!NOMINA[#Data],4,FALSE)</f>
        <v>#REF!</v>
      </c>
      <c r="T2699" t="e">
        <f>VLOOKUP(R2699,[1]!NOMINA[#Data],5,FALSE)</f>
        <v>#REF!</v>
      </c>
    </row>
    <row r="2700" spans="1:20" x14ac:dyDescent="0.25">
      <c r="A2700" s="22">
        <v>45761</v>
      </c>
      <c r="B2700" s="1">
        <v>311430793</v>
      </c>
      <c r="C2700" t="s">
        <v>2464</v>
      </c>
      <c r="D2700" s="23">
        <v>-61.65</v>
      </c>
      <c r="E2700" t="s">
        <v>35</v>
      </c>
      <c r="F2700" s="2">
        <v>212901001</v>
      </c>
      <c r="G2700" s="2" t="s">
        <v>91</v>
      </c>
      <c r="I2700" s="95" t="s">
        <v>7231</v>
      </c>
      <c r="J2700" t="s">
        <v>61</v>
      </c>
      <c r="K2700" t="s">
        <v>62</v>
      </c>
      <c r="M2700">
        <v>78.36</v>
      </c>
      <c r="N2700" s="4">
        <f t="shared" ref="N2700:N2763" si="42">D2700/M2700</f>
        <v>-0.78675344563552829</v>
      </c>
      <c r="O2700" t="s">
        <v>83</v>
      </c>
      <c r="R2700">
        <v>24</v>
      </c>
      <c r="S2700" t="e">
        <f>VLOOKUP(R2700,[1]!NOMINA[#Data],4,FALSE)</f>
        <v>#REF!</v>
      </c>
      <c r="T2700" t="e">
        <f>VLOOKUP(R2700,[1]!NOMINA[#Data],5,FALSE)</f>
        <v>#REF!</v>
      </c>
    </row>
    <row r="2701" spans="1:20" x14ac:dyDescent="0.25">
      <c r="A2701" s="22">
        <v>45761</v>
      </c>
      <c r="B2701" s="1">
        <v>411430794</v>
      </c>
      <c r="C2701" t="s">
        <v>2465</v>
      </c>
      <c r="D2701" s="23">
        <v>-61.65</v>
      </c>
      <c r="E2701" t="s">
        <v>35</v>
      </c>
      <c r="F2701" s="2">
        <v>212901001</v>
      </c>
      <c r="G2701" s="2" t="s">
        <v>91</v>
      </c>
      <c r="I2701" s="95" t="s">
        <v>7231</v>
      </c>
      <c r="J2701" t="s">
        <v>61</v>
      </c>
      <c r="K2701" t="s">
        <v>62</v>
      </c>
      <c r="M2701">
        <v>78.36</v>
      </c>
      <c r="N2701" s="4">
        <f t="shared" si="42"/>
        <v>-0.78675344563552829</v>
      </c>
      <c r="O2701" t="s">
        <v>83</v>
      </c>
      <c r="R2701">
        <v>3</v>
      </c>
      <c r="S2701" t="e">
        <f>VLOOKUP(R2701,[1]!NOMINA[#Data],4,FALSE)</f>
        <v>#REF!</v>
      </c>
      <c r="T2701" t="e">
        <f>VLOOKUP(R2701,[1]!NOMINA[#Data],5,FALSE)</f>
        <v>#REF!</v>
      </c>
    </row>
    <row r="2702" spans="1:20" x14ac:dyDescent="0.25">
      <c r="A2702" s="22">
        <v>45761</v>
      </c>
      <c r="B2702" s="1">
        <v>411430796</v>
      </c>
      <c r="C2702" s="3" t="s">
        <v>2466</v>
      </c>
      <c r="D2702" s="23">
        <v>-61.65</v>
      </c>
      <c r="E2702" t="s">
        <v>35</v>
      </c>
      <c r="F2702" s="2">
        <v>212901001</v>
      </c>
      <c r="G2702" s="2" t="s">
        <v>91</v>
      </c>
      <c r="I2702" s="95" t="s">
        <v>7231</v>
      </c>
      <c r="J2702" t="s">
        <v>61</v>
      </c>
      <c r="K2702" t="s">
        <v>62</v>
      </c>
      <c r="M2702">
        <v>78.36</v>
      </c>
      <c r="N2702" s="4">
        <f t="shared" si="42"/>
        <v>-0.78675344563552829</v>
      </c>
      <c r="O2702" t="s">
        <v>83</v>
      </c>
      <c r="R2702">
        <v>27</v>
      </c>
      <c r="S2702" t="e">
        <f>VLOOKUP(R2702,[1]!NOMINA[#Data],4,FALSE)</f>
        <v>#REF!</v>
      </c>
      <c r="T2702" t="e">
        <f>VLOOKUP(R2702,[1]!NOMINA[#Data],5,FALSE)</f>
        <v>#REF!</v>
      </c>
    </row>
    <row r="2703" spans="1:20" x14ac:dyDescent="0.25">
      <c r="A2703" s="22">
        <v>45761</v>
      </c>
      <c r="B2703" s="1">
        <v>411430795</v>
      </c>
      <c r="C2703" t="s">
        <v>2467</v>
      </c>
      <c r="D2703" s="23">
        <v>-61.65</v>
      </c>
      <c r="E2703" t="s">
        <v>35</v>
      </c>
      <c r="F2703" s="2">
        <v>212901001</v>
      </c>
      <c r="G2703" s="2" t="s">
        <v>91</v>
      </c>
      <c r="I2703" s="95" t="s">
        <v>7231</v>
      </c>
      <c r="J2703" t="s">
        <v>61</v>
      </c>
      <c r="K2703" t="s">
        <v>62</v>
      </c>
      <c r="M2703">
        <v>78.36</v>
      </c>
      <c r="N2703" s="4">
        <f t="shared" si="42"/>
        <v>-0.78675344563552829</v>
      </c>
      <c r="O2703" t="s">
        <v>83</v>
      </c>
      <c r="R2703">
        <v>19</v>
      </c>
      <c r="S2703" t="e">
        <f>VLOOKUP(R2703,[1]!NOMINA[#Data],4,FALSE)</f>
        <v>#REF!</v>
      </c>
      <c r="T2703" t="e">
        <f>VLOOKUP(R2703,[1]!NOMINA[#Data],5,FALSE)</f>
        <v>#REF!</v>
      </c>
    </row>
    <row r="2704" spans="1:20" x14ac:dyDescent="0.25">
      <c r="A2704" s="22">
        <v>45761</v>
      </c>
      <c r="B2704" s="1">
        <v>411430798</v>
      </c>
      <c r="C2704" t="s">
        <v>2468</v>
      </c>
      <c r="D2704" s="23">
        <v>-61.65</v>
      </c>
      <c r="E2704" t="s">
        <v>35</v>
      </c>
      <c r="F2704" s="2">
        <v>212901001</v>
      </c>
      <c r="G2704" s="2" t="s">
        <v>91</v>
      </c>
      <c r="I2704" s="95" t="s">
        <v>7231</v>
      </c>
      <c r="J2704" t="s">
        <v>61</v>
      </c>
      <c r="K2704" t="s">
        <v>62</v>
      </c>
      <c r="M2704">
        <v>78.36</v>
      </c>
      <c r="N2704" s="4">
        <f t="shared" si="42"/>
        <v>-0.78675344563552829</v>
      </c>
      <c r="O2704" t="s">
        <v>83</v>
      </c>
      <c r="R2704">
        <v>5</v>
      </c>
      <c r="S2704" t="e">
        <f>VLOOKUP(R2704,[1]!NOMINA[#Data],4,FALSE)</f>
        <v>#REF!</v>
      </c>
      <c r="T2704" t="e">
        <f>VLOOKUP(R2704,[1]!NOMINA[#Data],5,FALSE)</f>
        <v>#REF!</v>
      </c>
    </row>
    <row r="2705" spans="1:20" x14ac:dyDescent="0.25">
      <c r="A2705" s="22">
        <v>45761</v>
      </c>
      <c r="B2705" s="1">
        <v>411430797</v>
      </c>
      <c r="C2705" t="s">
        <v>2469</v>
      </c>
      <c r="D2705" s="23">
        <v>-61.65</v>
      </c>
      <c r="E2705" t="s">
        <v>35</v>
      </c>
      <c r="F2705" s="2">
        <v>212901001</v>
      </c>
      <c r="G2705" s="2" t="s">
        <v>91</v>
      </c>
      <c r="I2705" s="95" t="s">
        <v>7231</v>
      </c>
      <c r="J2705" t="s">
        <v>61</v>
      </c>
      <c r="K2705" t="s">
        <v>62</v>
      </c>
      <c r="M2705">
        <v>78.36</v>
      </c>
      <c r="N2705" s="4">
        <f t="shared" si="42"/>
        <v>-0.78675344563552829</v>
      </c>
      <c r="O2705" t="s">
        <v>83</v>
      </c>
      <c r="R2705">
        <v>16</v>
      </c>
      <c r="S2705" t="e">
        <f>VLOOKUP(Tabla3[[#This Row],[Nº]],[1]!NOMINA[#Data],4,FALSE)</f>
        <v>#REF!</v>
      </c>
      <c r="T2705" t="e">
        <f>VLOOKUP(Tabla3[[#This Row],[Nº]],[1]!NOMINA[#Data],5,FALSE)</f>
        <v>#REF!</v>
      </c>
    </row>
    <row r="2706" spans="1:20" x14ac:dyDescent="0.25">
      <c r="A2706" s="22">
        <v>45761</v>
      </c>
      <c r="B2706" s="1">
        <v>411430801</v>
      </c>
      <c r="C2706" s="3" t="s">
        <v>2470</v>
      </c>
      <c r="D2706" s="23">
        <v>-61.65</v>
      </c>
      <c r="E2706" t="s">
        <v>35</v>
      </c>
      <c r="F2706" s="2">
        <v>212901001</v>
      </c>
      <c r="G2706" s="2" t="s">
        <v>91</v>
      </c>
      <c r="I2706" s="95" t="s">
        <v>7231</v>
      </c>
      <c r="J2706" t="s">
        <v>61</v>
      </c>
      <c r="K2706" t="s">
        <v>62</v>
      </c>
      <c r="M2706">
        <v>78.36</v>
      </c>
      <c r="N2706" s="4">
        <f t="shared" si="42"/>
        <v>-0.78675344563552829</v>
      </c>
      <c r="O2706" t="s">
        <v>83</v>
      </c>
      <c r="R2706">
        <v>37</v>
      </c>
      <c r="S2706" t="e">
        <f>VLOOKUP(Tabla3[[#This Row],[Nº]],[1]!NOMINA[#Data],4,FALSE)</f>
        <v>#REF!</v>
      </c>
      <c r="T2706" t="e">
        <f>VLOOKUP(Tabla3[[#This Row],[Nº]],[1]!NOMINA[#Data],5,FALSE)</f>
        <v>#REF!</v>
      </c>
    </row>
    <row r="2707" spans="1:20" x14ac:dyDescent="0.25">
      <c r="A2707" s="22">
        <v>45761</v>
      </c>
      <c r="B2707" s="1">
        <v>411430799</v>
      </c>
      <c r="C2707" t="s">
        <v>2471</v>
      </c>
      <c r="D2707" s="23">
        <v>-61.65</v>
      </c>
      <c r="E2707" t="s">
        <v>35</v>
      </c>
      <c r="F2707" s="2">
        <v>212901001</v>
      </c>
      <c r="G2707" s="2" t="s">
        <v>91</v>
      </c>
      <c r="I2707" s="95" t="s">
        <v>7231</v>
      </c>
      <c r="J2707" t="s">
        <v>61</v>
      </c>
      <c r="K2707" t="s">
        <v>62</v>
      </c>
      <c r="M2707">
        <v>78.36</v>
      </c>
      <c r="N2707" s="4">
        <f t="shared" si="42"/>
        <v>-0.78675344563552829</v>
      </c>
      <c r="O2707" t="s">
        <v>83</v>
      </c>
      <c r="R2707">
        <v>7</v>
      </c>
      <c r="S2707" t="e">
        <f>VLOOKUP(R2707,[1]!NOMINA[#Data],4,FALSE)</f>
        <v>#REF!</v>
      </c>
      <c r="T2707" t="e">
        <f>VLOOKUP(R2707,[1]!NOMINA[#Data],5,FALSE)</f>
        <v>#REF!</v>
      </c>
    </row>
    <row r="2708" spans="1:20" x14ac:dyDescent="0.25">
      <c r="A2708" s="22">
        <v>45761</v>
      </c>
      <c r="B2708" s="1">
        <v>411430800</v>
      </c>
      <c r="C2708" t="s">
        <v>2444</v>
      </c>
      <c r="D2708" s="23">
        <v>-61.65</v>
      </c>
      <c r="E2708" t="s">
        <v>35</v>
      </c>
      <c r="F2708" s="2">
        <v>212901001</v>
      </c>
      <c r="G2708" s="2" t="s">
        <v>91</v>
      </c>
      <c r="I2708" s="95" t="s">
        <v>7231</v>
      </c>
      <c r="J2708" t="s">
        <v>61</v>
      </c>
      <c r="K2708" t="s">
        <v>62</v>
      </c>
      <c r="M2708">
        <v>78.36</v>
      </c>
      <c r="N2708" s="4">
        <f t="shared" si="42"/>
        <v>-0.78675344563552829</v>
      </c>
      <c r="O2708" t="s">
        <v>83</v>
      </c>
      <c r="R2708">
        <v>1</v>
      </c>
      <c r="S2708" t="e">
        <f>VLOOKUP(R2708,[1]!NOMINA[#Data],4,FALSE)</f>
        <v>#REF!</v>
      </c>
      <c r="T2708" t="e">
        <f>VLOOKUP(R2708,[1]!NOMINA[#Data],5,FALSE)</f>
        <v>#REF!</v>
      </c>
    </row>
    <row r="2709" spans="1:20" x14ac:dyDescent="0.25">
      <c r="A2709" s="22">
        <v>45761</v>
      </c>
      <c r="B2709" s="1">
        <v>50448173</v>
      </c>
      <c r="C2709" s="3" t="s">
        <v>2472</v>
      </c>
      <c r="D2709" s="23">
        <v>-11097.87</v>
      </c>
      <c r="E2709" t="s">
        <v>35</v>
      </c>
      <c r="F2709" s="2">
        <v>212901001</v>
      </c>
      <c r="G2709" s="2" t="s">
        <v>91</v>
      </c>
      <c r="I2709" s="95" t="s">
        <v>7231</v>
      </c>
      <c r="J2709" t="s">
        <v>61</v>
      </c>
      <c r="K2709" t="s">
        <v>62</v>
      </c>
      <c r="M2709">
        <v>78.36</v>
      </c>
      <c r="N2709" s="4">
        <f t="shared" si="42"/>
        <v>-141.62672281776418</v>
      </c>
      <c r="O2709" t="s">
        <v>83</v>
      </c>
      <c r="R2709">
        <v>40</v>
      </c>
      <c r="S2709" t="e">
        <f>VLOOKUP(R2709,[1]!NOMINA[#Data],4,FALSE)</f>
        <v>#REF!</v>
      </c>
      <c r="T2709" t="e">
        <f>VLOOKUP(R2709,[1]!NOMINA[#Data],5,FALSE)</f>
        <v>#REF!</v>
      </c>
    </row>
    <row r="2710" spans="1:20" x14ac:dyDescent="0.25">
      <c r="A2710" s="22">
        <v>45761</v>
      </c>
      <c r="B2710" s="1">
        <v>50448173</v>
      </c>
      <c r="C2710" t="s">
        <v>179</v>
      </c>
      <c r="D2710" s="23">
        <v>-16.64</v>
      </c>
      <c r="E2710" t="s">
        <v>35</v>
      </c>
      <c r="F2710" s="2">
        <v>610148001</v>
      </c>
      <c r="G2710" s="2" t="s">
        <v>41</v>
      </c>
      <c r="I2710" s="95" t="s">
        <v>7231</v>
      </c>
      <c r="J2710" t="s">
        <v>42</v>
      </c>
      <c r="K2710" t="s">
        <v>41</v>
      </c>
      <c r="M2710">
        <v>78.36</v>
      </c>
      <c r="N2710" s="4">
        <f t="shared" si="42"/>
        <v>-0.21235324144971926</v>
      </c>
      <c r="O2710" t="s">
        <v>83</v>
      </c>
      <c r="Q2710" s="24" t="s">
        <v>2195</v>
      </c>
    </row>
    <row r="2711" spans="1:20" x14ac:dyDescent="0.25">
      <c r="A2711" s="22">
        <v>45761</v>
      </c>
      <c r="B2711" s="1">
        <v>50448173</v>
      </c>
      <c r="C2711" t="s">
        <v>89</v>
      </c>
      <c r="D2711" s="23">
        <v>-730.54</v>
      </c>
      <c r="E2711" t="s">
        <v>35</v>
      </c>
      <c r="F2711" s="2">
        <v>610148001</v>
      </c>
      <c r="G2711" s="2" t="s">
        <v>41</v>
      </c>
      <c r="I2711" s="95" t="s">
        <v>7231</v>
      </c>
      <c r="J2711" t="s">
        <v>42</v>
      </c>
      <c r="K2711" t="s">
        <v>41</v>
      </c>
      <c r="M2711">
        <v>78.36</v>
      </c>
      <c r="N2711" s="4">
        <f t="shared" si="42"/>
        <v>-9.3228688106176616</v>
      </c>
      <c r="O2711" t="s">
        <v>83</v>
      </c>
      <c r="Q2711" s="24" t="s">
        <v>2195</v>
      </c>
    </row>
    <row r="2712" spans="1:20" x14ac:dyDescent="0.25">
      <c r="A2712" s="22">
        <v>45762</v>
      </c>
      <c r="B2712" s="1">
        <v>111950484</v>
      </c>
      <c r="C2712" t="s">
        <v>82</v>
      </c>
      <c r="D2712" s="23">
        <v>650000</v>
      </c>
      <c r="E2712" t="s">
        <v>45</v>
      </c>
      <c r="F2712" s="2">
        <v>210115002</v>
      </c>
      <c r="G2712" s="2" t="s">
        <v>46</v>
      </c>
      <c r="I2712" s="95" t="s">
        <v>7231</v>
      </c>
      <c r="K2712" t="s">
        <v>82</v>
      </c>
      <c r="M2712">
        <v>78.59</v>
      </c>
      <c r="N2712" s="4">
        <f t="shared" si="42"/>
        <v>8270.772362896043</v>
      </c>
      <c r="O2712" t="s">
        <v>83</v>
      </c>
    </row>
    <row r="2713" spans="1:20" x14ac:dyDescent="0.25">
      <c r="A2713" s="22">
        <v>45762</v>
      </c>
      <c r="B2713" s="1">
        <v>511470608</v>
      </c>
      <c r="C2713" t="s">
        <v>2473</v>
      </c>
      <c r="D2713" s="59">
        <v>-174277.6</v>
      </c>
      <c r="E2713" t="s">
        <v>35</v>
      </c>
      <c r="F2713" s="2">
        <v>110114001</v>
      </c>
      <c r="G2713" s="2" t="s">
        <v>181</v>
      </c>
      <c r="I2713" s="95" t="s">
        <v>7231</v>
      </c>
      <c r="J2713" t="s">
        <v>37</v>
      </c>
      <c r="K2713" t="s">
        <v>38</v>
      </c>
      <c r="M2713">
        <v>78.59</v>
      </c>
      <c r="N2713" s="4">
        <f t="shared" si="42"/>
        <v>-2217.5543962336174</v>
      </c>
      <c r="O2713" t="s">
        <v>83</v>
      </c>
      <c r="P2713" s="34" t="s">
        <v>2474</v>
      </c>
    </row>
    <row r="2714" spans="1:20" x14ac:dyDescent="0.25">
      <c r="A2714" s="22">
        <v>45762</v>
      </c>
      <c r="B2714" s="1">
        <v>511470610</v>
      </c>
      <c r="C2714" t="s">
        <v>2475</v>
      </c>
      <c r="D2714" s="23">
        <v>-22791.1</v>
      </c>
      <c r="E2714" t="s">
        <v>35</v>
      </c>
      <c r="F2714" s="2">
        <v>210101001</v>
      </c>
      <c r="G2714" s="2" t="s">
        <v>36</v>
      </c>
      <c r="I2714" s="95" t="s">
        <v>7231</v>
      </c>
      <c r="J2714" t="s">
        <v>1007</v>
      </c>
      <c r="K2714" t="s">
        <v>1008</v>
      </c>
      <c r="M2714">
        <v>78.59</v>
      </c>
      <c r="N2714" s="4">
        <f t="shared" si="42"/>
        <v>-289.99999999999994</v>
      </c>
      <c r="O2714" t="s">
        <v>83</v>
      </c>
    </row>
    <row r="2715" spans="1:20" x14ac:dyDescent="0.25">
      <c r="A2715" s="22">
        <v>45762</v>
      </c>
      <c r="B2715" s="1">
        <v>511470609</v>
      </c>
      <c r="C2715" t="s">
        <v>2476</v>
      </c>
      <c r="D2715" s="23">
        <v>-590</v>
      </c>
      <c r="E2715" t="s">
        <v>35</v>
      </c>
      <c r="F2715" s="2">
        <v>110114001</v>
      </c>
      <c r="G2715" s="2" t="s">
        <v>181</v>
      </c>
      <c r="I2715" s="95" t="s">
        <v>7231</v>
      </c>
      <c r="J2715" t="s">
        <v>414</v>
      </c>
      <c r="K2715" t="s">
        <v>415</v>
      </c>
      <c r="M2715">
        <v>78.59</v>
      </c>
      <c r="N2715" s="4">
        <f t="shared" si="42"/>
        <v>-7.5073164524748695</v>
      </c>
      <c r="O2715" t="s">
        <v>83</v>
      </c>
      <c r="P2715" s="34" t="s">
        <v>1529</v>
      </c>
    </row>
    <row r="2716" spans="1:20" x14ac:dyDescent="0.25">
      <c r="A2716" s="22">
        <v>45762</v>
      </c>
      <c r="B2716" s="1">
        <v>511470607</v>
      </c>
      <c r="C2716" t="s">
        <v>2473</v>
      </c>
      <c r="D2716" s="23">
        <v>-200000</v>
      </c>
      <c r="E2716" t="s">
        <v>35</v>
      </c>
      <c r="F2716" s="2">
        <v>110114001</v>
      </c>
      <c r="G2716" s="2" t="s">
        <v>181</v>
      </c>
      <c r="I2716" s="95" t="s">
        <v>7231</v>
      </c>
      <c r="J2716" t="s">
        <v>37</v>
      </c>
      <c r="K2716" t="s">
        <v>38</v>
      </c>
      <c r="M2716">
        <v>78.59</v>
      </c>
      <c r="N2716" s="4">
        <f t="shared" si="42"/>
        <v>-2544.8530347372439</v>
      </c>
      <c r="O2716" t="s">
        <v>83</v>
      </c>
      <c r="P2716" s="34" t="s">
        <v>1339</v>
      </c>
    </row>
    <row r="2717" spans="1:20" x14ac:dyDescent="0.25">
      <c r="A2717" s="22">
        <v>45762</v>
      </c>
      <c r="B2717" s="1">
        <v>50453648</v>
      </c>
      <c r="C2717" t="s">
        <v>89</v>
      </c>
      <c r="D2717" s="23">
        <v>-994.14</v>
      </c>
      <c r="E2717" t="s">
        <v>35</v>
      </c>
      <c r="F2717" s="2">
        <v>610148001</v>
      </c>
      <c r="G2717" s="2" t="s">
        <v>41</v>
      </c>
      <c r="I2717" s="95" t="s">
        <v>7231</v>
      </c>
      <c r="J2717" t="s">
        <v>42</v>
      </c>
      <c r="K2717" t="s">
        <v>41</v>
      </c>
      <c r="M2717">
        <v>78.59</v>
      </c>
      <c r="N2717" s="4">
        <f t="shared" si="42"/>
        <v>-12.649700979768417</v>
      </c>
      <c r="O2717" t="s">
        <v>83</v>
      </c>
      <c r="Q2717" s="24" t="s">
        <v>2195</v>
      </c>
    </row>
    <row r="2718" spans="1:20" x14ac:dyDescent="0.25">
      <c r="A2718" s="22">
        <v>45762</v>
      </c>
      <c r="B2718" s="1">
        <v>113246460</v>
      </c>
      <c r="C2718" t="s">
        <v>2477</v>
      </c>
      <c r="D2718" s="23">
        <v>-255250.89</v>
      </c>
      <c r="E2718" t="s">
        <v>35</v>
      </c>
      <c r="I2718" s="95" t="s">
        <v>7231</v>
      </c>
      <c r="K2718" t="s">
        <v>1317</v>
      </c>
      <c r="M2718">
        <v>78.59</v>
      </c>
      <c r="N2718" s="4">
        <f t="shared" si="42"/>
        <v>-3247.8800101794122</v>
      </c>
      <c r="O2718" t="s">
        <v>83</v>
      </c>
      <c r="P2718" s="3" t="s">
        <v>901</v>
      </c>
    </row>
    <row r="2719" spans="1:20" x14ac:dyDescent="0.25">
      <c r="A2719" s="22">
        <v>45762</v>
      </c>
      <c r="B2719" s="1">
        <v>131705670</v>
      </c>
      <c r="C2719" t="s">
        <v>82</v>
      </c>
      <c r="D2719" s="23">
        <v>132000</v>
      </c>
      <c r="E2719" t="s">
        <v>45</v>
      </c>
      <c r="F2719" s="2">
        <v>210115002</v>
      </c>
      <c r="G2719" s="2" t="s">
        <v>46</v>
      </c>
      <c r="I2719" s="95" t="s">
        <v>7231</v>
      </c>
      <c r="K2719" t="s">
        <v>82</v>
      </c>
      <c r="M2719">
        <v>78.59</v>
      </c>
      <c r="N2719" s="4">
        <f t="shared" si="42"/>
        <v>1679.603002926581</v>
      </c>
      <c r="O2719" t="s">
        <v>83</v>
      </c>
    </row>
    <row r="2720" spans="1:20" x14ac:dyDescent="0.25">
      <c r="A2720" s="22">
        <v>45762</v>
      </c>
      <c r="B2720" s="1">
        <v>111480218</v>
      </c>
      <c r="C2720" t="s">
        <v>2478</v>
      </c>
      <c r="D2720" s="23">
        <v>-57185.56</v>
      </c>
      <c r="E2720" t="s">
        <v>35</v>
      </c>
      <c r="F2720" s="2">
        <v>110114001</v>
      </c>
      <c r="G2720" s="2" t="s">
        <v>181</v>
      </c>
      <c r="I2720" s="95" t="s">
        <v>7231</v>
      </c>
      <c r="J2720" t="s">
        <v>928</v>
      </c>
      <c r="K2720" t="s">
        <v>929</v>
      </c>
      <c r="M2720">
        <v>78.59</v>
      </c>
      <c r="N2720" s="4">
        <f t="shared" si="42"/>
        <v>-727.64422954574366</v>
      </c>
      <c r="O2720" t="s">
        <v>83</v>
      </c>
      <c r="P2720" s="34" t="s">
        <v>1529</v>
      </c>
    </row>
    <row r="2721" spans="1:17" x14ac:dyDescent="0.25">
      <c r="A2721" s="22">
        <v>45762</v>
      </c>
      <c r="B2721" s="1">
        <v>111480219</v>
      </c>
      <c r="C2721" t="s">
        <v>2479</v>
      </c>
      <c r="D2721" s="23">
        <v>-65820.7</v>
      </c>
      <c r="E2721" t="s">
        <v>35</v>
      </c>
      <c r="F2721" s="2">
        <v>110114001</v>
      </c>
      <c r="G2721" s="2" t="s">
        <v>181</v>
      </c>
      <c r="I2721" s="95" t="s">
        <v>7231</v>
      </c>
      <c r="J2721" t="s">
        <v>928</v>
      </c>
      <c r="K2721" t="s">
        <v>929</v>
      </c>
      <c r="M2721">
        <v>78.59</v>
      </c>
      <c r="N2721" s="4">
        <f t="shared" si="42"/>
        <v>-837.5200407176485</v>
      </c>
      <c r="O2721" t="s">
        <v>83</v>
      </c>
      <c r="P2721" s="34" t="s">
        <v>1529</v>
      </c>
    </row>
    <row r="2722" spans="1:17" x14ac:dyDescent="0.25">
      <c r="A2722" s="22">
        <v>45762</v>
      </c>
      <c r="B2722" s="1">
        <v>111480217</v>
      </c>
      <c r="C2722" t="s">
        <v>2480</v>
      </c>
      <c r="D2722" s="23">
        <v>-8605.92</v>
      </c>
      <c r="E2722" t="s">
        <v>35</v>
      </c>
      <c r="F2722" s="2">
        <v>110114001</v>
      </c>
      <c r="G2722" s="2" t="s">
        <v>181</v>
      </c>
      <c r="I2722" s="95" t="s">
        <v>7231</v>
      </c>
      <c r="J2722" t="s">
        <v>680</v>
      </c>
      <c r="K2722" t="s">
        <v>681</v>
      </c>
      <c r="M2722">
        <v>78.59</v>
      </c>
      <c r="N2722" s="4">
        <f t="shared" si="42"/>
        <v>-109.5040081435297</v>
      </c>
      <c r="O2722" t="s">
        <v>83</v>
      </c>
      <c r="P2722" s="34" t="s">
        <v>1529</v>
      </c>
    </row>
    <row r="2723" spans="1:17" x14ac:dyDescent="0.25">
      <c r="A2723" s="22">
        <v>45762</v>
      </c>
      <c r="B2723" s="1">
        <v>50492367</v>
      </c>
      <c r="C2723" t="s">
        <v>89</v>
      </c>
      <c r="D2723" s="23">
        <v>-329.03</v>
      </c>
      <c r="E2723" t="s">
        <v>35</v>
      </c>
      <c r="F2723" s="2">
        <v>610148001</v>
      </c>
      <c r="G2723" s="2" t="s">
        <v>41</v>
      </c>
      <c r="I2723" s="95" t="s">
        <v>7231</v>
      </c>
      <c r="J2723" t="s">
        <v>42</v>
      </c>
      <c r="K2723" t="s">
        <v>41</v>
      </c>
      <c r="M2723">
        <v>78.59</v>
      </c>
      <c r="N2723" s="4">
        <f t="shared" si="42"/>
        <v>-4.1866649700979766</v>
      </c>
      <c r="O2723" t="s">
        <v>83</v>
      </c>
      <c r="Q2723" s="24" t="s">
        <v>2195</v>
      </c>
    </row>
    <row r="2724" spans="1:17" x14ac:dyDescent="0.25">
      <c r="A2724" s="22">
        <v>45763</v>
      </c>
      <c r="B2724" s="1">
        <v>13027043</v>
      </c>
      <c r="C2724" t="s">
        <v>2481</v>
      </c>
      <c r="D2724" s="23">
        <v>17768.599999999999</v>
      </c>
      <c r="E2724" t="s">
        <v>45</v>
      </c>
      <c r="F2724" s="2">
        <v>110106001</v>
      </c>
      <c r="G2724" s="2" t="s">
        <v>1011</v>
      </c>
      <c r="I2724" s="95" t="s">
        <v>7231</v>
      </c>
      <c r="K2724" t="s">
        <v>2395</v>
      </c>
      <c r="M2724">
        <v>79.78</v>
      </c>
      <c r="N2724" s="4">
        <f t="shared" si="42"/>
        <v>222.71997994484832</v>
      </c>
      <c r="O2724" t="s">
        <v>83</v>
      </c>
    </row>
    <row r="2725" spans="1:17" x14ac:dyDescent="0.25">
      <c r="A2725" s="22">
        <v>45763</v>
      </c>
      <c r="B2725" s="1">
        <v>13027043</v>
      </c>
      <c r="C2725" t="s">
        <v>1013</v>
      </c>
      <c r="D2725" s="23">
        <v>-266.52</v>
      </c>
      <c r="E2725" t="s">
        <v>35</v>
      </c>
      <c r="F2725" s="2">
        <v>610148001</v>
      </c>
      <c r="G2725" s="2" t="s">
        <v>41</v>
      </c>
      <c r="I2725" s="95" t="s">
        <v>7231</v>
      </c>
      <c r="J2725" t="s">
        <v>42</v>
      </c>
      <c r="K2725" t="s">
        <v>41</v>
      </c>
      <c r="M2725">
        <v>79.78</v>
      </c>
      <c r="N2725" s="4">
        <f t="shared" si="42"/>
        <v>-3.3406868889445973</v>
      </c>
      <c r="O2725" t="s">
        <v>83</v>
      </c>
      <c r="Q2725" s="24" t="s">
        <v>2195</v>
      </c>
    </row>
    <row r="2726" spans="1:17" x14ac:dyDescent="0.25">
      <c r="A2726" s="22">
        <v>45763</v>
      </c>
      <c r="B2726" s="1">
        <v>111555359</v>
      </c>
      <c r="C2726" t="s">
        <v>2482</v>
      </c>
      <c r="D2726" s="23">
        <v>-37017.919999999998</v>
      </c>
      <c r="E2726" t="s">
        <v>35</v>
      </c>
      <c r="F2726" s="2">
        <v>210101001</v>
      </c>
      <c r="G2726" s="2" t="s">
        <v>36</v>
      </c>
      <c r="I2726" s="95" t="s">
        <v>7231</v>
      </c>
      <c r="J2726" t="s">
        <v>928</v>
      </c>
      <c r="K2726" t="s">
        <v>929</v>
      </c>
      <c r="M2726">
        <v>79.78</v>
      </c>
      <c r="N2726" s="4">
        <f t="shared" si="42"/>
        <v>-463.99999999999994</v>
      </c>
      <c r="O2726" t="s">
        <v>83</v>
      </c>
    </row>
    <row r="2727" spans="1:17" x14ac:dyDescent="0.25">
      <c r="A2727" s="22">
        <v>45763</v>
      </c>
      <c r="B2727" s="1">
        <v>111555359</v>
      </c>
      <c r="C2727" t="s">
        <v>185</v>
      </c>
      <c r="D2727" s="23">
        <v>-111.05</v>
      </c>
      <c r="E2727" t="s">
        <v>35</v>
      </c>
      <c r="F2727" s="2">
        <v>610148001</v>
      </c>
      <c r="G2727" s="2" t="s">
        <v>41</v>
      </c>
      <c r="I2727" s="95" t="s">
        <v>7231</v>
      </c>
      <c r="J2727" t="s">
        <v>42</v>
      </c>
      <c r="K2727" t="s">
        <v>41</v>
      </c>
      <c r="M2727">
        <v>79.78</v>
      </c>
      <c r="N2727" s="4">
        <f t="shared" si="42"/>
        <v>-1.3919528703935824</v>
      </c>
      <c r="O2727" t="s">
        <v>83</v>
      </c>
      <c r="Q2727" s="24" t="s">
        <v>2195</v>
      </c>
    </row>
    <row r="2728" spans="1:17" x14ac:dyDescent="0.25">
      <c r="A2728" s="22">
        <v>45763</v>
      </c>
      <c r="B2728" s="1">
        <v>120331177</v>
      </c>
      <c r="C2728" t="s">
        <v>82</v>
      </c>
      <c r="D2728" s="23">
        <v>65000</v>
      </c>
      <c r="E2728" t="s">
        <v>45</v>
      </c>
      <c r="F2728" s="2">
        <v>210115002</v>
      </c>
      <c r="G2728" s="2" t="s">
        <v>46</v>
      </c>
      <c r="I2728" s="95" t="s">
        <v>7231</v>
      </c>
      <c r="K2728" t="s">
        <v>82</v>
      </c>
      <c r="M2728">
        <v>79.78</v>
      </c>
      <c r="N2728" s="4">
        <f t="shared" si="42"/>
        <v>814.74053647530707</v>
      </c>
      <c r="O2728" t="s">
        <v>83</v>
      </c>
    </row>
    <row r="2729" spans="1:17" x14ac:dyDescent="0.25">
      <c r="A2729" s="22">
        <v>45763</v>
      </c>
      <c r="B2729" s="1">
        <v>120858207</v>
      </c>
      <c r="C2729" t="s">
        <v>82</v>
      </c>
      <c r="D2729" s="23">
        <v>40000</v>
      </c>
      <c r="E2729" t="s">
        <v>45</v>
      </c>
      <c r="F2729" s="2">
        <v>210115002</v>
      </c>
      <c r="G2729" s="2" t="s">
        <v>46</v>
      </c>
      <c r="I2729" s="95" t="s">
        <v>7231</v>
      </c>
      <c r="K2729" t="s">
        <v>82</v>
      </c>
      <c r="M2729">
        <v>79.78</v>
      </c>
      <c r="N2729" s="4">
        <f t="shared" si="42"/>
        <v>501.37879167711208</v>
      </c>
      <c r="O2729" t="s">
        <v>83</v>
      </c>
    </row>
    <row r="2730" spans="1:17" x14ac:dyDescent="0.25">
      <c r="A2730" s="22">
        <v>45763</v>
      </c>
      <c r="B2730" s="1">
        <v>611559760</v>
      </c>
      <c r="C2730" t="s">
        <v>2483</v>
      </c>
      <c r="D2730" s="23">
        <v>-3989</v>
      </c>
      <c r="E2730" t="s">
        <v>35</v>
      </c>
      <c r="F2730" s="2">
        <v>212901001</v>
      </c>
      <c r="G2730" s="2" t="s">
        <v>91</v>
      </c>
      <c r="I2730" s="95" t="s">
        <v>7231</v>
      </c>
      <c r="J2730" t="s">
        <v>61</v>
      </c>
      <c r="K2730" t="s">
        <v>62</v>
      </c>
      <c r="M2730">
        <v>79.78</v>
      </c>
      <c r="N2730" s="4">
        <f t="shared" si="42"/>
        <v>-50</v>
      </c>
      <c r="O2730" t="s">
        <v>83</v>
      </c>
    </row>
    <row r="2731" spans="1:17" x14ac:dyDescent="0.25">
      <c r="A2731" s="22">
        <v>45763</v>
      </c>
      <c r="B2731" s="1">
        <v>611559759</v>
      </c>
      <c r="C2731" t="s">
        <v>2484</v>
      </c>
      <c r="D2731" s="23">
        <v>-2233.84</v>
      </c>
      <c r="E2731" t="s">
        <v>35</v>
      </c>
      <c r="F2731" s="2">
        <v>212901001</v>
      </c>
      <c r="G2731" s="2" t="s">
        <v>91</v>
      </c>
      <c r="I2731" s="95" t="s">
        <v>7231</v>
      </c>
      <c r="J2731" t="s">
        <v>61</v>
      </c>
      <c r="K2731" t="s">
        <v>62</v>
      </c>
      <c r="M2731">
        <v>79.78</v>
      </c>
      <c r="N2731" s="4">
        <f t="shared" si="42"/>
        <v>-28</v>
      </c>
      <c r="O2731" t="s">
        <v>83</v>
      </c>
    </row>
    <row r="2732" spans="1:17" x14ac:dyDescent="0.25">
      <c r="A2732" s="22">
        <v>45763</v>
      </c>
      <c r="B2732" s="1">
        <v>611559761</v>
      </c>
      <c r="C2732" t="s">
        <v>2485</v>
      </c>
      <c r="D2732" s="23">
        <v>-5584.6</v>
      </c>
      <c r="E2732" t="s">
        <v>35</v>
      </c>
      <c r="F2732" s="2">
        <v>212901001</v>
      </c>
      <c r="G2732" s="2" t="s">
        <v>91</v>
      </c>
      <c r="I2732" s="95" t="s">
        <v>7231</v>
      </c>
      <c r="J2732" t="s">
        <v>61</v>
      </c>
      <c r="K2732" t="s">
        <v>62</v>
      </c>
      <c r="M2732">
        <v>79.78</v>
      </c>
      <c r="N2732" s="4">
        <f t="shared" si="42"/>
        <v>-70</v>
      </c>
      <c r="O2732" t="s">
        <v>83</v>
      </c>
    </row>
    <row r="2733" spans="1:17" x14ac:dyDescent="0.25">
      <c r="A2733" s="22">
        <v>45763</v>
      </c>
      <c r="B2733" s="1">
        <v>611559765</v>
      </c>
      <c r="C2733" t="s">
        <v>2486</v>
      </c>
      <c r="D2733" s="23">
        <v>-1595.6</v>
      </c>
      <c r="E2733" t="s">
        <v>35</v>
      </c>
      <c r="F2733" s="2">
        <v>212901001</v>
      </c>
      <c r="G2733" s="2" t="s">
        <v>91</v>
      </c>
      <c r="I2733" s="95" t="s">
        <v>7231</v>
      </c>
      <c r="J2733" t="s">
        <v>61</v>
      </c>
      <c r="K2733" t="s">
        <v>62</v>
      </c>
      <c r="M2733">
        <v>79.78</v>
      </c>
      <c r="N2733" s="4">
        <f t="shared" si="42"/>
        <v>-20</v>
      </c>
      <c r="O2733" t="s">
        <v>83</v>
      </c>
    </row>
    <row r="2734" spans="1:17" x14ac:dyDescent="0.25">
      <c r="A2734" s="22">
        <v>45763</v>
      </c>
      <c r="B2734" s="1">
        <v>611559762</v>
      </c>
      <c r="C2734" t="s">
        <v>2487</v>
      </c>
      <c r="D2734" s="23">
        <v>-1595.6</v>
      </c>
      <c r="E2734" t="s">
        <v>35</v>
      </c>
      <c r="F2734" s="2">
        <v>212901001</v>
      </c>
      <c r="G2734" s="2" t="s">
        <v>91</v>
      </c>
      <c r="I2734" s="95" t="s">
        <v>7231</v>
      </c>
      <c r="J2734" t="s">
        <v>61</v>
      </c>
      <c r="K2734" t="s">
        <v>62</v>
      </c>
      <c r="M2734">
        <v>79.78</v>
      </c>
      <c r="N2734" s="4">
        <f t="shared" si="42"/>
        <v>-20</v>
      </c>
      <c r="O2734" t="s">
        <v>83</v>
      </c>
    </row>
    <row r="2735" spans="1:17" x14ac:dyDescent="0.25">
      <c r="A2735" s="22">
        <v>45763</v>
      </c>
      <c r="B2735" s="1">
        <v>611559764</v>
      </c>
      <c r="C2735" t="s">
        <v>2488</v>
      </c>
      <c r="D2735" s="23">
        <v>-1595.6</v>
      </c>
      <c r="E2735" t="s">
        <v>35</v>
      </c>
      <c r="F2735" s="2">
        <v>212901001</v>
      </c>
      <c r="G2735" s="2" t="s">
        <v>91</v>
      </c>
      <c r="I2735" s="95" t="s">
        <v>7231</v>
      </c>
      <c r="J2735" t="s">
        <v>61</v>
      </c>
      <c r="K2735" t="s">
        <v>62</v>
      </c>
      <c r="M2735">
        <v>79.78</v>
      </c>
      <c r="N2735" s="4">
        <f t="shared" si="42"/>
        <v>-20</v>
      </c>
      <c r="O2735" t="s">
        <v>83</v>
      </c>
    </row>
    <row r="2736" spans="1:17" x14ac:dyDescent="0.25">
      <c r="A2736" s="22">
        <v>45763</v>
      </c>
      <c r="B2736" s="1">
        <v>611559763</v>
      </c>
      <c r="C2736" t="s">
        <v>2489</v>
      </c>
      <c r="D2736" s="23">
        <v>-1595.6</v>
      </c>
      <c r="E2736" t="s">
        <v>35</v>
      </c>
      <c r="F2736" s="2">
        <v>212901001</v>
      </c>
      <c r="G2736" s="2" t="s">
        <v>91</v>
      </c>
      <c r="I2736" s="95" t="s">
        <v>7231</v>
      </c>
      <c r="J2736" t="s">
        <v>61</v>
      </c>
      <c r="K2736" t="s">
        <v>62</v>
      </c>
      <c r="M2736">
        <v>79.78</v>
      </c>
      <c r="N2736" s="4">
        <f t="shared" si="42"/>
        <v>-20</v>
      </c>
      <c r="O2736" t="s">
        <v>83</v>
      </c>
    </row>
    <row r="2737" spans="1:17" x14ac:dyDescent="0.25">
      <c r="A2737" s="33">
        <v>45763</v>
      </c>
      <c r="B2737" s="27">
        <v>711559770</v>
      </c>
      <c r="C2737" s="28" t="s">
        <v>52</v>
      </c>
      <c r="D2737" s="29">
        <v>-9573.6</v>
      </c>
      <c r="E2737" s="28" t="s">
        <v>35</v>
      </c>
      <c r="F2737" s="30">
        <v>610129001</v>
      </c>
      <c r="G2737" s="30" t="s">
        <v>53</v>
      </c>
      <c r="H2737" s="30"/>
      <c r="I2737" s="95" t="s">
        <v>7231</v>
      </c>
      <c r="J2737" s="28" t="s">
        <v>54</v>
      </c>
      <c r="K2737" s="28" t="s">
        <v>55</v>
      </c>
      <c r="L2737" s="28" t="s">
        <v>56</v>
      </c>
      <c r="M2737" s="28">
        <v>79.78</v>
      </c>
      <c r="N2737" s="4">
        <f t="shared" si="42"/>
        <v>-120</v>
      </c>
      <c r="O2737" t="s">
        <v>83</v>
      </c>
      <c r="Q2737" s="24" t="s">
        <v>2490</v>
      </c>
    </row>
    <row r="2738" spans="1:17" x14ac:dyDescent="0.25">
      <c r="A2738" s="22">
        <v>45763</v>
      </c>
      <c r="B2738" s="1">
        <v>711559767</v>
      </c>
      <c r="C2738" t="s">
        <v>52</v>
      </c>
      <c r="D2738" s="23">
        <v>-1513.8</v>
      </c>
      <c r="E2738" t="s">
        <v>35</v>
      </c>
      <c r="F2738" s="2">
        <v>210101001</v>
      </c>
      <c r="G2738" s="2" t="s">
        <v>36</v>
      </c>
      <c r="I2738" s="95" t="s">
        <v>7231</v>
      </c>
      <c r="J2738" t="s">
        <v>86</v>
      </c>
      <c r="K2738" t="s">
        <v>87</v>
      </c>
      <c r="M2738">
        <v>79.78</v>
      </c>
      <c r="N2738" s="4">
        <f t="shared" si="42"/>
        <v>-18.974680371020305</v>
      </c>
      <c r="O2738" t="s">
        <v>83</v>
      </c>
    </row>
    <row r="2739" spans="1:17" x14ac:dyDescent="0.25">
      <c r="A2739" s="22">
        <v>45763</v>
      </c>
      <c r="B2739" s="1">
        <v>711559766</v>
      </c>
      <c r="C2739" t="s">
        <v>52</v>
      </c>
      <c r="D2739" s="23">
        <v>-7746.3</v>
      </c>
      <c r="E2739" t="s">
        <v>35</v>
      </c>
      <c r="F2739" s="2">
        <v>210101001</v>
      </c>
      <c r="G2739" s="2" t="s">
        <v>36</v>
      </c>
      <c r="I2739" s="95" t="s">
        <v>7231</v>
      </c>
      <c r="J2739" t="s">
        <v>86</v>
      </c>
      <c r="K2739" t="s">
        <v>87</v>
      </c>
      <c r="M2739">
        <v>79.78</v>
      </c>
      <c r="N2739" s="4">
        <f t="shared" si="42"/>
        <v>-97.09576334921033</v>
      </c>
      <c r="O2739" t="s">
        <v>83</v>
      </c>
    </row>
    <row r="2740" spans="1:17" x14ac:dyDescent="0.25">
      <c r="A2740" s="22">
        <v>45763</v>
      </c>
      <c r="B2740" s="1">
        <v>711559771</v>
      </c>
      <c r="C2740" t="s">
        <v>52</v>
      </c>
      <c r="D2740" s="23">
        <v>-916.4</v>
      </c>
      <c r="E2740" t="s">
        <v>35</v>
      </c>
      <c r="F2740" s="2">
        <v>210101001</v>
      </c>
      <c r="G2740" s="2" t="s">
        <v>36</v>
      </c>
      <c r="I2740" s="95" t="s">
        <v>7231</v>
      </c>
      <c r="J2740" t="s">
        <v>86</v>
      </c>
      <c r="K2740" t="s">
        <v>87</v>
      </c>
      <c r="M2740">
        <v>79.78</v>
      </c>
      <c r="N2740" s="4">
        <f t="shared" si="42"/>
        <v>-11.486588117322636</v>
      </c>
      <c r="O2740" t="s">
        <v>83</v>
      </c>
    </row>
    <row r="2741" spans="1:17" x14ac:dyDescent="0.25">
      <c r="A2741" s="22">
        <v>45763</v>
      </c>
      <c r="B2741" s="1">
        <v>711559773</v>
      </c>
      <c r="C2741" t="s">
        <v>52</v>
      </c>
      <c r="D2741" s="23">
        <v>-73110.39</v>
      </c>
      <c r="E2741" t="s">
        <v>35</v>
      </c>
      <c r="F2741" s="2">
        <v>110114001</v>
      </c>
      <c r="G2741" s="2" t="s">
        <v>181</v>
      </c>
      <c r="I2741" s="95" t="s">
        <v>7231</v>
      </c>
      <c r="J2741" t="s">
        <v>928</v>
      </c>
      <c r="K2741" t="s">
        <v>929</v>
      </c>
      <c r="M2741">
        <v>79.78</v>
      </c>
      <c r="N2741" s="4">
        <f t="shared" si="42"/>
        <v>-916.39997493106034</v>
      </c>
      <c r="O2741" t="s">
        <v>83</v>
      </c>
      <c r="P2741" s="34" t="s">
        <v>1529</v>
      </c>
    </row>
    <row r="2742" spans="1:17" x14ac:dyDescent="0.25">
      <c r="A2742" s="22">
        <v>45763</v>
      </c>
      <c r="B2742" s="1">
        <v>50443219</v>
      </c>
      <c r="C2742" t="s">
        <v>52</v>
      </c>
      <c r="D2742" s="23">
        <v>-277.62</v>
      </c>
      <c r="E2742" t="s">
        <v>35</v>
      </c>
      <c r="F2742" s="2">
        <v>610148001</v>
      </c>
      <c r="G2742" s="2" t="s">
        <v>41</v>
      </c>
      <c r="I2742" s="95" t="s">
        <v>7231</v>
      </c>
      <c r="J2742" t="s">
        <v>42</v>
      </c>
      <c r="K2742" t="s">
        <v>41</v>
      </c>
      <c r="M2742">
        <v>79.78</v>
      </c>
      <c r="N2742" s="4">
        <f t="shared" si="42"/>
        <v>-3.4798195036349964</v>
      </c>
      <c r="O2742" t="s">
        <v>83</v>
      </c>
      <c r="Q2742" s="24" t="s">
        <v>2195</v>
      </c>
    </row>
    <row r="2743" spans="1:17" x14ac:dyDescent="0.25">
      <c r="A2743" s="22">
        <v>45763</v>
      </c>
      <c r="B2743" s="1">
        <v>65503756</v>
      </c>
      <c r="C2743" t="s">
        <v>52</v>
      </c>
      <c r="D2743" s="23">
        <v>1480.72</v>
      </c>
      <c r="E2743" t="s">
        <v>45</v>
      </c>
      <c r="F2743" s="2">
        <v>110106001</v>
      </c>
      <c r="G2743" s="2" t="s">
        <v>1011</v>
      </c>
      <c r="I2743" s="95" t="s">
        <v>7231</v>
      </c>
      <c r="K2743" t="s">
        <v>1617</v>
      </c>
      <c r="M2743">
        <v>79.78</v>
      </c>
      <c r="N2743" s="4">
        <f t="shared" si="42"/>
        <v>18.560040110303333</v>
      </c>
      <c r="O2743" t="s">
        <v>83</v>
      </c>
    </row>
    <row r="2744" spans="1:17" x14ac:dyDescent="0.25">
      <c r="A2744" s="22">
        <v>45763</v>
      </c>
      <c r="B2744" s="1">
        <v>65503756</v>
      </c>
      <c r="C2744" t="s">
        <v>52</v>
      </c>
      <c r="D2744" s="23">
        <v>-22.21</v>
      </c>
      <c r="E2744" t="s">
        <v>35</v>
      </c>
      <c r="F2744" s="2">
        <v>610148001</v>
      </c>
      <c r="G2744" s="2" t="s">
        <v>41</v>
      </c>
      <c r="I2744" s="95" t="s">
        <v>7231</v>
      </c>
      <c r="J2744" t="s">
        <v>42</v>
      </c>
      <c r="K2744" t="s">
        <v>41</v>
      </c>
      <c r="M2744">
        <v>79.78</v>
      </c>
      <c r="N2744" s="4">
        <f t="shared" si="42"/>
        <v>-0.27839057407871648</v>
      </c>
      <c r="O2744" t="s">
        <v>83</v>
      </c>
      <c r="Q2744" s="24" t="s">
        <v>2195</v>
      </c>
    </row>
    <row r="2745" spans="1:17" x14ac:dyDescent="0.25">
      <c r="A2745" s="22">
        <v>45763</v>
      </c>
      <c r="B2745" s="1">
        <v>140119486</v>
      </c>
      <c r="C2745" t="s">
        <v>52</v>
      </c>
      <c r="D2745" s="23">
        <v>420000</v>
      </c>
      <c r="E2745" t="s">
        <v>45</v>
      </c>
      <c r="F2745" s="2">
        <v>210115002</v>
      </c>
      <c r="G2745" s="2" t="s">
        <v>46</v>
      </c>
      <c r="I2745" s="95" t="s">
        <v>7231</v>
      </c>
      <c r="K2745" t="s">
        <v>82</v>
      </c>
      <c r="M2745">
        <v>79.78</v>
      </c>
      <c r="N2745" s="4">
        <f t="shared" si="42"/>
        <v>5264.4773126096761</v>
      </c>
      <c r="O2745" t="s">
        <v>83</v>
      </c>
    </row>
    <row r="2746" spans="1:17" x14ac:dyDescent="0.25">
      <c r="A2746" s="22">
        <v>45763</v>
      </c>
      <c r="B2746" s="1">
        <v>511570073</v>
      </c>
      <c r="C2746" t="s">
        <v>52</v>
      </c>
      <c r="D2746" s="23">
        <v>-6382.4</v>
      </c>
      <c r="E2746" t="s">
        <v>35</v>
      </c>
      <c r="F2746" s="2">
        <v>212901001</v>
      </c>
      <c r="G2746" s="2" t="s">
        <v>91</v>
      </c>
      <c r="I2746" s="95" t="s">
        <v>7231</v>
      </c>
      <c r="J2746" t="s">
        <v>61</v>
      </c>
      <c r="K2746" t="s">
        <v>62</v>
      </c>
      <c r="M2746">
        <v>79.78</v>
      </c>
      <c r="N2746" s="4">
        <f t="shared" si="42"/>
        <v>-80</v>
      </c>
      <c r="O2746" t="s">
        <v>83</v>
      </c>
    </row>
    <row r="2747" spans="1:17" x14ac:dyDescent="0.25">
      <c r="A2747" s="22">
        <v>45763</v>
      </c>
      <c r="B2747" s="1">
        <v>511570075</v>
      </c>
      <c r="C2747" t="s">
        <v>52</v>
      </c>
      <c r="D2747" s="23">
        <v>-2393.4</v>
      </c>
      <c r="E2747" t="s">
        <v>35</v>
      </c>
      <c r="F2747" s="2">
        <v>212901001</v>
      </c>
      <c r="G2747" s="2" t="s">
        <v>91</v>
      </c>
      <c r="I2747" s="95" t="s">
        <v>7231</v>
      </c>
      <c r="J2747" t="s">
        <v>61</v>
      </c>
      <c r="K2747" t="s">
        <v>62</v>
      </c>
      <c r="M2747">
        <v>79.78</v>
      </c>
      <c r="N2747" s="4">
        <f t="shared" si="42"/>
        <v>-30</v>
      </c>
      <c r="O2747" t="s">
        <v>83</v>
      </c>
    </row>
    <row r="2748" spans="1:17" x14ac:dyDescent="0.25">
      <c r="A2748" s="22">
        <v>45763</v>
      </c>
      <c r="B2748" s="1">
        <v>511570076</v>
      </c>
      <c r="C2748" t="s">
        <v>52</v>
      </c>
      <c r="D2748" s="23">
        <v>-4786.8</v>
      </c>
      <c r="E2748" t="s">
        <v>35</v>
      </c>
      <c r="F2748" s="2">
        <v>212901001</v>
      </c>
      <c r="G2748" s="2" t="s">
        <v>91</v>
      </c>
      <c r="I2748" s="95" t="s">
        <v>7231</v>
      </c>
      <c r="J2748" t="s">
        <v>61</v>
      </c>
      <c r="K2748" t="s">
        <v>62</v>
      </c>
      <c r="M2748">
        <v>79.78</v>
      </c>
      <c r="N2748" s="4">
        <f t="shared" si="42"/>
        <v>-60</v>
      </c>
      <c r="O2748" t="s">
        <v>83</v>
      </c>
    </row>
    <row r="2749" spans="1:17" x14ac:dyDescent="0.25">
      <c r="A2749" s="22">
        <v>45763</v>
      </c>
      <c r="B2749" s="1">
        <v>511570078</v>
      </c>
      <c r="C2749" t="s">
        <v>52</v>
      </c>
      <c r="D2749" s="23">
        <v>-4786.8</v>
      </c>
      <c r="E2749" t="s">
        <v>35</v>
      </c>
      <c r="F2749" s="2">
        <v>212901001</v>
      </c>
      <c r="G2749" s="2" t="s">
        <v>91</v>
      </c>
      <c r="I2749" s="95" t="s">
        <v>7231</v>
      </c>
      <c r="J2749" t="s">
        <v>61</v>
      </c>
      <c r="K2749" t="s">
        <v>62</v>
      </c>
      <c r="M2749">
        <v>79.78</v>
      </c>
      <c r="N2749" s="4">
        <f t="shared" si="42"/>
        <v>-60</v>
      </c>
      <c r="O2749" t="s">
        <v>83</v>
      </c>
    </row>
    <row r="2750" spans="1:17" x14ac:dyDescent="0.25">
      <c r="A2750" s="22">
        <v>45763</v>
      </c>
      <c r="B2750" s="1">
        <v>611570079</v>
      </c>
      <c r="C2750" t="s">
        <v>52</v>
      </c>
      <c r="D2750" s="23">
        <v>-4786.8</v>
      </c>
      <c r="E2750" t="s">
        <v>35</v>
      </c>
      <c r="F2750" s="2">
        <v>212901001</v>
      </c>
      <c r="G2750" s="2" t="s">
        <v>91</v>
      </c>
      <c r="I2750" s="95" t="s">
        <v>7231</v>
      </c>
      <c r="J2750" t="s">
        <v>61</v>
      </c>
      <c r="K2750" t="s">
        <v>62</v>
      </c>
      <c r="M2750">
        <v>79.78</v>
      </c>
      <c r="N2750" s="4">
        <f t="shared" si="42"/>
        <v>-60</v>
      </c>
      <c r="O2750" t="s">
        <v>83</v>
      </c>
    </row>
    <row r="2751" spans="1:17" x14ac:dyDescent="0.25">
      <c r="A2751" s="22">
        <v>45763</v>
      </c>
      <c r="B2751" s="1">
        <v>511570077</v>
      </c>
      <c r="C2751" t="s">
        <v>52</v>
      </c>
      <c r="D2751" s="23">
        <v>-4786.8</v>
      </c>
      <c r="E2751" t="s">
        <v>35</v>
      </c>
      <c r="F2751" s="2">
        <v>212901001</v>
      </c>
      <c r="G2751" s="2" t="s">
        <v>91</v>
      </c>
      <c r="I2751" s="95" t="s">
        <v>7231</v>
      </c>
      <c r="J2751" t="s">
        <v>61</v>
      </c>
      <c r="K2751" t="s">
        <v>62</v>
      </c>
      <c r="M2751">
        <v>79.78</v>
      </c>
      <c r="N2751" s="4">
        <f t="shared" si="42"/>
        <v>-60</v>
      </c>
      <c r="O2751" t="s">
        <v>83</v>
      </c>
    </row>
    <row r="2752" spans="1:17" x14ac:dyDescent="0.25">
      <c r="A2752" s="22">
        <v>45763</v>
      </c>
      <c r="B2752" s="1">
        <v>611570081</v>
      </c>
      <c r="C2752" t="s">
        <v>52</v>
      </c>
      <c r="D2752" s="23">
        <v>-4786.8</v>
      </c>
      <c r="E2752" t="s">
        <v>35</v>
      </c>
      <c r="F2752" s="2">
        <v>212901001</v>
      </c>
      <c r="G2752" s="2" t="s">
        <v>91</v>
      </c>
      <c r="I2752" s="95" t="s">
        <v>7231</v>
      </c>
      <c r="J2752" t="s">
        <v>61</v>
      </c>
      <c r="K2752" t="s">
        <v>62</v>
      </c>
      <c r="M2752">
        <v>79.78</v>
      </c>
      <c r="N2752" s="4">
        <f t="shared" si="42"/>
        <v>-60</v>
      </c>
      <c r="O2752" t="s">
        <v>83</v>
      </c>
    </row>
    <row r="2753" spans="1:15" x14ac:dyDescent="0.25">
      <c r="A2753" s="22">
        <v>45763</v>
      </c>
      <c r="B2753" s="1">
        <v>611570083</v>
      </c>
      <c r="C2753" t="s">
        <v>52</v>
      </c>
      <c r="D2753" s="23">
        <v>-4786.8</v>
      </c>
      <c r="E2753" t="s">
        <v>35</v>
      </c>
      <c r="F2753" s="2">
        <v>212901001</v>
      </c>
      <c r="G2753" s="2" t="s">
        <v>91</v>
      </c>
      <c r="I2753" s="95" t="s">
        <v>7231</v>
      </c>
      <c r="J2753" t="s">
        <v>61</v>
      </c>
      <c r="K2753" t="s">
        <v>62</v>
      </c>
      <c r="M2753">
        <v>79.78</v>
      </c>
      <c r="N2753" s="4">
        <f t="shared" si="42"/>
        <v>-60</v>
      </c>
      <c r="O2753" t="s">
        <v>83</v>
      </c>
    </row>
    <row r="2754" spans="1:15" x14ac:dyDescent="0.25">
      <c r="A2754" s="22">
        <v>45763</v>
      </c>
      <c r="B2754" s="1">
        <v>611570084</v>
      </c>
      <c r="C2754" t="s">
        <v>52</v>
      </c>
      <c r="D2754" s="23">
        <v>-4786.8</v>
      </c>
      <c r="E2754" t="s">
        <v>35</v>
      </c>
      <c r="F2754" s="2">
        <v>212901001</v>
      </c>
      <c r="G2754" s="2" t="s">
        <v>91</v>
      </c>
      <c r="I2754" s="95" t="s">
        <v>7231</v>
      </c>
      <c r="J2754" t="s">
        <v>61</v>
      </c>
      <c r="K2754" t="s">
        <v>62</v>
      </c>
      <c r="M2754">
        <v>79.78</v>
      </c>
      <c r="N2754" s="4">
        <f t="shared" si="42"/>
        <v>-60</v>
      </c>
      <c r="O2754" t="s">
        <v>83</v>
      </c>
    </row>
    <row r="2755" spans="1:15" x14ac:dyDescent="0.25">
      <c r="A2755" s="22">
        <v>45763</v>
      </c>
      <c r="B2755" s="1">
        <v>611570082</v>
      </c>
      <c r="C2755" t="s">
        <v>52</v>
      </c>
      <c r="D2755" s="23">
        <v>-4786.8</v>
      </c>
      <c r="E2755" t="s">
        <v>35</v>
      </c>
      <c r="F2755" s="2">
        <v>212901001</v>
      </c>
      <c r="G2755" s="2" t="s">
        <v>91</v>
      </c>
      <c r="I2755" s="95" t="s">
        <v>7231</v>
      </c>
      <c r="J2755" t="s">
        <v>61</v>
      </c>
      <c r="K2755" t="s">
        <v>62</v>
      </c>
      <c r="M2755">
        <v>79.78</v>
      </c>
      <c r="N2755" s="4">
        <f t="shared" si="42"/>
        <v>-60</v>
      </c>
      <c r="O2755" t="s">
        <v>83</v>
      </c>
    </row>
    <row r="2756" spans="1:15" x14ac:dyDescent="0.25">
      <c r="A2756" s="22">
        <v>45763</v>
      </c>
      <c r="B2756" s="1">
        <v>611570080</v>
      </c>
      <c r="C2756" t="s">
        <v>52</v>
      </c>
      <c r="D2756" s="23">
        <v>-4786.8</v>
      </c>
      <c r="E2756" t="s">
        <v>35</v>
      </c>
      <c r="F2756" s="2">
        <v>212901001</v>
      </c>
      <c r="G2756" s="2" t="s">
        <v>91</v>
      </c>
      <c r="I2756" s="95" t="s">
        <v>7231</v>
      </c>
      <c r="J2756" t="s">
        <v>61</v>
      </c>
      <c r="K2756" t="s">
        <v>62</v>
      </c>
      <c r="M2756">
        <v>79.78</v>
      </c>
      <c r="N2756" s="4">
        <f t="shared" si="42"/>
        <v>-60</v>
      </c>
      <c r="O2756" t="s">
        <v>83</v>
      </c>
    </row>
    <row r="2757" spans="1:15" x14ac:dyDescent="0.25">
      <c r="A2757" s="22">
        <v>45763</v>
      </c>
      <c r="B2757" s="1">
        <v>611570085</v>
      </c>
      <c r="C2757" t="s">
        <v>52</v>
      </c>
      <c r="D2757" s="23">
        <v>-4786.8</v>
      </c>
      <c r="E2757" t="s">
        <v>35</v>
      </c>
      <c r="F2757" s="2">
        <v>212901001</v>
      </c>
      <c r="G2757" s="2" t="s">
        <v>91</v>
      </c>
      <c r="I2757" s="95" t="s">
        <v>7231</v>
      </c>
      <c r="J2757" t="s">
        <v>61</v>
      </c>
      <c r="K2757" t="s">
        <v>62</v>
      </c>
      <c r="M2757">
        <v>79.78</v>
      </c>
      <c r="N2757" s="4">
        <f t="shared" si="42"/>
        <v>-60</v>
      </c>
      <c r="O2757" t="s">
        <v>83</v>
      </c>
    </row>
    <row r="2758" spans="1:15" x14ac:dyDescent="0.25">
      <c r="A2758" s="22">
        <v>45763</v>
      </c>
      <c r="B2758" s="1">
        <v>611570086</v>
      </c>
      <c r="C2758" t="s">
        <v>52</v>
      </c>
      <c r="D2758" s="23">
        <v>-4786.8</v>
      </c>
      <c r="E2758" t="s">
        <v>35</v>
      </c>
      <c r="F2758" s="2">
        <v>212901001</v>
      </c>
      <c r="G2758" s="2" t="s">
        <v>91</v>
      </c>
      <c r="I2758" s="95" t="s">
        <v>7231</v>
      </c>
      <c r="J2758" t="s">
        <v>61</v>
      </c>
      <c r="K2758" t="s">
        <v>62</v>
      </c>
      <c r="M2758">
        <v>79.78</v>
      </c>
      <c r="N2758" s="4">
        <f t="shared" si="42"/>
        <v>-60</v>
      </c>
      <c r="O2758" t="s">
        <v>83</v>
      </c>
    </row>
    <row r="2759" spans="1:15" x14ac:dyDescent="0.25">
      <c r="A2759" s="22">
        <v>45763</v>
      </c>
      <c r="B2759" s="1">
        <v>611570087</v>
      </c>
      <c r="C2759" t="s">
        <v>52</v>
      </c>
      <c r="D2759" s="23">
        <v>-4786.8</v>
      </c>
      <c r="E2759" t="s">
        <v>35</v>
      </c>
      <c r="F2759" s="2">
        <v>212901001</v>
      </c>
      <c r="G2759" s="2" t="s">
        <v>91</v>
      </c>
      <c r="I2759" s="95" t="s">
        <v>7231</v>
      </c>
      <c r="J2759" t="s">
        <v>61</v>
      </c>
      <c r="K2759" t="s">
        <v>62</v>
      </c>
      <c r="M2759">
        <v>79.78</v>
      </c>
      <c r="N2759" s="4">
        <f t="shared" si="42"/>
        <v>-60</v>
      </c>
      <c r="O2759" t="s">
        <v>83</v>
      </c>
    </row>
    <row r="2760" spans="1:15" x14ac:dyDescent="0.25">
      <c r="A2760" s="22">
        <v>45763</v>
      </c>
      <c r="B2760" s="1">
        <v>611570088</v>
      </c>
      <c r="C2760" t="s">
        <v>52</v>
      </c>
      <c r="D2760" s="23">
        <v>-4786.8</v>
      </c>
      <c r="E2760" t="s">
        <v>35</v>
      </c>
      <c r="F2760" s="2">
        <v>212901001</v>
      </c>
      <c r="G2760" s="2" t="s">
        <v>91</v>
      </c>
      <c r="I2760" s="95" t="s">
        <v>7231</v>
      </c>
      <c r="J2760" t="s">
        <v>61</v>
      </c>
      <c r="K2760" t="s">
        <v>62</v>
      </c>
      <c r="M2760">
        <v>79.78</v>
      </c>
      <c r="N2760" s="4">
        <f t="shared" si="42"/>
        <v>-60</v>
      </c>
      <c r="O2760" t="s">
        <v>83</v>
      </c>
    </row>
    <row r="2761" spans="1:15" x14ac:dyDescent="0.25">
      <c r="A2761" s="22">
        <v>45763</v>
      </c>
      <c r="B2761" s="1">
        <v>711570089</v>
      </c>
      <c r="C2761" t="s">
        <v>52</v>
      </c>
      <c r="D2761" s="23">
        <v>-4786.8</v>
      </c>
      <c r="E2761" t="s">
        <v>35</v>
      </c>
      <c r="F2761" s="2">
        <v>212901001</v>
      </c>
      <c r="G2761" s="2" t="s">
        <v>91</v>
      </c>
      <c r="I2761" s="95" t="s">
        <v>7231</v>
      </c>
      <c r="J2761" t="s">
        <v>61</v>
      </c>
      <c r="K2761" t="s">
        <v>62</v>
      </c>
      <c r="M2761">
        <v>79.78</v>
      </c>
      <c r="N2761" s="4">
        <f t="shared" si="42"/>
        <v>-60</v>
      </c>
      <c r="O2761" t="s">
        <v>83</v>
      </c>
    </row>
    <row r="2762" spans="1:15" x14ac:dyDescent="0.25">
      <c r="A2762" s="22">
        <v>45763</v>
      </c>
      <c r="B2762" s="1">
        <v>711570093</v>
      </c>
      <c r="C2762" t="s">
        <v>52</v>
      </c>
      <c r="D2762" s="23">
        <v>-6382.4</v>
      </c>
      <c r="E2762" t="s">
        <v>35</v>
      </c>
      <c r="F2762" s="2">
        <v>212901001</v>
      </c>
      <c r="G2762" s="2" t="s">
        <v>91</v>
      </c>
      <c r="I2762" s="95" t="s">
        <v>7231</v>
      </c>
      <c r="J2762" t="s">
        <v>61</v>
      </c>
      <c r="K2762" t="s">
        <v>62</v>
      </c>
      <c r="M2762">
        <v>79.78</v>
      </c>
      <c r="N2762" s="4">
        <f t="shared" si="42"/>
        <v>-80</v>
      </c>
      <c r="O2762" t="s">
        <v>83</v>
      </c>
    </row>
    <row r="2763" spans="1:15" x14ac:dyDescent="0.25">
      <c r="A2763" s="22">
        <v>45763</v>
      </c>
      <c r="B2763" s="1">
        <v>711570090</v>
      </c>
      <c r="C2763" t="s">
        <v>52</v>
      </c>
      <c r="D2763" s="23">
        <v>-11967</v>
      </c>
      <c r="E2763" t="s">
        <v>35</v>
      </c>
      <c r="F2763" s="2">
        <v>212901001</v>
      </c>
      <c r="G2763" s="2" t="s">
        <v>91</v>
      </c>
      <c r="I2763" s="95" t="s">
        <v>7231</v>
      </c>
      <c r="J2763" t="s">
        <v>61</v>
      </c>
      <c r="K2763" t="s">
        <v>62</v>
      </c>
      <c r="M2763">
        <v>79.78</v>
      </c>
      <c r="N2763" s="4">
        <f t="shared" si="42"/>
        <v>-150</v>
      </c>
      <c r="O2763" t="s">
        <v>83</v>
      </c>
    </row>
    <row r="2764" spans="1:15" x14ac:dyDescent="0.25">
      <c r="A2764" s="22">
        <v>45763</v>
      </c>
      <c r="B2764" s="1">
        <v>711570096</v>
      </c>
      <c r="C2764" t="s">
        <v>52</v>
      </c>
      <c r="D2764" s="23">
        <v>-6382.4</v>
      </c>
      <c r="E2764" t="s">
        <v>35</v>
      </c>
      <c r="F2764" s="2">
        <v>212901001</v>
      </c>
      <c r="G2764" s="2" t="s">
        <v>91</v>
      </c>
      <c r="I2764" s="95" t="s">
        <v>7231</v>
      </c>
      <c r="J2764" t="s">
        <v>61</v>
      </c>
      <c r="K2764" t="s">
        <v>62</v>
      </c>
      <c r="M2764">
        <v>79.78</v>
      </c>
      <c r="N2764" s="4">
        <f t="shared" ref="N2764:N2827" si="43">D2764/M2764</f>
        <v>-80</v>
      </c>
      <c r="O2764" t="s">
        <v>83</v>
      </c>
    </row>
    <row r="2765" spans="1:15" x14ac:dyDescent="0.25">
      <c r="A2765" s="22">
        <v>45763</v>
      </c>
      <c r="B2765" s="1">
        <v>711570098</v>
      </c>
      <c r="C2765" t="s">
        <v>52</v>
      </c>
      <c r="D2765" s="23">
        <v>-6382.4</v>
      </c>
      <c r="E2765" t="s">
        <v>35</v>
      </c>
      <c r="F2765" s="2">
        <v>212901001</v>
      </c>
      <c r="G2765" s="2" t="s">
        <v>91</v>
      </c>
      <c r="I2765" s="95" t="s">
        <v>7231</v>
      </c>
      <c r="J2765" t="s">
        <v>61</v>
      </c>
      <c r="K2765" t="s">
        <v>62</v>
      </c>
      <c r="M2765">
        <v>79.78</v>
      </c>
      <c r="N2765" s="4">
        <f t="shared" si="43"/>
        <v>-80</v>
      </c>
      <c r="O2765" t="s">
        <v>83</v>
      </c>
    </row>
    <row r="2766" spans="1:15" x14ac:dyDescent="0.25">
      <c r="A2766" s="22">
        <v>45763</v>
      </c>
      <c r="B2766" s="1">
        <v>711570092</v>
      </c>
      <c r="C2766" t="s">
        <v>52</v>
      </c>
      <c r="D2766" s="23">
        <v>-6382.4</v>
      </c>
      <c r="E2766" t="s">
        <v>35</v>
      </c>
      <c r="F2766" s="2">
        <v>212901001</v>
      </c>
      <c r="G2766" s="2" t="s">
        <v>91</v>
      </c>
      <c r="I2766" s="95" t="s">
        <v>7231</v>
      </c>
      <c r="J2766" t="s">
        <v>61</v>
      </c>
      <c r="K2766" t="s">
        <v>62</v>
      </c>
      <c r="M2766">
        <v>79.78</v>
      </c>
      <c r="N2766" s="4">
        <f t="shared" si="43"/>
        <v>-80</v>
      </c>
      <c r="O2766" t="s">
        <v>83</v>
      </c>
    </row>
    <row r="2767" spans="1:15" x14ac:dyDescent="0.25">
      <c r="A2767" s="22">
        <v>45763</v>
      </c>
      <c r="B2767" s="1">
        <v>711570091</v>
      </c>
      <c r="C2767" t="s">
        <v>52</v>
      </c>
      <c r="D2767" s="23">
        <v>-7978</v>
      </c>
      <c r="E2767" t="s">
        <v>35</v>
      </c>
      <c r="F2767" s="2">
        <v>212901001</v>
      </c>
      <c r="G2767" s="2" t="s">
        <v>91</v>
      </c>
      <c r="I2767" s="95" t="s">
        <v>7231</v>
      </c>
      <c r="J2767" t="s">
        <v>61</v>
      </c>
      <c r="K2767" t="s">
        <v>62</v>
      </c>
      <c r="M2767">
        <v>79.78</v>
      </c>
      <c r="N2767" s="4">
        <f t="shared" si="43"/>
        <v>-100</v>
      </c>
      <c r="O2767" t="s">
        <v>83</v>
      </c>
    </row>
    <row r="2768" spans="1:15" x14ac:dyDescent="0.25">
      <c r="A2768" s="22">
        <v>45763</v>
      </c>
      <c r="B2768" s="1">
        <v>711570095</v>
      </c>
      <c r="C2768" t="s">
        <v>52</v>
      </c>
      <c r="D2768" s="23">
        <v>-6382.4</v>
      </c>
      <c r="E2768" t="s">
        <v>35</v>
      </c>
      <c r="F2768" s="2">
        <v>212901001</v>
      </c>
      <c r="G2768" s="2" t="s">
        <v>91</v>
      </c>
      <c r="I2768" s="95" t="s">
        <v>7231</v>
      </c>
      <c r="J2768" t="s">
        <v>61</v>
      </c>
      <c r="K2768" t="s">
        <v>62</v>
      </c>
      <c r="M2768">
        <v>79.78</v>
      </c>
      <c r="N2768" s="4">
        <f t="shared" si="43"/>
        <v>-80</v>
      </c>
      <c r="O2768" t="s">
        <v>83</v>
      </c>
    </row>
    <row r="2769" spans="1:15" x14ac:dyDescent="0.25">
      <c r="A2769" s="22">
        <v>45763</v>
      </c>
      <c r="B2769" s="1">
        <v>711570097</v>
      </c>
      <c r="C2769" t="s">
        <v>52</v>
      </c>
      <c r="D2769" s="23">
        <v>-6382.4</v>
      </c>
      <c r="E2769" t="s">
        <v>35</v>
      </c>
      <c r="F2769" s="2">
        <v>212901001</v>
      </c>
      <c r="G2769" s="2" t="s">
        <v>91</v>
      </c>
      <c r="I2769" s="95" t="s">
        <v>7231</v>
      </c>
      <c r="J2769" t="s">
        <v>61</v>
      </c>
      <c r="K2769" t="s">
        <v>62</v>
      </c>
      <c r="M2769">
        <v>79.78</v>
      </c>
      <c r="N2769" s="4">
        <f t="shared" si="43"/>
        <v>-80</v>
      </c>
      <c r="O2769" t="s">
        <v>83</v>
      </c>
    </row>
    <row r="2770" spans="1:15" x14ac:dyDescent="0.25">
      <c r="A2770" s="22">
        <v>45763</v>
      </c>
      <c r="B2770" s="1">
        <v>811570100</v>
      </c>
      <c r="C2770" t="s">
        <v>52</v>
      </c>
      <c r="D2770" s="23">
        <v>-3989</v>
      </c>
      <c r="E2770" t="s">
        <v>35</v>
      </c>
      <c r="F2770" s="2">
        <v>212901001</v>
      </c>
      <c r="G2770" s="2" t="s">
        <v>91</v>
      </c>
      <c r="I2770" s="95" t="s">
        <v>7231</v>
      </c>
      <c r="J2770" t="s">
        <v>61</v>
      </c>
      <c r="K2770" t="s">
        <v>62</v>
      </c>
      <c r="M2770">
        <v>79.78</v>
      </c>
      <c r="N2770" s="4">
        <f t="shared" si="43"/>
        <v>-50</v>
      </c>
      <c r="O2770" t="s">
        <v>83</v>
      </c>
    </row>
    <row r="2771" spans="1:15" x14ac:dyDescent="0.25">
      <c r="A2771" s="22">
        <v>45763</v>
      </c>
      <c r="B2771" s="1">
        <v>811570103</v>
      </c>
      <c r="C2771" t="s">
        <v>52</v>
      </c>
      <c r="D2771" s="23">
        <v>-3989</v>
      </c>
      <c r="E2771" t="s">
        <v>35</v>
      </c>
      <c r="F2771" s="2">
        <v>212901001</v>
      </c>
      <c r="G2771" s="2" t="s">
        <v>91</v>
      </c>
      <c r="I2771" s="95" t="s">
        <v>7231</v>
      </c>
      <c r="J2771" t="s">
        <v>61</v>
      </c>
      <c r="K2771" t="s">
        <v>62</v>
      </c>
      <c r="M2771">
        <v>79.78</v>
      </c>
      <c r="N2771" s="4">
        <f t="shared" si="43"/>
        <v>-50</v>
      </c>
      <c r="O2771" t="s">
        <v>83</v>
      </c>
    </row>
    <row r="2772" spans="1:15" x14ac:dyDescent="0.25">
      <c r="A2772" s="22">
        <v>45763</v>
      </c>
      <c r="B2772" s="1">
        <v>811570099</v>
      </c>
      <c r="C2772" t="s">
        <v>52</v>
      </c>
      <c r="D2772" s="23">
        <v>-2712.52</v>
      </c>
      <c r="E2772" t="s">
        <v>35</v>
      </c>
      <c r="F2772" s="2">
        <v>212901001</v>
      </c>
      <c r="G2772" s="2" t="s">
        <v>91</v>
      </c>
      <c r="I2772" s="95" t="s">
        <v>7231</v>
      </c>
      <c r="J2772" t="s">
        <v>61</v>
      </c>
      <c r="K2772" t="s">
        <v>62</v>
      </c>
      <c r="M2772">
        <v>79.78</v>
      </c>
      <c r="N2772" s="4">
        <f t="shared" si="43"/>
        <v>-34</v>
      </c>
      <c r="O2772" t="s">
        <v>83</v>
      </c>
    </row>
    <row r="2773" spans="1:15" x14ac:dyDescent="0.25">
      <c r="A2773" s="22">
        <v>45763</v>
      </c>
      <c r="B2773" s="1">
        <v>811570104</v>
      </c>
      <c r="C2773" t="s">
        <v>52</v>
      </c>
      <c r="D2773" s="23">
        <v>-3989</v>
      </c>
      <c r="E2773" t="s">
        <v>35</v>
      </c>
      <c r="F2773" s="2">
        <v>212901001</v>
      </c>
      <c r="G2773" s="2" t="s">
        <v>91</v>
      </c>
      <c r="I2773" s="95" t="s">
        <v>7231</v>
      </c>
      <c r="J2773" t="s">
        <v>61</v>
      </c>
      <c r="K2773" t="s">
        <v>62</v>
      </c>
      <c r="M2773">
        <v>79.78</v>
      </c>
      <c r="N2773" s="4">
        <f t="shared" si="43"/>
        <v>-50</v>
      </c>
      <c r="O2773" t="s">
        <v>83</v>
      </c>
    </row>
    <row r="2774" spans="1:15" x14ac:dyDescent="0.25">
      <c r="A2774" s="22">
        <v>45763</v>
      </c>
      <c r="B2774" s="1">
        <v>811570101</v>
      </c>
      <c r="C2774" t="s">
        <v>52</v>
      </c>
      <c r="D2774" s="23">
        <v>-3989</v>
      </c>
      <c r="E2774" t="s">
        <v>35</v>
      </c>
      <c r="F2774" s="2">
        <v>212901001</v>
      </c>
      <c r="G2774" s="2" t="s">
        <v>91</v>
      </c>
      <c r="I2774" s="95" t="s">
        <v>7231</v>
      </c>
      <c r="J2774" t="s">
        <v>61</v>
      </c>
      <c r="K2774" t="s">
        <v>62</v>
      </c>
      <c r="M2774">
        <v>79.78</v>
      </c>
      <c r="N2774" s="4">
        <f t="shared" si="43"/>
        <v>-50</v>
      </c>
      <c r="O2774" t="s">
        <v>83</v>
      </c>
    </row>
    <row r="2775" spans="1:15" x14ac:dyDescent="0.25">
      <c r="A2775" s="22">
        <v>45763</v>
      </c>
      <c r="B2775" s="1">
        <v>811570107</v>
      </c>
      <c r="C2775" t="s">
        <v>52</v>
      </c>
      <c r="D2775" s="23">
        <v>-3191.2</v>
      </c>
      <c r="E2775" t="s">
        <v>35</v>
      </c>
      <c r="F2775" s="2">
        <v>212901001</v>
      </c>
      <c r="G2775" s="2" t="s">
        <v>91</v>
      </c>
      <c r="I2775" s="95" t="s">
        <v>7231</v>
      </c>
      <c r="J2775" t="s">
        <v>61</v>
      </c>
      <c r="K2775" t="s">
        <v>62</v>
      </c>
      <c r="M2775">
        <v>79.78</v>
      </c>
      <c r="N2775" s="4">
        <f t="shared" si="43"/>
        <v>-40</v>
      </c>
      <c r="O2775" t="s">
        <v>83</v>
      </c>
    </row>
    <row r="2776" spans="1:15" x14ac:dyDescent="0.25">
      <c r="A2776" s="22">
        <v>45763</v>
      </c>
      <c r="B2776" s="1">
        <v>811570102</v>
      </c>
      <c r="C2776" t="s">
        <v>52</v>
      </c>
      <c r="D2776" s="23">
        <v>-3989</v>
      </c>
      <c r="E2776" t="s">
        <v>35</v>
      </c>
      <c r="F2776" s="2">
        <v>212901001</v>
      </c>
      <c r="G2776" s="2" t="s">
        <v>91</v>
      </c>
      <c r="I2776" s="95" t="s">
        <v>7231</v>
      </c>
      <c r="J2776" t="s">
        <v>61</v>
      </c>
      <c r="K2776" t="s">
        <v>62</v>
      </c>
      <c r="M2776">
        <v>79.78</v>
      </c>
      <c r="N2776" s="4">
        <f t="shared" si="43"/>
        <v>-50</v>
      </c>
      <c r="O2776" t="s">
        <v>83</v>
      </c>
    </row>
    <row r="2777" spans="1:15" x14ac:dyDescent="0.25">
      <c r="A2777" s="22">
        <v>45763</v>
      </c>
      <c r="B2777" s="1">
        <v>811570105</v>
      </c>
      <c r="C2777" t="s">
        <v>52</v>
      </c>
      <c r="D2777" s="23">
        <v>-3191.2</v>
      </c>
      <c r="E2777" t="s">
        <v>35</v>
      </c>
      <c r="F2777" s="2">
        <v>212901001</v>
      </c>
      <c r="G2777" s="2" t="s">
        <v>91</v>
      </c>
      <c r="I2777" s="95" t="s">
        <v>7231</v>
      </c>
      <c r="J2777" t="s">
        <v>61</v>
      </c>
      <c r="K2777" t="s">
        <v>62</v>
      </c>
      <c r="M2777">
        <v>79.78</v>
      </c>
      <c r="N2777" s="4">
        <f t="shared" si="43"/>
        <v>-40</v>
      </c>
      <c r="O2777" t="s">
        <v>83</v>
      </c>
    </row>
    <row r="2778" spans="1:15" x14ac:dyDescent="0.25">
      <c r="A2778" s="22">
        <v>45763</v>
      </c>
      <c r="B2778" s="1">
        <v>911570108</v>
      </c>
      <c r="C2778" t="s">
        <v>52</v>
      </c>
      <c r="D2778" s="23">
        <v>-3191.2</v>
      </c>
      <c r="E2778" t="s">
        <v>35</v>
      </c>
      <c r="F2778" s="2">
        <v>212901001</v>
      </c>
      <c r="G2778" s="2" t="s">
        <v>91</v>
      </c>
      <c r="I2778" s="95" t="s">
        <v>7231</v>
      </c>
      <c r="J2778" t="s">
        <v>61</v>
      </c>
      <c r="K2778" t="s">
        <v>62</v>
      </c>
      <c r="M2778">
        <v>79.78</v>
      </c>
      <c r="N2778" s="4">
        <f t="shared" si="43"/>
        <v>-40</v>
      </c>
      <c r="O2778" t="s">
        <v>83</v>
      </c>
    </row>
    <row r="2779" spans="1:15" x14ac:dyDescent="0.25">
      <c r="A2779" s="22">
        <v>45763</v>
      </c>
      <c r="B2779" s="1">
        <v>811570106</v>
      </c>
      <c r="C2779" t="s">
        <v>52</v>
      </c>
      <c r="D2779" s="23">
        <v>-3191.2</v>
      </c>
      <c r="E2779" t="s">
        <v>35</v>
      </c>
      <c r="F2779" s="2">
        <v>212901001</v>
      </c>
      <c r="G2779" s="2" t="s">
        <v>91</v>
      </c>
      <c r="I2779" s="95" t="s">
        <v>7231</v>
      </c>
      <c r="J2779" t="s">
        <v>61</v>
      </c>
      <c r="K2779" t="s">
        <v>62</v>
      </c>
      <c r="M2779">
        <v>79.78</v>
      </c>
      <c r="N2779" s="4">
        <f t="shared" si="43"/>
        <v>-40</v>
      </c>
      <c r="O2779" t="s">
        <v>83</v>
      </c>
    </row>
    <row r="2780" spans="1:15" x14ac:dyDescent="0.25">
      <c r="A2780" s="22">
        <v>45763</v>
      </c>
      <c r="B2780" s="1">
        <v>911570111</v>
      </c>
      <c r="C2780" t="s">
        <v>52</v>
      </c>
      <c r="D2780" s="23">
        <v>-3191.2</v>
      </c>
      <c r="E2780" t="s">
        <v>35</v>
      </c>
      <c r="F2780" s="2">
        <v>212901001</v>
      </c>
      <c r="G2780" s="2" t="s">
        <v>91</v>
      </c>
      <c r="I2780" s="95" t="s">
        <v>7231</v>
      </c>
      <c r="J2780" t="s">
        <v>61</v>
      </c>
      <c r="K2780" t="s">
        <v>62</v>
      </c>
      <c r="M2780">
        <v>79.78</v>
      </c>
      <c r="N2780" s="4">
        <f t="shared" si="43"/>
        <v>-40</v>
      </c>
      <c r="O2780" t="s">
        <v>83</v>
      </c>
    </row>
    <row r="2781" spans="1:15" x14ac:dyDescent="0.25">
      <c r="A2781" s="22">
        <v>45763</v>
      </c>
      <c r="B2781" s="1">
        <v>911570109</v>
      </c>
      <c r="C2781" t="s">
        <v>52</v>
      </c>
      <c r="D2781" s="23">
        <v>-3191.2</v>
      </c>
      <c r="E2781" t="s">
        <v>35</v>
      </c>
      <c r="F2781" s="2">
        <v>212901001</v>
      </c>
      <c r="G2781" s="2" t="s">
        <v>91</v>
      </c>
      <c r="I2781" s="95" t="s">
        <v>7231</v>
      </c>
      <c r="J2781" t="s">
        <v>61</v>
      </c>
      <c r="K2781" t="s">
        <v>62</v>
      </c>
      <c r="M2781">
        <v>79.78</v>
      </c>
      <c r="N2781" s="4">
        <f t="shared" si="43"/>
        <v>-40</v>
      </c>
      <c r="O2781" t="s">
        <v>83</v>
      </c>
    </row>
    <row r="2782" spans="1:15" x14ac:dyDescent="0.25">
      <c r="A2782" s="22">
        <v>45763</v>
      </c>
      <c r="B2782" s="1">
        <v>911570112</v>
      </c>
      <c r="C2782" t="s">
        <v>52</v>
      </c>
      <c r="D2782" s="23">
        <v>-7978</v>
      </c>
      <c r="E2782" t="s">
        <v>35</v>
      </c>
      <c r="F2782" s="2">
        <v>212901001</v>
      </c>
      <c r="G2782" s="2" t="s">
        <v>91</v>
      </c>
      <c r="I2782" s="95" t="s">
        <v>7231</v>
      </c>
      <c r="J2782" t="s">
        <v>61</v>
      </c>
      <c r="K2782" t="s">
        <v>62</v>
      </c>
      <c r="M2782">
        <v>79.78</v>
      </c>
      <c r="N2782" s="4">
        <f t="shared" si="43"/>
        <v>-100</v>
      </c>
      <c r="O2782" t="s">
        <v>83</v>
      </c>
    </row>
    <row r="2783" spans="1:15" x14ac:dyDescent="0.25">
      <c r="A2783" s="22">
        <v>45763</v>
      </c>
      <c r="B2783" s="1">
        <v>911570110</v>
      </c>
      <c r="C2783" t="s">
        <v>52</v>
      </c>
      <c r="D2783" s="23">
        <v>-3191.2</v>
      </c>
      <c r="E2783" t="s">
        <v>35</v>
      </c>
      <c r="F2783" s="2">
        <v>212901001</v>
      </c>
      <c r="G2783" s="2" t="s">
        <v>91</v>
      </c>
      <c r="I2783" s="95" t="s">
        <v>7231</v>
      </c>
      <c r="J2783" t="s">
        <v>61</v>
      </c>
      <c r="K2783" t="s">
        <v>62</v>
      </c>
      <c r="M2783">
        <v>79.78</v>
      </c>
      <c r="N2783" s="4">
        <f t="shared" si="43"/>
        <v>-40</v>
      </c>
      <c r="O2783" t="s">
        <v>83</v>
      </c>
    </row>
    <row r="2784" spans="1:15" x14ac:dyDescent="0.25">
      <c r="A2784" s="22">
        <v>45763</v>
      </c>
      <c r="B2784" s="1">
        <v>911570113</v>
      </c>
      <c r="C2784" t="s">
        <v>52</v>
      </c>
      <c r="D2784" s="23">
        <v>-7978</v>
      </c>
      <c r="E2784" t="s">
        <v>35</v>
      </c>
      <c r="F2784" s="2">
        <v>212901001</v>
      </c>
      <c r="G2784" s="2" t="s">
        <v>91</v>
      </c>
      <c r="I2784" s="95" t="s">
        <v>7231</v>
      </c>
      <c r="J2784" t="s">
        <v>61</v>
      </c>
      <c r="K2784" t="s">
        <v>62</v>
      </c>
      <c r="M2784">
        <v>79.78</v>
      </c>
      <c r="N2784" s="4">
        <f t="shared" si="43"/>
        <v>-100</v>
      </c>
      <c r="O2784" t="s">
        <v>83</v>
      </c>
    </row>
    <row r="2785" spans="1:15" x14ac:dyDescent="0.25">
      <c r="A2785" s="22">
        <v>45763</v>
      </c>
      <c r="B2785" s="1">
        <v>911570114</v>
      </c>
      <c r="C2785" t="s">
        <v>52</v>
      </c>
      <c r="D2785" s="23">
        <v>-11967</v>
      </c>
      <c r="E2785" t="s">
        <v>35</v>
      </c>
      <c r="F2785" s="2">
        <v>212901001</v>
      </c>
      <c r="G2785" s="2" t="s">
        <v>91</v>
      </c>
      <c r="I2785" s="95" t="s">
        <v>7231</v>
      </c>
      <c r="J2785" t="s">
        <v>61</v>
      </c>
      <c r="K2785" t="s">
        <v>62</v>
      </c>
      <c r="M2785">
        <v>79.78</v>
      </c>
      <c r="N2785" s="4">
        <f t="shared" si="43"/>
        <v>-150</v>
      </c>
      <c r="O2785" t="s">
        <v>83</v>
      </c>
    </row>
    <row r="2786" spans="1:15" x14ac:dyDescent="0.25">
      <c r="A2786" s="22">
        <v>45763</v>
      </c>
      <c r="B2786" s="1">
        <v>911570115</v>
      </c>
      <c r="C2786" t="s">
        <v>52</v>
      </c>
      <c r="D2786" s="23">
        <v>-2393.4</v>
      </c>
      <c r="E2786" t="s">
        <v>35</v>
      </c>
      <c r="F2786" s="2">
        <v>212901001</v>
      </c>
      <c r="G2786" s="2" t="s">
        <v>91</v>
      </c>
      <c r="I2786" s="95" t="s">
        <v>7231</v>
      </c>
      <c r="J2786" t="s">
        <v>61</v>
      </c>
      <c r="K2786" t="s">
        <v>62</v>
      </c>
      <c r="M2786">
        <v>79.78</v>
      </c>
      <c r="N2786" s="4">
        <f t="shared" si="43"/>
        <v>-30</v>
      </c>
      <c r="O2786" t="s">
        <v>83</v>
      </c>
    </row>
    <row r="2787" spans="1:15" x14ac:dyDescent="0.25">
      <c r="A2787" s="22">
        <v>45763</v>
      </c>
      <c r="B2787" s="1">
        <v>911570117</v>
      </c>
      <c r="C2787" t="s">
        <v>52</v>
      </c>
      <c r="D2787" s="23">
        <v>-6382.4</v>
      </c>
      <c r="E2787" t="s">
        <v>35</v>
      </c>
      <c r="F2787" s="2">
        <v>212901001</v>
      </c>
      <c r="G2787" s="2" t="s">
        <v>91</v>
      </c>
      <c r="I2787" s="95" t="s">
        <v>7231</v>
      </c>
      <c r="J2787" t="s">
        <v>61</v>
      </c>
      <c r="K2787" t="s">
        <v>62</v>
      </c>
      <c r="M2787">
        <v>79.78</v>
      </c>
      <c r="N2787" s="4">
        <f t="shared" si="43"/>
        <v>-80</v>
      </c>
      <c r="O2787" t="s">
        <v>83</v>
      </c>
    </row>
    <row r="2788" spans="1:15" x14ac:dyDescent="0.25">
      <c r="A2788" s="22">
        <v>45763</v>
      </c>
      <c r="B2788" s="1">
        <v>11570119</v>
      </c>
      <c r="C2788" t="s">
        <v>52</v>
      </c>
      <c r="D2788" s="23">
        <v>-2154.06</v>
      </c>
      <c r="E2788" t="s">
        <v>35</v>
      </c>
      <c r="F2788" s="2">
        <v>212901001</v>
      </c>
      <c r="G2788" s="2" t="s">
        <v>91</v>
      </c>
      <c r="I2788" s="95" t="s">
        <v>7231</v>
      </c>
      <c r="J2788" t="s">
        <v>61</v>
      </c>
      <c r="K2788" t="s">
        <v>62</v>
      </c>
      <c r="M2788">
        <v>79.78</v>
      </c>
      <c r="N2788" s="4">
        <f t="shared" si="43"/>
        <v>-27</v>
      </c>
      <c r="O2788" t="s">
        <v>83</v>
      </c>
    </row>
    <row r="2789" spans="1:15" x14ac:dyDescent="0.25">
      <c r="A2789" s="22">
        <v>45763</v>
      </c>
      <c r="B2789" s="1">
        <v>911570116</v>
      </c>
      <c r="C2789" t="s">
        <v>52</v>
      </c>
      <c r="D2789" s="23">
        <v>-8775.7999999999993</v>
      </c>
      <c r="E2789" t="s">
        <v>35</v>
      </c>
      <c r="F2789" s="2">
        <v>212901001</v>
      </c>
      <c r="G2789" s="2" t="s">
        <v>91</v>
      </c>
      <c r="I2789" s="95" t="s">
        <v>7231</v>
      </c>
      <c r="J2789" t="s">
        <v>61</v>
      </c>
      <c r="K2789" t="s">
        <v>62</v>
      </c>
      <c r="M2789">
        <v>79.78</v>
      </c>
      <c r="N2789" s="4">
        <f t="shared" si="43"/>
        <v>-109.99999999999999</v>
      </c>
      <c r="O2789" t="s">
        <v>83</v>
      </c>
    </row>
    <row r="2790" spans="1:15" x14ac:dyDescent="0.25">
      <c r="A2790" s="22">
        <v>45763</v>
      </c>
      <c r="B2790" s="1">
        <v>11570121</v>
      </c>
      <c r="C2790" t="s">
        <v>52</v>
      </c>
      <c r="D2790" s="23">
        <v>-5584.6</v>
      </c>
      <c r="E2790" t="s">
        <v>35</v>
      </c>
      <c r="F2790" s="2">
        <v>212901001</v>
      </c>
      <c r="G2790" s="2" t="s">
        <v>91</v>
      </c>
      <c r="I2790" s="95" t="s">
        <v>7231</v>
      </c>
      <c r="J2790" t="s">
        <v>61</v>
      </c>
      <c r="K2790" t="s">
        <v>62</v>
      </c>
      <c r="M2790">
        <v>79.78</v>
      </c>
      <c r="N2790" s="4">
        <f t="shared" si="43"/>
        <v>-70</v>
      </c>
      <c r="O2790" t="s">
        <v>83</v>
      </c>
    </row>
    <row r="2791" spans="1:15" x14ac:dyDescent="0.25">
      <c r="A2791" s="22">
        <v>45763</v>
      </c>
      <c r="B2791" s="1">
        <v>11570118</v>
      </c>
      <c r="C2791" t="s">
        <v>52</v>
      </c>
      <c r="D2791" s="23">
        <v>-7978</v>
      </c>
      <c r="E2791" t="s">
        <v>35</v>
      </c>
      <c r="F2791" s="2">
        <v>212901001</v>
      </c>
      <c r="G2791" s="2" t="s">
        <v>91</v>
      </c>
      <c r="I2791" s="95" t="s">
        <v>7231</v>
      </c>
      <c r="J2791" t="s">
        <v>61</v>
      </c>
      <c r="K2791" t="s">
        <v>62</v>
      </c>
      <c r="M2791">
        <v>79.78</v>
      </c>
      <c r="N2791" s="4">
        <f t="shared" si="43"/>
        <v>-100</v>
      </c>
      <c r="O2791" t="s">
        <v>83</v>
      </c>
    </row>
    <row r="2792" spans="1:15" x14ac:dyDescent="0.25">
      <c r="A2792" s="22">
        <v>45763</v>
      </c>
      <c r="B2792" s="1">
        <v>11570120</v>
      </c>
      <c r="C2792" t="s">
        <v>52</v>
      </c>
      <c r="D2792" s="23">
        <v>-5584.6</v>
      </c>
      <c r="E2792" t="s">
        <v>35</v>
      </c>
      <c r="F2792" s="2">
        <v>212901001</v>
      </c>
      <c r="G2792" s="2" t="s">
        <v>91</v>
      </c>
      <c r="I2792" s="95" t="s">
        <v>7231</v>
      </c>
      <c r="J2792" t="s">
        <v>61</v>
      </c>
      <c r="K2792" t="s">
        <v>62</v>
      </c>
      <c r="M2792">
        <v>79.78</v>
      </c>
      <c r="N2792" s="4">
        <f t="shared" si="43"/>
        <v>-70</v>
      </c>
      <c r="O2792" t="s">
        <v>83</v>
      </c>
    </row>
    <row r="2793" spans="1:15" x14ac:dyDescent="0.25">
      <c r="A2793" s="22">
        <v>45763</v>
      </c>
      <c r="B2793" s="1">
        <v>11570122</v>
      </c>
      <c r="C2793" t="s">
        <v>52</v>
      </c>
      <c r="D2793" s="23">
        <v>-5584.6</v>
      </c>
      <c r="E2793" t="s">
        <v>35</v>
      </c>
      <c r="F2793" s="2">
        <v>212901001</v>
      </c>
      <c r="G2793" s="2" t="s">
        <v>91</v>
      </c>
      <c r="I2793" s="95" t="s">
        <v>7231</v>
      </c>
      <c r="J2793" t="s">
        <v>61</v>
      </c>
      <c r="K2793" t="s">
        <v>62</v>
      </c>
      <c r="M2793">
        <v>79.78</v>
      </c>
      <c r="N2793" s="4">
        <f t="shared" si="43"/>
        <v>-70</v>
      </c>
      <c r="O2793" t="s">
        <v>83</v>
      </c>
    </row>
    <row r="2794" spans="1:15" x14ac:dyDescent="0.25">
      <c r="A2794" s="22">
        <v>45763</v>
      </c>
      <c r="B2794" s="1">
        <v>11570125</v>
      </c>
      <c r="C2794" t="s">
        <v>52</v>
      </c>
      <c r="D2794" s="23">
        <v>-3989</v>
      </c>
      <c r="E2794" t="s">
        <v>35</v>
      </c>
      <c r="F2794" s="2">
        <v>212901001</v>
      </c>
      <c r="G2794" s="2" t="s">
        <v>91</v>
      </c>
      <c r="I2794" s="95" t="s">
        <v>7231</v>
      </c>
      <c r="J2794" t="s">
        <v>61</v>
      </c>
      <c r="K2794" t="s">
        <v>62</v>
      </c>
      <c r="M2794">
        <v>79.78</v>
      </c>
      <c r="N2794" s="4">
        <f t="shared" si="43"/>
        <v>-50</v>
      </c>
      <c r="O2794" t="s">
        <v>83</v>
      </c>
    </row>
    <row r="2795" spans="1:15" x14ac:dyDescent="0.25">
      <c r="A2795" s="22">
        <v>45763</v>
      </c>
      <c r="B2795" s="1">
        <v>11570127</v>
      </c>
      <c r="C2795" t="s">
        <v>52</v>
      </c>
      <c r="D2795" s="23">
        <v>-3989</v>
      </c>
      <c r="E2795" t="s">
        <v>35</v>
      </c>
      <c r="F2795" s="2">
        <v>212901001</v>
      </c>
      <c r="G2795" s="2" t="s">
        <v>91</v>
      </c>
      <c r="I2795" s="95" t="s">
        <v>7231</v>
      </c>
      <c r="J2795" t="s">
        <v>61</v>
      </c>
      <c r="K2795" t="s">
        <v>62</v>
      </c>
      <c r="M2795">
        <v>79.78</v>
      </c>
      <c r="N2795" s="4">
        <f t="shared" si="43"/>
        <v>-50</v>
      </c>
      <c r="O2795" t="s">
        <v>83</v>
      </c>
    </row>
    <row r="2796" spans="1:15" x14ac:dyDescent="0.25">
      <c r="A2796" s="22">
        <v>45763</v>
      </c>
      <c r="B2796" s="1">
        <v>11570124</v>
      </c>
      <c r="C2796" t="s">
        <v>52</v>
      </c>
      <c r="D2796" s="23">
        <v>-3989</v>
      </c>
      <c r="E2796" t="s">
        <v>35</v>
      </c>
      <c r="F2796" s="2">
        <v>212901001</v>
      </c>
      <c r="G2796" s="2" t="s">
        <v>91</v>
      </c>
      <c r="I2796" s="95" t="s">
        <v>7231</v>
      </c>
      <c r="J2796" t="s">
        <v>61</v>
      </c>
      <c r="K2796" t="s">
        <v>62</v>
      </c>
      <c r="M2796">
        <v>79.78</v>
      </c>
      <c r="N2796" s="4">
        <f t="shared" si="43"/>
        <v>-50</v>
      </c>
      <c r="O2796" t="s">
        <v>83</v>
      </c>
    </row>
    <row r="2797" spans="1:15" x14ac:dyDescent="0.25">
      <c r="A2797" s="22">
        <v>45763</v>
      </c>
      <c r="B2797" s="1">
        <v>11570123</v>
      </c>
      <c r="C2797" t="s">
        <v>52</v>
      </c>
      <c r="D2797" s="23">
        <v>-3989</v>
      </c>
      <c r="E2797" t="s">
        <v>35</v>
      </c>
      <c r="F2797" s="2">
        <v>212901001</v>
      </c>
      <c r="G2797" s="2" t="s">
        <v>91</v>
      </c>
      <c r="I2797" s="95" t="s">
        <v>7231</v>
      </c>
      <c r="J2797" t="s">
        <v>61</v>
      </c>
      <c r="K2797" t="s">
        <v>62</v>
      </c>
      <c r="M2797">
        <v>79.78</v>
      </c>
      <c r="N2797" s="4">
        <f t="shared" si="43"/>
        <v>-50</v>
      </c>
      <c r="O2797" t="s">
        <v>83</v>
      </c>
    </row>
    <row r="2798" spans="1:15" x14ac:dyDescent="0.25">
      <c r="A2798" s="22">
        <v>45763</v>
      </c>
      <c r="B2798" s="1">
        <v>111570131</v>
      </c>
      <c r="C2798" t="s">
        <v>52</v>
      </c>
      <c r="D2798" s="23">
        <v>-3989</v>
      </c>
      <c r="E2798" t="s">
        <v>35</v>
      </c>
      <c r="F2798" s="2">
        <v>212901001</v>
      </c>
      <c r="G2798" s="2" t="s">
        <v>91</v>
      </c>
      <c r="I2798" s="95" t="s">
        <v>7231</v>
      </c>
      <c r="J2798" t="s">
        <v>61</v>
      </c>
      <c r="K2798" t="s">
        <v>62</v>
      </c>
      <c r="M2798">
        <v>79.78</v>
      </c>
      <c r="N2798" s="4">
        <f t="shared" si="43"/>
        <v>-50</v>
      </c>
      <c r="O2798" t="s">
        <v>83</v>
      </c>
    </row>
    <row r="2799" spans="1:15" x14ac:dyDescent="0.25">
      <c r="A2799" s="22">
        <v>45763</v>
      </c>
      <c r="B2799" s="1">
        <v>111570129</v>
      </c>
      <c r="C2799" t="s">
        <v>52</v>
      </c>
      <c r="D2799" s="23">
        <v>-3989</v>
      </c>
      <c r="E2799" t="s">
        <v>35</v>
      </c>
      <c r="F2799" s="2">
        <v>212901001</v>
      </c>
      <c r="G2799" s="2" t="s">
        <v>91</v>
      </c>
      <c r="I2799" s="95" t="s">
        <v>7231</v>
      </c>
      <c r="J2799" t="s">
        <v>61</v>
      </c>
      <c r="K2799" t="s">
        <v>62</v>
      </c>
      <c r="M2799">
        <v>79.78</v>
      </c>
      <c r="N2799" s="4">
        <f t="shared" si="43"/>
        <v>-50</v>
      </c>
      <c r="O2799" t="s">
        <v>83</v>
      </c>
    </row>
    <row r="2800" spans="1:15" x14ac:dyDescent="0.25">
      <c r="A2800" s="22">
        <v>45763</v>
      </c>
      <c r="B2800" s="1">
        <v>111570132</v>
      </c>
      <c r="C2800" t="s">
        <v>52</v>
      </c>
      <c r="D2800" s="23">
        <v>-3989</v>
      </c>
      <c r="E2800" t="s">
        <v>35</v>
      </c>
      <c r="F2800" s="2">
        <v>212901001</v>
      </c>
      <c r="G2800" s="2" t="s">
        <v>91</v>
      </c>
      <c r="I2800" s="95" t="s">
        <v>7231</v>
      </c>
      <c r="J2800" t="s">
        <v>61</v>
      </c>
      <c r="K2800" t="s">
        <v>62</v>
      </c>
      <c r="M2800">
        <v>79.78</v>
      </c>
      <c r="N2800" s="4">
        <f t="shared" si="43"/>
        <v>-50</v>
      </c>
      <c r="O2800" t="s">
        <v>83</v>
      </c>
    </row>
    <row r="2801" spans="1:15" x14ac:dyDescent="0.25">
      <c r="A2801" s="22">
        <v>45763</v>
      </c>
      <c r="B2801" s="1">
        <v>111570128</v>
      </c>
      <c r="C2801" t="s">
        <v>52</v>
      </c>
      <c r="D2801" s="23">
        <v>-3989</v>
      </c>
      <c r="E2801" t="s">
        <v>35</v>
      </c>
      <c r="F2801" s="2">
        <v>212901001</v>
      </c>
      <c r="G2801" s="2" t="s">
        <v>91</v>
      </c>
      <c r="I2801" s="95" t="s">
        <v>7231</v>
      </c>
      <c r="J2801" t="s">
        <v>61</v>
      </c>
      <c r="K2801" t="s">
        <v>62</v>
      </c>
      <c r="M2801">
        <v>79.78</v>
      </c>
      <c r="N2801" s="4">
        <f t="shared" si="43"/>
        <v>-50</v>
      </c>
      <c r="O2801" t="s">
        <v>83</v>
      </c>
    </row>
    <row r="2802" spans="1:15" x14ac:dyDescent="0.25">
      <c r="A2802" s="22">
        <v>45763</v>
      </c>
      <c r="B2802" s="1">
        <v>111570133</v>
      </c>
      <c r="C2802" t="s">
        <v>52</v>
      </c>
      <c r="D2802" s="23">
        <v>-3989</v>
      </c>
      <c r="E2802" t="s">
        <v>35</v>
      </c>
      <c r="F2802" s="2">
        <v>212901001</v>
      </c>
      <c r="G2802" s="2" t="s">
        <v>91</v>
      </c>
      <c r="I2802" s="95" t="s">
        <v>7231</v>
      </c>
      <c r="J2802" t="s">
        <v>61</v>
      </c>
      <c r="K2802" t="s">
        <v>62</v>
      </c>
      <c r="M2802">
        <v>79.78</v>
      </c>
      <c r="N2802" s="4">
        <f t="shared" si="43"/>
        <v>-50</v>
      </c>
      <c r="O2802" t="s">
        <v>83</v>
      </c>
    </row>
    <row r="2803" spans="1:15" x14ac:dyDescent="0.25">
      <c r="A2803" s="22">
        <v>45763</v>
      </c>
      <c r="B2803" s="1">
        <v>111570134</v>
      </c>
      <c r="C2803" t="s">
        <v>52</v>
      </c>
      <c r="D2803" s="23">
        <v>-3989</v>
      </c>
      <c r="E2803" t="s">
        <v>35</v>
      </c>
      <c r="F2803" s="2">
        <v>212901001</v>
      </c>
      <c r="G2803" s="2" t="s">
        <v>91</v>
      </c>
      <c r="I2803" s="95" t="s">
        <v>7231</v>
      </c>
      <c r="J2803" t="s">
        <v>61</v>
      </c>
      <c r="K2803" t="s">
        <v>62</v>
      </c>
      <c r="M2803">
        <v>79.78</v>
      </c>
      <c r="N2803" s="4">
        <f t="shared" si="43"/>
        <v>-50</v>
      </c>
      <c r="O2803" t="s">
        <v>83</v>
      </c>
    </row>
    <row r="2804" spans="1:15" x14ac:dyDescent="0.25">
      <c r="A2804" s="22">
        <v>45763</v>
      </c>
      <c r="B2804" s="1">
        <v>111570137</v>
      </c>
      <c r="C2804" t="s">
        <v>52</v>
      </c>
      <c r="D2804" s="23">
        <v>-3989</v>
      </c>
      <c r="E2804" t="s">
        <v>35</v>
      </c>
      <c r="F2804" s="2">
        <v>212901001</v>
      </c>
      <c r="G2804" s="2" t="s">
        <v>91</v>
      </c>
      <c r="I2804" s="95" t="s">
        <v>7231</v>
      </c>
      <c r="J2804" t="s">
        <v>61</v>
      </c>
      <c r="K2804" t="s">
        <v>62</v>
      </c>
      <c r="M2804">
        <v>79.78</v>
      </c>
      <c r="N2804" s="4">
        <f t="shared" si="43"/>
        <v>-50</v>
      </c>
      <c r="O2804" t="s">
        <v>83</v>
      </c>
    </row>
    <row r="2805" spans="1:15" x14ac:dyDescent="0.25">
      <c r="A2805" s="22">
        <v>45763</v>
      </c>
      <c r="B2805" s="1">
        <v>111570139</v>
      </c>
      <c r="C2805" t="s">
        <v>52</v>
      </c>
      <c r="D2805" s="23">
        <v>-3989</v>
      </c>
      <c r="E2805" t="s">
        <v>35</v>
      </c>
      <c r="F2805" s="2">
        <v>212901001</v>
      </c>
      <c r="G2805" s="2" t="s">
        <v>91</v>
      </c>
      <c r="I2805" s="95" t="s">
        <v>7231</v>
      </c>
      <c r="J2805" t="s">
        <v>61</v>
      </c>
      <c r="K2805" t="s">
        <v>62</v>
      </c>
      <c r="M2805">
        <v>79.78</v>
      </c>
      <c r="N2805" s="4">
        <f t="shared" si="43"/>
        <v>-50</v>
      </c>
      <c r="O2805" t="s">
        <v>83</v>
      </c>
    </row>
    <row r="2806" spans="1:15" x14ac:dyDescent="0.25">
      <c r="A2806" s="22">
        <v>45763</v>
      </c>
      <c r="B2806" s="1">
        <v>111570138</v>
      </c>
      <c r="C2806" t="s">
        <v>52</v>
      </c>
      <c r="D2806" s="23">
        <v>-3989</v>
      </c>
      <c r="E2806" t="s">
        <v>35</v>
      </c>
      <c r="F2806" s="2">
        <v>212901001</v>
      </c>
      <c r="G2806" s="2" t="s">
        <v>91</v>
      </c>
      <c r="I2806" s="95" t="s">
        <v>7231</v>
      </c>
      <c r="J2806" t="s">
        <v>61</v>
      </c>
      <c r="K2806" t="s">
        <v>62</v>
      </c>
      <c r="M2806">
        <v>79.78</v>
      </c>
      <c r="N2806" s="4">
        <f t="shared" si="43"/>
        <v>-50</v>
      </c>
      <c r="O2806" t="s">
        <v>83</v>
      </c>
    </row>
    <row r="2807" spans="1:15" x14ac:dyDescent="0.25">
      <c r="A2807" s="22">
        <v>45763</v>
      </c>
      <c r="B2807" s="1">
        <v>111570135</v>
      </c>
      <c r="C2807" t="s">
        <v>52</v>
      </c>
      <c r="D2807" s="23">
        <v>-3989</v>
      </c>
      <c r="E2807" t="s">
        <v>35</v>
      </c>
      <c r="F2807" s="2">
        <v>212901001</v>
      </c>
      <c r="G2807" s="2" t="s">
        <v>91</v>
      </c>
      <c r="I2807" s="95" t="s">
        <v>7231</v>
      </c>
      <c r="J2807" t="s">
        <v>61</v>
      </c>
      <c r="K2807" t="s">
        <v>62</v>
      </c>
      <c r="M2807">
        <v>79.78</v>
      </c>
      <c r="N2807" s="4">
        <f t="shared" si="43"/>
        <v>-50</v>
      </c>
      <c r="O2807" t="s">
        <v>83</v>
      </c>
    </row>
    <row r="2808" spans="1:15" x14ac:dyDescent="0.25">
      <c r="A2808" s="22">
        <v>45763</v>
      </c>
      <c r="B2808" s="1">
        <v>111570140</v>
      </c>
      <c r="C2808" t="s">
        <v>52</v>
      </c>
      <c r="D2808" s="23">
        <v>-3989</v>
      </c>
      <c r="E2808" t="s">
        <v>35</v>
      </c>
      <c r="F2808" s="2">
        <v>212901001</v>
      </c>
      <c r="G2808" s="2" t="s">
        <v>91</v>
      </c>
      <c r="I2808" s="95" t="s">
        <v>7231</v>
      </c>
      <c r="J2808" t="s">
        <v>61</v>
      </c>
      <c r="K2808" t="s">
        <v>62</v>
      </c>
      <c r="M2808">
        <v>79.78</v>
      </c>
      <c r="N2808" s="4">
        <f t="shared" si="43"/>
        <v>-50</v>
      </c>
      <c r="O2808" t="s">
        <v>83</v>
      </c>
    </row>
    <row r="2809" spans="1:15" x14ac:dyDescent="0.25">
      <c r="A2809" s="22">
        <v>45763</v>
      </c>
      <c r="B2809" s="1">
        <v>211570144</v>
      </c>
      <c r="C2809" t="s">
        <v>52</v>
      </c>
      <c r="D2809" s="23">
        <v>-1595.6</v>
      </c>
      <c r="E2809" t="s">
        <v>35</v>
      </c>
      <c r="F2809" s="2">
        <v>212901001</v>
      </c>
      <c r="G2809" s="2" t="s">
        <v>91</v>
      </c>
      <c r="I2809" s="95" t="s">
        <v>7231</v>
      </c>
      <c r="J2809" t="s">
        <v>61</v>
      </c>
      <c r="K2809" t="s">
        <v>62</v>
      </c>
      <c r="M2809">
        <v>79.78</v>
      </c>
      <c r="N2809" s="4">
        <f t="shared" si="43"/>
        <v>-20</v>
      </c>
      <c r="O2809" t="s">
        <v>83</v>
      </c>
    </row>
    <row r="2810" spans="1:15" x14ac:dyDescent="0.25">
      <c r="A2810" s="22">
        <v>45763</v>
      </c>
      <c r="B2810" s="1">
        <v>211570142</v>
      </c>
      <c r="C2810" t="s">
        <v>52</v>
      </c>
      <c r="D2810" s="23">
        <v>-1595.6</v>
      </c>
      <c r="E2810" t="s">
        <v>35</v>
      </c>
      <c r="F2810" s="2">
        <v>212901001</v>
      </c>
      <c r="G2810" s="2" t="s">
        <v>91</v>
      </c>
      <c r="I2810" s="95" t="s">
        <v>7231</v>
      </c>
      <c r="J2810" t="s">
        <v>61</v>
      </c>
      <c r="K2810" t="s">
        <v>62</v>
      </c>
      <c r="M2810">
        <v>79.78</v>
      </c>
      <c r="N2810" s="4">
        <f t="shared" si="43"/>
        <v>-20</v>
      </c>
      <c r="O2810" t="s">
        <v>83</v>
      </c>
    </row>
    <row r="2811" spans="1:15" x14ac:dyDescent="0.25">
      <c r="A2811" s="22">
        <v>45763</v>
      </c>
      <c r="B2811" s="1">
        <v>211570141</v>
      </c>
      <c r="C2811" t="s">
        <v>52</v>
      </c>
      <c r="D2811" s="23">
        <v>-1595.6</v>
      </c>
      <c r="E2811" t="s">
        <v>35</v>
      </c>
      <c r="F2811" s="2">
        <v>212901001</v>
      </c>
      <c r="G2811" s="2" t="s">
        <v>91</v>
      </c>
      <c r="I2811" s="95" t="s">
        <v>7231</v>
      </c>
      <c r="J2811" t="s">
        <v>61</v>
      </c>
      <c r="K2811" t="s">
        <v>62</v>
      </c>
      <c r="M2811">
        <v>79.78</v>
      </c>
      <c r="N2811" s="4">
        <f t="shared" si="43"/>
        <v>-20</v>
      </c>
      <c r="O2811" t="s">
        <v>83</v>
      </c>
    </row>
    <row r="2812" spans="1:15" x14ac:dyDescent="0.25">
      <c r="A2812" s="22">
        <v>45763</v>
      </c>
      <c r="B2812" s="1">
        <v>211570146</v>
      </c>
      <c r="C2812" t="s">
        <v>52</v>
      </c>
      <c r="D2812" s="23">
        <v>-7978</v>
      </c>
      <c r="E2812" t="s">
        <v>35</v>
      </c>
      <c r="F2812" s="2">
        <v>212901001</v>
      </c>
      <c r="G2812" s="2" t="s">
        <v>91</v>
      </c>
      <c r="I2812" s="95" t="s">
        <v>7231</v>
      </c>
      <c r="J2812" t="s">
        <v>61</v>
      </c>
      <c r="K2812" t="s">
        <v>62</v>
      </c>
      <c r="M2812">
        <v>79.78</v>
      </c>
      <c r="N2812" s="4">
        <f t="shared" si="43"/>
        <v>-100</v>
      </c>
      <c r="O2812" t="s">
        <v>83</v>
      </c>
    </row>
    <row r="2813" spans="1:15" x14ac:dyDescent="0.25">
      <c r="A2813" s="22">
        <v>45763</v>
      </c>
      <c r="B2813" s="1">
        <v>211570150</v>
      </c>
      <c r="C2813" t="s">
        <v>52</v>
      </c>
      <c r="D2813" s="23">
        <v>-3191.2</v>
      </c>
      <c r="E2813" t="s">
        <v>35</v>
      </c>
      <c r="F2813" s="2">
        <v>212901001</v>
      </c>
      <c r="G2813" s="2" t="s">
        <v>91</v>
      </c>
      <c r="I2813" s="95" t="s">
        <v>7231</v>
      </c>
      <c r="J2813" t="s">
        <v>61</v>
      </c>
      <c r="K2813" t="s">
        <v>62</v>
      </c>
      <c r="M2813">
        <v>79.78</v>
      </c>
      <c r="N2813" s="4">
        <f t="shared" si="43"/>
        <v>-40</v>
      </c>
      <c r="O2813" t="s">
        <v>83</v>
      </c>
    </row>
    <row r="2814" spans="1:15" x14ac:dyDescent="0.25">
      <c r="A2814" s="22">
        <v>45763</v>
      </c>
      <c r="B2814" s="1">
        <v>211570148</v>
      </c>
      <c r="C2814" t="s">
        <v>52</v>
      </c>
      <c r="D2814" s="23">
        <v>-9733.16</v>
      </c>
      <c r="E2814" t="s">
        <v>35</v>
      </c>
      <c r="F2814" s="2">
        <v>212901001</v>
      </c>
      <c r="G2814" s="2" t="s">
        <v>91</v>
      </c>
      <c r="I2814" s="95" t="s">
        <v>7231</v>
      </c>
      <c r="J2814" t="s">
        <v>61</v>
      </c>
      <c r="K2814" t="s">
        <v>62</v>
      </c>
      <c r="M2814">
        <v>79.78</v>
      </c>
      <c r="N2814" s="4">
        <f t="shared" si="43"/>
        <v>-122</v>
      </c>
      <c r="O2814" t="s">
        <v>83</v>
      </c>
    </row>
    <row r="2815" spans="1:15" x14ac:dyDescent="0.25">
      <c r="A2815" s="22">
        <v>45763</v>
      </c>
      <c r="B2815" s="1">
        <v>211570143</v>
      </c>
      <c r="C2815" t="s">
        <v>52</v>
      </c>
      <c r="D2815" s="23">
        <v>-1595.6</v>
      </c>
      <c r="E2815" t="s">
        <v>35</v>
      </c>
      <c r="F2815" s="2">
        <v>212901001</v>
      </c>
      <c r="G2815" s="2" t="s">
        <v>91</v>
      </c>
      <c r="I2815" s="95" t="s">
        <v>7231</v>
      </c>
      <c r="J2815" t="s">
        <v>61</v>
      </c>
      <c r="K2815" t="s">
        <v>62</v>
      </c>
      <c r="M2815">
        <v>79.78</v>
      </c>
      <c r="N2815" s="4">
        <f t="shared" si="43"/>
        <v>-20</v>
      </c>
      <c r="O2815" t="s">
        <v>83</v>
      </c>
    </row>
    <row r="2816" spans="1:15" x14ac:dyDescent="0.25">
      <c r="A2816" s="22">
        <v>45763</v>
      </c>
      <c r="B2816" s="1">
        <v>211570147</v>
      </c>
      <c r="C2816" t="s">
        <v>52</v>
      </c>
      <c r="D2816" s="23">
        <v>-15956</v>
      </c>
      <c r="E2816" t="s">
        <v>35</v>
      </c>
      <c r="F2816" s="2">
        <v>212901001</v>
      </c>
      <c r="G2816" s="2" t="s">
        <v>91</v>
      </c>
      <c r="I2816" s="95" t="s">
        <v>7231</v>
      </c>
      <c r="J2816" t="s">
        <v>61</v>
      </c>
      <c r="K2816" t="s">
        <v>62</v>
      </c>
      <c r="M2816">
        <v>79.78</v>
      </c>
      <c r="N2816" s="4">
        <f t="shared" si="43"/>
        <v>-200</v>
      </c>
      <c r="O2816" t="s">
        <v>83</v>
      </c>
    </row>
    <row r="2817" spans="1:17" x14ac:dyDescent="0.25">
      <c r="A2817" s="22">
        <v>45763</v>
      </c>
      <c r="B2817" s="1">
        <v>211570149</v>
      </c>
      <c r="C2817" t="s">
        <v>52</v>
      </c>
      <c r="D2817" s="23">
        <v>-2393.4</v>
      </c>
      <c r="E2817" t="s">
        <v>35</v>
      </c>
      <c r="F2817" s="2">
        <v>212901001</v>
      </c>
      <c r="G2817" s="2" t="s">
        <v>91</v>
      </c>
      <c r="I2817" s="95" t="s">
        <v>7231</v>
      </c>
      <c r="J2817" t="s">
        <v>61</v>
      </c>
      <c r="K2817" t="s">
        <v>62</v>
      </c>
      <c r="M2817">
        <v>79.78</v>
      </c>
      <c r="N2817" s="4">
        <f t="shared" si="43"/>
        <v>-30</v>
      </c>
      <c r="O2817" t="s">
        <v>83</v>
      </c>
    </row>
    <row r="2818" spans="1:17" x14ac:dyDescent="0.25">
      <c r="A2818" s="22">
        <v>45763</v>
      </c>
      <c r="B2818" s="1">
        <v>50432341</v>
      </c>
      <c r="C2818" t="s">
        <v>52</v>
      </c>
      <c r="D2818" s="23">
        <v>-11169.2</v>
      </c>
      <c r="E2818" t="s">
        <v>35</v>
      </c>
      <c r="F2818" s="2">
        <v>212901001</v>
      </c>
      <c r="G2818" s="2" t="s">
        <v>91</v>
      </c>
      <c r="I2818" s="95" t="s">
        <v>7231</v>
      </c>
      <c r="J2818" t="s">
        <v>61</v>
      </c>
      <c r="K2818" t="s">
        <v>62</v>
      </c>
      <c r="M2818">
        <v>79.78</v>
      </c>
      <c r="N2818" s="4">
        <f t="shared" si="43"/>
        <v>-140</v>
      </c>
      <c r="O2818" t="s">
        <v>83</v>
      </c>
    </row>
    <row r="2819" spans="1:17" x14ac:dyDescent="0.25">
      <c r="A2819" s="22">
        <v>45763</v>
      </c>
      <c r="B2819" s="1">
        <v>50432341</v>
      </c>
      <c r="C2819" t="s">
        <v>52</v>
      </c>
      <c r="D2819" s="23">
        <v>-16.75</v>
      </c>
      <c r="E2819" t="s">
        <v>35</v>
      </c>
      <c r="F2819" s="2">
        <v>610148001</v>
      </c>
      <c r="G2819" s="2" t="s">
        <v>41</v>
      </c>
      <c r="I2819" s="95" t="s">
        <v>7231</v>
      </c>
      <c r="J2819" t="s">
        <v>42</v>
      </c>
      <c r="K2819" t="s">
        <v>41</v>
      </c>
      <c r="M2819">
        <v>79.78</v>
      </c>
      <c r="N2819" s="4">
        <f t="shared" si="43"/>
        <v>-0.20995236901479067</v>
      </c>
      <c r="O2819" t="s">
        <v>83</v>
      </c>
      <c r="Q2819" s="24" t="s">
        <v>2195</v>
      </c>
    </row>
    <row r="2820" spans="1:17" x14ac:dyDescent="0.25">
      <c r="A2820" s="22">
        <v>45763</v>
      </c>
      <c r="B2820" s="1">
        <v>50432341</v>
      </c>
      <c r="C2820" t="s">
        <v>52</v>
      </c>
      <c r="D2820" s="23">
        <v>-892.13</v>
      </c>
      <c r="E2820" t="s">
        <v>35</v>
      </c>
      <c r="F2820" s="2">
        <v>610148001</v>
      </c>
      <c r="G2820" s="2" t="s">
        <v>41</v>
      </c>
      <c r="I2820" s="95" t="s">
        <v>7231</v>
      </c>
      <c r="J2820" t="s">
        <v>42</v>
      </c>
      <c r="K2820" t="s">
        <v>41</v>
      </c>
      <c r="M2820">
        <v>79.78</v>
      </c>
      <c r="N2820" s="4">
        <f t="shared" si="43"/>
        <v>-11.18237653547255</v>
      </c>
      <c r="O2820" t="s">
        <v>83</v>
      </c>
      <c r="Q2820" s="24" t="s">
        <v>2195</v>
      </c>
    </row>
    <row r="2821" spans="1:17" x14ac:dyDescent="0.25">
      <c r="A2821" s="22">
        <v>45763</v>
      </c>
      <c r="B2821" s="1">
        <v>111570358</v>
      </c>
      <c r="C2821" t="s">
        <v>52</v>
      </c>
      <c r="D2821" s="23">
        <v>-7128.73</v>
      </c>
      <c r="E2821" t="s">
        <v>35</v>
      </c>
      <c r="F2821" s="2">
        <v>210101001</v>
      </c>
      <c r="G2821" s="2" t="s">
        <v>36</v>
      </c>
      <c r="I2821" s="95" t="s">
        <v>7231</v>
      </c>
      <c r="J2821" t="s">
        <v>398</v>
      </c>
      <c r="K2821" t="s">
        <v>399</v>
      </c>
      <c r="M2821">
        <v>79.78</v>
      </c>
      <c r="N2821" s="4">
        <f t="shared" si="43"/>
        <v>-89.354850839809473</v>
      </c>
      <c r="O2821" t="s">
        <v>83</v>
      </c>
    </row>
    <row r="2822" spans="1:17" x14ac:dyDescent="0.25">
      <c r="A2822" s="22">
        <v>45763</v>
      </c>
      <c r="B2822" s="1">
        <v>111570358</v>
      </c>
      <c r="C2822" t="s">
        <v>52</v>
      </c>
      <c r="D2822" s="23">
        <v>-21.39</v>
      </c>
      <c r="E2822" t="s">
        <v>35</v>
      </c>
      <c r="F2822" s="2">
        <v>610148001</v>
      </c>
      <c r="G2822" s="2" t="s">
        <v>41</v>
      </c>
      <c r="I2822" s="95" t="s">
        <v>7231</v>
      </c>
      <c r="J2822" t="s">
        <v>42</v>
      </c>
      <c r="K2822" t="s">
        <v>41</v>
      </c>
      <c r="M2822">
        <v>79.78</v>
      </c>
      <c r="N2822" s="4">
        <f t="shared" si="43"/>
        <v>-0.26811230884933568</v>
      </c>
      <c r="O2822" t="s">
        <v>83</v>
      </c>
      <c r="Q2822" s="24" t="s">
        <v>2195</v>
      </c>
    </row>
    <row r="2823" spans="1:17" x14ac:dyDescent="0.25">
      <c r="A2823" s="22">
        <v>45763</v>
      </c>
      <c r="B2823" s="1">
        <v>11570409</v>
      </c>
      <c r="C2823" t="s">
        <v>52</v>
      </c>
      <c r="D2823" s="23">
        <v>-49349.93</v>
      </c>
      <c r="E2823" t="s">
        <v>35</v>
      </c>
      <c r="F2823" s="2">
        <v>210101001</v>
      </c>
      <c r="G2823" s="2" t="s">
        <v>36</v>
      </c>
      <c r="I2823" s="95" t="s">
        <v>7231</v>
      </c>
      <c r="J2823" t="s">
        <v>182</v>
      </c>
      <c r="K2823" t="s">
        <v>183</v>
      </c>
      <c r="M2823">
        <v>79.78</v>
      </c>
      <c r="N2823" s="4">
        <f t="shared" si="43"/>
        <v>-618.57520681875155</v>
      </c>
      <c r="O2823" t="s">
        <v>83</v>
      </c>
    </row>
    <row r="2824" spans="1:17" x14ac:dyDescent="0.25">
      <c r="A2824" s="22">
        <v>45763</v>
      </c>
      <c r="B2824" s="1">
        <v>11570409</v>
      </c>
      <c r="C2824" t="s">
        <v>52</v>
      </c>
      <c r="D2824" s="23">
        <v>-148.05000000000001</v>
      </c>
      <c r="E2824" t="s">
        <v>35</v>
      </c>
      <c r="F2824" s="2">
        <v>610148001</v>
      </c>
      <c r="G2824" s="2" t="s">
        <v>41</v>
      </c>
      <c r="I2824" s="95" t="s">
        <v>7231</v>
      </c>
      <c r="J2824" t="s">
        <v>42</v>
      </c>
      <c r="K2824" t="s">
        <v>41</v>
      </c>
      <c r="M2824">
        <v>79.78</v>
      </c>
      <c r="N2824" s="4">
        <f t="shared" si="43"/>
        <v>-1.855728252694911</v>
      </c>
      <c r="O2824" t="s">
        <v>83</v>
      </c>
      <c r="Q2824" s="24" t="s">
        <v>2195</v>
      </c>
    </row>
    <row r="2825" spans="1:17" x14ac:dyDescent="0.25">
      <c r="A2825" s="22">
        <v>45768</v>
      </c>
      <c r="B2825" s="1">
        <v>132028537</v>
      </c>
      <c r="C2825" t="s">
        <v>52</v>
      </c>
      <c r="D2825" s="23">
        <v>220000</v>
      </c>
      <c r="E2825" t="s">
        <v>45</v>
      </c>
      <c r="F2825" s="2">
        <v>210115002</v>
      </c>
      <c r="G2825" s="2" t="s">
        <v>46</v>
      </c>
      <c r="I2825" s="95" t="s">
        <v>7231</v>
      </c>
      <c r="K2825" t="s">
        <v>82</v>
      </c>
      <c r="M2825">
        <v>80.959999999999994</v>
      </c>
      <c r="N2825" s="4">
        <f t="shared" si="43"/>
        <v>2717.3913043478265</v>
      </c>
      <c r="O2825" t="s">
        <v>83</v>
      </c>
    </row>
    <row r="2826" spans="1:17" x14ac:dyDescent="0.25">
      <c r="A2826" s="22">
        <v>45768</v>
      </c>
      <c r="B2826" s="1">
        <v>211644523</v>
      </c>
      <c r="C2826" t="s">
        <v>52</v>
      </c>
      <c r="D2826" s="23">
        <v>-1596</v>
      </c>
      <c r="E2826" t="s">
        <v>35</v>
      </c>
      <c r="F2826" s="2">
        <v>110114001</v>
      </c>
      <c r="G2826" s="2" t="s">
        <v>181</v>
      </c>
      <c r="I2826" s="95" t="s">
        <v>7231</v>
      </c>
      <c r="J2826" t="s">
        <v>86</v>
      </c>
      <c r="K2826" t="s">
        <v>87</v>
      </c>
      <c r="M2826">
        <v>80.959999999999994</v>
      </c>
      <c r="N2826" s="4">
        <f t="shared" si="43"/>
        <v>-19.713438735177867</v>
      </c>
      <c r="O2826" t="s">
        <v>83</v>
      </c>
      <c r="P2826" s="34" t="s">
        <v>1529</v>
      </c>
    </row>
    <row r="2827" spans="1:17" x14ac:dyDescent="0.25">
      <c r="A2827" s="22">
        <v>45768</v>
      </c>
      <c r="B2827" s="1">
        <v>211644526</v>
      </c>
      <c r="C2827" t="s">
        <v>52</v>
      </c>
      <c r="D2827" s="23">
        <v>-7607</v>
      </c>
      <c r="E2827" t="s">
        <v>35</v>
      </c>
      <c r="F2827" s="2">
        <v>210101001</v>
      </c>
      <c r="G2827" s="2" t="s">
        <v>36</v>
      </c>
      <c r="I2827" s="95" t="s">
        <v>7231</v>
      </c>
      <c r="J2827" t="s">
        <v>182</v>
      </c>
      <c r="K2827" t="s">
        <v>183</v>
      </c>
      <c r="M2827">
        <v>80.959999999999994</v>
      </c>
      <c r="N2827" s="4">
        <f t="shared" si="43"/>
        <v>-93.959980237154156</v>
      </c>
      <c r="O2827" t="s">
        <v>83</v>
      </c>
    </row>
    <row r="2828" spans="1:17" x14ac:dyDescent="0.25">
      <c r="A2828" s="22">
        <v>45768</v>
      </c>
      <c r="B2828" s="1">
        <v>311644527</v>
      </c>
      <c r="C2828" t="s">
        <v>52</v>
      </c>
      <c r="D2828" s="23">
        <v>-4132.2</v>
      </c>
      <c r="E2828" t="s">
        <v>35</v>
      </c>
      <c r="F2828" s="2">
        <v>210101001</v>
      </c>
      <c r="G2828" s="2" t="s">
        <v>36</v>
      </c>
      <c r="I2828" s="95" t="s">
        <v>7231</v>
      </c>
      <c r="J2828" t="s">
        <v>1424</v>
      </c>
      <c r="K2828" t="s">
        <v>1425</v>
      </c>
      <c r="M2828">
        <v>80.959999999999994</v>
      </c>
      <c r="N2828" s="4">
        <f t="shared" ref="N2828:N2891" si="44">D2828/M2828</f>
        <v>-51.040019762845851</v>
      </c>
      <c r="O2828" t="s">
        <v>83</v>
      </c>
    </row>
    <row r="2829" spans="1:17" x14ac:dyDescent="0.25">
      <c r="A2829" s="22">
        <v>45768</v>
      </c>
      <c r="B2829" s="1">
        <v>311644530</v>
      </c>
      <c r="C2829" t="s">
        <v>52</v>
      </c>
      <c r="D2829" s="23">
        <v>-21727.7</v>
      </c>
      <c r="E2829" t="s">
        <v>35</v>
      </c>
      <c r="F2829" s="2">
        <v>110114001</v>
      </c>
      <c r="G2829" s="2" t="s">
        <v>181</v>
      </c>
      <c r="I2829" s="95" t="s">
        <v>7231</v>
      </c>
      <c r="J2829" t="s">
        <v>182</v>
      </c>
      <c r="K2829" t="s">
        <v>183</v>
      </c>
      <c r="M2829">
        <v>80.959999999999994</v>
      </c>
      <c r="N2829" s="4">
        <f t="shared" si="44"/>
        <v>-268.37574110671937</v>
      </c>
      <c r="O2829" t="s">
        <v>83</v>
      </c>
      <c r="P2829" s="34" t="s">
        <v>1529</v>
      </c>
    </row>
    <row r="2830" spans="1:17" x14ac:dyDescent="0.25">
      <c r="A2830" s="22">
        <v>45768</v>
      </c>
      <c r="B2830" s="1">
        <v>311644528</v>
      </c>
      <c r="C2830" t="s">
        <v>52</v>
      </c>
      <c r="D2830" s="23">
        <v>-3781.79</v>
      </c>
      <c r="E2830" t="s">
        <v>35</v>
      </c>
      <c r="F2830" s="2">
        <v>110114001</v>
      </c>
      <c r="G2830" s="2" t="s">
        <v>181</v>
      </c>
      <c r="I2830" s="95" t="s">
        <v>7231</v>
      </c>
      <c r="J2830" t="s">
        <v>182</v>
      </c>
      <c r="K2830" t="s">
        <v>2491</v>
      </c>
      <c r="M2830">
        <v>80.959999999999994</v>
      </c>
      <c r="N2830" s="4">
        <f t="shared" si="44"/>
        <v>-46.71183300395257</v>
      </c>
      <c r="O2830" t="s">
        <v>83</v>
      </c>
      <c r="P2830" s="34" t="s">
        <v>1529</v>
      </c>
    </row>
    <row r="2831" spans="1:17" x14ac:dyDescent="0.25">
      <c r="A2831" s="22">
        <v>45768</v>
      </c>
      <c r="B2831" s="1">
        <v>311644529</v>
      </c>
      <c r="C2831" t="s">
        <v>52</v>
      </c>
      <c r="D2831" s="23">
        <v>-5071.33</v>
      </c>
      <c r="E2831" t="s">
        <v>35</v>
      </c>
      <c r="F2831" s="2">
        <v>210101001</v>
      </c>
      <c r="G2831" s="2" t="s">
        <v>36</v>
      </c>
      <c r="I2831" s="95" t="s">
        <v>7231</v>
      </c>
      <c r="J2831" t="s">
        <v>1424</v>
      </c>
      <c r="K2831" t="s">
        <v>1425</v>
      </c>
      <c r="M2831">
        <v>80.959999999999994</v>
      </c>
      <c r="N2831" s="4">
        <f t="shared" si="44"/>
        <v>-62.639945652173914</v>
      </c>
      <c r="O2831" t="s">
        <v>83</v>
      </c>
    </row>
    <row r="2832" spans="1:17" x14ac:dyDescent="0.25">
      <c r="A2832" s="22">
        <v>45768</v>
      </c>
      <c r="B2832" s="1">
        <v>311644531</v>
      </c>
      <c r="C2832" t="s">
        <v>52</v>
      </c>
      <c r="D2832" s="23">
        <v>-3037.98</v>
      </c>
      <c r="E2832" t="s">
        <v>35</v>
      </c>
      <c r="F2832" s="2">
        <v>210101001</v>
      </c>
      <c r="G2832" s="2" t="s">
        <v>36</v>
      </c>
      <c r="I2832" s="95" t="s">
        <v>7231</v>
      </c>
      <c r="J2832" t="s">
        <v>383</v>
      </c>
      <c r="K2832" t="s">
        <v>384</v>
      </c>
      <c r="M2832">
        <v>80.959999999999994</v>
      </c>
      <c r="N2832" s="4">
        <f t="shared" si="44"/>
        <v>-37.524456521739133</v>
      </c>
      <c r="O2832" t="s">
        <v>83</v>
      </c>
    </row>
    <row r="2833" spans="1:17" ht="15.75" x14ac:dyDescent="0.25">
      <c r="A2833" s="22">
        <v>45768</v>
      </c>
      <c r="B2833" s="1">
        <v>311644534</v>
      </c>
      <c r="C2833" t="s">
        <v>52</v>
      </c>
      <c r="D2833" s="60">
        <v>-19091.46</v>
      </c>
      <c r="E2833" t="s">
        <v>35</v>
      </c>
      <c r="F2833" s="2">
        <v>110114001</v>
      </c>
      <c r="G2833" s="2" t="s">
        <v>181</v>
      </c>
      <c r="I2833" s="95" t="s">
        <v>7231</v>
      </c>
      <c r="J2833" s="61" t="s">
        <v>928</v>
      </c>
      <c r="K2833" s="61" t="s">
        <v>929</v>
      </c>
      <c r="L2833" s="61"/>
      <c r="M2833">
        <v>80.959999999999994</v>
      </c>
      <c r="N2833" s="4">
        <f t="shared" si="44"/>
        <v>-235.8134881422925</v>
      </c>
      <c r="O2833" t="s">
        <v>83</v>
      </c>
      <c r="P2833" s="34" t="s">
        <v>2492</v>
      </c>
    </row>
    <row r="2834" spans="1:17" x14ac:dyDescent="0.25">
      <c r="A2834" s="22">
        <v>45768</v>
      </c>
      <c r="B2834" s="1">
        <v>311644532</v>
      </c>
      <c r="C2834" t="s">
        <v>52</v>
      </c>
      <c r="D2834" s="23">
        <v>-28060.14</v>
      </c>
      <c r="E2834" t="s">
        <v>35</v>
      </c>
      <c r="F2834" s="2">
        <v>210101001</v>
      </c>
      <c r="G2834" s="2" t="s">
        <v>36</v>
      </c>
      <c r="I2834" s="95" t="s">
        <v>7231</v>
      </c>
      <c r="J2834" t="s">
        <v>680</v>
      </c>
      <c r="K2834" t="s">
        <v>681</v>
      </c>
      <c r="M2834">
        <v>80.959999999999994</v>
      </c>
      <c r="N2834" s="4">
        <f t="shared" si="44"/>
        <v>-346.592638339921</v>
      </c>
      <c r="O2834" t="s">
        <v>83</v>
      </c>
    </row>
    <row r="2835" spans="1:17" x14ac:dyDescent="0.25">
      <c r="A2835" s="22">
        <v>45768</v>
      </c>
      <c r="B2835" s="1">
        <v>311644535</v>
      </c>
      <c r="C2835" t="s">
        <v>52</v>
      </c>
      <c r="D2835" s="23">
        <v>-2077.56</v>
      </c>
      <c r="E2835" t="s">
        <v>35</v>
      </c>
      <c r="F2835" s="2">
        <v>110114001</v>
      </c>
      <c r="G2835" s="2" t="s">
        <v>181</v>
      </c>
      <c r="I2835" s="95" t="s">
        <v>7231</v>
      </c>
      <c r="J2835" t="s">
        <v>804</v>
      </c>
      <c r="K2835" t="s">
        <v>805</v>
      </c>
      <c r="M2835">
        <v>80.959999999999994</v>
      </c>
      <c r="N2835" s="4">
        <f t="shared" si="44"/>
        <v>-25.661561264822137</v>
      </c>
      <c r="O2835" t="s">
        <v>83</v>
      </c>
      <c r="P2835" s="34" t="s">
        <v>1529</v>
      </c>
    </row>
    <row r="2836" spans="1:17" x14ac:dyDescent="0.25">
      <c r="A2836" s="22">
        <v>45768</v>
      </c>
      <c r="B2836" s="1">
        <v>411644538</v>
      </c>
      <c r="C2836" t="s">
        <v>52</v>
      </c>
      <c r="D2836" s="23">
        <v>-86400.51</v>
      </c>
      <c r="E2836" t="s">
        <v>35</v>
      </c>
      <c r="F2836" s="2">
        <v>110114001</v>
      </c>
      <c r="G2836" s="2" t="s">
        <v>181</v>
      </c>
      <c r="I2836" s="95" t="s">
        <v>7231</v>
      </c>
      <c r="J2836" t="s">
        <v>928</v>
      </c>
      <c r="K2836" t="s">
        <v>929</v>
      </c>
      <c r="M2836">
        <v>80.959999999999994</v>
      </c>
      <c r="N2836" s="4">
        <f t="shared" si="44"/>
        <v>-1067.1999752964427</v>
      </c>
      <c r="O2836" t="s">
        <v>83</v>
      </c>
      <c r="P2836" s="34" t="s">
        <v>1529</v>
      </c>
    </row>
    <row r="2837" spans="1:17" x14ac:dyDescent="0.25">
      <c r="A2837" s="22">
        <v>45768</v>
      </c>
      <c r="B2837" s="1">
        <v>411644537</v>
      </c>
      <c r="C2837" t="s">
        <v>52</v>
      </c>
      <c r="D2837" s="23">
        <v>-33808.9</v>
      </c>
      <c r="E2837" t="s">
        <v>35</v>
      </c>
      <c r="F2837" s="2">
        <v>210101001</v>
      </c>
      <c r="G2837" s="2" t="s">
        <v>36</v>
      </c>
      <c r="I2837" s="95" t="s">
        <v>7231</v>
      </c>
      <c r="J2837" t="s">
        <v>928</v>
      </c>
      <c r="K2837" t="s">
        <v>929</v>
      </c>
      <c r="M2837">
        <v>80.959999999999994</v>
      </c>
      <c r="N2837" s="4">
        <f t="shared" si="44"/>
        <v>-417.60004940711468</v>
      </c>
      <c r="O2837" t="s">
        <v>83</v>
      </c>
    </row>
    <row r="2838" spans="1:17" x14ac:dyDescent="0.25">
      <c r="A2838" s="22">
        <v>45768</v>
      </c>
      <c r="B2838" s="1">
        <v>50491473</v>
      </c>
      <c r="C2838" t="s">
        <v>52</v>
      </c>
      <c r="D2838" s="23">
        <v>-540.98</v>
      </c>
      <c r="E2838" t="s">
        <v>35</v>
      </c>
      <c r="F2838" s="2">
        <v>610148001</v>
      </c>
      <c r="G2838" s="2" t="s">
        <v>41</v>
      </c>
      <c r="I2838" s="95" t="s">
        <v>7231</v>
      </c>
      <c r="J2838" t="s">
        <v>42</v>
      </c>
      <c r="K2838" t="s">
        <v>41</v>
      </c>
      <c r="M2838">
        <v>80.959999999999994</v>
      </c>
      <c r="N2838" s="4">
        <f t="shared" si="44"/>
        <v>-6.6820652173913047</v>
      </c>
      <c r="O2838" t="s">
        <v>83</v>
      </c>
      <c r="Q2838" s="24" t="s">
        <v>2195</v>
      </c>
    </row>
    <row r="2839" spans="1:17" x14ac:dyDescent="0.25">
      <c r="A2839" s="22">
        <v>45768</v>
      </c>
      <c r="B2839" s="1">
        <v>50491473</v>
      </c>
      <c r="C2839" t="s">
        <v>52</v>
      </c>
      <c r="D2839" s="23">
        <v>-0.13</v>
      </c>
      <c r="E2839" t="s">
        <v>35</v>
      </c>
      <c r="F2839" s="2">
        <v>610148001</v>
      </c>
      <c r="G2839" s="2" t="s">
        <v>41</v>
      </c>
      <c r="I2839" s="95" t="s">
        <v>7231</v>
      </c>
      <c r="J2839" t="s">
        <v>42</v>
      </c>
      <c r="K2839" t="s">
        <v>41</v>
      </c>
      <c r="M2839">
        <v>80.959999999999994</v>
      </c>
      <c r="N2839" s="4">
        <f t="shared" si="44"/>
        <v>-1.605731225296443E-3</v>
      </c>
      <c r="O2839" t="s">
        <v>83</v>
      </c>
      <c r="Q2839" s="24" t="s">
        <v>2195</v>
      </c>
    </row>
    <row r="2840" spans="1:17" x14ac:dyDescent="0.25">
      <c r="A2840" s="22">
        <v>45768</v>
      </c>
      <c r="B2840" s="1">
        <v>0</v>
      </c>
      <c r="C2840" t="s">
        <v>52</v>
      </c>
      <c r="D2840" s="23">
        <v>-0.13</v>
      </c>
      <c r="E2840" t="s">
        <v>35</v>
      </c>
      <c r="F2840" s="2">
        <v>610148001</v>
      </c>
      <c r="G2840" s="2" t="s">
        <v>41</v>
      </c>
      <c r="I2840" s="95" t="s">
        <v>7231</v>
      </c>
      <c r="J2840" t="s">
        <v>42</v>
      </c>
      <c r="K2840" t="s">
        <v>41</v>
      </c>
      <c r="M2840">
        <v>80.959999999999994</v>
      </c>
      <c r="N2840" s="4">
        <f t="shared" si="44"/>
        <v>-1.605731225296443E-3</v>
      </c>
      <c r="O2840" t="s">
        <v>83</v>
      </c>
      <c r="Q2840" s="24" t="s">
        <v>2195</v>
      </c>
    </row>
    <row r="2841" spans="1:17" x14ac:dyDescent="0.25">
      <c r="A2841" s="22">
        <v>45768</v>
      </c>
      <c r="B2841" s="1">
        <v>511649623</v>
      </c>
      <c r="C2841" t="s">
        <v>52</v>
      </c>
      <c r="D2841" s="23">
        <v>-4533.76</v>
      </c>
      <c r="E2841" t="s">
        <v>35</v>
      </c>
      <c r="F2841" s="2">
        <v>210101001</v>
      </c>
      <c r="G2841" s="2" t="s">
        <v>36</v>
      </c>
      <c r="I2841" s="95" t="s">
        <v>7231</v>
      </c>
      <c r="J2841" t="s">
        <v>680</v>
      </c>
      <c r="K2841" t="s">
        <v>681</v>
      </c>
      <c r="M2841">
        <v>80.959999999999994</v>
      </c>
      <c r="N2841" s="4">
        <f t="shared" si="44"/>
        <v>-56.000000000000007</v>
      </c>
      <c r="O2841" t="s">
        <v>83</v>
      </c>
    </row>
    <row r="2842" spans="1:17" x14ac:dyDescent="0.25">
      <c r="A2842" s="22">
        <v>45768</v>
      </c>
      <c r="B2842" s="1">
        <v>511649622</v>
      </c>
      <c r="C2842" t="s">
        <v>52</v>
      </c>
      <c r="D2842" s="23">
        <v>-7101.75</v>
      </c>
      <c r="E2842" t="s">
        <v>35</v>
      </c>
      <c r="F2842" s="2">
        <v>210101001</v>
      </c>
      <c r="G2842" s="2" t="s">
        <v>36</v>
      </c>
      <c r="I2842" s="95" t="s">
        <v>7231</v>
      </c>
      <c r="J2842" t="s">
        <v>1424</v>
      </c>
      <c r="K2842" t="s">
        <v>1425</v>
      </c>
      <c r="M2842">
        <v>80.959999999999994</v>
      </c>
      <c r="N2842" s="4">
        <f t="shared" si="44"/>
        <v>-87.71924407114625</v>
      </c>
      <c r="O2842" t="s">
        <v>83</v>
      </c>
    </row>
    <row r="2843" spans="1:17" x14ac:dyDescent="0.25">
      <c r="A2843" s="22">
        <v>45768</v>
      </c>
      <c r="B2843" s="1">
        <v>50429390</v>
      </c>
      <c r="C2843" t="s">
        <v>52</v>
      </c>
      <c r="D2843" s="23">
        <v>-29.08</v>
      </c>
      <c r="E2843" t="s">
        <v>35</v>
      </c>
      <c r="F2843" s="2">
        <v>610148001</v>
      </c>
      <c r="G2843" s="2" t="s">
        <v>41</v>
      </c>
      <c r="I2843" s="95" t="s">
        <v>7231</v>
      </c>
      <c r="J2843" t="s">
        <v>42</v>
      </c>
      <c r="K2843" t="s">
        <v>41</v>
      </c>
      <c r="M2843">
        <v>80.959999999999994</v>
      </c>
      <c r="N2843" s="4">
        <f t="shared" si="44"/>
        <v>-0.35918972332015808</v>
      </c>
      <c r="O2843" t="s">
        <v>83</v>
      </c>
      <c r="Q2843" s="24" t="s">
        <v>2195</v>
      </c>
    </row>
    <row r="2844" spans="1:17" x14ac:dyDescent="0.25">
      <c r="A2844" s="22">
        <v>45769</v>
      </c>
      <c r="B2844" s="1">
        <v>120306568</v>
      </c>
      <c r="C2844" t="s">
        <v>52</v>
      </c>
      <c r="D2844" s="23">
        <v>190000</v>
      </c>
      <c r="E2844" t="s">
        <v>45</v>
      </c>
      <c r="F2844" s="2">
        <v>210115002</v>
      </c>
      <c r="G2844" s="2" t="s">
        <v>46</v>
      </c>
      <c r="I2844" s="95" t="s">
        <v>7231</v>
      </c>
      <c r="K2844" t="s">
        <v>82</v>
      </c>
      <c r="M2844">
        <v>81.760000000000005</v>
      </c>
      <c r="N2844" s="4">
        <f t="shared" si="44"/>
        <v>2323.8747553816047</v>
      </c>
      <c r="O2844" t="s">
        <v>83</v>
      </c>
    </row>
    <row r="2845" spans="1:17" x14ac:dyDescent="0.25">
      <c r="A2845" s="22">
        <v>45769</v>
      </c>
      <c r="B2845" s="1">
        <v>611698448</v>
      </c>
      <c r="C2845" t="s">
        <v>52</v>
      </c>
      <c r="D2845" s="23">
        <v>-32593.9</v>
      </c>
      <c r="E2845" t="s">
        <v>35</v>
      </c>
      <c r="F2845" s="2">
        <v>210101001</v>
      </c>
      <c r="G2845" s="2" t="s">
        <v>36</v>
      </c>
      <c r="I2845" s="95" t="s">
        <v>7231</v>
      </c>
      <c r="J2845" t="s">
        <v>680</v>
      </c>
      <c r="K2845" t="s">
        <v>681</v>
      </c>
      <c r="M2845">
        <v>81.760000000000005</v>
      </c>
      <c r="N2845" s="4">
        <f t="shared" si="44"/>
        <v>-398.65337573385517</v>
      </c>
      <c r="O2845" t="s">
        <v>83</v>
      </c>
    </row>
    <row r="2846" spans="1:17" x14ac:dyDescent="0.25">
      <c r="A2846" s="22">
        <v>45769</v>
      </c>
      <c r="B2846" s="1">
        <v>611698449</v>
      </c>
      <c r="C2846" t="s">
        <v>52</v>
      </c>
      <c r="D2846" s="23">
        <v>-1784.35</v>
      </c>
      <c r="E2846" t="s">
        <v>35</v>
      </c>
      <c r="F2846" s="2">
        <v>110114001</v>
      </c>
      <c r="G2846" s="2" t="s">
        <v>181</v>
      </c>
      <c r="I2846" s="95" t="s">
        <v>7231</v>
      </c>
      <c r="J2846" t="s">
        <v>380</v>
      </c>
      <c r="K2846" t="s">
        <v>381</v>
      </c>
      <c r="M2846">
        <v>81.760000000000005</v>
      </c>
      <c r="N2846" s="4">
        <f t="shared" si="44"/>
        <v>-21.824241682974556</v>
      </c>
      <c r="O2846" t="s">
        <v>83</v>
      </c>
      <c r="P2846" s="34" t="s">
        <v>2492</v>
      </c>
    </row>
    <row r="2847" spans="1:17" x14ac:dyDescent="0.25">
      <c r="A2847" s="22">
        <v>45769</v>
      </c>
      <c r="B2847" s="1">
        <v>611698450</v>
      </c>
      <c r="C2847" t="s">
        <v>52</v>
      </c>
      <c r="D2847" s="23">
        <v>-44925.48</v>
      </c>
      <c r="E2847" t="s">
        <v>35</v>
      </c>
      <c r="F2847" s="2">
        <v>110114001</v>
      </c>
      <c r="G2847" s="2" t="s">
        <v>181</v>
      </c>
      <c r="I2847" s="95" t="s">
        <v>7231</v>
      </c>
      <c r="J2847" t="s">
        <v>2493</v>
      </c>
      <c r="K2847" t="s">
        <v>2494</v>
      </c>
      <c r="M2847">
        <v>81.760000000000005</v>
      </c>
      <c r="N2847" s="4">
        <f t="shared" si="44"/>
        <v>-549.47994129158508</v>
      </c>
      <c r="O2847" t="s">
        <v>83</v>
      </c>
      <c r="P2847" s="34" t="s">
        <v>1529</v>
      </c>
    </row>
    <row r="2848" spans="1:17" x14ac:dyDescent="0.25">
      <c r="A2848" s="22">
        <v>45769</v>
      </c>
      <c r="B2848" s="1">
        <v>611698452</v>
      </c>
      <c r="C2848" t="s">
        <v>52</v>
      </c>
      <c r="D2848" s="23">
        <v>-109318.2</v>
      </c>
      <c r="E2848" t="s">
        <v>35</v>
      </c>
      <c r="F2848" s="2">
        <v>110114001</v>
      </c>
      <c r="G2848" s="2" t="s">
        <v>181</v>
      </c>
      <c r="I2848" s="95" t="s">
        <v>7231</v>
      </c>
      <c r="J2848" t="s">
        <v>928</v>
      </c>
      <c r="K2848" t="s">
        <v>929</v>
      </c>
      <c r="M2848">
        <v>81.760000000000005</v>
      </c>
      <c r="N2848" s="4">
        <f t="shared" si="44"/>
        <v>-1337.0621330724068</v>
      </c>
      <c r="O2848" t="s">
        <v>83</v>
      </c>
      <c r="P2848" s="34" t="s">
        <v>1529</v>
      </c>
    </row>
    <row r="2849" spans="1:20" x14ac:dyDescent="0.25">
      <c r="A2849" s="22">
        <v>45769</v>
      </c>
      <c r="B2849" s="1">
        <v>611698451</v>
      </c>
      <c r="C2849" t="s">
        <v>52</v>
      </c>
      <c r="D2849" s="23">
        <v>-654.08000000000004</v>
      </c>
      <c r="E2849" t="s">
        <v>35</v>
      </c>
      <c r="F2849" s="2">
        <v>110114001</v>
      </c>
      <c r="G2849" s="2" t="s">
        <v>181</v>
      </c>
      <c r="I2849" s="95" t="s">
        <v>7231</v>
      </c>
      <c r="J2849" t="s">
        <v>631</v>
      </c>
      <c r="K2849" t="s">
        <v>632</v>
      </c>
      <c r="M2849">
        <v>81.760000000000005</v>
      </c>
      <c r="N2849" s="4">
        <f t="shared" si="44"/>
        <v>-8</v>
      </c>
      <c r="O2849" t="s">
        <v>83</v>
      </c>
      <c r="P2849" s="34" t="s">
        <v>1529</v>
      </c>
    </row>
    <row r="2850" spans="1:20" x14ac:dyDescent="0.25">
      <c r="A2850" s="22">
        <v>45769</v>
      </c>
      <c r="B2850" s="1">
        <v>50481240</v>
      </c>
      <c r="C2850" t="s">
        <v>52</v>
      </c>
      <c r="D2850" s="23">
        <v>-473.19</v>
      </c>
      <c r="E2850" t="s">
        <v>35</v>
      </c>
      <c r="F2850" s="2">
        <v>610148001</v>
      </c>
      <c r="G2850" s="2" t="s">
        <v>41</v>
      </c>
      <c r="I2850" s="95" t="s">
        <v>7231</v>
      </c>
      <c r="J2850" t="s">
        <v>42</v>
      </c>
      <c r="K2850" t="s">
        <v>41</v>
      </c>
      <c r="M2850">
        <v>81.760000000000005</v>
      </c>
      <c r="N2850" s="4">
        <f t="shared" si="44"/>
        <v>-5.7875489236790605</v>
      </c>
      <c r="O2850" t="s">
        <v>83</v>
      </c>
      <c r="Q2850" s="24" t="s">
        <v>2195</v>
      </c>
    </row>
    <row r="2851" spans="1:20" x14ac:dyDescent="0.25">
      <c r="A2851" s="22">
        <v>45770</v>
      </c>
      <c r="B2851" s="1">
        <v>976412734</v>
      </c>
      <c r="C2851" t="s">
        <v>52</v>
      </c>
      <c r="D2851" s="23">
        <v>100000</v>
      </c>
      <c r="E2851" t="s">
        <v>45</v>
      </c>
      <c r="F2851" s="2">
        <v>210115002</v>
      </c>
      <c r="G2851" s="2" t="s">
        <v>46</v>
      </c>
      <c r="I2851" s="95" t="s">
        <v>7231</v>
      </c>
      <c r="K2851" t="s">
        <v>366</v>
      </c>
      <c r="M2851">
        <v>82.38</v>
      </c>
      <c r="N2851" s="4">
        <f t="shared" si="44"/>
        <v>1213.8868657441128</v>
      </c>
      <c r="O2851" t="s">
        <v>83</v>
      </c>
    </row>
    <row r="2852" spans="1:20" x14ac:dyDescent="0.25">
      <c r="A2852" s="22">
        <v>45770</v>
      </c>
      <c r="B2852" s="1">
        <v>85171007</v>
      </c>
      <c r="C2852" t="s">
        <v>52</v>
      </c>
      <c r="D2852" s="23">
        <v>100000</v>
      </c>
      <c r="E2852" t="s">
        <v>45</v>
      </c>
      <c r="F2852" s="2">
        <v>210115002</v>
      </c>
      <c r="G2852" s="2" t="s">
        <v>46</v>
      </c>
      <c r="I2852" s="95" t="s">
        <v>7231</v>
      </c>
      <c r="K2852" t="s">
        <v>366</v>
      </c>
      <c r="M2852">
        <v>82.38</v>
      </c>
      <c r="N2852" s="4">
        <f t="shared" si="44"/>
        <v>1213.8868657441128</v>
      </c>
      <c r="O2852" t="s">
        <v>83</v>
      </c>
    </row>
    <row r="2853" spans="1:20" x14ac:dyDescent="0.25">
      <c r="A2853" s="22">
        <v>45770</v>
      </c>
      <c r="B2853" s="1">
        <v>911759141</v>
      </c>
      <c r="C2853" t="s">
        <v>52</v>
      </c>
      <c r="D2853" s="23">
        <v>-1818.88</v>
      </c>
      <c r="E2853" t="s">
        <v>35</v>
      </c>
      <c r="F2853" s="2">
        <v>210101001</v>
      </c>
      <c r="G2853" s="2" t="s">
        <v>36</v>
      </c>
      <c r="I2853" s="95" t="s">
        <v>7231</v>
      </c>
      <c r="J2853" t="s">
        <v>182</v>
      </c>
      <c r="K2853" t="s">
        <v>183</v>
      </c>
      <c r="M2853">
        <v>82.38</v>
      </c>
      <c r="N2853" s="4">
        <f t="shared" si="44"/>
        <v>-22.079145423646519</v>
      </c>
      <c r="O2853" t="s">
        <v>83</v>
      </c>
    </row>
    <row r="2854" spans="1:20" x14ac:dyDescent="0.25">
      <c r="A2854" s="22">
        <v>45770</v>
      </c>
      <c r="B2854" s="1">
        <v>911759146</v>
      </c>
      <c r="C2854" t="s">
        <v>52</v>
      </c>
      <c r="D2854" s="23">
        <v>-6828.59</v>
      </c>
      <c r="E2854" t="s">
        <v>35</v>
      </c>
      <c r="F2854" s="2">
        <v>210101001</v>
      </c>
      <c r="G2854" s="2" t="s">
        <v>36</v>
      </c>
      <c r="I2854" s="95" t="s">
        <v>7231</v>
      </c>
      <c r="J2854" t="s">
        <v>414</v>
      </c>
      <c r="K2854" t="s">
        <v>415</v>
      </c>
      <c r="M2854">
        <v>82.38</v>
      </c>
      <c r="N2854" s="4">
        <f t="shared" si="44"/>
        <v>-82.89135712551591</v>
      </c>
      <c r="O2854" t="s">
        <v>83</v>
      </c>
    </row>
    <row r="2855" spans="1:20" ht="15.75" x14ac:dyDescent="0.25">
      <c r="A2855" s="22">
        <v>45770</v>
      </c>
      <c r="B2855" s="1">
        <v>911759144</v>
      </c>
      <c r="C2855" t="s">
        <v>52</v>
      </c>
      <c r="D2855" s="60">
        <v>-24409.68</v>
      </c>
      <c r="E2855" t="s">
        <v>35</v>
      </c>
      <c r="F2855" s="2">
        <v>110114001</v>
      </c>
      <c r="G2855" s="2" t="s">
        <v>181</v>
      </c>
      <c r="I2855" s="95" t="s">
        <v>7231</v>
      </c>
      <c r="J2855" s="61" t="s">
        <v>414</v>
      </c>
      <c r="K2855" s="61" t="s">
        <v>415</v>
      </c>
      <c r="L2855" s="61"/>
      <c r="M2855">
        <v>82.38</v>
      </c>
      <c r="N2855" s="4">
        <f t="shared" si="44"/>
        <v>-296.30589949016752</v>
      </c>
      <c r="O2855" t="s">
        <v>83</v>
      </c>
      <c r="P2855" s="34" t="s">
        <v>1529</v>
      </c>
    </row>
    <row r="2856" spans="1:20" x14ac:dyDescent="0.25">
      <c r="A2856" s="22">
        <v>45770</v>
      </c>
      <c r="B2856" s="1">
        <v>911759148</v>
      </c>
      <c r="C2856" t="s">
        <v>52</v>
      </c>
      <c r="D2856" s="23">
        <v>-43957.97</v>
      </c>
      <c r="E2856" t="s">
        <v>35</v>
      </c>
      <c r="F2856" s="2">
        <v>210101001</v>
      </c>
      <c r="G2856" s="2" t="s">
        <v>36</v>
      </c>
      <c r="I2856" s="95" t="s">
        <v>7231</v>
      </c>
      <c r="J2856" t="s">
        <v>398</v>
      </c>
      <c r="K2856" t="s">
        <v>399</v>
      </c>
      <c r="M2856">
        <v>82.38</v>
      </c>
      <c r="N2856" s="4">
        <f t="shared" si="44"/>
        <v>-533.60002427773736</v>
      </c>
      <c r="O2856" t="s">
        <v>83</v>
      </c>
    </row>
    <row r="2857" spans="1:20" x14ac:dyDescent="0.25">
      <c r="A2857" s="22">
        <v>45770</v>
      </c>
      <c r="B2857" s="1">
        <v>911759147</v>
      </c>
      <c r="C2857" t="s">
        <v>52</v>
      </c>
      <c r="D2857" s="23">
        <v>-57329.52</v>
      </c>
      <c r="E2857" t="s">
        <v>35</v>
      </c>
      <c r="F2857" s="2">
        <v>210101001</v>
      </c>
      <c r="G2857" s="2" t="s">
        <v>36</v>
      </c>
      <c r="I2857" s="95" t="s">
        <v>7231</v>
      </c>
      <c r="J2857" t="s">
        <v>928</v>
      </c>
      <c r="K2857" t="s">
        <v>929</v>
      </c>
      <c r="M2857">
        <v>82.38</v>
      </c>
      <c r="N2857" s="4">
        <f t="shared" si="44"/>
        <v>-695.91551347414418</v>
      </c>
      <c r="O2857" t="s">
        <v>83</v>
      </c>
    </row>
    <row r="2858" spans="1:20" x14ac:dyDescent="0.25">
      <c r="A2858" s="22">
        <v>45770</v>
      </c>
      <c r="B2858" s="1">
        <v>911759143</v>
      </c>
      <c r="C2858" t="s">
        <v>52</v>
      </c>
      <c r="D2858" s="23">
        <v>-18968.669999999998</v>
      </c>
      <c r="E2858" t="s">
        <v>35</v>
      </c>
      <c r="F2858" s="2">
        <v>110114001</v>
      </c>
      <c r="G2858" s="2" t="s">
        <v>181</v>
      </c>
      <c r="I2858" s="95" t="s">
        <v>7231</v>
      </c>
      <c r="J2858" t="s">
        <v>182</v>
      </c>
      <c r="K2858" t="s">
        <v>183</v>
      </c>
      <c r="M2858">
        <v>82.38</v>
      </c>
      <c r="N2858" s="4">
        <f t="shared" si="44"/>
        <v>-230.25819373634377</v>
      </c>
      <c r="O2858" t="s">
        <v>83</v>
      </c>
      <c r="P2858" s="34" t="s">
        <v>1529</v>
      </c>
    </row>
    <row r="2859" spans="1:20" x14ac:dyDescent="0.25">
      <c r="A2859" s="22">
        <v>45770</v>
      </c>
      <c r="B2859" s="1">
        <v>50436181</v>
      </c>
      <c r="C2859" t="s">
        <v>52</v>
      </c>
      <c r="D2859" s="23">
        <v>-383.28</v>
      </c>
      <c r="E2859" t="s">
        <v>35</v>
      </c>
      <c r="F2859" s="2">
        <v>610148001</v>
      </c>
      <c r="G2859" s="2" t="s">
        <v>41</v>
      </c>
      <c r="I2859" s="95" t="s">
        <v>7231</v>
      </c>
      <c r="J2859" t="s">
        <v>42</v>
      </c>
      <c r="K2859" t="s">
        <v>41</v>
      </c>
      <c r="M2859">
        <v>82.38</v>
      </c>
      <c r="N2859" s="4">
        <f t="shared" si="44"/>
        <v>-4.6525855790240351</v>
      </c>
      <c r="O2859" t="s">
        <v>83</v>
      </c>
      <c r="Q2859" s="24" t="s">
        <v>2195</v>
      </c>
    </row>
    <row r="2860" spans="1:20" x14ac:dyDescent="0.25">
      <c r="A2860" s="22">
        <v>45770</v>
      </c>
      <c r="B2860" s="1">
        <v>911770364</v>
      </c>
      <c r="C2860" t="s">
        <v>52</v>
      </c>
      <c r="D2860" s="23">
        <v>-8874</v>
      </c>
      <c r="E2860" t="s">
        <v>35</v>
      </c>
      <c r="F2860" s="2">
        <v>110114001</v>
      </c>
      <c r="G2860" s="2" t="s">
        <v>181</v>
      </c>
      <c r="I2860" s="95" t="s">
        <v>7231</v>
      </c>
      <c r="J2860" t="s">
        <v>182</v>
      </c>
      <c r="K2860" t="s">
        <v>183</v>
      </c>
      <c r="M2860">
        <v>82.38</v>
      </c>
      <c r="N2860" s="4">
        <f t="shared" si="44"/>
        <v>-107.72032046613256</v>
      </c>
      <c r="O2860" t="s">
        <v>83</v>
      </c>
      <c r="P2860" s="34" t="s">
        <v>2492</v>
      </c>
    </row>
    <row r="2861" spans="1:20" x14ac:dyDescent="0.25">
      <c r="A2861" s="22">
        <v>45770</v>
      </c>
      <c r="B2861" s="1">
        <v>911770364</v>
      </c>
      <c r="C2861" t="s">
        <v>52</v>
      </c>
      <c r="D2861" s="23">
        <v>-26.62</v>
      </c>
      <c r="E2861" t="s">
        <v>35</v>
      </c>
      <c r="F2861" s="2">
        <v>610148001</v>
      </c>
      <c r="G2861" s="2" t="s">
        <v>41</v>
      </c>
      <c r="I2861" s="95" t="s">
        <v>7231</v>
      </c>
      <c r="J2861" t="s">
        <v>42</v>
      </c>
      <c r="K2861" t="s">
        <v>41</v>
      </c>
      <c r="M2861">
        <v>82.38</v>
      </c>
      <c r="N2861" s="4">
        <f t="shared" si="44"/>
        <v>-0.32313668366108284</v>
      </c>
      <c r="O2861" t="s">
        <v>83</v>
      </c>
      <c r="Q2861" s="24" t="s">
        <v>2195</v>
      </c>
    </row>
    <row r="2862" spans="1:20" x14ac:dyDescent="0.25">
      <c r="A2862" s="22">
        <v>45770</v>
      </c>
      <c r="B2862" s="1">
        <v>211772977</v>
      </c>
      <c r="C2862" t="s">
        <v>52</v>
      </c>
      <c r="D2862" s="23">
        <v>-5469.63</v>
      </c>
      <c r="E2862" t="s">
        <v>35</v>
      </c>
      <c r="F2862" s="2">
        <v>212901001</v>
      </c>
      <c r="G2862" s="2" t="s">
        <v>91</v>
      </c>
      <c r="I2862" s="95" t="s">
        <v>7231</v>
      </c>
      <c r="J2862" t="s">
        <v>61</v>
      </c>
      <c r="K2862" t="s">
        <v>62</v>
      </c>
      <c r="M2862">
        <v>82.38</v>
      </c>
      <c r="N2862" s="4">
        <f t="shared" si="44"/>
        <v>-66.395120174799715</v>
      </c>
      <c r="O2862" t="s">
        <v>83</v>
      </c>
      <c r="R2862">
        <v>44</v>
      </c>
      <c r="S2862" t="e">
        <f>VLOOKUP(R2862,[1]!NOMINA[#Data],4,FALSE)</f>
        <v>#REF!</v>
      </c>
      <c r="T2862" t="e">
        <f>VLOOKUP(R2862,[1]!NOMINA[#Data],5,FALSE)</f>
        <v>#REF!</v>
      </c>
    </row>
    <row r="2863" spans="1:20" x14ac:dyDescent="0.25">
      <c r="A2863" s="22">
        <v>45770</v>
      </c>
      <c r="B2863" s="1">
        <v>211772977</v>
      </c>
      <c r="C2863" t="s">
        <v>52</v>
      </c>
      <c r="D2863" s="23">
        <v>-16.41</v>
      </c>
      <c r="E2863" t="s">
        <v>35</v>
      </c>
      <c r="F2863" s="2">
        <v>610148001</v>
      </c>
      <c r="G2863" s="2" t="s">
        <v>41</v>
      </c>
      <c r="I2863" s="95" t="s">
        <v>7231</v>
      </c>
      <c r="J2863" t="s">
        <v>42</v>
      </c>
      <c r="K2863" t="s">
        <v>41</v>
      </c>
      <c r="M2863">
        <v>82.38</v>
      </c>
      <c r="N2863" s="4">
        <f t="shared" si="44"/>
        <v>-0.19919883466860891</v>
      </c>
      <c r="O2863" t="s">
        <v>83</v>
      </c>
      <c r="Q2863" s="24" t="s">
        <v>2195</v>
      </c>
    </row>
    <row r="2864" spans="1:20" x14ac:dyDescent="0.25">
      <c r="A2864" s="22">
        <v>45770</v>
      </c>
      <c r="B2864" s="1">
        <v>711773203</v>
      </c>
      <c r="C2864" t="s">
        <v>52</v>
      </c>
      <c r="D2864" s="23">
        <v>-5469.63</v>
      </c>
      <c r="E2864" t="s">
        <v>35</v>
      </c>
      <c r="F2864" s="2">
        <v>212901001</v>
      </c>
      <c r="G2864" s="2" t="s">
        <v>91</v>
      </c>
      <c r="I2864" s="95" t="s">
        <v>7231</v>
      </c>
      <c r="J2864" t="s">
        <v>61</v>
      </c>
      <c r="K2864" t="s">
        <v>62</v>
      </c>
      <c r="M2864">
        <v>82.38</v>
      </c>
      <c r="N2864" s="4">
        <f t="shared" si="44"/>
        <v>-66.395120174799715</v>
      </c>
      <c r="O2864" t="s">
        <v>83</v>
      </c>
    </row>
    <row r="2865" spans="1:20" x14ac:dyDescent="0.25">
      <c r="A2865" s="22">
        <v>45770</v>
      </c>
      <c r="B2865" s="1">
        <v>711773203</v>
      </c>
      <c r="C2865" t="s">
        <v>52</v>
      </c>
      <c r="D2865" s="23">
        <v>-16.41</v>
      </c>
      <c r="E2865" t="s">
        <v>35</v>
      </c>
      <c r="F2865" s="2">
        <v>610148001</v>
      </c>
      <c r="G2865" s="2" t="s">
        <v>41</v>
      </c>
      <c r="I2865" s="95" t="s">
        <v>7231</v>
      </c>
      <c r="J2865" t="s">
        <v>42</v>
      </c>
      <c r="K2865" t="s">
        <v>41</v>
      </c>
      <c r="M2865">
        <v>82.38</v>
      </c>
      <c r="N2865" s="4">
        <f t="shared" si="44"/>
        <v>-0.19919883466860891</v>
      </c>
      <c r="O2865" t="s">
        <v>83</v>
      </c>
      <c r="Q2865" s="24" t="s">
        <v>2195</v>
      </c>
    </row>
    <row r="2866" spans="1:20" x14ac:dyDescent="0.25">
      <c r="A2866" s="22">
        <v>45770</v>
      </c>
      <c r="B2866" s="1">
        <v>311773492</v>
      </c>
      <c r="C2866" t="s">
        <v>52</v>
      </c>
      <c r="D2866" s="23">
        <v>-5469.63</v>
      </c>
      <c r="E2866" t="s">
        <v>35</v>
      </c>
      <c r="F2866" s="2">
        <v>212901001</v>
      </c>
      <c r="G2866" s="2" t="s">
        <v>91</v>
      </c>
      <c r="I2866" s="95" t="s">
        <v>7231</v>
      </c>
      <c r="J2866" t="s">
        <v>61</v>
      </c>
      <c r="K2866" t="s">
        <v>62</v>
      </c>
      <c r="M2866">
        <v>82.38</v>
      </c>
      <c r="N2866" s="4">
        <f t="shared" si="44"/>
        <v>-66.395120174799715</v>
      </c>
      <c r="O2866" t="s">
        <v>83</v>
      </c>
      <c r="R2866">
        <v>41</v>
      </c>
      <c r="S2866" t="e">
        <f>VLOOKUP(R2866,[1]!NOMINA[#Data],4,FALSE)</f>
        <v>#REF!</v>
      </c>
      <c r="T2866" t="e">
        <f>VLOOKUP(R2866,[1]!NOMINA[#Data],5,FALSE)</f>
        <v>#REF!</v>
      </c>
    </row>
    <row r="2867" spans="1:20" x14ac:dyDescent="0.25">
      <c r="A2867" s="22">
        <v>45770</v>
      </c>
      <c r="B2867" s="1">
        <v>311773492</v>
      </c>
      <c r="C2867" t="s">
        <v>52</v>
      </c>
      <c r="D2867" s="23">
        <v>-16.41</v>
      </c>
      <c r="E2867" t="s">
        <v>35</v>
      </c>
      <c r="F2867" s="2">
        <v>610148001</v>
      </c>
      <c r="G2867" s="2" t="s">
        <v>41</v>
      </c>
      <c r="I2867" s="95" t="s">
        <v>7231</v>
      </c>
      <c r="J2867" t="s">
        <v>42</v>
      </c>
      <c r="K2867" t="s">
        <v>41</v>
      </c>
      <c r="M2867">
        <v>82.38</v>
      </c>
      <c r="N2867" s="4">
        <f t="shared" si="44"/>
        <v>-0.19919883466860891</v>
      </c>
      <c r="O2867" t="s">
        <v>83</v>
      </c>
      <c r="Q2867" s="24" t="s">
        <v>2195</v>
      </c>
    </row>
    <row r="2868" spans="1:20" x14ac:dyDescent="0.25">
      <c r="A2868" s="22">
        <v>45770</v>
      </c>
      <c r="B2868" s="1">
        <v>111775017</v>
      </c>
      <c r="C2868" t="s">
        <v>52</v>
      </c>
      <c r="D2868" s="23">
        <v>-6320.74</v>
      </c>
      <c r="E2868" t="s">
        <v>35</v>
      </c>
      <c r="F2868" s="2">
        <v>110114001</v>
      </c>
      <c r="G2868" s="2" t="s">
        <v>181</v>
      </c>
      <c r="I2868" s="95" t="s">
        <v>7231</v>
      </c>
      <c r="J2868" t="s">
        <v>37</v>
      </c>
      <c r="K2868" t="s">
        <v>38</v>
      </c>
      <c r="M2868">
        <v>82.38</v>
      </c>
      <c r="N2868" s="4">
        <f t="shared" si="44"/>
        <v>-76.726632677834431</v>
      </c>
      <c r="O2868" t="s">
        <v>83</v>
      </c>
      <c r="P2868" s="34" t="s">
        <v>1339</v>
      </c>
    </row>
    <row r="2869" spans="1:20" x14ac:dyDescent="0.25">
      <c r="A2869" s="22">
        <v>45770</v>
      </c>
      <c r="B2869" s="1">
        <v>111775017</v>
      </c>
      <c r="C2869" t="s">
        <v>52</v>
      </c>
      <c r="D2869" s="23">
        <v>-18.96</v>
      </c>
      <c r="E2869" t="s">
        <v>35</v>
      </c>
      <c r="F2869" s="2">
        <v>610148001</v>
      </c>
      <c r="G2869" s="2" t="s">
        <v>41</v>
      </c>
      <c r="I2869" s="95" t="s">
        <v>7231</v>
      </c>
      <c r="J2869" t="s">
        <v>42</v>
      </c>
      <c r="K2869" t="s">
        <v>41</v>
      </c>
      <c r="M2869">
        <v>82.38</v>
      </c>
      <c r="N2869" s="4">
        <f t="shared" si="44"/>
        <v>-0.23015294974508377</v>
      </c>
      <c r="O2869" t="s">
        <v>83</v>
      </c>
      <c r="Q2869" s="24" t="s">
        <v>2195</v>
      </c>
    </row>
    <row r="2870" spans="1:20" x14ac:dyDescent="0.25">
      <c r="A2870" s="22">
        <v>45775</v>
      </c>
      <c r="B2870" s="1">
        <v>60720105</v>
      </c>
      <c r="C2870" t="s">
        <v>52</v>
      </c>
      <c r="D2870" s="23">
        <v>-104.16</v>
      </c>
      <c r="E2870" t="s">
        <v>35</v>
      </c>
      <c r="F2870" s="2">
        <v>610148001</v>
      </c>
      <c r="G2870" s="2" t="s">
        <v>41</v>
      </c>
      <c r="I2870" s="95" t="s">
        <v>7231</v>
      </c>
      <c r="J2870" t="s">
        <v>42</v>
      </c>
      <c r="K2870" t="s">
        <v>41</v>
      </c>
      <c r="M2870">
        <v>86.11</v>
      </c>
      <c r="N2870" s="4">
        <f t="shared" si="44"/>
        <v>-1.2096156079433282</v>
      </c>
      <c r="O2870" t="s">
        <v>83</v>
      </c>
      <c r="Q2870" s="24" t="s">
        <v>2195</v>
      </c>
    </row>
    <row r="2871" spans="1:20" x14ac:dyDescent="0.25">
      <c r="A2871" s="22">
        <v>45775</v>
      </c>
      <c r="B2871" s="1">
        <v>903010864</v>
      </c>
      <c r="C2871" t="s">
        <v>52</v>
      </c>
      <c r="D2871" s="23">
        <v>55938</v>
      </c>
      <c r="E2871" t="s">
        <v>45</v>
      </c>
      <c r="F2871" s="2">
        <v>110106001</v>
      </c>
      <c r="G2871" s="2" t="s">
        <v>1011</v>
      </c>
      <c r="I2871" s="95" t="s">
        <v>7231</v>
      </c>
      <c r="K2871" t="s">
        <v>1617</v>
      </c>
      <c r="M2871">
        <v>86.11</v>
      </c>
      <c r="N2871" s="4">
        <f t="shared" si="44"/>
        <v>649.61096272209966</v>
      </c>
      <c r="O2871" t="s">
        <v>83</v>
      </c>
    </row>
    <row r="2872" spans="1:20" x14ac:dyDescent="0.25">
      <c r="A2872" s="22">
        <v>45775</v>
      </c>
      <c r="B2872" s="1">
        <v>903010864</v>
      </c>
      <c r="C2872" t="s">
        <v>52</v>
      </c>
      <c r="D2872" s="23">
        <v>-839.07</v>
      </c>
      <c r="E2872" t="s">
        <v>35</v>
      </c>
      <c r="F2872" s="2">
        <v>610148001</v>
      </c>
      <c r="G2872" s="2" t="s">
        <v>41</v>
      </c>
      <c r="I2872" s="95" t="s">
        <v>7231</v>
      </c>
      <c r="J2872" t="s">
        <v>42</v>
      </c>
      <c r="K2872" t="s">
        <v>41</v>
      </c>
      <c r="M2872">
        <v>86.11</v>
      </c>
      <c r="N2872" s="4">
        <f t="shared" si="44"/>
        <v>-9.7441644408314954</v>
      </c>
      <c r="O2872" t="s">
        <v>83</v>
      </c>
      <c r="Q2872" s="24" t="s">
        <v>2195</v>
      </c>
    </row>
    <row r="2873" spans="1:20" x14ac:dyDescent="0.25">
      <c r="A2873" s="22">
        <v>45775</v>
      </c>
      <c r="B2873" s="1">
        <v>225585956</v>
      </c>
      <c r="C2873" t="s">
        <v>52</v>
      </c>
      <c r="D2873" s="23">
        <v>12785.61</v>
      </c>
      <c r="E2873" t="s">
        <v>45</v>
      </c>
      <c r="F2873" s="2">
        <v>110106001</v>
      </c>
      <c r="G2873" s="2" t="s">
        <v>1011</v>
      </c>
      <c r="I2873" s="95" t="s">
        <v>7231</v>
      </c>
      <c r="K2873" t="s">
        <v>1617</v>
      </c>
      <c r="M2873">
        <v>86.11</v>
      </c>
      <c r="N2873" s="4">
        <f t="shared" si="44"/>
        <v>148.47996748345142</v>
      </c>
      <c r="O2873" t="s">
        <v>83</v>
      </c>
    </row>
    <row r="2874" spans="1:20" x14ac:dyDescent="0.25">
      <c r="A2874" s="22">
        <v>45775</v>
      </c>
      <c r="B2874" s="1">
        <v>225585956</v>
      </c>
      <c r="C2874" t="s">
        <v>52</v>
      </c>
      <c r="D2874" s="23">
        <v>-191.78</v>
      </c>
      <c r="E2874" t="s">
        <v>35</v>
      </c>
      <c r="F2874" s="2">
        <v>610148001</v>
      </c>
      <c r="G2874" s="2" t="s">
        <v>41</v>
      </c>
      <c r="I2874" s="95" t="s">
        <v>7231</v>
      </c>
      <c r="J2874" t="s">
        <v>42</v>
      </c>
      <c r="K2874" t="s">
        <v>41</v>
      </c>
      <c r="M2874">
        <v>86.11</v>
      </c>
      <c r="N2874" s="4">
        <f t="shared" si="44"/>
        <v>-2.2271513180815234</v>
      </c>
      <c r="O2874" t="s">
        <v>83</v>
      </c>
      <c r="Q2874" s="24" t="s">
        <v>2195</v>
      </c>
    </row>
    <row r="2875" spans="1:20" x14ac:dyDescent="0.25">
      <c r="A2875" s="22">
        <v>45775</v>
      </c>
      <c r="B2875" s="1">
        <v>312021643</v>
      </c>
      <c r="C2875" t="s">
        <v>52</v>
      </c>
      <c r="D2875" s="23">
        <v>-2837.89</v>
      </c>
      <c r="E2875" t="s">
        <v>35</v>
      </c>
      <c r="F2875" s="2">
        <v>110114001</v>
      </c>
      <c r="G2875" s="2" t="s">
        <v>181</v>
      </c>
      <c r="I2875" s="95" t="s">
        <v>7231</v>
      </c>
      <c r="J2875" t="s">
        <v>376</v>
      </c>
      <c r="K2875" t="s">
        <v>377</v>
      </c>
      <c r="M2875">
        <v>86.11</v>
      </c>
      <c r="N2875" s="4">
        <f t="shared" si="44"/>
        <v>-32.956567181512021</v>
      </c>
      <c r="O2875" t="s">
        <v>83</v>
      </c>
      <c r="P2875" s="34" t="s">
        <v>1529</v>
      </c>
    </row>
    <row r="2876" spans="1:20" x14ac:dyDescent="0.25">
      <c r="A2876" s="22">
        <v>45775</v>
      </c>
      <c r="B2876" s="1">
        <v>312021643</v>
      </c>
      <c r="C2876" t="s">
        <v>52</v>
      </c>
      <c r="D2876" s="23">
        <v>-8.51</v>
      </c>
      <c r="E2876" t="s">
        <v>35</v>
      </c>
      <c r="F2876" s="2">
        <v>610148001</v>
      </c>
      <c r="G2876" s="2" t="s">
        <v>41</v>
      </c>
      <c r="I2876" s="95" t="s">
        <v>7231</v>
      </c>
      <c r="J2876" t="s">
        <v>42</v>
      </c>
      <c r="K2876" t="s">
        <v>41</v>
      </c>
      <c r="M2876">
        <v>86.11</v>
      </c>
      <c r="N2876" s="4">
        <f t="shared" si="44"/>
        <v>-9.8827081639763087E-2</v>
      </c>
      <c r="O2876" t="s">
        <v>83</v>
      </c>
      <c r="Q2876" s="24" t="s">
        <v>2195</v>
      </c>
    </row>
    <row r="2877" spans="1:20" x14ac:dyDescent="0.25">
      <c r="A2877" s="22">
        <v>45776</v>
      </c>
      <c r="B2877" s="1">
        <v>50027165</v>
      </c>
      <c r="C2877" t="s">
        <v>52</v>
      </c>
      <c r="D2877" s="23">
        <v>19300.919999999998</v>
      </c>
      <c r="E2877" t="s">
        <v>45</v>
      </c>
      <c r="F2877" s="2">
        <v>110106001</v>
      </c>
      <c r="G2877" s="2" t="s">
        <v>1011</v>
      </c>
      <c r="I2877" s="95" t="s">
        <v>7231</v>
      </c>
      <c r="K2877" t="s">
        <v>1617</v>
      </c>
      <c r="M2877">
        <v>86.66</v>
      </c>
      <c r="N2877" s="4">
        <f t="shared" si="44"/>
        <v>222.72005538887606</v>
      </c>
      <c r="O2877" t="s">
        <v>83</v>
      </c>
    </row>
    <row r="2878" spans="1:20" x14ac:dyDescent="0.25">
      <c r="A2878" s="22">
        <v>45776</v>
      </c>
      <c r="B2878" s="1">
        <v>50027165</v>
      </c>
      <c r="C2878" t="s">
        <v>52</v>
      </c>
      <c r="D2878" s="23">
        <v>-289.51</v>
      </c>
      <c r="E2878" t="s">
        <v>35</v>
      </c>
      <c r="F2878" s="2">
        <v>610148001</v>
      </c>
      <c r="G2878" s="2" t="s">
        <v>41</v>
      </c>
      <c r="I2878" s="95" t="s">
        <v>7231</v>
      </c>
      <c r="J2878" t="s">
        <v>42</v>
      </c>
      <c r="K2878" t="s">
        <v>41</v>
      </c>
      <c r="M2878">
        <v>86.66</v>
      </c>
      <c r="N2878" s="4">
        <f t="shared" si="44"/>
        <v>-3.3407569813062543</v>
      </c>
      <c r="O2878" t="s">
        <v>83</v>
      </c>
      <c r="Q2878" s="24" t="s">
        <v>2195</v>
      </c>
    </row>
    <row r="2879" spans="1:20" x14ac:dyDescent="0.25">
      <c r="A2879" s="22">
        <v>45776</v>
      </c>
      <c r="B2879" s="1">
        <v>444001055</v>
      </c>
      <c r="C2879" t="s">
        <v>52</v>
      </c>
      <c r="D2879" s="23">
        <v>48252</v>
      </c>
      <c r="E2879" t="s">
        <v>45</v>
      </c>
      <c r="F2879" s="2">
        <v>110106001</v>
      </c>
      <c r="G2879" s="2" t="s">
        <v>1011</v>
      </c>
      <c r="I2879" s="95" t="s">
        <v>7231</v>
      </c>
      <c r="K2879" t="s">
        <v>1617</v>
      </c>
      <c r="M2879">
        <v>86.66</v>
      </c>
      <c r="N2879" s="4">
        <f t="shared" si="44"/>
        <v>556.79667666743603</v>
      </c>
      <c r="O2879" t="s">
        <v>83</v>
      </c>
    </row>
    <row r="2880" spans="1:20" x14ac:dyDescent="0.25">
      <c r="A2880" s="22">
        <v>45776</v>
      </c>
      <c r="B2880" s="1">
        <v>444001055</v>
      </c>
      <c r="C2880" t="s">
        <v>52</v>
      </c>
      <c r="D2880" s="23">
        <v>-723.78</v>
      </c>
      <c r="E2880" t="s">
        <v>35</v>
      </c>
      <c r="F2880" s="2">
        <v>610148001</v>
      </c>
      <c r="G2880" s="2" t="s">
        <v>41</v>
      </c>
      <c r="I2880" s="95" t="s">
        <v>7231</v>
      </c>
      <c r="J2880" t="s">
        <v>42</v>
      </c>
      <c r="K2880" t="s">
        <v>41</v>
      </c>
      <c r="M2880">
        <v>86.66</v>
      </c>
      <c r="N2880" s="4">
        <f t="shared" si="44"/>
        <v>-8.3519501500115396</v>
      </c>
      <c r="O2880" t="s">
        <v>83</v>
      </c>
      <c r="Q2880" s="24" t="s">
        <v>2195</v>
      </c>
    </row>
    <row r="2881" spans="1:17" x14ac:dyDescent="0.25">
      <c r="A2881" s="22">
        <v>45776</v>
      </c>
      <c r="B2881" s="1">
        <v>911002158</v>
      </c>
      <c r="C2881" t="s">
        <v>52</v>
      </c>
      <c r="D2881" s="23">
        <v>9650.4599999999991</v>
      </c>
      <c r="E2881" t="s">
        <v>45</v>
      </c>
      <c r="F2881" s="2">
        <v>110106001</v>
      </c>
      <c r="G2881" s="2" t="s">
        <v>1011</v>
      </c>
      <c r="I2881" s="95" t="s">
        <v>7231</v>
      </c>
      <c r="K2881" t="s">
        <v>1617</v>
      </c>
      <c r="M2881">
        <v>86.66</v>
      </c>
      <c r="N2881" s="4">
        <f t="shared" si="44"/>
        <v>111.36002769443803</v>
      </c>
      <c r="O2881" t="s">
        <v>83</v>
      </c>
    </row>
    <row r="2882" spans="1:17" x14ac:dyDescent="0.25">
      <c r="A2882" s="22">
        <v>45776</v>
      </c>
      <c r="B2882" s="1">
        <v>911002158</v>
      </c>
      <c r="C2882" t="s">
        <v>52</v>
      </c>
      <c r="D2882" s="23">
        <v>-144.75</v>
      </c>
      <c r="E2882" t="s">
        <v>35</v>
      </c>
      <c r="F2882" s="2">
        <v>610148001</v>
      </c>
      <c r="G2882" s="2" t="s">
        <v>41</v>
      </c>
      <c r="I2882" s="95" t="s">
        <v>7231</v>
      </c>
      <c r="J2882" t="s">
        <v>42</v>
      </c>
      <c r="K2882" t="s">
        <v>41</v>
      </c>
      <c r="M2882">
        <v>86.66</v>
      </c>
      <c r="N2882" s="4">
        <f t="shared" si="44"/>
        <v>-1.6703207939072238</v>
      </c>
      <c r="O2882" t="s">
        <v>83</v>
      </c>
      <c r="Q2882" s="24" t="s">
        <v>2195</v>
      </c>
    </row>
    <row r="2883" spans="1:17" x14ac:dyDescent="0.25">
      <c r="A2883" s="22">
        <v>45776</v>
      </c>
      <c r="B2883" s="1">
        <v>912046273</v>
      </c>
      <c r="C2883" t="s">
        <v>52</v>
      </c>
      <c r="D2883" s="23">
        <v>-47946.04</v>
      </c>
      <c r="E2883" t="s">
        <v>35</v>
      </c>
      <c r="F2883" s="2">
        <v>110114001</v>
      </c>
      <c r="G2883" s="2" t="s">
        <v>181</v>
      </c>
      <c r="I2883" s="95" t="s">
        <v>7231</v>
      </c>
      <c r="J2883" t="s">
        <v>704</v>
      </c>
      <c r="K2883" t="s">
        <v>705</v>
      </c>
      <c r="M2883">
        <v>86.66</v>
      </c>
      <c r="N2883" s="4">
        <f t="shared" si="44"/>
        <v>-553.2660973921071</v>
      </c>
      <c r="O2883" t="s">
        <v>83</v>
      </c>
      <c r="P2883" s="34" t="s">
        <v>1529</v>
      </c>
    </row>
    <row r="2884" spans="1:17" x14ac:dyDescent="0.25">
      <c r="A2884" s="22">
        <v>45776</v>
      </c>
      <c r="B2884" s="1">
        <v>912046273</v>
      </c>
      <c r="C2884" t="s">
        <v>52</v>
      </c>
      <c r="D2884" s="23">
        <v>-143.84</v>
      </c>
      <c r="E2884" t="s">
        <v>35</v>
      </c>
      <c r="F2884" s="2">
        <v>610148001</v>
      </c>
      <c r="G2884" s="2" t="s">
        <v>41</v>
      </c>
      <c r="I2884" s="95" t="s">
        <v>7231</v>
      </c>
      <c r="J2884" t="s">
        <v>42</v>
      </c>
      <c r="K2884" t="s">
        <v>41</v>
      </c>
      <c r="M2884">
        <v>86.66</v>
      </c>
      <c r="N2884" s="4">
        <f t="shared" si="44"/>
        <v>-1.6598199861527811</v>
      </c>
      <c r="O2884" t="s">
        <v>83</v>
      </c>
      <c r="Q2884" s="24" t="s">
        <v>2195</v>
      </c>
    </row>
    <row r="2885" spans="1:17" x14ac:dyDescent="0.25">
      <c r="A2885" s="22">
        <v>45776</v>
      </c>
      <c r="B2885" s="1">
        <v>912046828</v>
      </c>
      <c r="C2885" t="s">
        <v>52</v>
      </c>
      <c r="D2885" s="23">
        <v>-48252.29</v>
      </c>
      <c r="E2885" t="s">
        <v>35</v>
      </c>
      <c r="F2885" s="2">
        <v>110114001</v>
      </c>
      <c r="G2885" s="2" t="s">
        <v>181</v>
      </c>
      <c r="I2885" s="95" t="s">
        <v>7231</v>
      </c>
      <c r="J2885" t="s">
        <v>685</v>
      </c>
      <c r="K2885" t="s">
        <v>686</v>
      </c>
      <c r="M2885">
        <v>86.66</v>
      </c>
      <c r="N2885" s="4">
        <f t="shared" si="44"/>
        <v>-556.80002307869836</v>
      </c>
      <c r="O2885" t="s">
        <v>83</v>
      </c>
      <c r="P2885" s="34" t="s">
        <v>1529</v>
      </c>
    </row>
    <row r="2886" spans="1:17" x14ac:dyDescent="0.25">
      <c r="A2886" s="22">
        <v>45776</v>
      </c>
      <c r="B2886" s="1">
        <v>912046828</v>
      </c>
      <c r="C2886" t="s">
        <v>52</v>
      </c>
      <c r="D2886" s="23">
        <v>-144.76</v>
      </c>
      <c r="E2886" t="s">
        <v>35</v>
      </c>
      <c r="F2886" s="2">
        <v>610148001</v>
      </c>
      <c r="G2886" s="2" t="s">
        <v>41</v>
      </c>
      <c r="I2886" s="95" t="s">
        <v>7231</v>
      </c>
      <c r="J2886" t="s">
        <v>42</v>
      </c>
      <c r="K2886" t="s">
        <v>41</v>
      </c>
      <c r="M2886">
        <v>86.66</v>
      </c>
      <c r="N2886" s="4">
        <f t="shared" si="44"/>
        <v>-1.6704361873990305</v>
      </c>
      <c r="O2886" t="s">
        <v>83</v>
      </c>
      <c r="Q2886" s="24" t="s">
        <v>2195</v>
      </c>
    </row>
    <row r="2887" spans="1:17" x14ac:dyDescent="0.25">
      <c r="A2887" s="22">
        <v>45776</v>
      </c>
      <c r="B2887" s="1">
        <v>226142945</v>
      </c>
      <c r="C2887" t="s">
        <v>52</v>
      </c>
      <c r="D2887" s="23">
        <v>12867.28</v>
      </c>
      <c r="E2887" t="s">
        <v>45</v>
      </c>
      <c r="F2887" s="2">
        <v>110106001</v>
      </c>
      <c r="G2887" s="2" t="s">
        <v>1011</v>
      </c>
      <c r="I2887" s="95" t="s">
        <v>7231</v>
      </c>
      <c r="K2887" t="s">
        <v>1617</v>
      </c>
      <c r="M2887">
        <v>86.66</v>
      </c>
      <c r="N2887" s="4">
        <f t="shared" si="44"/>
        <v>148.4800369259174</v>
      </c>
      <c r="O2887" t="s">
        <v>83</v>
      </c>
    </row>
    <row r="2888" spans="1:17" x14ac:dyDescent="0.25">
      <c r="A2888" s="22">
        <v>45776</v>
      </c>
      <c r="B2888" s="1">
        <v>226142945</v>
      </c>
      <c r="C2888" t="s">
        <v>52</v>
      </c>
      <c r="D2888" s="23">
        <v>-193</v>
      </c>
      <c r="E2888" t="s">
        <v>35</v>
      </c>
      <c r="F2888" s="2">
        <v>610148001</v>
      </c>
      <c r="G2888" s="2" t="s">
        <v>41</v>
      </c>
      <c r="I2888" s="95" t="s">
        <v>7231</v>
      </c>
      <c r="J2888" t="s">
        <v>42</v>
      </c>
      <c r="K2888" t="s">
        <v>41</v>
      </c>
      <c r="M2888">
        <v>86.66</v>
      </c>
      <c r="N2888" s="4">
        <f t="shared" si="44"/>
        <v>-2.2270943918762982</v>
      </c>
      <c r="O2888" t="s">
        <v>83</v>
      </c>
      <c r="Q2888" s="24" t="s">
        <v>2195</v>
      </c>
    </row>
    <row r="2889" spans="1:17" x14ac:dyDescent="0.25">
      <c r="A2889" s="22">
        <v>45776</v>
      </c>
      <c r="B2889" s="1">
        <v>12046890</v>
      </c>
      <c r="C2889" t="s">
        <v>52</v>
      </c>
      <c r="D2889" s="23">
        <v>-676</v>
      </c>
      <c r="E2889" t="s">
        <v>35</v>
      </c>
      <c r="F2889" s="2">
        <v>110114001</v>
      </c>
      <c r="G2889" s="2" t="s">
        <v>181</v>
      </c>
      <c r="I2889" s="95" t="s">
        <v>7231</v>
      </c>
      <c r="J2889" t="s">
        <v>86</v>
      </c>
      <c r="K2889" t="s">
        <v>87</v>
      </c>
      <c r="M2889">
        <v>86.66</v>
      </c>
      <c r="N2889" s="4">
        <f t="shared" si="44"/>
        <v>-7.8006000461573972</v>
      </c>
      <c r="O2889" t="s">
        <v>83</v>
      </c>
      <c r="P2889" s="34" t="s">
        <v>1529</v>
      </c>
    </row>
    <row r="2890" spans="1:17" x14ac:dyDescent="0.25">
      <c r="A2890" s="22">
        <v>45776</v>
      </c>
      <c r="B2890" s="1">
        <v>12046890</v>
      </c>
      <c r="C2890" t="s">
        <v>52</v>
      </c>
      <c r="D2890" s="23">
        <v>-2.0299999999999998</v>
      </c>
      <c r="E2890" t="s">
        <v>35</v>
      </c>
      <c r="F2890" s="2">
        <v>610148001</v>
      </c>
      <c r="G2890" s="2" t="s">
        <v>41</v>
      </c>
      <c r="I2890" s="95" t="s">
        <v>7231</v>
      </c>
      <c r="J2890" t="s">
        <v>42</v>
      </c>
      <c r="K2890" t="s">
        <v>41</v>
      </c>
      <c r="M2890">
        <v>86.66</v>
      </c>
      <c r="N2890" s="4">
        <f t="shared" si="44"/>
        <v>-2.3424878836833602E-2</v>
      </c>
      <c r="O2890" t="s">
        <v>83</v>
      </c>
      <c r="Q2890" s="24" t="s">
        <v>2195</v>
      </c>
    </row>
    <row r="2891" spans="1:17" x14ac:dyDescent="0.25">
      <c r="A2891" s="22">
        <v>45776</v>
      </c>
      <c r="B2891" s="1">
        <v>226231969</v>
      </c>
      <c r="C2891" t="s">
        <v>52</v>
      </c>
      <c r="D2891" s="23">
        <v>12867.28</v>
      </c>
      <c r="E2891" t="s">
        <v>45</v>
      </c>
      <c r="F2891" s="2">
        <v>110106001</v>
      </c>
      <c r="G2891" s="2" t="s">
        <v>1011</v>
      </c>
      <c r="I2891" s="95" t="s">
        <v>7231</v>
      </c>
      <c r="K2891" t="s">
        <v>1617</v>
      </c>
      <c r="M2891">
        <v>86.66</v>
      </c>
      <c r="N2891" s="4">
        <f t="shared" si="44"/>
        <v>148.4800369259174</v>
      </c>
      <c r="O2891" t="s">
        <v>83</v>
      </c>
    </row>
    <row r="2892" spans="1:17" x14ac:dyDescent="0.25">
      <c r="A2892" s="22">
        <v>45776</v>
      </c>
      <c r="B2892" s="1">
        <v>226231969</v>
      </c>
      <c r="C2892" t="s">
        <v>52</v>
      </c>
      <c r="D2892" s="23">
        <v>-193</v>
      </c>
      <c r="E2892" t="s">
        <v>35</v>
      </c>
      <c r="F2892" s="2">
        <v>610148001</v>
      </c>
      <c r="G2892" s="2" t="s">
        <v>41</v>
      </c>
      <c r="I2892" s="95" t="s">
        <v>7231</v>
      </c>
      <c r="J2892" t="s">
        <v>42</v>
      </c>
      <c r="K2892" t="s">
        <v>41</v>
      </c>
      <c r="M2892">
        <v>86.66</v>
      </c>
      <c r="N2892" s="4">
        <f t="shared" ref="N2892:N2955" si="45">D2892/M2892</f>
        <v>-2.2270943918762982</v>
      </c>
      <c r="O2892" t="s">
        <v>83</v>
      </c>
      <c r="Q2892" s="24" t="s">
        <v>2195</v>
      </c>
    </row>
    <row r="2893" spans="1:17" x14ac:dyDescent="0.25">
      <c r="A2893" s="22">
        <v>45776</v>
      </c>
      <c r="B2893" s="1">
        <v>719002173</v>
      </c>
      <c r="C2893" t="s">
        <v>52</v>
      </c>
      <c r="D2893" s="23">
        <v>9650.4599999999991</v>
      </c>
      <c r="E2893" t="s">
        <v>45</v>
      </c>
      <c r="F2893" s="2">
        <v>110106001</v>
      </c>
      <c r="G2893" s="2" t="s">
        <v>1011</v>
      </c>
      <c r="I2893" s="95" t="s">
        <v>7231</v>
      </c>
      <c r="K2893" t="s">
        <v>1617</v>
      </c>
      <c r="M2893">
        <v>86.66</v>
      </c>
      <c r="N2893" s="4">
        <f t="shared" si="45"/>
        <v>111.36002769443803</v>
      </c>
      <c r="O2893" t="s">
        <v>83</v>
      </c>
    </row>
    <row r="2894" spans="1:17" x14ac:dyDescent="0.25">
      <c r="A2894" s="22">
        <v>45776</v>
      </c>
      <c r="B2894" s="1">
        <v>719002173</v>
      </c>
      <c r="C2894" t="s">
        <v>52</v>
      </c>
      <c r="D2894" s="23">
        <v>-144.75</v>
      </c>
      <c r="E2894" t="s">
        <v>35</v>
      </c>
      <c r="F2894" s="2">
        <v>610148001</v>
      </c>
      <c r="G2894" s="2" t="s">
        <v>41</v>
      </c>
      <c r="I2894" s="95" t="s">
        <v>7231</v>
      </c>
      <c r="J2894" t="s">
        <v>42</v>
      </c>
      <c r="K2894" t="s">
        <v>41</v>
      </c>
      <c r="M2894">
        <v>86.66</v>
      </c>
      <c r="N2894" s="4">
        <f t="shared" si="45"/>
        <v>-1.6703207939072238</v>
      </c>
      <c r="O2894" t="s">
        <v>83</v>
      </c>
      <c r="Q2894" s="24" t="s">
        <v>2195</v>
      </c>
    </row>
    <row r="2895" spans="1:17" x14ac:dyDescent="0.25">
      <c r="A2895" s="22">
        <v>45776</v>
      </c>
      <c r="B2895" s="1">
        <v>45027170</v>
      </c>
      <c r="C2895" t="s">
        <v>52</v>
      </c>
      <c r="D2895" s="23">
        <v>19300.919999999998</v>
      </c>
      <c r="E2895" t="s">
        <v>45</v>
      </c>
      <c r="F2895" s="2">
        <v>110106001</v>
      </c>
      <c r="G2895" s="2" t="s">
        <v>1011</v>
      </c>
      <c r="I2895" s="95" t="s">
        <v>7231</v>
      </c>
      <c r="K2895" t="s">
        <v>1617</v>
      </c>
      <c r="M2895">
        <v>86.66</v>
      </c>
      <c r="N2895" s="4">
        <f t="shared" si="45"/>
        <v>222.72005538887606</v>
      </c>
      <c r="O2895" t="s">
        <v>83</v>
      </c>
    </row>
    <row r="2896" spans="1:17" x14ac:dyDescent="0.25">
      <c r="A2896" s="22">
        <v>45776</v>
      </c>
      <c r="B2896" s="1">
        <v>45027170</v>
      </c>
      <c r="C2896" t="s">
        <v>52</v>
      </c>
      <c r="D2896" s="23">
        <v>-289.51</v>
      </c>
      <c r="E2896" t="s">
        <v>35</v>
      </c>
      <c r="F2896" s="2">
        <v>610148001</v>
      </c>
      <c r="G2896" s="2" t="s">
        <v>41</v>
      </c>
      <c r="I2896" s="95" t="s">
        <v>7231</v>
      </c>
      <c r="J2896" t="s">
        <v>42</v>
      </c>
      <c r="K2896" t="s">
        <v>41</v>
      </c>
      <c r="M2896">
        <v>86.66</v>
      </c>
      <c r="N2896" s="4">
        <f t="shared" si="45"/>
        <v>-3.3407569813062543</v>
      </c>
      <c r="O2896" t="s">
        <v>83</v>
      </c>
      <c r="Q2896" s="24" t="s">
        <v>2195</v>
      </c>
    </row>
    <row r="2897" spans="1:20" x14ac:dyDescent="0.25">
      <c r="A2897" s="22">
        <v>45776</v>
      </c>
      <c r="B2897" s="1">
        <v>352002189</v>
      </c>
      <c r="C2897" t="s">
        <v>52</v>
      </c>
      <c r="D2897" s="23">
        <v>9650.4599999999991</v>
      </c>
      <c r="E2897" t="s">
        <v>45</v>
      </c>
      <c r="F2897" s="2">
        <v>110106001</v>
      </c>
      <c r="G2897" s="2" t="s">
        <v>1011</v>
      </c>
      <c r="I2897" s="95" t="s">
        <v>7231</v>
      </c>
      <c r="K2897" t="s">
        <v>1617</v>
      </c>
      <c r="M2897">
        <v>86.66</v>
      </c>
      <c r="N2897" s="4">
        <f t="shared" si="45"/>
        <v>111.36002769443803</v>
      </c>
      <c r="O2897" t="s">
        <v>83</v>
      </c>
    </row>
    <row r="2898" spans="1:20" x14ac:dyDescent="0.25">
      <c r="A2898" s="22">
        <v>45776</v>
      </c>
      <c r="B2898" s="1">
        <v>352002189</v>
      </c>
      <c r="C2898" t="s">
        <v>52</v>
      </c>
      <c r="D2898" s="23">
        <v>-144.75</v>
      </c>
      <c r="E2898" t="s">
        <v>35</v>
      </c>
      <c r="F2898" s="2">
        <v>610148001</v>
      </c>
      <c r="G2898" s="2" t="s">
        <v>41</v>
      </c>
      <c r="I2898" s="95" t="s">
        <v>7231</v>
      </c>
      <c r="J2898" t="s">
        <v>42</v>
      </c>
      <c r="K2898" t="s">
        <v>41</v>
      </c>
      <c r="M2898">
        <v>86.66</v>
      </c>
      <c r="N2898" s="4">
        <f t="shared" si="45"/>
        <v>-1.6703207939072238</v>
      </c>
      <c r="O2898" t="s">
        <v>83</v>
      </c>
      <c r="Q2898" s="24" t="s">
        <v>2195</v>
      </c>
    </row>
    <row r="2899" spans="1:20" x14ac:dyDescent="0.25">
      <c r="A2899" s="22">
        <v>45776</v>
      </c>
      <c r="B2899" s="1">
        <v>153349557</v>
      </c>
      <c r="C2899" t="s">
        <v>52</v>
      </c>
      <c r="D2899" s="23">
        <v>-41119.629999999997</v>
      </c>
      <c r="E2899" t="s">
        <v>35</v>
      </c>
      <c r="F2899" s="2">
        <v>210101001</v>
      </c>
      <c r="G2899" s="2" t="s">
        <v>36</v>
      </c>
      <c r="I2899" s="95" t="s">
        <v>7231</v>
      </c>
      <c r="J2899" t="s">
        <v>1301</v>
      </c>
      <c r="K2899" t="s">
        <v>1302</v>
      </c>
      <c r="M2899">
        <v>86.66</v>
      </c>
      <c r="N2899" s="4">
        <f t="shared" si="45"/>
        <v>-474.49376875144242</v>
      </c>
      <c r="O2899" t="s">
        <v>83</v>
      </c>
    </row>
    <row r="2900" spans="1:20" x14ac:dyDescent="0.25">
      <c r="A2900" s="22">
        <v>45776</v>
      </c>
      <c r="B2900" s="1">
        <v>153623541</v>
      </c>
      <c r="C2900" t="s">
        <v>52</v>
      </c>
      <c r="D2900" s="23">
        <v>150000</v>
      </c>
      <c r="E2900" t="s">
        <v>45</v>
      </c>
      <c r="F2900" s="2">
        <v>210115002</v>
      </c>
      <c r="G2900" s="2" t="s">
        <v>46</v>
      </c>
      <c r="I2900" s="95" t="s">
        <v>7231</v>
      </c>
      <c r="K2900" t="s">
        <v>82</v>
      </c>
      <c r="M2900">
        <v>86.66</v>
      </c>
      <c r="N2900" s="4">
        <f t="shared" si="45"/>
        <v>1730.9023771059312</v>
      </c>
      <c r="O2900" t="s">
        <v>83</v>
      </c>
    </row>
    <row r="2901" spans="1:20" x14ac:dyDescent="0.25">
      <c r="A2901" s="22">
        <v>45776</v>
      </c>
      <c r="B2901" s="1">
        <v>154628050</v>
      </c>
      <c r="C2901" t="s">
        <v>52</v>
      </c>
      <c r="D2901" s="23">
        <v>320000</v>
      </c>
      <c r="E2901" t="s">
        <v>45</v>
      </c>
      <c r="F2901" s="2">
        <v>210115002</v>
      </c>
      <c r="G2901" s="2" t="s">
        <v>46</v>
      </c>
      <c r="I2901" s="95" t="s">
        <v>7231</v>
      </c>
      <c r="K2901" t="s">
        <v>82</v>
      </c>
      <c r="M2901">
        <v>86.66</v>
      </c>
      <c r="N2901" s="4">
        <f t="shared" si="45"/>
        <v>3692.5917378259869</v>
      </c>
      <c r="O2901" t="s">
        <v>83</v>
      </c>
    </row>
    <row r="2902" spans="1:20" x14ac:dyDescent="0.25">
      <c r="A2902" s="22">
        <v>45776</v>
      </c>
      <c r="B2902" s="1">
        <v>12072952</v>
      </c>
      <c r="C2902" t="s">
        <v>52</v>
      </c>
      <c r="D2902" s="23">
        <v>-6664.91</v>
      </c>
      <c r="E2902" t="s">
        <v>35</v>
      </c>
      <c r="F2902" s="2">
        <v>212901001</v>
      </c>
      <c r="G2902" s="2" t="s">
        <v>91</v>
      </c>
      <c r="I2902" s="95" t="s">
        <v>7231</v>
      </c>
      <c r="J2902" t="s">
        <v>61</v>
      </c>
      <c r="K2902" t="s">
        <v>62</v>
      </c>
      <c r="M2902">
        <v>86.66</v>
      </c>
      <c r="N2902" s="4">
        <f t="shared" si="45"/>
        <v>-76.908723747980616</v>
      </c>
      <c r="O2902" t="s">
        <v>83</v>
      </c>
      <c r="R2902">
        <v>9</v>
      </c>
      <c r="S2902" t="e">
        <f>VLOOKUP(R2902,[1]!NOMINA[#Data],4,FALSE)</f>
        <v>#REF!</v>
      </c>
      <c r="T2902" t="e">
        <f>VLOOKUP(R2902,[1]!NOMINA[#Data],5,FALSE)</f>
        <v>#REF!</v>
      </c>
    </row>
    <row r="2903" spans="1:20" x14ac:dyDescent="0.25">
      <c r="A2903" s="22">
        <v>45776</v>
      </c>
      <c r="B2903" s="1">
        <v>12072955</v>
      </c>
      <c r="C2903" t="s">
        <v>52</v>
      </c>
      <c r="D2903" s="23">
        <v>-3392.73</v>
      </c>
      <c r="E2903" t="s">
        <v>35</v>
      </c>
      <c r="F2903" s="2">
        <v>212901001</v>
      </c>
      <c r="G2903" s="2" t="s">
        <v>91</v>
      </c>
      <c r="I2903" s="95" t="s">
        <v>7231</v>
      </c>
      <c r="J2903" t="s">
        <v>61</v>
      </c>
      <c r="K2903" t="s">
        <v>62</v>
      </c>
      <c r="M2903">
        <v>86.66</v>
      </c>
      <c r="N2903" s="4">
        <f t="shared" si="45"/>
        <v>-39.149896145857376</v>
      </c>
      <c r="O2903" t="s">
        <v>83</v>
      </c>
      <c r="R2903">
        <v>29</v>
      </c>
      <c r="S2903" t="e">
        <f>VLOOKUP(R2903,[1]!NOMINA[#Data],4,FALSE)</f>
        <v>#REF!</v>
      </c>
      <c r="T2903" t="e">
        <f>VLOOKUP(R2903,[1]!NOMINA[#Data],5,FALSE)</f>
        <v>#REF!</v>
      </c>
    </row>
    <row r="2904" spans="1:20" x14ac:dyDescent="0.25">
      <c r="A2904" s="22">
        <v>45776</v>
      </c>
      <c r="B2904" s="1">
        <v>12072954</v>
      </c>
      <c r="C2904" t="s">
        <v>52</v>
      </c>
      <c r="D2904" s="23">
        <v>-2961.32</v>
      </c>
      <c r="E2904" t="s">
        <v>35</v>
      </c>
      <c r="F2904" s="2">
        <v>212901001</v>
      </c>
      <c r="G2904" s="2" t="s">
        <v>91</v>
      </c>
      <c r="I2904" s="95" t="s">
        <v>7231</v>
      </c>
      <c r="J2904" t="s">
        <v>61</v>
      </c>
      <c r="K2904" t="s">
        <v>62</v>
      </c>
      <c r="M2904">
        <v>86.66</v>
      </c>
      <c r="N2904" s="4">
        <f t="shared" si="45"/>
        <v>-34.17170551580891</v>
      </c>
      <c r="O2904" t="s">
        <v>83</v>
      </c>
      <c r="R2904">
        <v>26</v>
      </c>
      <c r="S2904" t="e">
        <f>VLOOKUP(Tabla3[[#This Row],[Nº]],[1]!NOMINA[#Data],4,FALSE)</f>
        <v>#REF!</v>
      </c>
      <c r="T2904" t="e">
        <f>VLOOKUP(Tabla3[[#This Row],[Nº]],[1]!NOMINA[#Data],5,FALSE)</f>
        <v>#REF!</v>
      </c>
    </row>
    <row r="2905" spans="1:20" x14ac:dyDescent="0.25">
      <c r="A2905" s="22">
        <v>45776</v>
      </c>
      <c r="B2905" s="1">
        <v>12072958</v>
      </c>
      <c r="C2905" t="s">
        <v>52</v>
      </c>
      <c r="D2905" s="23">
        <v>-6416.92</v>
      </c>
      <c r="E2905" t="s">
        <v>35</v>
      </c>
      <c r="F2905" s="2">
        <v>212901001</v>
      </c>
      <c r="G2905" s="2" t="s">
        <v>91</v>
      </c>
      <c r="I2905" s="95" t="s">
        <v>7231</v>
      </c>
      <c r="J2905" t="s">
        <v>61</v>
      </c>
      <c r="K2905" t="s">
        <v>62</v>
      </c>
      <c r="M2905">
        <v>86.66</v>
      </c>
      <c r="N2905" s="4">
        <f t="shared" si="45"/>
        <v>-74.047080544657291</v>
      </c>
      <c r="O2905" t="s">
        <v>83</v>
      </c>
      <c r="R2905">
        <v>10</v>
      </c>
      <c r="S2905" t="e">
        <f>VLOOKUP(R2905,[1]!NOMINA[#Data],4,FALSE)</f>
        <v>#REF!</v>
      </c>
      <c r="T2905" t="e">
        <f>VLOOKUP(R2905,[1]!NOMINA[#Data],5,FALSE)</f>
        <v>#REF!</v>
      </c>
    </row>
    <row r="2906" spans="1:20" x14ac:dyDescent="0.25">
      <c r="A2906" s="22">
        <v>45776</v>
      </c>
      <c r="B2906" s="1">
        <v>112072960</v>
      </c>
      <c r="C2906" t="s">
        <v>52</v>
      </c>
      <c r="D2906" s="23">
        <v>-6339.42</v>
      </c>
      <c r="E2906" t="s">
        <v>35</v>
      </c>
      <c r="F2906" s="2">
        <v>212901001</v>
      </c>
      <c r="G2906" s="2" t="s">
        <v>91</v>
      </c>
      <c r="I2906" s="95" t="s">
        <v>7231</v>
      </c>
      <c r="J2906" t="s">
        <v>61</v>
      </c>
      <c r="K2906" t="s">
        <v>62</v>
      </c>
      <c r="M2906">
        <v>86.66</v>
      </c>
      <c r="N2906" s="4">
        <f t="shared" si="45"/>
        <v>-73.152780983152553</v>
      </c>
      <c r="O2906" t="s">
        <v>83</v>
      </c>
      <c r="R2906">
        <v>38</v>
      </c>
      <c r="S2906" t="e">
        <f>VLOOKUP(R2906,[1]!NOMINA[#Data],4,FALSE)</f>
        <v>#REF!</v>
      </c>
      <c r="T2906" t="e">
        <f>VLOOKUP(R2906,[1]!NOMINA[#Data],5,FALSE)</f>
        <v>#REF!</v>
      </c>
    </row>
    <row r="2907" spans="1:20" x14ac:dyDescent="0.25">
      <c r="A2907" s="22">
        <v>45776</v>
      </c>
      <c r="B2907" s="1">
        <v>12072959</v>
      </c>
      <c r="C2907" t="s">
        <v>52</v>
      </c>
      <c r="D2907" s="23">
        <v>-6374.72</v>
      </c>
      <c r="E2907" t="s">
        <v>35</v>
      </c>
      <c r="F2907" s="2">
        <v>212901001</v>
      </c>
      <c r="G2907" s="2" t="s">
        <v>91</v>
      </c>
      <c r="I2907" s="95" t="s">
        <v>7231</v>
      </c>
      <c r="J2907" t="s">
        <v>61</v>
      </c>
      <c r="K2907" t="s">
        <v>62</v>
      </c>
      <c r="M2907">
        <v>86.66</v>
      </c>
      <c r="N2907" s="4">
        <f t="shared" si="45"/>
        <v>-73.560120009231483</v>
      </c>
      <c r="O2907" t="s">
        <v>83</v>
      </c>
      <c r="R2907">
        <v>18</v>
      </c>
      <c r="S2907" t="e">
        <f>VLOOKUP(Tabla3[[#This Row],[Nº]],[1]!NOMINA[#Data],4,FALSE)</f>
        <v>#REF!</v>
      </c>
      <c r="T2907" t="e">
        <f>VLOOKUP(Tabla3[[#This Row],[Nº]],[1]!NOMINA[#Data],5,FALSE)</f>
        <v>#REF!</v>
      </c>
    </row>
    <row r="2908" spans="1:20" x14ac:dyDescent="0.25">
      <c r="A2908" s="22">
        <v>45776</v>
      </c>
      <c r="B2908" s="1">
        <v>112072961</v>
      </c>
      <c r="C2908" t="s">
        <v>52</v>
      </c>
      <c r="D2908" s="23">
        <v>-6428.97</v>
      </c>
      <c r="E2908" t="s">
        <v>35</v>
      </c>
      <c r="F2908" s="2">
        <v>212901001</v>
      </c>
      <c r="G2908" s="2" t="s">
        <v>91</v>
      </c>
      <c r="I2908" s="95" t="s">
        <v>7231</v>
      </c>
      <c r="J2908" t="s">
        <v>61</v>
      </c>
      <c r="K2908" t="s">
        <v>62</v>
      </c>
      <c r="M2908">
        <v>86.66</v>
      </c>
      <c r="N2908" s="4">
        <f t="shared" si="45"/>
        <v>-74.186129702284802</v>
      </c>
      <c r="O2908" t="s">
        <v>83</v>
      </c>
      <c r="R2908">
        <v>15</v>
      </c>
      <c r="S2908" t="e">
        <f>VLOOKUP(R2908,[1]!NOMINA[#Data],4,FALSE)</f>
        <v>#REF!</v>
      </c>
      <c r="T2908" t="e">
        <f>VLOOKUP(R2908,[1]!NOMINA[#Data],5,FALSE)</f>
        <v>#REF!</v>
      </c>
    </row>
    <row r="2909" spans="1:20" x14ac:dyDescent="0.25">
      <c r="A2909" s="22">
        <v>45776</v>
      </c>
      <c r="B2909" s="1">
        <v>12072956</v>
      </c>
      <c r="C2909" t="s">
        <v>52</v>
      </c>
      <c r="D2909" s="23">
        <v>-3392.73</v>
      </c>
      <c r="E2909" t="s">
        <v>35</v>
      </c>
      <c r="F2909" s="2">
        <v>212901001</v>
      </c>
      <c r="G2909" s="2" t="s">
        <v>91</v>
      </c>
      <c r="I2909" s="95" t="s">
        <v>7231</v>
      </c>
      <c r="J2909" t="s">
        <v>61</v>
      </c>
      <c r="K2909" t="s">
        <v>62</v>
      </c>
      <c r="M2909">
        <v>86.66</v>
      </c>
      <c r="N2909" s="4">
        <f t="shared" si="45"/>
        <v>-39.149896145857376</v>
      </c>
      <c r="O2909" t="s">
        <v>83</v>
      </c>
      <c r="R2909">
        <v>44</v>
      </c>
      <c r="S2909" t="e">
        <f>VLOOKUP(R2909,[1]!NOMINA[#Data],4,FALSE)</f>
        <v>#REF!</v>
      </c>
      <c r="T2909" t="e">
        <f>VLOOKUP(R2909,[1]!NOMINA[#Data],5,FALSE)</f>
        <v>#REF!</v>
      </c>
    </row>
    <row r="2910" spans="1:20" x14ac:dyDescent="0.25">
      <c r="A2910" s="22">
        <v>45776</v>
      </c>
      <c r="B2910" s="1">
        <v>112072963</v>
      </c>
      <c r="C2910" t="s">
        <v>52</v>
      </c>
      <c r="D2910" s="23">
        <v>-3392.73</v>
      </c>
      <c r="E2910" t="s">
        <v>35</v>
      </c>
      <c r="F2910" s="2">
        <v>212901001</v>
      </c>
      <c r="G2910" s="2" t="s">
        <v>91</v>
      </c>
      <c r="I2910" s="95" t="s">
        <v>7231</v>
      </c>
      <c r="J2910" t="s">
        <v>61</v>
      </c>
      <c r="K2910" t="s">
        <v>62</v>
      </c>
      <c r="M2910">
        <v>86.66</v>
      </c>
      <c r="N2910" s="4">
        <f t="shared" si="45"/>
        <v>-39.149896145857376</v>
      </c>
      <c r="O2910" t="s">
        <v>83</v>
      </c>
      <c r="R2910">
        <v>41</v>
      </c>
      <c r="S2910" t="e">
        <f>VLOOKUP(R2910,[1]!NOMINA[#Data],4,FALSE)</f>
        <v>#REF!</v>
      </c>
      <c r="T2910" t="e">
        <f>VLOOKUP(R2910,[1]!NOMINA[#Data],5,FALSE)</f>
        <v>#REF!</v>
      </c>
    </row>
    <row r="2911" spans="1:20" x14ac:dyDescent="0.25">
      <c r="A2911" s="22">
        <v>45776</v>
      </c>
      <c r="B2911" s="1">
        <v>112072964</v>
      </c>
      <c r="C2911" t="s">
        <v>52</v>
      </c>
      <c r="D2911" s="23">
        <v>-6393.67</v>
      </c>
      <c r="E2911" t="s">
        <v>35</v>
      </c>
      <c r="F2911" s="2">
        <v>212901001</v>
      </c>
      <c r="G2911" s="2" t="s">
        <v>91</v>
      </c>
      <c r="I2911" s="95" t="s">
        <v>7231</v>
      </c>
      <c r="J2911" t="s">
        <v>61</v>
      </c>
      <c r="K2911" t="s">
        <v>62</v>
      </c>
      <c r="M2911">
        <v>86.66</v>
      </c>
      <c r="N2911" s="4">
        <f t="shared" si="45"/>
        <v>-73.778790676205873</v>
      </c>
      <c r="O2911" t="s">
        <v>83</v>
      </c>
      <c r="R2911">
        <v>13</v>
      </c>
      <c r="S2911" t="e">
        <f>VLOOKUP(R2911,[1]!NOMINA[#Data],4,FALSE)</f>
        <v>#REF!</v>
      </c>
      <c r="T2911" t="e">
        <f>VLOOKUP(R2911,[1]!NOMINA[#Data],5,FALSE)</f>
        <v>#REF!</v>
      </c>
    </row>
    <row r="2912" spans="1:20" x14ac:dyDescent="0.25">
      <c r="A2912" s="22">
        <v>45776</v>
      </c>
      <c r="B2912" s="1">
        <v>112072962</v>
      </c>
      <c r="C2912" t="s">
        <v>52</v>
      </c>
      <c r="D2912" s="23">
        <v>-6187</v>
      </c>
      <c r="E2912" t="s">
        <v>35</v>
      </c>
      <c r="F2912" s="2">
        <v>212901001</v>
      </c>
      <c r="G2912" s="2" t="s">
        <v>91</v>
      </c>
      <c r="I2912" s="95" t="s">
        <v>7231</v>
      </c>
      <c r="J2912" t="s">
        <v>61</v>
      </c>
      <c r="K2912" t="s">
        <v>62</v>
      </c>
      <c r="M2912">
        <v>86.66</v>
      </c>
      <c r="N2912" s="4">
        <f t="shared" si="45"/>
        <v>-71.393953381029306</v>
      </c>
      <c r="O2912" t="s">
        <v>83</v>
      </c>
      <c r="R2912">
        <v>20</v>
      </c>
      <c r="S2912" t="e">
        <f>VLOOKUP(Tabla3[[#This Row],[Nº]],[1]!NOMINA[#Data],4,FALSE)</f>
        <v>#REF!</v>
      </c>
      <c r="T2912" t="e">
        <f>VLOOKUP(Tabla3[[#This Row],[Nº]],[1]!NOMINA[#Data],5,FALSE)</f>
        <v>#REF!</v>
      </c>
    </row>
    <row r="2913" spans="1:20" x14ac:dyDescent="0.25">
      <c r="A2913" s="22">
        <v>45776</v>
      </c>
      <c r="B2913" s="1">
        <v>112072968</v>
      </c>
      <c r="C2913" t="s">
        <v>52</v>
      </c>
      <c r="D2913" s="23">
        <v>-2960.46</v>
      </c>
      <c r="E2913" t="s">
        <v>35</v>
      </c>
      <c r="F2913" s="2">
        <v>212901001</v>
      </c>
      <c r="G2913" s="2" t="s">
        <v>91</v>
      </c>
      <c r="I2913" s="95" t="s">
        <v>7231</v>
      </c>
      <c r="J2913" t="s">
        <v>61</v>
      </c>
      <c r="K2913" t="s">
        <v>62</v>
      </c>
      <c r="M2913">
        <v>86.66</v>
      </c>
      <c r="N2913" s="4">
        <f t="shared" si="45"/>
        <v>-34.161781675513502</v>
      </c>
      <c r="O2913" t="s">
        <v>83</v>
      </c>
      <c r="R2913">
        <v>23</v>
      </c>
      <c r="S2913" t="e">
        <f>VLOOKUP(R2913,[1]!NOMINA[#Data],4,FALSE)</f>
        <v>#REF!</v>
      </c>
      <c r="T2913" t="e">
        <f>VLOOKUP(R2913,[1]!NOMINA[#Data],5,FALSE)</f>
        <v>#REF!</v>
      </c>
    </row>
    <row r="2914" spans="1:20" x14ac:dyDescent="0.25">
      <c r="A2914" s="22">
        <v>45776</v>
      </c>
      <c r="B2914" s="1">
        <v>112072965</v>
      </c>
      <c r="C2914" t="s">
        <v>52</v>
      </c>
      <c r="D2914" s="23">
        <v>-6842.3</v>
      </c>
      <c r="E2914" t="s">
        <v>35</v>
      </c>
      <c r="F2914" s="2">
        <v>212901001</v>
      </c>
      <c r="G2914" s="2" t="s">
        <v>91</v>
      </c>
      <c r="I2914" s="95" t="s">
        <v>7231</v>
      </c>
      <c r="J2914" t="s">
        <v>61</v>
      </c>
      <c r="K2914" t="s">
        <v>62</v>
      </c>
      <c r="M2914">
        <v>86.66</v>
      </c>
      <c r="N2914" s="4">
        <f t="shared" si="45"/>
        <v>-78.955688899146097</v>
      </c>
      <c r="O2914" t="s">
        <v>83</v>
      </c>
      <c r="R2914">
        <v>8</v>
      </c>
      <c r="S2914" t="e">
        <f>VLOOKUP(R2914,[1]!NOMINA[#Data],4,FALSE)</f>
        <v>#REF!</v>
      </c>
      <c r="T2914" t="e">
        <f>VLOOKUP(R2914,[1]!NOMINA[#Data],5,FALSE)</f>
        <v>#REF!</v>
      </c>
    </row>
    <row r="2915" spans="1:20" x14ac:dyDescent="0.25">
      <c r="A2915" s="22">
        <v>45776</v>
      </c>
      <c r="B2915" s="1">
        <v>112072967</v>
      </c>
      <c r="C2915" t="s">
        <v>52</v>
      </c>
      <c r="D2915" s="23">
        <v>-6538.33</v>
      </c>
      <c r="E2915" t="s">
        <v>35</v>
      </c>
      <c r="F2915" s="2">
        <v>212901001</v>
      </c>
      <c r="G2915" s="2" t="s">
        <v>91</v>
      </c>
      <c r="I2915" s="95" t="s">
        <v>7231</v>
      </c>
      <c r="J2915" t="s">
        <v>61</v>
      </c>
      <c r="K2915" t="s">
        <v>62</v>
      </c>
      <c r="M2915">
        <v>86.66</v>
      </c>
      <c r="N2915" s="4">
        <f t="shared" si="45"/>
        <v>-75.448072928686827</v>
      </c>
      <c r="O2915" t="s">
        <v>83</v>
      </c>
      <c r="R2915">
        <v>11</v>
      </c>
      <c r="S2915" t="e">
        <f>VLOOKUP(R2915,[1]!NOMINA[#Data],4,FALSE)</f>
        <v>#REF!</v>
      </c>
      <c r="T2915" t="e">
        <f>VLOOKUP(R2915,[1]!NOMINA[#Data],5,FALSE)</f>
        <v>#REF!</v>
      </c>
    </row>
    <row r="2916" spans="1:20" x14ac:dyDescent="0.25">
      <c r="A2916" s="22">
        <v>45776</v>
      </c>
      <c r="B2916" s="1">
        <v>112072970</v>
      </c>
      <c r="C2916" t="s">
        <v>52</v>
      </c>
      <c r="D2916" s="23">
        <v>-15291.41</v>
      </c>
      <c r="E2916" t="s">
        <v>35</v>
      </c>
      <c r="F2916" s="2">
        <v>212901001</v>
      </c>
      <c r="G2916" s="2" t="s">
        <v>91</v>
      </c>
      <c r="I2916" s="95" t="s">
        <v>7231</v>
      </c>
      <c r="J2916" t="s">
        <v>61</v>
      </c>
      <c r="K2916" t="s">
        <v>62</v>
      </c>
      <c r="M2916">
        <v>86.66</v>
      </c>
      <c r="N2916" s="4">
        <f t="shared" si="45"/>
        <v>-176.45291945534274</v>
      </c>
      <c r="O2916" t="s">
        <v>83</v>
      </c>
      <c r="R2916">
        <v>43</v>
      </c>
      <c r="S2916" t="e">
        <f>VLOOKUP(R2916,[1]!NOMINA[#Data],4,FALSE)</f>
        <v>#REF!</v>
      </c>
      <c r="T2916" t="e">
        <f>VLOOKUP(R2916,[1]!NOMINA[#Data],5,FALSE)</f>
        <v>#REF!</v>
      </c>
    </row>
    <row r="2917" spans="1:20" x14ac:dyDescent="0.25">
      <c r="A2917" s="22">
        <v>45776</v>
      </c>
      <c r="B2917" s="1">
        <v>212072973</v>
      </c>
      <c r="C2917" t="s">
        <v>52</v>
      </c>
      <c r="D2917" s="23">
        <v>-4254.7</v>
      </c>
      <c r="E2917" t="s">
        <v>35</v>
      </c>
      <c r="F2917" s="2">
        <v>212901001</v>
      </c>
      <c r="G2917" s="2" t="s">
        <v>91</v>
      </c>
      <c r="I2917" s="95" t="s">
        <v>7231</v>
      </c>
      <c r="J2917" t="s">
        <v>61</v>
      </c>
      <c r="K2917" t="s">
        <v>62</v>
      </c>
      <c r="M2917">
        <v>86.66</v>
      </c>
      <c r="N2917" s="4">
        <f t="shared" si="45"/>
        <v>-49.096468959150705</v>
      </c>
      <c r="O2917" t="s">
        <v>83</v>
      </c>
      <c r="R2917">
        <v>14</v>
      </c>
      <c r="S2917" t="e">
        <f>VLOOKUP(R2917,[1]!NOMINA[#Data],4,FALSE)</f>
        <v>#REF!</v>
      </c>
      <c r="T2917" t="e">
        <f>VLOOKUP(R2917,[1]!NOMINA[#Data],5,FALSE)</f>
        <v>#REF!</v>
      </c>
    </row>
    <row r="2918" spans="1:20" x14ac:dyDescent="0.25">
      <c r="A2918" s="22">
        <v>45776</v>
      </c>
      <c r="B2918" s="1">
        <v>112072971</v>
      </c>
      <c r="C2918" t="s">
        <v>52</v>
      </c>
      <c r="D2918" s="23">
        <v>-6428.97</v>
      </c>
      <c r="E2918" t="s">
        <v>35</v>
      </c>
      <c r="F2918" s="2">
        <v>212901001</v>
      </c>
      <c r="G2918" s="2" t="s">
        <v>91</v>
      </c>
      <c r="I2918" s="95" t="s">
        <v>7231</v>
      </c>
      <c r="J2918" t="s">
        <v>61</v>
      </c>
      <c r="K2918" t="s">
        <v>62</v>
      </c>
      <c r="M2918">
        <v>86.66</v>
      </c>
      <c r="N2918" s="4">
        <f t="shared" si="45"/>
        <v>-74.186129702284802</v>
      </c>
      <c r="O2918" t="s">
        <v>83</v>
      </c>
      <c r="R2918">
        <v>17</v>
      </c>
      <c r="S2918" t="e">
        <f>VLOOKUP(R2918,[1]!NOMINA[#Data],4,FALSE)</f>
        <v>#REF!</v>
      </c>
      <c r="T2918" t="e">
        <f>VLOOKUP(R2918,[1]!NOMINA[#Data],5,FALSE)</f>
        <v>#REF!</v>
      </c>
    </row>
    <row r="2919" spans="1:20" x14ac:dyDescent="0.25">
      <c r="A2919" s="22">
        <v>45776</v>
      </c>
      <c r="B2919" s="1">
        <v>212072972</v>
      </c>
      <c r="C2919" t="s">
        <v>52</v>
      </c>
      <c r="D2919" s="23">
        <v>-9466.93</v>
      </c>
      <c r="E2919" t="s">
        <v>35</v>
      </c>
      <c r="F2919" s="2">
        <v>212901001</v>
      </c>
      <c r="G2919" s="2" t="s">
        <v>91</v>
      </c>
      <c r="I2919" s="95" t="s">
        <v>7231</v>
      </c>
      <c r="J2919" t="s">
        <v>61</v>
      </c>
      <c r="K2919" t="s">
        <v>62</v>
      </c>
      <c r="M2919">
        <v>86.66</v>
      </c>
      <c r="N2919" s="4">
        <f t="shared" si="45"/>
        <v>-109.24221093930304</v>
      </c>
      <c r="O2919" t="s">
        <v>83</v>
      </c>
      <c r="R2919">
        <v>4</v>
      </c>
      <c r="S2919" t="e">
        <f>VLOOKUP(R2919,[1]!NOMINA[#Data],4,FALSE)</f>
        <v>#REF!</v>
      </c>
      <c r="T2919" t="e">
        <f>VLOOKUP(R2919,[1]!NOMINA[#Data],5,FALSE)</f>
        <v>#REF!</v>
      </c>
    </row>
    <row r="2920" spans="1:20" x14ac:dyDescent="0.25">
      <c r="A2920" s="22">
        <v>45776</v>
      </c>
      <c r="B2920" s="1">
        <v>212072975</v>
      </c>
      <c r="C2920" t="s">
        <v>52</v>
      </c>
      <c r="D2920" s="23">
        <v>-3683.79</v>
      </c>
      <c r="E2920" t="s">
        <v>35</v>
      </c>
      <c r="F2920" s="2">
        <v>212901001</v>
      </c>
      <c r="G2920" s="2" t="s">
        <v>91</v>
      </c>
      <c r="I2920" s="95" t="s">
        <v>7231</v>
      </c>
      <c r="J2920" t="s">
        <v>61</v>
      </c>
      <c r="K2920" t="s">
        <v>62</v>
      </c>
      <c r="M2920">
        <v>86.66</v>
      </c>
      <c r="N2920" s="4">
        <f t="shared" si="45"/>
        <v>-42.50853911839372</v>
      </c>
      <c r="O2920" t="s">
        <v>83</v>
      </c>
      <c r="R2920">
        <v>42</v>
      </c>
      <c r="S2920" t="e">
        <f>VLOOKUP(R2920,[1]!NOMINA[#Data],4,FALSE)</f>
        <v>#REF!</v>
      </c>
      <c r="T2920" t="e">
        <f>VLOOKUP(R2920,[1]!NOMINA[#Data],5,FALSE)</f>
        <v>#REF!</v>
      </c>
    </row>
    <row r="2921" spans="1:20" x14ac:dyDescent="0.25">
      <c r="A2921" s="22">
        <v>45776</v>
      </c>
      <c r="B2921" s="1">
        <v>212072974</v>
      </c>
      <c r="C2921" t="s">
        <v>52</v>
      </c>
      <c r="D2921" s="23">
        <v>-6428.97</v>
      </c>
      <c r="E2921" t="s">
        <v>35</v>
      </c>
      <c r="F2921" s="2">
        <v>212901001</v>
      </c>
      <c r="G2921" s="2" t="s">
        <v>91</v>
      </c>
      <c r="I2921" s="95" t="s">
        <v>7231</v>
      </c>
      <c r="J2921" t="s">
        <v>61</v>
      </c>
      <c r="K2921" t="s">
        <v>62</v>
      </c>
      <c r="M2921">
        <v>86.66</v>
      </c>
      <c r="N2921" s="4">
        <f t="shared" si="45"/>
        <v>-74.186129702284802</v>
      </c>
      <c r="O2921" t="s">
        <v>83</v>
      </c>
      <c r="R2921">
        <v>22</v>
      </c>
      <c r="S2921" t="e">
        <f>VLOOKUP(Tabla3[[#This Row],[Nº]],[1]!NOMINA[#Data],4,FALSE)</f>
        <v>#REF!</v>
      </c>
      <c r="T2921" t="e">
        <f>VLOOKUP(R2921,[1]!NOMINA[#Data],5,FALSE)</f>
        <v>#REF!</v>
      </c>
    </row>
    <row r="2922" spans="1:20" x14ac:dyDescent="0.25">
      <c r="A2922" s="22">
        <v>45776</v>
      </c>
      <c r="B2922" s="1">
        <v>212072976</v>
      </c>
      <c r="C2922" t="s">
        <v>52</v>
      </c>
      <c r="D2922" s="23">
        <v>-6444.47</v>
      </c>
      <c r="E2922" t="s">
        <v>35</v>
      </c>
      <c r="F2922" s="2">
        <v>212901001</v>
      </c>
      <c r="G2922" s="2" t="s">
        <v>91</v>
      </c>
      <c r="I2922" s="95" t="s">
        <v>7231</v>
      </c>
      <c r="J2922" t="s">
        <v>61</v>
      </c>
      <c r="K2922" t="s">
        <v>62</v>
      </c>
      <c r="M2922">
        <v>86.66</v>
      </c>
      <c r="N2922" s="4">
        <f t="shared" si="45"/>
        <v>-74.364989614585738</v>
      </c>
      <c r="O2922" t="s">
        <v>83</v>
      </c>
      <c r="R2922">
        <v>39</v>
      </c>
      <c r="S2922" t="e">
        <f>VLOOKUP(R2922,[1]!NOMINA[#Data],4,FALSE)</f>
        <v>#REF!</v>
      </c>
      <c r="T2922" t="e">
        <f>VLOOKUP(R2922,[1]!NOMINA[#Data],5,FALSE)</f>
        <v>#REF!</v>
      </c>
    </row>
    <row r="2923" spans="1:20" x14ac:dyDescent="0.25">
      <c r="A2923" s="22">
        <v>45776</v>
      </c>
      <c r="B2923" s="1">
        <v>212072977</v>
      </c>
      <c r="C2923" t="s">
        <v>52</v>
      </c>
      <c r="D2923" s="23">
        <v>-4254.7</v>
      </c>
      <c r="E2923" t="s">
        <v>35</v>
      </c>
      <c r="F2923" s="2">
        <v>212901001</v>
      </c>
      <c r="G2923" s="2" t="s">
        <v>91</v>
      </c>
      <c r="I2923" s="95" t="s">
        <v>7231</v>
      </c>
      <c r="J2923" t="s">
        <v>61</v>
      </c>
      <c r="K2923" t="s">
        <v>62</v>
      </c>
      <c r="M2923">
        <v>86.66</v>
      </c>
      <c r="N2923" s="4">
        <f t="shared" si="45"/>
        <v>-49.096468959150705</v>
      </c>
      <c r="O2923" t="s">
        <v>83</v>
      </c>
      <c r="R2923">
        <v>21</v>
      </c>
      <c r="S2923" t="e">
        <f>VLOOKUP(R2923,[1]!NOMINA[#Data],4,FALSE)</f>
        <v>#REF!</v>
      </c>
      <c r="T2923" t="e">
        <f>VLOOKUP(R2923,[1]!NOMINA[#Data],5,FALSE)</f>
        <v>#REF!</v>
      </c>
    </row>
    <row r="2924" spans="1:20" x14ac:dyDescent="0.25">
      <c r="A2924" s="22">
        <v>45776</v>
      </c>
      <c r="B2924" s="1">
        <v>212072978</v>
      </c>
      <c r="C2924" t="s">
        <v>52</v>
      </c>
      <c r="D2924" s="23">
        <v>-2961.32</v>
      </c>
      <c r="E2924" t="s">
        <v>35</v>
      </c>
      <c r="F2924" s="2">
        <v>212901001</v>
      </c>
      <c r="G2924" s="2" t="s">
        <v>91</v>
      </c>
      <c r="I2924" s="95" t="s">
        <v>7231</v>
      </c>
      <c r="J2924" t="s">
        <v>61</v>
      </c>
      <c r="K2924" t="s">
        <v>62</v>
      </c>
      <c r="M2924">
        <v>86.66</v>
      </c>
      <c r="N2924" s="4">
        <f t="shared" si="45"/>
        <v>-34.17170551580891</v>
      </c>
      <c r="O2924" t="s">
        <v>83</v>
      </c>
      <c r="R2924">
        <v>25</v>
      </c>
      <c r="S2924" t="e">
        <f>VLOOKUP(R2924,[1]!NOMINA[#Data],4,FALSE)</f>
        <v>#REF!</v>
      </c>
      <c r="T2924" t="e">
        <f>VLOOKUP(R2924,[1]!NOMINA[#Data],5,FALSE)</f>
        <v>#REF!</v>
      </c>
    </row>
    <row r="2925" spans="1:20" x14ac:dyDescent="0.25">
      <c r="A2925" s="22">
        <v>45776</v>
      </c>
      <c r="B2925" s="1">
        <v>312072984</v>
      </c>
      <c r="C2925" t="s">
        <v>52</v>
      </c>
      <c r="D2925" s="23">
        <v>-21419</v>
      </c>
      <c r="E2925" t="s">
        <v>35</v>
      </c>
      <c r="F2925" s="2">
        <v>212901001</v>
      </c>
      <c r="G2925" s="2" t="s">
        <v>91</v>
      </c>
      <c r="I2925" s="95" t="s">
        <v>7231</v>
      </c>
      <c r="J2925" t="s">
        <v>61</v>
      </c>
      <c r="K2925" t="s">
        <v>62</v>
      </c>
      <c r="M2925">
        <v>86.66</v>
      </c>
      <c r="N2925" s="4">
        <f t="shared" si="45"/>
        <v>-247.16132010154629</v>
      </c>
      <c r="O2925" t="s">
        <v>83</v>
      </c>
      <c r="R2925">
        <v>3</v>
      </c>
      <c r="S2925" t="e">
        <f>VLOOKUP(R2925,[1]!NOMINA[#Data],4,FALSE)</f>
        <v>#REF!</v>
      </c>
      <c r="T2925" t="e">
        <f>VLOOKUP(R2925,[1]!NOMINA[#Data],5,FALSE)</f>
        <v>#REF!</v>
      </c>
    </row>
    <row r="2926" spans="1:20" x14ac:dyDescent="0.25">
      <c r="A2926" s="22">
        <v>45776</v>
      </c>
      <c r="B2926" s="1">
        <v>312072986</v>
      </c>
      <c r="C2926" t="s">
        <v>52</v>
      </c>
      <c r="D2926" s="23">
        <v>-4265.03</v>
      </c>
      <c r="E2926" t="s">
        <v>35</v>
      </c>
      <c r="F2926" s="2">
        <v>212901001</v>
      </c>
      <c r="G2926" s="2" t="s">
        <v>91</v>
      </c>
      <c r="I2926" s="95" t="s">
        <v>7231</v>
      </c>
      <c r="J2926" t="s">
        <v>61</v>
      </c>
      <c r="K2926" t="s">
        <v>62</v>
      </c>
      <c r="M2926">
        <v>86.66</v>
      </c>
      <c r="N2926" s="4">
        <f t="shared" si="45"/>
        <v>-49.215670436187395</v>
      </c>
      <c r="O2926" t="s">
        <v>83</v>
      </c>
      <c r="R2926">
        <v>19</v>
      </c>
      <c r="S2926" t="e">
        <f>VLOOKUP(R2926,[1]!NOMINA[#Data],4,FALSE)</f>
        <v>#REF!</v>
      </c>
      <c r="T2926" t="e">
        <f>VLOOKUP(R2926,[1]!NOMINA[#Data],5,FALSE)</f>
        <v>#REF!</v>
      </c>
    </row>
    <row r="2927" spans="1:20" x14ac:dyDescent="0.25">
      <c r="A2927" s="22">
        <v>45776</v>
      </c>
      <c r="B2927" s="1">
        <v>312072985</v>
      </c>
      <c r="C2927" t="s">
        <v>52</v>
      </c>
      <c r="D2927" s="23">
        <v>-2961.32</v>
      </c>
      <c r="E2927" t="s">
        <v>35</v>
      </c>
      <c r="F2927" s="2">
        <v>212901001</v>
      </c>
      <c r="G2927" s="2" t="s">
        <v>91</v>
      </c>
      <c r="I2927" s="95" t="s">
        <v>7231</v>
      </c>
      <c r="J2927" t="s">
        <v>61</v>
      </c>
      <c r="K2927" t="s">
        <v>62</v>
      </c>
      <c r="M2927">
        <v>86.66</v>
      </c>
      <c r="N2927" s="4">
        <f t="shared" si="45"/>
        <v>-34.17170551580891</v>
      </c>
      <c r="O2927" t="s">
        <v>83</v>
      </c>
      <c r="R2927">
        <v>27</v>
      </c>
      <c r="S2927" t="e">
        <f>VLOOKUP(R2927,[1]!NOMINA[#Data],4,FALSE)</f>
        <v>#REF!</v>
      </c>
      <c r="T2927" t="e">
        <f>VLOOKUP(R2927,[1]!NOMINA[#Data],5,FALSE)</f>
        <v>#REF!</v>
      </c>
    </row>
    <row r="2928" spans="1:20" x14ac:dyDescent="0.25">
      <c r="A2928" s="22">
        <v>45776</v>
      </c>
      <c r="B2928" s="1">
        <v>212072981</v>
      </c>
      <c r="C2928" t="s">
        <v>52</v>
      </c>
      <c r="D2928" s="23">
        <v>-3853.42</v>
      </c>
      <c r="E2928" t="s">
        <v>35</v>
      </c>
      <c r="F2928" s="2">
        <v>212901001</v>
      </c>
      <c r="G2928" s="2" t="s">
        <v>91</v>
      </c>
      <c r="I2928" s="95" t="s">
        <v>7231</v>
      </c>
      <c r="J2928" t="s">
        <v>61</v>
      </c>
      <c r="K2928" t="s">
        <v>62</v>
      </c>
      <c r="M2928">
        <v>86.66</v>
      </c>
      <c r="N2928" s="4">
        <f t="shared" si="45"/>
        <v>-44.465958919916922</v>
      </c>
      <c r="O2928" t="s">
        <v>83</v>
      </c>
      <c r="R2928">
        <v>28</v>
      </c>
      <c r="S2928" t="e">
        <f>VLOOKUP(R2928,[1]!NOMINA[#Data],4,FALSE)</f>
        <v>#REF!</v>
      </c>
      <c r="T2928" t="e">
        <f>VLOOKUP(R2928,[1]!NOMINA[#Data],5,FALSE)</f>
        <v>#REF!</v>
      </c>
    </row>
    <row r="2929" spans="1:20" x14ac:dyDescent="0.25">
      <c r="A2929" s="22">
        <v>45776</v>
      </c>
      <c r="B2929" s="1">
        <v>212072979</v>
      </c>
      <c r="C2929" t="s">
        <v>52</v>
      </c>
      <c r="D2929" s="23">
        <v>-6393.67</v>
      </c>
      <c r="E2929" t="s">
        <v>35</v>
      </c>
      <c r="F2929" s="2">
        <v>212901001</v>
      </c>
      <c r="G2929" s="2" t="s">
        <v>91</v>
      </c>
      <c r="I2929" s="95" t="s">
        <v>7231</v>
      </c>
      <c r="J2929" t="s">
        <v>61</v>
      </c>
      <c r="K2929" t="s">
        <v>62</v>
      </c>
      <c r="M2929">
        <v>86.66</v>
      </c>
      <c r="N2929" s="4">
        <f t="shared" si="45"/>
        <v>-73.778790676205873</v>
      </c>
      <c r="O2929" t="s">
        <v>83</v>
      </c>
      <c r="R2929">
        <v>12</v>
      </c>
      <c r="S2929" t="e">
        <f>VLOOKUP(R2929,[1]!NOMINA[#Data],4,FALSE)</f>
        <v>#REF!</v>
      </c>
      <c r="T2929" t="e">
        <f>VLOOKUP(R2929,[1]!NOMINA[#Data],5,FALSE)</f>
        <v>#REF!</v>
      </c>
    </row>
    <row r="2930" spans="1:20" x14ac:dyDescent="0.25">
      <c r="A2930" s="22">
        <v>45776</v>
      </c>
      <c r="B2930" s="1">
        <v>312072982</v>
      </c>
      <c r="C2930" t="s">
        <v>52</v>
      </c>
      <c r="D2930" s="23">
        <v>-10766.33</v>
      </c>
      <c r="E2930" t="s">
        <v>35</v>
      </c>
      <c r="F2930" s="2">
        <v>212901001</v>
      </c>
      <c r="G2930" s="2" t="s">
        <v>91</v>
      </c>
      <c r="I2930" s="95" t="s">
        <v>7231</v>
      </c>
      <c r="J2930" t="s">
        <v>61</v>
      </c>
      <c r="K2930" t="s">
        <v>62</v>
      </c>
      <c r="M2930">
        <v>86.66</v>
      </c>
      <c r="N2930" s="4">
        <f t="shared" si="45"/>
        <v>-124.23644126471268</v>
      </c>
      <c r="O2930" t="s">
        <v>83</v>
      </c>
      <c r="R2930">
        <v>6</v>
      </c>
      <c r="S2930" t="e">
        <f>VLOOKUP(R2930,[1]!NOMINA[#Data],4,FALSE)</f>
        <v>#REF!</v>
      </c>
      <c r="T2930" t="e">
        <f>VLOOKUP(R2930,[1]!NOMINA[#Data],5,FALSE)</f>
        <v>#REF!</v>
      </c>
    </row>
    <row r="2931" spans="1:20" x14ac:dyDescent="0.25">
      <c r="A2931" s="22">
        <v>45776</v>
      </c>
      <c r="B2931" s="1">
        <v>312072983</v>
      </c>
      <c r="C2931" t="s">
        <v>52</v>
      </c>
      <c r="D2931" s="23">
        <v>-4259.8599999999997</v>
      </c>
      <c r="E2931" t="s">
        <v>35</v>
      </c>
      <c r="F2931" s="2">
        <v>212901001</v>
      </c>
      <c r="G2931" s="2" t="s">
        <v>91</v>
      </c>
      <c r="I2931" s="95" t="s">
        <v>7231</v>
      </c>
      <c r="J2931" t="s">
        <v>61</v>
      </c>
      <c r="K2931" t="s">
        <v>62</v>
      </c>
      <c r="M2931">
        <v>86.66</v>
      </c>
      <c r="N2931" s="4">
        <f t="shared" si="45"/>
        <v>-49.156012000923148</v>
      </c>
      <c r="O2931" t="s">
        <v>83</v>
      </c>
      <c r="R2931">
        <v>24</v>
      </c>
      <c r="S2931" t="e">
        <f>VLOOKUP(R2931,[1]!NOMINA[#Data],4,FALSE)</f>
        <v>#REF!</v>
      </c>
      <c r="T2931" t="e">
        <f>VLOOKUP(R2931,[1]!NOMINA[#Data],5,FALSE)</f>
        <v>#REF!</v>
      </c>
    </row>
    <row r="2932" spans="1:20" x14ac:dyDescent="0.25">
      <c r="A2932" s="22">
        <v>45776</v>
      </c>
      <c r="B2932" s="1">
        <v>212072980</v>
      </c>
      <c r="C2932" t="s">
        <v>52</v>
      </c>
      <c r="D2932" s="23">
        <v>-42990.42</v>
      </c>
      <c r="E2932" t="s">
        <v>35</v>
      </c>
      <c r="F2932" s="2">
        <v>212901001</v>
      </c>
      <c r="G2932" s="2" t="s">
        <v>91</v>
      </c>
      <c r="I2932" s="95" t="s">
        <v>7231</v>
      </c>
      <c r="J2932" t="s">
        <v>61</v>
      </c>
      <c r="K2932" t="s">
        <v>62</v>
      </c>
      <c r="M2932">
        <v>86.66</v>
      </c>
      <c r="N2932" s="4">
        <f t="shared" si="45"/>
        <v>-496.08146780521577</v>
      </c>
      <c r="O2932" t="s">
        <v>83</v>
      </c>
      <c r="R2932">
        <v>2</v>
      </c>
      <c r="S2932" t="e">
        <f>VLOOKUP(Tabla3[[#This Row],[Nº]],[1]!NOMINA[#Data],4,FALSE)</f>
        <v>#REF!</v>
      </c>
      <c r="T2932" t="e">
        <f>VLOOKUP(Tabla3[[#This Row],[Nº]],[1]!NOMINA[#Data],5,FALSE)</f>
        <v>#REF!</v>
      </c>
    </row>
    <row r="2933" spans="1:20" x14ac:dyDescent="0.25">
      <c r="A2933" s="22">
        <v>45776</v>
      </c>
      <c r="B2933" s="1">
        <v>312072988</v>
      </c>
      <c r="C2933" t="s">
        <v>52</v>
      </c>
      <c r="D2933" s="23">
        <v>-5945.9</v>
      </c>
      <c r="E2933" t="s">
        <v>35</v>
      </c>
      <c r="F2933" s="2">
        <v>212901001</v>
      </c>
      <c r="G2933" s="2" t="s">
        <v>91</v>
      </c>
      <c r="I2933" s="95" t="s">
        <v>7231</v>
      </c>
      <c r="J2933" t="s">
        <v>61</v>
      </c>
      <c r="K2933" t="s">
        <v>62</v>
      </c>
      <c r="M2933">
        <v>86.66</v>
      </c>
      <c r="N2933" s="4">
        <f t="shared" si="45"/>
        <v>-68.611816293561048</v>
      </c>
      <c r="O2933" t="s">
        <v>83</v>
      </c>
      <c r="R2933">
        <v>16</v>
      </c>
      <c r="S2933" t="e">
        <f>VLOOKUP(Tabla3[[#This Row],[Nº]],[1]!NOMINA[#Data],4,FALSE)</f>
        <v>#REF!</v>
      </c>
      <c r="T2933" t="e">
        <f>VLOOKUP(Tabla3[[#This Row],[Nº]],[1]!NOMINA[#Data],5,FALSE)</f>
        <v>#REF!</v>
      </c>
    </row>
    <row r="2934" spans="1:20" x14ac:dyDescent="0.25">
      <c r="A2934" s="22">
        <v>45776</v>
      </c>
      <c r="B2934" s="1">
        <v>312072990</v>
      </c>
      <c r="C2934" t="s">
        <v>52</v>
      </c>
      <c r="D2934" s="23">
        <v>-3166.26</v>
      </c>
      <c r="E2934" t="s">
        <v>35</v>
      </c>
      <c r="F2934" s="2">
        <v>212901001</v>
      </c>
      <c r="G2934" s="2" t="s">
        <v>91</v>
      </c>
      <c r="I2934" s="95" t="s">
        <v>7231</v>
      </c>
      <c r="J2934" t="s">
        <v>61</v>
      </c>
      <c r="K2934" t="s">
        <v>62</v>
      </c>
      <c r="M2934">
        <v>86.66</v>
      </c>
      <c r="N2934" s="4">
        <f t="shared" si="45"/>
        <v>-36.536579736902844</v>
      </c>
      <c r="O2934" t="s">
        <v>83</v>
      </c>
      <c r="R2934">
        <v>37</v>
      </c>
      <c r="S2934" t="e">
        <f>VLOOKUP(Tabla3[[#This Row],[Nº]],[1]!NOMINA[#Data],4,FALSE)</f>
        <v>#REF!</v>
      </c>
      <c r="T2934" t="e">
        <f>VLOOKUP(Tabla3[[#This Row],[Nº]],[1]!NOMINA[#Data],5,FALSE)</f>
        <v>#REF!</v>
      </c>
    </row>
    <row r="2935" spans="1:20" x14ac:dyDescent="0.25">
      <c r="A2935" s="22">
        <v>45776</v>
      </c>
      <c r="B2935" s="1">
        <v>312072991</v>
      </c>
      <c r="C2935" t="s">
        <v>52</v>
      </c>
      <c r="D2935" s="23">
        <v>-2783.94</v>
      </c>
      <c r="E2935" t="s">
        <v>35</v>
      </c>
      <c r="F2935" s="2">
        <v>212901001</v>
      </c>
      <c r="G2935" s="2" t="s">
        <v>91</v>
      </c>
      <c r="I2935" s="95" t="s">
        <v>7231</v>
      </c>
      <c r="J2935" t="s">
        <v>61</v>
      </c>
      <c r="K2935" t="s">
        <v>62</v>
      </c>
      <c r="M2935">
        <v>86.66</v>
      </c>
      <c r="N2935" s="4">
        <f t="shared" si="45"/>
        <v>-32.12485575813524</v>
      </c>
      <c r="O2935" t="s">
        <v>83</v>
      </c>
      <c r="R2935">
        <v>7</v>
      </c>
      <c r="S2935" t="e">
        <f>VLOOKUP(R2935,[1]!NOMINA[#Data],4,FALSE)</f>
        <v>#REF!</v>
      </c>
      <c r="T2935" t="e">
        <f>VLOOKUP(R2935,[1]!NOMINA[#Data],5,FALSE)</f>
        <v>#REF!</v>
      </c>
    </row>
    <row r="2936" spans="1:20" x14ac:dyDescent="0.25">
      <c r="A2936" s="22">
        <v>45776</v>
      </c>
      <c r="B2936" s="1">
        <v>312072992</v>
      </c>
      <c r="C2936" t="s">
        <v>52</v>
      </c>
      <c r="D2936" s="23">
        <v>-34379.42</v>
      </c>
      <c r="E2936" t="s">
        <v>35</v>
      </c>
      <c r="F2936" s="2">
        <v>212901001</v>
      </c>
      <c r="G2936" s="2" t="s">
        <v>91</v>
      </c>
      <c r="I2936" s="95" t="s">
        <v>7231</v>
      </c>
      <c r="J2936" t="s">
        <v>61</v>
      </c>
      <c r="K2936" t="s">
        <v>62</v>
      </c>
      <c r="M2936">
        <v>86.66</v>
      </c>
      <c r="N2936" s="4">
        <f t="shared" si="45"/>
        <v>-396.71613201015464</v>
      </c>
      <c r="O2936" t="s">
        <v>83</v>
      </c>
      <c r="R2936">
        <v>1</v>
      </c>
      <c r="S2936" t="e">
        <f>VLOOKUP(R2936,[1]!NOMINA[#Data],4,FALSE)</f>
        <v>#REF!</v>
      </c>
      <c r="T2936" t="e">
        <f>VLOOKUP(R2936,[1]!NOMINA[#Data],5,FALSE)</f>
        <v>#REF!</v>
      </c>
    </row>
    <row r="2937" spans="1:20" x14ac:dyDescent="0.25">
      <c r="A2937" s="22">
        <v>45776</v>
      </c>
      <c r="B2937" s="1">
        <v>312072987</v>
      </c>
      <c r="C2937" t="s">
        <v>52</v>
      </c>
      <c r="D2937" s="23">
        <v>-5213.1000000000004</v>
      </c>
      <c r="E2937" t="s">
        <v>35</v>
      </c>
      <c r="F2937" s="2">
        <v>212901001</v>
      </c>
      <c r="G2937" s="2" t="s">
        <v>91</v>
      </c>
      <c r="I2937" s="95" t="s">
        <v>7231</v>
      </c>
      <c r="J2937" t="s">
        <v>61</v>
      </c>
      <c r="K2937" t="s">
        <v>62</v>
      </c>
      <c r="M2937">
        <v>86.66</v>
      </c>
      <c r="N2937" s="4">
        <f t="shared" si="45"/>
        <v>-60.155781213939541</v>
      </c>
      <c r="O2937" t="s">
        <v>83</v>
      </c>
      <c r="R2937">
        <v>5</v>
      </c>
      <c r="S2937" t="e">
        <f>VLOOKUP(R2937,[1]!NOMINA[#Data],4,FALSE)</f>
        <v>#REF!</v>
      </c>
      <c r="T2937" t="e">
        <f>VLOOKUP(R2937,[1]!NOMINA[#Data],5,FALSE)</f>
        <v>#REF!</v>
      </c>
    </row>
    <row r="2938" spans="1:20" x14ac:dyDescent="0.25">
      <c r="A2938" s="22">
        <v>45776</v>
      </c>
      <c r="B2938" s="1">
        <v>412072997</v>
      </c>
      <c r="C2938" t="s">
        <v>52</v>
      </c>
      <c r="D2938" s="23">
        <v>-3444.4</v>
      </c>
      <c r="E2938" t="s">
        <v>35</v>
      </c>
      <c r="F2938" s="2">
        <v>212901001</v>
      </c>
      <c r="G2938" s="2" t="s">
        <v>91</v>
      </c>
      <c r="I2938" s="95" t="s">
        <v>7231</v>
      </c>
      <c r="J2938" t="s">
        <v>61</v>
      </c>
      <c r="K2938" t="s">
        <v>62</v>
      </c>
      <c r="M2938">
        <v>86.66</v>
      </c>
      <c r="N2938" s="4">
        <f t="shared" si="45"/>
        <v>-39.746134318024467</v>
      </c>
      <c r="O2938" t="s">
        <v>83</v>
      </c>
      <c r="R2938">
        <v>9</v>
      </c>
      <c r="S2938" t="e">
        <f>VLOOKUP(R2938,[1]!NOMINA[#Data],4,FALSE)</f>
        <v>#REF!</v>
      </c>
      <c r="T2938" t="e">
        <f>VLOOKUP(R2938,[1]!NOMINA[#Data],5,FALSE)</f>
        <v>#REF!</v>
      </c>
    </row>
    <row r="2939" spans="1:20" x14ac:dyDescent="0.25">
      <c r="A2939" s="22">
        <v>45776</v>
      </c>
      <c r="B2939" s="1">
        <v>412072994</v>
      </c>
      <c r="C2939" t="s">
        <v>52</v>
      </c>
      <c r="D2939" s="23">
        <v>-3444.4</v>
      </c>
      <c r="E2939" t="s">
        <v>35</v>
      </c>
      <c r="F2939" s="2">
        <v>212901001</v>
      </c>
      <c r="G2939" s="2" t="s">
        <v>91</v>
      </c>
      <c r="I2939" s="95" t="s">
        <v>7231</v>
      </c>
      <c r="J2939" t="s">
        <v>61</v>
      </c>
      <c r="K2939" t="s">
        <v>62</v>
      </c>
      <c r="M2939">
        <v>86.66</v>
      </c>
      <c r="N2939" s="4">
        <f t="shared" si="45"/>
        <v>-39.746134318024467</v>
      </c>
      <c r="O2939" t="s">
        <v>83</v>
      </c>
      <c r="R2939">
        <v>26</v>
      </c>
      <c r="S2939" t="e">
        <f>VLOOKUP(Tabla3[[#This Row],[Nº]],[1]!NOMINA[#Data],4,FALSE)</f>
        <v>#REF!</v>
      </c>
      <c r="T2939" t="e">
        <f>VLOOKUP(Tabla3[[#This Row],[Nº]],[1]!NOMINA[#Data],5,FALSE)</f>
        <v>#REF!</v>
      </c>
    </row>
    <row r="2940" spans="1:20" x14ac:dyDescent="0.25">
      <c r="A2940" s="22">
        <v>45776</v>
      </c>
      <c r="B2940" s="1">
        <v>412072999</v>
      </c>
      <c r="C2940" t="s">
        <v>52</v>
      </c>
      <c r="D2940" s="23">
        <v>-861.1</v>
      </c>
      <c r="E2940" t="s">
        <v>35</v>
      </c>
      <c r="F2940" s="2">
        <v>212901001</v>
      </c>
      <c r="G2940" s="2" t="s">
        <v>91</v>
      </c>
      <c r="I2940" s="95" t="s">
        <v>7231</v>
      </c>
      <c r="J2940" t="s">
        <v>61</v>
      </c>
      <c r="K2940" t="s">
        <v>62</v>
      </c>
      <c r="M2940">
        <v>86.66</v>
      </c>
      <c r="N2940" s="4">
        <f t="shared" si="45"/>
        <v>-9.9365335795061167</v>
      </c>
      <c r="O2940" t="s">
        <v>83</v>
      </c>
      <c r="R2940">
        <v>28</v>
      </c>
      <c r="S2940" t="e">
        <f>VLOOKUP(R2940,[1]!NOMINA[#Data],4,FALSE)</f>
        <v>#REF!</v>
      </c>
      <c r="T2940" t="e">
        <f>VLOOKUP(R2940,[1]!NOMINA[#Data],5,FALSE)</f>
        <v>#REF!</v>
      </c>
    </row>
    <row r="2941" spans="1:20" x14ac:dyDescent="0.25">
      <c r="A2941" s="22">
        <v>45776</v>
      </c>
      <c r="B2941" s="1">
        <v>412072996</v>
      </c>
      <c r="C2941" t="s">
        <v>52</v>
      </c>
      <c r="D2941" s="23">
        <v>-3444.4</v>
      </c>
      <c r="E2941" t="s">
        <v>35</v>
      </c>
      <c r="F2941" s="2">
        <v>212901001</v>
      </c>
      <c r="G2941" s="2" t="s">
        <v>91</v>
      </c>
      <c r="I2941" s="95" t="s">
        <v>7231</v>
      </c>
      <c r="J2941" t="s">
        <v>61</v>
      </c>
      <c r="K2941" t="s">
        <v>62</v>
      </c>
      <c r="M2941">
        <v>86.66</v>
      </c>
      <c r="N2941" s="4">
        <f t="shared" si="45"/>
        <v>-39.746134318024467</v>
      </c>
      <c r="O2941" t="s">
        <v>83</v>
      </c>
      <c r="R2941">
        <v>29</v>
      </c>
      <c r="S2941" t="e">
        <f>VLOOKUP(R2941,[1]!NOMINA[#Data],4,FALSE)</f>
        <v>#REF!</v>
      </c>
      <c r="T2941" t="e">
        <f>VLOOKUP(R2941,[1]!NOMINA[#Data],5,FALSE)</f>
        <v>#REF!</v>
      </c>
    </row>
    <row r="2942" spans="1:20" x14ac:dyDescent="0.25">
      <c r="A2942" s="22">
        <v>45776</v>
      </c>
      <c r="B2942" s="1">
        <v>412072993</v>
      </c>
      <c r="C2942" t="s">
        <v>52</v>
      </c>
      <c r="D2942" s="23">
        <v>-4265.03</v>
      </c>
      <c r="E2942" t="s">
        <v>35</v>
      </c>
      <c r="F2942" s="2">
        <v>212901001</v>
      </c>
      <c r="G2942" s="2" t="s">
        <v>91</v>
      </c>
      <c r="I2942" s="95" t="s">
        <v>7231</v>
      </c>
      <c r="J2942" t="s">
        <v>61</v>
      </c>
      <c r="K2942" t="s">
        <v>62</v>
      </c>
      <c r="M2942">
        <v>86.66</v>
      </c>
      <c r="N2942" s="4">
        <f t="shared" si="45"/>
        <v>-49.215670436187395</v>
      </c>
      <c r="O2942" t="s">
        <v>83</v>
      </c>
      <c r="R2942">
        <v>36</v>
      </c>
      <c r="S2942" t="e">
        <f>VLOOKUP(R2942,[1]!NOMINA[#Data],4,FALSE)</f>
        <v>#REF!</v>
      </c>
      <c r="T2942" t="e">
        <f>VLOOKUP(R2942,[1]!NOMINA[#Data],5,FALSE)</f>
        <v>#REF!</v>
      </c>
    </row>
    <row r="2943" spans="1:20" x14ac:dyDescent="0.25">
      <c r="A2943" s="22">
        <v>45776</v>
      </c>
      <c r="B2943" s="1">
        <v>412073001</v>
      </c>
      <c r="C2943" t="s">
        <v>52</v>
      </c>
      <c r="D2943" s="23">
        <v>-861.1</v>
      </c>
      <c r="E2943" t="s">
        <v>35</v>
      </c>
      <c r="F2943" s="2">
        <v>212901001</v>
      </c>
      <c r="G2943" s="2" t="s">
        <v>91</v>
      </c>
      <c r="I2943" s="95" t="s">
        <v>7231</v>
      </c>
      <c r="J2943" t="s">
        <v>61</v>
      </c>
      <c r="K2943" t="s">
        <v>62</v>
      </c>
      <c r="M2943">
        <v>86.66</v>
      </c>
      <c r="N2943" s="4">
        <f t="shared" si="45"/>
        <v>-9.9365335795061167</v>
      </c>
      <c r="O2943" t="s">
        <v>83</v>
      </c>
      <c r="R2943">
        <v>39</v>
      </c>
      <c r="S2943" t="e">
        <f>VLOOKUP(R2943,[1]!NOMINA[#Data],4,FALSE)</f>
        <v>#REF!</v>
      </c>
      <c r="T2943" t="e">
        <f>VLOOKUP(R2943,[1]!NOMINA[#Data],5,FALSE)</f>
        <v>#REF!</v>
      </c>
    </row>
    <row r="2944" spans="1:20" x14ac:dyDescent="0.25">
      <c r="A2944" s="22">
        <v>45776</v>
      </c>
      <c r="B2944" s="1">
        <v>412073002</v>
      </c>
      <c r="C2944" t="s">
        <v>52</v>
      </c>
      <c r="D2944" s="23">
        <v>-861.1</v>
      </c>
      <c r="E2944" t="s">
        <v>35</v>
      </c>
      <c r="F2944" s="2">
        <v>212901001</v>
      </c>
      <c r="G2944" s="2" t="s">
        <v>91</v>
      </c>
      <c r="I2944" s="95" t="s">
        <v>7231</v>
      </c>
      <c r="J2944" t="s">
        <v>61</v>
      </c>
      <c r="K2944" t="s">
        <v>62</v>
      </c>
      <c r="M2944">
        <v>86.66</v>
      </c>
      <c r="N2944" s="4">
        <f t="shared" si="45"/>
        <v>-9.9365335795061167</v>
      </c>
      <c r="O2944" t="s">
        <v>83</v>
      </c>
      <c r="R2944">
        <v>41</v>
      </c>
      <c r="S2944" t="e">
        <f>VLOOKUP(R2944,[1]!NOMINA[#Data],4,FALSE)</f>
        <v>#REF!</v>
      </c>
      <c r="T2944" t="e">
        <f>VLOOKUP(R2944,[1]!NOMINA[#Data],5,FALSE)</f>
        <v>#REF!</v>
      </c>
    </row>
    <row r="2945" spans="1:20" x14ac:dyDescent="0.25">
      <c r="A2945" s="22">
        <v>45776</v>
      </c>
      <c r="B2945" s="1">
        <v>512073003</v>
      </c>
      <c r="C2945" t="s">
        <v>52</v>
      </c>
      <c r="D2945" s="23">
        <v>-5166.6000000000004</v>
      </c>
      <c r="E2945" t="s">
        <v>35</v>
      </c>
      <c r="F2945" s="2">
        <v>212901001</v>
      </c>
      <c r="G2945" s="2" t="s">
        <v>91</v>
      </c>
      <c r="I2945" s="95" t="s">
        <v>7231</v>
      </c>
      <c r="J2945" t="s">
        <v>61</v>
      </c>
      <c r="K2945" t="s">
        <v>62</v>
      </c>
      <c r="M2945">
        <v>86.66</v>
      </c>
      <c r="N2945" s="4">
        <f t="shared" si="45"/>
        <v>-59.619201477036704</v>
      </c>
      <c r="O2945" t="s">
        <v>83</v>
      </c>
      <c r="R2945">
        <v>36</v>
      </c>
      <c r="S2945" t="e">
        <f>VLOOKUP(R2945,[1]!NOMINA[#Data],4,FALSE)</f>
        <v>#REF!</v>
      </c>
      <c r="T2945" t="e">
        <f>VLOOKUP(R2945,[1]!NOMINA[#Data],5,FALSE)</f>
        <v>#REF!</v>
      </c>
    </row>
    <row r="2946" spans="1:20" x14ac:dyDescent="0.25">
      <c r="A2946" s="22">
        <v>45776</v>
      </c>
      <c r="B2946" s="1">
        <v>412072995</v>
      </c>
      <c r="C2946" t="s">
        <v>52</v>
      </c>
      <c r="D2946" s="23">
        <v>-3444.4</v>
      </c>
      <c r="E2946" t="s">
        <v>35</v>
      </c>
      <c r="F2946" s="2">
        <v>212901001</v>
      </c>
      <c r="G2946" s="2" t="s">
        <v>91</v>
      </c>
      <c r="I2946" s="95" t="s">
        <v>7231</v>
      </c>
      <c r="J2946" t="s">
        <v>61</v>
      </c>
      <c r="K2946" t="s">
        <v>62</v>
      </c>
      <c r="M2946">
        <v>86.66</v>
      </c>
      <c r="N2946" s="4">
        <f t="shared" si="45"/>
        <v>-39.746134318024467</v>
      </c>
      <c r="O2946" t="s">
        <v>83</v>
      </c>
      <c r="R2946">
        <v>44</v>
      </c>
      <c r="S2946" t="e">
        <f>VLOOKUP(R2946,[1]!NOMINA[#Data],4,FALSE)</f>
        <v>#REF!</v>
      </c>
      <c r="T2946" t="e">
        <f>VLOOKUP(R2946,[1]!NOMINA[#Data],5,FALSE)</f>
        <v>#REF!</v>
      </c>
    </row>
    <row r="2947" spans="1:20" x14ac:dyDescent="0.25">
      <c r="A2947" s="22">
        <v>45776</v>
      </c>
      <c r="B2947" s="1">
        <v>512073006</v>
      </c>
      <c r="C2947" t="s">
        <v>52</v>
      </c>
      <c r="D2947" s="23">
        <v>-861.1</v>
      </c>
      <c r="E2947" t="s">
        <v>35</v>
      </c>
      <c r="F2947" s="2">
        <v>212901001</v>
      </c>
      <c r="G2947" s="2" t="s">
        <v>91</v>
      </c>
      <c r="I2947" s="95" t="s">
        <v>7231</v>
      </c>
      <c r="J2947" t="s">
        <v>61</v>
      </c>
      <c r="K2947" t="s">
        <v>62</v>
      </c>
      <c r="M2947">
        <v>86.66</v>
      </c>
      <c r="N2947" s="4">
        <f t="shared" si="45"/>
        <v>-9.9365335795061167</v>
      </c>
      <c r="O2947" t="s">
        <v>83</v>
      </c>
      <c r="R2947">
        <v>17</v>
      </c>
      <c r="S2947" t="e">
        <f>VLOOKUP(R2947,[1]!NOMINA[#Data],4,FALSE)</f>
        <v>#REF!</v>
      </c>
      <c r="T2947" t="e">
        <f>VLOOKUP(R2947,[1]!NOMINA[#Data],5,FALSE)</f>
        <v>#REF!</v>
      </c>
    </row>
    <row r="2948" spans="1:20" x14ac:dyDescent="0.25">
      <c r="A2948" s="22">
        <v>45776</v>
      </c>
      <c r="B2948" s="1">
        <v>412072998</v>
      </c>
      <c r="C2948" t="s">
        <v>52</v>
      </c>
      <c r="D2948" s="23">
        <v>-25833</v>
      </c>
      <c r="E2948" t="s">
        <v>35</v>
      </c>
      <c r="F2948" s="2">
        <v>212901001</v>
      </c>
      <c r="G2948" s="2" t="s">
        <v>91</v>
      </c>
      <c r="I2948" s="95" t="s">
        <v>7231</v>
      </c>
      <c r="J2948" t="s">
        <v>61</v>
      </c>
      <c r="K2948" t="s">
        <v>62</v>
      </c>
      <c r="M2948">
        <v>86.66</v>
      </c>
      <c r="N2948" s="4">
        <f t="shared" si="45"/>
        <v>-298.0960073851835</v>
      </c>
      <c r="O2948" t="s">
        <v>83</v>
      </c>
      <c r="R2948">
        <v>2</v>
      </c>
      <c r="S2948" t="e">
        <f>VLOOKUP(Tabla3[[#This Row],[Nº]],[1]!NOMINA[#Data],4,FALSE)</f>
        <v>#REF!</v>
      </c>
      <c r="T2948" t="e">
        <f>VLOOKUP(Tabla3[[#This Row],[Nº]],[1]!NOMINA[#Data],5,FALSE)</f>
        <v>#REF!</v>
      </c>
    </row>
    <row r="2949" spans="1:20" x14ac:dyDescent="0.25">
      <c r="A2949" s="22">
        <v>45776</v>
      </c>
      <c r="B2949" s="1">
        <v>512073004</v>
      </c>
      <c r="C2949" t="s">
        <v>52</v>
      </c>
      <c r="D2949" s="23">
        <v>-861.1</v>
      </c>
      <c r="E2949" t="s">
        <v>35</v>
      </c>
      <c r="F2949" s="2">
        <v>212901001</v>
      </c>
      <c r="G2949" s="2" t="s">
        <v>91</v>
      </c>
      <c r="I2949" s="95" t="s">
        <v>7231</v>
      </c>
      <c r="J2949" t="s">
        <v>61</v>
      </c>
      <c r="K2949" t="s">
        <v>62</v>
      </c>
      <c r="M2949">
        <v>86.66</v>
      </c>
      <c r="N2949" s="4">
        <f t="shared" si="45"/>
        <v>-9.9365335795061167</v>
      </c>
      <c r="O2949" t="s">
        <v>83</v>
      </c>
      <c r="R2949">
        <v>15</v>
      </c>
      <c r="S2949" t="e">
        <f>VLOOKUP(R2949,[1]!NOMINA[#Data],4,FALSE)</f>
        <v>#REF!</v>
      </c>
      <c r="T2949" t="e">
        <f>VLOOKUP(R2949,[1]!NOMINA[#Data],5,FALSE)</f>
        <v>#REF!</v>
      </c>
    </row>
    <row r="2950" spans="1:20" x14ac:dyDescent="0.25">
      <c r="A2950" s="22">
        <v>45776</v>
      </c>
      <c r="B2950" s="1">
        <v>512073007</v>
      </c>
      <c r="C2950" t="s">
        <v>52</v>
      </c>
      <c r="D2950" s="23">
        <v>-861.1</v>
      </c>
      <c r="E2950" t="s">
        <v>35</v>
      </c>
      <c r="F2950" s="2">
        <v>212901001</v>
      </c>
      <c r="G2950" s="2" t="s">
        <v>91</v>
      </c>
      <c r="I2950" s="95" t="s">
        <v>7231</v>
      </c>
      <c r="J2950" t="s">
        <v>61</v>
      </c>
      <c r="K2950" t="s">
        <v>62</v>
      </c>
      <c r="M2950">
        <v>86.66</v>
      </c>
      <c r="N2950" s="4">
        <f t="shared" si="45"/>
        <v>-9.9365335795061167</v>
      </c>
      <c r="O2950" t="s">
        <v>83</v>
      </c>
      <c r="R2950">
        <v>15</v>
      </c>
      <c r="S2950" t="e">
        <f>VLOOKUP(R2950,[1]!NOMINA[#Data],4,FALSE)</f>
        <v>#REF!</v>
      </c>
      <c r="T2950" t="e">
        <f>VLOOKUP(R2950,[1]!NOMINA[#Data],5,FALSE)</f>
        <v>#REF!</v>
      </c>
    </row>
    <row r="2951" spans="1:20" x14ac:dyDescent="0.25">
      <c r="A2951" s="22">
        <v>45776</v>
      </c>
      <c r="B2951" s="1">
        <v>512073008</v>
      </c>
      <c r="C2951" t="s">
        <v>52</v>
      </c>
      <c r="D2951" s="23">
        <v>-861.1</v>
      </c>
      <c r="E2951" t="s">
        <v>35</v>
      </c>
      <c r="F2951" s="2">
        <v>212901001</v>
      </c>
      <c r="G2951" s="2" t="s">
        <v>91</v>
      </c>
      <c r="I2951" s="95" t="s">
        <v>7231</v>
      </c>
      <c r="J2951" t="s">
        <v>61</v>
      </c>
      <c r="K2951" t="s">
        <v>62</v>
      </c>
      <c r="M2951">
        <v>86.66</v>
      </c>
      <c r="N2951" s="4">
        <f t="shared" si="45"/>
        <v>-9.9365335795061167</v>
      </c>
      <c r="O2951" t="s">
        <v>83</v>
      </c>
      <c r="R2951">
        <v>15</v>
      </c>
      <c r="S2951" t="e">
        <f>VLOOKUP(R2951,[1]!NOMINA[#Data],4,FALSE)</f>
        <v>#REF!</v>
      </c>
      <c r="T2951" t="e">
        <f>VLOOKUP(R2951,[1]!NOMINA[#Data],5,FALSE)</f>
        <v>#REF!</v>
      </c>
    </row>
    <row r="2952" spans="1:20" x14ac:dyDescent="0.25">
      <c r="A2952" s="22">
        <v>45776</v>
      </c>
      <c r="B2952" s="1">
        <v>512073010</v>
      </c>
      <c r="C2952" t="s">
        <v>52</v>
      </c>
      <c r="D2952" s="23">
        <v>-17222</v>
      </c>
      <c r="E2952" t="s">
        <v>35</v>
      </c>
      <c r="F2952" s="2">
        <v>212901001</v>
      </c>
      <c r="G2952" s="2" t="s">
        <v>91</v>
      </c>
      <c r="I2952" s="95" t="s">
        <v>7231</v>
      </c>
      <c r="J2952" t="s">
        <v>61</v>
      </c>
      <c r="K2952" t="s">
        <v>62</v>
      </c>
      <c r="M2952">
        <v>86.66</v>
      </c>
      <c r="N2952" s="4">
        <f t="shared" si="45"/>
        <v>-198.73067159012231</v>
      </c>
      <c r="O2952" t="s">
        <v>83</v>
      </c>
      <c r="R2952">
        <v>1</v>
      </c>
      <c r="S2952" t="e">
        <f>VLOOKUP(R2952,[1]!NOMINA[#Data],4,FALSE)</f>
        <v>#REF!</v>
      </c>
      <c r="T2952" t="e">
        <f>VLOOKUP(R2952,[1]!NOMINA[#Data],5,FALSE)</f>
        <v>#REF!</v>
      </c>
    </row>
    <row r="2953" spans="1:20" x14ac:dyDescent="0.25">
      <c r="A2953" s="22">
        <v>45776</v>
      </c>
      <c r="B2953" s="1">
        <v>412073000</v>
      </c>
      <c r="C2953" t="s">
        <v>52</v>
      </c>
      <c r="D2953" s="23">
        <v>-5166.6000000000004</v>
      </c>
      <c r="E2953" t="s">
        <v>35</v>
      </c>
      <c r="F2953" s="2">
        <v>212901001</v>
      </c>
      <c r="G2953" s="2" t="s">
        <v>91</v>
      </c>
      <c r="I2953" s="95" t="s">
        <v>7231</v>
      </c>
      <c r="J2953" t="s">
        <v>61</v>
      </c>
      <c r="K2953" t="s">
        <v>62</v>
      </c>
      <c r="M2953">
        <v>86.66</v>
      </c>
      <c r="N2953" s="4">
        <f t="shared" si="45"/>
        <v>-59.619201477036704</v>
      </c>
      <c r="O2953" t="s">
        <v>83</v>
      </c>
      <c r="R2953">
        <v>19</v>
      </c>
      <c r="S2953" t="e">
        <f>VLOOKUP(R2953,[1]!NOMINA[#Data],4,FALSE)</f>
        <v>#REF!</v>
      </c>
      <c r="T2953" t="e">
        <f>VLOOKUP(R2953,[1]!NOMINA[#Data],5,FALSE)</f>
        <v>#REF!</v>
      </c>
    </row>
    <row r="2954" spans="1:20" x14ac:dyDescent="0.25">
      <c r="A2954" s="22">
        <v>45776</v>
      </c>
      <c r="B2954" s="1">
        <v>512073012</v>
      </c>
      <c r="C2954" t="s">
        <v>52</v>
      </c>
      <c r="D2954" s="23">
        <v>-861.1</v>
      </c>
      <c r="E2954" t="s">
        <v>35</v>
      </c>
      <c r="F2954" s="2">
        <v>212901001</v>
      </c>
      <c r="G2954" s="2" t="s">
        <v>91</v>
      </c>
      <c r="I2954" s="95" t="s">
        <v>7231</v>
      </c>
      <c r="J2954" t="s">
        <v>61</v>
      </c>
      <c r="K2954" t="s">
        <v>62</v>
      </c>
      <c r="M2954">
        <v>86.66</v>
      </c>
      <c r="N2954" s="4">
        <f t="shared" si="45"/>
        <v>-9.9365335795061167</v>
      </c>
      <c r="O2954" t="s">
        <v>83</v>
      </c>
      <c r="R2954">
        <v>15</v>
      </c>
      <c r="S2954" t="e">
        <f>VLOOKUP(R2954,[1]!NOMINA[#Data],4,FALSE)</f>
        <v>#REF!</v>
      </c>
      <c r="T2954" t="e">
        <f>VLOOKUP(R2954,[1]!NOMINA[#Data],5,FALSE)</f>
        <v>#REF!</v>
      </c>
    </row>
    <row r="2955" spans="1:20" x14ac:dyDescent="0.25">
      <c r="A2955" s="22">
        <v>45776</v>
      </c>
      <c r="B2955" s="1">
        <v>512073011</v>
      </c>
      <c r="C2955" t="s">
        <v>52</v>
      </c>
      <c r="D2955" s="23">
        <v>-5166.6000000000004</v>
      </c>
      <c r="E2955" t="s">
        <v>35</v>
      </c>
      <c r="F2955" s="2">
        <v>212901001</v>
      </c>
      <c r="G2955" s="2" t="s">
        <v>91</v>
      </c>
      <c r="I2955" s="95" t="s">
        <v>7231</v>
      </c>
      <c r="J2955" t="s">
        <v>61</v>
      </c>
      <c r="K2955" t="s">
        <v>62</v>
      </c>
      <c r="M2955">
        <v>86.66</v>
      </c>
      <c r="N2955" s="4">
        <f t="shared" si="45"/>
        <v>-59.619201477036704</v>
      </c>
      <c r="O2955" t="s">
        <v>83</v>
      </c>
      <c r="R2955">
        <v>15</v>
      </c>
      <c r="S2955" t="e">
        <f>VLOOKUP(R2955,[1]!NOMINA[#Data],4,FALSE)</f>
        <v>#REF!</v>
      </c>
      <c r="T2955" t="e">
        <f>VLOOKUP(R2955,[1]!NOMINA[#Data],5,FALSE)</f>
        <v>#REF!</v>
      </c>
    </row>
    <row r="2956" spans="1:20" x14ac:dyDescent="0.25">
      <c r="A2956" s="22">
        <v>45776</v>
      </c>
      <c r="B2956" s="1">
        <v>612073022</v>
      </c>
      <c r="C2956" t="s">
        <v>52</v>
      </c>
      <c r="D2956" s="23">
        <v>-861.1</v>
      </c>
      <c r="E2956" t="s">
        <v>35</v>
      </c>
      <c r="F2956" s="2">
        <v>212901001</v>
      </c>
      <c r="G2956" s="2" t="s">
        <v>91</v>
      </c>
      <c r="I2956" s="95" t="s">
        <v>7231</v>
      </c>
      <c r="J2956" t="s">
        <v>61</v>
      </c>
      <c r="K2956" t="s">
        <v>62</v>
      </c>
      <c r="M2956">
        <v>86.66</v>
      </c>
      <c r="N2956" s="4">
        <f t="shared" ref="N2956:N3019" si="46">D2956/M2956</f>
        <v>-9.9365335795061167</v>
      </c>
      <c r="O2956" t="s">
        <v>83</v>
      </c>
      <c r="R2956">
        <v>15</v>
      </c>
      <c r="S2956" t="e">
        <f>VLOOKUP(R2956,[1]!NOMINA[#Data],4,FALSE)</f>
        <v>#REF!</v>
      </c>
      <c r="T2956" t="e">
        <f>VLOOKUP(R2956,[1]!NOMINA[#Data],5,FALSE)</f>
        <v>#REF!</v>
      </c>
    </row>
    <row r="2957" spans="1:20" x14ac:dyDescent="0.25">
      <c r="A2957" s="22">
        <v>45776</v>
      </c>
      <c r="B2957" s="1">
        <v>612073019</v>
      </c>
      <c r="C2957" t="s">
        <v>52</v>
      </c>
      <c r="D2957" s="23">
        <v>-861.1</v>
      </c>
      <c r="E2957" t="s">
        <v>35</v>
      </c>
      <c r="F2957" s="2">
        <v>212901001</v>
      </c>
      <c r="G2957" s="2" t="s">
        <v>91</v>
      </c>
      <c r="I2957" s="95" t="s">
        <v>7231</v>
      </c>
      <c r="J2957" t="s">
        <v>61</v>
      </c>
      <c r="K2957" t="s">
        <v>62</v>
      </c>
      <c r="M2957">
        <v>86.66</v>
      </c>
      <c r="N2957" s="4">
        <f t="shared" si="46"/>
        <v>-9.9365335795061167</v>
      </c>
      <c r="O2957" t="s">
        <v>83</v>
      </c>
      <c r="R2957">
        <v>15</v>
      </c>
      <c r="S2957" t="e">
        <f>VLOOKUP(R2957,[1]!NOMINA[#Data],4,FALSE)</f>
        <v>#REF!</v>
      </c>
      <c r="T2957" t="e">
        <f>VLOOKUP(R2957,[1]!NOMINA[#Data],5,FALSE)</f>
        <v>#REF!</v>
      </c>
    </row>
    <row r="2958" spans="1:20" x14ac:dyDescent="0.25">
      <c r="A2958" s="22">
        <v>45776</v>
      </c>
      <c r="B2958" s="1">
        <v>612073024</v>
      </c>
      <c r="C2958" t="s">
        <v>52</v>
      </c>
      <c r="D2958" s="23">
        <v>-861.1</v>
      </c>
      <c r="E2958" t="s">
        <v>35</v>
      </c>
      <c r="F2958" s="2">
        <v>212901001</v>
      </c>
      <c r="G2958" s="2" t="s">
        <v>91</v>
      </c>
      <c r="I2958" s="95" t="s">
        <v>7231</v>
      </c>
      <c r="J2958" t="s">
        <v>61</v>
      </c>
      <c r="K2958" t="s">
        <v>62</v>
      </c>
      <c r="M2958">
        <v>86.66</v>
      </c>
      <c r="N2958" s="4">
        <f t="shared" si="46"/>
        <v>-9.9365335795061167</v>
      </c>
      <c r="O2958" t="s">
        <v>83</v>
      </c>
      <c r="R2958">
        <v>15</v>
      </c>
      <c r="S2958" t="e">
        <f>VLOOKUP(R2958,[1]!NOMINA[#Data],4,FALSE)</f>
        <v>#REF!</v>
      </c>
      <c r="T2958" t="e">
        <f>VLOOKUP(R2958,[1]!NOMINA[#Data],5,FALSE)</f>
        <v>#REF!</v>
      </c>
    </row>
    <row r="2959" spans="1:20" x14ac:dyDescent="0.25">
      <c r="A2959" s="22">
        <v>45776</v>
      </c>
      <c r="B2959" s="1">
        <v>612073016</v>
      </c>
      <c r="C2959" t="s">
        <v>52</v>
      </c>
      <c r="D2959" s="23">
        <v>-861.1</v>
      </c>
      <c r="E2959" t="s">
        <v>35</v>
      </c>
      <c r="F2959" s="2">
        <v>212901001</v>
      </c>
      <c r="G2959" s="2" t="s">
        <v>91</v>
      </c>
      <c r="I2959" s="95" t="s">
        <v>7231</v>
      </c>
      <c r="J2959" t="s">
        <v>61</v>
      </c>
      <c r="K2959" t="s">
        <v>62</v>
      </c>
      <c r="M2959">
        <v>86.66</v>
      </c>
      <c r="N2959" s="4">
        <f t="shared" si="46"/>
        <v>-9.9365335795061167</v>
      </c>
      <c r="O2959" t="s">
        <v>83</v>
      </c>
      <c r="R2959">
        <v>15</v>
      </c>
      <c r="S2959" t="e">
        <f>VLOOKUP(R2959,[1]!NOMINA[#Data],4,FALSE)</f>
        <v>#REF!</v>
      </c>
      <c r="T2959" t="e">
        <f>VLOOKUP(R2959,[1]!NOMINA[#Data],5,FALSE)</f>
        <v>#REF!</v>
      </c>
    </row>
    <row r="2960" spans="1:20" x14ac:dyDescent="0.25">
      <c r="A2960" s="22">
        <v>45776</v>
      </c>
      <c r="B2960" s="1">
        <v>612073017</v>
      </c>
      <c r="C2960" t="s">
        <v>52</v>
      </c>
      <c r="D2960" s="23">
        <v>-5166.6000000000004</v>
      </c>
      <c r="E2960" t="s">
        <v>35</v>
      </c>
      <c r="F2960" s="2">
        <v>212901001</v>
      </c>
      <c r="G2960" s="2" t="s">
        <v>91</v>
      </c>
      <c r="I2960" s="95" t="s">
        <v>7231</v>
      </c>
      <c r="J2960" t="s">
        <v>61</v>
      </c>
      <c r="K2960" t="s">
        <v>62</v>
      </c>
      <c r="M2960">
        <v>86.66</v>
      </c>
      <c r="N2960" s="4">
        <f t="shared" si="46"/>
        <v>-59.619201477036704</v>
      </c>
      <c r="O2960" t="s">
        <v>83</v>
      </c>
      <c r="R2960">
        <v>15</v>
      </c>
      <c r="S2960" t="e">
        <f>VLOOKUP(R2960,[1]!NOMINA[#Data],4,FALSE)</f>
        <v>#REF!</v>
      </c>
      <c r="T2960" t="e">
        <f>VLOOKUP(R2960,[1]!NOMINA[#Data],5,FALSE)</f>
        <v>#REF!</v>
      </c>
    </row>
    <row r="2961" spans="1:20" x14ac:dyDescent="0.25">
      <c r="A2961" s="22">
        <v>45776</v>
      </c>
      <c r="B2961" s="1">
        <v>612073015</v>
      </c>
      <c r="C2961" t="s">
        <v>52</v>
      </c>
      <c r="D2961" s="23">
        <v>-861.1</v>
      </c>
      <c r="E2961" t="s">
        <v>35</v>
      </c>
      <c r="F2961" s="2">
        <v>212901001</v>
      </c>
      <c r="G2961" s="2" t="s">
        <v>91</v>
      </c>
      <c r="I2961" s="95" t="s">
        <v>7231</v>
      </c>
      <c r="J2961" t="s">
        <v>61</v>
      </c>
      <c r="K2961" t="s">
        <v>62</v>
      </c>
      <c r="M2961">
        <v>86.66</v>
      </c>
      <c r="N2961" s="4">
        <f t="shared" si="46"/>
        <v>-9.9365335795061167</v>
      </c>
      <c r="O2961" t="s">
        <v>83</v>
      </c>
      <c r="R2961">
        <v>15</v>
      </c>
      <c r="S2961" t="e">
        <f>VLOOKUP(R2961,[1]!NOMINA[#Data],4,FALSE)</f>
        <v>#REF!</v>
      </c>
      <c r="T2961" t="e">
        <f>VLOOKUP(R2961,[1]!NOMINA[#Data],5,FALSE)</f>
        <v>#REF!</v>
      </c>
    </row>
    <row r="2962" spans="1:20" x14ac:dyDescent="0.25">
      <c r="A2962" s="22">
        <v>45776</v>
      </c>
      <c r="B2962" s="1">
        <v>512073013</v>
      </c>
      <c r="C2962" t="s">
        <v>52</v>
      </c>
      <c r="D2962" s="23">
        <v>-861.1</v>
      </c>
      <c r="E2962" t="s">
        <v>35</v>
      </c>
      <c r="F2962" s="2">
        <v>212901001</v>
      </c>
      <c r="G2962" s="2" t="s">
        <v>91</v>
      </c>
      <c r="I2962" s="95" t="s">
        <v>7231</v>
      </c>
      <c r="J2962" t="s">
        <v>61</v>
      </c>
      <c r="K2962" t="s">
        <v>62</v>
      </c>
      <c r="M2962">
        <v>86.66</v>
      </c>
      <c r="N2962" s="4">
        <f t="shared" si="46"/>
        <v>-9.9365335795061167</v>
      </c>
      <c r="O2962" t="s">
        <v>83</v>
      </c>
      <c r="R2962">
        <v>15</v>
      </c>
      <c r="S2962" t="e">
        <f>VLOOKUP(R2962,[1]!NOMINA[#Data],4,FALSE)</f>
        <v>#REF!</v>
      </c>
      <c r="T2962" t="e">
        <f>VLOOKUP(R2962,[1]!NOMINA[#Data],5,FALSE)</f>
        <v>#REF!</v>
      </c>
    </row>
    <row r="2963" spans="1:20" x14ac:dyDescent="0.25">
      <c r="A2963" s="22">
        <v>45776</v>
      </c>
      <c r="B2963" s="1">
        <v>612073020</v>
      </c>
      <c r="C2963" t="s">
        <v>52</v>
      </c>
      <c r="D2963" s="23">
        <v>-861.1</v>
      </c>
      <c r="E2963" t="s">
        <v>35</v>
      </c>
      <c r="F2963" s="2">
        <v>212901001</v>
      </c>
      <c r="G2963" s="2" t="s">
        <v>91</v>
      </c>
      <c r="I2963" s="95" t="s">
        <v>7231</v>
      </c>
      <c r="J2963" t="s">
        <v>61</v>
      </c>
      <c r="K2963" t="s">
        <v>62</v>
      </c>
      <c r="M2963">
        <v>86.66</v>
      </c>
      <c r="N2963" s="4">
        <f t="shared" si="46"/>
        <v>-9.9365335795061167</v>
      </c>
      <c r="O2963" t="s">
        <v>83</v>
      </c>
      <c r="R2963">
        <v>29</v>
      </c>
      <c r="S2963" t="e">
        <f>VLOOKUP(R2963,[1]!NOMINA[#Data],4,FALSE)</f>
        <v>#REF!</v>
      </c>
      <c r="T2963" t="e">
        <f>VLOOKUP(R2963,[1]!NOMINA[#Data],5,FALSE)</f>
        <v>#REF!</v>
      </c>
    </row>
    <row r="2964" spans="1:20" x14ac:dyDescent="0.25">
      <c r="A2964" s="22">
        <v>45776</v>
      </c>
      <c r="B2964" s="1">
        <v>612073023</v>
      </c>
      <c r="C2964" t="s">
        <v>52</v>
      </c>
      <c r="D2964" s="23">
        <v>-861.1</v>
      </c>
      <c r="E2964" t="s">
        <v>35</v>
      </c>
      <c r="F2964" s="2">
        <v>212901001</v>
      </c>
      <c r="G2964" s="2" t="s">
        <v>91</v>
      </c>
      <c r="I2964" s="95" t="s">
        <v>7231</v>
      </c>
      <c r="J2964" t="s">
        <v>61</v>
      </c>
      <c r="K2964" t="s">
        <v>62</v>
      </c>
      <c r="M2964">
        <v>86.66</v>
      </c>
      <c r="N2964" s="4">
        <f t="shared" si="46"/>
        <v>-9.9365335795061167</v>
      </c>
      <c r="O2964" t="s">
        <v>83</v>
      </c>
      <c r="R2964">
        <v>10</v>
      </c>
      <c r="S2964" t="e">
        <f>VLOOKUP(Tabla3[[#This Row],[Nº]],[1]!NOMINA[#Data],4,FALSE)</f>
        <v>#REF!</v>
      </c>
      <c r="T2964" t="e">
        <f>VLOOKUP(Tabla3[[#This Row],[Nº]],[1]!NOMINA[#Data],5,FALSE)</f>
        <v>#REF!</v>
      </c>
    </row>
    <row r="2965" spans="1:20" x14ac:dyDescent="0.25">
      <c r="A2965" s="22">
        <v>45776</v>
      </c>
      <c r="B2965" s="1">
        <v>712073027</v>
      </c>
      <c r="C2965" t="s">
        <v>52</v>
      </c>
      <c r="D2965" s="23">
        <v>-61.65</v>
      </c>
      <c r="E2965" t="s">
        <v>35</v>
      </c>
      <c r="F2965" s="2">
        <v>212901001</v>
      </c>
      <c r="G2965" s="2" t="s">
        <v>91</v>
      </c>
      <c r="I2965" s="95" t="s">
        <v>7231</v>
      </c>
      <c r="J2965" t="s">
        <v>61</v>
      </c>
      <c r="K2965" t="s">
        <v>62</v>
      </c>
      <c r="M2965">
        <v>86.66</v>
      </c>
      <c r="N2965" s="4">
        <f t="shared" si="46"/>
        <v>-0.71140087699053778</v>
      </c>
      <c r="O2965" t="s">
        <v>83</v>
      </c>
      <c r="R2965">
        <v>9</v>
      </c>
      <c r="S2965" t="e">
        <f>VLOOKUP(Tabla3[[#This Row],[Nº]],[1]!NOMINA[#Data],4,FALSE)</f>
        <v>#REF!</v>
      </c>
      <c r="T2965" t="e">
        <f>VLOOKUP(Tabla3[[#This Row],[Nº]],[1]!NOMINA[#Data],5,FALSE)</f>
        <v>#REF!</v>
      </c>
    </row>
    <row r="2966" spans="1:20" x14ac:dyDescent="0.25">
      <c r="A2966" s="22">
        <v>45776</v>
      </c>
      <c r="B2966" s="1">
        <v>712073032</v>
      </c>
      <c r="C2966" t="s">
        <v>52</v>
      </c>
      <c r="D2966" s="23">
        <v>-61.65</v>
      </c>
      <c r="E2966" t="s">
        <v>35</v>
      </c>
      <c r="F2966" s="2">
        <v>212901001</v>
      </c>
      <c r="G2966" s="2" t="s">
        <v>91</v>
      </c>
      <c r="I2966" s="95" t="s">
        <v>7231</v>
      </c>
      <c r="J2966" t="s">
        <v>61</v>
      </c>
      <c r="K2966" t="s">
        <v>62</v>
      </c>
      <c r="M2966">
        <v>86.66</v>
      </c>
      <c r="N2966" s="4">
        <f t="shared" si="46"/>
        <v>-0.71140087699053778</v>
      </c>
      <c r="O2966" t="s">
        <v>83</v>
      </c>
      <c r="R2966">
        <v>26</v>
      </c>
      <c r="S2966" t="e">
        <f>VLOOKUP(Tabla3[[#This Row],[Nº]],[1]!NOMINA[#Data],4,FALSE)</f>
        <v>#REF!</v>
      </c>
      <c r="T2966" t="e">
        <f>VLOOKUP(Tabla3[[#This Row],[Nº]],[1]!NOMINA[#Data],5,FALSE)</f>
        <v>#REF!</v>
      </c>
    </row>
    <row r="2967" spans="1:20" x14ac:dyDescent="0.25">
      <c r="A2967" s="22">
        <v>45776</v>
      </c>
      <c r="B2967" s="1">
        <v>612073025</v>
      </c>
      <c r="C2967" t="s">
        <v>52</v>
      </c>
      <c r="D2967" s="23">
        <v>-861.1</v>
      </c>
      <c r="E2967" t="s">
        <v>35</v>
      </c>
      <c r="F2967" s="2">
        <v>212901001</v>
      </c>
      <c r="G2967" s="2" t="s">
        <v>91</v>
      </c>
      <c r="I2967" s="95" t="s">
        <v>7231</v>
      </c>
      <c r="J2967" t="s">
        <v>61</v>
      </c>
      <c r="K2967" t="s">
        <v>62</v>
      </c>
      <c r="M2967">
        <v>86.66</v>
      </c>
      <c r="N2967" s="4">
        <f t="shared" si="46"/>
        <v>-9.9365335795061167</v>
      </c>
      <c r="O2967" t="s">
        <v>83</v>
      </c>
      <c r="R2967">
        <v>38</v>
      </c>
      <c r="S2967" t="e">
        <f>VLOOKUP(R2967,[1]!NOMINA[#Data],4,FALSE)</f>
        <v>#REF!</v>
      </c>
      <c r="T2967" t="e">
        <f>VLOOKUP(R2967,[1]!NOMINA[#Data],5,FALSE)</f>
        <v>#REF!</v>
      </c>
    </row>
    <row r="2968" spans="1:20" x14ac:dyDescent="0.25">
      <c r="A2968" s="22">
        <v>45776</v>
      </c>
      <c r="B2968" s="1">
        <v>612073018</v>
      </c>
      <c r="C2968" t="s">
        <v>52</v>
      </c>
      <c r="D2968" s="23">
        <v>-861.1</v>
      </c>
      <c r="E2968" t="s">
        <v>35</v>
      </c>
      <c r="F2968" s="2">
        <v>212901001</v>
      </c>
      <c r="G2968" s="2" t="s">
        <v>91</v>
      </c>
      <c r="I2968" s="95" t="s">
        <v>7231</v>
      </c>
      <c r="J2968" t="s">
        <v>61</v>
      </c>
      <c r="K2968" t="s">
        <v>62</v>
      </c>
      <c r="M2968">
        <v>86.66</v>
      </c>
      <c r="N2968" s="4">
        <f t="shared" si="46"/>
        <v>-9.9365335795061167</v>
      </c>
      <c r="O2968" t="s">
        <v>83</v>
      </c>
      <c r="R2968">
        <v>9</v>
      </c>
      <c r="S2968" t="e">
        <f>VLOOKUP(Tabla3[[#This Row],[Nº]],[1]!NOMINA[#Data],4,FALSE)</f>
        <v>#REF!</v>
      </c>
      <c r="T2968" t="e">
        <f>VLOOKUP(Tabla3[[#This Row],[Nº]],[1]!NOMINA[#Data],5,FALSE)</f>
        <v>#REF!</v>
      </c>
    </row>
    <row r="2969" spans="1:20" x14ac:dyDescent="0.25">
      <c r="A2969" s="22">
        <v>45776</v>
      </c>
      <c r="B2969" s="1">
        <v>712073030</v>
      </c>
      <c r="C2969" t="s">
        <v>52</v>
      </c>
      <c r="D2969" s="23">
        <v>-61.65</v>
      </c>
      <c r="E2969" t="s">
        <v>35</v>
      </c>
      <c r="F2969" s="2">
        <v>212901001</v>
      </c>
      <c r="G2969" s="2" t="s">
        <v>91</v>
      </c>
      <c r="I2969" s="95" t="s">
        <v>7231</v>
      </c>
      <c r="J2969" t="s">
        <v>61</v>
      </c>
      <c r="K2969" t="s">
        <v>62</v>
      </c>
      <c r="M2969">
        <v>86.66</v>
      </c>
      <c r="N2969" s="4">
        <f t="shared" si="46"/>
        <v>-0.71140087699053778</v>
      </c>
      <c r="O2969" t="s">
        <v>83</v>
      </c>
      <c r="R2969">
        <v>29</v>
      </c>
      <c r="S2969" t="e">
        <f>VLOOKUP(R2969,[1]!NOMINA[#Data],4,FALSE)</f>
        <v>#REF!</v>
      </c>
      <c r="T2969" t="e">
        <f>VLOOKUP(R2969,[1]!NOMINA[#Data],5,FALSE)</f>
        <v>#REF!</v>
      </c>
    </row>
    <row r="2970" spans="1:20" x14ac:dyDescent="0.25">
      <c r="A2970" s="22">
        <v>45776</v>
      </c>
      <c r="B2970" s="1">
        <v>712073026</v>
      </c>
      <c r="C2970" t="s">
        <v>52</v>
      </c>
      <c r="D2970" s="23">
        <v>-861.1</v>
      </c>
      <c r="E2970" t="s">
        <v>35</v>
      </c>
      <c r="F2970" s="2">
        <v>212901001</v>
      </c>
      <c r="G2970" s="2" t="s">
        <v>91</v>
      </c>
      <c r="I2970" s="95" t="s">
        <v>7231</v>
      </c>
      <c r="J2970" t="s">
        <v>61</v>
      </c>
      <c r="K2970" t="s">
        <v>62</v>
      </c>
      <c r="M2970">
        <v>86.66</v>
      </c>
      <c r="N2970" s="4">
        <f t="shared" si="46"/>
        <v>-9.9365335795061167</v>
      </c>
      <c r="O2970" t="s">
        <v>83</v>
      </c>
      <c r="R2970">
        <v>44</v>
      </c>
      <c r="S2970" t="e">
        <f>VLOOKUP(R2970,[1]!NOMINA[#Data],4,FALSE)</f>
        <v>#REF!</v>
      </c>
      <c r="T2970" t="e">
        <f>VLOOKUP(R2970,[1]!NOMINA[#Data],5,FALSE)</f>
        <v>#REF!</v>
      </c>
    </row>
    <row r="2971" spans="1:20" x14ac:dyDescent="0.25">
      <c r="A2971" s="22">
        <v>45776</v>
      </c>
      <c r="B2971" s="1">
        <v>712073029</v>
      </c>
      <c r="C2971" t="s">
        <v>52</v>
      </c>
      <c r="D2971" s="23">
        <v>-61.65</v>
      </c>
      <c r="E2971" t="s">
        <v>35</v>
      </c>
      <c r="F2971" s="2">
        <v>212901001</v>
      </c>
      <c r="G2971" s="2" t="s">
        <v>91</v>
      </c>
      <c r="I2971" s="95" t="s">
        <v>7231</v>
      </c>
      <c r="J2971" t="s">
        <v>61</v>
      </c>
      <c r="K2971" t="s">
        <v>62</v>
      </c>
      <c r="M2971">
        <v>86.66</v>
      </c>
      <c r="N2971" s="4">
        <f t="shared" si="46"/>
        <v>-0.71140087699053778</v>
      </c>
      <c r="O2971" t="s">
        <v>83</v>
      </c>
      <c r="R2971">
        <v>44</v>
      </c>
      <c r="S2971" t="e">
        <f>VLOOKUP(R2971,[1]!NOMINA[#Data],4,FALSE)</f>
        <v>#REF!</v>
      </c>
      <c r="T2971" t="e">
        <f>VLOOKUP(R2971,[1]!NOMINA[#Data],5,FALSE)</f>
        <v>#REF!</v>
      </c>
    </row>
    <row r="2972" spans="1:20" x14ac:dyDescent="0.25">
      <c r="A2972" s="22">
        <v>45776</v>
      </c>
      <c r="B2972" s="1">
        <v>712073033</v>
      </c>
      <c r="C2972" t="s">
        <v>52</v>
      </c>
      <c r="D2972" s="23">
        <v>-61.65</v>
      </c>
      <c r="E2972" t="s">
        <v>35</v>
      </c>
      <c r="F2972" s="2">
        <v>212901001</v>
      </c>
      <c r="G2972" s="2" t="s">
        <v>91</v>
      </c>
      <c r="I2972" s="95" t="s">
        <v>7231</v>
      </c>
      <c r="J2972" t="s">
        <v>61</v>
      </c>
      <c r="K2972" t="s">
        <v>62</v>
      </c>
      <c r="M2972">
        <v>86.66</v>
      </c>
      <c r="N2972" s="4">
        <f t="shared" si="46"/>
        <v>-0.71140087699053778</v>
      </c>
      <c r="O2972" t="s">
        <v>83</v>
      </c>
      <c r="R2972">
        <v>15</v>
      </c>
      <c r="S2972" t="e">
        <f>VLOOKUP(R2972,[1]!NOMINA[#Data],4,FALSE)</f>
        <v>#REF!</v>
      </c>
      <c r="T2972" t="e">
        <f>VLOOKUP(R2972,[1]!NOMINA[#Data],5,FALSE)</f>
        <v>#REF!</v>
      </c>
    </row>
    <row r="2973" spans="1:20" x14ac:dyDescent="0.25">
      <c r="A2973" s="22">
        <v>45776</v>
      </c>
      <c r="B2973" s="1">
        <v>812073037</v>
      </c>
      <c r="C2973" t="s">
        <v>52</v>
      </c>
      <c r="D2973" s="23">
        <v>-61.65</v>
      </c>
      <c r="E2973" t="s">
        <v>35</v>
      </c>
      <c r="F2973" s="2">
        <v>212901001</v>
      </c>
      <c r="G2973" s="2" t="s">
        <v>91</v>
      </c>
      <c r="I2973" s="95" t="s">
        <v>7231</v>
      </c>
      <c r="J2973" t="s">
        <v>61</v>
      </c>
      <c r="K2973" t="s">
        <v>62</v>
      </c>
      <c r="M2973">
        <v>86.66</v>
      </c>
      <c r="N2973" s="4">
        <f t="shared" si="46"/>
        <v>-0.71140087699053778</v>
      </c>
      <c r="O2973" t="s">
        <v>83</v>
      </c>
      <c r="R2973">
        <v>15</v>
      </c>
      <c r="S2973" t="e">
        <f>VLOOKUP(R2973,[1]!NOMINA[#Data],4,FALSE)</f>
        <v>#REF!</v>
      </c>
      <c r="T2973" t="e">
        <f>VLOOKUP(R2973,[1]!NOMINA[#Data],5,FALSE)</f>
        <v>#REF!</v>
      </c>
    </row>
    <row r="2974" spans="1:20" x14ac:dyDescent="0.25">
      <c r="A2974" s="22">
        <v>45776</v>
      </c>
      <c r="B2974" s="1">
        <v>712073028</v>
      </c>
      <c r="C2974" t="s">
        <v>52</v>
      </c>
      <c r="D2974" s="23">
        <v>-61.65</v>
      </c>
      <c r="E2974" t="s">
        <v>35</v>
      </c>
      <c r="F2974" s="2">
        <v>212901001</v>
      </c>
      <c r="G2974" s="2" t="s">
        <v>91</v>
      </c>
      <c r="I2974" s="95" t="s">
        <v>7231</v>
      </c>
      <c r="J2974" t="s">
        <v>61</v>
      </c>
      <c r="K2974" t="s">
        <v>62</v>
      </c>
      <c r="M2974">
        <v>86.66</v>
      </c>
      <c r="N2974" s="4">
        <f t="shared" si="46"/>
        <v>-0.71140087699053778</v>
      </c>
      <c r="O2974" t="s">
        <v>83</v>
      </c>
      <c r="R2974">
        <v>38</v>
      </c>
      <c r="S2974" t="e">
        <f>VLOOKUP(R2974,[1]!NOMINA[#Data],4,FALSE)</f>
        <v>#REF!</v>
      </c>
      <c r="T2974" t="e">
        <f>VLOOKUP(R2974,[1]!NOMINA[#Data],5,FALSE)</f>
        <v>#REF!</v>
      </c>
    </row>
    <row r="2975" spans="1:20" x14ac:dyDescent="0.25">
      <c r="A2975" s="22">
        <v>45776</v>
      </c>
      <c r="B2975" s="1">
        <v>712073035</v>
      </c>
      <c r="C2975" t="s">
        <v>52</v>
      </c>
      <c r="D2975" s="23">
        <v>-61.65</v>
      </c>
      <c r="E2975" t="s">
        <v>35</v>
      </c>
      <c r="F2975" s="2">
        <v>212901001</v>
      </c>
      <c r="G2975" s="2" t="s">
        <v>91</v>
      </c>
      <c r="I2975" s="95" t="s">
        <v>7231</v>
      </c>
      <c r="J2975" t="s">
        <v>61</v>
      </c>
      <c r="K2975" t="s">
        <v>62</v>
      </c>
      <c r="M2975">
        <v>86.66</v>
      </c>
      <c r="N2975" s="4">
        <f t="shared" si="46"/>
        <v>-0.71140087699053778</v>
      </c>
      <c r="O2975" t="s">
        <v>83</v>
      </c>
      <c r="R2975">
        <v>15</v>
      </c>
      <c r="S2975" t="e">
        <f>VLOOKUP(R2975,[1]!NOMINA[#Data],4,FALSE)</f>
        <v>#REF!</v>
      </c>
      <c r="T2975" t="e">
        <f>VLOOKUP(R2975,[1]!NOMINA[#Data],5,FALSE)</f>
        <v>#REF!</v>
      </c>
    </row>
    <row r="2976" spans="1:20" x14ac:dyDescent="0.25">
      <c r="A2976" s="22">
        <v>45776</v>
      </c>
      <c r="B2976" s="1">
        <v>812073039</v>
      </c>
      <c r="C2976" t="s">
        <v>52</v>
      </c>
      <c r="D2976" s="23">
        <v>-61.65</v>
      </c>
      <c r="E2976" t="s">
        <v>35</v>
      </c>
      <c r="F2976" s="2">
        <v>212901001</v>
      </c>
      <c r="G2976" s="2" t="s">
        <v>91</v>
      </c>
      <c r="I2976" s="95" t="s">
        <v>7231</v>
      </c>
      <c r="J2976" t="s">
        <v>61</v>
      </c>
      <c r="K2976" t="s">
        <v>62</v>
      </c>
      <c r="M2976">
        <v>86.66</v>
      </c>
      <c r="N2976" s="4">
        <f t="shared" si="46"/>
        <v>-0.71140087699053778</v>
      </c>
      <c r="O2976" t="s">
        <v>83</v>
      </c>
      <c r="R2976">
        <v>20</v>
      </c>
      <c r="S2976" t="e">
        <f>VLOOKUP(Tabla3[[#This Row],[Nº]],[1]!NOMINA[#Data],4,FALSE)</f>
        <v>#REF!</v>
      </c>
      <c r="T2976" t="e">
        <f>VLOOKUP(Tabla3[[#This Row],[Nº]],[1]!NOMINA[#Data],5,FALSE)</f>
        <v>#REF!</v>
      </c>
    </row>
    <row r="2977" spans="1:20" x14ac:dyDescent="0.25">
      <c r="A2977" s="22">
        <v>45776</v>
      </c>
      <c r="B2977" s="1">
        <v>712073034</v>
      </c>
      <c r="C2977" t="s">
        <v>52</v>
      </c>
      <c r="D2977" s="23">
        <v>-61.65</v>
      </c>
      <c r="E2977" t="s">
        <v>35</v>
      </c>
      <c r="F2977" s="2">
        <v>212901001</v>
      </c>
      <c r="G2977" s="2" t="s">
        <v>91</v>
      </c>
      <c r="I2977" s="95" t="s">
        <v>7231</v>
      </c>
      <c r="J2977" t="s">
        <v>61</v>
      </c>
      <c r="K2977" t="s">
        <v>62</v>
      </c>
      <c r="M2977">
        <v>86.66</v>
      </c>
      <c r="N2977" s="4">
        <f t="shared" si="46"/>
        <v>-0.71140087699053778</v>
      </c>
      <c r="O2977" t="s">
        <v>83</v>
      </c>
      <c r="R2977">
        <v>41</v>
      </c>
      <c r="S2977" t="e">
        <f>VLOOKUP(R2977,[1]!NOMINA[#Data],4,FALSE)</f>
        <v>#REF!</v>
      </c>
      <c r="T2977" t="e">
        <f>VLOOKUP(R2977,[1]!NOMINA[#Data],5,FALSE)</f>
        <v>#REF!</v>
      </c>
    </row>
    <row r="2978" spans="1:20" x14ac:dyDescent="0.25">
      <c r="A2978" s="22">
        <v>45776</v>
      </c>
      <c r="B2978" s="1">
        <v>812073038</v>
      </c>
      <c r="C2978" t="s">
        <v>52</v>
      </c>
      <c r="D2978" s="23">
        <v>-61.65</v>
      </c>
      <c r="E2978" t="s">
        <v>35</v>
      </c>
      <c r="F2978" s="2">
        <v>212901001</v>
      </c>
      <c r="G2978" s="2" t="s">
        <v>91</v>
      </c>
      <c r="I2978" s="95" t="s">
        <v>7231</v>
      </c>
      <c r="J2978" t="s">
        <v>61</v>
      </c>
      <c r="K2978" t="s">
        <v>62</v>
      </c>
      <c r="M2978">
        <v>86.66</v>
      </c>
      <c r="N2978" s="4">
        <f t="shared" si="46"/>
        <v>-0.71140087699053778</v>
      </c>
      <c r="O2978" t="s">
        <v>83</v>
      </c>
      <c r="R2978">
        <v>13</v>
      </c>
      <c r="S2978" t="e">
        <f>VLOOKUP(R2978,[1]!NOMINA[#Data],4,FALSE)</f>
        <v>#REF!</v>
      </c>
      <c r="T2978" t="e">
        <f>VLOOKUP(R2978,[1]!NOMINA[#Data],5,FALSE)</f>
        <v>#REF!</v>
      </c>
    </row>
    <row r="2979" spans="1:20" x14ac:dyDescent="0.25">
      <c r="A2979" s="22">
        <v>45776</v>
      </c>
      <c r="B2979" s="1">
        <v>812073040</v>
      </c>
      <c r="C2979" t="s">
        <v>52</v>
      </c>
      <c r="D2979" s="23">
        <v>-61.65</v>
      </c>
      <c r="E2979" t="s">
        <v>35</v>
      </c>
      <c r="F2979" s="2">
        <v>212901001</v>
      </c>
      <c r="G2979" s="2" t="s">
        <v>91</v>
      </c>
      <c r="I2979" s="95" t="s">
        <v>7231</v>
      </c>
      <c r="J2979" t="s">
        <v>61</v>
      </c>
      <c r="K2979" t="s">
        <v>62</v>
      </c>
      <c r="M2979">
        <v>86.66</v>
      </c>
      <c r="N2979" s="4">
        <f t="shared" si="46"/>
        <v>-0.71140087699053778</v>
      </c>
      <c r="O2979" t="s">
        <v>83</v>
      </c>
      <c r="R2979">
        <v>8</v>
      </c>
      <c r="S2979" t="e">
        <f>VLOOKUP(R2979,[1]!NOMINA[#Data],4,FALSE)</f>
        <v>#REF!</v>
      </c>
      <c r="T2979" t="e">
        <f>VLOOKUP(R2979,[1]!NOMINA[#Data],5,FALSE)</f>
        <v>#REF!</v>
      </c>
    </row>
    <row r="2980" spans="1:20" x14ac:dyDescent="0.25">
      <c r="A2980" s="22">
        <v>45776</v>
      </c>
      <c r="B2980" s="1">
        <v>712073036</v>
      </c>
      <c r="C2980" t="s">
        <v>52</v>
      </c>
      <c r="D2980" s="23">
        <v>-61.65</v>
      </c>
      <c r="E2980" t="s">
        <v>35</v>
      </c>
      <c r="F2980" s="2">
        <v>212901001</v>
      </c>
      <c r="G2980" s="2" t="s">
        <v>91</v>
      </c>
      <c r="I2980" s="95" t="s">
        <v>7231</v>
      </c>
      <c r="J2980" t="s">
        <v>61</v>
      </c>
      <c r="K2980" t="s">
        <v>62</v>
      </c>
      <c r="M2980">
        <v>86.66</v>
      </c>
      <c r="N2980" s="4">
        <f t="shared" si="46"/>
        <v>-0.71140087699053778</v>
      </c>
      <c r="O2980" t="s">
        <v>83</v>
      </c>
      <c r="R2980">
        <v>11</v>
      </c>
      <c r="S2980" t="e">
        <f>VLOOKUP(R2980,[1]!NOMINA[#Data],4,FALSE)</f>
        <v>#REF!</v>
      </c>
      <c r="T2980" t="e">
        <f>VLOOKUP(R2980,[1]!NOMINA[#Data],5,FALSE)</f>
        <v>#REF!</v>
      </c>
    </row>
    <row r="2981" spans="1:20" x14ac:dyDescent="0.25">
      <c r="A2981" s="22">
        <v>45776</v>
      </c>
      <c r="B2981" s="1">
        <v>812073043</v>
      </c>
      <c r="C2981" t="s">
        <v>52</v>
      </c>
      <c r="D2981" s="23">
        <v>-61.65</v>
      </c>
      <c r="E2981" t="s">
        <v>35</v>
      </c>
      <c r="F2981" s="2">
        <v>212901001</v>
      </c>
      <c r="G2981" s="2" t="s">
        <v>91</v>
      </c>
      <c r="I2981" s="95" t="s">
        <v>7231</v>
      </c>
      <c r="J2981" t="s">
        <v>61</v>
      </c>
      <c r="K2981" t="s">
        <v>62</v>
      </c>
      <c r="M2981">
        <v>86.66</v>
      </c>
      <c r="N2981" s="4">
        <f t="shared" si="46"/>
        <v>-0.71140087699053778</v>
      </c>
      <c r="O2981" t="s">
        <v>83</v>
      </c>
      <c r="R2981">
        <v>23</v>
      </c>
      <c r="S2981" t="e">
        <f>VLOOKUP(R2981,[1]!NOMINA[#Data],4,FALSE)</f>
        <v>#REF!</v>
      </c>
      <c r="T2981" t="e">
        <f>VLOOKUP(R2981,[1]!NOMINA[#Data],5,FALSE)</f>
        <v>#REF!</v>
      </c>
    </row>
    <row r="2982" spans="1:20" x14ac:dyDescent="0.25">
      <c r="A2982" s="22">
        <v>45776</v>
      </c>
      <c r="B2982" s="1">
        <v>812073046</v>
      </c>
      <c r="C2982" t="s">
        <v>52</v>
      </c>
      <c r="D2982" s="23">
        <v>-61.65</v>
      </c>
      <c r="E2982" t="s">
        <v>35</v>
      </c>
      <c r="F2982" s="2">
        <v>212901001</v>
      </c>
      <c r="G2982" s="2" t="s">
        <v>91</v>
      </c>
      <c r="I2982" s="95" t="s">
        <v>7231</v>
      </c>
      <c r="J2982" t="s">
        <v>61</v>
      </c>
      <c r="K2982" t="s">
        <v>62</v>
      </c>
      <c r="M2982">
        <v>86.66</v>
      </c>
      <c r="N2982" s="4">
        <f t="shared" si="46"/>
        <v>-0.71140087699053778</v>
      </c>
      <c r="O2982" t="s">
        <v>83</v>
      </c>
      <c r="R2982">
        <v>43</v>
      </c>
      <c r="S2982" t="e">
        <f>VLOOKUP(R2982,[1]!NOMINA[#Data],4,FALSE)</f>
        <v>#REF!</v>
      </c>
      <c r="T2982" t="e">
        <f>VLOOKUP(R2982,[1]!NOMINA[#Data],5,FALSE)</f>
        <v>#REF!</v>
      </c>
    </row>
    <row r="2983" spans="1:20" x14ac:dyDescent="0.25">
      <c r="A2983" s="22">
        <v>45776</v>
      </c>
      <c r="B2983" s="1">
        <v>812073041</v>
      </c>
      <c r="C2983" t="s">
        <v>52</v>
      </c>
      <c r="D2983" s="23">
        <v>-61.65</v>
      </c>
      <c r="E2983" t="s">
        <v>35</v>
      </c>
      <c r="F2983" s="2">
        <v>212901001</v>
      </c>
      <c r="G2983" s="2" t="s">
        <v>91</v>
      </c>
      <c r="I2983" s="95" t="s">
        <v>7231</v>
      </c>
      <c r="J2983" t="s">
        <v>61</v>
      </c>
      <c r="K2983" t="s">
        <v>62</v>
      </c>
      <c r="M2983">
        <v>86.66</v>
      </c>
      <c r="N2983" s="4">
        <f t="shared" si="46"/>
        <v>-0.71140087699053778</v>
      </c>
      <c r="O2983" t="s">
        <v>83</v>
      </c>
      <c r="R2983">
        <v>17</v>
      </c>
      <c r="S2983" t="e">
        <f>VLOOKUP(R2983,[1]!NOMINA[#Data],4,FALSE)</f>
        <v>#REF!</v>
      </c>
      <c r="T2983" t="e">
        <f>VLOOKUP(R2983,[1]!NOMINA[#Data],5,FALSE)</f>
        <v>#REF!</v>
      </c>
    </row>
    <row r="2984" spans="1:20" x14ac:dyDescent="0.25">
      <c r="A2984" s="22">
        <v>45776</v>
      </c>
      <c r="B2984" s="1">
        <v>812073044</v>
      </c>
      <c r="C2984" t="s">
        <v>52</v>
      </c>
      <c r="D2984" s="23">
        <v>-61.65</v>
      </c>
      <c r="E2984" t="s">
        <v>35</v>
      </c>
      <c r="F2984" s="2">
        <v>212901001</v>
      </c>
      <c r="G2984" s="2" t="s">
        <v>91</v>
      </c>
      <c r="I2984" s="95" t="s">
        <v>7231</v>
      </c>
      <c r="J2984" t="s">
        <v>61</v>
      </c>
      <c r="K2984" t="s">
        <v>62</v>
      </c>
      <c r="M2984">
        <v>86.66</v>
      </c>
      <c r="N2984" s="4">
        <f t="shared" si="46"/>
        <v>-0.71140087699053778</v>
      </c>
      <c r="O2984" t="s">
        <v>83</v>
      </c>
      <c r="R2984">
        <v>4</v>
      </c>
      <c r="S2984" t="e">
        <f>VLOOKUP(R2984,[1]!NOMINA[#Data],4,FALSE)</f>
        <v>#REF!</v>
      </c>
      <c r="T2984" t="e">
        <f>VLOOKUP(R2984,[1]!NOMINA[#Data],5,FALSE)</f>
        <v>#REF!</v>
      </c>
    </row>
    <row r="2985" spans="1:20" x14ac:dyDescent="0.25">
      <c r="A2985" s="22">
        <v>45776</v>
      </c>
      <c r="B2985" s="1">
        <v>812073045</v>
      </c>
      <c r="C2985" t="s">
        <v>52</v>
      </c>
      <c r="D2985" s="23">
        <v>-61.65</v>
      </c>
      <c r="E2985" t="s">
        <v>35</v>
      </c>
      <c r="F2985" s="2">
        <v>212901001</v>
      </c>
      <c r="G2985" s="2" t="s">
        <v>91</v>
      </c>
      <c r="I2985" s="95" t="s">
        <v>7231</v>
      </c>
      <c r="J2985" t="s">
        <v>61</v>
      </c>
      <c r="K2985" t="s">
        <v>62</v>
      </c>
      <c r="M2985">
        <v>86.66</v>
      </c>
      <c r="N2985" s="4">
        <f t="shared" si="46"/>
        <v>-0.71140087699053778</v>
      </c>
      <c r="O2985" t="s">
        <v>83</v>
      </c>
      <c r="R2985">
        <v>14</v>
      </c>
      <c r="S2985" t="e">
        <f>VLOOKUP(R2985,[1]!NOMINA[#Data],4,FALSE)</f>
        <v>#REF!</v>
      </c>
      <c r="T2985" t="e">
        <f>VLOOKUP(R2985,[1]!NOMINA[#Data],5,FALSE)</f>
        <v>#REF!</v>
      </c>
    </row>
    <row r="2986" spans="1:20" x14ac:dyDescent="0.25">
      <c r="A2986" s="22">
        <v>45776</v>
      </c>
      <c r="B2986" s="1">
        <v>912073049</v>
      </c>
      <c r="C2986" t="s">
        <v>52</v>
      </c>
      <c r="D2986" s="23">
        <v>-53.07</v>
      </c>
      <c r="E2986" t="s">
        <v>35</v>
      </c>
      <c r="F2986" s="2">
        <v>212901001</v>
      </c>
      <c r="G2986" s="2" t="s">
        <v>91</v>
      </c>
      <c r="I2986" s="95" t="s">
        <v>7231</v>
      </c>
      <c r="J2986" t="s">
        <v>61</v>
      </c>
      <c r="K2986" t="s">
        <v>62</v>
      </c>
      <c r="M2986">
        <v>86.66</v>
      </c>
      <c r="N2986" s="4">
        <f t="shared" si="46"/>
        <v>-0.61239326102007852</v>
      </c>
      <c r="O2986" t="s">
        <v>83</v>
      </c>
      <c r="R2986">
        <v>42</v>
      </c>
      <c r="S2986" t="e">
        <f>VLOOKUP(R2986,[1]!NOMINA[#Data],4,FALSE)</f>
        <v>#REF!</v>
      </c>
      <c r="T2986" t="e">
        <f>VLOOKUP(R2986,[1]!NOMINA[#Data],5,FALSE)</f>
        <v>#REF!</v>
      </c>
    </row>
    <row r="2987" spans="1:20" x14ac:dyDescent="0.25">
      <c r="A2987" s="22">
        <v>45776</v>
      </c>
      <c r="B2987" s="1">
        <v>512073005</v>
      </c>
      <c r="C2987" t="s">
        <v>52</v>
      </c>
      <c r="D2987" s="23">
        <v>-861.1</v>
      </c>
      <c r="E2987" t="s">
        <v>35</v>
      </c>
      <c r="F2987" s="2">
        <v>212901001</v>
      </c>
      <c r="G2987" s="2" t="s">
        <v>91</v>
      </c>
      <c r="I2987" s="95" t="s">
        <v>7231</v>
      </c>
      <c r="J2987" t="s">
        <v>61</v>
      </c>
      <c r="K2987" t="s">
        <v>62</v>
      </c>
      <c r="M2987">
        <v>86.66</v>
      </c>
      <c r="N2987" s="4">
        <f t="shared" si="46"/>
        <v>-9.9365335795061167</v>
      </c>
      <c r="O2987" t="s">
        <v>83</v>
      </c>
      <c r="R2987">
        <v>18</v>
      </c>
      <c r="S2987" t="e">
        <f>VLOOKUP(Tabla3[[#This Row],[Nº]],[1]!NOMINA[#Data],4,FALSE)</f>
        <v>#REF!</v>
      </c>
      <c r="T2987" t="e">
        <f>VLOOKUP(Tabla3[[#This Row],[Nº]],[1]!NOMINA[#Data],5,FALSE)</f>
        <v>#REF!</v>
      </c>
    </row>
    <row r="2988" spans="1:20" x14ac:dyDescent="0.25">
      <c r="A2988" s="22">
        <v>45776</v>
      </c>
      <c r="B2988" s="1">
        <v>912073047</v>
      </c>
      <c r="C2988" t="s">
        <v>52</v>
      </c>
      <c r="D2988" s="23">
        <v>-61.65</v>
      </c>
      <c r="E2988" t="s">
        <v>35</v>
      </c>
      <c r="F2988" s="2">
        <v>212901001</v>
      </c>
      <c r="G2988" s="2" t="s">
        <v>91</v>
      </c>
      <c r="I2988" s="95" t="s">
        <v>7231</v>
      </c>
      <c r="J2988" t="s">
        <v>61</v>
      </c>
      <c r="K2988" t="s">
        <v>62</v>
      </c>
      <c r="M2988">
        <v>86.66</v>
      </c>
      <c r="N2988" s="4">
        <f t="shared" si="46"/>
        <v>-0.71140087699053778</v>
      </c>
      <c r="O2988" t="s">
        <v>83</v>
      </c>
      <c r="R2988">
        <v>22</v>
      </c>
      <c r="S2988" t="e">
        <f>VLOOKUP(Tabla3[[#This Row],[Nº]],[1]!NOMINA[#Data],4,FALSE)</f>
        <v>#REF!</v>
      </c>
      <c r="T2988" t="e">
        <f>VLOOKUP(R2988,[1]!NOMINA[#Data],5,FALSE)</f>
        <v>#REF!</v>
      </c>
    </row>
    <row r="2989" spans="1:20" x14ac:dyDescent="0.25">
      <c r="A2989" s="22">
        <v>45776</v>
      </c>
      <c r="B2989" s="1">
        <v>912073051</v>
      </c>
      <c r="C2989" t="s">
        <v>52</v>
      </c>
      <c r="D2989" s="23">
        <v>-61.65</v>
      </c>
      <c r="E2989" t="s">
        <v>35</v>
      </c>
      <c r="F2989" s="2">
        <v>212901001</v>
      </c>
      <c r="G2989" s="2" t="s">
        <v>91</v>
      </c>
      <c r="I2989" s="95" t="s">
        <v>7231</v>
      </c>
      <c r="J2989" t="s">
        <v>61</v>
      </c>
      <c r="K2989" t="s">
        <v>62</v>
      </c>
      <c r="M2989">
        <v>86.66</v>
      </c>
      <c r="N2989" s="4">
        <f t="shared" si="46"/>
        <v>-0.71140087699053778</v>
      </c>
      <c r="O2989" t="s">
        <v>83</v>
      </c>
      <c r="R2989">
        <v>39</v>
      </c>
      <c r="S2989" t="e">
        <f>VLOOKUP(R2989,[1]!NOMINA[#Data],4,FALSE)</f>
        <v>#REF!</v>
      </c>
      <c r="T2989" t="e">
        <f>VLOOKUP(R2989,[1]!NOMINA[#Data],5,FALSE)</f>
        <v>#REF!</v>
      </c>
    </row>
    <row r="2990" spans="1:20" x14ac:dyDescent="0.25">
      <c r="A2990" s="22">
        <v>45776</v>
      </c>
      <c r="B2990" s="1">
        <v>912073052</v>
      </c>
      <c r="C2990" t="s">
        <v>52</v>
      </c>
      <c r="D2990" s="23">
        <v>-61.65</v>
      </c>
      <c r="E2990" t="s">
        <v>35</v>
      </c>
      <c r="F2990" s="2">
        <v>212901001</v>
      </c>
      <c r="G2990" s="2" t="s">
        <v>91</v>
      </c>
      <c r="I2990" s="95" t="s">
        <v>7231</v>
      </c>
      <c r="J2990" t="s">
        <v>61</v>
      </c>
      <c r="K2990" t="s">
        <v>62</v>
      </c>
      <c r="M2990">
        <v>86.66</v>
      </c>
      <c r="N2990" s="4">
        <f t="shared" si="46"/>
        <v>-0.71140087699053778</v>
      </c>
      <c r="O2990" t="s">
        <v>83</v>
      </c>
      <c r="R2990">
        <v>21</v>
      </c>
      <c r="S2990" t="e">
        <f>VLOOKUP(R2990,[1]!NOMINA[#Data],4,FALSE)</f>
        <v>#REF!</v>
      </c>
      <c r="T2990" t="e">
        <f>VLOOKUP(R2990,[1]!NOMINA[#Data],5,FALSE)</f>
        <v>#REF!</v>
      </c>
    </row>
    <row r="2991" spans="1:20" x14ac:dyDescent="0.25">
      <c r="A2991" s="22">
        <v>45776</v>
      </c>
      <c r="B2991" s="1">
        <v>912073050</v>
      </c>
      <c r="C2991" t="s">
        <v>52</v>
      </c>
      <c r="D2991" s="23">
        <v>-61.65</v>
      </c>
      <c r="E2991" t="s">
        <v>35</v>
      </c>
      <c r="F2991" s="2">
        <v>212901001</v>
      </c>
      <c r="G2991" s="2" t="s">
        <v>91</v>
      </c>
      <c r="I2991" s="95" t="s">
        <v>7231</v>
      </c>
      <c r="J2991" t="s">
        <v>61</v>
      </c>
      <c r="K2991" t="s">
        <v>62</v>
      </c>
      <c r="M2991">
        <v>86.66</v>
      </c>
      <c r="N2991" s="4">
        <f t="shared" si="46"/>
        <v>-0.71140087699053778</v>
      </c>
      <c r="O2991" t="s">
        <v>83</v>
      </c>
      <c r="R2991">
        <v>25</v>
      </c>
      <c r="S2991" t="e">
        <f>VLOOKUP(R2991,[1]!NOMINA[#Data],4,FALSE)</f>
        <v>#REF!</v>
      </c>
      <c r="T2991" t="e">
        <f>VLOOKUP(R2991,[1]!NOMINA[#Data],5,FALSE)</f>
        <v>#REF!</v>
      </c>
    </row>
    <row r="2992" spans="1:20" x14ac:dyDescent="0.25">
      <c r="A2992" s="22">
        <v>45776</v>
      </c>
      <c r="B2992" s="1">
        <v>912073056</v>
      </c>
      <c r="C2992" t="s">
        <v>52</v>
      </c>
      <c r="D2992" s="23">
        <v>-61.65</v>
      </c>
      <c r="E2992" t="s">
        <v>35</v>
      </c>
      <c r="F2992" s="2">
        <v>212901001</v>
      </c>
      <c r="G2992" s="2" t="s">
        <v>91</v>
      </c>
      <c r="I2992" s="95" t="s">
        <v>7231</v>
      </c>
      <c r="J2992" t="s">
        <v>61</v>
      </c>
      <c r="K2992" t="s">
        <v>62</v>
      </c>
      <c r="M2992">
        <v>86.66</v>
      </c>
      <c r="N2992" s="4">
        <f t="shared" si="46"/>
        <v>-0.71140087699053778</v>
      </c>
      <c r="O2992" t="s">
        <v>83</v>
      </c>
      <c r="R2992">
        <v>12</v>
      </c>
      <c r="S2992" t="e">
        <f>VLOOKUP(R2992,[1]!NOMINA[#Data],4,FALSE)</f>
        <v>#REF!</v>
      </c>
      <c r="T2992" t="e">
        <f>VLOOKUP(R2992,[1]!NOMINA[#Data],5,FALSE)</f>
        <v>#REF!</v>
      </c>
    </row>
    <row r="2993" spans="1:20" x14ac:dyDescent="0.25">
      <c r="A2993" s="22">
        <v>45776</v>
      </c>
      <c r="B2993" s="1">
        <v>912073054</v>
      </c>
      <c r="C2993" t="s">
        <v>52</v>
      </c>
      <c r="D2993" s="23">
        <v>-61.65</v>
      </c>
      <c r="E2993" t="s">
        <v>35</v>
      </c>
      <c r="F2993" s="2">
        <v>212901001</v>
      </c>
      <c r="G2993" s="2" t="s">
        <v>91</v>
      </c>
      <c r="I2993" s="95" t="s">
        <v>7231</v>
      </c>
      <c r="J2993" t="s">
        <v>61</v>
      </c>
      <c r="K2993" t="s">
        <v>62</v>
      </c>
      <c r="M2993">
        <v>86.66</v>
      </c>
      <c r="N2993" s="4">
        <f t="shared" si="46"/>
        <v>-0.71140087699053778</v>
      </c>
      <c r="O2993" t="s">
        <v>83</v>
      </c>
      <c r="R2993">
        <v>2</v>
      </c>
      <c r="S2993" t="e">
        <f>VLOOKUP(Tabla3[[#This Row],[Nº]],[1]!NOMINA[#Data],4,FALSE)</f>
        <v>#REF!</v>
      </c>
      <c r="T2993" t="e">
        <f>VLOOKUP(Tabla3[[#This Row],[Nº]],[1]!NOMINA[#Data],5,FALSE)</f>
        <v>#REF!</v>
      </c>
    </row>
    <row r="2994" spans="1:20" x14ac:dyDescent="0.25">
      <c r="A2994" s="22">
        <v>45776</v>
      </c>
      <c r="B2994" s="1">
        <v>912073053</v>
      </c>
      <c r="C2994" t="s">
        <v>52</v>
      </c>
      <c r="D2994" s="23">
        <v>-61.65</v>
      </c>
      <c r="E2994" t="s">
        <v>35</v>
      </c>
      <c r="F2994" s="2">
        <v>212901001</v>
      </c>
      <c r="G2994" s="2" t="s">
        <v>91</v>
      </c>
      <c r="I2994" s="95" t="s">
        <v>7231</v>
      </c>
      <c r="J2994" t="s">
        <v>61</v>
      </c>
      <c r="K2994" t="s">
        <v>62</v>
      </c>
      <c r="M2994">
        <v>86.66</v>
      </c>
      <c r="N2994" s="4">
        <f t="shared" si="46"/>
        <v>-0.71140087699053778</v>
      </c>
      <c r="O2994" t="s">
        <v>83</v>
      </c>
      <c r="R2994">
        <v>28</v>
      </c>
      <c r="S2994" t="e">
        <f>VLOOKUP(R2994,[1]!NOMINA[#Data],4,FALSE)</f>
        <v>#REF!</v>
      </c>
      <c r="T2994" t="e">
        <f>VLOOKUP(R2994,[1]!NOMINA[#Data],5,FALSE)</f>
        <v>#REF!</v>
      </c>
    </row>
    <row r="2995" spans="1:20" x14ac:dyDescent="0.25">
      <c r="A2995" s="22">
        <v>45776</v>
      </c>
      <c r="B2995" s="1">
        <v>12073059</v>
      </c>
      <c r="C2995" t="s">
        <v>52</v>
      </c>
      <c r="D2995" s="23">
        <v>-61.65</v>
      </c>
      <c r="E2995" t="s">
        <v>35</v>
      </c>
      <c r="F2995" s="2">
        <v>212901001</v>
      </c>
      <c r="G2995" s="2" t="s">
        <v>91</v>
      </c>
      <c r="I2995" s="95" t="s">
        <v>7231</v>
      </c>
      <c r="J2995" t="s">
        <v>61</v>
      </c>
      <c r="K2995" t="s">
        <v>62</v>
      </c>
      <c r="M2995">
        <v>86.66</v>
      </c>
      <c r="N2995" s="4">
        <f t="shared" si="46"/>
        <v>-0.71140087699053778</v>
      </c>
      <c r="O2995" t="s">
        <v>83</v>
      </c>
      <c r="R2995">
        <v>6</v>
      </c>
      <c r="S2995" t="e">
        <f>VLOOKUP(R2995,[1]!NOMINA[#Data],4,FALSE)</f>
        <v>#REF!</v>
      </c>
      <c r="T2995" t="e">
        <f>VLOOKUP(R2995,[1]!NOMINA[#Data],5,FALSE)</f>
        <v>#REF!</v>
      </c>
    </row>
    <row r="2996" spans="1:20" x14ac:dyDescent="0.25">
      <c r="A2996" s="22">
        <v>45776</v>
      </c>
      <c r="B2996" s="1">
        <v>12073058</v>
      </c>
      <c r="C2996" t="s">
        <v>52</v>
      </c>
      <c r="D2996" s="23">
        <v>-61.65</v>
      </c>
      <c r="E2996" t="s">
        <v>35</v>
      </c>
      <c r="F2996" s="2">
        <v>212901001</v>
      </c>
      <c r="G2996" s="2" t="s">
        <v>91</v>
      </c>
      <c r="I2996" s="95" t="s">
        <v>7231</v>
      </c>
      <c r="J2996" t="s">
        <v>61</v>
      </c>
      <c r="K2996" t="s">
        <v>62</v>
      </c>
      <c r="M2996">
        <v>86.66</v>
      </c>
      <c r="N2996" s="4">
        <f t="shared" si="46"/>
        <v>-0.71140087699053778</v>
      </c>
      <c r="O2996" t="s">
        <v>83</v>
      </c>
      <c r="R2996">
        <v>24</v>
      </c>
      <c r="S2996" t="e">
        <f>VLOOKUP(R2996,[1]!NOMINA[#Data],4,FALSE)</f>
        <v>#REF!</v>
      </c>
      <c r="T2996" t="e">
        <f>VLOOKUP(R2996,[1]!NOMINA[#Data],5,FALSE)</f>
        <v>#REF!</v>
      </c>
    </row>
    <row r="2997" spans="1:20" x14ac:dyDescent="0.25">
      <c r="A2997" s="22">
        <v>45776</v>
      </c>
      <c r="B2997" s="1">
        <v>912073057</v>
      </c>
      <c r="C2997" t="s">
        <v>52</v>
      </c>
      <c r="D2997" s="23">
        <v>-61.65</v>
      </c>
      <c r="E2997" t="s">
        <v>35</v>
      </c>
      <c r="F2997" s="2">
        <v>212901001</v>
      </c>
      <c r="G2997" s="2" t="s">
        <v>91</v>
      </c>
      <c r="I2997" s="95" t="s">
        <v>7231</v>
      </c>
      <c r="J2997" t="s">
        <v>61</v>
      </c>
      <c r="K2997" t="s">
        <v>62</v>
      </c>
      <c r="M2997">
        <v>86.66</v>
      </c>
      <c r="N2997" s="4">
        <f t="shared" si="46"/>
        <v>-0.71140087699053778</v>
      </c>
      <c r="O2997" t="s">
        <v>83</v>
      </c>
      <c r="R2997">
        <v>3</v>
      </c>
      <c r="S2997" t="e">
        <f>VLOOKUP(R2997,[1]!NOMINA[#Data],4,FALSE)</f>
        <v>#REF!</v>
      </c>
      <c r="T2997" t="e">
        <f>VLOOKUP(R2997,[1]!NOMINA[#Data],5,FALSE)</f>
        <v>#REF!</v>
      </c>
    </row>
    <row r="2998" spans="1:20" x14ac:dyDescent="0.25">
      <c r="A2998" s="22">
        <v>45776</v>
      </c>
      <c r="B2998" s="1">
        <v>12073062</v>
      </c>
      <c r="C2998" t="s">
        <v>52</v>
      </c>
      <c r="D2998" s="23">
        <v>-57.36</v>
      </c>
      <c r="E2998" t="s">
        <v>35</v>
      </c>
      <c r="F2998" s="2">
        <v>212901001</v>
      </c>
      <c r="G2998" s="2" t="s">
        <v>91</v>
      </c>
      <c r="I2998" s="95" t="s">
        <v>7231</v>
      </c>
      <c r="J2998" t="s">
        <v>61</v>
      </c>
      <c r="K2998" t="s">
        <v>62</v>
      </c>
      <c r="M2998">
        <v>86.66</v>
      </c>
      <c r="N2998" s="4">
        <f t="shared" si="46"/>
        <v>-0.66189706900530809</v>
      </c>
      <c r="O2998" t="s">
        <v>83</v>
      </c>
      <c r="R2998">
        <v>5</v>
      </c>
      <c r="S2998" t="e">
        <f>VLOOKUP(R2998,[1]!NOMINA[#Data],4,FALSE)</f>
        <v>#REF!</v>
      </c>
      <c r="T2998" t="e">
        <f>VLOOKUP(R2998,[1]!NOMINA[#Data],5,FALSE)</f>
        <v>#REF!</v>
      </c>
    </row>
    <row r="2999" spans="1:20" x14ac:dyDescent="0.25">
      <c r="A2999" s="22">
        <v>45776</v>
      </c>
      <c r="B2999" s="1">
        <v>912073055</v>
      </c>
      <c r="C2999" t="s">
        <v>52</v>
      </c>
      <c r="D2999" s="23">
        <v>-61.65</v>
      </c>
      <c r="E2999" t="s">
        <v>35</v>
      </c>
      <c r="F2999" s="2">
        <v>212901001</v>
      </c>
      <c r="G2999" s="2" t="s">
        <v>91</v>
      </c>
      <c r="I2999" s="95" t="s">
        <v>7231</v>
      </c>
      <c r="J2999" t="s">
        <v>61</v>
      </c>
      <c r="K2999" t="s">
        <v>62</v>
      </c>
      <c r="M2999">
        <v>86.66</v>
      </c>
      <c r="N2999" s="4">
        <f t="shared" si="46"/>
        <v>-0.71140087699053778</v>
      </c>
      <c r="O2999" t="s">
        <v>83</v>
      </c>
      <c r="R2999">
        <v>27</v>
      </c>
      <c r="S2999" t="e">
        <f>VLOOKUP(R2999,[1]!NOMINA[#Data],4,FALSE)</f>
        <v>#REF!</v>
      </c>
      <c r="T2999" t="e">
        <f>VLOOKUP(R2999,[1]!NOMINA[#Data],5,FALSE)</f>
        <v>#REF!</v>
      </c>
    </row>
    <row r="3000" spans="1:20" x14ac:dyDescent="0.25">
      <c r="A3000" s="22">
        <v>45776</v>
      </c>
      <c r="B3000" s="1">
        <v>12073060</v>
      </c>
      <c r="C3000" t="s">
        <v>52</v>
      </c>
      <c r="D3000" s="23">
        <v>-61.65</v>
      </c>
      <c r="E3000" t="s">
        <v>35</v>
      </c>
      <c r="F3000" s="2">
        <v>212901001</v>
      </c>
      <c r="G3000" s="2" t="s">
        <v>91</v>
      </c>
      <c r="I3000" s="95" t="s">
        <v>7231</v>
      </c>
      <c r="J3000" t="s">
        <v>61</v>
      </c>
      <c r="K3000" t="s">
        <v>62</v>
      </c>
      <c r="M3000">
        <v>86.66</v>
      </c>
      <c r="N3000" s="4">
        <f t="shared" si="46"/>
        <v>-0.71140087699053778</v>
      </c>
      <c r="O3000" t="s">
        <v>83</v>
      </c>
      <c r="R3000">
        <v>19</v>
      </c>
      <c r="S3000" t="e">
        <f>VLOOKUP(R3000,[1]!NOMINA[#Data],4,FALSE)</f>
        <v>#REF!</v>
      </c>
      <c r="T3000" t="e">
        <f>VLOOKUP(R3000,[1]!NOMINA[#Data],5,FALSE)</f>
        <v>#REF!</v>
      </c>
    </row>
    <row r="3001" spans="1:20" x14ac:dyDescent="0.25">
      <c r="A3001" s="22">
        <v>45776</v>
      </c>
      <c r="B3001" s="1">
        <v>12073065</v>
      </c>
      <c r="C3001" t="s">
        <v>52</v>
      </c>
      <c r="D3001" s="23">
        <v>-57.36</v>
      </c>
      <c r="E3001" t="s">
        <v>35</v>
      </c>
      <c r="F3001" s="2">
        <v>212901001</v>
      </c>
      <c r="G3001" s="2" t="s">
        <v>91</v>
      </c>
      <c r="I3001" s="95" t="s">
        <v>7231</v>
      </c>
      <c r="J3001" t="s">
        <v>61</v>
      </c>
      <c r="K3001" t="s">
        <v>62</v>
      </c>
      <c r="M3001">
        <v>86.66</v>
      </c>
      <c r="N3001" s="4">
        <f t="shared" si="46"/>
        <v>-0.66189706900530809</v>
      </c>
      <c r="O3001" t="s">
        <v>83</v>
      </c>
      <c r="R3001">
        <v>16</v>
      </c>
      <c r="S3001" t="e">
        <f>VLOOKUP(Tabla3[[#This Row],[Nº]],[1]!NOMINA[#Data],4,FALSE)</f>
        <v>#REF!</v>
      </c>
      <c r="T3001" t="e">
        <f>VLOOKUP(Tabla3[[#This Row],[Nº]],[1]!NOMINA[#Data],5,FALSE)</f>
        <v>#REF!</v>
      </c>
    </row>
    <row r="3002" spans="1:20" x14ac:dyDescent="0.25">
      <c r="A3002" s="22">
        <v>45776</v>
      </c>
      <c r="B3002" s="1">
        <v>12073067</v>
      </c>
      <c r="C3002" t="s">
        <v>52</v>
      </c>
      <c r="D3002" s="23">
        <v>-61.65</v>
      </c>
      <c r="E3002" t="s">
        <v>35</v>
      </c>
      <c r="F3002" s="2">
        <v>212901001</v>
      </c>
      <c r="G3002" s="2" t="s">
        <v>91</v>
      </c>
      <c r="I3002" s="95" t="s">
        <v>7231</v>
      </c>
      <c r="J3002" t="s">
        <v>61</v>
      </c>
      <c r="K3002" t="s">
        <v>62</v>
      </c>
      <c r="M3002">
        <v>86.66</v>
      </c>
      <c r="N3002" s="4">
        <f t="shared" si="46"/>
        <v>-0.71140087699053778</v>
      </c>
      <c r="O3002" t="s">
        <v>83</v>
      </c>
      <c r="R3002">
        <v>1</v>
      </c>
      <c r="S3002" t="e">
        <f>VLOOKUP(R3002,[1]!NOMINA[#Data],4,FALSE)</f>
        <v>#REF!</v>
      </c>
      <c r="T3002" t="e">
        <f>VLOOKUP(R3002,[1]!NOMINA[#Data],5,FALSE)</f>
        <v>#REF!</v>
      </c>
    </row>
    <row r="3003" spans="1:20" x14ac:dyDescent="0.25">
      <c r="A3003" s="22">
        <v>45776</v>
      </c>
      <c r="B3003" s="1">
        <v>112073071</v>
      </c>
      <c r="C3003" t="s">
        <v>52</v>
      </c>
      <c r="D3003" s="23">
        <v>-3444.4</v>
      </c>
      <c r="E3003" t="s">
        <v>35</v>
      </c>
      <c r="F3003" s="2">
        <v>212901001</v>
      </c>
      <c r="G3003" s="2" t="s">
        <v>91</v>
      </c>
      <c r="I3003" s="95" t="s">
        <v>7231</v>
      </c>
      <c r="J3003" t="s">
        <v>61</v>
      </c>
      <c r="K3003" t="s">
        <v>62</v>
      </c>
      <c r="M3003">
        <v>86.66</v>
      </c>
      <c r="N3003" s="4">
        <f t="shared" si="46"/>
        <v>-39.746134318024467</v>
      </c>
      <c r="O3003" t="s">
        <v>83</v>
      </c>
      <c r="R3003">
        <v>10</v>
      </c>
      <c r="S3003" t="e">
        <f>VLOOKUP(R3003,[1]!NOMINA[#Data],4,FALSE)</f>
        <v>#REF!</v>
      </c>
      <c r="T3003" t="e">
        <f>VLOOKUP(R3003,[1]!NOMINA[#Data],5,FALSE)</f>
        <v>#REF!</v>
      </c>
    </row>
    <row r="3004" spans="1:20" x14ac:dyDescent="0.25">
      <c r="A3004" s="22">
        <v>45776</v>
      </c>
      <c r="B3004" s="1">
        <v>12073069</v>
      </c>
      <c r="C3004" t="s">
        <v>52</v>
      </c>
      <c r="D3004" s="23">
        <v>-3444.4</v>
      </c>
      <c r="E3004" t="s">
        <v>35</v>
      </c>
      <c r="F3004" s="2">
        <v>212901001</v>
      </c>
      <c r="G3004" s="2" t="s">
        <v>91</v>
      </c>
      <c r="I3004" s="95" t="s">
        <v>7231</v>
      </c>
      <c r="J3004" t="s">
        <v>61</v>
      </c>
      <c r="K3004" t="s">
        <v>62</v>
      </c>
      <c r="M3004">
        <v>86.66</v>
      </c>
      <c r="N3004" s="4">
        <f t="shared" si="46"/>
        <v>-39.746134318024467</v>
      </c>
      <c r="O3004" t="s">
        <v>83</v>
      </c>
      <c r="R3004">
        <v>18</v>
      </c>
      <c r="S3004" t="e">
        <f>VLOOKUP(Tabla3[[#This Row],[Nº]],[1]!NOMINA[#Data],4,FALSE)</f>
        <v>#REF!</v>
      </c>
      <c r="T3004" t="e">
        <f>VLOOKUP(Tabla3[[#This Row],[Nº]],[1]!NOMINA[#Data],5,FALSE)</f>
        <v>#REF!</v>
      </c>
    </row>
    <row r="3005" spans="1:20" x14ac:dyDescent="0.25">
      <c r="A3005" s="22">
        <v>45776</v>
      </c>
      <c r="B3005" s="1">
        <v>112073073</v>
      </c>
      <c r="C3005" t="s">
        <v>52</v>
      </c>
      <c r="D3005" s="23">
        <v>-3444.4</v>
      </c>
      <c r="E3005" t="s">
        <v>35</v>
      </c>
      <c r="F3005" s="2">
        <v>212901001</v>
      </c>
      <c r="G3005" s="2" t="s">
        <v>91</v>
      </c>
      <c r="I3005" s="95" t="s">
        <v>7231</v>
      </c>
      <c r="J3005" t="s">
        <v>61</v>
      </c>
      <c r="K3005" t="s">
        <v>62</v>
      </c>
      <c r="M3005">
        <v>86.66</v>
      </c>
      <c r="N3005" s="4">
        <f t="shared" si="46"/>
        <v>-39.746134318024467</v>
      </c>
      <c r="O3005" t="s">
        <v>83</v>
      </c>
      <c r="R3005">
        <v>38</v>
      </c>
      <c r="S3005" t="e">
        <f>VLOOKUP(R3005,[1]!NOMINA[#Data],4,FALSE)</f>
        <v>#REF!</v>
      </c>
      <c r="T3005" t="e">
        <f>VLOOKUP(R3005,[1]!NOMINA[#Data],5,FALSE)</f>
        <v>#REF!</v>
      </c>
    </row>
    <row r="3006" spans="1:20" x14ac:dyDescent="0.25">
      <c r="A3006" s="22">
        <v>45776</v>
      </c>
      <c r="B3006" s="1">
        <v>12073064</v>
      </c>
      <c r="C3006" t="s">
        <v>52</v>
      </c>
      <c r="D3006" s="23">
        <v>-57.36</v>
      </c>
      <c r="E3006" t="s">
        <v>35</v>
      </c>
      <c r="F3006" s="2">
        <v>212901001</v>
      </c>
      <c r="G3006" s="2" t="s">
        <v>91</v>
      </c>
      <c r="I3006" s="95" t="s">
        <v>7231</v>
      </c>
      <c r="J3006" t="s">
        <v>61</v>
      </c>
      <c r="K3006" t="s">
        <v>62</v>
      </c>
      <c r="M3006">
        <v>86.66</v>
      </c>
      <c r="N3006" s="4">
        <f t="shared" si="46"/>
        <v>-0.66189706900530809</v>
      </c>
      <c r="O3006" t="s">
        <v>83</v>
      </c>
      <c r="R3006">
        <v>37</v>
      </c>
      <c r="S3006" t="e">
        <f>VLOOKUP(Tabla3[[#This Row],[Nº]],[1]!NOMINA[#Data],4,FALSE)</f>
        <v>#REF!</v>
      </c>
      <c r="T3006" t="e">
        <f>VLOOKUP(Tabla3[[#This Row],[Nº]],[1]!NOMINA[#Data],5,FALSE)</f>
        <v>#REF!</v>
      </c>
    </row>
    <row r="3007" spans="1:20" x14ac:dyDescent="0.25">
      <c r="A3007" s="22">
        <v>45776</v>
      </c>
      <c r="B3007" s="1">
        <v>12073063</v>
      </c>
      <c r="C3007" t="s">
        <v>52</v>
      </c>
      <c r="D3007" s="23">
        <v>-57.36</v>
      </c>
      <c r="E3007" t="s">
        <v>35</v>
      </c>
      <c r="F3007" s="2">
        <v>212901001</v>
      </c>
      <c r="G3007" s="2" t="s">
        <v>91</v>
      </c>
      <c r="I3007" s="95" t="s">
        <v>7231</v>
      </c>
      <c r="J3007" t="s">
        <v>61</v>
      </c>
      <c r="K3007" t="s">
        <v>62</v>
      </c>
      <c r="M3007">
        <v>86.66</v>
      </c>
      <c r="N3007" s="4">
        <f t="shared" si="46"/>
        <v>-0.66189706900530809</v>
      </c>
      <c r="O3007" t="s">
        <v>83</v>
      </c>
      <c r="R3007">
        <v>7</v>
      </c>
      <c r="S3007" t="e">
        <f>VLOOKUP(R3007,[1]!NOMINA[#Data],4,FALSE)</f>
        <v>#REF!</v>
      </c>
      <c r="T3007" t="e">
        <f>VLOOKUP(R3007,[1]!NOMINA[#Data],5,FALSE)</f>
        <v>#REF!</v>
      </c>
    </row>
    <row r="3008" spans="1:20" x14ac:dyDescent="0.25">
      <c r="A3008" s="22">
        <v>45776</v>
      </c>
      <c r="B3008" s="1">
        <v>12073068</v>
      </c>
      <c r="C3008" t="s">
        <v>52</v>
      </c>
      <c r="D3008" s="23">
        <v>-3444.4</v>
      </c>
      <c r="E3008" t="s">
        <v>35</v>
      </c>
      <c r="F3008" s="2">
        <v>212901001</v>
      </c>
      <c r="G3008" s="2" t="s">
        <v>91</v>
      </c>
      <c r="I3008" s="95" t="s">
        <v>7231</v>
      </c>
      <c r="J3008" t="s">
        <v>61</v>
      </c>
      <c r="K3008" t="s">
        <v>62</v>
      </c>
      <c r="M3008">
        <v>86.66</v>
      </c>
      <c r="N3008" s="4">
        <f t="shared" si="46"/>
        <v>-39.746134318024467</v>
      </c>
      <c r="O3008" t="s">
        <v>83</v>
      </c>
      <c r="R3008">
        <v>15</v>
      </c>
      <c r="S3008" t="e">
        <f>VLOOKUP(R3008,[1]!NOMINA[#Data],4,FALSE)</f>
        <v>#REF!</v>
      </c>
      <c r="T3008" t="e">
        <f>VLOOKUP(R3008,[1]!NOMINA[#Data],5,FALSE)</f>
        <v>#REF!</v>
      </c>
    </row>
    <row r="3009" spans="1:20" x14ac:dyDescent="0.25">
      <c r="A3009" s="22">
        <v>45776</v>
      </c>
      <c r="B3009" s="1">
        <v>12073066</v>
      </c>
      <c r="C3009" t="s">
        <v>52</v>
      </c>
      <c r="D3009" s="23">
        <v>-61.65</v>
      </c>
      <c r="E3009" t="s">
        <v>35</v>
      </c>
      <c r="F3009" s="2">
        <v>212901001</v>
      </c>
      <c r="G3009" s="2" t="s">
        <v>91</v>
      </c>
      <c r="I3009" s="95" t="s">
        <v>7231</v>
      </c>
      <c r="J3009" t="s">
        <v>61</v>
      </c>
      <c r="K3009" s="2" t="s">
        <v>62</v>
      </c>
      <c r="L3009" s="2"/>
      <c r="M3009">
        <v>86.66</v>
      </c>
      <c r="N3009" s="4">
        <f t="shared" si="46"/>
        <v>-0.71140087699053778</v>
      </c>
      <c r="O3009" t="s">
        <v>83</v>
      </c>
      <c r="R3009">
        <v>36</v>
      </c>
      <c r="S3009" t="e">
        <f>VLOOKUP(R3009,[1]!NOMINA[#Data],4,FALSE)</f>
        <v>#REF!</v>
      </c>
      <c r="T3009" t="e">
        <f>VLOOKUP(R3009,[1]!NOMINA[#Data],5,FALSE)</f>
        <v>#REF!</v>
      </c>
    </row>
    <row r="3010" spans="1:20" x14ac:dyDescent="0.25">
      <c r="A3010" s="22">
        <v>45776</v>
      </c>
      <c r="B3010" s="1">
        <v>112073076</v>
      </c>
      <c r="C3010" t="s">
        <v>52</v>
      </c>
      <c r="D3010" s="23">
        <v>-3444.4</v>
      </c>
      <c r="E3010" t="s">
        <v>35</v>
      </c>
      <c r="F3010" s="2">
        <v>212901001</v>
      </c>
      <c r="G3010" s="2" t="s">
        <v>91</v>
      </c>
      <c r="I3010" s="95" t="s">
        <v>7231</v>
      </c>
      <c r="J3010" t="s">
        <v>61</v>
      </c>
      <c r="K3010" t="s">
        <v>62</v>
      </c>
      <c r="M3010">
        <v>86.66</v>
      </c>
      <c r="N3010" s="4">
        <f t="shared" si="46"/>
        <v>-39.746134318024467</v>
      </c>
      <c r="O3010" t="s">
        <v>83</v>
      </c>
      <c r="R3010">
        <v>20</v>
      </c>
      <c r="S3010" t="e">
        <f>VLOOKUP(Tabla3[[#This Row],[Nº]],[1]!NOMINA[#Data],4,FALSE)</f>
        <v>#REF!</v>
      </c>
      <c r="T3010" t="e">
        <f>VLOOKUP(Tabla3[[#This Row],[Nº]],[1]!NOMINA[#Data],5,FALSE)</f>
        <v>#REF!</v>
      </c>
    </row>
    <row r="3011" spans="1:20" x14ac:dyDescent="0.25">
      <c r="A3011" s="22">
        <v>45776</v>
      </c>
      <c r="B3011" s="1">
        <v>112073075</v>
      </c>
      <c r="C3011" t="s">
        <v>52</v>
      </c>
      <c r="D3011" s="23">
        <v>-3444.4</v>
      </c>
      <c r="E3011" t="s">
        <v>35</v>
      </c>
      <c r="F3011" s="2">
        <v>212901001</v>
      </c>
      <c r="G3011" s="2" t="s">
        <v>91</v>
      </c>
      <c r="I3011" s="95" t="s">
        <v>7231</v>
      </c>
      <c r="J3011" t="s">
        <v>61</v>
      </c>
      <c r="K3011" t="s">
        <v>62</v>
      </c>
      <c r="M3011">
        <v>86.66</v>
      </c>
      <c r="N3011" s="4">
        <f t="shared" si="46"/>
        <v>-39.746134318024467</v>
      </c>
      <c r="O3011" t="s">
        <v>83</v>
      </c>
      <c r="R3011">
        <v>41</v>
      </c>
      <c r="S3011" t="e">
        <f>VLOOKUP(R3011,[1]!NOMINA[#Data],4,FALSE)</f>
        <v>#REF!</v>
      </c>
      <c r="T3011" t="e">
        <f>VLOOKUP(R3011,[1]!NOMINA[#Data],5,FALSE)</f>
        <v>#REF!</v>
      </c>
    </row>
    <row r="3012" spans="1:20" x14ac:dyDescent="0.25">
      <c r="A3012" s="22">
        <v>45776</v>
      </c>
      <c r="B3012" s="1">
        <v>112073078</v>
      </c>
      <c r="C3012" t="s">
        <v>52</v>
      </c>
      <c r="D3012" s="23">
        <v>-3444.4</v>
      </c>
      <c r="E3012" t="s">
        <v>35</v>
      </c>
      <c r="F3012" s="2">
        <v>212901001</v>
      </c>
      <c r="G3012" s="2" t="s">
        <v>91</v>
      </c>
      <c r="I3012" s="95" t="s">
        <v>7231</v>
      </c>
      <c r="J3012" t="s">
        <v>61</v>
      </c>
      <c r="K3012" t="s">
        <v>62</v>
      </c>
      <c r="M3012">
        <v>86.66</v>
      </c>
      <c r="N3012" s="4">
        <f t="shared" si="46"/>
        <v>-39.746134318024467</v>
      </c>
      <c r="O3012" t="s">
        <v>83</v>
      </c>
      <c r="R3012">
        <v>13</v>
      </c>
      <c r="S3012" t="e">
        <f>VLOOKUP(R3012,[1]!NOMINA[#Data],4,FALSE)</f>
        <v>#REF!</v>
      </c>
      <c r="T3012" t="e">
        <f>VLOOKUP(R3012,[1]!NOMINA[#Data],5,FALSE)</f>
        <v>#REF!</v>
      </c>
    </row>
    <row r="3013" spans="1:20" x14ac:dyDescent="0.25">
      <c r="A3013" s="22">
        <v>45776</v>
      </c>
      <c r="B3013" s="1">
        <v>212073082</v>
      </c>
      <c r="C3013" t="s">
        <v>52</v>
      </c>
      <c r="D3013" s="23">
        <v>-3444.4</v>
      </c>
      <c r="E3013" t="s">
        <v>35</v>
      </c>
      <c r="F3013" s="2">
        <v>212901001</v>
      </c>
      <c r="G3013" s="2" t="s">
        <v>91</v>
      </c>
      <c r="I3013" s="95" t="s">
        <v>7231</v>
      </c>
      <c r="J3013" t="s">
        <v>61</v>
      </c>
      <c r="K3013" t="s">
        <v>62</v>
      </c>
      <c r="M3013">
        <v>86.66</v>
      </c>
      <c r="N3013" s="4">
        <f t="shared" si="46"/>
        <v>-39.746134318024467</v>
      </c>
      <c r="O3013" t="s">
        <v>83</v>
      </c>
      <c r="R3013">
        <v>8</v>
      </c>
      <c r="S3013" t="e">
        <f>VLOOKUP(R3013,[1]!NOMINA[#Data],4,FALSE)</f>
        <v>#REF!</v>
      </c>
      <c r="T3013" t="e">
        <f>VLOOKUP(R3013,[1]!NOMINA[#Data],5,FALSE)</f>
        <v>#REF!</v>
      </c>
    </row>
    <row r="3014" spans="1:20" x14ac:dyDescent="0.25">
      <c r="A3014" s="22">
        <v>45776</v>
      </c>
      <c r="B3014" s="1">
        <v>212073084</v>
      </c>
      <c r="C3014" t="s">
        <v>52</v>
      </c>
      <c r="D3014" s="23">
        <v>-3444.4</v>
      </c>
      <c r="E3014" t="s">
        <v>35</v>
      </c>
      <c r="F3014" s="2">
        <v>212901001</v>
      </c>
      <c r="G3014" s="2" t="s">
        <v>91</v>
      </c>
      <c r="I3014" s="95" t="s">
        <v>7231</v>
      </c>
      <c r="J3014" t="s">
        <v>61</v>
      </c>
      <c r="K3014" t="s">
        <v>62</v>
      </c>
      <c r="M3014">
        <v>86.66</v>
      </c>
      <c r="N3014" s="4">
        <f t="shared" si="46"/>
        <v>-39.746134318024467</v>
      </c>
      <c r="O3014" t="s">
        <v>83</v>
      </c>
      <c r="R3014">
        <v>11</v>
      </c>
      <c r="S3014" t="e">
        <f>VLOOKUP(R3014,[1]!NOMINA[#Data],4,FALSE)</f>
        <v>#REF!</v>
      </c>
      <c r="T3014" t="e">
        <f>VLOOKUP(R3014,[1]!NOMINA[#Data],5,FALSE)</f>
        <v>#REF!</v>
      </c>
    </row>
    <row r="3015" spans="1:20" x14ac:dyDescent="0.25">
      <c r="A3015" s="22">
        <v>45776</v>
      </c>
      <c r="B3015" s="1">
        <v>212073081</v>
      </c>
      <c r="C3015" t="s">
        <v>52</v>
      </c>
      <c r="D3015" s="23">
        <v>-3444.4</v>
      </c>
      <c r="E3015" t="s">
        <v>35</v>
      </c>
      <c r="F3015" s="2">
        <v>212901001</v>
      </c>
      <c r="G3015" s="2" t="s">
        <v>91</v>
      </c>
      <c r="I3015" s="95" t="s">
        <v>7231</v>
      </c>
      <c r="J3015" t="s">
        <v>61</v>
      </c>
      <c r="K3015" t="s">
        <v>62</v>
      </c>
      <c r="M3015">
        <v>86.66</v>
      </c>
      <c r="N3015" s="4">
        <f t="shared" si="46"/>
        <v>-39.746134318024467</v>
      </c>
      <c r="O3015" t="s">
        <v>83</v>
      </c>
      <c r="R3015">
        <v>23</v>
      </c>
      <c r="S3015" t="e">
        <f>VLOOKUP(R3015,[1]!NOMINA[#Data],4,FALSE)</f>
        <v>#REF!</v>
      </c>
      <c r="T3015" t="e">
        <f>VLOOKUP(R3015,[1]!NOMINA[#Data],5,FALSE)</f>
        <v>#REF!</v>
      </c>
    </row>
    <row r="3016" spans="1:20" x14ac:dyDescent="0.25">
      <c r="A3016" s="22">
        <v>45776</v>
      </c>
      <c r="B3016" s="1">
        <v>112073072</v>
      </c>
      <c r="C3016" t="s">
        <v>52</v>
      </c>
      <c r="D3016" s="23">
        <v>-3444.4</v>
      </c>
      <c r="E3016" t="s">
        <v>35</v>
      </c>
      <c r="F3016" s="2">
        <v>212901001</v>
      </c>
      <c r="G3016" s="2" t="s">
        <v>91</v>
      </c>
      <c r="I3016" s="95" t="s">
        <v>7231</v>
      </c>
      <c r="J3016" t="s">
        <v>61</v>
      </c>
      <c r="K3016" t="s">
        <v>62</v>
      </c>
      <c r="M3016">
        <v>86.66</v>
      </c>
      <c r="N3016" s="4">
        <f t="shared" si="46"/>
        <v>-39.746134318024467</v>
      </c>
      <c r="O3016" t="s">
        <v>83</v>
      </c>
      <c r="R3016">
        <v>43</v>
      </c>
      <c r="S3016" t="e">
        <f>VLOOKUP(R3016,[1]!NOMINA[#Data],4,FALSE)</f>
        <v>#REF!</v>
      </c>
      <c r="T3016" t="e">
        <f>VLOOKUP(R3016,[1]!NOMINA[#Data],5,FALSE)</f>
        <v>#REF!</v>
      </c>
    </row>
    <row r="3017" spans="1:20" x14ac:dyDescent="0.25">
      <c r="A3017" s="22">
        <v>45776</v>
      </c>
      <c r="B3017" s="1">
        <v>212073083</v>
      </c>
      <c r="C3017" t="s">
        <v>52</v>
      </c>
      <c r="D3017" s="23">
        <v>-3444.4</v>
      </c>
      <c r="E3017" t="s">
        <v>35</v>
      </c>
      <c r="F3017" s="2">
        <v>212901001</v>
      </c>
      <c r="G3017" s="2" t="s">
        <v>91</v>
      </c>
      <c r="I3017" s="95" t="s">
        <v>7231</v>
      </c>
      <c r="J3017" t="s">
        <v>61</v>
      </c>
      <c r="K3017" t="s">
        <v>62</v>
      </c>
      <c r="M3017">
        <v>86.66</v>
      </c>
      <c r="N3017" s="4">
        <f t="shared" si="46"/>
        <v>-39.746134318024467</v>
      </c>
      <c r="O3017" t="s">
        <v>83</v>
      </c>
      <c r="R3017">
        <v>17</v>
      </c>
      <c r="S3017" t="e">
        <f>VLOOKUP(R3017,[1]!NOMINA[#Data],4,FALSE)</f>
        <v>#REF!</v>
      </c>
      <c r="T3017" t="e">
        <f>VLOOKUP(R3017,[1]!NOMINA[#Data],5,FALSE)</f>
        <v>#REF!</v>
      </c>
    </row>
    <row r="3018" spans="1:20" x14ac:dyDescent="0.25">
      <c r="A3018" s="22">
        <v>45776</v>
      </c>
      <c r="B3018" s="1">
        <v>112073079</v>
      </c>
      <c r="C3018" t="s">
        <v>52</v>
      </c>
      <c r="D3018" s="23">
        <v>-3444.4</v>
      </c>
      <c r="E3018" t="s">
        <v>35</v>
      </c>
      <c r="F3018" s="2">
        <v>212901001</v>
      </c>
      <c r="G3018" s="2" t="s">
        <v>91</v>
      </c>
      <c r="I3018" s="95" t="s">
        <v>7231</v>
      </c>
      <c r="J3018" t="s">
        <v>61</v>
      </c>
      <c r="K3018" t="s">
        <v>62</v>
      </c>
      <c r="M3018">
        <v>86.66</v>
      </c>
      <c r="N3018" s="4">
        <f t="shared" si="46"/>
        <v>-39.746134318024467</v>
      </c>
      <c r="O3018" t="s">
        <v>83</v>
      </c>
      <c r="R3018">
        <v>4</v>
      </c>
      <c r="S3018" t="e">
        <f>VLOOKUP(R3018,[1]!NOMINA[#Data],4,FALSE)</f>
        <v>#REF!</v>
      </c>
      <c r="T3018" t="e">
        <f>VLOOKUP(R3018,[1]!NOMINA[#Data],5,FALSE)</f>
        <v>#REF!</v>
      </c>
    </row>
    <row r="3019" spans="1:20" x14ac:dyDescent="0.25">
      <c r="A3019" s="22">
        <v>45776</v>
      </c>
      <c r="B3019" s="1">
        <v>212073086</v>
      </c>
      <c r="C3019" t="s">
        <v>52</v>
      </c>
      <c r="D3019" s="23">
        <v>-3444.4</v>
      </c>
      <c r="E3019" t="s">
        <v>35</v>
      </c>
      <c r="F3019" s="2">
        <v>212901001</v>
      </c>
      <c r="G3019" s="2" t="s">
        <v>91</v>
      </c>
      <c r="I3019" s="95" t="s">
        <v>7231</v>
      </c>
      <c r="J3019" t="s">
        <v>61</v>
      </c>
      <c r="K3019" t="s">
        <v>62</v>
      </c>
      <c r="M3019">
        <v>86.66</v>
      </c>
      <c r="N3019" s="4">
        <f t="shared" si="46"/>
        <v>-39.746134318024467</v>
      </c>
      <c r="O3019" t="s">
        <v>83</v>
      </c>
      <c r="R3019">
        <v>14</v>
      </c>
      <c r="S3019" t="e">
        <f>VLOOKUP(R3019,[1]!NOMINA[#Data],4,FALSE)</f>
        <v>#REF!</v>
      </c>
      <c r="T3019" t="e">
        <f>VLOOKUP(R3019,[1]!NOMINA[#Data],5,FALSE)</f>
        <v>#REF!</v>
      </c>
    </row>
    <row r="3020" spans="1:20" x14ac:dyDescent="0.25">
      <c r="A3020" s="22">
        <v>45776</v>
      </c>
      <c r="B3020" s="1">
        <v>212073087</v>
      </c>
      <c r="C3020" t="s">
        <v>52</v>
      </c>
      <c r="D3020" s="23">
        <v>-3444.4</v>
      </c>
      <c r="E3020" t="s">
        <v>35</v>
      </c>
      <c r="F3020" s="2">
        <v>212901001</v>
      </c>
      <c r="G3020" s="2" t="s">
        <v>91</v>
      </c>
      <c r="I3020" s="95" t="s">
        <v>7231</v>
      </c>
      <c r="J3020" t="s">
        <v>61</v>
      </c>
      <c r="K3020" t="s">
        <v>62</v>
      </c>
      <c r="M3020">
        <v>86.66</v>
      </c>
      <c r="N3020" s="4">
        <f t="shared" ref="N3020:N3083" si="47">D3020/M3020</f>
        <v>-39.746134318024467</v>
      </c>
      <c r="O3020" t="s">
        <v>83</v>
      </c>
      <c r="R3020">
        <v>22</v>
      </c>
      <c r="S3020" t="e">
        <f>VLOOKUP(Tabla3[[#This Row],[Nº]],[1]!NOMINA[#Data],4,FALSE)</f>
        <v>#REF!</v>
      </c>
      <c r="T3020" t="e">
        <f>VLOOKUP(R3020,[1]!NOMINA[#Data],5,FALSE)</f>
        <v>#REF!</v>
      </c>
    </row>
    <row r="3021" spans="1:20" x14ac:dyDescent="0.25">
      <c r="A3021" s="22">
        <v>45776</v>
      </c>
      <c r="B3021" s="1">
        <v>212073089</v>
      </c>
      <c r="C3021" t="s">
        <v>52</v>
      </c>
      <c r="D3021" s="23">
        <v>-3444.4</v>
      </c>
      <c r="E3021" t="s">
        <v>35</v>
      </c>
      <c r="F3021" s="2">
        <v>212901001</v>
      </c>
      <c r="G3021" s="2" t="s">
        <v>91</v>
      </c>
      <c r="I3021" s="95" t="s">
        <v>7231</v>
      </c>
      <c r="J3021" t="s">
        <v>61</v>
      </c>
      <c r="K3021" t="s">
        <v>62</v>
      </c>
      <c r="M3021">
        <v>86.66</v>
      </c>
      <c r="N3021" s="4">
        <f t="shared" si="47"/>
        <v>-39.746134318024467</v>
      </c>
      <c r="O3021" t="s">
        <v>83</v>
      </c>
      <c r="R3021">
        <v>42</v>
      </c>
      <c r="S3021" t="e">
        <f>VLOOKUP(R3021,[1]!NOMINA[#Data],4,FALSE)</f>
        <v>#REF!</v>
      </c>
      <c r="T3021" t="e">
        <f>VLOOKUP(R3021,[1]!NOMINA[#Data],5,FALSE)</f>
        <v>#REF!</v>
      </c>
    </row>
    <row r="3022" spans="1:20" x14ac:dyDescent="0.25">
      <c r="A3022" s="22">
        <v>45776</v>
      </c>
      <c r="B3022" s="1">
        <v>212073090</v>
      </c>
      <c r="C3022" t="s">
        <v>52</v>
      </c>
      <c r="D3022" s="23">
        <v>-3444.4</v>
      </c>
      <c r="E3022" t="s">
        <v>35</v>
      </c>
      <c r="F3022" s="2">
        <v>212901001</v>
      </c>
      <c r="G3022" s="2" t="s">
        <v>91</v>
      </c>
      <c r="I3022" s="95" t="s">
        <v>7231</v>
      </c>
      <c r="J3022" t="s">
        <v>61</v>
      </c>
      <c r="K3022" t="s">
        <v>62</v>
      </c>
      <c r="M3022">
        <v>86.66</v>
      </c>
      <c r="N3022" s="4">
        <f t="shared" si="47"/>
        <v>-39.746134318024467</v>
      </c>
      <c r="O3022" t="s">
        <v>83</v>
      </c>
      <c r="R3022">
        <v>39</v>
      </c>
      <c r="S3022" t="e">
        <f>VLOOKUP(R3022,[1]!NOMINA[#Data],4,FALSE)</f>
        <v>#REF!</v>
      </c>
      <c r="T3022" t="e">
        <f>VLOOKUP(R3022,[1]!NOMINA[#Data],5,FALSE)</f>
        <v>#REF!</v>
      </c>
    </row>
    <row r="3023" spans="1:20" x14ac:dyDescent="0.25">
      <c r="A3023" s="22">
        <v>45776</v>
      </c>
      <c r="B3023" s="1">
        <v>312073092</v>
      </c>
      <c r="C3023" t="s">
        <v>52</v>
      </c>
      <c r="D3023" s="23">
        <v>-3444.4</v>
      </c>
      <c r="E3023" t="s">
        <v>35</v>
      </c>
      <c r="F3023" s="2">
        <v>212901001</v>
      </c>
      <c r="G3023" s="2" t="s">
        <v>91</v>
      </c>
      <c r="I3023" s="95" t="s">
        <v>7231</v>
      </c>
      <c r="J3023" t="s">
        <v>61</v>
      </c>
      <c r="K3023" t="s">
        <v>62</v>
      </c>
      <c r="M3023">
        <v>86.66</v>
      </c>
      <c r="N3023" s="4">
        <f t="shared" si="47"/>
        <v>-39.746134318024467</v>
      </c>
      <c r="O3023" t="s">
        <v>83</v>
      </c>
      <c r="R3023">
        <v>21</v>
      </c>
      <c r="S3023" t="e">
        <f>VLOOKUP(R3023,[1]!NOMINA[#Data],4,FALSE)</f>
        <v>#REF!</v>
      </c>
      <c r="T3023" t="e">
        <f>VLOOKUP(R3023,[1]!NOMINA[#Data],5,FALSE)</f>
        <v>#REF!</v>
      </c>
    </row>
    <row r="3024" spans="1:20" x14ac:dyDescent="0.25">
      <c r="A3024" s="22">
        <v>45776</v>
      </c>
      <c r="B3024" s="1">
        <v>312073093</v>
      </c>
      <c r="C3024" t="s">
        <v>52</v>
      </c>
      <c r="D3024" s="23">
        <v>-3444.4</v>
      </c>
      <c r="E3024" t="s">
        <v>35</v>
      </c>
      <c r="F3024" s="2">
        <v>212901001</v>
      </c>
      <c r="G3024" s="2" t="s">
        <v>91</v>
      </c>
      <c r="I3024" s="95" t="s">
        <v>7231</v>
      </c>
      <c r="J3024" t="s">
        <v>61</v>
      </c>
      <c r="K3024" t="s">
        <v>62</v>
      </c>
      <c r="M3024">
        <v>86.66</v>
      </c>
      <c r="N3024" s="4">
        <f t="shared" si="47"/>
        <v>-39.746134318024467</v>
      </c>
      <c r="O3024" t="s">
        <v>83</v>
      </c>
      <c r="R3024">
        <v>25</v>
      </c>
      <c r="S3024" t="e">
        <f>VLOOKUP(R3024,[1]!NOMINA[#Data],4,FALSE)</f>
        <v>#REF!</v>
      </c>
      <c r="T3024" t="e">
        <f>VLOOKUP(R3024,[1]!NOMINA[#Data],5,FALSE)</f>
        <v>#REF!</v>
      </c>
    </row>
    <row r="3025" spans="1:20" x14ac:dyDescent="0.25">
      <c r="A3025" s="22">
        <v>45776</v>
      </c>
      <c r="B3025" s="1">
        <v>312073095</v>
      </c>
      <c r="C3025" t="s">
        <v>52</v>
      </c>
      <c r="D3025" s="23">
        <v>-3444.4</v>
      </c>
      <c r="E3025" t="s">
        <v>35</v>
      </c>
      <c r="F3025" s="2">
        <v>212901001</v>
      </c>
      <c r="G3025" s="2" t="s">
        <v>91</v>
      </c>
      <c r="I3025" s="95" t="s">
        <v>7231</v>
      </c>
      <c r="J3025" t="s">
        <v>61</v>
      </c>
      <c r="K3025" t="s">
        <v>62</v>
      </c>
      <c r="M3025">
        <v>86.66</v>
      </c>
      <c r="N3025" s="4">
        <f t="shared" si="47"/>
        <v>-39.746134318024467</v>
      </c>
      <c r="O3025" t="s">
        <v>83</v>
      </c>
      <c r="R3025">
        <v>12</v>
      </c>
      <c r="S3025" t="e">
        <f>VLOOKUP(R3025,[1]!NOMINA[#Data],4,FALSE)</f>
        <v>#REF!</v>
      </c>
      <c r="T3025" t="e">
        <f>VLOOKUP(R3025,[1]!NOMINA[#Data],5,FALSE)</f>
        <v>#REF!</v>
      </c>
    </row>
    <row r="3026" spans="1:20" x14ac:dyDescent="0.25">
      <c r="A3026" s="22">
        <v>45776</v>
      </c>
      <c r="B3026" s="1">
        <v>112073080</v>
      </c>
      <c r="C3026" t="s">
        <v>52</v>
      </c>
      <c r="D3026" s="23">
        <v>-3444.4</v>
      </c>
      <c r="E3026" t="s">
        <v>35</v>
      </c>
      <c r="F3026" s="2">
        <v>212901001</v>
      </c>
      <c r="G3026" s="2" t="s">
        <v>91</v>
      </c>
      <c r="I3026" s="95" t="s">
        <v>7231</v>
      </c>
      <c r="J3026" t="s">
        <v>61</v>
      </c>
      <c r="K3026" t="s">
        <v>62</v>
      </c>
      <c r="M3026">
        <v>86.66</v>
      </c>
      <c r="N3026" s="4">
        <f t="shared" si="47"/>
        <v>-39.746134318024467</v>
      </c>
      <c r="O3026" t="s">
        <v>83</v>
      </c>
      <c r="R3026">
        <v>2</v>
      </c>
      <c r="S3026" t="e">
        <f>VLOOKUP(Tabla3[[#This Row],[Nº]],[1]!NOMINA[#Data],4,FALSE)</f>
        <v>#REF!</v>
      </c>
      <c r="T3026" t="e">
        <f>VLOOKUP(Tabla3[[#This Row],[Nº]],[1]!NOMINA[#Data],5,FALSE)</f>
        <v>#REF!</v>
      </c>
    </row>
    <row r="3027" spans="1:20" x14ac:dyDescent="0.25">
      <c r="A3027" s="22">
        <v>45776</v>
      </c>
      <c r="B3027" s="1">
        <v>312073097</v>
      </c>
      <c r="C3027" t="s">
        <v>52</v>
      </c>
      <c r="D3027" s="23">
        <v>-3444.4</v>
      </c>
      <c r="E3027" t="s">
        <v>35</v>
      </c>
      <c r="F3027" s="2">
        <v>212901001</v>
      </c>
      <c r="G3027" s="2" t="s">
        <v>91</v>
      </c>
      <c r="I3027" s="95" t="s">
        <v>7231</v>
      </c>
      <c r="J3027" t="s">
        <v>61</v>
      </c>
      <c r="K3027" t="s">
        <v>62</v>
      </c>
      <c r="M3027">
        <v>86.66</v>
      </c>
      <c r="N3027" s="4">
        <f t="shared" si="47"/>
        <v>-39.746134318024467</v>
      </c>
      <c r="O3027" t="s">
        <v>83</v>
      </c>
      <c r="R3027">
        <v>28</v>
      </c>
      <c r="S3027" t="e">
        <f>VLOOKUP(R3027,[1]!NOMINA[#Data],4,FALSE)</f>
        <v>#REF!</v>
      </c>
      <c r="T3027" t="e">
        <f>VLOOKUP(R3027,[1]!NOMINA[#Data],5,FALSE)</f>
        <v>#REF!</v>
      </c>
    </row>
    <row r="3028" spans="1:20" x14ac:dyDescent="0.25">
      <c r="A3028" s="22">
        <v>45776</v>
      </c>
      <c r="B3028" s="1">
        <v>312073094</v>
      </c>
      <c r="C3028" t="s">
        <v>52</v>
      </c>
      <c r="D3028" s="23">
        <v>-3444.4</v>
      </c>
      <c r="E3028" t="s">
        <v>35</v>
      </c>
      <c r="F3028" s="2">
        <v>212901001</v>
      </c>
      <c r="G3028" s="2" t="s">
        <v>91</v>
      </c>
      <c r="I3028" s="95" t="s">
        <v>7231</v>
      </c>
      <c r="J3028" t="s">
        <v>61</v>
      </c>
      <c r="K3028" t="s">
        <v>62</v>
      </c>
      <c r="M3028">
        <v>86.66</v>
      </c>
      <c r="N3028" s="4">
        <f t="shared" si="47"/>
        <v>-39.746134318024467</v>
      </c>
      <c r="O3028" t="s">
        <v>83</v>
      </c>
      <c r="R3028">
        <v>6</v>
      </c>
      <c r="S3028" t="e">
        <f>VLOOKUP(R3028,[1]!NOMINA[#Data],4,FALSE)</f>
        <v>#REF!</v>
      </c>
      <c r="T3028" t="e">
        <f>VLOOKUP(R3028,[1]!NOMINA[#Data],5,FALSE)</f>
        <v>#REF!</v>
      </c>
    </row>
    <row r="3029" spans="1:20" x14ac:dyDescent="0.25">
      <c r="A3029" s="22">
        <v>45776</v>
      </c>
      <c r="B3029" s="1">
        <v>212073085</v>
      </c>
      <c r="C3029" t="s">
        <v>52</v>
      </c>
      <c r="D3029" s="23">
        <v>-3444.4</v>
      </c>
      <c r="E3029" t="s">
        <v>35</v>
      </c>
      <c r="F3029" s="2">
        <v>212901001</v>
      </c>
      <c r="G3029" s="2" t="s">
        <v>91</v>
      </c>
      <c r="I3029" s="95" t="s">
        <v>7231</v>
      </c>
      <c r="J3029" t="s">
        <v>61</v>
      </c>
      <c r="K3029" t="s">
        <v>62</v>
      </c>
      <c r="M3029">
        <v>86.66</v>
      </c>
      <c r="N3029" s="4">
        <f t="shared" si="47"/>
        <v>-39.746134318024467</v>
      </c>
      <c r="O3029" t="s">
        <v>83</v>
      </c>
      <c r="R3029">
        <v>24</v>
      </c>
      <c r="S3029" t="e">
        <f>VLOOKUP(R3029,[1]!NOMINA[#Data],4,FALSE)</f>
        <v>#REF!</v>
      </c>
      <c r="T3029" t="e">
        <f>VLOOKUP(R3029,[1]!NOMINA[#Data],5,FALSE)</f>
        <v>#REF!</v>
      </c>
    </row>
    <row r="3030" spans="1:20" x14ac:dyDescent="0.25">
      <c r="A3030" s="22">
        <v>45776</v>
      </c>
      <c r="B3030" s="1">
        <v>312073096</v>
      </c>
      <c r="C3030" t="s">
        <v>52</v>
      </c>
      <c r="D3030" s="23">
        <v>-3444.4</v>
      </c>
      <c r="E3030" t="s">
        <v>35</v>
      </c>
      <c r="F3030" s="2">
        <v>212901001</v>
      </c>
      <c r="G3030" s="2" t="s">
        <v>91</v>
      </c>
      <c r="I3030" s="95" t="s">
        <v>7231</v>
      </c>
      <c r="J3030" t="s">
        <v>61</v>
      </c>
      <c r="K3030" t="s">
        <v>62</v>
      </c>
      <c r="M3030">
        <v>86.66</v>
      </c>
      <c r="N3030" s="4">
        <f t="shared" si="47"/>
        <v>-39.746134318024467</v>
      </c>
      <c r="O3030" t="s">
        <v>83</v>
      </c>
      <c r="R3030">
        <v>3</v>
      </c>
      <c r="S3030" t="e">
        <f>VLOOKUP(R3030,[1]!NOMINA[#Data],4,FALSE)</f>
        <v>#REF!</v>
      </c>
      <c r="T3030" t="e">
        <f>VLOOKUP(R3030,[1]!NOMINA[#Data],5,FALSE)</f>
        <v>#REF!</v>
      </c>
    </row>
    <row r="3031" spans="1:20" x14ac:dyDescent="0.25">
      <c r="A3031" s="22">
        <v>45776</v>
      </c>
      <c r="B3031" s="1">
        <v>312073100</v>
      </c>
      <c r="C3031" t="s">
        <v>52</v>
      </c>
      <c r="D3031" s="23">
        <v>-3444.4</v>
      </c>
      <c r="E3031" t="s">
        <v>35</v>
      </c>
      <c r="F3031" s="2">
        <v>212901001</v>
      </c>
      <c r="G3031" s="2" t="s">
        <v>91</v>
      </c>
      <c r="I3031" s="95" t="s">
        <v>7231</v>
      </c>
      <c r="J3031" t="s">
        <v>61</v>
      </c>
      <c r="K3031" t="s">
        <v>62</v>
      </c>
      <c r="M3031">
        <v>86.66</v>
      </c>
      <c r="N3031" s="4">
        <f t="shared" si="47"/>
        <v>-39.746134318024467</v>
      </c>
      <c r="O3031" t="s">
        <v>83</v>
      </c>
      <c r="R3031">
        <v>27</v>
      </c>
      <c r="S3031" t="e">
        <f>VLOOKUP(R3031,[1]!NOMINA[#Data],4,FALSE)</f>
        <v>#REF!</v>
      </c>
      <c r="T3031" t="e">
        <f>VLOOKUP(R3031,[1]!NOMINA[#Data],5,FALSE)</f>
        <v>#REF!</v>
      </c>
    </row>
    <row r="3032" spans="1:20" x14ac:dyDescent="0.25">
      <c r="A3032" s="22">
        <v>45776</v>
      </c>
      <c r="B3032" s="1">
        <v>212073088</v>
      </c>
      <c r="C3032" t="s">
        <v>52</v>
      </c>
      <c r="D3032" s="23">
        <v>-3444.4</v>
      </c>
      <c r="E3032" t="s">
        <v>35</v>
      </c>
      <c r="F3032" s="2">
        <v>212901001</v>
      </c>
      <c r="G3032" s="2" t="s">
        <v>91</v>
      </c>
      <c r="I3032" s="95" t="s">
        <v>7231</v>
      </c>
      <c r="J3032" t="s">
        <v>61</v>
      </c>
      <c r="K3032" t="s">
        <v>62</v>
      </c>
      <c r="M3032">
        <v>86.66</v>
      </c>
      <c r="N3032" s="4">
        <f t="shared" si="47"/>
        <v>-39.746134318024467</v>
      </c>
      <c r="O3032" t="s">
        <v>83</v>
      </c>
      <c r="R3032">
        <v>19</v>
      </c>
      <c r="S3032" t="e">
        <f>VLOOKUP(R3032,[1]!NOMINA[#Data],4,FALSE)</f>
        <v>#REF!</v>
      </c>
      <c r="T3032" t="e">
        <f>VLOOKUP(R3032,[1]!NOMINA[#Data],5,FALSE)</f>
        <v>#REF!</v>
      </c>
    </row>
    <row r="3033" spans="1:20" x14ac:dyDescent="0.25">
      <c r="A3033" s="22">
        <v>45776</v>
      </c>
      <c r="B3033" s="1">
        <v>312073099</v>
      </c>
      <c r="C3033" t="s">
        <v>52</v>
      </c>
      <c r="D3033" s="23">
        <v>-3444.4</v>
      </c>
      <c r="E3033" t="s">
        <v>35</v>
      </c>
      <c r="F3033" s="2">
        <v>212901001</v>
      </c>
      <c r="G3033" s="2" t="s">
        <v>91</v>
      </c>
      <c r="I3033" s="95" t="s">
        <v>7231</v>
      </c>
      <c r="J3033" t="s">
        <v>61</v>
      </c>
      <c r="K3033" t="s">
        <v>62</v>
      </c>
      <c r="M3033">
        <v>86.66</v>
      </c>
      <c r="N3033" s="4">
        <f t="shared" si="47"/>
        <v>-39.746134318024467</v>
      </c>
      <c r="O3033" t="s">
        <v>83</v>
      </c>
      <c r="R3033">
        <v>5</v>
      </c>
      <c r="S3033" t="e">
        <f>VLOOKUP(R3033,[1]!NOMINA[#Data],4,FALSE)</f>
        <v>#REF!</v>
      </c>
      <c r="T3033" t="e">
        <f>VLOOKUP(R3033,[1]!NOMINA[#Data],5,FALSE)</f>
        <v>#REF!</v>
      </c>
    </row>
    <row r="3034" spans="1:20" x14ac:dyDescent="0.25">
      <c r="A3034" s="22">
        <v>45776</v>
      </c>
      <c r="B3034" s="1">
        <v>312073098</v>
      </c>
      <c r="C3034" t="s">
        <v>52</v>
      </c>
      <c r="D3034" s="23">
        <v>-3444.4</v>
      </c>
      <c r="E3034" t="s">
        <v>35</v>
      </c>
      <c r="F3034" s="2">
        <v>212901001</v>
      </c>
      <c r="G3034" s="2" t="s">
        <v>91</v>
      </c>
      <c r="I3034" s="95" t="s">
        <v>7231</v>
      </c>
      <c r="J3034" t="s">
        <v>61</v>
      </c>
      <c r="K3034" t="s">
        <v>62</v>
      </c>
      <c r="M3034">
        <v>86.66</v>
      </c>
      <c r="N3034" s="4">
        <f t="shared" si="47"/>
        <v>-39.746134318024467</v>
      </c>
      <c r="O3034" t="s">
        <v>83</v>
      </c>
      <c r="R3034">
        <v>16</v>
      </c>
      <c r="S3034" t="e">
        <f>VLOOKUP(Tabla3[[#This Row],[Nº]],[1]!NOMINA[#Data],4,FALSE)</f>
        <v>#REF!</v>
      </c>
      <c r="T3034" t="e">
        <f>VLOOKUP(Tabla3[[#This Row],[Nº]],[1]!NOMINA[#Data],5,FALSE)</f>
        <v>#REF!</v>
      </c>
    </row>
    <row r="3035" spans="1:20" x14ac:dyDescent="0.25">
      <c r="A3035" s="22">
        <v>45776</v>
      </c>
      <c r="B3035" s="1">
        <v>412073102</v>
      </c>
      <c r="C3035" t="s">
        <v>52</v>
      </c>
      <c r="D3035" s="23">
        <v>-3444.4</v>
      </c>
      <c r="E3035" t="s">
        <v>35</v>
      </c>
      <c r="F3035" s="2">
        <v>212901001</v>
      </c>
      <c r="G3035" s="2" t="s">
        <v>91</v>
      </c>
      <c r="I3035" s="95" t="s">
        <v>7231</v>
      </c>
      <c r="J3035" t="s">
        <v>61</v>
      </c>
      <c r="K3035" t="s">
        <v>62</v>
      </c>
      <c r="M3035">
        <v>86.66</v>
      </c>
      <c r="N3035" s="4">
        <f t="shared" si="47"/>
        <v>-39.746134318024467</v>
      </c>
      <c r="O3035" t="s">
        <v>83</v>
      </c>
      <c r="R3035">
        <v>37</v>
      </c>
      <c r="S3035" t="e">
        <f>VLOOKUP(Tabla3[[#This Row],[Nº]],[1]!NOMINA[#Data],4,FALSE)</f>
        <v>#REF!</v>
      </c>
      <c r="T3035" t="e">
        <f>VLOOKUP(Tabla3[[#This Row],[Nº]],[1]!NOMINA[#Data],5,FALSE)</f>
        <v>#REF!</v>
      </c>
    </row>
    <row r="3036" spans="1:20" x14ac:dyDescent="0.25">
      <c r="A3036" s="22">
        <v>45776</v>
      </c>
      <c r="B3036" s="1">
        <v>412073103</v>
      </c>
      <c r="C3036" t="s">
        <v>52</v>
      </c>
      <c r="D3036" s="23">
        <v>-3444.4</v>
      </c>
      <c r="E3036" t="s">
        <v>35</v>
      </c>
      <c r="F3036" s="2">
        <v>212901001</v>
      </c>
      <c r="G3036" s="2" t="s">
        <v>91</v>
      </c>
      <c r="I3036" s="95" t="s">
        <v>7231</v>
      </c>
      <c r="J3036" t="s">
        <v>61</v>
      </c>
      <c r="K3036" t="s">
        <v>62</v>
      </c>
      <c r="M3036">
        <v>86.66</v>
      </c>
      <c r="N3036" s="4">
        <f t="shared" si="47"/>
        <v>-39.746134318024467</v>
      </c>
      <c r="O3036" t="s">
        <v>83</v>
      </c>
      <c r="R3036">
        <v>7</v>
      </c>
      <c r="S3036" t="e">
        <f>VLOOKUP(R3036,[1]!NOMINA[#Data],4,FALSE)</f>
        <v>#REF!</v>
      </c>
      <c r="T3036" t="e">
        <f>VLOOKUP(R3036,[1]!NOMINA[#Data],5,FALSE)</f>
        <v>#REF!</v>
      </c>
    </row>
    <row r="3037" spans="1:20" x14ac:dyDescent="0.25">
      <c r="A3037" s="22">
        <v>45776</v>
      </c>
      <c r="B3037" s="1">
        <v>412073106</v>
      </c>
      <c r="C3037" t="s">
        <v>52</v>
      </c>
      <c r="D3037" s="23">
        <v>-3444.4</v>
      </c>
      <c r="E3037" t="s">
        <v>35</v>
      </c>
      <c r="F3037" s="2">
        <v>212901001</v>
      </c>
      <c r="G3037" s="2" t="s">
        <v>91</v>
      </c>
      <c r="I3037" s="95" t="s">
        <v>7231</v>
      </c>
      <c r="J3037" t="s">
        <v>61</v>
      </c>
      <c r="K3037" t="s">
        <v>62</v>
      </c>
      <c r="M3037">
        <v>86.66</v>
      </c>
      <c r="N3037" s="4">
        <f t="shared" si="47"/>
        <v>-39.746134318024467</v>
      </c>
      <c r="O3037" t="s">
        <v>83</v>
      </c>
      <c r="R3037">
        <v>1</v>
      </c>
      <c r="S3037" t="e">
        <f>VLOOKUP(R3037,[1]!NOMINA[#Data],4,FALSE)</f>
        <v>#REF!</v>
      </c>
      <c r="T3037" t="e">
        <f>VLOOKUP(R3037,[1]!NOMINA[#Data],5,FALSE)</f>
        <v>#REF!</v>
      </c>
    </row>
    <row r="3038" spans="1:20" x14ac:dyDescent="0.25">
      <c r="A3038" s="22">
        <v>45776</v>
      </c>
      <c r="B3038" s="1">
        <v>112073077</v>
      </c>
      <c r="C3038" t="s">
        <v>52</v>
      </c>
      <c r="D3038" s="23">
        <v>-3444.4</v>
      </c>
      <c r="E3038" t="s">
        <v>35</v>
      </c>
      <c r="F3038" s="2">
        <v>212901001</v>
      </c>
      <c r="G3038" s="2" t="s">
        <v>91</v>
      </c>
      <c r="I3038" s="95" t="s">
        <v>7231</v>
      </c>
      <c r="J3038" t="s">
        <v>61</v>
      </c>
      <c r="K3038" t="s">
        <v>62</v>
      </c>
      <c r="M3038">
        <v>86.66</v>
      </c>
      <c r="N3038" s="4">
        <f t="shared" si="47"/>
        <v>-39.746134318024467</v>
      </c>
      <c r="O3038" t="s">
        <v>83</v>
      </c>
      <c r="R3038">
        <v>4</v>
      </c>
      <c r="S3038" t="e">
        <f>VLOOKUP(R3038,[1]!NOMINA[#Data],4,FALSE)</f>
        <v>#REF!</v>
      </c>
      <c r="T3038" t="e">
        <f>VLOOKUP(R3038,[1]!NOMINA[#Data],5,FALSE)</f>
        <v>#REF!</v>
      </c>
    </row>
    <row r="3039" spans="1:20" x14ac:dyDescent="0.25">
      <c r="A3039" s="22">
        <v>45776</v>
      </c>
      <c r="B3039" s="1">
        <v>312073101</v>
      </c>
      <c r="C3039" t="s">
        <v>52</v>
      </c>
      <c r="D3039" s="23">
        <v>-3444.4</v>
      </c>
      <c r="E3039" t="s">
        <v>35</v>
      </c>
      <c r="F3039" s="2">
        <v>212901001</v>
      </c>
      <c r="G3039" s="2" t="s">
        <v>91</v>
      </c>
      <c r="I3039" s="95" t="s">
        <v>7231</v>
      </c>
      <c r="J3039" t="s">
        <v>61</v>
      </c>
      <c r="K3039" t="s">
        <v>62</v>
      </c>
      <c r="M3039">
        <v>86.66</v>
      </c>
      <c r="N3039" s="4">
        <f t="shared" si="47"/>
        <v>-39.746134318024467</v>
      </c>
      <c r="O3039" t="s">
        <v>83</v>
      </c>
      <c r="R3039">
        <v>2</v>
      </c>
      <c r="S3039" t="e">
        <f>VLOOKUP(Tabla3[[#This Row],[Nº]],[1]!NOMINA[#Data],4,FALSE)</f>
        <v>#REF!</v>
      </c>
      <c r="T3039" t="e">
        <f>VLOOKUP(Tabla3[[#This Row],[Nº]],[1]!NOMINA[#Data],5,FALSE)</f>
        <v>#REF!</v>
      </c>
    </row>
    <row r="3040" spans="1:20" x14ac:dyDescent="0.25">
      <c r="A3040" s="22">
        <v>45776</v>
      </c>
      <c r="B3040" s="1">
        <v>412073108</v>
      </c>
      <c r="C3040" t="s">
        <v>52</v>
      </c>
      <c r="D3040" s="23">
        <v>-7749.9</v>
      </c>
      <c r="E3040" t="s">
        <v>35</v>
      </c>
      <c r="F3040" s="2">
        <v>212901001</v>
      </c>
      <c r="G3040" s="2" t="s">
        <v>91</v>
      </c>
      <c r="I3040" s="95" t="s">
        <v>7231</v>
      </c>
      <c r="J3040" t="s">
        <v>61</v>
      </c>
      <c r="K3040" t="s">
        <v>62</v>
      </c>
      <c r="M3040">
        <v>86.66</v>
      </c>
      <c r="N3040" s="4">
        <f t="shared" si="47"/>
        <v>-89.428802215555038</v>
      </c>
      <c r="O3040" t="s">
        <v>83</v>
      </c>
    </row>
    <row r="3041" spans="1:20" x14ac:dyDescent="0.25">
      <c r="A3041" s="22">
        <v>45776</v>
      </c>
      <c r="B3041" s="1">
        <v>412073104</v>
      </c>
      <c r="C3041" t="s">
        <v>52</v>
      </c>
      <c r="D3041" s="23">
        <v>-3444.4</v>
      </c>
      <c r="E3041" t="s">
        <v>35</v>
      </c>
      <c r="F3041" s="2">
        <v>212901001</v>
      </c>
      <c r="G3041" s="2" t="s">
        <v>91</v>
      </c>
      <c r="I3041" s="95" t="s">
        <v>7231</v>
      </c>
      <c r="J3041" t="s">
        <v>61</v>
      </c>
      <c r="K3041" t="s">
        <v>62</v>
      </c>
      <c r="M3041">
        <v>86.66</v>
      </c>
      <c r="N3041" s="4">
        <f t="shared" si="47"/>
        <v>-39.746134318024467</v>
      </c>
      <c r="O3041" t="s">
        <v>83</v>
      </c>
      <c r="R3041">
        <v>3</v>
      </c>
      <c r="S3041" t="e">
        <f>VLOOKUP(R3041,[1]!NOMINA[#Data],4,FALSE)</f>
        <v>#REF!</v>
      </c>
      <c r="T3041" t="e">
        <f>VLOOKUP(R3041,[1]!NOMINA[#Data],5,FALSE)</f>
        <v>#REF!</v>
      </c>
    </row>
    <row r="3042" spans="1:20" x14ac:dyDescent="0.25">
      <c r="A3042" s="22">
        <v>45776</v>
      </c>
      <c r="B3042" s="1">
        <v>412073105</v>
      </c>
      <c r="C3042" t="s">
        <v>52</v>
      </c>
      <c r="D3042" s="23">
        <v>-3444.4</v>
      </c>
      <c r="E3042" t="s">
        <v>35</v>
      </c>
      <c r="F3042" s="2">
        <v>212901001</v>
      </c>
      <c r="G3042" s="2" t="s">
        <v>91</v>
      </c>
      <c r="I3042" s="95" t="s">
        <v>7231</v>
      </c>
      <c r="J3042" t="s">
        <v>61</v>
      </c>
      <c r="K3042" t="s">
        <v>62</v>
      </c>
      <c r="M3042">
        <v>86.66</v>
      </c>
      <c r="N3042" s="4">
        <f t="shared" si="47"/>
        <v>-39.746134318024467</v>
      </c>
      <c r="O3042" t="s">
        <v>83</v>
      </c>
      <c r="R3042">
        <v>1</v>
      </c>
      <c r="S3042" t="e">
        <f>VLOOKUP(R3042,[1]!NOMINA[#Data],4,FALSE)</f>
        <v>#REF!</v>
      </c>
      <c r="T3042" t="e">
        <f>VLOOKUP(R3042,[1]!NOMINA[#Data],5,FALSE)</f>
        <v>#REF!</v>
      </c>
    </row>
    <row r="3043" spans="1:20" x14ac:dyDescent="0.25">
      <c r="A3043" s="22">
        <v>45776</v>
      </c>
      <c r="B3043" s="1">
        <v>412073107</v>
      </c>
      <c r="C3043" t="s">
        <v>52</v>
      </c>
      <c r="D3043" s="23">
        <v>-3444.4</v>
      </c>
      <c r="E3043" t="s">
        <v>35</v>
      </c>
      <c r="F3043" s="2">
        <v>212901001</v>
      </c>
      <c r="G3043" s="2" t="s">
        <v>91</v>
      </c>
      <c r="I3043" s="95" t="s">
        <v>7231</v>
      </c>
      <c r="J3043" t="s">
        <v>61</v>
      </c>
      <c r="K3043" t="s">
        <v>62</v>
      </c>
      <c r="M3043">
        <v>86.66</v>
      </c>
      <c r="N3043" s="4">
        <f t="shared" si="47"/>
        <v>-39.746134318024467</v>
      </c>
      <c r="O3043" t="s">
        <v>83</v>
      </c>
      <c r="Q3043">
        <v>38</v>
      </c>
      <c r="R3043">
        <v>18</v>
      </c>
      <c r="S3043" t="e">
        <f>VLOOKUP(Tabla3[[#This Row],[Nº]],[1]!NOMINA[#Data],4,FALSE)</f>
        <v>#REF!</v>
      </c>
      <c r="T3043" t="e">
        <f>VLOOKUP(Tabla3[[#This Row],[Nº]],[1]!NOMINA[#Data],5,FALSE)</f>
        <v>#REF!</v>
      </c>
    </row>
    <row r="3044" spans="1:20" x14ac:dyDescent="0.25">
      <c r="A3044" s="22">
        <v>45776</v>
      </c>
      <c r="B3044" s="1">
        <v>412073109</v>
      </c>
      <c r="C3044" t="s">
        <v>52</v>
      </c>
      <c r="D3044" s="23">
        <v>-7749.9</v>
      </c>
      <c r="E3044" t="s">
        <v>35</v>
      </c>
      <c r="F3044" s="2">
        <v>212901001</v>
      </c>
      <c r="G3044" s="2" t="s">
        <v>91</v>
      </c>
      <c r="I3044" s="95" t="s">
        <v>7231</v>
      </c>
      <c r="J3044" t="s">
        <v>61</v>
      </c>
      <c r="K3044" t="s">
        <v>62</v>
      </c>
      <c r="M3044">
        <v>86.66</v>
      </c>
      <c r="N3044" s="4">
        <f t="shared" si="47"/>
        <v>-89.428802215555038</v>
      </c>
      <c r="O3044" t="s">
        <v>83</v>
      </c>
    </row>
    <row r="3045" spans="1:20" x14ac:dyDescent="0.25">
      <c r="A3045" s="22">
        <v>45776</v>
      </c>
      <c r="B3045" s="1">
        <v>412073110</v>
      </c>
      <c r="C3045" t="s">
        <v>52</v>
      </c>
      <c r="D3045" s="23">
        <v>-7749.9</v>
      </c>
      <c r="E3045" t="s">
        <v>35</v>
      </c>
      <c r="F3045" s="2">
        <v>212901001</v>
      </c>
      <c r="G3045" s="2" t="s">
        <v>91</v>
      </c>
      <c r="I3045" s="95" t="s">
        <v>7231</v>
      </c>
      <c r="J3045" t="s">
        <v>61</v>
      </c>
      <c r="K3045" t="s">
        <v>62</v>
      </c>
      <c r="M3045">
        <v>86.66</v>
      </c>
      <c r="N3045" s="4">
        <f t="shared" si="47"/>
        <v>-89.428802215555038</v>
      </c>
      <c r="O3045" t="s">
        <v>83</v>
      </c>
    </row>
    <row r="3046" spans="1:20" x14ac:dyDescent="0.25">
      <c r="A3046" s="22">
        <v>45776</v>
      </c>
      <c r="B3046" s="1">
        <v>50470960</v>
      </c>
      <c r="C3046" t="s">
        <v>52</v>
      </c>
      <c r="D3046" s="23">
        <v>-15066.32</v>
      </c>
      <c r="E3046" t="s">
        <v>35</v>
      </c>
      <c r="F3046" s="2">
        <v>212901001</v>
      </c>
      <c r="G3046" s="2" t="s">
        <v>91</v>
      </c>
      <c r="I3046" s="95" t="s">
        <v>7231</v>
      </c>
      <c r="J3046" t="s">
        <v>61</v>
      </c>
      <c r="K3046" t="s">
        <v>62</v>
      </c>
      <c r="M3046">
        <v>86.66</v>
      </c>
      <c r="N3046" s="4">
        <f t="shared" si="47"/>
        <v>-173.85552734825757</v>
      </c>
      <c r="O3046" t="s">
        <v>83</v>
      </c>
      <c r="R3046">
        <v>40</v>
      </c>
      <c r="S3046" t="e">
        <f>VLOOKUP(R3046,[1]!NOMINA[#Data],4,FALSE)</f>
        <v>#REF!</v>
      </c>
      <c r="T3046" t="e">
        <f>VLOOKUP(R3046,[1]!NOMINA[#Data],5,FALSE)</f>
        <v>#REF!</v>
      </c>
    </row>
    <row r="3047" spans="1:20" x14ac:dyDescent="0.25">
      <c r="A3047" s="22">
        <v>45776</v>
      </c>
      <c r="B3047" s="1">
        <v>50470960</v>
      </c>
      <c r="C3047" t="s">
        <v>52</v>
      </c>
      <c r="D3047" s="23">
        <v>-22.59</v>
      </c>
      <c r="E3047" t="s">
        <v>35</v>
      </c>
      <c r="F3047" s="2">
        <v>610148001</v>
      </c>
      <c r="G3047" s="2" t="s">
        <v>41</v>
      </c>
      <c r="I3047" s="95" t="s">
        <v>7231</v>
      </c>
      <c r="J3047" t="s">
        <v>42</v>
      </c>
      <c r="K3047" t="s">
        <v>41</v>
      </c>
      <c r="M3047">
        <v>86.66</v>
      </c>
      <c r="N3047" s="4">
        <f t="shared" si="47"/>
        <v>-0.26067389799215324</v>
      </c>
      <c r="O3047" t="s">
        <v>83</v>
      </c>
      <c r="Q3047" s="24" t="s">
        <v>2195</v>
      </c>
    </row>
    <row r="3048" spans="1:20" x14ac:dyDescent="0.25">
      <c r="A3048" s="22">
        <v>45776</v>
      </c>
      <c r="B3048" s="1">
        <v>50470960</v>
      </c>
      <c r="C3048" t="s">
        <v>52</v>
      </c>
      <c r="D3048" s="23">
        <v>-1334.58</v>
      </c>
      <c r="E3048" t="s">
        <v>35</v>
      </c>
      <c r="F3048" s="2">
        <v>610148001</v>
      </c>
      <c r="G3048" s="2" t="s">
        <v>41</v>
      </c>
      <c r="I3048" s="95" t="s">
        <v>7231</v>
      </c>
      <c r="J3048" t="s">
        <v>42</v>
      </c>
      <c r="K3048" t="s">
        <v>41</v>
      </c>
      <c r="M3048">
        <v>86.66</v>
      </c>
      <c r="N3048" s="4">
        <f t="shared" si="47"/>
        <v>-15.40018462958689</v>
      </c>
      <c r="O3048" t="s">
        <v>83</v>
      </c>
      <c r="Q3048" s="24" t="s">
        <v>2195</v>
      </c>
    </row>
    <row r="3049" spans="1:20" x14ac:dyDescent="0.25">
      <c r="A3049" s="22">
        <v>45777</v>
      </c>
      <c r="B3049" s="1">
        <v>143638012</v>
      </c>
      <c r="C3049" t="s">
        <v>52</v>
      </c>
      <c r="D3049" s="23">
        <v>65000</v>
      </c>
      <c r="E3049" t="s">
        <v>45</v>
      </c>
      <c r="F3049" s="2">
        <v>210115002</v>
      </c>
      <c r="G3049" s="2" t="s">
        <v>46</v>
      </c>
      <c r="I3049" s="95" t="s">
        <v>7231</v>
      </c>
      <c r="K3049" t="s">
        <v>82</v>
      </c>
      <c r="M3049">
        <v>86.85</v>
      </c>
      <c r="N3049" s="4">
        <f t="shared" si="47"/>
        <v>748.41681059297639</v>
      </c>
      <c r="O3049" t="s">
        <v>83</v>
      </c>
    </row>
    <row r="3050" spans="1:20" x14ac:dyDescent="0.25">
      <c r="A3050" s="22">
        <v>45777</v>
      </c>
      <c r="B3050" s="1">
        <v>612135914</v>
      </c>
      <c r="C3050" t="s">
        <v>77</v>
      </c>
      <c r="D3050" s="31">
        <v>-8685</v>
      </c>
      <c r="E3050" t="s">
        <v>35</v>
      </c>
      <c r="F3050" s="2">
        <v>610124003</v>
      </c>
      <c r="G3050" s="2" t="s">
        <v>78</v>
      </c>
      <c r="I3050" s="95" t="s">
        <v>7231</v>
      </c>
      <c r="J3050" t="s">
        <v>79</v>
      </c>
      <c r="K3050" t="s">
        <v>80</v>
      </c>
      <c r="L3050" s="28" t="s">
        <v>56</v>
      </c>
      <c r="M3050">
        <v>86.85</v>
      </c>
      <c r="N3050" s="4">
        <f t="shared" si="47"/>
        <v>-100</v>
      </c>
      <c r="O3050" t="s">
        <v>83</v>
      </c>
      <c r="Q3050" s="24" t="s">
        <v>2495</v>
      </c>
    </row>
    <row r="3051" spans="1:20" x14ac:dyDescent="0.25">
      <c r="A3051" s="33">
        <v>45777</v>
      </c>
      <c r="B3051" s="27">
        <v>612135916</v>
      </c>
      <c r="C3051" s="28" t="s">
        <v>52</v>
      </c>
      <c r="D3051" s="29">
        <v>-13027.5</v>
      </c>
      <c r="E3051" s="28" t="s">
        <v>35</v>
      </c>
      <c r="F3051" s="30">
        <v>610156001</v>
      </c>
      <c r="G3051" s="30" t="s">
        <v>72</v>
      </c>
      <c r="H3051" s="30"/>
      <c r="I3051" s="95" t="s">
        <v>7231</v>
      </c>
      <c r="J3051" s="28" t="s">
        <v>73</v>
      </c>
      <c r="K3051" s="28" t="s">
        <v>74</v>
      </c>
      <c r="L3051" s="28" t="s">
        <v>56</v>
      </c>
      <c r="M3051" s="28">
        <v>86.85</v>
      </c>
      <c r="N3051" s="4">
        <f t="shared" si="47"/>
        <v>-150</v>
      </c>
      <c r="O3051" t="s">
        <v>83</v>
      </c>
      <c r="Q3051" s="24" t="s">
        <v>2496</v>
      </c>
    </row>
    <row r="3052" spans="1:20" x14ac:dyDescent="0.25">
      <c r="A3052" s="22">
        <v>45777</v>
      </c>
      <c r="B3052" s="1">
        <v>712135918</v>
      </c>
      <c r="C3052" t="s">
        <v>52</v>
      </c>
      <c r="D3052" s="23">
        <v>-42308.45</v>
      </c>
      <c r="E3052" t="s">
        <v>35</v>
      </c>
      <c r="F3052" s="2">
        <v>110114001</v>
      </c>
      <c r="G3052" s="2" t="s">
        <v>181</v>
      </c>
      <c r="I3052" s="95" t="s">
        <v>7231</v>
      </c>
      <c r="J3052" t="s">
        <v>37</v>
      </c>
      <c r="K3052" t="s">
        <v>38</v>
      </c>
      <c r="M3052">
        <v>86.85</v>
      </c>
      <c r="N3052" s="4">
        <f t="shared" si="47"/>
        <v>-487.14392630972941</v>
      </c>
      <c r="O3052" t="s">
        <v>83</v>
      </c>
      <c r="P3052" s="34" t="s">
        <v>1529</v>
      </c>
    </row>
    <row r="3053" spans="1:20" x14ac:dyDescent="0.25">
      <c r="A3053" s="22">
        <v>45777</v>
      </c>
      <c r="B3053" s="1">
        <v>50456603</v>
      </c>
      <c r="C3053" t="s">
        <v>52</v>
      </c>
      <c r="D3053" s="23">
        <v>-160.05000000000001</v>
      </c>
      <c r="E3053" t="s">
        <v>35</v>
      </c>
      <c r="F3053" s="2">
        <v>610148001</v>
      </c>
      <c r="G3053" s="2" t="s">
        <v>41</v>
      </c>
      <c r="I3053" s="95" t="s">
        <v>7231</v>
      </c>
      <c r="J3053" t="s">
        <v>42</v>
      </c>
      <c r="K3053" t="s">
        <v>41</v>
      </c>
      <c r="M3053">
        <v>86.85</v>
      </c>
      <c r="N3053" s="4">
        <f t="shared" si="47"/>
        <v>-1.8428324697754752</v>
      </c>
      <c r="O3053" t="s">
        <v>83</v>
      </c>
      <c r="Q3053" s="24" t="s">
        <v>2195</v>
      </c>
    </row>
    <row r="3054" spans="1:20" x14ac:dyDescent="0.25">
      <c r="A3054" s="22">
        <v>45777</v>
      </c>
      <c r="B3054" s="1">
        <v>0</v>
      </c>
      <c r="C3054" t="s">
        <v>52</v>
      </c>
      <c r="D3054" s="23">
        <v>-0.5</v>
      </c>
      <c r="E3054" t="s">
        <v>35</v>
      </c>
      <c r="F3054" s="2">
        <v>610148001</v>
      </c>
      <c r="G3054" s="2" t="s">
        <v>41</v>
      </c>
      <c r="I3054" s="95" t="s">
        <v>7231</v>
      </c>
      <c r="J3054" t="s">
        <v>42</v>
      </c>
      <c r="K3054" t="s">
        <v>41</v>
      </c>
      <c r="M3054">
        <v>86.85</v>
      </c>
      <c r="N3054" s="4">
        <f t="shared" si="47"/>
        <v>-5.7570523891767415E-3</v>
      </c>
      <c r="O3054" t="s">
        <v>83</v>
      </c>
      <c r="Q3054" s="24" t="s">
        <v>2195</v>
      </c>
    </row>
    <row r="3055" spans="1:20" x14ac:dyDescent="0.25">
      <c r="A3055" s="22">
        <v>45777</v>
      </c>
      <c r="B3055" s="1">
        <v>0</v>
      </c>
      <c r="C3055" t="s">
        <v>52</v>
      </c>
      <c r="D3055" s="23">
        <v>-0.5</v>
      </c>
      <c r="E3055" t="s">
        <v>35</v>
      </c>
      <c r="F3055" s="2">
        <v>610148001</v>
      </c>
      <c r="G3055" s="2" t="s">
        <v>41</v>
      </c>
      <c r="I3055" s="95" t="s">
        <v>7231</v>
      </c>
      <c r="J3055" t="s">
        <v>42</v>
      </c>
      <c r="K3055" t="s">
        <v>41</v>
      </c>
      <c r="M3055">
        <v>86.85</v>
      </c>
      <c r="N3055" s="4">
        <f t="shared" si="47"/>
        <v>-5.7570523891767415E-3</v>
      </c>
      <c r="O3055" t="s">
        <v>83</v>
      </c>
      <c r="Q3055" s="24" t="s">
        <v>2195</v>
      </c>
    </row>
    <row r="3056" spans="1:20" x14ac:dyDescent="0.25">
      <c r="A3056" s="22">
        <v>45748</v>
      </c>
      <c r="B3056" s="1" t="s">
        <v>2497</v>
      </c>
      <c r="C3056" t="s">
        <v>52</v>
      </c>
      <c r="D3056" s="23">
        <v>-0.5</v>
      </c>
      <c r="E3056" t="s">
        <v>35</v>
      </c>
      <c r="F3056" s="2">
        <v>610148001</v>
      </c>
      <c r="G3056" s="2" t="s">
        <v>41</v>
      </c>
      <c r="I3056" s="95" t="s">
        <v>7231</v>
      </c>
      <c r="J3056" t="s">
        <v>42</v>
      </c>
      <c r="K3056" t="s">
        <v>41</v>
      </c>
      <c r="M3056">
        <v>69.78</v>
      </c>
      <c r="N3056" s="4">
        <f t="shared" si="47"/>
        <v>-7.1653768988248785E-3</v>
      </c>
      <c r="O3056" t="s">
        <v>605</v>
      </c>
      <c r="Q3056" s="24" t="s">
        <v>2195</v>
      </c>
    </row>
    <row r="3057" spans="1:20" x14ac:dyDescent="0.25">
      <c r="A3057" s="22">
        <v>45748</v>
      </c>
      <c r="B3057" s="1" t="s">
        <v>2498</v>
      </c>
      <c r="C3057" t="s">
        <v>52</v>
      </c>
      <c r="D3057" s="23">
        <v>280000</v>
      </c>
      <c r="E3057" t="s">
        <v>45</v>
      </c>
      <c r="F3057" s="2">
        <v>210115002</v>
      </c>
      <c r="G3057" s="2" t="s">
        <v>46</v>
      </c>
      <c r="I3057" s="95" t="s">
        <v>7231</v>
      </c>
      <c r="K3057" t="s">
        <v>293</v>
      </c>
      <c r="M3057">
        <v>69.78</v>
      </c>
      <c r="N3057" s="4">
        <f t="shared" si="47"/>
        <v>4012.6110633419316</v>
      </c>
      <c r="O3057" t="s">
        <v>605</v>
      </c>
    </row>
    <row r="3058" spans="1:20" x14ac:dyDescent="0.25">
      <c r="A3058" s="22">
        <v>45748</v>
      </c>
      <c r="B3058" s="1" t="s">
        <v>619</v>
      </c>
      <c r="C3058" t="s">
        <v>52</v>
      </c>
      <c r="D3058" s="23">
        <v>-15622.35</v>
      </c>
      <c r="E3058" t="s">
        <v>35</v>
      </c>
      <c r="F3058" s="2">
        <v>210101001</v>
      </c>
      <c r="G3058" s="2" t="s">
        <v>36</v>
      </c>
      <c r="I3058" s="95" t="s">
        <v>7231</v>
      </c>
      <c r="J3058" t="s">
        <v>398</v>
      </c>
      <c r="K3058" t="s">
        <v>399</v>
      </c>
      <c r="M3058">
        <v>69.78</v>
      </c>
      <c r="N3058" s="4">
        <f t="shared" si="47"/>
        <v>-223.88005159071366</v>
      </c>
      <c r="O3058" t="s">
        <v>605</v>
      </c>
    </row>
    <row r="3059" spans="1:20" x14ac:dyDescent="0.25">
      <c r="A3059" s="22">
        <v>45748</v>
      </c>
      <c r="B3059" s="1" t="s">
        <v>613</v>
      </c>
      <c r="C3059" t="s">
        <v>52</v>
      </c>
      <c r="D3059" s="23">
        <v>-1619.16</v>
      </c>
      <c r="E3059" t="s">
        <v>35</v>
      </c>
      <c r="F3059" s="2">
        <v>210101001</v>
      </c>
      <c r="G3059" s="2" t="s">
        <v>36</v>
      </c>
      <c r="I3059" s="95" t="s">
        <v>7231</v>
      </c>
      <c r="J3059" t="s">
        <v>398</v>
      </c>
      <c r="K3059" t="s">
        <v>399</v>
      </c>
      <c r="M3059">
        <v>69.78</v>
      </c>
      <c r="N3059" s="4">
        <f t="shared" si="47"/>
        <v>-23.203783319002579</v>
      </c>
      <c r="O3059" t="s">
        <v>605</v>
      </c>
    </row>
    <row r="3060" spans="1:20" x14ac:dyDescent="0.25">
      <c r="A3060" s="22">
        <v>45748</v>
      </c>
      <c r="B3060" s="1" t="s">
        <v>615</v>
      </c>
      <c r="C3060" t="s">
        <v>52</v>
      </c>
      <c r="D3060" s="23">
        <v>-200000</v>
      </c>
      <c r="E3060" t="s">
        <v>35</v>
      </c>
      <c r="F3060" s="2">
        <v>210101001</v>
      </c>
      <c r="G3060" s="2" t="s">
        <v>36</v>
      </c>
      <c r="I3060" s="95" t="s">
        <v>7231</v>
      </c>
      <c r="J3060" t="s">
        <v>376</v>
      </c>
      <c r="K3060" t="s">
        <v>377</v>
      </c>
      <c r="M3060">
        <v>69.78</v>
      </c>
      <c r="N3060" s="4">
        <f t="shared" si="47"/>
        <v>-2866.1507595299513</v>
      </c>
      <c r="O3060" t="s">
        <v>605</v>
      </c>
    </row>
    <row r="3061" spans="1:20" x14ac:dyDescent="0.25">
      <c r="A3061" s="22">
        <v>45748</v>
      </c>
      <c r="B3061" s="1" t="s">
        <v>615</v>
      </c>
      <c r="C3061" t="s">
        <v>52</v>
      </c>
      <c r="D3061" s="23">
        <v>-56963.75</v>
      </c>
      <c r="E3061" t="s">
        <v>35</v>
      </c>
      <c r="F3061" s="2">
        <v>210101001</v>
      </c>
      <c r="G3061" s="2" t="s">
        <v>36</v>
      </c>
      <c r="I3061" s="95" t="s">
        <v>7231</v>
      </c>
      <c r="J3061" t="s">
        <v>376</v>
      </c>
      <c r="K3061" t="s">
        <v>377</v>
      </c>
      <c r="M3061">
        <v>69.78</v>
      </c>
      <c r="N3061" s="4">
        <f t="shared" si="47"/>
        <v>-816.33347664087125</v>
      </c>
      <c r="O3061" t="s">
        <v>605</v>
      </c>
    </row>
    <row r="3062" spans="1:20" x14ac:dyDescent="0.25">
      <c r="A3062" s="22">
        <v>45748</v>
      </c>
      <c r="B3062" s="1" t="s">
        <v>619</v>
      </c>
      <c r="C3062" t="s">
        <v>52</v>
      </c>
      <c r="D3062" s="23">
        <v>-14451.96</v>
      </c>
      <c r="E3062" t="s">
        <v>35</v>
      </c>
      <c r="F3062" s="2">
        <v>210101001</v>
      </c>
      <c r="G3062" s="2" t="s">
        <v>36</v>
      </c>
      <c r="I3062" s="95" t="s">
        <v>7231</v>
      </c>
      <c r="J3062" t="s">
        <v>283</v>
      </c>
      <c r="K3062" t="s">
        <v>1628</v>
      </c>
      <c r="M3062">
        <v>69.78</v>
      </c>
      <c r="N3062" s="4">
        <f t="shared" si="47"/>
        <v>-207.10748065348236</v>
      </c>
      <c r="O3062" t="s">
        <v>605</v>
      </c>
    </row>
    <row r="3063" spans="1:20" x14ac:dyDescent="0.25">
      <c r="A3063" s="22">
        <v>45748</v>
      </c>
      <c r="B3063" s="1" t="s">
        <v>623</v>
      </c>
      <c r="C3063" t="s">
        <v>52</v>
      </c>
      <c r="D3063" s="23">
        <v>-4.04</v>
      </c>
      <c r="E3063" t="s">
        <v>35</v>
      </c>
      <c r="F3063" s="2">
        <v>610148001</v>
      </c>
      <c r="G3063" s="2" t="s">
        <v>41</v>
      </c>
      <c r="I3063" s="95" t="s">
        <v>7231</v>
      </c>
      <c r="J3063" t="s">
        <v>42</v>
      </c>
      <c r="K3063" t="s">
        <v>41</v>
      </c>
      <c r="M3063">
        <v>69.78</v>
      </c>
      <c r="N3063" s="4">
        <f t="shared" si="47"/>
        <v>-5.7896245342505016E-2</v>
      </c>
      <c r="O3063" t="s">
        <v>605</v>
      </c>
      <c r="Q3063" s="24" t="s">
        <v>2195</v>
      </c>
    </row>
    <row r="3064" spans="1:20" x14ac:dyDescent="0.25">
      <c r="A3064" s="22">
        <v>45748</v>
      </c>
      <c r="B3064" s="1" t="s">
        <v>625</v>
      </c>
      <c r="C3064" t="s">
        <v>52</v>
      </c>
      <c r="D3064" s="23">
        <v>-142.4</v>
      </c>
      <c r="E3064" t="s">
        <v>35</v>
      </c>
      <c r="F3064" s="2">
        <v>610148001</v>
      </c>
      <c r="G3064" s="2" t="s">
        <v>41</v>
      </c>
      <c r="I3064" s="95" t="s">
        <v>7231</v>
      </c>
      <c r="J3064" t="s">
        <v>42</v>
      </c>
      <c r="K3064" t="s">
        <v>41</v>
      </c>
      <c r="M3064">
        <v>69.78</v>
      </c>
      <c r="N3064" s="4">
        <f t="shared" si="47"/>
        <v>-2.0406993407853253</v>
      </c>
      <c r="O3064" t="s">
        <v>605</v>
      </c>
      <c r="Q3064" s="24" t="s">
        <v>2195</v>
      </c>
    </row>
    <row r="3065" spans="1:20" x14ac:dyDescent="0.25">
      <c r="A3065" s="22">
        <v>45748</v>
      </c>
      <c r="B3065" s="1" t="s">
        <v>625</v>
      </c>
      <c r="C3065" t="s">
        <v>52</v>
      </c>
      <c r="D3065" s="23">
        <v>-500</v>
      </c>
      <c r="E3065" t="s">
        <v>35</v>
      </c>
      <c r="F3065" s="2">
        <v>610148001</v>
      </c>
      <c r="G3065" s="2" t="s">
        <v>41</v>
      </c>
      <c r="I3065" s="95" t="s">
        <v>7231</v>
      </c>
      <c r="J3065" t="s">
        <v>42</v>
      </c>
      <c r="K3065" t="s">
        <v>41</v>
      </c>
      <c r="M3065">
        <v>69.78</v>
      </c>
      <c r="N3065" s="4">
        <f t="shared" si="47"/>
        <v>-7.1653768988248778</v>
      </c>
      <c r="O3065" t="s">
        <v>605</v>
      </c>
      <c r="Q3065" s="24" t="s">
        <v>2195</v>
      </c>
    </row>
    <row r="3066" spans="1:20" x14ac:dyDescent="0.25">
      <c r="A3066" s="22">
        <v>45748</v>
      </c>
      <c r="B3066" s="1" t="s">
        <v>621</v>
      </c>
      <c r="C3066" t="s">
        <v>52</v>
      </c>
      <c r="D3066" s="23">
        <v>-36.119999999999997</v>
      </c>
      <c r="E3066" t="s">
        <v>35</v>
      </c>
      <c r="F3066" s="2">
        <v>610148001</v>
      </c>
      <c r="G3066" s="2" t="s">
        <v>41</v>
      </c>
      <c r="I3066" s="95" t="s">
        <v>7231</v>
      </c>
      <c r="J3066" t="s">
        <v>42</v>
      </c>
      <c r="K3066" t="s">
        <v>41</v>
      </c>
      <c r="M3066">
        <v>69.78</v>
      </c>
      <c r="N3066" s="4">
        <f t="shared" si="47"/>
        <v>-0.51762682717110919</v>
      </c>
      <c r="O3066" t="s">
        <v>605</v>
      </c>
      <c r="Q3066" s="24" t="s">
        <v>2195</v>
      </c>
    </row>
    <row r="3067" spans="1:20" x14ac:dyDescent="0.25">
      <c r="A3067" s="22">
        <v>45748</v>
      </c>
      <c r="B3067" s="1" t="s">
        <v>621</v>
      </c>
      <c r="C3067" t="s">
        <v>52</v>
      </c>
      <c r="D3067" s="23">
        <v>-39.049999999999997</v>
      </c>
      <c r="E3067" t="s">
        <v>35</v>
      </c>
      <c r="F3067" s="2">
        <v>610148001</v>
      </c>
      <c r="G3067" s="2" t="s">
        <v>41</v>
      </c>
      <c r="I3067" s="95" t="s">
        <v>7231</v>
      </c>
      <c r="J3067" t="s">
        <v>42</v>
      </c>
      <c r="K3067" t="s">
        <v>41</v>
      </c>
      <c r="M3067">
        <v>69.78</v>
      </c>
      <c r="N3067" s="4">
        <f t="shared" si="47"/>
        <v>-0.55961593579822289</v>
      </c>
      <c r="O3067" t="s">
        <v>605</v>
      </c>
      <c r="Q3067" s="24" t="s">
        <v>2195</v>
      </c>
    </row>
    <row r="3068" spans="1:20" x14ac:dyDescent="0.25">
      <c r="A3068" s="22">
        <v>45749</v>
      </c>
      <c r="B3068" s="1">
        <v>672828717594</v>
      </c>
      <c r="C3068" t="s">
        <v>52</v>
      </c>
      <c r="D3068" s="23">
        <v>2748</v>
      </c>
      <c r="E3068" t="s">
        <v>45</v>
      </c>
      <c r="F3068" s="2">
        <v>212901001</v>
      </c>
      <c r="G3068" s="2" t="s">
        <v>91</v>
      </c>
      <c r="I3068" s="95" t="s">
        <v>7231</v>
      </c>
      <c r="J3068" t="s">
        <v>61</v>
      </c>
      <c r="K3068" t="s">
        <v>62</v>
      </c>
      <c r="M3068">
        <v>70.010000000000005</v>
      </c>
      <c r="N3068" s="4">
        <f t="shared" si="47"/>
        <v>39.251535494929293</v>
      </c>
      <c r="O3068" t="s">
        <v>605</v>
      </c>
      <c r="P3068" t="s">
        <v>2499</v>
      </c>
      <c r="R3068">
        <v>2</v>
      </c>
      <c r="S3068" t="e">
        <f>VLOOKUP(Tabla3[[#This Row],[Nº]],[1]!NOMINA[#Data],4,FALSE)</f>
        <v>#REF!</v>
      </c>
      <c r="T3068" t="e">
        <f>VLOOKUP(Tabla3[[#This Row],[Nº]],[1]!NOMINA[#Data],5,FALSE)</f>
        <v>#REF!</v>
      </c>
    </row>
    <row r="3069" spans="1:20" x14ac:dyDescent="0.25">
      <c r="A3069" s="22">
        <v>45750</v>
      </c>
      <c r="B3069" s="1" t="s">
        <v>2500</v>
      </c>
      <c r="C3069" t="s">
        <v>52</v>
      </c>
      <c r="D3069" s="23">
        <v>1000000</v>
      </c>
      <c r="E3069" t="s">
        <v>45</v>
      </c>
      <c r="F3069" s="2">
        <v>210115002</v>
      </c>
      <c r="G3069" s="2" t="s">
        <v>46</v>
      </c>
      <c r="I3069" s="95" t="s">
        <v>7231</v>
      </c>
      <c r="K3069" t="s">
        <v>293</v>
      </c>
      <c r="M3069">
        <v>70.25</v>
      </c>
      <c r="N3069" s="4">
        <f t="shared" si="47"/>
        <v>14234.875444839858</v>
      </c>
      <c r="O3069" t="s">
        <v>605</v>
      </c>
    </row>
    <row r="3070" spans="1:20" x14ac:dyDescent="0.25">
      <c r="A3070" s="22">
        <v>45750</v>
      </c>
      <c r="B3070" s="1" t="s">
        <v>1268</v>
      </c>
      <c r="C3070" t="s">
        <v>2501</v>
      </c>
      <c r="D3070" s="31">
        <v>-200000</v>
      </c>
      <c r="E3070" t="s">
        <v>35</v>
      </c>
      <c r="F3070" s="2">
        <v>110110001</v>
      </c>
      <c r="G3070" s="2" t="s">
        <v>2502</v>
      </c>
      <c r="I3070" s="95" t="s">
        <v>7231</v>
      </c>
      <c r="J3070" t="s">
        <v>1336</v>
      </c>
      <c r="K3070" t="s">
        <v>657</v>
      </c>
      <c r="M3070">
        <v>70.25</v>
      </c>
      <c r="N3070" s="4">
        <f t="shared" si="47"/>
        <v>-2846.9750889679717</v>
      </c>
      <c r="O3070" t="s">
        <v>605</v>
      </c>
      <c r="Q3070" s="24" t="s">
        <v>2503</v>
      </c>
    </row>
    <row r="3071" spans="1:20" x14ac:dyDescent="0.25">
      <c r="A3071" s="22">
        <v>45750</v>
      </c>
      <c r="B3071" s="1" t="s">
        <v>619</v>
      </c>
      <c r="C3071" t="s">
        <v>2501</v>
      </c>
      <c r="D3071" s="31">
        <v>-200000</v>
      </c>
      <c r="E3071" t="s">
        <v>35</v>
      </c>
      <c r="F3071" s="2">
        <v>110110001</v>
      </c>
      <c r="G3071" s="2" t="s">
        <v>2502</v>
      </c>
      <c r="I3071" s="95" t="s">
        <v>7231</v>
      </c>
      <c r="J3071" t="s">
        <v>1336</v>
      </c>
      <c r="K3071" t="s">
        <v>657</v>
      </c>
      <c r="M3071">
        <v>70.25</v>
      </c>
      <c r="N3071" s="4">
        <f t="shared" si="47"/>
        <v>-2846.9750889679717</v>
      </c>
      <c r="O3071" t="s">
        <v>605</v>
      </c>
      <c r="Q3071" s="24" t="s">
        <v>2503</v>
      </c>
    </row>
    <row r="3072" spans="1:20" x14ac:dyDescent="0.25">
      <c r="A3072" s="22">
        <v>45750</v>
      </c>
      <c r="B3072" s="1" t="s">
        <v>617</v>
      </c>
      <c r="C3072" t="s">
        <v>2501</v>
      </c>
      <c r="D3072" s="31">
        <v>-200000</v>
      </c>
      <c r="E3072" t="s">
        <v>35</v>
      </c>
      <c r="F3072" s="2">
        <v>110110001</v>
      </c>
      <c r="G3072" s="2" t="s">
        <v>2502</v>
      </c>
      <c r="I3072" s="95" t="s">
        <v>7231</v>
      </c>
      <c r="J3072" t="s">
        <v>1336</v>
      </c>
      <c r="K3072" t="s">
        <v>657</v>
      </c>
      <c r="M3072">
        <v>70.25</v>
      </c>
      <c r="N3072" s="4">
        <f t="shared" si="47"/>
        <v>-2846.9750889679717</v>
      </c>
      <c r="O3072" t="s">
        <v>605</v>
      </c>
      <c r="Q3072" s="24" t="s">
        <v>2503</v>
      </c>
    </row>
    <row r="3073" spans="1:17" x14ac:dyDescent="0.25">
      <c r="A3073" s="22">
        <v>45750</v>
      </c>
      <c r="B3073" s="1" t="s">
        <v>613</v>
      </c>
      <c r="C3073" t="s">
        <v>2501</v>
      </c>
      <c r="D3073" s="31">
        <v>-172016.94</v>
      </c>
      <c r="E3073" t="s">
        <v>35</v>
      </c>
      <c r="F3073" s="2">
        <v>110110001</v>
      </c>
      <c r="G3073" s="2" t="s">
        <v>2502</v>
      </c>
      <c r="I3073" s="95" t="s">
        <v>7231</v>
      </c>
      <c r="J3073" t="s">
        <v>1336</v>
      </c>
      <c r="K3073" t="s">
        <v>657</v>
      </c>
      <c r="M3073">
        <v>70.25</v>
      </c>
      <c r="N3073" s="4">
        <f t="shared" si="47"/>
        <v>-2448.6397153024909</v>
      </c>
      <c r="O3073" t="s">
        <v>605</v>
      </c>
      <c r="Q3073" s="24" t="s">
        <v>2503</v>
      </c>
    </row>
    <row r="3074" spans="1:17" x14ac:dyDescent="0.25">
      <c r="A3074" s="22">
        <v>45750</v>
      </c>
      <c r="B3074" s="1" t="s">
        <v>615</v>
      </c>
      <c r="C3074" t="s">
        <v>2501</v>
      </c>
      <c r="D3074" s="31">
        <v>-200000</v>
      </c>
      <c r="E3074" t="s">
        <v>35</v>
      </c>
      <c r="F3074" s="2">
        <v>110110001</v>
      </c>
      <c r="G3074" s="2" t="s">
        <v>2502</v>
      </c>
      <c r="I3074" s="95" t="s">
        <v>7231</v>
      </c>
      <c r="J3074" t="s">
        <v>1336</v>
      </c>
      <c r="K3074" t="s">
        <v>657</v>
      </c>
      <c r="M3074">
        <v>70.25</v>
      </c>
      <c r="N3074" s="4">
        <f t="shared" si="47"/>
        <v>-2846.9750889679717</v>
      </c>
      <c r="O3074" t="s">
        <v>605</v>
      </c>
      <c r="Q3074" s="24" t="s">
        <v>2503</v>
      </c>
    </row>
    <row r="3075" spans="1:17" x14ac:dyDescent="0.25">
      <c r="A3075" s="22">
        <v>45750</v>
      </c>
      <c r="B3075" s="1" t="s">
        <v>621</v>
      </c>
      <c r="C3075" t="s">
        <v>52</v>
      </c>
      <c r="D3075" s="23">
        <v>-500</v>
      </c>
      <c r="E3075" t="s">
        <v>35</v>
      </c>
      <c r="F3075" s="2">
        <v>610148001</v>
      </c>
      <c r="G3075" s="2" t="s">
        <v>41</v>
      </c>
      <c r="I3075" s="95" t="s">
        <v>7231</v>
      </c>
      <c r="J3075" t="s">
        <v>42</v>
      </c>
      <c r="K3075" t="s">
        <v>41</v>
      </c>
      <c r="M3075">
        <v>70.25</v>
      </c>
      <c r="N3075" s="4">
        <f t="shared" si="47"/>
        <v>-7.117437722419929</v>
      </c>
      <c r="O3075" t="s">
        <v>605</v>
      </c>
      <c r="Q3075" s="24" t="s">
        <v>2195</v>
      </c>
    </row>
    <row r="3076" spans="1:17" x14ac:dyDescent="0.25">
      <c r="A3076" s="22">
        <v>45750</v>
      </c>
      <c r="B3076" s="1" t="s">
        <v>625</v>
      </c>
      <c r="C3076" t="s">
        <v>52</v>
      </c>
      <c r="D3076" s="23">
        <v>-500</v>
      </c>
      <c r="E3076" t="s">
        <v>35</v>
      </c>
      <c r="F3076" s="2">
        <v>610148001</v>
      </c>
      <c r="G3076" s="2" t="s">
        <v>41</v>
      </c>
      <c r="I3076" s="95" t="s">
        <v>7231</v>
      </c>
      <c r="J3076" t="s">
        <v>42</v>
      </c>
      <c r="K3076" t="s">
        <v>41</v>
      </c>
      <c r="M3076">
        <v>70.25</v>
      </c>
      <c r="N3076" s="4">
        <f t="shared" si="47"/>
        <v>-7.117437722419929</v>
      </c>
      <c r="O3076" t="s">
        <v>605</v>
      </c>
      <c r="Q3076" s="24" t="s">
        <v>2195</v>
      </c>
    </row>
    <row r="3077" spans="1:17" x14ac:dyDescent="0.25">
      <c r="A3077" s="22">
        <v>45750</v>
      </c>
      <c r="B3077" s="1" t="s">
        <v>624</v>
      </c>
      <c r="C3077" t="s">
        <v>52</v>
      </c>
      <c r="D3077" s="23">
        <v>-500</v>
      </c>
      <c r="E3077" t="s">
        <v>35</v>
      </c>
      <c r="F3077" s="2">
        <v>610148001</v>
      </c>
      <c r="G3077" s="2" t="s">
        <v>41</v>
      </c>
      <c r="I3077" s="95" t="s">
        <v>7231</v>
      </c>
      <c r="J3077" t="s">
        <v>42</v>
      </c>
      <c r="K3077" t="s">
        <v>41</v>
      </c>
      <c r="M3077">
        <v>70.25</v>
      </c>
      <c r="N3077" s="4">
        <f t="shared" si="47"/>
        <v>-7.117437722419929</v>
      </c>
      <c r="O3077" t="s">
        <v>605</v>
      </c>
      <c r="Q3077" s="24" t="s">
        <v>2195</v>
      </c>
    </row>
    <row r="3078" spans="1:17" x14ac:dyDescent="0.25">
      <c r="A3078" s="22">
        <v>45750</v>
      </c>
      <c r="B3078" s="1" t="s">
        <v>1271</v>
      </c>
      <c r="C3078" t="s">
        <v>52</v>
      </c>
      <c r="D3078" s="23">
        <v>-500</v>
      </c>
      <c r="E3078" t="s">
        <v>35</v>
      </c>
      <c r="F3078" s="2">
        <v>610148001</v>
      </c>
      <c r="G3078" s="2" t="s">
        <v>41</v>
      </c>
      <c r="I3078" s="95" t="s">
        <v>7231</v>
      </c>
      <c r="J3078" t="s">
        <v>42</v>
      </c>
      <c r="K3078" t="s">
        <v>41</v>
      </c>
      <c r="M3078">
        <v>70.25</v>
      </c>
      <c r="N3078" s="4">
        <f t="shared" si="47"/>
        <v>-7.117437722419929</v>
      </c>
      <c r="O3078" t="s">
        <v>605</v>
      </c>
      <c r="Q3078" s="24" t="s">
        <v>2195</v>
      </c>
    </row>
    <row r="3079" spans="1:17" x14ac:dyDescent="0.25">
      <c r="A3079" s="22">
        <v>45750</v>
      </c>
      <c r="B3079" s="1" t="s">
        <v>623</v>
      </c>
      <c r="C3079" t="s">
        <v>52</v>
      </c>
      <c r="D3079" s="23">
        <v>-430.04</v>
      </c>
      <c r="E3079" t="s">
        <v>35</v>
      </c>
      <c r="F3079" s="2">
        <v>610148001</v>
      </c>
      <c r="G3079" s="2" t="s">
        <v>41</v>
      </c>
      <c r="I3079" s="95" t="s">
        <v>7231</v>
      </c>
      <c r="J3079" t="s">
        <v>42</v>
      </c>
      <c r="K3079" t="s">
        <v>41</v>
      </c>
      <c r="M3079">
        <v>70.25</v>
      </c>
      <c r="N3079" s="4">
        <f t="shared" si="47"/>
        <v>-6.1215658362989327</v>
      </c>
      <c r="O3079" t="s">
        <v>605</v>
      </c>
      <c r="Q3079" s="24" t="s">
        <v>2195</v>
      </c>
    </row>
    <row r="3080" spans="1:17" x14ac:dyDescent="0.25">
      <c r="A3080" s="22">
        <v>45751</v>
      </c>
      <c r="B3080" s="1" t="s">
        <v>2504</v>
      </c>
      <c r="C3080" t="s">
        <v>52</v>
      </c>
      <c r="D3080" s="23">
        <v>-176.69</v>
      </c>
      <c r="E3080" t="s">
        <v>35</v>
      </c>
      <c r="F3080" s="2">
        <v>213201001</v>
      </c>
      <c r="G3080" s="2" t="s">
        <v>636</v>
      </c>
      <c r="I3080" s="95" t="s">
        <v>7231</v>
      </c>
      <c r="J3080" t="s">
        <v>637</v>
      </c>
      <c r="K3080" t="s">
        <v>638</v>
      </c>
      <c r="M3080">
        <v>70.59</v>
      </c>
      <c r="N3080" s="4">
        <f t="shared" si="47"/>
        <v>-2.5030457571894034</v>
      </c>
      <c r="O3080" t="s">
        <v>605</v>
      </c>
      <c r="Q3080" s="42" t="s">
        <v>2505</v>
      </c>
    </row>
    <row r="3081" spans="1:17" x14ac:dyDescent="0.25">
      <c r="A3081" s="22">
        <v>45751</v>
      </c>
      <c r="B3081" s="1" t="s">
        <v>2506</v>
      </c>
      <c r="C3081" t="s">
        <v>52</v>
      </c>
      <c r="D3081" s="23">
        <v>-74.25</v>
      </c>
      <c r="E3081" t="s">
        <v>35</v>
      </c>
      <c r="F3081" s="2">
        <v>213101001</v>
      </c>
      <c r="G3081" s="2" t="s">
        <v>642</v>
      </c>
      <c r="I3081" s="95" t="s">
        <v>7231</v>
      </c>
      <c r="J3081" t="s">
        <v>643</v>
      </c>
      <c r="K3081" t="s">
        <v>644</v>
      </c>
      <c r="M3081">
        <v>70.59</v>
      </c>
      <c r="N3081" s="4">
        <f t="shared" si="47"/>
        <v>-1.0518487037824054</v>
      </c>
      <c r="O3081" t="s">
        <v>605</v>
      </c>
      <c r="Q3081" s="24" t="s">
        <v>2505</v>
      </c>
    </row>
    <row r="3082" spans="1:17" x14ac:dyDescent="0.25">
      <c r="A3082" s="22">
        <v>45751</v>
      </c>
      <c r="B3082" s="1" t="s">
        <v>2507</v>
      </c>
      <c r="C3082" t="s">
        <v>52</v>
      </c>
      <c r="D3082" s="23">
        <v>-150.54</v>
      </c>
      <c r="E3082" t="s">
        <v>35</v>
      </c>
      <c r="F3082" s="2">
        <v>211001001</v>
      </c>
      <c r="G3082" s="2" t="s">
        <v>2508</v>
      </c>
      <c r="I3082" s="95" t="s">
        <v>7231</v>
      </c>
      <c r="J3082" t="s">
        <v>2509</v>
      </c>
      <c r="K3082" t="s">
        <v>2510</v>
      </c>
      <c r="M3082">
        <v>70.59</v>
      </c>
      <c r="N3082" s="4">
        <f t="shared" si="47"/>
        <v>-2.1325966850828726</v>
      </c>
      <c r="O3082" t="s">
        <v>605</v>
      </c>
      <c r="Q3082" s="24" t="s">
        <v>2505</v>
      </c>
    </row>
    <row r="3083" spans="1:17" x14ac:dyDescent="0.25">
      <c r="A3083" s="22">
        <v>45751</v>
      </c>
      <c r="B3083" s="1" t="s">
        <v>2511</v>
      </c>
      <c r="C3083" t="s">
        <v>52</v>
      </c>
      <c r="D3083" s="23">
        <v>-0.15</v>
      </c>
      <c r="E3083" t="s">
        <v>35</v>
      </c>
      <c r="F3083" s="2">
        <v>610148001</v>
      </c>
      <c r="G3083" s="2" t="s">
        <v>41</v>
      </c>
      <c r="I3083" s="95" t="s">
        <v>7231</v>
      </c>
      <c r="J3083" t="s">
        <v>42</v>
      </c>
      <c r="K3083" t="s">
        <v>41</v>
      </c>
      <c r="M3083">
        <v>70.59</v>
      </c>
      <c r="N3083" s="4">
        <f t="shared" si="47"/>
        <v>-2.1249468763280916E-3</v>
      </c>
      <c r="O3083" t="s">
        <v>605</v>
      </c>
      <c r="Q3083" s="24" t="s">
        <v>2195</v>
      </c>
    </row>
    <row r="3084" spans="1:17" x14ac:dyDescent="0.25">
      <c r="A3084" s="22">
        <v>45751</v>
      </c>
      <c r="B3084" s="1" t="s">
        <v>2512</v>
      </c>
      <c r="C3084" t="s">
        <v>52</v>
      </c>
      <c r="D3084" s="23">
        <v>1200000</v>
      </c>
      <c r="E3084" t="s">
        <v>45</v>
      </c>
      <c r="F3084" s="2">
        <v>210115002</v>
      </c>
      <c r="G3084" s="2" t="s">
        <v>46</v>
      </c>
      <c r="I3084" s="95" t="s">
        <v>7231</v>
      </c>
      <c r="K3084" t="s">
        <v>293</v>
      </c>
      <c r="M3084">
        <v>70.59</v>
      </c>
      <c r="N3084" s="4">
        <f t="shared" ref="N3084:N3147" si="48">D3084/M3084</f>
        <v>16999.575010624732</v>
      </c>
      <c r="O3084" t="s">
        <v>605</v>
      </c>
    </row>
    <row r="3085" spans="1:17" x14ac:dyDescent="0.25">
      <c r="A3085" s="22">
        <v>45751</v>
      </c>
      <c r="B3085" s="1" t="s">
        <v>1892</v>
      </c>
      <c r="C3085" t="s">
        <v>52</v>
      </c>
      <c r="D3085" s="23">
        <v>-1411.8</v>
      </c>
      <c r="E3085" t="s">
        <v>35</v>
      </c>
      <c r="F3085" s="2">
        <v>212901001</v>
      </c>
      <c r="G3085" s="2" t="s">
        <v>91</v>
      </c>
      <c r="I3085" s="95" t="s">
        <v>7231</v>
      </c>
      <c r="J3085" t="s">
        <v>61</v>
      </c>
      <c r="K3085" t="s">
        <v>62</v>
      </c>
      <c r="M3085">
        <v>70.59</v>
      </c>
      <c r="N3085" s="4">
        <f t="shared" si="48"/>
        <v>-20</v>
      </c>
      <c r="O3085" t="s">
        <v>605</v>
      </c>
    </row>
    <row r="3086" spans="1:17" x14ac:dyDescent="0.25">
      <c r="A3086" s="22">
        <v>45751</v>
      </c>
      <c r="B3086" s="1" t="s">
        <v>1981</v>
      </c>
      <c r="C3086" t="s">
        <v>52</v>
      </c>
      <c r="D3086" s="23">
        <v>-67964.05</v>
      </c>
      <c r="E3086" t="s">
        <v>35</v>
      </c>
      <c r="F3086" s="2">
        <v>210101001</v>
      </c>
      <c r="G3086" s="2" t="s">
        <v>36</v>
      </c>
      <c r="I3086" s="95" t="s">
        <v>7231</v>
      </c>
      <c r="J3086" t="s">
        <v>182</v>
      </c>
      <c r="K3086" t="s">
        <v>183</v>
      </c>
      <c r="M3086">
        <v>70.59</v>
      </c>
      <c r="N3086" s="4">
        <f t="shared" si="48"/>
        <v>-962.79997166737496</v>
      </c>
      <c r="O3086" t="s">
        <v>605</v>
      </c>
    </row>
    <row r="3087" spans="1:17" x14ac:dyDescent="0.25">
      <c r="A3087" s="22">
        <v>45751</v>
      </c>
      <c r="B3087" s="1" t="s">
        <v>615</v>
      </c>
      <c r="C3087" t="s">
        <v>52</v>
      </c>
      <c r="D3087" s="23">
        <v>-3953.04</v>
      </c>
      <c r="E3087" t="s">
        <v>35</v>
      </c>
      <c r="F3087" s="2">
        <v>212901001</v>
      </c>
      <c r="G3087" s="2" t="s">
        <v>91</v>
      </c>
      <c r="I3087" s="95" t="s">
        <v>7231</v>
      </c>
      <c r="J3087" t="s">
        <v>61</v>
      </c>
      <c r="K3087" t="s">
        <v>62</v>
      </c>
      <c r="M3087">
        <v>70.59</v>
      </c>
      <c r="N3087" s="4">
        <f t="shared" si="48"/>
        <v>-56</v>
      </c>
      <c r="O3087" t="s">
        <v>605</v>
      </c>
    </row>
    <row r="3088" spans="1:17" x14ac:dyDescent="0.25">
      <c r="A3088" s="33">
        <v>45751</v>
      </c>
      <c r="B3088" s="27" t="s">
        <v>1268</v>
      </c>
      <c r="C3088" s="28" t="s">
        <v>52</v>
      </c>
      <c r="D3088" s="29">
        <v>-3529.5</v>
      </c>
      <c r="E3088" s="28" t="s">
        <v>35</v>
      </c>
      <c r="F3088" s="30">
        <v>610156001</v>
      </c>
      <c r="G3088" s="30" t="s">
        <v>72</v>
      </c>
      <c r="H3088" s="30"/>
      <c r="I3088" s="95" t="s">
        <v>7231</v>
      </c>
      <c r="J3088" s="28" t="s">
        <v>73</v>
      </c>
      <c r="K3088" s="28" t="s">
        <v>74</v>
      </c>
      <c r="L3088" s="28" t="s">
        <v>56</v>
      </c>
      <c r="M3088" s="28">
        <v>70.59</v>
      </c>
      <c r="N3088" s="4">
        <f t="shared" si="48"/>
        <v>-50</v>
      </c>
      <c r="O3088" t="s">
        <v>605</v>
      </c>
      <c r="Q3088" s="24" t="s">
        <v>2513</v>
      </c>
    </row>
    <row r="3089" spans="1:20" x14ac:dyDescent="0.25">
      <c r="A3089" s="22">
        <v>45751</v>
      </c>
      <c r="B3089" s="1" t="s">
        <v>1898</v>
      </c>
      <c r="C3089" t="s">
        <v>52</v>
      </c>
      <c r="D3089" s="23">
        <v>-1411.8</v>
      </c>
      <c r="E3089" t="s">
        <v>35</v>
      </c>
      <c r="F3089" s="2">
        <v>212901001</v>
      </c>
      <c r="G3089" s="2" t="s">
        <v>91</v>
      </c>
      <c r="I3089" s="95" t="s">
        <v>7231</v>
      </c>
      <c r="J3089" t="s">
        <v>61</v>
      </c>
      <c r="K3089" t="s">
        <v>62</v>
      </c>
      <c r="M3089">
        <v>70.59</v>
      </c>
      <c r="N3089" s="4">
        <f t="shared" si="48"/>
        <v>-20</v>
      </c>
      <c r="O3089" t="s">
        <v>605</v>
      </c>
    </row>
    <row r="3090" spans="1:20" x14ac:dyDescent="0.25">
      <c r="A3090" s="22">
        <v>45751</v>
      </c>
      <c r="B3090" s="1" t="s">
        <v>1886</v>
      </c>
      <c r="C3090" t="s">
        <v>52</v>
      </c>
      <c r="D3090" s="23">
        <v>-150036.95000000001</v>
      </c>
      <c r="E3090" t="s">
        <v>35</v>
      </c>
      <c r="F3090" s="2">
        <v>110114001</v>
      </c>
      <c r="G3090" s="2" t="s">
        <v>181</v>
      </c>
      <c r="I3090" s="95" t="s">
        <v>7231</v>
      </c>
      <c r="J3090" t="s">
        <v>37</v>
      </c>
      <c r="K3090" t="s">
        <v>38</v>
      </c>
      <c r="M3090">
        <v>70.59</v>
      </c>
      <c r="N3090" s="4">
        <f t="shared" si="48"/>
        <v>-2125.4703215752938</v>
      </c>
      <c r="O3090" t="s">
        <v>605</v>
      </c>
      <c r="P3090" s="34" t="s">
        <v>1339</v>
      </c>
    </row>
    <row r="3091" spans="1:20" x14ac:dyDescent="0.25">
      <c r="A3091" s="22">
        <v>45751</v>
      </c>
      <c r="B3091" s="1" t="s">
        <v>1900</v>
      </c>
      <c r="C3091" t="s">
        <v>52</v>
      </c>
      <c r="D3091" s="23">
        <v>-200000</v>
      </c>
      <c r="E3091" t="s">
        <v>35</v>
      </c>
      <c r="F3091" s="2">
        <v>110114001</v>
      </c>
      <c r="G3091" s="2" t="s">
        <v>181</v>
      </c>
      <c r="I3091" s="95" t="s">
        <v>7231</v>
      </c>
      <c r="J3091" t="s">
        <v>37</v>
      </c>
      <c r="K3091" t="s">
        <v>38</v>
      </c>
      <c r="M3091">
        <v>70.59</v>
      </c>
      <c r="N3091" s="4">
        <f t="shared" si="48"/>
        <v>-2833.2625017707887</v>
      </c>
      <c r="O3091" t="s">
        <v>605</v>
      </c>
      <c r="P3091" s="34" t="s">
        <v>1339</v>
      </c>
    </row>
    <row r="3092" spans="1:20" x14ac:dyDescent="0.25">
      <c r="A3092" s="22">
        <v>45751</v>
      </c>
      <c r="B3092" s="1" t="s">
        <v>1888</v>
      </c>
      <c r="C3092" t="s">
        <v>52</v>
      </c>
      <c r="D3092" s="44">
        <v>-195957.84</v>
      </c>
      <c r="E3092" t="s">
        <v>35</v>
      </c>
      <c r="F3092" s="2">
        <v>110114001</v>
      </c>
      <c r="G3092" s="2" t="s">
        <v>181</v>
      </c>
      <c r="I3092" s="95" t="s">
        <v>7231</v>
      </c>
      <c r="K3092" t="s">
        <v>1256</v>
      </c>
      <c r="M3092">
        <v>70.59</v>
      </c>
      <c r="N3092" s="4">
        <f t="shared" si="48"/>
        <v>-2776</v>
      </c>
      <c r="O3092" t="s">
        <v>605</v>
      </c>
    </row>
    <row r="3093" spans="1:20" x14ac:dyDescent="0.25">
      <c r="A3093" s="33">
        <v>45751</v>
      </c>
      <c r="B3093" s="27" t="s">
        <v>613</v>
      </c>
      <c r="C3093" s="28" t="s">
        <v>52</v>
      </c>
      <c r="D3093" s="29">
        <v>-8470.7999999999993</v>
      </c>
      <c r="E3093" s="28" t="s">
        <v>35</v>
      </c>
      <c r="F3093" s="30">
        <v>610129001</v>
      </c>
      <c r="G3093" s="30" t="s">
        <v>53</v>
      </c>
      <c r="H3093" s="30"/>
      <c r="I3093" s="95" t="s">
        <v>7231</v>
      </c>
      <c r="J3093" s="28" t="s">
        <v>54</v>
      </c>
      <c r="K3093" s="28" t="s">
        <v>55</v>
      </c>
      <c r="L3093" s="28" t="s">
        <v>56</v>
      </c>
      <c r="M3093" s="28">
        <v>70.59</v>
      </c>
      <c r="N3093" s="4">
        <f t="shared" si="48"/>
        <v>-119.99999999999999</v>
      </c>
      <c r="O3093" t="s">
        <v>605</v>
      </c>
      <c r="Q3093" s="24" t="s">
        <v>2514</v>
      </c>
    </row>
    <row r="3094" spans="1:20" x14ac:dyDescent="0.25">
      <c r="A3094" s="22">
        <v>45751</v>
      </c>
      <c r="B3094" s="1" t="s">
        <v>1909</v>
      </c>
      <c r="C3094" t="s">
        <v>52</v>
      </c>
      <c r="D3094" s="23">
        <v>-1411.8</v>
      </c>
      <c r="E3094" t="s">
        <v>35</v>
      </c>
      <c r="F3094" s="2">
        <v>212901001</v>
      </c>
      <c r="G3094" s="2" t="s">
        <v>91</v>
      </c>
      <c r="I3094" s="95" t="s">
        <v>7231</v>
      </c>
      <c r="J3094" t="s">
        <v>61</v>
      </c>
      <c r="K3094" t="s">
        <v>62</v>
      </c>
      <c r="M3094">
        <v>70.59</v>
      </c>
      <c r="N3094" s="4">
        <f t="shared" si="48"/>
        <v>-20</v>
      </c>
      <c r="O3094" t="s">
        <v>605</v>
      </c>
    </row>
    <row r="3095" spans="1:20" x14ac:dyDescent="0.25">
      <c r="A3095" s="22">
        <v>45751</v>
      </c>
      <c r="B3095" s="1" t="s">
        <v>1894</v>
      </c>
      <c r="C3095" t="s">
        <v>52</v>
      </c>
      <c r="D3095" s="23">
        <v>-3529.5</v>
      </c>
      <c r="E3095" t="s">
        <v>35</v>
      </c>
      <c r="F3095" s="2">
        <v>212901001</v>
      </c>
      <c r="G3095" s="2" t="s">
        <v>91</v>
      </c>
      <c r="I3095" s="95" t="s">
        <v>7231</v>
      </c>
      <c r="J3095" t="s">
        <v>61</v>
      </c>
      <c r="K3095" t="s">
        <v>62</v>
      </c>
      <c r="M3095">
        <v>70.59</v>
      </c>
      <c r="N3095" s="4">
        <f t="shared" si="48"/>
        <v>-50</v>
      </c>
      <c r="O3095" t="s">
        <v>605</v>
      </c>
    </row>
    <row r="3096" spans="1:20" x14ac:dyDescent="0.25">
      <c r="A3096" s="22">
        <v>45751</v>
      </c>
      <c r="B3096" s="1" t="s">
        <v>2006</v>
      </c>
      <c r="C3096" t="s">
        <v>52</v>
      </c>
      <c r="D3096" s="23">
        <v>-42579.89</v>
      </c>
      <c r="E3096" t="s">
        <v>35</v>
      </c>
      <c r="F3096" s="2">
        <v>210101001</v>
      </c>
      <c r="G3096" s="2" t="s">
        <v>36</v>
      </c>
      <c r="I3096" s="95" t="s">
        <v>7231</v>
      </c>
      <c r="J3096" t="s">
        <v>37</v>
      </c>
      <c r="K3096" t="s">
        <v>38</v>
      </c>
      <c r="M3096">
        <v>70.59</v>
      </c>
      <c r="N3096" s="4">
        <f t="shared" si="48"/>
        <v>-603.20002833262492</v>
      </c>
      <c r="O3096" t="s">
        <v>605</v>
      </c>
    </row>
    <row r="3097" spans="1:20" s="65" customFormat="1" ht="15.75" x14ac:dyDescent="0.25">
      <c r="A3097" s="62">
        <v>45751</v>
      </c>
      <c r="B3097" s="63" t="s">
        <v>615</v>
      </c>
      <c r="C3097" t="s">
        <v>52</v>
      </c>
      <c r="D3097" s="64">
        <v>-200000</v>
      </c>
      <c r="E3097" s="65" t="s">
        <v>35</v>
      </c>
      <c r="F3097" s="66">
        <v>110114001</v>
      </c>
      <c r="G3097" s="66" t="s">
        <v>181</v>
      </c>
      <c r="H3097" s="66"/>
      <c r="I3097" s="95" t="s">
        <v>7231</v>
      </c>
      <c r="J3097" s="65" t="s">
        <v>37</v>
      </c>
      <c r="K3097" s="67" t="s">
        <v>38</v>
      </c>
      <c r="M3097" s="65">
        <v>70.59</v>
      </c>
      <c r="N3097" s="4">
        <f t="shared" si="48"/>
        <v>-2833.2625017707887</v>
      </c>
      <c r="O3097" s="65" t="s">
        <v>605</v>
      </c>
      <c r="P3097" s="37" t="s">
        <v>694</v>
      </c>
      <c r="R3097"/>
      <c r="S3097"/>
      <c r="T3097"/>
    </row>
    <row r="3098" spans="1:20" x14ac:dyDescent="0.25">
      <c r="A3098" s="22">
        <v>45751</v>
      </c>
      <c r="B3098" s="1" t="s">
        <v>619</v>
      </c>
      <c r="C3098" t="s">
        <v>52</v>
      </c>
      <c r="D3098" s="23">
        <v>-705.9</v>
      </c>
      <c r="E3098" t="s">
        <v>35</v>
      </c>
      <c r="F3098" s="2">
        <v>212901001</v>
      </c>
      <c r="G3098" s="2" t="s">
        <v>91</v>
      </c>
      <c r="I3098" s="95" t="s">
        <v>7231</v>
      </c>
      <c r="J3098" t="s">
        <v>61</v>
      </c>
      <c r="K3098" t="s">
        <v>62</v>
      </c>
      <c r="M3098">
        <v>70.59</v>
      </c>
      <c r="N3098" s="4">
        <f t="shared" si="48"/>
        <v>-10</v>
      </c>
      <c r="O3098" t="s">
        <v>605</v>
      </c>
    </row>
    <row r="3099" spans="1:20" x14ac:dyDescent="0.25">
      <c r="A3099" s="22">
        <v>45751</v>
      </c>
      <c r="B3099" s="1" t="s">
        <v>1267</v>
      </c>
      <c r="C3099" t="s">
        <v>52</v>
      </c>
      <c r="D3099" s="23">
        <v>-4941.3</v>
      </c>
      <c r="E3099" t="s">
        <v>35</v>
      </c>
      <c r="F3099" s="2">
        <v>212901001</v>
      </c>
      <c r="G3099" s="2" t="s">
        <v>91</v>
      </c>
      <c r="I3099" s="95" t="s">
        <v>7231</v>
      </c>
      <c r="J3099" t="s">
        <v>61</v>
      </c>
      <c r="K3099" t="s">
        <v>62</v>
      </c>
      <c r="M3099">
        <v>70.59</v>
      </c>
      <c r="N3099" s="4">
        <f t="shared" si="48"/>
        <v>-70</v>
      </c>
      <c r="O3099" t="s">
        <v>605</v>
      </c>
    </row>
    <row r="3100" spans="1:20" x14ac:dyDescent="0.25">
      <c r="A3100" s="22">
        <v>45751</v>
      </c>
      <c r="B3100" s="1" t="s">
        <v>1907</v>
      </c>
      <c r="C3100" t="s">
        <v>52</v>
      </c>
      <c r="D3100" s="23">
        <v>-200000</v>
      </c>
      <c r="E3100" t="s">
        <v>35</v>
      </c>
      <c r="F3100" s="2">
        <v>110114001</v>
      </c>
      <c r="G3100" s="2" t="s">
        <v>181</v>
      </c>
      <c r="I3100" s="95" t="s">
        <v>7231</v>
      </c>
      <c r="J3100" t="s">
        <v>37</v>
      </c>
      <c r="K3100" t="s">
        <v>38</v>
      </c>
      <c r="M3100">
        <v>70.59</v>
      </c>
      <c r="N3100" s="4">
        <f t="shared" si="48"/>
        <v>-2833.2625017707887</v>
      </c>
      <c r="O3100" t="s">
        <v>605</v>
      </c>
      <c r="P3100" s="34" t="s">
        <v>1339</v>
      </c>
    </row>
    <row r="3101" spans="1:20" x14ac:dyDescent="0.25">
      <c r="A3101" s="22">
        <v>45751</v>
      </c>
      <c r="B3101" s="1" t="s">
        <v>1994</v>
      </c>
      <c r="C3101" t="s">
        <v>52</v>
      </c>
      <c r="D3101" s="23">
        <v>-3919.55</v>
      </c>
      <c r="E3101" t="s">
        <v>35</v>
      </c>
      <c r="F3101" s="2">
        <v>210101001</v>
      </c>
      <c r="G3101" s="2" t="s">
        <v>36</v>
      </c>
      <c r="I3101" s="95" t="s">
        <v>7231</v>
      </c>
      <c r="J3101" t="s">
        <v>1301</v>
      </c>
      <c r="K3101" t="s">
        <v>1302</v>
      </c>
      <c r="M3101">
        <v>70.59</v>
      </c>
      <c r="N3101" s="4">
        <f t="shared" si="48"/>
        <v>-55.525570194078483</v>
      </c>
      <c r="O3101" t="s">
        <v>605</v>
      </c>
    </row>
    <row r="3102" spans="1:20" x14ac:dyDescent="0.25">
      <c r="A3102" s="22">
        <v>45751</v>
      </c>
      <c r="B3102" s="1" t="s">
        <v>1904</v>
      </c>
      <c r="C3102" t="s">
        <v>52</v>
      </c>
      <c r="D3102" s="23">
        <v>-10488</v>
      </c>
      <c r="E3102" t="s">
        <v>35</v>
      </c>
      <c r="F3102" s="2">
        <v>210101001</v>
      </c>
      <c r="G3102" s="2" t="s">
        <v>36</v>
      </c>
      <c r="I3102" s="95" t="s">
        <v>7231</v>
      </c>
      <c r="J3102" t="s">
        <v>86</v>
      </c>
      <c r="K3102" t="s">
        <v>87</v>
      </c>
      <c r="M3102">
        <v>70.59</v>
      </c>
      <c r="N3102" s="4">
        <f t="shared" si="48"/>
        <v>-148.57628559286016</v>
      </c>
      <c r="O3102" t="s">
        <v>605</v>
      </c>
    </row>
    <row r="3103" spans="1:20" x14ac:dyDescent="0.25">
      <c r="A3103" s="22">
        <v>45751</v>
      </c>
      <c r="B3103" s="1" t="s">
        <v>1896</v>
      </c>
      <c r="C3103" t="s">
        <v>52</v>
      </c>
      <c r="D3103" s="23">
        <v>-4235.3999999999996</v>
      </c>
      <c r="E3103" t="s">
        <v>35</v>
      </c>
      <c r="F3103" s="2">
        <v>212901001</v>
      </c>
      <c r="G3103" s="2" t="s">
        <v>91</v>
      </c>
      <c r="I3103" s="95" t="s">
        <v>7231</v>
      </c>
      <c r="J3103" t="s">
        <v>61</v>
      </c>
      <c r="K3103" t="s">
        <v>62</v>
      </c>
      <c r="M3103">
        <v>70.59</v>
      </c>
      <c r="N3103" s="4">
        <f t="shared" si="48"/>
        <v>-59.999999999999993</v>
      </c>
      <c r="O3103" t="s">
        <v>605</v>
      </c>
    </row>
    <row r="3104" spans="1:20" x14ac:dyDescent="0.25">
      <c r="A3104" s="22">
        <v>45751</v>
      </c>
      <c r="B3104" s="1" t="s">
        <v>2028</v>
      </c>
      <c r="C3104" t="s">
        <v>52</v>
      </c>
      <c r="D3104" s="23">
        <v>-22728</v>
      </c>
      <c r="E3104" t="s">
        <v>35</v>
      </c>
      <c r="F3104" s="2">
        <v>110114001</v>
      </c>
      <c r="G3104" s="2" t="s">
        <v>181</v>
      </c>
      <c r="I3104" s="95" t="s">
        <v>7231</v>
      </c>
      <c r="J3104" t="s">
        <v>182</v>
      </c>
      <c r="K3104" t="s">
        <v>183</v>
      </c>
      <c r="M3104">
        <v>70.59</v>
      </c>
      <c r="N3104" s="4">
        <f t="shared" si="48"/>
        <v>-321.97195070123246</v>
      </c>
      <c r="O3104" t="s">
        <v>605</v>
      </c>
      <c r="P3104" s="34" t="s">
        <v>1529</v>
      </c>
    </row>
    <row r="3105" spans="1:17" x14ac:dyDescent="0.25">
      <c r="A3105" s="22">
        <v>45751</v>
      </c>
      <c r="B3105" s="1" t="s">
        <v>615</v>
      </c>
      <c r="C3105" t="s">
        <v>52</v>
      </c>
      <c r="D3105" s="23">
        <v>-82006.69</v>
      </c>
      <c r="E3105" t="s">
        <v>35</v>
      </c>
      <c r="F3105" s="2">
        <v>110114001</v>
      </c>
      <c r="G3105" s="2" t="s">
        <v>181</v>
      </c>
      <c r="I3105" s="95" t="s">
        <v>7231</v>
      </c>
      <c r="J3105" t="s">
        <v>37</v>
      </c>
      <c r="K3105" t="s">
        <v>38</v>
      </c>
      <c r="M3105">
        <v>70.59</v>
      </c>
      <c r="N3105" s="4">
        <f t="shared" si="48"/>
        <v>-1161.7323983567078</v>
      </c>
      <c r="O3105" t="s">
        <v>605</v>
      </c>
      <c r="P3105" s="34" t="s">
        <v>1339</v>
      </c>
    </row>
    <row r="3106" spans="1:17" x14ac:dyDescent="0.25">
      <c r="A3106" s="22">
        <v>45751</v>
      </c>
      <c r="B3106" s="1" t="s">
        <v>623</v>
      </c>
      <c r="C3106" t="s">
        <v>52</v>
      </c>
      <c r="D3106" s="23">
        <v>-21.17</v>
      </c>
      <c r="E3106" t="s">
        <v>35</v>
      </c>
      <c r="F3106" s="2">
        <v>610148001</v>
      </c>
      <c r="G3106" s="2" t="s">
        <v>41</v>
      </c>
      <c r="I3106" s="95" t="s">
        <v>7231</v>
      </c>
      <c r="J3106" t="s">
        <v>42</v>
      </c>
      <c r="K3106" t="s">
        <v>41</v>
      </c>
      <c r="M3106">
        <v>70.59</v>
      </c>
      <c r="N3106" s="4">
        <f t="shared" si="48"/>
        <v>-0.29990083581243804</v>
      </c>
      <c r="O3106" t="s">
        <v>605</v>
      </c>
      <c r="Q3106" s="24" t="s">
        <v>2195</v>
      </c>
    </row>
    <row r="3107" spans="1:17" x14ac:dyDescent="0.25">
      <c r="A3107" s="22">
        <v>45751</v>
      </c>
      <c r="B3107" s="1" t="s">
        <v>1912</v>
      </c>
      <c r="C3107" t="s">
        <v>52</v>
      </c>
      <c r="D3107" s="23">
        <v>-3.52</v>
      </c>
      <c r="E3107" t="s">
        <v>35</v>
      </c>
      <c r="F3107" s="2">
        <v>610148001</v>
      </c>
      <c r="G3107" s="2" t="s">
        <v>41</v>
      </c>
      <c r="I3107" s="95" t="s">
        <v>7231</v>
      </c>
      <c r="J3107" t="s">
        <v>42</v>
      </c>
      <c r="K3107" t="s">
        <v>41</v>
      </c>
      <c r="M3107">
        <v>70.59</v>
      </c>
      <c r="N3107" s="4">
        <f t="shared" si="48"/>
        <v>-4.9865420031165883E-2</v>
      </c>
      <c r="O3107" t="s">
        <v>605</v>
      </c>
      <c r="Q3107" s="24" t="s">
        <v>2195</v>
      </c>
    </row>
    <row r="3108" spans="1:17" x14ac:dyDescent="0.25">
      <c r="A3108" s="22">
        <v>45751</v>
      </c>
      <c r="B3108" s="1" t="s">
        <v>1916</v>
      </c>
      <c r="C3108" t="s">
        <v>52</v>
      </c>
      <c r="D3108" s="23">
        <v>-3.52</v>
      </c>
      <c r="E3108" t="s">
        <v>35</v>
      </c>
      <c r="F3108" s="2">
        <v>610148001</v>
      </c>
      <c r="G3108" s="2" t="s">
        <v>41</v>
      </c>
      <c r="I3108" s="95" t="s">
        <v>7231</v>
      </c>
      <c r="J3108" t="s">
        <v>42</v>
      </c>
      <c r="K3108" t="s">
        <v>41</v>
      </c>
      <c r="M3108">
        <v>70.59</v>
      </c>
      <c r="N3108" s="4">
        <f t="shared" si="48"/>
        <v>-4.9865420031165883E-2</v>
      </c>
      <c r="O3108" t="s">
        <v>605</v>
      </c>
      <c r="Q3108" s="24" t="s">
        <v>2195</v>
      </c>
    </row>
    <row r="3109" spans="1:17" x14ac:dyDescent="0.25">
      <c r="A3109" s="22">
        <v>45751</v>
      </c>
      <c r="B3109" s="1" t="s">
        <v>1919</v>
      </c>
      <c r="C3109" t="s">
        <v>52</v>
      </c>
      <c r="D3109" s="23">
        <v>-26.22</v>
      </c>
      <c r="E3109" t="s">
        <v>35</v>
      </c>
      <c r="F3109" s="2">
        <v>610148001</v>
      </c>
      <c r="G3109" s="2" t="s">
        <v>41</v>
      </c>
      <c r="I3109" s="95" t="s">
        <v>7231</v>
      </c>
      <c r="J3109" t="s">
        <v>42</v>
      </c>
      <c r="K3109" t="s">
        <v>41</v>
      </c>
      <c r="M3109">
        <v>70.59</v>
      </c>
      <c r="N3109" s="4">
        <f t="shared" si="48"/>
        <v>-0.37144071398215039</v>
      </c>
      <c r="O3109" t="s">
        <v>605</v>
      </c>
      <c r="Q3109" s="24" t="s">
        <v>2195</v>
      </c>
    </row>
    <row r="3110" spans="1:17" x14ac:dyDescent="0.25">
      <c r="A3110" s="22">
        <v>45751</v>
      </c>
      <c r="B3110" s="1" t="s">
        <v>1913</v>
      </c>
      <c r="C3110" t="s">
        <v>52</v>
      </c>
      <c r="D3110" s="23">
        <v>-8.82</v>
      </c>
      <c r="E3110" t="s">
        <v>35</v>
      </c>
      <c r="F3110" s="2">
        <v>610148001</v>
      </c>
      <c r="G3110" s="2" t="s">
        <v>41</v>
      </c>
      <c r="I3110" s="95" t="s">
        <v>7231</v>
      </c>
      <c r="J3110" t="s">
        <v>42</v>
      </c>
      <c r="K3110" t="s">
        <v>41</v>
      </c>
      <c r="M3110">
        <v>70.59</v>
      </c>
      <c r="N3110" s="4">
        <f t="shared" si="48"/>
        <v>-0.1249468763280918</v>
      </c>
      <c r="O3110" t="s">
        <v>605</v>
      </c>
      <c r="Q3110" s="24" t="s">
        <v>2195</v>
      </c>
    </row>
    <row r="3111" spans="1:17" x14ac:dyDescent="0.25">
      <c r="A3111" s="22">
        <v>45751</v>
      </c>
      <c r="B3111" s="1" t="s">
        <v>1918</v>
      </c>
      <c r="C3111" t="s">
        <v>52</v>
      </c>
      <c r="D3111" s="23">
        <v>-500</v>
      </c>
      <c r="E3111" t="s">
        <v>35</v>
      </c>
      <c r="F3111" s="2">
        <v>610148001</v>
      </c>
      <c r="G3111" s="2" t="s">
        <v>41</v>
      </c>
      <c r="I3111" s="95" t="s">
        <v>7231</v>
      </c>
      <c r="J3111" t="s">
        <v>42</v>
      </c>
      <c r="K3111" t="s">
        <v>41</v>
      </c>
      <c r="M3111">
        <v>70.59</v>
      </c>
      <c r="N3111" s="4">
        <f t="shared" si="48"/>
        <v>-7.0831562544269726</v>
      </c>
      <c r="O3111" t="s">
        <v>605</v>
      </c>
      <c r="Q3111" s="24" t="s">
        <v>2195</v>
      </c>
    </row>
    <row r="3112" spans="1:17" x14ac:dyDescent="0.25">
      <c r="A3112" s="22">
        <v>45751</v>
      </c>
      <c r="B3112" s="1" t="s">
        <v>625</v>
      </c>
      <c r="C3112" t="s">
        <v>52</v>
      </c>
      <c r="D3112" s="23">
        <v>-205.01</v>
      </c>
      <c r="E3112" t="s">
        <v>35</v>
      </c>
      <c r="F3112" s="2">
        <v>610148001</v>
      </c>
      <c r="G3112" s="2" t="s">
        <v>41</v>
      </c>
      <c r="I3112" s="95" t="s">
        <v>7231</v>
      </c>
      <c r="J3112" t="s">
        <v>42</v>
      </c>
      <c r="K3112" t="s">
        <v>41</v>
      </c>
      <c r="M3112">
        <v>70.59</v>
      </c>
      <c r="N3112" s="4">
        <f t="shared" si="48"/>
        <v>-2.9042357274401471</v>
      </c>
      <c r="O3112" t="s">
        <v>605</v>
      </c>
      <c r="Q3112" s="24" t="s">
        <v>2195</v>
      </c>
    </row>
    <row r="3113" spans="1:17" x14ac:dyDescent="0.25">
      <c r="A3113" s="22">
        <v>45751</v>
      </c>
      <c r="B3113" s="1" t="s">
        <v>625</v>
      </c>
      <c r="C3113" t="s">
        <v>52</v>
      </c>
      <c r="D3113" s="23">
        <v>-500</v>
      </c>
      <c r="E3113" t="s">
        <v>35</v>
      </c>
      <c r="F3113" s="2">
        <v>610148001</v>
      </c>
      <c r="G3113" s="2" t="s">
        <v>41</v>
      </c>
      <c r="I3113" s="95" t="s">
        <v>7231</v>
      </c>
      <c r="J3113" t="s">
        <v>42</v>
      </c>
      <c r="K3113" t="s">
        <v>41</v>
      </c>
      <c r="M3113">
        <v>70.59</v>
      </c>
      <c r="N3113" s="4">
        <f t="shared" si="48"/>
        <v>-7.0831562544269726</v>
      </c>
      <c r="O3113" t="s">
        <v>605</v>
      </c>
      <c r="Q3113" s="24" t="s">
        <v>2195</v>
      </c>
    </row>
    <row r="3114" spans="1:17" x14ac:dyDescent="0.25">
      <c r="A3114" s="22">
        <v>45751</v>
      </c>
      <c r="B3114" s="1" t="s">
        <v>621</v>
      </c>
      <c r="C3114" t="s">
        <v>52</v>
      </c>
      <c r="D3114" s="23">
        <v>-1.76</v>
      </c>
      <c r="E3114" t="s">
        <v>35</v>
      </c>
      <c r="F3114" s="2">
        <v>610148001</v>
      </c>
      <c r="G3114" s="2" t="s">
        <v>41</v>
      </c>
      <c r="I3114" s="95" t="s">
        <v>7231</v>
      </c>
      <c r="J3114" t="s">
        <v>42</v>
      </c>
      <c r="K3114" t="s">
        <v>41</v>
      </c>
      <c r="M3114">
        <v>70.59</v>
      </c>
      <c r="N3114" s="4">
        <f t="shared" si="48"/>
        <v>-2.4932710015582941E-2</v>
      </c>
      <c r="O3114" t="s">
        <v>605</v>
      </c>
      <c r="Q3114" s="24" t="s">
        <v>2195</v>
      </c>
    </row>
    <row r="3115" spans="1:17" x14ac:dyDescent="0.25">
      <c r="A3115" s="22">
        <v>45751</v>
      </c>
      <c r="B3115" s="1" t="s">
        <v>1911</v>
      </c>
      <c r="C3115" t="s">
        <v>52</v>
      </c>
      <c r="D3115" s="23">
        <v>-500</v>
      </c>
      <c r="E3115" t="s">
        <v>35</v>
      </c>
      <c r="F3115" s="2">
        <v>610148001</v>
      </c>
      <c r="G3115" s="2" t="s">
        <v>41</v>
      </c>
      <c r="I3115" s="95" t="s">
        <v>7231</v>
      </c>
      <c r="J3115" t="s">
        <v>42</v>
      </c>
      <c r="K3115" t="s">
        <v>41</v>
      </c>
      <c r="M3115">
        <v>70.59</v>
      </c>
      <c r="N3115" s="4">
        <f t="shared" si="48"/>
        <v>-7.0831562544269726</v>
      </c>
      <c r="O3115" t="s">
        <v>605</v>
      </c>
      <c r="Q3115" s="24" t="s">
        <v>2195</v>
      </c>
    </row>
    <row r="3116" spans="1:17" x14ac:dyDescent="0.25">
      <c r="A3116" s="22">
        <v>45751</v>
      </c>
      <c r="B3116" s="1" t="s">
        <v>1920</v>
      </c>
      <c r="C3116" t="s">
        <v>52</v>
      </c>
      <c r="D3116" s="23">
        <v>-489.89</v>
      </c>
      <c r="E3116" t="s">
        <v>35</v>
      </c>
      <c r="F3116" s="2">
        <v>610148001</v>
      </c>
      <c r="G3116" s="2" t="s">
        <v>41</v>
      </c>
      <c r="I3116" s="95" t="s">
        <v>7231</v>
      </c>
      <c r="J3116" t="s">
        <v>42</v>
      </c>
      <c r="K3116" t="s">
        <v>41</v>
      </c>
      <c r="M3116">
        <v>70.59</v>
      </c>
      <c r="N3116" s="4">
        <f t="shared" si="48"/>
        <v>-6.9399348349624583</v>
      </c>
      <c r="O3116" t="s">
        <v>605</v>
      </c>
      <c r="Q3116" s="24" t="s">
        <v>2195</v>
      </c>
    </row>
    <row r="3117" spans="1:17" x14ac:dyDescent="0.25">
      <c r="A3117" s="22">
        <v>45751</v>
      </c>
      <c r="B3117" s="1" t="s">
        <v>2090</v>
      </c>
      <c r="C3117" t="s">
        <v>52</v>
      </c>
      <c r="D3117" s="23">
        <v>-106.44</v>
      </c>
      <c r="E3117" t="s">
        <v>35</v>
      </c>
      <c r="F3117" s="2">
        <v>610148001</v>
      </c>
      <c r="G3117" s="2" t="s">
        <v>41</v>
      </c>
      <c r="I3117" s="95" t="s">
        <v>7231</v>
      </c>
      <c r="J3117" t="s">
        <v>42</v>
      </c>
      <c r="K3117" t="s">
        <v>41</v>
      </c>
      <c r="M3117">
        <v>70.59</v>
      </c>
      <c r="N3117" s="4">
        <f t="shared" si="48"/>
        <v>-1.5078623034424139</v>
      </c>
      <c r="O3117" t="s">
        <v>605</v>
      </c>
      <c r="Q3117" s="24" t="s">
        <v>2195</v>
      </c>
    </row>
    <row r="3118" spans="1:17" x14ac:dyDescent="0.25">
      <c r="A3118" s="22">
        <v>45751</v>
      </c>
      <c r="B3118" s="1" t="s">
        <v>1271</v>
      </c>
      <c r="C3118" t="s">
        <v>52</v>
      </c>
      <c r="D3118" s="23">
        <v>-8.82</v>
      </c>
      <c r="E3118" t="s">
        <v>35</v>
      </c>
      <c r="F3118" s="2">
        <v>610148001</v>
      </c>
      <c r="G3118" s="2" t="s">
        <v>41</v>
      </c>
      <c r="I3118" s="95" t="s">
        <v>7231</v>
      </c>
      <c r="J3118" t="s">
        <v>42</v>
      </c>
      <c r="K3118" t="s">
        <v>41</v>
      </c>
      <c r="M3118">
        <v>70.59</v>
      </c>
      <c r="N3118" s="4">
        <f t="shared" si="48"/>
        <v>-0.1249468763280918</v>
      </c>
      <c r="O3118" t="s">
        <v>605</v>
      </c>
      <c r="Q3118" s="24" t="s">
        <v>2195</v>
      </c>
    </row>
    <row r="3119" spans="1:17" x14ac:dyDescent="0.25">
      <c r="A3119" s="22">
        <v>45751</v>
      </c>
      <c r="B3119" s="1" t="s">
        <v>1914</v>
      </c>
      <c r="C3119" t="s">
        <v>52</v>
      </c>
      <c r="D3119" s="23">
        <v>-375.09</v>
      </c>
      <c r="E3119" t="s">
        <v>35</v>
      </c>
      <c r="F3119" s="2">
        <v>610148001</v>
      </c>
      <c r="G3119" s="2" t="s">
        <v>41</v>
      </c>
      <c r="I3119" s="95" t="s">
        <v>7231</v>
      </c>
      <c r="J3119" t="s">
        <v>42</v>
      </c>
      <c r="K3119" t="s">
        <v>41</v>
      </c>
      <c r="M3119">
        <v>70.59</v>
      </c>
      <c r="N3119" s="4">
        <f t="shared" si="48"/>
        <v>-5.3136421589460259</v>
      </c>
      <c r="O3119" t="s">
        <v>605</v>
      </c>
      <c r="Q3119" s="24" t="s">
        <v>2195</v>
      </c>
    </row>
    <row r="3120" spans="1:17" x14ac:dyDescent="0.25">
      <c r="A3120" s="22">
        <v>45751</v>
      </c>
      <c r="B3120" s="1" t="s">
        <v>1915</v>
      </c>
      <c r="C3120" t="s">
        <v>52</v>
      </c>
      <c r="D3120" s="23">
        <v>-3.52</v>
      </c>
      <c r="E3120" t="s">
        <v>35</v>
      </c>
      <c r="F3120" s="2">
        <v>610148001</v>
      </c>
      <c r="G3120" s="2" t="s">
        <v>41</v>
      </c>
      <c r="I3120" s="95" t="s">
        <v>7231</v>
      </c>
      <c r="J3120" t="s">
        <v>42</v>
      </c>
      <c r="K3120" t="s">
        <v>41</v>
      </c>
      <c r="M3120">
        <v>70.59</v>
      </c>
      <c r="N3120" s="4">
        <f t="shared" si="48"/>
        <v>-4.9865420031165883E-2</v>
      </c>
      <c r="O3120" t="s">
        <v>605</v>
      </c>
      <c r="Q3120" s="24" t="s">
        <v>2195</v>
      </c>
    </row>
    <row r="3121" spans="1:17" x14ac:dyDescent="0.25">
      <c r="A3121" s="22">
        <v>45751</v>
      </c>
      <c r="B3121" s="1" t="s">
        <v>1272</v>
      </c>
      <c r="C3121" t="s">
        <v>52</v>
      </c>
      <c r="D3121" s="23">
        <v>-12.35</v>
      </c>
      <c r="E3121" t="s">
        <v>35</v>
      </c>
      <c r="F3121" s="2">
        <v>610148001</v>
      </c>
      <c r="G3121" s="2" t="s">
        <v>41</v>
      </c>
      <c r="I3121" s="95" t="s">
        <v>7231</v>
      </c>
      <c r="J3121" t="s">
        <v>42</v>
      </c>
      <c r="K3121" t="s">
        <v>41</v>
      </c>
      <c r="M3121">
        <v>70.59</v>
      </c>
      <c r="N3121" s="4">
        <f t="shared" si="48"/>
        <v>-0.17495395948434622</v>
      </c>
      <c r="O3121" t="s">
        <v>605</v>
      </c>
      <c r="Q3121" s="24" t="s">
        <v>2195</v>
      </c>
    </row>
    <row r="3122" spans="1:17" x14ac:dyDescent="0.25">
      <c r="A3122" s="22">
        <v>45751</v>
      </c>
      <c r="B3122" s="1" t="s">
        <v>2072</v>
      </c>
      <c r="C3122" t="s">
        <v>52</v>
      </c>
      <c r="D3122" s="23">
        <v>-169.91</v>
      </c>
      <c r="E3122" t="s">
        <v>35</v>
      </c>
      <c r="F3122" s="2">
        <v>610148001</v>
      </c>
      <c r="G3122" s="2" t="s">
        <v>41</v>
      </c>
      <c r="I3122" s="95" t="s">
        <v>7231</v>
      </c>
      <c r="J3122" t="s">
        <v>42</v>
      </c>
      <c r="K3122" t="s">
        <v>41</v>
      </c>
      <c r="M3122">
        <v>70.59</v>
      </c>
      <c r="N3122" s="4">
        <f t="shared" si="48"/>
        <v>-2.4069981583793738</v>
      </c>
      <c r="O3122" t="s">
        <v>605</v>
      </c>
      <c r="Q3122" s="24" t="s">
        <v>2195</v>
      </c>
    </row>
    <row r="3123" spans="1:17" x14ac:dyDescent="0.25">
      <c r="A3123" s="22">
        <v>45751</v>
      </c>
      <c r="B3123" s="1" t="s">
        <v>2102</v>
      </c>
      <c r="C3123" t="s">
        <v>52</v>
      </c>
      <c r="D3123" s="23">
        <v>-56.82</v>
      </c>
      <c r="E3123" t="s">
        <v>35</v>
      </c>
      <c r="F3123" s="2">
        <v>610148001</v>
      </c>
      <c r="G3123" s="2" t="s">
        <v>41</v>
      </c>
      <c r="I3123" s="95" t="s">
        <v>7231</v>
      </c>
      <c r="J3123" t="s">
        <v>42</v>
      </c>
      <c r="K3123" t="s">
        <v>41</v>
      </c>
      <c r="M3123">
        <v>70.59</v>
      </c>
      <c r="N3123" s="4">
        <f t="shared" si="48"/>
        <v>-0.80492987675308114</v>
      </c>
      <c r="O3123" t="s">
        <v>605</v>
      </c>
      <c r="Q3123" s="24" t="s">
        <v>2195</v>
      </c>
    </row>
    <row r="3124" spans="1:17" x14ac:dyDescent="0.25">
      <c r="A3124" s="22">
        <v>45751</v>
      </c>
      <c r="B3124" s="1" t="s">
        <v>2076</v>
      </c>
      <c r="C3124" t="s">
        <v>52</v>
      </c>
      <c r="D3124" s="23">
        <v>-9.7899999999999991</v>
      </c>
      <c r="E3124" t="s">
        <v>35</v>
      </c>
      <c r="F3124" s="2">
        <v>610148001</v>
      </c>
      <c r="G3124" s="2" t="s">
        <v>41</v>
      </c>
      <c r="I3124" s="95" t="s">
        <v>7231</v>
      </c>
      <c r="J3124" t="s">
        <v>42</v>
      </c>
      <c r="K3124" t="s">
        <v>41</v>
      </c>
      <c r="M3124">
        <v>70.59</v>
      </c>
      <c r="N3124" s="4">
        <f t="shared" si="48"/>
        <v>-0.1386881994616801</v>
      </c>
      <c r="O3124" t="s">
        <v>605</v>
      </c>
      <c r="Q3124" s="24" t="s">
        <v>2195</v>
      </c>
    </row>
    <row r="3125" spans="1:17" x14ac:dyDescent="0.25">
      <c r="A3125" s="22">
        <v>45751</v>
      </c>
      <c r="B3125" s="1" t="s">
        <v>625</v>
      </c>
      <c r="C3125" t="s">
        <v>52</v>
      </c>
      <c r="D3125" s="23">
        <v>-9.8800000000000008</v>
      </c>
      <c r="E3125" t="s">
        <v>35</v>
      </c>
      <c r="F3125" s="2">
        <v>610148001</v>
      </c>
      <c r="G3125" s="2" t="s">
        <v>41</v>
      </c>
      <c r="I3125" s="95" t="s">
        <v>7231</v>
      </c>
      <c r="J3125" t="s">
        <v>42</v>
      </c>
      <c r="K3125" t="s">
        <v>41</v>
      </c>
      <c r="M3125">
        <v>70.59</v>
      </c>
      <c r="N3125" s="4">
        <f t="shared" si="48"/>
        <v>-0.13996316758747698</v>
      </c>
      <c r="O3125" t="s">
        <v>605</v>
      </c>
      <c r="Q3125" s="24" t="s">
        <v>2195</v>
      </c>
    </row>
    <row r="3126" spans="1:17" x14ac:dyDescent="0.25">
      <c r="A3126" s="22">
        <v>45751</v>
      </c>
      <c r="B3126" s="1" t="s">
        <v>1917</v>
      </c>
      <c r="C3126" t="s">
        <v>52</v>
      </c>
      <c r="D3126" s="23">
        <v>-10.58</v>
      </c>
      <c r="E3126" t="s">
        <v>35</v>
      </c>
      <c r="F3126" s="2">
        <v>610148001</v>
      </c>
      <c r="G3126" s="2" t="s">
        <v>41</v>
      </c>
      <c r="I3126" s="95" t="s">
        <v>7231</v>
      </c>
      <c r="J3126" t="s">
        <v>42</v>
      </c>
      <c r="K3126" t="s">
        <v>41</v>
      </c>
      <c r="M3126">
        <v>70.59</v>
      </c>
      <c r="N3126" s="4">
        <f t="shared" si="48"/>
        <v>-0.14987958634367474</v>
      </c>
      <c r="O3126" t="s">
        <v>605</v>
      </c>
      <c r="Q3126" s="24" t="s">
        <v>2195</v>
      </c>
    </row>
    <row r="3127" spans="1:17" x14ac:dyDescent="0.25">
      <c r="A3127" s="22">
        <v>45751</v>
      </c>
      <c r="B3127" s="1" t="s">
        <v>2515</v>
      </c>
      <c r="C3127" t="s">
        <v>52</v>
      </c>
      <c r="D3127" s="23">
        <v>10000</v>
      </c>
      <c r="E3127" t="s">
        <v>45</v>
      </c>
      <c r="F3127" s="2">
        <v>210115002</v>
      </c>
      <c r="G3127" s="2" t="s">
        <v>46</v>
      </c>
      <c r="I3127" s="95" t="s">
        <v>7231</v>
      </c>
      <c r="K3127" t="s">
        <v>293</v>
      </c>
      <c r="M3127">
        <v>70.59</v>
      </c>
      <c r="N3127" s="4">
        <f t="shared" si="48"/>
        <v>141.66312508853946</v>
      </c>
      <c r="O3127" t="s">
        <v>605</v>
      </c>
    </row>
    <row r="3128" spans="1:17" x14ac:dyDescent="0.25">
      <c r="A3128" s="22">
        <v>45751</v>
      </c>
      <c r="B3128" s="1" t="s">
        <v>2516</v>
      </c>
      <c r="C3128" t="s">
        <v>52</v>
      </c>
      <c r="D3128" s="23">
        <v>-46082.04</v>
      </c>
      <c r="E3128" t="s">
        <v>35</v>
      </c>
      <c r="F3128" s="2">
        <v>210601001</v>
      </c>
      <c r="G3128" s="2" t="s">
        <v>272</v>
      </c>
      <c r="I3128" s="95" t="s">
        <v>7231</v>
      </c>
      <c r="J3128" t="s">
        <v>273</v>
      </c>
      <c r="K3128" t="s">
        <v>274</v>
      </c>
      <c r="M3128">
        <v>70.59</v>
      </c>
      <c r="N3128" s="4">
        <f t="shared" si="48"/>
        <v>-652.8125796855079</v>
      </c>
      <c r="O3128" t="s">
        <v>605</v>
      </c>
      <c r="Q3128" s="24" t="s">
        <v>2517</v>
      </c>
    </row>
    <row r="3129" spans="1:17" x14ac:dyDescent="0.25">
      <c r="A3129" s="22">
        <v>45751</v>
      </c>
      <c r="B3129" s="1" t="s">
        <v>2518</v>
      </c>
      <c r="C3129" t="s">
        <v>52</v>
      </c>
      <c r="D3129" s="23">
        <v>41924.81</v>
      </c>
      <c r="E3129" t="s">
        <v>45</v>
      </c>
      <c r="F3129" s="2">
        <v>110106001</v>
      </c>
      <c r="G3129" s="2" t="s">
        <v>1011</v>
      </c>
      <c r="I3129" s="95" t="s">
        <v>7231</v>
      </c>
      <c r="K3129" t="s">
        <v>1617</v>
      </c>
      <c r="M3129">
        <v>70.59</v>
      </c>
      <c r="N3129" s="4">
        <f t="shared" si="48"/>
        <v>593.91996033432497</v>
      </c>
      <c r="O3129" t="s">
        <v>605</v>
      </c>
    </row>
    <row r="3130" spans="1:17" x14ac:dyDescent="0.25">
      <c r="A3130" s="22">
        <v>45754</v>
      </c>
      <c r="B3130" s="1" t="s">
        <v>2519</v>
      </c>
      <c r="C3130" t="s">
        <v>52</v>
      </c>
      <c r="D3130" s="23">
        <v>328262.37</v>
      </c>
      <c r="E3130" t="s">
        <v>45</v>
      </c>
      <c r="F3130" s="2">
        <v>110106001</v>
      </c>
      <c r="G3130" s="2" t="s">
        <v>1011</v>
      </c>
      <c r="I3130" s="95" t="s">
        <v>7231</v>
      </c>
      <c r="K3130" t="s">
        <v>2520</v>
      </c>
      <c r="M3130">
        <v>72.19</v>
      </c>
      <c r="N3130" s="4">
        <f t="shared" si="48"/>
        <v>4547.2000277046682</v>
      </c>
      <c r="O3130" t="s">
        <v>605</v>
      </c>
    </row>
    <row r="3131" spans="1:17" x14ac:dyDescent="0.25">
      <c r="A3131" s="22">
        <v>45754</v>
      </c>
      <c r="B3131" s="1" t="s">
        <v>2521</v>
      </c>
      <c r="C3131" t="s">
        <v>52</v>
      </c>
      <c r="D3131" s="23">
        <v>1900000</v>
      </c>
      <c r="E3131" t="s">
        <v>45</v>
      </c>
      <c r="F3131" s="2">
        <v>210115002</v>
      </c>
      <c r="G3131" s="2" t="s">
        <v>46</v>
      </c>
      <c r="I3131" s="95" t="s">
        <v>7231</v>
      </c>
      <c r="K3131" t="s">
        <v>293</v>
      </c>
      <c r="M3131">
        <v>72.19</v>
      </c>
      <c r="N3131" s="4">
        <f t="shared" si="48"/>
        <v>26319.434824767974</v>
      </c>
      <c r="O3131" t="s">
        <v>605</v>
      </c>
    </row>
    <row r="3132" spans="1:17" x14ac:dyDescent="0.25">
      <c r="A3132" s="22">
        <v>45754</v>
      </c>
      <c r="B3132" s="1" t="s">
        <v>1907</v>
      </c>
      <c r="C3132" t="s">
        <v>52</v>
      </c>
      <c r="D3132" s="23">
        <v>-61951.19</v>
      </c>
      <c r="E3132" t="s">
        <v>35</v>
      </c>
      <c r="F3132" s="2">
        <v>210101001</v>
      </c>
      <c r="G3132" s="2" t="s">
        <v>36</v>
      </c>
      <c r="I3132" s="95" t="s">
        <v>7231</v>
      </c>
      <c r="J3132" t="s">
        <v>928</v>
      </c>
      <c r="K3132" t="s">
        <v>929</v>
      </c>
      <c r="M3132">
        <v>72.19</v>
      </c>
      <c r="N3132" s="4">
        <f t="shared" si="48"/>
        <v>-858.16858290621974</v>
      </c>
      <c r="O3132" t="s">
        <v>605</v>
      </c>
    </row>
    <row r="3133" spans="1:17" x14ac:dyDescent="0.25">
      <c r="A3133" s="22">
        <v>45754</v>
      </c>
      <c r="B3133" s="1" t="s">
        <v>617</v>
      </c>
      <c r="C3133" t="s">
        <v>52</v>
      </c>
      <c r="D3133" s="23">
        <v>-200000</v>
      </c>
      <c r="E3133" t="s">
        <v>35</v>
      </c>
      <c r="F3133" s="2">
        <v>110114001</v>
      </c>
      <c r="G3133" s="2" t="s">
        <v>181</v>
      </c>
      <c r="I3133" s="95" t="s">
        <v>7231</v>
      </c>
      <c r="J3133" t="s">
        <v>37</v>
      </c>
      <c r="K3133" t="s">
        <v>38</v>
      </c>
      <c r="M3133">
        <v>72.19</v>
      </c>
      <c r="N3133" s="4">
        <f t="shared" si="48"/>
        <v>-2770.4668236597868</v>
      </c>
      <c r="O3133" t="s">
        <v>605</v>
      </c>
      <c r="P3133" s="34" t="s">
        <v>1279</v>
      </c>
    </row>
    <row r="3134" spans="1:17" x14ac:dyDescent="0.25">
      <c r="A3134" s="22">
        <v>45754</v>
      </c>
      <c r="B3134" s="1" t="s">
        <v>1268</v>
      </c>
      <c r="C3134" t="s">
        <v>52</v>
      </c>
      <c r="D3134" s="23">
        <v>-200000</v>
      </c>
      <c r="E3134" t="s">
        <v>35</v>
      </c>
      <c r="F3134" s="2">
        <v>110114001</v>
      </c>
      <c r="G3134" s="2" t="s">
        <v>181</v>
      </c>
      <c r="I3134" s="95" t="s">
        <v>7231</v>
      </c>
      <c r="J3134" t="s">
        <v>37</v>
      </c>
      <c r="K3134" t="s">
        <v>38</v>
      </c>
      <c r="M3134">
        <v>72.19</v>
      </c>
      <c r="N3134" s="4">
        <f t="shared" si="48"/>
        <v>-2770.4668236597868</v>
      </c>
      <c r="O3134" t="s">
        <v>605</v>
      </c>
      <c r="P3134" s="34" t="s">
        <v>1279</v>
      </c>
    </row>
    <row r="3135" spans="1:17" x14ac:dyDescent="0.25">
      <c r="A3135" s="22">
        <v>45754</v>
      </c>
      <c r="B3135" s="1" t="s">
        <v>1892</v>
      </c>
      <c r="C3135" t="s">
        <v>52</v>
      </c>
      <c r="D3135" s="23">
        <v>-200000</v>
      </c>
      <c r="E3135" t="s">
        <v>35</v>
      </c>
      <c r="F3135" s="2">
        <v>110114001</v>
      </c>
      <c r="G3135" s="2" t="s">
        <v>181</v>
      </c>
      <c r="I3135" s="95" t="s">
        <v>7231</v>
      </c>
      <c r="J3135" t="s">
        <v>37</v>
      </c>
      <c r="K3135" t="s">
        <v>38</v>
      </c>
      <c r="M3135">
        <v>72.19</v>
      </c>
      <c r="N3135" s="4">
        <f t="shared" si="48"/>
        <v>-2770.4668236597868</v>
      </c>
      <c r="O3135" t="s">
        <v>605</v>
      </c>
      <c r="P3135" s="34" t="s">
        <v>1279</v>
      </c>
    </row>
    <row r="3136" spans="1:17" x14ac:dyDescent="0.25">
      <c r="A3136" s="22">
        <v>45754</v>
      </c>
      <c r="B3136" s="1" t="s">
        <v>1898</v>
      </c>
      <c r="C3136" t="s">
        <v>52</v>
      </c>
      <c r="D3136" s="23">
        <v>-200000</v>
      </c>
      <c r="E3136" t="s">
        <v>35</v>
      </c>
      <c r="F3136" s="2">
        <v>110114001</v>
      </c>
      <c r="G3136" s="2" t="s">
        <v>181</v>
      </c>
      <c r="I3136" s="95" t="s">
        <v>7231</v>
      </c>
      <c r="J3136" t="s">
        <v>37</v>
      </c>
      <c r="K3136" t="s">
        <v>38</v>
      </c>
      <c r="M3136">
        <v>72.19</v>
      </c>
      <c r="N3136" s="4">
        <f t="shared" si="48"/>
        <v>-2770.4668236597868</v>
      </c>
      <c r="O3136" t="s">
        <v>605</v>
      </c>
      <c r="P3136" s="34" t="s">
        <v>1279</v>
      </c>
    </row>
    <row r="3137" spans="1:17" x14ac:dyDescent="0.25">
      <c r="A3137" s="22">
        <v>45754</v>
      </c>
      <c r="B3137" s="1" t="s">
        <v>1886</v>
      </c>
      <c r="C3137" t="s">
        <v>52</v>
      </c>
      <c r="D3137" s="23">
        <v>-35758</v>
      </c>
      <c r="E3137" t="s">
        <v>35</v>
      </c>
      <c r="F3137" s="2">
        <v>110114001</v>
      </c>
      <c r="G3137" s="2" t="s">
        <v>181</v>
      </c>
      <c r="I3137" s="95" t="s">
        <v>7231</v>
      </c>
      <c r="J3137" t="s">
        <v>37</v>
      </c>
      <c r="K3137" t="s">
        <v>38</v>
      </c>
      <c r="M3137">
        <v>72.19</v>
      </c>
      <c r="N3137" s="4">
        <f t="shared" si="48"/>
        <v>-495.33176340213328</v>
      </c>
      <c r="O3137" t="s">
        <v>605</v>
      </c>
      <c r="P3137" s="34" t="s">
        <v>1279</v>
      </c>
    </row>
    <row r="3138" spans="1:17" x14ac:dyDescent="0.25">
      <c r="A3138" s="22">
        <v>45754</v>
      </c>
      <c r="B3138" s="1" t="s">
        <v>613</v>
      </c>
      <c r="C3138" t="s">
        <v>52</v>
      </c>
      <c r="D3138" s="23">
        <v>-1262.3</v>
      </c>
      <c r="E3138" t="s">
        <v>35</v>
      </c>
      <c r="F3138" s="2">
        <v>110114001</v>
      </c>
      <c r="G3138" s="2" t="s">
        <v>181</v>
      </c>
      <c r="I3138" s="95" t="s">
        <v>7231</v>
      </c>
      <c r="J3138" t="s">
        <v>86</v>
      </c>
      <c r="K3138" t="s">
        <v>87</v>
      </c>
      <c r="M3138">
        <v>72.19</v>
      </c>
      <c r="N3138" s="4">
        <f t="shared" si="48"/>
        <v>-17.485801357528743</v>
      </c>
      <c r="O3138" t="s">
        <v>605</v>
      </c>
      <c r="P3138" s="34" t="s">
        <v>1529</v>
      </c>
    </row>
    <row r="3139" spans="1:17" x14ac:dyDescent="0.25">
      <c r="A3139" s="22">
        <v>45754</v>
      </c>
      <c r="B3139" s="1" t="s">
        <v>615</v>
      </c>
      <c r="C3139" t="s">
        <v>52</v>
      </c>
      <c r="D3139" s="23">
        <v>-73643.789999999994</v>
      </c>
      <c r="E3139" t="s">
        <v>35</v>
      </c>
      <c r="F3139" s="2">
        <v>210101001</v>
      </c>
      <c r="G3139" s="2" t="s">
        <v>36</v>
      </c>
      <c r="I3139" s="95" t="s">
        <v>7231</v>
      </c>
      <c r="J3139" t="s">
        <v>414</v>
      </c>
      <c r="K3139" t="s">
        <v>415</v>
      </c>
      <c r="M3139">
        <v>72.19</v>
      </c>
      <c r="N3139" s="4">
        <f t="shared" si="48"/>
        <v>-1020.1383848178417</v>
      </c>
      <c r="O3139" t="s">
        <v>605</v>
      </c>
    </row>
    <row r="3140" spans="1:17" x14ac:dyDescent="0.25">
      <c r="A3140" s="22">
        <v>45754</v>
      </c>
      <c r="B3140" s="1" t="s">
        <v>1267</v>
      </c>
      <c r="C3140" t="s">
        <v>52</v>
      </c>
      <c r="D3140" s="23">
        <v>-200000</v>
      </c>
      <c r="E3140" t="s">
        <v>35</v>
      </c>
      <c r="F3140" s="2">
        <v>110114001</v>
      </c>
      <c r="G3140" s="2" t="s">
        <v>181</v>
      </c>
      <c r="I3140" s="95" t="s">
        <v>7231</v>
      </c>
      <c r="J3140" t="s">
        <v>37</v>
      </c>
      <c r="K3140" t="s">
        <v>38</v>
      </c>
      <c r="M3140">
        <v>72.19</v>
      </c>
      <c r="N3140" s="4">
        <f t="shared" si="48"/>
        <v>-2770.4668236597868</v>
      </c>
      <c r="O3140" t="s">
        <v>605</v>
      </c>
      <c r="P3140" s="34" t="s">
        <v>1279</v>
      </c>
    </row>
    <row r="3141" spans="1:17" x14ac:dyDescent="0.25">
      <c r="A3141" s="22">
        <v>45754</v>
      </c>
      <c r="B3141" s="1" t="s">
        <v>1904</v>
      </c>
      <c r="C3141" t="s">
        <v>52</v>
      </c>
      <c r="D3141" s="23">
        <v>-200000</v>
      </c>
      <c r="E3141" t="s">
        <v>35</v>
      </c>
      <c r="F3141" s="2">
        <v>110114001</v>
      </c>
      <c r="G3141" s="2" t="s">
        <v>181</v>
      </c>
      <c r="I3141" s="95" t="s">
        <v>7231</v>
      </c>
      <c r="J3141" t="s">
        <v>37</v>
      </c>
      <c r="K3141" t="s">
        <v>38</v>
      </c>
      <c r="M3141">
        <v>72.19</v>
      </c>
      <c r="N3141" s="4">
        <f t="shared" si="48"/>
        <v>-2770.4668236597868</v>
      </c>
      <c r="O3141" t="s">
        <v>605</v>
      </c>
      <c r="P3141" s="34" t="s">
        <v>1279</v>
      </c>
    </row>
    <row r="3142" spans="1:17" x14ac:dyDescent="0.25">
      <c r="A3142" s="22">
        <v>45754</v>
      </c>
      <c r="B3142" s="1" t="s">
        <v>1894</v>
      </c>
      <c r="C3142" t="s">
        <v>52</v>
      </c>
      <c r="D3142" s="23">
        <v>-200000</v>
      </c>
      <c r="E3142" t="s">
        <v>35</v>
      </c>
      <c r="F3142" s="2">
        <v>110114001</v>
      </c>
      <c r="G3142" s="2" t="s">
        <v>181</v>
      </c>
      <c r="I3142" s="95" t="s">
        <v>7231</v>
      </c>
      <c r="J3142" t="s">
        <v>37</v>
      </c>
      <c r="K3142" t="s">
        <v>38</v>
      </c>
      <c r="M3142">
        <v>72.19</v>
      </c>
      <c r="N3142" s="4">
        <f t="shared" si="48"/>
        <v>-2770.4668236597868</v>
      </c>
      <c r="O3142" t="s">
        <v>605</v>
      </c>
      <c r="P3142" s="34" t="s">
        <v>1279</v>
      </c>
    </row>
    <row r="3143" spans="1:17" x14ac:dyDescent="0.25">
      <c r="A3143" s="22">
        <v>45754</v>
      </c>
      <c r="B3143" s="1" t="s">
        <v>1900</v>
      </c>
      <c r="C3143" t="s">
        <v>52</v>
      </c>
      <c r="D3143" s="23">
        <v>-69504.53</v>
      </c>
      <c r="E3143" t="s">
        <v>35</v>
      </c>
      <c r="F3143" s="2">
        <v>110114001</v>
      </c>
      <c r="G3143" s="2" t="s">
        <v>181</v>
      </c>
      <c r="I3143" s="95" t="s">
        <v>7231</v>
      </c>
      <c r="J3143" t="s">
        <v>182</v>
      </c>
      <c r="K3143" t="s">
        <v>183</v>
      </c>
      <c r="M3143">
        <v>72.19</v>
      </c>
      <c r="N3143" s="4">
        <f t="shared" si="48"/>
        <v>-962.79997229533183</v>
      </c>
      <c r="O3143" t="s">
        <v>605</v>
      </c>
      <c r="P3143" s="34" t="s">
        <v>1529</v>
      </c>
    </row>
    <row r="3144" spans="1:17" x14ac:dyDescent="0.25">
      <c r="A3144" s="22">
        <v>45754</v>
      </c>
      <c r="B3144" s="1" t="s">
        <v>1909</v>
      </c>
      <c r="C3144" t="s">
        <v>52</v>
      </c>
      <c r="D3144" s="23">
        <v>-200000</v>
      </c>
      <c r="E3144" t="s">
        <v>35</v>
      </c>
      <c r="F3144" s="2">
        <v>110114001</v>
      </c>
      <c r="G3144" s="2" t="s">
        <v>181</v>
      </c>
      <c r="I3144" s="95" t="s">
        <v>7231</v>
      </c>
      <c r="J3144" t="s">
        <v>37</v>
      </c>
      <c r="K3144" t="s">
        <v>38</v>
      </c>
      <c r="M3144">
        <v>72.19</v>
      </c>
      <c r="N3144" s="4">
        <f t="shared" si="48"/>
        <v>-2770.4668236597868</v>
      </c>
      <c r="O3144" t="s">
        <v>605</v>
      </c>
      <c r="P3144" s="34" t="s">
        <v>1279</v>
      </c>
    </row>
    <row r="3145" spans="1:17" x14ac:dyDescent="0.25">
      <c r="A3145" s="22">
        <v>45754</v>
      </c>
      <c r="B3145" s="1" t="s">
        <v>619</v>
      </c>
      <c r="C3145" t="s">
        <v>52</v>
      </c>
      <c r="D3145" s="23">
        <v>-200000</v>
      </c>
      <c r="E3145" t="s">
        <v>35</v>
      </c>
      <c r="F3145" s="2">
        <v>110114001</v>
      </c>
      <c r="G3145" s="2" t="s">
        <v>181</v>
      </c>
      <c r="I3145" s="95" t="s">
        <v>7231</v>
      </c>
      <c r="J3145" t="s">
        <v>37</v>
      </c>
      <c r="K3145" t="s">
        <v>38</v>
      </c>
      <c r="M3145">
        <v>72.19</v>
      </c>
      <c r="N3145" s="4">
        <f t="shared" si="48"/>
        <v>-2770.4668236597868</v>
      </c>
      <c r="O3145" t="s">
        <v>605</v>
      </c>
      <c r="P3145" s="34" t="s">
        <v>1279</v>
      </c>
    </row>
    <row r="3146" spans="1:17" x14ac:dyDescent="0.25">
      <c r="A3146" s="22">
        <v>45754</v>
      </c>
      <c r="B3146" s="1" t="s">
        <v>1896</v>
      </c>
      <c r="C3146" t="s">
        <v>52</v>
      </c>
      <c r="D3146" s="23">
        <v>-200000</v>
      </c>
      <c r="E3146" t="s">
        <v>35</v>
      </c>
      <c r="F3146" s="2">
        <v>110114001</v>
      </c>
      <c r="G3146" s="2" t="s">
        <v>181</v>
      </c>
      <c r="I3146" s="95" t="s">
        <v>7231</v>
      </c>
      <c r="J3146" t="s">
        <v>37</v>
      </c>
      <c r="K3146" t="s">
        <v>38</v>
      </c>
      <c r="M3146">
        <v>72.19</v>
      </c>
      <c r="N3146" s="4">
        <f t="shared" si="48"/>
        <v>-2770.4668236597868</v>
      </c>
      <c r="O3146" t="s">
        <v>605</v>
      </c>
      <c r="P3146" s="34" t="s">
        <v>1279</v>
      </c>
    </row>
    <row r="3147" spans="1:17" x14ac:dyDescent="0.25">
      <c r="A3147" s="22">
        <v>45754</v>
      </c>
      <c r="B3147" s="1" t="s">
        <v>624</v>
      </c>
      <c r="C3147" t="s">
        <v>52</v>
      </c>
      <c r="D3147" s="23">
        <v>-500</v>
      </c>
      <c r="E3147" t="s">
        <v>35</v>
      </c>
      <c r="F3147" s="2">
        <v>610148001</v>
      </c>
      <c r="G3147" s="2" t="s">
        <v>41</v>
      </c>
      <c r="I3147" s="95" t="s">
        <v>7231</v>
      </c>
      <c r="J3147" t="s">
        <v>42</v>
      </c>
      <c r="K3147" t="s">
        <v>41</v>
      </c>
      <c r="M3147">
        <v>72.19</v>
      </c>
      <c r="N3147" s="4">
        <f t="shared" si="48"/>
        <v>-6.9261670591494671</v>
      </c>
      <c r="O3147" t="s">
        <v>605</v>
      </c>
      <c r="Q3147" s="24" t="s">
        <v>2195</v>
      </c>
    </row>
    <row r="3148" spans="1:17" x14ac:dyDescent="0.25">
      <c r="A3148" s="22">
        <v>45754</v>
      </c>
      <c r="B3148" s="1" t="s">
        <v>1916</v>
      </c>
      <c r="C3148" t="s">
        <v>52</v>
      </c>
      <c r="D3148" s="23">
        <v>-500</v>
      </c>
      <c r="E3148" t="s">
        <v>35</v>
      </c>
      <c r="F3148" s="2">
        <v>610148001</v>
      </c>
      <c r="G3148" s="2" t="s">
        <v>41</v>
      </c>
      <c r="I3148" s="95" t="s">
        <v>7231</v>
      </c>
      <c r="J3148" t="s">
        <v>42</v>
      </c>
      <c r="K3148" t="s">
        <v>41</v>
      </c>
      <c r="M3148">
        <v>72.19</v>
      </c>
      <c r="N3148" s="4">
        <f t="shared" ref="N3148:N3211" si="49">D3148/M3148</f>
        <v>-6.9261670591494671</v>
      </c>
      <c r="O3148" t="s">
        <v>605</v>
      </c>
      <c r="Q3148" s="24" t="s">
        <v>2195</v>
      </c>
    </row>
    <row r="3149" spans="1:17" x14ac:dyDescent="0.25">
      <c r="A3149" s="22">
        <v>45754</v>
      </c>
      <c r="B3149" s="1" t="s">
        <v>1919</v>
      </c>
      <c r="C3149" t="s">
        <v>52</v>
      </c>
      <c r="D3149" s="23">
        <v>-500</v>
      </c>
      <c r="E3149" t="s">
        <v>35</v>
      </c>
      <c r="F3149" s="2">
        <v>610148001</v>
      </c>
      <c r="G3149" s="2" t="s">
        <v>41</v>
      </c>
      <c r="I3149" s="95" t="s">
        <v>7231</v>
      </c>
      <c r="J3149" t="s">
        <v>42</v>
      </c>
      <c r="K3149" t="s">
        <v>41</v>
      </c>
      <c r="M3149">
        <v>72.19</v>
      </c>
      <c r="N3149" s="4">
        <f t="shared" si="49"/>
        <v>-6.9261670591494671</v>
      </c>
      <c r="O3149" t="s">
        <v>605</v>
      </c>
      <c r="Q3149" s="24" t="s">
        <v>2195</v>
      </c>
    </row>
    <row r="3150" spans="1:17" x14ac:dyDescent="0.25">
      <c r="A3150" s="22">
        <v>45754</v>
      </c>
      <c r="B3150" s="1" t="s">
        <v>1912</v>
      </c>
      <c r="C3150" t="s">
        <v>52</v>
      </c>
      <c r="D3150" s="23">
        <v>-500</v>
      </c>
      <c r="E3150" t="s">
        <v>35</v>
      </c>
      <c r="F3150" s="2">
        <v>610148001</v>
      </c>
      <c r="G3150" s="2" t="s">
        <v>41</v>
      </c>
      <c r="I3150" s="95" t="s">
        <v>7231</v>
      </c>
      <c r="J3150" t="s">
        <v>42</v>
      </c>
      <c r="K3150" t="s">
        <v>41</v>
      </c>
      <c r="M3150">
        <v>72.19</v>
      </c>
      <c r="N3150" s="4">
        <f t="shared" si="49"/>
        <v>-6.9261670591494671</v>
      </c>
      <c r="O3150" t="s">
        <v>605</v>
      </c>
      <c r="Q3150" s="24" t="s">
        <v>2195</v>
      </c>
    </row>
    <row r="3151" spans="1:17" x14ac:dyDescent="0.25">
      <c r="A3151" s="22">
        <v>45754</v>
      </c>
      <c r="B3151" s="1" t="s">
        <v>1913</v>
      </c>
      <c r="C3151" t="s">
        <v>52</v>
      </c>
      <c r="D3151" s="23">
        <v>-500</v>
      </c>
      <c r="E3151" t="s">
        <v>35</v>
      </c>
      <c r="F3151" s="2">
        <v>610148001</v>
      </c>
      <c r="G3151" s="2" t="s">
        <v>41</v>
      </c>
      <c r="I3151" s="95" t="s">
        <v>7231</v>
      </c>
      <c r="J3151" t="s">
        <v>42</v>
      </c>
      <c r="K3151" t="s">
        <v>41</v>
      </c>
      <c r="M3151">
        <v>72.19</v>
      </c>
      <c r="N3151" s="4">
        <f t="shared" si="49"/>
        <v>-6.9261670591494671</v>
      </c>
      <c r="O3151" t="s">
        <v>605</v>
      </c>
      <c r="Q3151" s="24" t="s">
        <v>2195</v>
      </c>
    </row>
    <row r="3152" spans="1:17" x14ac:dyDescent="0.25">
      <c r="A3152" s="22">
        <v>45754</v>
      </c>
      <c r="B3152" s="1" t="s">
        <v>623</v>
      </c>
      <c r="C3152" t="s">
        <v>52</v>
      </c>
      <c r="D3152" s="23">
        <v>-3.15</v>
      </c>
      <c r="E3152" t="s">
        <v>35</v>
      </c>
      <c r="F3152" s="2">
        <v>610148001</v>
      </c>
      <c r="G3152" s="2" t="s">
        <v>41</v>
      </c>
      <c r="I3152" s="95" t="s">
        <v>7231</v>
      </c>
      <c r="J3152" t="s">
        <v>42</v>
      </c>
      <c r="K3152" t="s">
        <v>41</v>
      </c>
      <c r="M3152">
        <v>72.19</v>
      </c>
      <c r="N3152" s="4">
        <f t="shared" si="49"/>
        <v>-4.3634852472641643E-2</v>
      </c>
      <c r="O3152" t="s">
        <v>605</v>
      </c>
      <c r="Q3152" s="24" t="s">
        <v>2195</v>
      </c>
    </row>
    <row r="3153" spans="1:17" x14ac:dyDescent="0.25">
      <c r="A3153" s="22">
        <v>45754</v>
      </c>
      <c r="B3153" s="1" t="s">
        <v>1272</v>
      </c>
      <c r="C3153" t="s">
        <v>52</v>
      </c>
      <c r="D3153" s="23">
        <v>-500</v>
      </c>
      <c r="E3153" t="s">
        <v>35</v>
      </c>
      <c r="F3153" s="2">
        <v>610148001</v>
      </c>
      <c r="G3153" s="2" t="s">
        <v>41</v>
      </c>
      <c r="I3153" s="95" t="s">
        <v>7231</v>
      </c>
      <c r="J3153" t="s">
        <v>42</v>
      </c>
      <c r="K3153" t="s">
        <v>41</v>
      </c>
      <c r="M3153">
        <v>72.19</v>
      </c>
      <c r="N3153" s="4">
        <f t="shared" si="49"/>
        <v>-6.9261670591494671</v>
      </c>
      <c r="O3153" t="s">
        <v>605</v>
      </c>
      <c r="Q3153" s="24" t="s">
        <v>2195</v>
      </c>
    </row>
    <row r="3154" spans="1:17" x14ac:dyDescent="0.25">
      <c r="A3154" s="22">
        <v>45754</v>
      </c>
      <c r="B3154" s="1" t="s">
        <v>1911</v>
      </c>
      <c r="C3154" t="s">
        <v>52</v>
      </c>
      <c r="D3154" s="23">
        <v>-154.87</v>
      </c>
      <c r="E3154" t="s">
        <v>35</v>
      </c>
      <c r="F3154" s="2">
        <v>610148001</v>
      </c>
      <c r="G3154" s="2" t="s">
        <v>41</v>
      </c>
      <c r="I3154" s="95" t="s">
        <v>7231</v>
      </c>
      <c r="J3154" t="s">
        <v>42</v>
      </c>
      <c r="K3154" t="s">
        <v>41</v>
      </c>
      <c r="M3154">
        <v>72.19</v>
      </c>
      <c r="N3154" s="4">
        <f t="shared" si="49"/>
        <v>-2.1453109849009557</v>
      </c>
      <c r="O3154" t="s">
        <v>605</v>
      </c>
      <c r="Q3154" s="24" t="s">
        <v>2195</v>
      </c>
    </row>
    <row r="3155" spans="1:17" x14ac:dyDescent="0.25">
      <c r="A3155" s="22">
        <v>45754</v>
      </c>
      <c r="B3155" s="1" t="s">
        <v>625</v>
      </c>
      <c r="C3155" t="s">
        <v>52</v>
      </c>
      <c r="D3155" s="23">
        <v>-184.1</v>
      </c>
      <c r="E3155" t="s">
        <v>35</v>
      </c>
      <c r="F3155" s="2">
        <v>610148001</v>
      </c>
      <c r="G3155" s="2" t="s">
        <v>41</v>
      </c>
      <c r="I3155" s="95" t="s">
        <v>7231</v>
      </c>
      <c r="J3155" t="s">
        <v>42</v>
      </c>
      <c r="K3155" t="s">
        <v>41</v>
      </c>
      <c r="M3155">
        <v>72.19</v>
      </c>
      <c r="N3155" s="4">
        <f t="shared" si="49"/>
        <v>-2.5502147111788336</v>
      </c>
      <c r="O3155" t="s">
        <v>605</v>
      </c>
      <c r="Q3155" s="24" t="s">
        <v>2195</v>
      </c>
    </row>
    <row r="3156" spans="1:17" x14ac:dyDescent="0.25">
      <c r="A3156" s="22">
        <v>45754</v>
      </c>
      <c r="B3156" s="1" t="s">
        <v>1917</v>
      </c>
      <c r="C3156" t="s">
        <v>52</v>
      </c>
      <c r="D3156" s="23">
        <v>-500</v>
      </c>
      <c r="E3156" t="s">
        <v>35</v>
      </c>
      <c r="F3156" s="2">
        <v>610148001</v>
      </c>
      <c r="G3156" s="2" t="s">
        <v>41</v>
      </c>
      <c r="I3156" s="95" t="s">
        <v>7231</v>
      </c>
      <c r="J3156" t="s">
        <v>42</v>
      </c>
      <c r="K3156" t="s">
        <v>41</v>
      </c>
      <c r="M3156">
        <v>72.19</v>
      </c>
      <c r="N3156" s="4">
        <f t="shared" si="49"/>
        <v>-6.9261670591494671</v>
      </c>
      <c r="O3156" t="s">
        <v>605</v>
      </c>
      <c r="Q3156" s="24" t="s">
        <v>2195</v>
      </c>
    </row>
    <row r="3157" spans="1:17" x14ac:dyDescent="0.25">
      <c r="A3157" s="22">
        <v>45754</v>
      </c>
      <c r="B3157" s="1" t="s">
        <v>621</v>
      </c>
      <c r="C3157" t="s">
        <v>52</v>
      </c>
      <c r="D3157" s="23">
        <v>-500</v>
      </c>
      <c r="E3157" t="s">
        <v>35</v>
      </c>
      <c r="F3157" s="2">
        <v>610148001</v>
      </c>
      <c r="G3157" s="2" t="s">
        <v>41</v>
      </c>
      <c r="I3157" s="95" t="s">
        <v>7231</v>
      </c>
      <c r="J3157" t="s">
        <v>42</v>
      </c>
      <c r="K3157" t="s">
        <v>41</v>
      </c>
      <c r="M3157">
        <v>72.19</v>
      </c>
      <c r="N3157" s="4">
        <f t="shared" si="49"/>
        <v>-6.9261670591494671</v>
      </c>
      <c r="O3157" t="s">
        <v>605</v>
      </c>
      <c r="Q3157" s="24" t="s">
        <v>2195</v>
      </c>
    </row>
    <row r="3158" spans="1:17" x14ac:dyDescent="0.25">
      <c r="A3158" s="22">
        <v>45754</v>
      </c>
      <c r="B3158" s="1" t="s">
        <v>1271</v>
      </c>
      <c r="C3158" t="s">
        <v>52</v>
      </c>
      <c r="D3158" s="23">
        <v>-500</v>
      </c>
      <c r="E3158" t="s">
        <v>35</v>
      </c>
      <c r="F3158" s="2">
        <v>610148001</v>
      </c>
      <c r="G3158" s="2" t="s">
        <v>41</v>
      </c>
      <c r="I3158" s="95" t="s">
        <v>7231</v>
      </c>
      <c r="J3158" t="s">
        <v>42</v>
      </c>
      <c r="K3158" t="s">
        <v>41</v>
      </c>
      <c r="M3158">
        <v>72.19</v>
      </c>
      <c r="N3158" s="4">
        <f t="shared" si="49"/>
        <v>-6.9261670591494671</v>
      </c>
      <c r="O3158" t="s">
        <v>605</v>
      </c>
      <c r="Q3158" s="24" t="s">
        <v>2195</v>
      </c>
    </row>
    <row r="3159" spans="1:17" x14ac:dyDescent="0.25">
      <c r="A3159" s="22">
        <v>45754</v>
      </c>
      <c r="B3159" s="1" t="s">
        <v>1918</v>
      </c>
      <c r="C3159" t="s">
        <v>52</v>
      </c>
      <c r="D3159" s="23">
        <v>-173.76</v>
      </c>
      <c r="E3159" t="s">
        <v>35</v>
      </c>
      <c r="F3159" s="2">
        <v>610148001</v>
      </c>
      <c r="G3159" s="2" t="s">
        <v>41</v>
      </c>
      <c r="I3159" s="95" t="s">
        <v>7231</v>
      </c>
      <c r="J3159" t="s">
        <v>42</v>
      </c>
      <c r="K3159" t="s">
        <v>41</v>
      </c>
      <c r="M3159">
        <v>72.19</v>
      </c>
      <c r="N3159" s="4">
        <f t="shared" si="49"/>
        <v>-2.4069815763956228</v>
      </c>
      <c r="O3159" t="s">
        <v>605</v>
      </c>
      <c r="Q3159" s="24" t="s">
        <v>2195</v>
      </c>
    </row>
    <row r="3160" spans="1:17" x14ac:dyDescent="0.25">
      <c r="A3160" s="22">
        <v>45754</v>
      </c>
      <c r="B3160" s="1" t="s">
        <v>1915</v>
      </c>
      <c r="C3160" t="s">
        <v>52</v>
      </c>
      <c r="D3160" s="23">
        <v>-500</v>
      </c>
      <c r="E3160" t="s">
        <v>35</v>
      </c>
      <c r="F3160" s="2">
        <v>610148001</v>
      </c>
      <c r="G3160" s="2" t="s">
        <v>41</v>
      </c>
      <c r="I3160" s="95" t="s">
        <v>7231</v>
      </c>
      <c r="J3160" t="s">
        <v>42</v>
      </c>
      <c r="K3160" t="s">
        <v>41</v>
      </c>
      <c r="M3160">
        <v>72.19</v>
      </c>
      <c r="N3160" s="4">
        <f t="shared" si="49"/>
        <v>-6.9261670591494671</v>
      </c>
      <c r="O3160" t="s">
        <v>605</v>
      </c>
      <c r="Q3160" s="24" t="s">
        <v>2195</v>
      </c>
    </row>
    <row r="3161" spans="1:17" x14ac:dyDescent="0.25">
      <c r="A3161" s="22">
        <v>45754</v>
      </c>
      <c r="B3161" s="1" t="s">
        <v>1914</v>
      </c>
      <c r="C3161" t="s">
        <v>52</v>
      </c>
      <c r="D3161" s="23">
        <v>-89.39</v>
      </c>
      <c r="E3161" t="s">
        <v>35</v>
      </c>
      <c r="F3161" s="2">
        <v>610148001</v>
      </c>
      <c r="G3161" s="2" t="s">
        <v>41</v>
      </c>
      <c r="I3161" s="95" t="s">
        <v>7231</v>
      </c>
      <c r="J3161" t="s">
        <v>42</v>
      </c>
      <c r="K3161" t="s">
        <v>41</v>
      </c>
      <c r="M3161">
        <v>72.19</v>
      </c>
      <c r="N3161" s="4">
        <f t="shared" si="49"/>
        <v>-1.2382601468347416</v>
      </c>
      <c r="O3161" t="s">
        <v>605</v>
      </c>
      <c r="Q3161" s="24" t="s">
        <v>2195</v>
      </c>
    </row>
    <row r="3162" spans="1:17" x14ac:dyDescent="0.25">
      <c r="A3162" s="22">
        <v>45754</v>
      </c>
      <c r="B3162" s="1" t="s">
        <v>2522</v>
      </c>
      <c r="C3162" t="s">
        <v>52</v>
      </c>
      <c r="D3162" s="23">
        <v>65083.26</v>
      </c>
      <c r="E3162" t="s">
        <v>45</v>
      </c>
      <c r="F3162" s="2">
        <v>110106001</v>
      </c>
      <c r="G3162" s="2" t="s">
        <v>1011</v>
      </c>
      <c r="I3162" s="95" t="s">
        <v>7231</v>
      </c>
      <c r="K3162" t="s">
        <v>2523</v>
      </c>
      <c r="M3162">
        <v>72.19</v>
      </c>
      <c r="N3162" s="4">
        <f t="shared" si="49"/>
        <v>901.55506302812034</v>
      </c>
      <c r="O3162" t="s">
        <v>605</v>
      </c>
    </row>
    <row r="3163" spans="1:17" x14ac:dyDescent="0.25">
      <c r="A3163" s="22">
        <v>45754</v>
      </c>
      <c r="B3163" s="1" t="s">
        <v>2524</v>
      </c>
      <c r="C3163" t="s">
        <v>52</v>
      </c>
      <c r="D3163" s="23">
        <v>13136.76</v>
      </c>
      <c r="E3163" t="s">
        <v>45</v>
      </c>
      <c r="F3163" s="2">
        <v>110106001</v>
      </c>
      <c r="G3163" s="2" t="s">
        <v>1011</v>
      </c>
      <c r="I3163" s="95" t="s">
        <v>7231</v>
      </c>
      <c r="K3163" t="s">
        <v>1617</v>
      </c>
      <c r="M3163">
        <v>72.19</v>
      </c>
      <c r="N3163" s="4">
        <f t="shared" si="49"/>
        <v>181.9747887519047</v>
      </c>
      <c r="O3163" t="s">
        <v>605</v>
      </c>
    </row>
    <row r="3164" spans="1:17" x14ac:dyDescent="0.25">
      <c r="A3164" s="22">
        <v>45754</v>
      </c>
      <c r="B3164" s="1" t="s">
        <v>2525</v>
      </c>
      <c r="C3164" t="s">
        <v>52</v>
      </c>
      <c r="D3164" s="23">
        <v>30477.3</v>
      </c>
      <c r="E3164" t="s">
        <v>45</v>
      </c>
      <c r="F3164" s="2">
        <v>110106001</v>
      </c>
      <c r="G3164" s="2" t="s">
        <v>1011</v>
      </c>
      <c r="I3164" s="95" t="s">
        <v>7231</v>
      </c>
      <c r="K3164" t="s">
        <v>2526</v>
      </c>
      <c r="M3164">
        <v>72.19</v>
      </c>
      <c r="N3164" s="4">
        <f t="shared" si="49"/>
        <v>422.18174262363209</v>
      </c>
      <c r="O3164" t="s">
        <v>605</v>
      </c>
    </row>
    <row r="3165" spans="1:17" x14ac:dyDescent="0.25">
      <c r="A3165" s="22">
        <v>45754</v>
      </c>
      <c r="B3165" s="1" t="s">
        <v>2527</v>
      </c>
      <c r="C3165" t="s">
        <v>52</v>
      </c>
      <c r="D3165" s="23">
        <v>30477.279999999999</v>
      </c>
      <c r="E3165" t="s">
        <v>45</v>
      </c>
      <c r="F3165" s="2">
        <v>110106001</v>
      </c>
      <c r="G3165" s="2" t="s">
        <v>1011</v>
      </c>
      <c r="I3165" s="95" t="s">
        <v>7231</v>
      </c>
      <c r="K3165" t="s">
        <v>2526</v>
      </c>
      <c r="M3165">
        <v>72.19</v>
      </c>
      <c r="N3165" s="4">
        <f t="shared" si="49"/>
        <v>422.18146557694973</v>
      </c>
      <c r="O3165" t="s">
        <v>605</v>
      </c>
    </row>
    <row r="3166" spans="1:17" x14ac:dyDescent="0.25">
      <c r="A3166" s="22">
        <v>45755</v>
      </c>
      <c r="B3166" s="1" t="s">
        <v>2528</v>
      </c>
      <c r="C3166" t="s">
        <v>52</v>
      </c>
      <c r="D3166" s="23">
        <v>10802.49</v>
      </c>
      <c r="E3166" t="s">
        <v>45</v>
      </c>
      <c r="F3166" s="2">
        <v>110106001</v>
      </c>
      <c r="G3166" s="2" t="s">
        <v>1011</v>
      </c>
      <c r="I3166" s="95" t="s">
        <v>7231</v>
      </c>
      <c r="K3166" t="s">
        <v>1617</v>
      </c>
      <c r="M3166">
        <v>73.36</v>
      </c>
      <c r="N3166" s="4">
        <f t="shared" si="49"/>
        <v>147.25313522355506</v>
      </c>
      <c r="O3166" t="s">
        <v>605</v>
      </c>
    </row>
    <row r="3167" spans="1:17" x14ac:dyDescent="0.25">
      <c r="A3167" s="22">
        <v>45755</v>
      </c>
      <c r="B3167" s="1" t="s">
        <v>2529</v>
      </c>
      <c r="C3167" t="s">
        <v>52</v>
      </c>
      <c r="D3167" s="23">
        <v>490000</v>
      </c>
      <c r="E3167" t="s">
        <v>45</v>
      </c>
      <c r="F3167" s="2">
        <v>210115002</v>
      </c>
      <c r="G3167" s="2" t="s">
        <v>46</v>
      </c>
      <c r="I3167" s="95" t="s">
        <v>7231</v>
      </c>
      <c r="K3167" t="s">
        <v>293</v>
      </c>
      <c r="M3167">
        <v>73.36</v>
      </c>
      <c r="N3167" s="4">
        <f t="shared" si="49"/>
        <v>6679.3893129770995</v>
      </c>
      <c r="O3167" t="s">
        <v>605</v>
      </c>
    </row>
    <row r="3168" spans="1:17" x14ac:dyDescent="0.25">
      <c r="A3168" s="22">
        <v>45755</v>
      </c>
      <c r="B3168" s="1" t="s">
        <v>2530</v>
      </c>
      <c r="C3168" t="s">
        <v>52</v>
      </c>
      <c r="D3168" s="23">
        <v>75000</v>
      </c>
      <c r="E3168" t="s">
        <v>45</v>
      </c>
      <c r="F3168" s="2">
        <v>210115002</v>
      </c>
      <c r="G3168" s="2" t="s">
        <v>46</v>
      </c>
      <c r="I3168" s="95" t="s">
        <v>7231</v>
      </c>
      <c r="K3168" t="s">
        <v>293</v>
      </c>
      <c r="M3168">
        <v>73.36</v>
      </c>
      <c r="N3168" s="4">
        <f t="shared" si="49"/>
        <v>1022.3555070883315</v>
      </c>
      <c r="O3168" t="s">
        <v>605</v>
      </c>
    </row>
    <row r="3169" spans="1:17" x14ac:dyDescent="0.25">
      <c r="A3169" s="22">
        <v>45755</v>
      </c>
      <c r="B3169" s="1" t="s">
        <v>1267</v>
      </c>
      <c r="C3169" t="s">
        <v>52</v>
      </c>
      <c r="D3169" s="23">
        <v>-76577.399999999994</v>
      </c>
      <c r="E3169" t="s">
        <v>35</v>
      </c>
      <c r="F3169" s="2">
        <v>210101001</v>
      </c>
      <c r="G3169" s="2" t="s">
        <v>36</v>
      </c>
      <c r="I3169" s="95" t="s">
        <v>7231</v>
      </c>
      <c r="J3169" t="s">
        <v>37</v>
      </c>
      <c r="K3169" t="s">
        <v>38</v>
      </c>
      <c r="M3169">
        <v>73.36</v>
      </c>
      <c r="N3169" s="4">
        <f t="shared" si="49"/>
        <v>-1043.8576881134131</v>
      </c>
      <c r="O3169" t="s">
        <v>605</v>
      </c>
    </row>
    <row r="3170" spans="1:17" x14ac:dyDescent="0.25">
      <c r="A3170" s="22">
        <v>45755</v>
      </c>
      <c r="B3170" s="1" t="s">
        <v>619</v>
      </c>
      <c r="C3170" t="s">
        <v>52</v>
      </c>
      <c r="D3170" s="23">
        <v>-13656.4</v>
      </c>
      <c r="E3170" t="s">
        <v>35</v>
      </c>
      <c r="F3170" s="2">
        <v>110114001</v>
      </c>
      <c r="G3170" s="2" t="s">
        <v>181</v>
      </c>
      <c r="I3170" s="95" t="s">
        <v>7231</v>
      </c>
      <c r="J3170" t="s">
        <v>37</v>
      </c>
      <c r="K3170" t="s">
        <v>38</v>
      </c>
      <c r="M3170">
        <v>73.36</v>
      </c>
      <c r="N3170" s="4">
        <f t="shared" si="49"/>
        <v>-186.15594329334786</v>
      </c>
      <c r="O3170" t="s">
        <v>605</v>
      </c>
      <c r="P3170" s="34" t="s">
        <v>1529</v>
      </c>
    </row>
    <row r="3171" spans="1:17" x14ac:dyDescent="0.25">
      <c r="A3171" s="22">
        <v>45755</v>
      </c>
      <c r="B3171" s="1" t="s">
        <v>613</v>
      </c>
      <c r="C3171" t="s">
        <v>52</v>
      </c>
      <c r="D3171" s="23">
        <v>-200000</v>
      </c>
      <c r="E3171" t="s">
        <v>35</v>
      </c>
      <c r="F3171" s="2">
        <v>110114001</v>
      </c>
      <c r="G3171" s="2" t="s">
        <v>181</v>
      </c>
      <c r="I3171" s="95" t="s">
        <v>7231</v>
      </c>
      <c r="J3171" t="s">
        <v>37</v>
      </c>
      <c r="K3171" t="s">
        <v>38</v>
      </c>
      <c r="M3171">
        <v>73.36</v>
      </c>
      <c r="N3171" s="4">
        <f t="shared" si="49"/>
        <v>-2726.2813522355509</v>
      </c>
      <c r="O3171" t="s">
        <v>605</v>
      </c>
      <c r="P3171" s="34" t="s">
        <v>1529</v>
      </c>
      <c r="Q3171" s="68"/>
    </row>
    <row r="3172" spans="1:17" x14ac:dyDescent="0.25">
      <c r="A3172" s="22">
        <v>45755</v>
      </c>
      <c r="B3172" s="1" t="s">
        <v>615</v>
      </c>
      <c r="C3172" t="s">
        <v>52</v>
      </c>
      <c r="D3172" s="23">
        <v>-200000</v>
      </c>
      <c r="E3172" t="s">
        <v>35</v>
      </c>
      <c r="F3172" s="2">
        <v>110114001</v>
      </c>
      <c r="G3172" s="2" t="s">
        <v>181</v>
      </c>
      <c r="I3172" s="95" t="s">
        <v>7231</v>
      </c>
      <c r="J3172" t="s">
        <v>37</v>
      </c>
      <c r="K3172" t="s">
        <v>38</v>
      </c>
      <c r="M3172">
        <v>73.36</v>
      </c>
      <c r="N3172" s="4">
        <f t="shared" si="49"/>
        <v>-2726.2813522355509</v>
      </c>
      <c r="O3172" t="s">
        <v>605</v>
      </c>
      <c r="P3172" s="34" t="s">
        <v>1529</v>
      </c>
      <c r="Q3172" s="68"/>
    </row>
    <row r="3173" spans="1:17" x14ac:dyDescent="0.25">
      <c r="A3173" s="22">
        <v>45755</v>
      </c>
      <c r="B3173" s="1" t="s">
        <v>617</v>
      </c>
      <c r="C3173" t="s">
        <v>52</v>
      </c>
      <c r="D3173" s="23">
        <v>-200000</v>
      </c>
      <c r="E3173" t="s">
        <v>35</v>
      </c>
      <c r="F3173" s="2">
        <v>110114001</v>
      </c>
      <c r="G3173" s="2" t="s">
        <v>181</v>
      </c>
      <c r="I3173" s="95" t="s">
        <v>7231</v>
      </c>
      <c r="J3173" t="s">
        <v>37</v>
      </c>
      <c r="K3173" t="s">
        <v>38</v>
      </c>
      <c r="M3173">
        <v>73.36</v>
      </c>
      <c r="N3173" s="4">
        <f t="shared" si="49"/>
        <v>-2726.2813522355509</v>
      </c>
      <c r="O3173" t="s">
        <v>605</v>
      </c>
      <c r="P3173" s="34" t="s">
        <v>1529</v>
      </c>
      <c r="Q3173" s="68"/>
    </row>
    <row r="3174" spans="1:17" x14ac:dyDescent="0.25">
      <c r="A3174" s="22">
        <v>45755</v>
      </c>
      <c r="B3174" s="1" t="s">
        <v>1268</v>
      </c>
      <c r="C3174" t="s">
        <v>52</v>
      </c>
      <c r="D3174" s="23">
        <v>-48337.11</v>
      </c>
      <c r="E3174" t="s">
        <v>35</v>
      </c>
      <c r="F3174" s="2">
        <v>210101001</v>
      </c>
      <c r="G3174" s="2" t="s">
        <v>36</v>
      </c>
      <c r="I3174" s="95" t="s">
        <v>7231</v>
      </c>
      <c r="J3174" t="s">
        <v>182</v>
      </c>
      <c r="K3174" t="s">
        <v>183</v>
      </c>
      <c r="M3174">
        <v>73.36</v>
      </c>
      <c r="N3174" s="4">
        <f t="shared" si="49"/>
        <v>-658.90280806979285</v>
      </c>
      <c r="O3174" t="s">
        <v>605</v>
      </c>
    </row>
    <row r="3175" spans="1:17" x14ac:dyDescent="0.25">
      <c r="A3175" s="22">
        <v>45755</v>
      </c>
      <c r="B3175" s="1" t="s">
        <v>621</v>
      </c>
      <c r="C3175" t="s">
        <v>52</v>
      </c>
      <c r="D3175" s="23">
        <v>-34.14</v>
      </c>
      <c r="E3175" t="s">
        <v>35</v>
      </c>
      <c r="F3175" s="2">
        <v>610148001</v>
      </c>
      <c r="G3175" s="2" t="s">
        <v>41</v>
      </c>
      <c r="I3175" s="95" t="s">
        <v>7231</v>
      </c>
      <c r="J3175" t="s">
        <v>42</v>
      </c>
      <c r="K3175" t="s">
        <v>41</v>
      </c>
      <c r="M3175">
        <v>73.36</v>
      </c>
      <c r="N3175" s="4">
        <f t="shared" si="49"/>
        <v>-0.46537622682660851</v>
      </c>
      <c r="O3175" t="s">
        <v>605</v>
      </c>
      <c r="Q3175" s="24" t="s">
        <v>2195</v>
      </c>
    </row>
    <row r="3176" spans="1:17" x14ac:dyDescent="0.25">
      <c r="A3176" s="22">
        <v>45755</v>
      </c>
      <c r="B3176" s="1" t="s">
        <v>1272</v>
      </c>
      <c r="C3176" t="s">
        <v>52</v>
      </c>
      <c r="D3176" s="23">
        <v>-191.44</v>
      </c>
      <c r="E3176" t="s">
        <v>35</v>
      </c>
      <c r="F3176" s="2">
        <v>610148001</v>
      </c>
      <c r="G3176" s="2" t="s">
        <v>41</v>
      </c>
      <c r="I3176" s="95" t="s">
        <v>7231</v>
      </c>
      <c r="J3176" t="s">
        <v>42</v>
      </c>
      <c r="K3176" t="s">
        <v>41</v>
      </c>
      <c r="M3176">
        <v>73.36</v>
      </c>
      <c r="N3176" s="4">
        <f t="shared" si="49"/>
        <v>-2.6095965103598693</v>
      </c>
      <c r="O3176" t="s">
        <v>605</v>
      </c>
      <c r="Q3176" s="24" t="s">
        <v>2195</v>
      </c>
    </row>
    <row r="3177" spans="1:17" x14ac:dyDescent="0.25">
      <c r="A3177" s="22">
        <v>45755</v>
      </c>
      <c r="B3177" s="1" t="s">
        <v>624</v>
      </c>
      <c r="C3177" t="s">
        <v>52</v>
      </c>
      <c r="D3177" s="23">
        <v>-500</v>
      </c>
      <c r="E3177" t="s">
        <v>35</v>
      </c>
      <c r="F3177" s="2">
        <v>610148001</v>
      </c>
      <c r="G3177" s="2" t="s">
        <v>41</v>
      </c>
      <c r="I3177" s="95" t="s">
        <v>7231</v>
      </c>
      <c r="J3177" t="s">
        <v>42</v>
      </c>
      <c r="K3177" t="s">
        <v>41</v>
      </c>
      <c r="M3177">
        <v>73.36</v>
      </c>
      <c r="N3177" s="4">
        <f t="shared" si="49"/>
        <v>-6.8157033805888769</v>
      </c>
      <c r="O3177" t="s">
        <v>605</v>
      </c>
      <c r="Q3177" s="24" t="s">
        <v>2195</v>
      </c>
    </row>
    <row r="3178" spans="1:17" x14ac:dyDescent="0.25">
      <c r="A3178" s="22">
        <v>45755</v>
      </c>
      <c r="B3178" s="1" t="s">
        <v>1271</v>
      </c>
      <c r="C3178" t="s">
        <v>52</v>
      </c>
      <c r="D3178" s="23">
        <v>-120.84</v>
      </c>
      <c r="E3178" t="s">
        <v>35</v>
      </c>
      <c r="F3178" s="2">
        <v>610148001</v>
      </c>
      <c r="G3178" s="2" t="s">
        <v>41</v>
      </c>
      <c r="I3178" s="95" t="s">
        <v>7231</v>
      </c>
      <c r="J3178" t="s">
        <v>42</v>
      </c>
      <c r="K3178" t="s">
        <v>41</v>
      </c>
      <c r="M3178">
        <v>73.36</v>
      </c>
      <c r="N3178" s="4">
        <f t="shared" si="49"/>
        <v>-1.6472191930207198</v>
      </c>
      <c r="O3178" t="s">
        <v>605</v>
      </c>
      <c r="Q3178" s="24" t="s">
        <v>2195</v>
      </c>
    </row>
    <row r="3179" spans="1:17" x14ac:dyDescent="0.25">
      <c r="A3179" s="22">
        <v>45755</v>
      </c>
      <c r="B3179" s="1" t="s">
        <v>623</v>
      </c>
      <c r="C3179" t="s">
        <v>52</v>
      </c>
      <c r="D3179" s="23">
        <v>-500</v>
      </c>
      <c r="E3179" t="s">
        <v>35</v>
      </c>
      <c r="F3179" s="2">
        <v>610148001</v>
      </c>
      <c r="G3179" s="2" t="s">
        <v>41</v>
      </c>
      <c r="I3179" s="95" t="s">
        <v>7231</v>
      </c>
      <c r="J3179" t="s">
        <v>42</v>
      </c>
      <c r="K3179" t="s">
        <v>41</v>
      </c>
      <c r="M3179">
        <v>73.36</v>
      </c>
      <c r="N3179" s="4">
        <f t="shared" si="49"/>
        <v>-6.8157033805888769</v>
      </c>
      <c r="O3179" t="s">
        <v>605</v>
      </c>
      <c r="Q3179" s="24" t="s">
        <v>2195</v>
      </c>
    </row>
    <row r="3180" spans="1:17" x14ac:dyDescent="0.25">
      <c r="A3180" s="22">
        <v>45755</v>
      </c>
      <c r="B3180" s="1" t="s">
        <v>625</v>
      </c>
      <c r="C3180" t="s">
        <v>52</v>
      </c>
      <c r="D3180" s="23">
        <v>-500</v>
      </c>
      <c r="E3180" t="s">
        <v>35</v>
      </c>
      <c r="F3180" s="2">
        <v>610148001</v>
      </c>
      <c r="G3180" s="2" t="s">
        <v>41</v>
      </c>
      <c r="I3180" s="95" t="s">
        <v>7231</v>
      </c>
      <c r="J3180" t="s">
        <v>42</v>
      </c>
      <c r="K3180" t="s">
        <v>41</v>
      </c>
      <c r="M3180">
        <v>73.36</v>
      </c>
      <c r="N3180" s="4">
        <f t="shared" si="49"/>
        <v>-6.8157033805888769</v>
      </c>
      <c r="O3180" t="s">
        <v>605</v>
      </c>
      <c r="Q3180" s="24" t="s">
        <v>2195</v>
      </c>
    </row>
    <row r="3181" spans="1:17" x14ac:dyDescent="0.25">
      <c r="A3181" s="22">
        <v>45756</v>
      </c>
      <c r="B3181" s="1" t="s">
        <v>2531</v>
      </c>
      <c r="C3181" t="s">
        <v>52</v>
      </c>
      <c r="D3181" s="23">
        <v>1110000</v>
      </c>
      <c r="E3181" t="s">
        <v>45</v>
      </c>
      <c r="F3181" s="2">
        <v>210115002</v>
      </c>
      <c r="G3181" s="2" t="s">
        <v>46</v>
      </c>
      <c r="I3181" s="95" t="s">
        <v>7231</v>
      </c>
      <c r="K3181" t="s">
        <v>293</v>
      </c>
      <c r="M3181">
        <v>74.28</v>
      </c>
      <c r="N3181" s="4">
        <f t="shared" si="49"/>
        <v>14943.45718901454</v>
      </c>
      <c r="O3181" t="s">
        <v>605</v>
      </c>
    </row>
    <row r="3182" spans="1:17" x14ac:dyDescent="0.25">
      <c r="A3182" s="22">
        <v>45756</v>
      </c>
      <c r="B3182" s="1" t="s">
        <v>619</v>
      </c>
      <c r="C3182" t="s">
        <v>52</v>
      </c>
      <c r="D3182" s="23">
        <v>-182278.72</v>
      </c>
      <c r="E3182" t="s">
        <v>35</v>
      </c>
      <c r="F3182" s="2">
        <v>210101001</v>
      </c>
      <c r="G3182" s="2" t="s">
        <v>36</v>
      </c>
      <c r="I3182" s="95" t="s">
        <v>7231</v>
      </c>
      <c r="J3182" t="s">
        <v>414</v>
      </c>
      <c r="K3182" t="s">
        <v>415</v>
      </c>
      <c r="M3182">
        <v>74.28</v>
      </c>
      <c r="N3182" s="4">
        <f t="shared" si="49"/>
        <v>-2453.9407646742056</v>
      </c>
      <c r="O3182" t="s">
        <v>605</v>
      </c>
    </row>
    <row r="3183" spans="1:17" x14ac:dyDescent="0.25">
      <c r="A3183" s="22">
        <v>45756</v>
      </c>
      <c r="B3183" s="1" t="s">
        <v>615</v>
      </c>
      <c r="C3183" t="s">
        <v>52</v>
      </c>
      <c r="D3183" s="23">
        <v>-15241.99</v>
      </c>
      <c r="E3183" t="s">
        <v>35</v>
      </c>
      <c r="F3183" s="2">
        <v>210101001</v>
      </c>
      <c r="G3183" s="2" t="s">
        <v>36</v>
      </c>
      <c r="I3183" s="95" t="s">
        <v>7231</v>
      </c>
      <c r="J3183" t="s">
        <v>701</v>
      </c>
      <c r="K3183" t="s">
        <v>702</v>
      </c>
      <c r="M3183">
        <v>74.28</v>
      </c>
      <c r="N3183" s="4">
        <f t="shared" si="49"/>
        <v>-205.19641895530424</v>
      </c>
      <c r="O3183" t="s">
        <v>605</v>
      </c>
    </row>
    <row r="3184" spans="1:17" x14ac:dyDescent="0.25">
      <c r="A3184" s="22">
        <v>45756</v>
      </c>
      <c r="B3184" s="1" t="s">
        <v>613</v>
      </c>
      <c r="C3184" t="s">
        <v>52</v>
      </c>
      <c r="D3184" s="23">
        <v>-89599.33</v>
      </c>
      <c r="E3184" t="s">
        <v>35</v>
      </c>
      <c r="F3184" s="2">
        <v>210101001</v>
      </c>
      <c r="G3184" s="2" t="s">
        <v>36</v>
      </c>
      <c r="I3184" s="95" t="s">
        <v>7231</v>
      </c>
      <c r="J3184" t="s">
        <v>37</v>
      </c>
      <c r="K3184" t="s">
        <v>38</v>
      </c>
      <c r="M3184">
        <v>74.28</v>
      </c>
      <c r="N3184" s="4">
        <f t="shared" si="49"/>
        <v>-1206.2376144318794</v>
      </c>
      <c r="O3184" t="s">
        <v>605</v>
      </c>
    </row>
    <row r="3185" spans="1:17" x14ac:dyDescent="0.25">
      <c r="A3185" s="22">
        <v>45756</v>
      </c>
      <c r="B3185" s="1" t="s">
        <v>617</v>
      </c>
      <c r="C3185" t="s">
        <v>52</v>
      </c>
      <c r="D3185" s="23">
        <v>-6893.18</v>
      </c>
      <c r="E3185" t="s">
        <v>35</v>
      </c>
      <c r="F3185" s="2">
        <v>210101001</v>
      </c>
      <c r="G3185" s="2" t="s">
        <v>36</v>
      </c>
      <c r="I3185" s="95" t="s">
        <v>7231</v>
      </c>
      <c r="J3185" t="s">
        <v>1007</v>
      </c>
      <c r="K3185" t="s">
        <v>1008</v>
      </c>
      <c r="M3185">
        <v>74.28</v>
      </c>
      <c r="N3185" s="4">
        <f t="shared" si="49"/>
        <v>-92.799946149703828</v>
      </c>
      <c r="O3185" t="s">
        <v>605</v>
      </c>
    </row>
    <row r="3186" spans="1:17" x14ac:dyDescent="0.25">
      <c r="A3186" s="22">
        <v>45756</v>
      </c>
      <c r="B3186" s="1" t="s">
        <v>619</v>
      </c>
      <c r="C3186" t="s">
        <v>52</v>
      </c>
      <c r="D3186" s="23">
        <v>-200000</v>
      </c>
      <c r="E3186" t="s">
        <v>35</v>
      </c>
      <c r="F3186" s="2">
        <v>210101001</v>
      </c>
      <c r="G3186" s="2" t="s">
        <v>36</v>
      </c>
      <c r="I3186" s="95" t="s">
        <v>7231</v>
      </c>
      <c r="J3186" t="s">
        <v>414</v>
      </c>
      <c r="K3186" t="s">
        <v>415</v>
      </c>
      <c r="M3186">
        <v>74.28</v>
      </c>
      <c r="N3186" s="4">
        <f t="shared" si="49"/>
        <v>-2692.5148088314486</v>
      </c>
      <c r="O3186" t="s">
        <v>605</v>
      </c>
    </row>
    <row r="3187" spans="1:17" x14ac:dyDescent="0.25">
      <c r="A3187" s="22">
        <v>45756</v>
      </c>
      <c r="B3187" s="1" t="s">
        <v>619</v>
      </c>
      <c r="C3187" t="s">
        <v>52</v>
      </c>
      <c r="D3187" s="23">
        <v>-200000</v>
      </c>
      <c r="E3187" t="s">
        <v>35</v>
      </c>
      <c r="F3187" s="2">
        <v>210101001</v>
      </c>
      <c r="G3187" s="2" t="s">
        <v>36</v>
      </c>
      <c r="I3187" s="95" t="s">
        <v>7231</v>
      </c>
      <c r="J3187" t="s">
        <v>414</v>
      </c>
      <c r="K3187" t="s">
        <v>415</v>
      </c>
      <c r="M3187">
        <v>74.28</v>
      </c>
      <c r="N3187" s="4">
        <f t="shared" si="49"/>
        <v>-2692.5148088314486</v>
      </c>
      <c r="O3187" t="s">
        <v>605</v>
      </c>
    </row>
    <row r="3188" spans="1:17" x14ac:dyDescent="0.25">
      <c r="A3188" s="22">
        <v>45756</v>
      </c>
      <c r="B3188" s="1" t="s">
        <v>619</v>
      </c>
      <c r="C3188" t="s">
        <v>52</v>
      </c>
      <c r="D3188" s="23">
        <v>-200000</v>
      </c>
      <c r="E3188" t="s">
        <v>35</v>
      </c>
      <c r="F3188" s="2">
        <v>210101001</v>
      </c>
      <c r="G3188" s="2" t="s">
        <v>36</v>
      </c>
      <c r="I3188" s="95" t="s">
        <v>7231</v>
      </c>
      <c r="J3188" t="s">
        <v>414</v>
      </c>
      <c r="K3188" t="s">
        <v>415</v>
      </c>
      <c r="M3188">
        <v>74.28</v>
      </c>
      <c r="N3188" s="4">
        <f t="shared" si="49"/>
        <v>-2692.5148088314486</v>
      </c>
      <c r="O3188" t="s">
        <v>605</v>
      </c>
    </row>
    <row r="3189" spans="1:17" x14ac:dyDescent="0.25">
      <c r="A3189" s="22">
        <v>45756</v>
      </c>
      <c r="B3189" s="1" t="s">
        <v>619</v>
      </c>
      <c r="C3189" t="s">
        <v>52</v>
      </c>
      <c r="D3189" s="23">
        <v>-200000</v>
      </c>
      <c r="E3189" t="s">
        <v>35</v>
      </c>
      <c r="F3189" s="2">
        <v>210101001</v>
      </c>
      <c r="G3189" s="2" t="s">
        <v>36</v>
      </c>
      <c r="I3189" s="95" t="s">
        <v>7231</v>
      </c>
      <c r="J3189" t="s">
        <v>414</v>
      </c>
      <c r="K3189" t="s">
        <v>415</v>
      </c>
      <c r="M3189">
        <v>74.28</v>
      </c>
      <c r="N3189" s="4">
        <f t="shared" si="49"/>
        <v>-2692.5148088314486</v>
      </c>
      <c r="O3189" t="s">
        <v>605</v>
      </c>
    </row>
    <row r="3190" spans="1:17" x14ac:dyDescent="0.25">
      <c r="A3190" s="22">
        <v>45756</v>
      </c>
      <c r="B3190" s="1" t="s">
        <v>621</v>
      </c>
      <c r="C3190" t="s">
        <v>52</v>
      </c>
      <c r="D3190" s="23">
        <v>-500</v>
      </c>
      <c r="E3190" t="s">
        <v>35</v>
      </c>
      <c r="F3190" s="2">
        <v>610148001</v>
      </c>
      <c r="G3190" s="2" t="s">
        <v>41</v>
      </c>
      <c r="I3190" s="95" t="s">
        <v>7231</v>
      </c>
      <c r="J3190" t="s">
        <v>42</v>
      </c>
      <c r="K3190" t="s">
        <v>41</v>
      </c>
      <c r="M3190">
        <v>74.28</v>
      </c>
      <c r="N3190" s="4">
        <f t="shared" si="49"/>
        <v>-6.7312870220786216</v>
      </c>
      <c r="O3190" t="s">
        <v>605</v>
      </c>
      <c r="Q3190" s="24" t="s">
        <v>2195</v>
      </c>
    </row>
    <row r="3191" spans="1:17" x14ac:dyDescent="0.25">
      <c r="A3191" s="22">
        <v>45756</v>
      </c>
      <c r="B3191" s="1" t="s">
        <v>624</v>
      </c>
      <c r="C3191" t="s">
        <v>52</v>
      </c>
      <c r="D3191" s="23">
        <v>-17.23</v>
      </c>
      <c r="E3191" t="s">
        <v>35</v>
      </c>
      <c r="F3191" s="2">
        <v>610148001</v>
      </c>
      <c r="G3191" s="2" t="s">
        <v>41</v>
      </c>
      <c r="I3191" s="95" t="s">
        <v>7231</v>
      </c>
      <c r="J3191" t="s">
        <v>42</v>
      </c>
      <c r="K3191" t="s">
        <v>41</v>
      </c>
      <c r="M3191">
        <v>74.28</v>
      </c>
      <c r="N3191" s="4">
        <f t="shared" si="49"/>
        <v>-0.23196015078082929</v>
      </c>
      <c r="O3191" t="s">
        <v>605</v>
      </c>
      <c r="Q3191" s="24" t="s">
        <v>2195</v>
      </c>
    </row>
    <row r="3192" spans="1:17" x14ac:dyDescent="0.25">
      <c r="A3192" s="22">
        <v>45756</v>
      </c>
      <c r="B3192" s="1" t="s">
        <v>621</v>
      </c>
      <c r="C3192" t="s">
        <v>52</v>
      </c>
      <c r="D3192" s="23">
        <v>-500</v>
      </c>
      <c r="E3192" t="s">
        <v>35</v>
      </c>
      <c r="F3192" s="2">
        <v>610148001</v>
      </c>
      <c r="G3192" s="2" t="s">
        <v>41</v>
      </c>
      <c r="I3192" s="95" t="s">
        <v>7231</v>
      </c>
      <c r="J3192" t="s">
        <v>42</v>
      </c>
      <c r="K3192" t="s">
        <v>41</v>
      </c>
      <c r="M3192">
        <v>74.28</v>
      </c>
      <c r="N3192" s="4">
        <f t="shared" si="49"/>
        <v>-6.7312870220786216</v>
      </c>
      <c r="O3192" t="s">
        <v>605</v>
      </c>
      <c r="Q3192" s="24" t="s">
        <v>2195</v>
      </c>
    </row>
    <row r="3193" spans="1:17" x14ac:dyDescent="0.25">
      <c r="A3193" s="22">
        <v>45756</v>
      </c>
      <c r="B3193" s="1" t="s">
        <v>621</v>
      </c>
      <c r="C3193" t="s">
        <v>52</v>
      </c>
      <c r="D3193" s="23">
        <v>-455.69</v>
      </c>
      <c r="E3193" t="s">
        <v>35</v>
      </c>
      <c r="F3193" s="2">
        <v>610148001</v>
      </c>
      <c r="G3193" s="2" t="s">
        <v>41</v>
      </c>
      <c r="I3193" s="95" t="s">
        <v>7231</v>
      </c>
      <c r="J3193" t="s">
        <v>42</v>
      </c>
      <c r="K3193" t="s">
        <v>41</v>
      </c>
      <c r="M3193">
        <v>74.28</v>
      </c>
      <c r="N3193" s="4">
        <f t="shared" si="49"/>
        <v>-6.1347603661820136</v>
      </c>
      <c r="O3193" t="s">
        <v>605</v>
      </c>
      <c r="Q3193" s="24" t="s">
        <v>2195</v>
      </c>
    </row>
    <row r="3194" spans="1:17" x14ac:dyDescent="0.25">
      <c r="A3194" s="22">
        <v>45756</v>
      </c>
      <c r="B3194" s="1" t="s">
        <v>623</v>
      </c>
      <c r="C3194" t="s">
        <v>52</v>
      </c>
      <c r="D3194" s="23">
        <v>-223.99</v>
      </c>
      <c r="E3194" t="s">
        <v>35</v>
      </c>
      <c r="F3194" s="2">
        <v>610148001</v>
      </c>
      <c r="G3194" s="2" t="s">
        <v>41</v>
      </c>
      <c r="I3194" s="95" t="s">
        <v>7231</v>
      </c>
      <c r="J3194" t="s">
        <v>42</v>
      </c>
      <c r="K3194" t="s">
        <v>41</v>
      </c>
      <c r="M3194">
        <v>74.28</v>
      </c>
      <c r="N3194" s="4">
        <f t="shared" si="49"/>
        <v>-3.015481960150781</v>
      </c>
      <c r="O3194" t="s">
        <v>605</v>
      </c>
      <c r="Q3194" s="24" t="s">
        <v>2195</v>
      </c>
    </row>
    <row r="3195" spans="1:17" x14ac:dyDescent="0.25">
      <c r="A3195" s="22">
        <v>45756</v>
      </c>
      <c r="B3195" s="1" t="s">
        <v>621</v>
      </c>
      <c r="C3195" t="s">
        <v>52</v>
      </c>
      <c r="D3195" s="23">
        <v>-500</v>
      </c>
      <c r="E3195" t="s">
        <v>35</v>
      </c>
      <c r="F3195" s="2">
        <v>610148001</v>
      </c>
      <c r="G3195" s="2" t="s">
        <v>41</v>
      </c>
      <c r="I3195" s="95" t="s">
        <v>7231</v>
      </c>
      <c r="J3195" t="s">
        <v>42</v>
      </c>
      <c r="K3195" t="s">
        <v>41</v>
      </c>
      <c r="M3195">
        <v>74.28</v>
      </c>
      <c r="N3195" s="4">
        <f t="shared" si="49"/>
        <v>-6.7312870220786216</v>
      </c>
      <c r="O3195" t="s">
        <v>605</v>
      </c>
      <c r="Q3195" s="24" t="s">
        <v>2195</v>
      </c>
    </row>
    <row r="3196" spans="1:17" x14ac:dyDescent="0.25">
      <c r="A3196" s="22">
        <v>45756</v>
      </c>
      <c r="B3196" s="1" t="s">
        <v>621</v>
      </c>
      <c r="C3196" t="s">
        <v>52</v>
      </c>
      <c r="D3196" s="23">
        <v>-500</v>
      </c>
      <c r="E3196" t="s">
        <v>35</v>
      </c>
      <c r="F3196" s="2">
        <v>610148001</v>
      </c>
      <c r="G3196" s="2" t="s">
        <v>41</v>
      </c>
      <c r="I3196" s="95" t="s">
        <v>7231</v>
      </c>
      <c r="J3196" t="s">
        <v>42</v>
      </c>
      <c r="K3196" t="s">
        <v>41</v>
      </c>
      <c r="M3196">
        <v>74.28</v>
      </c>
      <c r="N3196" s="4">
        <f t="shared" si="49"/>
        <v>-6.7312870220786216</v>
      </c>
      <c r="O3196" t="s">
        <v>605</v>
      </c>
      <c r="Q3196" s="24" t="s">
        <v>2195</v>
      </c>
    </row>
    <row r="3197" spans="1:17" x14ac:dyDescent="0.25">
      <c r="A3197" s="22">
        <v>45756</v>
      </c>
      <c r="B3197" s="1" t="s">
        <v>625</v>
      </c>
      <c r="C3197" t="s">
        <v>52</v>
      </c>
      <c r="D3197" s="23">
        <v>-38.1</v>
      </c>
      <c r="E3197" t="s">
        <v>35</v>
      </c>
      <c r="F3197" s="2">
        <v>610148001</v>
      </c>
      <c r="G3197" s="2" t="s">
        <v>41</v>
      </c>
      <c r="I3197" s="95" t="s">
        <v>7231</v>
      </c>
      <c r="J3197" t="s">
        <v>42</v>
      </c>
      <c r="K3197" t="s">
        <v>41</v>
      </c>
      <c r="M3197">
        <v>74.28</v>
      </c>
      <c r="N3197" s="4">
        <f t="shared" si="49"/>
        <v>-0.51292407108239102</v>
      </c>
      <c r="O3197" t="s">
        <v>605</v>
      </c>
      <c r="Q3197" s="24" t="s">
        <v>2195</v>
      </c>
    </row>
    <row r="3198" spans="1:17" x14ac:dyDescent="0.25">
      <c r="A3198" s="22">
        <v>45758</v>
      </c>
      <c r="B3198" s="1" t="s">
        <v>2532</v>
      </c>
      <c r="C3198" t="s">
        <v>52</v>
      </c>
      <c r="D3198" s="23">
        <v>500000</v>
      </c>
      <c r="E3198" t="s">
        <v>45</v>
      </c>
      <c r="F3198" s="2">
        <v>210115002</v>
      </c>
      <c r="G3198" s="2" t="s">
        <v>46</v>
      </c>
      <c r="I3198" s="95" t="s">
        <v>7231</v>
      </c>
      <c r="K3198" t="s">
        <v>293</v>
      </c>
      <c r="M3198">
        <v>77.260000000000005</v>
      </c>
      <c r="N3198" s="4">
        <f t="shared" si="49"/>
        <v>6471.6541548019668</v>
      </c>
      <c r="O3198" t="s">
        <v>605</v>
      </c>
    </row>
    <row r="3199" spans="1:17" x14ac:dyDescent="0.25">
      <c r="A3199" s="22">
        <v>45758</v>
      </c>
      <c r="B3199" s="1" t="s">
        <v>619</v>
      </c>
      <c r="C3199" t="s">
        <v>52</v>
      </c>
      <c r="D3199" s="23">
        <v>-3863</v>
      </c>
      <c r="E3199" t="s">
        <v>35</v>
      </c>
      <c r="F3199" s="2">
        <v>212901001</v>
      </c>
      <c r="G3199" s="2" t="s">
        <v>91</v>
      </c>
      <c r="I3199" s="95" t="s">
        <v>7231</v>
      </c>
      <c r="J3199" t="s">
        <v>61</v>
      </c>
      <c r="K3199" t="s">
        <v>62</v>
      </c>
      <c r="M3199">
        <v>77.260000000000005</v>
      </c>
      <c r="N3199" s="4">
        <f t="shared" si="49"/>
        <v>-50</v>
      </c>
      <c r="O3199" t="s">
        <v>605</v>
      </c>
    </row>
    <row r="3200" spans="1:17" x14ac:dyDescent="0.25">
      <c r="A3200" s="22">
        <v>45758</v>
      </c>
      <c r="B3200" s="1" t="s">
        <v>1898</v>
      </c>
      <c r="C3200" t="s">
        <v>52</v>
      </c>
      <c r="D3200" s="23">
        <v>-1545.2</v>
      </c>
      <c r="E3200" t="s">
        <v>35</v>
      </c>
      <c r="F3200" s="2">
        <v>212901001</v>
      </c>
      <c r="G3200" s="2" t="s">
        <v>91</v>
      </c>
      <c r="I3200" s="95" t="s">
        <v>7231</v>
      </c>
      <c r="J3200" t="s">
        <v>61</v>
      </c>
      <c r="K3200" t="s">
        <v>62</v>
      </c>
      <c r="M3200">
        <v>77.260000000000005</v>
      </c>
      <c r="N3200" s="4">
        <f t="shared" si="49"/>
        <v>-20</v>
      </c>
      <c r="O3200" t="s">
        <v>605</v>
      </c>
    </row>
    <row r="3201" spans="1:17" x14ac:dyDescent="0.25">
      <c r="A3201" s="22">
        <v>45758</v>
      </c>
      <c r="B3201" s="1" t="s">
        <v>1894</v>
      </c>
      <c r="C3201" t="s">
        <v>52</v>
      </c>
      <c r="D3201" s="23">
        <v>-12163</v>
      </c>
      <c r="E3201" t="s">
        <v>35</v>
      </c>
      <c r="F3201" s="2">
        <v>210101001</v>
      </c>
      <c r="G3201" s="2" t="s">
        <v>36</v>
      </c>
      <c r="I3201" s="95" t="s">
        <v>7231</v>
      </c>
      <c r="J3201" t="s">
        <v>86</v>
      </c>
      <c r="K3201" t="s">
        <v>87</v>
      </c>
      <c r="M3201">
        <v>77.260000000000005</v>
      </c>
      <c r="N3201" s="4">
        <f t="shared" si="49"/>
        <v>-157.42945896971264</v>
      </c>
      <c r="O3201" t="s">
        <v>605</v>
      </c>
    </row>
    <row r="3202" spans="1:17" x14ac:dyDescent="0.25">
      <c r="A3202" s="22">
        <v>45758</v>
      </c>
      <c r="B3202" s="1" t="s">
        <v>1886</v>
      </c>
      <c r="C3202" t="s">
        <v>52</v>
      </c>
      <c r="D3202" s="23">
        <v>-3863</v>
      </c>
      <c r="E3202" t="s">
        <v>35</v>
      </c>
      <c r="F3202" s="2">
        <v>212901001</v>
      </c>
      <c r="G3202" s="2" t="s">
        <v>91</v>
      </c>
      <c r="I3202" s="95" t="s">
        <v>7231</v>
      </c>
      <c r="J3202" t="s">
        <v>61</v>
      </c>
      <c r="K3202" t="s">
        <v>62</v>
      </c>
      <c r="M3202">
        <v>77.260000000000005</v>
      </c>
      <c r="N3202" s="4">
        <f t="shared" si="49"/>
        <v>-50</v>
      </c>
      <c r="O3202" t="s">
        <v>605</v>
      </c>
    </row>
    <row r="3203" spans="1:17" x14ac:dyDescent="0.25">
      <c r="A3203" s="22">
        <v>45758</v>
      </c>
      <c r="B3203" s="1" t="s">
        <v>619</v>
      </c>
      <c r="C3203" t="s">
        <v>52</v>
      </c>
      <c r="D3203" s="23">
        <v>-4635.6000000000004</v>
      </c>
      <c r="E3203" t="s">
        <v>35</v>
      </c>
      <c r="F3203" s="2">
        <v>212901001</v>
      </c>
      <c r="G3203" s="2" t="s">
        <v>91</v>
      </c>
      <c r="I3203" s="95" t="s">
        <v>7231</v>
      </c>
      <c r="J3203" t="s">
        <v>61</v>
      </c>
      <c r="K3203" t="s">
        <v>62</v>
      </c>
      <c r="M3203">
        <v>77.260000000000005</v>
      </c>
      <c r="N3203" s="4">
        <f t="shared" si="49"/>
        <v>-60</v>
      </c>
      <c r="O3203" t="s">
        <v>605</v>
      </c>
    </row>
    <row r="3204" spans="1:17" x14ac:dyDescent="0.25">
      <c r="A3204" s="22">
        <v>45758</v>
      </c>
      <c r="B3204" s="1" t="s">
        <v>1904</v>
      </c>
      <c r="C3204" t="s">
        <v>52</v>
      </c>
      <c r="D3204" s="23">
        <v>-1545.2</v>
      </c>
      <c r="E3204" t="s">
        <v>35</v>
      </c>
      <c r="F3204" s="2">
        <v>212901001</v>
      </c>
      <c r="G3204" s="2" t="s">
        <v>91</v>
      </c>
      <c r="I3204" s="95" t="s">
        <v>7231</v>
      </c>
      <c r="J3204" t="s">
        <v>61</v>
      </c>
      <c r="K3204" t="s">
        <v>62</v>
      </c>
      <c r="M3204">
        <v>77.260000000000005</v>
      </c>
      <c r="N3204" s="4">
        <f t="shared" si="49"/>
        <v>-20</v>
      </c>
      <c r="O3204" t="s">
        <v>605</v>
      </c>
    </row>
    <row r="3205" spans="1:17" x14ac:dyDescent="0.25">
      <c r="A3205" s="22">
        <v>45758</v>
      </c>
      <c r="B3205" s="1" t="s">
        <v>619</v>
      </c>
      <c r="C3205" t="s">
        <v>52</v>
      </c>
      <c r="D3205" s="23">
        <v>-4326.5600000000004</v>
      </c>
      <c r="E3205" t="s">
        <v>35</v>
      </c>
      <c r="F3205" s="2">
        <v>212901001</v>
      </c>
      <c r="G3205" s="2" t="s">
        <v>91</v>
      </c>
      <c r="I3205" s="95" t="s">
        <v>7231</v>
      </c>
      <c r="J3205" t="s">
        <v>61</v>
      </c>
      <c r="K3205" t="s">
        <v>62</v>
      </c>
      <c r="M3205">
        <v>77.260000000000005</v>
      </c>
      <c r="N3205" s="4">
        <f t="shared" si="49"/>
        <v>-56</v>
      </c>
      <c r="O3205" t="s">
        <v>605</v>
      </c>
    </row>
    <row r="3206" spans="1:17" x14ac:dyDescent="0.25">
      <c r="A3206" s="33">
        <v>45758</v>
      </c>
      <c r="B3206" s="27" t="s">
        <v>615</v>
      </c>
      <c r="C3206" s="28" t="s">
        <v>52</v>
      </c>
      <c r="D3206" s="29">
        <v>-9271.2000000000007</v>
      </c>
      <c r="E3206" s="28" t="s">
        <v>35</v>
      </c>
      <c r="F3206" s="30">
        <v>610129001</v>
      </c>
      <c r="G3206" s="30" t="s">
        <v>53</v>
      </c>
      <c r="H3206" s="30"/>
      <c r="I3206" s="95" t="s">
        <v>7231</v>
      </c>
      <c r="J3206" s="28" t="s">
        <v>54</v>
      </c>
      <c r="K3206" s="28" t="s">
        <v>55</v>
      </c>
      <c r="L3206" s="28" t="s">
        <v>56</v>
      </c>
      <c r="M3206" s="28">
        <v>77.260000000000005</v>
      </c>
      <c r="N3206" s="4">
        <f t="shared" si="49"/>
        <v>-120</v>
      </c>
      <c r="O3206" t="s">
        <v>605</v>
      </c>
      <c r="Q3206" s="24" t="s">
        <v>2533</v>
      </c>
    </row>
    <row r="3207" spans="1:17" x14ac:dyDescent="0.25">
      <c r="A3207" s="22">
        <v>45758</v>
      </c>
      <c r="B3207" s="1" t="s">
        <v>619</v>
      </c>
      <c r="C3207" t="s">
        <v>52</v>
      </c>
      <c r="D3207" s="23">
        <v>-5408.2</v>
      </c>
      <c r="E3207" t="s">
        <v>35</v>
      </c>
      <c r="F3207" s="2">
        <v>212901001</v>
      </c>
      <c r="G3207" s="2" t="s">
        <v>91</v>
      </c>
      <c r="I3207" s="95" t="s">
        <v>7231</v>
      </c>
      <c r="J3207" t="s">
        <v>61</v>
      </c>
      <c r="K3207" t="s">
        <v>62</v>
      </c>
      <c r="M3207">
        <v>77.260000000000005</v>
      </c>
      <c r="N3207" s="4">
        <f t="shared" si="49"/>
        <v>-70</v>
      </c>
      <c r="O3207" t="s">
        <v>605</v>
      </c>
    </row>
    <row r="3208" spans="1:17" x14ac:dyDescent="0.25">
      <c r="A3208" s="22">
        <v>45758</v>
      </c>
      <c r="B3208" s="1" t="s">
        <v>1909</v>
      </c>
      <c r="C3208" t="s">
        <v>52</v>
      </c>
      <c r="D3208" s="23">
        <v>-1545.2</v>
      </c>
      <c r="E3208" t="s">
        <v>35</v>
      </c>
      <c r="F3208" s="2">
        <v>212901001</v>
      </c>
      <c r="G3208" s="2" t="s">
        <v>91</v>
      </c>
      <c r="I3208" s="95" t="s">
        <v>7231</v>
      </c>
      <c r="J3208" t="s">
        <v>61</v>
      </c>
      <c r="K3208" t="s">
        <v>62</v>
      </c>
      <c r="M3208">
        <v>77.260000000000005</v>
      </c>
      <c r="N3208" s="4">
        <f t="shared" si="49"/>
        <v>-20</v>
      </c>
      <c r="O3208" t="s">
        <v>605</v>
      </c>
    </row>
    <row r="3209" spans="1:17" x14ac:dyDescent="0.25">
      <c r="A3209" s="22">
        <v>45758</v>
      </c>
      <c r="B3209" s="1" t="s">
        <v>613</v>
      </c>
      <c r="C3209" t="s">
        <v>52</v>
      </c>
      <c r="D3209" s="23">
        <v>-429386.36</v>
      </c>
      <c r="E3209" t="s">
        <v>35</v>
      </c>
      <c r="F3209" s="2">
        <v>110114001</v>
      </c>
      <c r="G3209" s="2" t="s">
        <v>181</v>
      </c>
      <c r="I3209" s="95" t="s">
        <v>7231</v>
      </c>
      <c r="J3209" t="s">
        <v>37</v>
      </c>
      <c r="K3209" t="s">
        <v>38</v>
      </c>
      <c r="M3209">
        <v>77.260000000000005</v>
      </c>
      <c r="N3209" s="4">
        <f t="shared" si="49"/>
        <v>-5557.6800414185864</v>
      </c>
      <c r="O3209" t="s">
        <v>605</v>
      </c>
      <c r="P3209" s="34" t="s">
        <v>1529</v>
      </c>
    </row>
    <row r="3210" spans="1:17" x14ac:dyDescent="0.25">
      <c r="A3210" s="22">
        <v>45758</v>
      </c>
      <c r="B3210" s="1" t="s">
        <v>619</v>
      </c>
      <c r="C3210" t="s">
        <v>52</v>
      </c>
      <c r="D3210" s="23">
        <v>-9321.2000000000007</v>
      </c>
      <c r="E3210" t="s">
        <v>35</v>
      </c>
      <c r="F3210" s="2">
        <v>210101001</v>
      </c>
      <c r="G3210" s="2" t="s">
        <v>36</v>
      </c>
      <c r="I3210" s="95" t="s">
        <v>7231</v>
      </c>
      <c r="J3210" t="s">
        <v>398</v>
      </c>
      <c r="K3210" t="s">
        <v>399</v>
      </c>
      <c r="M3210">
        <v>77.260000000000005</v>
      </c>
      <c r="N3210" s="4">
        <f t="shared" si="49"/>
        <v>-120.6471654154802</v>
      </c>
      <c r="O3210" t="s">
        <v>605</v>
      </c>
    </row>
    <row r="3211" spans="1:17" x14ac:dyDescent="0.25">
      <c r="A3211" s="22">
        <v>45758</v>
      </c>
      <c r="B3211" s="1" t="s">
        <v>617</v>
      </c>
      <c r="C3211" t="s">
        <v>52</v>
      </c>
      <c r="D3211" s="23">
        <v>-4250.08</v>
      </c>
      <c r="E3211" t="s">
        <v>35</v>
      </c>
      <c r="F3211" s="2">
        <v>210101001</v>
      </c>
      <c r="G3211" s="2" t="s">
        <v>36</v>
      </c>
      <c r="I3211" s="95" t="s">
        <v>7231</v>
      </c>
      <c r="J3211" t="s">
        <v>380</v>
      </c>
      <c r="K3211" t="s">
        <v>381</v>
      </c>
      <c r="M3211">
        <v>77.260000000000005</v>
      </c>
      <c r="N3211" s="4">
        <f t="shared" si="49"/>
        <v>-55.010095780481485</v>
      </c>
      <c r="O3211" t="s">
        <v>605</v>
      </c>
    </row>
    <row r="3212" spans="1:17" x14ac:dyDescent="0.25">
      <c r="A3212" s="22">
        <v>45758</v>
      </c>
      <c r="B3212" s="1" t="s">
        <v>625</v>
      </c>
      <c r="C3212" t="s">
        <v>52</v>
      </c>
      <c r="D3212" s="23">
        <v>-23.17</v>
      </c>
      <c r="E3212" t="s">
        <v>35</v>
      </c>
      <c r="F3212" s="2">
        <v>610148001</v>
      </c>
      <c r="G3212" s="2" t="s">
        <v>41</v>
      </c>
      <c r="I3212" s="95" t="s">
        <v>7231</v>
      </c>
      <c r="J3212" t="s">
        <v>42</v>
      </c>
      <c r="K3212" t="s">
        <v>41</v>
      </c>
      <c r="M3212">
        <v>77.260000000000005</v>
      </c>
      <c r="N3212" s="4">
        <f t="shared" ref="N3212:N3275" si="50">D3212/M3212</f>
        <v>-0.29989645353352318</v>
      </c>
      <c r="O3212" t="s">
        <v>605</v>
      </c>
      <c r="Q3212" s="24" t="s">
        <v>2195</v>
      </c>
    </row>
    <row r="3213" spans="1:17" x14ac:dyDescent="0.25">
      <c r="A3213" s="22">
        <v>45758</v>
      </c>
      <c r="B3213" s="1" t="s">
        <v>621</v>
      </c>
      <c r="C3213" t="s">
        <v>52</v>
      </c>
      <c r="D3213" s="23">
        <v>-13.52</v>
      </c>
      <c r="E3213" t="s">
        <v>35</v>
      </c>
      <c r="F3213" s="2">
        <v>610148001</v>
      </c>
      <c r="G3213" s="2" t="s">
        <v>41</v>
      </c>
      <c r="I3213" s="95" t="s">
        <v>7231</v>
      </c>
      <c r="J3213" t="s">
        <v>42</v>
      </c>
      <c r="K3213" t="s">
        <v>41</v>
      </c>
      <c r="M3213">
        <v>77.260000000000005</v>
      </c>
      <c r="N3213" s="4">
        <f t="shared" si="50"/>
        <v>-0.17499352834584517</v>
      </c>
      <c r="O3213" t="s">
        <v>605</v>
      </c>
      <c r="Q3213" s="24" t="s">
        <v>2195</v>
      </c>
    </row>
    <row r="3214" spans="1:17" x14ac:dyDescent="0.25">
      <c r="A3214" s="22">
        <v>45758</v>
      </c>
      <c r="B3214" s="1" t="s">
        <v>621</v>
      </c>
      <c r="C3214" t="s">
        <v>52</v>
      </c>
      <c r="D3214" s="23">
        <v>-9.65</v>
      </c>
      <c r="E3214" t="s">
        <v>35</v>
      </c>
      <c r="F3214" s="2">
        <v>610148001</v>
      </c>
      <c r="G3214" s="2" t="s">
        <v>41</v>
      </c>
      <c r="I3214" s="95" t="s">
        <v>7231</v>
      </c>
      <c r="J3214" t="s">
        <v>42</v>
      </c>
      <c r="K3214" t="s">
        <v>41</v>
      </c>
      <c r="M3214">
        <v>77.260000000000005</v>
      </c>
      <c r="N3214" s="4">
        <f t="shared" si="50"/>
        <v>-0.12490292518767797</v>
      </c>
      <c r="O3214" t="s">
        <v>605</v>
      </c>
      <c r="Q3214" s="24" t="s">
        <v>2195</v>
      </c>
    </row>
    <row r="3215" spans="1:17" x14ac:dyDescent="0.25">
      <c r="A3215" s="22">
        <v>45758</v>
      </c>
      <c r="B3215" s="1" t="s">
        <v>623</v>
      </c>
      <c r="C3215" t="s">
        <v>52</v>
      </c>
      <c r="D3215" s="23">
        <v>-1073.46</v>
      </c>
      <c r="E3215" t="s">
        <v>35</v>
      </c>
      <c r="F3215" s="2">
        <v>610148001</v>
      </c>
      <c r="G3215" s="2" t="s">
        <v>41</v>
      </c>
      <c r="I3215" s="95" t="s">
        <v>7231</v>
      </c>
      <c r="J3215" t="s">
        <v>42</v>
      </c>
      <c r="K3215" t="s">
        <v>41</v>
      </c>
      <c r="M3215">
        <v>77.260000000000005</v>
      </c>
      <c r="N3215" s="4">
        <f t="shared" si="50"/>
        <v>-13.894123738027439</v>
      </c>
      <c r="O3215" t="s">
        <v>605</v>
      </c>
      <c r="Q3215" s="24" t="s">
        <v>2195</v>
      </c>
    </row>
    <row r="3216" spans="1:17" x14ac:dyDescent="0.25">
      <c r="A3216" s="22">
        <v>45758</v>
      </c>
      <c r="B3216" s="1" t="s">
        <v>1913</v>
      </c>
      <c r="C3216" t="s">
        <v>52</v>
      </c>
      <c r="D3216" s="23">
        <v>-30.4</v>
      </c>
      <c r="E3216" t="s">
        <v>35</v>
      </c>
      <c r="F3216" s="2">
        <v>610148001</v>
      </c>
      <c r="G3216" s="2" t="s">
        <v>41</v>
      </c>
      <c r="I3216" s="95" t="s">
        <v>7231</v>
      </c>
      <c r="J3216" t="s">
        <v>42</v>
      </c>
      <c r="K3216" t="s">
        <v>41</v>
      </c>
      <c r="M3216">
        <v>77.260000000000005</v>
      </c>
      <c r="N3216" s="4">
        <f t="shared" si="50"/>
        <v>-0.39347657261195956</v>
      </c>
      <c r="O3216" t="s">
        <v>605</v>
      </c>
      <c r="Q3216" s="24" t="s">
        <v>2195</v>
      </c>
    </row>
    <row r="3217" spans="1:17" x14ac:dyDescent="0.25">
      <c r="A3217" s="22">
        <v>45758</v>
      </c>
      <c r="B3217" s="1" t="s">
        <v>1919</v>
      </c>
      <c r="C3217" t="s">
        <v>52</v>
      </c>
      <c r="D3217" s="23">
        <v>-3.86</v>
      </c>
      <c r="E3217" t="s">
        <v>35</v>
      </c>
      <c r="F3217" s="2">
        <v>610148001</v>
      </c>
      <c r="G3217" s="2" t="s">
        <v>41</v>
      </c>
      <c r="I3217" s="95" t="s">
        <v>7231</v>
      </c>
      <c r="J3217" t="s">
        <v>42</v>
      </c>
      <c r="K3217" t="s">
        <v>41</v>
      </c>
      <c r="M3217">
        <v>77.260000000000005</v>
      </c>
      <c r="N3217" s="4">
        <f t="shared" si="50"/>
        <v>-4.9961170075071185E-2</v>
      </c>
      <c r="O3217" t="s">
        <v>605</v>
      </c>
      <c r="Q3217" s="24" t="s">
        <v>2195</v>
      </c>
    </row>
    <row r="3218" spans="1:17" x14ac:dyDescent="0.25">
      <c r="A3218" s="22">
        <v>45758</v>
      </c>
      <c r="B3218" s="1" t="s">
        <v>1914</v>
      </c>
      <c r="C3218" t="s">
        <v>52</v>
      </c>
      <c r="D3218" s="23">
        <v>-9.65</v>
      </c>
      <c r="E3218" t="s">
        <v>35</v>
      </c>
      <c r="F3218" s="2">
        <v>610148001</v>
      </c>
      <c r="G3218" s="2" t="s">
        <v>41</v>
      </c>
      <c r="I3218" s="95" t="s">
        <v>7231</v>
      </c>
      <c r="J3218" t="s">
        <v>42</v>
      </c>
      <c r="K3218" t="s">
        <v>41</v>
      </c>
      <c r="M3218">
        <v>77.260000000000005</v>
      </c>
      <c r="N3218" s="4">
        <f t="shared" si="50"/>
        <v>-0.12490292518767797</v>
      </c>
      <c r="O3218" t="s">
        <v>605</v>
      </c>
      <c r="Q3218" s="24" t="s">
        <v>2195</v>
      </c>
    </row>
    <row r="3219" spans="1:17" x14ac:dyDescent="0.25">
      <c r="A3219" s="22">
        <v>45758</v>
      </c>
      <c r="B3219" s="1" t="s">
        <v>1916</v>
      </c>
      <c r="C3219" t="s">
        <v>52</v>
      </c>
      <c r="D3219" s="23">
        <v>-3.86</v>
      </c>
      <c r="E3219" t="s">
        <v>35</v>
      </c>
      <c r="F3219" s="2">
        <v>610148001</v>
      </c>
      <c r="G3219" s="2" t="s">
        <v>41</v>
      </c>
      <c r="I3219" s="95" t="s">
        <v>7231</v>
      </c>
      <c r="J3219" t="s">
        <v>42</v>
      </c>
      <c r="K3219" t="s">
        <v>41</v>
      </c>
      <c r="M3219">
        <v>77.260000000000005</v>
      </c>
      <c r="N3219" s="4">
        <f t="shared" si="50"/>
        <v>-4.9961170075071185E-2</v>
      </c>
      <c r="O3219" t="s">
        <v>605</v>
      </c>
      <c r="Q3219" s="24" t="s">
        <v>2195</v>
      </c>
    </row>
    <row r="3220" spans="1:17" x14ac:dyDescent="0.25">
      <c r="A3220" s="22">
        <v>45758</v>
      </c>
      <c r="B3220" s="1" t="s">
        <v>624</v>
      </c>
      <c r="C3220" t="s">
        <v>52</v>
      </c>
      <c r="D3220" s="23">
        <v>-10.62</v>
      </c>
      <c r="E3220" t="s">
        <v>35</v>
      </c>
      <c r="F3220" s="2">
        <v>610148001</v>
      </c>
      <c r="G3220" s="2" t="s">
        <v>41</v>
      </c>
      <c r="I3220" s="95" t="s">
        <v>7231</v>
      </c>
      <c r="J3220" t="s">
        <v>42</v>
      </c>
      <c r="K3220" t="s">
        <v>41</v>
      </c>
      <c r="M3220">
        <v>77.260000000000005</v>
      </c>
      <c r="N3220" s="4">
        <f t="shared" si="50"/>
        <v>-0.13745793424799377</v>
      </c>
      <c r="O3220" t="s">
        <v>605</v>
      </c>
      <c r="Q3220" s="24" t="s">
        <v>2195</v>
      </c>
    </row>
    <row r="3221" spans="1:17" x14ac:dyDescent="0.25">
      <c r="A3221" s="22">
        <v>45758</v>
      </c>
      <c r="B3221" s="1" t="s">
        <v>1912</v>
      </c>
      <c r="C3221" t="s">
        <v>52</v>
      </c>
      <c r="D3221" s="23">
        <v>-3.86</v>
      </c>
      <c r="E3221" t="s">
        <v>35</v>
      </c>
      <c r="F3221" s="2">
        <v>610148001</v>
      </c>
      <c r="G3221" s="2" t="s">
        <v>41</v>
      </c>
      <c r="I3221" s="95" t="s">
        <v>7231</v>
      </c>
      <c r="J3221" t="s">
        <v>42</v>
      </c>
      <c r="K3221" t="s">
        <v>41</v>
      </c>
      <c r="M3221">
        <v>77.260000000000005</v>
      </c>
      <c r="N3221" s="4">
        <f t="shared" si="50"/>
        <v>-4.9961170075071185E-2</v>
      </c>
      <c r="O3221" t="s">
        <v>605</v>
      </c>
      <c r="Q3221" s="24" t="s">
        <v>2195</v>
      </c>
    </row>
    <row r="3222" spans="1:17" x14ac:dyDescent="0.25">
      <c r="A3222" s="22">
        <v>45758</v>
      </c>
      <c r="B3222" s="1" t="s">
        <v>621</v>
      </c>
      <c r="C3222" t="s">
        <v>52</v>
      </c>
      <c r="D3222" s="23">
        <v>-23.3</v>
      </c>
      <c r="E3222" t="s">
        <v>35</v>
      </c>
      <c r="F3222" s="2">
        <v>610148001</v>
      </c>
      <c r="G3222" s="2" t="s">
        <v>41</v>
      </c>
      <c r="I3222" s="95" t="s">
        <v>7231</v>
      </c>
      <c r="J3222" t="s">
        <v>42</v>
      </c>
      <c r="K3222" t="s">
        <v>41</v>
      </c>
      <c r="M3222">
        <v>77.260000000000005</v>
      </c>
      <c r="N3222" s="4">
        <f t="shared" si="50"/>
        <v>-0.30157908361377167</v>
      </c>
      <c r="O3222" t="s">
        <v>605</v>
      </c>
      <c r="Q3222" s="24" t="s">
        <v>2195</v>
      </c>
    </row>
    <row r="3223" spans="1:17" x14ac:dyDescent="0.25">
      <c r="A3223" s="22">
        <v>45758</v>
      </c>
      <c r="B3223" s="1" t="s">
        <v>621</v>
      </c>
      <c r="C3223" t="s">
        <v>52</v>
      </c>
      <c r="D3223" s="23">
        <v>-11.58</v>
      </c>
      <c r="E3223" t="s">
        <v>35</v>
      </c>
      <c r="F3223" s="2">
        <v>610148001</v>
      </c>
      <c r="G3223" s="2" t="s">
        <v>41</v>
      </c>
      <c r="I3223" s="95" t="s">
        <v>7231</v>
      </c>
      <c r="J3223" t="s">
        <v>42</v>
      </c>
      <c r="K3223" t="s">
        <v>41</v>
      </c>
      <c r="M3223">
        <v>77.260000000000005</v>
      </c>
      <c r="N3223" s="4">
        <f t="shared" si="50"/>
        <v>-0.14988351022521357</v>
      </c>
      <c r="O3223" t="s">
        <v>605</v>
      </c>
      <c r="Q3223" s="24" t="s">
        <v>2195</v>
      </c>
    </row>
    <row r="3224" spans="1:17" x14ac:dyDescent="0.25">
      <c r="A3224" s="22">
        <v>45758</v>
      </c>
      <c r="B3224" s="1" t="s">
        <v>621</v>
      </c>
      <c r="C3224" t="s">
        <v>52</v>
      </c>
      <c r="D3224" s="23">
        <v>-10.81</v>
      </c>
      <c r="E3224" t="s">
        <v>35</v>
      </c>
      <c r="F3224" s="2">
        <v>610148001</v>
      </c>
      <c r="G3224" s="2" t="s">
        <v>41</v>
      </c>
      <c r="I3224" s="95" t="s">
        <v>7231</v>
      </c>
      <c r="J3224" t="s">
        <v>42</v>
      </c>
      <c r="K3224" t="s">
        <v>41</v>
      </c>
      <c r="M3224">
        <v>77.260000000000005</v>
      </c>
      <c r="N3224" s="4">
        <f t="shared" si="50"/>
        <v>-0.13991716282681854</v>
      </c>
      <c r="O3224" t="s">
        <v>605</v>
      </c>
      <c r="Q3224" s="24" t="s">
        <v>2195</v>
      </c>
    </row>
    <row r="3225" spans="1:17" x14ac:dyDescent="0.25">
      <c r="A3225" s="22">
        <v>45761</v>
      </c>
      <c r="B3225" s="1" t="s">
        <v>2534</v>
      </c>
      <c r="C3225" t="s">
        <v>52</v>
      </c>
      <c r="D3225" s="23">
        <v>23269.79</v>
      </c>
      <c r="E3225" t="s">
        <v>45</v>
      </c>
      <c r="F3225" s="2">
        <v>110106001</v>
      </c>
      <c r="G3225" s="2" t="s">
        <v>1011</v>
      </c>
      <c r="I3225" s="95" t="s">
        <v>7231</v>
      </c>
      <c r="K3225" t="s">
        <v>1617</v>
      </c>
      <c r="M3225">
        <v>78.36</v>
      </c>
      <c r="N3225" s="4">
        <f t="shared" si="50"/>
        <v>296.96005615109749</v>
      </c>
      <c r="O3225" t="s">
        <v>605</v>
      </c>
    </row>
    <row r="3226" spans="1:17" x14ac:dyDescent="0.25">
      <c r="A3226" s="22">
        <v>45761</v>
      </c>
      <c r="B3226" s="1" t="s">
        <v>615</v>
      </c>
      <c r="C3226" t="s">
        <v>52</v>
      </c>
      <c r="D3226" s="23">
        <v>-41091.15</v>
      </c>
      <c r="E3226" t="s">
        <v>35</v>
      </c>
      <c r="F3226" s="2">
        <v>210101001</v>
      </c>
      <c r="G3226" s="2" t="s">
        <v>36</v>
      </c>
      <c r="I3226" s="95" t="s">
        <v>7231</v>
      </c>
      <c r="J3226" t="s">
        <v>37</v>
      </c>
      <c r="K3226" t="s">
        <v>38</v>
      </c>
      <c r="M3226">
        <v>78.36</v>
      </c>
      <c r="N3226" s="4">
        <f t="shared" si="50"/>
        <v>-524.38935681470139</v>
      </c>
      <c r="O3226" t="s">
        <v>605</v>
      </c>
    </row>
    <row r="3227" spans="1:17" x14ac:dyDescent="0.25">
      <c r="A3227" s="33">
        <v>45761</v>
      </c>
      <c r="B3227" s="27" t="s">
        <v>613</v>
      </c>
      <c r="C3227" s="69" t="s">
        <v>2535</v>
      </c>
      <c r="D3227" s="29">
        <v>-3134.4</v>
      </c>
      <c r="E3227" s="28" t="s">
        <v>35</v>
      </c>
      <c r="F3227" s="30">
        <v>610125001</v>
      </c>
      <c r="G3227" s="30" t="s">
        <v>2536</v>
      </c>
      <c r="H3227" s="30"/>
      <c r="I3227" s="95" t="s">
        <v>7231</v>
      </c>
      <c r="J3227" s="28" t="s">
        <v>406</v>
      </c>
      <c r="K3227" s="28" t="s">
        <v>407</v>
      </c>
      <c r="L3227" s="28" t="s">
        <v>56</v>
      </c>
      <c r="M3227" s="28">
        <v>78.36</v>
      </c>
      <c r="N3227" s="4">
        <f t="shared" si="50"/>
        <v>-40</v>
      </c>
      <c r="O3227" t="s">
        <v>605</v>
      </c>
      <c r="P3227" s="3"/>
      <c r="Q3227" s="24" t="s">
        <v>2537</v>
      </c>
    </row>
    <row r="3228" spans="1:17" x14ac:dyDescent="0.25">
      <c r="A3228" s="22">
        <v>45761</v>
      </c>
      <c r="B3228" s="1" t="s">
        <v>623</v>
      </c>
      <c r="C3228" t="s">
        <v>52</v>
      </c>
      <c r="D3228" s="23">
        <v>-7.83</v>
      </c>
      <c r="E3228" t="s">
        <v>35</v>
      </c>
      <c r="F3228" s="2">
        <v>610148001</v>
      </c>
      <c r="G3228" s="2" t="s">
        <v>41</v>
      </c>
      <c r="I3228" s="95" t="s">
        <v>7231</v>
      </c>
      <c r="J3228" t="s">
        <v>42</v>
      </c>
      <c r="K3228" t="s">
        <v>41</v>
      </c>
      <c r="M3228">
        <v>78.36</v>
      </c>
      <c r="N3228" s="4">
        <f t="shared" si="50"/>
        <v>-9.9923430321592649E-2</v>
      </c>
      <c r="O3228" t="s">
        <v>605</v>
      </c>
      <c r="Q3228" s="24" t="s">
        <v>2195</v>
      </c>
    </row>
    <row r="3229" spans="1:17" x14ac:dyDescent="0.25">
      <c r="A3229" s="22">
        <v>45761</v>
      </c>
      <c r="B3229" s="1" t="s">
        <v>625</v>
      </c>
      <c r="C3229" t="s">
        <v>52</v>
      </c>
      <c r="D3229" s="23">
        <v>-102.72</v>
      </c>
      <c r="E3229" t="s">
        <v>35</v>
      </c>
      <c r="F3229" s="2">
        <v>610148001</v>
      </c>
      <c r="G3229" s="2" t="s">
        <v>41</v>
      </c>
      <c r="I3229" s="95" t="s">
        <v>7231</v>
      </c>
      <c r="J3229" t="s">
        <v>42</v>
      </c>
      <c r="K3229" t="s">
        <v>41</v>
      </c>
      <c r="M3229">
        <v>78.36</v>
      </c>
      <c r="N3229" s="4">
        <f t="shared" si="50"/>
        <v>-1.3108728943338437</v>
      </c>
      <c r="O3229" t="s">
        <v>605</v>
      </c>
      <c r="Q3229" s="24" t="s">
        <v>2195</v>
      </c>
    </row>
    <row r="3230" spans="1:17" x14ac:dyDescent="0.25">
      <c r="A3230" s="22">
        <v>45761</v>
      </c>
      <c r="B3230" s="1" t="s">
        <v>2538</v>
      </c>
      <c r="C3230" t="s">
        <v>52</v>
      </c>
      <c r="D3230" s="23">
        <v>20000</v>
      </c>
      <c r="E3230" t="s">
        <v>45</v>
      </c>
      <c r="F3230" s="2">
        <v>210115002</v>
      </c>
      <c r="G3230" s="2" t="s">
        <v>46</v>
      </c>
      <c r="I3230" s="95" t="s">
        <v>7231</v>
      </c>
      <c r="K3230" t="s">
        <v>293</v>
      </c>
      <c r="M3230">
        <v>78.36</v>
      </c>
      <c r="N3230" s="4">
        <f t="shared" si="50"/>
        <v>255.23226135783563</v>
      </c>
      <c r="O3230" t="s">
        <v>605</v>
      </c>
    </row>
    <row r="3231" spans="1:17" x14ac:dyDescent="0.25">
      <c r="A3231" s="22">
        <v>45761</v>
      </c>
      <c r="B3231" s="1" t="s">
        <v>615</v>
      </c>
      <c r="C3231" t="s">
        <v>52</v>
      </c>
      <c r="D3231" s="23">
        <v>-5691.01</v>
      </c>
      <c r="E3231" t="s">
        <v>35</v>
      </c>
      <c r="F3231" s="2">
        <v>210101001</v>
      </c>
      <c r="G3231" s="2" t="s">
        <v>36</v>
      </c>
      <c r="I3231" s="95" t="s">
        <v>7231</v>
      </c>
      <c r="J3231" t="s">
        <v>599</v>
      </c>
      <c r="K3231" t="s">
        <v>600</v>
      </c>
      <c r="M3231">
        <v>78.36</v>
      </c>
      <c r="N3231" s="4">
        <f t="shared" si="50"/>
        <v>-72.626467585502809</v>
      </c>
      <c r="O3231" t="s">
        <v>605</v>
      </c>
    </row>
    <row r="3232" spans="1:17" x14ac:dyDescent="0.25">
      <c r="A3232" s="22">
        <v>45761</v>
      </c>
      <c r="B3232" s="1" t="s">
        <v>613</v>
      </c>
      <c r="C3232" t="s">
        <v>52</v>
      </c>
      <c r="D3232" s="23">
        <v>-11811.51</v>
      </c>
      <c r="E3232" t="s">
        <v>35</v>
      </c>
      <c r="F3232" s="2">
        <v>210101001</v>
      </c>
      <c r="G3232" s="2" t="s">
        <v>36</v>
      </c>
      <c r="I3232" s="95" t="s">
        <v>7231</v>
      </c>
      <c r="J3232" t="s">
        <v>1301</v>
      </c>
      <c r="K3232" t="s">
        <v>1302</v>
      </c>
      <c r="M3232">
        <v>78.36</v>
      </c>
      <c r="N3232" s="4">
        <f t="shared" si="50"/>
        <v>-150.73392036753447</v>
      </c>
      <c r="O3232" t="s">
        <v>605</v>
      </c>
    </row>
    <row r="3233" spans="1:17" x14ac:dyDescent="0.25">
      <c r="A3233" s="22">
        <v>45761</v>
      </c>
      <c r="B3233" s="1" t="s">
        <v>625</v>
      </c>
      <c r="C3233" t="s">
        <v>52</v>
      </c>
      <c r="D3233" s="23">
        <v>-14.22</v>
      </c>
      <c r="E3233" t="s">
        <v>35</v>
      </c>
      <c r="F3233" s="2">
        <v>610148001</v>
      </c>
      <c r="G3233" s="2" t="s">
        <v>41</v>
      </c>
      <c r="I3233" s="95" t="s">
        <v>7231</v>
      </c>
      <c r="J3233" t="s">
        <v>42</v>
      </c>
      <c r="K3233" t="s">
        <v>41</v>
      </c>
      <c r="M3233">
        <v>78.36</v>
      </c>
      <c r="N3233" s="4">
        <f t="shared" si="50"/>
        <v>-0.18147013782542115</v>
      </c>
      <c r="O3233" t="s">
        <v>605</v>
      </c>
      <c r="Q3233" s="24" t="s">
        <v>2195</v>
      </c>
    </row>
    <row r="3234" spans="1:17" x14ac:dyDescent="0.25">
      <c r="A3234" s="22">
        <v>45761</v>
      </c>
      <c r="B3234" s="1" t="s">
        <v>623</v>
      </c>
      <c r="C3234" t="s">
        <v>52</v>
      </c>
      <c r="D3234" s="23">
        <v>-29.52</v>
      </c>
      <c r="E3234" t="s">
        <v>35</v>
      </c>
      <c r="F3234" s="2">
        <v>610148001</v>
      </c>
      <c r="G3234" s="2" t="s">
        <v>41</v>
      </c>
      <c r="I3234" s="95" t="s">
        <v>7231</v>
      </c>
      <c r="J3234" t="s">
        <v>42</v>
      </c>
      <c r="K3234" t="s">
        <v>41</v>
      </c>
      <c r="M3234">
        <v>78.36</v>
      </c>
      <c r="N3234" s="4">
        <f t="shared" si="50"/>
        <v>-0.37672281776416539</v>
      </c>
      <c r="O3234" t="s">
        <v>605</v>
      </c>
      <c r="Q3234" s="24" t="s">
        <v>2195</v>
      </c>
    </row>
    <row r="3235" spans="1:17" x14ac:dyDescent="0.25">
      <c r="A3235" s="22">
        <v>45769</v>
      </c>
      <c r="B3235" s="1" t="s">
        <v>2539</v>
      </c>
      <c r="C3235" t="s">
        <v>52</v>
      </c>
      <c r="D3235" s="23">
        <v>5588.65</v>
      </c>
      <c r="E3235" t="s">
        <v>45</v>
      </c>
      <c r="F3235" s="2">
        <v>110114001</v>
      </c>
      <c r="G3235" s="2" t="s">
        <v>181</v>
      </c>
      <c r="I3235" s="95" t="s">
        <v>7231</v>
      </c>
      <c r="K3235" t="s">
        <v>2540</v>
      </c>
      <c r="M3235">
        <v>81.760000000000005</v>
      </c>
      <c r="N3235" s="4">
        <f t="shared" si="50"/>
        <v>68.354329745596857</v>
      </c>
      <c r="O3235" t="s">
        <v>605</v>
      </c>
    </row>
    <row r="3236" spans="1:17" x14ac:dyDescent="0.25">
      <c r="A3236" s="22">
        <v>45771</v>
      </c>
      <c r="B3236" s="1" t="s">
        <v>2541</v>
      </c>
      <c r="C3236" t="s">
        <v>52</v>
      </c>
      <c r="D3236" s="23">
        <v>598000</v>
      </c>
      <c r="E3236" t="s">
        <v>45</v>
      </c>
      <c r="F3236" s="2">
        <v>210115002</v>
      </c>
      <c r="G3236" s="2" t="s">
        <v>46</v>
      </c>
      <c r="I3236" s="95" t="s">
        <v>7231</v>
      </c>
      <c r="K3236" t="s">
        <v>293</v>
      </c>
      <c r="M3236">
        <v>83.42</v>
      </c>
      <c r="N3236" s="4">
        <f t="shared" si="50"/>
        <v>7168.5447134979622</v>
      </c>
      <c r="O3236" t="s">
        <v>605</v>
      </c>
    </row>
    <row r="3237" spans="1:17" x14ac:dyDescent="0.25">
      <c r="A3237" s="22">
        <v>45771</v>
      </c>
      <c r="B3237" s="1" t="s">
        <v>2542</v>
      </c>
      <c r="C3237" t="s">
        <v>52</v>
      </c>
      <c r="D3237" s="23">
        <v>190000</v>
      </c>
      <c r="E3237" t="s">
        <v>45</v>
      </c>
      <c r="F3237" s="2">
        <v>210115002</v>
      </c>
      <c r="G3237" s="2" t="s">
        <v>46</v>
      </c>
      <c r="I3237" s="95" t="s">
        <v>7231</v>
      </c>
      <c r="K3237" t="s">
        <v>293</v>
      </c>
      <c r="M3237">
        <v>83.42</v>
      </c>
      <c r="N3237" s="4">
        <f t="shared" si="50"/>
        <v>2277.6312634859746</v>
      </c>
      <c r="O3237" t="s">
        <v>605</v>
      </c>
    </row>
    <row r="3238" spans="1:17" x14ac:dyDescent="0.25">
      <c r="A3238" s="22">
        <v>45771</v>
      </c>
      <c r="B3238" s="1" t="s">
        <v>2543</v>
      </c>
      <c r="C3238" t="s">
        <v>52</v>
      </c>
      <c r="D3238" s="23">
        <v>50000</v>
      </c>
      <c r="E3238" t="s">
        <v>45</v>
      </c>
      <c r="F3238" s="2">
        <v>210115002</v>
      </c>
      <c r="G3238" s="2" t="s">
        <v>46</v>
      </c>
      <c r="I3238" s="95" t="s">
        <v>7231</v>
      </c>
      <c r="K3238" t="s">
        <v>82</v>
      </c>
      <c r="M3238">
        <v>83.42</v>
      </c>
      <c r="N3238" s="4">
        <f t="shared" si="50"/>
        <v>599.37664828578272</v>
      </c>
      <c r="O3238" t="s">
        <v>605</v>
      </c>
    </row>
    <row r="3239" spans="1:17" x14ac:dyDescent="0.25">
      <c r="A3239" s="22">
        <v>45771</v>
      </c>
      <c r="B3239" s="1" t="s">
        <v>1268</v>
      </c>
      <c r="C3239" t="s">
        <v>52</v>
      </c>
      <c r="D3239" s="23">
        <v>-200000</v>
      </c>
      <c r="E3239" t="s">
        <v>35</v>
      </c>
      <c r="F3239" s="2">
        <v>110114001</v>
      </c>
      <c r="G3239" s="2" t="s">
        <v>181</v>
      </c>
      <c r="I3239" s="95" t="s">
        <v>7231</v>
      </c>
      <c r="J3239" t="s">
        <v>37</v>
      </c>
      <c r="K3239" t="s">
        <v>38</v>
      </c>
      <c r="M3239">
        <v>83.42</v>
      </c>
      <c r="N3239" s="4">
        <f t="shared" si="50"/>
        <v>-2397.5065931431309</v>
      </c>
      <c r="O3239" t="s">
        <v>605</v>
      </c>
      <c r="P3239" s="34" t="s">
        <v>1529</v>
      </c>
    </row>
    <row r="3240" spans="1:17" x14ac:dyDescent="0.25">
      <c r="A3240" s="22">
        <v>45771</v>
      </c>
      <c r="B3240" s="1" t="s">
        <v>1909</v>
      </c>
      <c r="C3240" t="s">
        <v>52</v>
      </c>
      <c r="D3240" s="23">
        <v>-200000</v>
      </c>
      <c r="E3240" t="s">
        <v>35</v>
      </c>
      <c r="F3240" s="2">
        <v>110114001</v>
      </c>
      <c r="G3240" s="2" t="s">
        <v>181</v>
      </c>
      <c r="I3240" s="95" t="s">
        <v>7231</v>
      </c>
      <c r="J3240" t="s">
        <v>37</v>
      </c>
      <c r="K3240" t="s">
        <v>38</v>
      </c>
      <c r="M3240">
        <v>83.42</v>
      </c>
      <c r="N3240" s="4">
        <f t="shared" si="50"/>
        <v>-2397.5065931431309</v>
      </c>
      <c r="O3240" t="s">
        <v>605</v>
      </c>
      <c r="P3240" s="34" t="s">
        <v>1529</v>
      </c>
    </row>
    <row r="3241" spans="1:17" x14ac:dyDescent="0.25">
      <c r="A3241" s="22">
        <v>45771</v>
      </c>
      <c r="B3241" s="1" t="s">
        <v>615</v>
      </c>
      <c r="C3241" t="s">
        <v>52</v>
      </c>
      <c r="D3241" s="23">
        <v>-4171</v>
      </c>
      <c r="E3241" t="s">
        <v>35</v>
      </c>
      <c r="F3241" s="2">
        <v>110114001</v>
      </c>
      <c r="G3241" s="2" t="s">
        <v>181</v>
      </c>
      <c r="I3241" s="95" t="s">
        <v>7231</v>
      </c>
      <c r="J3241" t="s">
        <v>37</v>
      </c>
      <c r="K3241" t="s">
        <v>38</v>
      </c>
      <c r="M3241">
        <v>83.42</v>
      </c>
      <c r="N3241" s="4">
        <f t="shared" si="50"/>
        <v>-50</v>
      </c>
      <c r="O3241" t="s">
        <v>605</v>
      </c>
      <c r="P3241" s="34" t="s">
        <v>1529</v>
      </c>
    </row>
    <row r="3242" spans="1:17" x14ac:dyDescent="0.25">
      <c r="A3242" s="22">
        <v>45771</v>
      </c>
      <c r="B3242" s="1" t="s">
        <v>613</v>
      </c>
      <c r="C3242" t="s">
        <v>52</v>
      </c>
      <c r="D3242" s="23">
        <v>-106985.58</v>
      </c>
      <c r="E3242" t="s">
        <v>35</v>
      </c>
      <c r="F3242" s="2">
        <v>110114001</v>
      </c>
      <c r="G3242" s="2" t="s">
        <v>181</v>
      </c>
      <c r="I3242" s="95" t="s">
        <v>7231</v>
      </c>
      <c r="J3242" t="s">
        <v>2544</v>
      </c>
      <c r="K3242" t="s">
        <v>2545</v>
      </c>
      <c r="M3242">
        <v>83.42</v>
      </c>
      <c r="N3242" s="4">
        <f t="shared" si="50"/>
        <v>-1282.4931671062095</v>
      </c>
      <c r="O3242" t="s">
        <v>605</v>
      </c>
      <c r="P3242" s="34" t="s">
        <v>1529</v>
      </c>
    </row>
    <row r="3243" spans="1:17" x14ac:dyDescent="0.25">
      <c r="A3243" s="22">
        <v>45771</v>
      </c>
      <c r="B3243" s="1" t="s">
        <v>1892</v>
      </c>
      <c r="C3243" t="s">
        <v>52</v>
      </c>
      <c r="D3243" s="23">
        <v>-30305.93</v>
      </c>
      <c r="E3243" t="s">
        <v>35</v>
      </c>
      <c r="F3243" s="2">
        <v>110114001</v>
      </c>
      <c r="G3243" s="2" t="s">
        <v>181</v>
      </c>
      <c r="I3243" s="95" t="s">
        <v>7231</v>
      </c>
      <c r="J3243" t="s">
        <v>37</v>
      </c>
      <c r="K3243" t="s">
        <v>38</v>
      </c>
      <c r="M3243">
        <v>83.42</v>
      </c>
      <c r="N3243" s="4">
        <f t="shared" si="50"/>
        <v>-363.29333493167104</v>
      </c>
      <c r="O3243" t="s">
        <v>605</v>
      </c>
      <c r="P3243" s="34" t="s">
        <v>1529</v>
      </c>
    </row>
    <row r="3244" spans="1:17" x14ac:dyDescent="0.25">
      <c r="A3244" s="22">
        <v>45771</v>
      </c>
      <c r="B3244" s="1" t="s">
        <v>619</v>
      </c>
      <c r="C3244" t="s">
        <v>52</v>
      </c>
      <c r="D3244" s="23">
        <v>-382.24</v>
      </c>
      <c r="E3244" t="s">
        <v>35</v>
      </c>
      <c r="F3244" s="2">
        <v>110114001</v>
      </c>
      <c r="G3244" s="2" t="s">
        <v>181</v>
      </c>
      <c r="I3244" s="95" t="s">
        <v>7231</v>
      </c>
      <c r="J3244" t="s">
        <v>2546</v>
      </c>
      <c r="K3244" t="s">
        <v>381</v>
      </c>
      <c r="M3244">
        <v>83.42</v>
      </c>
      <c r="N3244" s="4">
        <f t="shared" si="50"/>
        <v>-4.5821146008151521</v>
      </c>
      <c r="O3244" t="s">
        <v>605</v>
      </c>
      <c r="P3244" s="34" t="s">
        <v>1529</v>
      </c>
    </row>
    <row r="3245" spans="1:17" x14ac:dyDescent="0.25">
      <c r="A3245" s="22">
        <v>45771</v>
      </c>
      <c r="B3245" s="1" t="s">
        <v>1896</v>
      </c>
      <c r="C3245" t="s">
        <v>52</v>
      </c>
      <c r="D3245" s="23">
        <v>-48577.13</v>
      </c>
      <c r="E3245" t="s">
        <v>35</v>
      </c>
      <c r="F3245" s="2">
        <v>110114001</v>
      </c>
      <c r="G3245" s="2" t="s">
        <v>181</v>
      </c>
      <c r="I3245" s="95" t="s">
        <v>7231</v>
      </c>
      <c r="J3245" t="s">
        <v>928</v>
      </c>
      <c r="K3245" t="s">
        <v>929</v>
      </c>
      <c r="M3245">
        <v>83.42</v>
      </c>
      <c r="N3245" s="4">
        <f t="shared" si="50"/>
        <v>-582.31994725485492</v>
      </c>
      <c r="O3245" t="s">
        <v>605</v>
      </c>
      <c r="P3245" s="34" t="s">
        <v>1529</v>
      </c>
    </row>
    <row r="3246" spans="1:17" x14ac:dyDescent="0.25">
      <c r="A3246" s="22">
        <v>45771</v>
      </c>
      <c r="B3246" s="1" t="s">
        <v>1267</v>
      </c>
      <c r="C3246" t="s">
        <v>52</v>
      </c>
      <c r="D3246" s="23">
        <v>-200000</v>
      </c>
      <c r="E3246" t="s">
        <v>35</v>
      </c>
      <c r="F3246" s="2">
        <v>110114001</v>
      </c>
      <c r="G3246" s="2" t="s">
        <v>181</v>
      </c>
      <c r="I3246" s="95" t="s">
        <v>7231</v>
      </c>
      <c r="J3246" t="s">
        <v>37</v>
      </c>
      <c r="K3246" t="s">
        <v>38</v>
      </c>
      <c r="M3246">
        <v>83.42</v>
      </c>
      <c r="N3246" s="4">
        <f t="shared" si="50"/>
        <v>-2397.5065931431309</v>
      </c>
      <c r="O3246" t="s">
        <v>605</v>
      </c>
      <c r="P3246" s="34" t="s">
        <v>1529</v>
      </c>
    </row>
    <row r="3247" spans="1:17" x14ac:dyDescent="0.25">
      <c r="A3247" s="22">
        <v>45771</v>
      </c>
      <c r="B3247" s="1" t="s">
        <v>617</v>
      </c>
      <c r="C3247" t="s">
        <v>52</v>
      </c>
      <c r="D3247" s="23">
        <v>-35973.699999999997</v>
      </c>
      <c r="E3247" t="s">
        <v>35</v>
      </c>
      <c r="F3247" s="2">
        <v>110114001</v>
      </c>
      <c r="G3247" s="2" t="s">
        <v>181</v>
      </c>
      <c r="I3247" s="95" t="s">
        <v>7231</v>
      </c>
      <c r="J3247" t="s">
        <v>37</v>
      </c>
      <c r="K3247" t="s">
        <v>38</v>
      </c>
      <c r="M3247">
        <v>83.42</v>
      </c>
      <c r="N3247" s="4">
        <f t="shared" si="50"/>
        <v>-431.23591464876523</v>
      </c>
      <c r="O3247" t="s">
        <v>605</v>
      </c>
      <c r="P3247" s="34" t="s">
        <v>1529</v>
      </c>
    </row>
    <row r="3248" spans="1:17" x14ac:dyDescent="0.25">
      <c r="A3248" s="22">
        <v>45771</v>
      </c>
      <c r="B3248" s="1" t="s">
        <v>1912</v>
      </c>
      <c r="C3248" t="s">
        <v>52</v>
      </c>
      <c r="D3248" s="23">
        <v>-500</v>
      </c>
      <c r="E3248" t="s">
        <v>35</v>
      </c>
      <c r="F3248" s="2">
        <v>610148001</v>
      </c>
      <c r="G3248" s="2" t="s">
        <v>41</v>
      </c>
      <c r="I3248" s="95" t="s">
        <v>7231</v>
      </c>
      <c r="J3248" t="s">
        <v>42</v>
      </c>
      <c r="K3248" t="s">
        <v>41</v>
      </c>
      <c r="M3248">
        <v>83.42</v>
      </c>
      <c r="N3248" s="4">
        <f t="shared" si="50"/>
        <v>-5.9937664828578274</v>
      </c>
      <c r="O3248" t="s">
        <v>605</v>
      </c>
    </row>
    <row r="3249" spans="1:16" x14ac:dyDescent="0.25">
      <c r="A3249" s="22">
        <v>45771</v>
      </c>
      <c r="B3249" s="1" t="s">
        <v>625</v>
      </c>
      <c r="C3249" t="s">
        <v>52</v>
      </c>
      <c r="D3249" s="23">
        <v>-10.42</v>
      </c>
      <c r="E3249" t="s">
        <v>35</v>
      </c>
      <c r="F3249" s="2">
        <v>610148001</v>
      </c>
      <c r="G3249" s="2" t="s">
        <v>41</v>
      </c>
      <c r="I3249" s="95" t="s">
        <v>7231</v>
      </c>
      <c r="J3249" t="s">
        <v>42</v>
      </c>
      <c r="K3249" t="s">
        <v>41</v>
      </c>
      <c r="M3249">
        <v>83.42</v>
      </c>
      <c r="N3249" s="4">
        <f t="shared" si="50"/>
        <v>-0.12491009350275713</v>
      </c>
      <c r="O3249" t="s">
        <v>605</v>
      </c>
    </row>
    <row r="3250" spans="1:16" x14ac:dyDescent="0.25">
      <c r="A3250" s="22">
        <v>45771</v>
      </c>
      <c r="B3250" s="1" t="s">
        <v>623</v>
      </c>
      <c r="C3250" t="s">
        <v>52</v>
      </c>
      <c r="D3250" s="23">
        <v>-267.45999999999998</v>
      </c>
      <c r="E3250" t="s">
        <v>35</v>
      </c>
      <c r="F3250" s="2">
        <v>610148001</v>
      </c>
      <c r="G3250" s="2" t="s">
        <v>41</v>
      </c>
      <c r="I3250" s="95" t="s">
        <v>7231</v>
      </c>
      <c r="J3250" t="s">
        <v>42</v>
      </c>
      <c r="K3250" t="s">
        <v>41</v>
      </c>
      <c r="M3250">
        <v>83.42</v>
      </c>
      <c r="N3250" s="4">
        <f t="shared" si="50"/>
        <v>-3.206185567010309</v>
      </c>
      <c r="O3250" t="s">
        <v>605</v>
      </c>
    </row>
    <row r="3251" spans="1:16" x14ac:dyDescent="0.25">
      <c r="A3251" s="22">
        <v>45771</v>
      </c>
      <c r="B3251" s="1" t="s">
        <v>1915</v>
      </c>
      <c r="C3251" t="s">
        <v>52</v>
      </c>
      <c r="D3251" s="23">
        <v>-75.760000000000005</v>
      </c>
      <c r="E3251" t="s">
        <v>35</v>
      </c>
      <c r="F3251" s="2">
        <v>610148001</v>
      </c>
      <c r="G3251" s="2" t="s">
        <v>41</v>
      </c>
      <c r="I3251" s="95" t="s">
        <v>7231</v>
      </c>
      <c r="J3251" t="s">
        <v>42</v>
      </c>
      <c r="K3251" t="s">
        <v>41</v>
      </c>
      <c r="M3251">
        <v>83.42</v>
      </c>
      <c r="N3251" s="4">
        <f t="shared" si="50"/>
        <v>-0.90817549748261817</v>
      </c>
      <c r="O3251" t="s">
        <v>605</v>
      </c>
    </row>
    <row r="3252" spans="1:16" x14ac:dyDescent="0.25">
      <c r="A3252" s="22">
        <v>45771</v>
      </c>
      <c r="B3252" s="1" t="s">
        <v>1917</v>
      </c>
      <c r="C3252" t="s">
        <v>52</v>
      </c>
      <c r="D3252" s="23">
        <v>-121.44</v>
      </c>
      <c r="E3252" t="s">
        <v>35</v>
      </c>
      <c r="F3252" s="2">
        <v>610148001</v>
      </c>
      <c r="G3252" s="2" t="s">
        <v>41</v>
      </c>
      <c r="I3252" s="95" t="s">
        <v>7231</v>
      </c>
      <c r="J3252" t="s">
        <v>42</v>
      </c>
      <c r="K3252" t="s">
        <v>41</v>
      </c>
      <c r="M3252">
        <v>83.42</v>
      </c>
      <c r="N3252" s="4">
        <f t="shared" si="50"/>
        <v>-1.4557660033565092</v>
      </c>
      <c r="O3252" t="s">
        <v>605</v>
      </c>
    </row>
    <row r="3253" spans="1:16" x14ac:dyDescent="0.25">
      <c r="A3253" s="22">
        <v>45771</v>
      </c>
      <c r="B3253" s="1" t="s">
        <v>621</v>
      </c>
      <c r="C3253" t="s">
        <v>52</v>
      </c>
      <c r="D3253" s="23">
        <v>-0.95</v>
      </c>
      <c r="E3253" t="s">
        <v>35</v>
      </c>
      <c r="F3253" s="2">
        <v>610148001</v>
      </c>
      <c r="G3253" s="2" t="s">
        <v>41</v>
      </c>
      <c r="I3253" s="95" t="s">
        <v>7231</v>
      </c>
      <c r="J3253" t="s">
        <v>42</v>
      </c>
      <c r="K3253" t="s">
        <v>41</v>
      </c>
      <c r="M3253">
        <v>83.42</v>
      </c>
      <c r="N3253" s="4">
        <f t="shared" si="50"/>
        <v>-1.1388156317429872E-2</v>
      </c>
      <c r="O3253" t="s">
        <v>605</v>
      </c>
    </row>
    <row r="3254" spans="1:16" x14ac:dyDescent="0.25">
      <c r="A3254" s="22">
        <v>45771</v>
      </c>
      <c r="B3254" s="1" t="s">
        <v>624</v>
      </c>
      <c r="C3254" t="s">
        <v>52</v>
      </c>
      <c r="D3254" s="23">
        <v>-89.93</v>
      </c>
      <c r="E3254" t="s">
        <v>35</v>
      </c>
      <c r="F3254" s="2">
        <v>610148001</v>
      </c>
      <c r="G3254" s="2" t="s">
        <v>41</v>
      </c>
      <c r="I3254" s="95" t="s">
        <v>7231</v>
      </c>
      <c r="J3254" t="s">
        <v>42</v>
      </c>
      <c r="K3254" t="s">
        <v>41</v>
      </c>
      <c r="M3254">
        <v>83.42</v>
      </c>
      <c r="N3254" s="4">
        <f t="shared" si="50"/>
        <v>-1.078038839606809</v>
      </c>
      <c r="O3254" t="s">
        <v>605</v>
      </c>
    </row>
    <row r="3255" spans="1:16" x14ac:dyDescent="0.25">
      <c r="A3255" s="22">
        <v>45771</v>
      </c>
      <c r="B3255" s="1" t="s">
        <v>1271</v>
      </c>
      <c r="C3255" t="s">
        <v>52</v>
      </c>
      <c r="D3255" s="23">
        <v>-500</v>
      </c>
      <c r="E3255" t="s">
        <v>35</v>
      </c>
      <c r="F3255" s="2">
        <v>610148001</v>
      </c>
      <c r="G3255" s="2" t="s">
        <v>41</v>
      </c>
      <c r="I3255" s="95" t="s">
        <v>7231</v>
      </c>
      <c r="J3255" t="s">
        <v>42</v>
      </c>
      <c r="K3255" t="s">
        <v>41</v>
      </c>
      <c r="M3255">
        <v>83.42</v>
      </c>
      <c r="N3255" s="4">
        <f t="shared" si="50"/>
        <v>-5.9937664828578274</v>
      </c>
      <c r="O3255" t="s">
        <v>605</v>
      </c>
    </row>
    <row r="3256" spans="1:16" x14ac:dyDescent="0.25">
      <c r="A3256" s="22">
        <v>45771</v>
      </c>
      <c r="B3256" s="1" t="s">
        <v>1272</v>
      </c>
      <c r="C3256" t="s">
        <v>52</v>
      </c>
      <c r="D3256" s="23">
        <v>-500</v>
      </c>
      <c r="E3256" t="s">
        <v>35</v>
      </c>
      <c r="F3256" s="2">
        <v>610148001</v>
      </c>
      <c r="G3256" s="2" t="s">
        <v>41</v>
      </c>
      <c r="I3256" s="95" t="s">
        <v>7231</v>
      </c>
      <c r="J3256" t="s">
        <v>42</v>
      </c>
      <c r="K3256" t="s">
        <v>41</v>
      </c>
      <c r="M3256">
        <v>83.42</v>
      </c>
      <c r="N3256" s="4">
        <f t="shared" si="50"/>
        <v>-5.9937664828578274</v>
      </c>
      <c r="O3256" t="s">
        <v>605</v>
      </c>
    </row>
    <row r="3257" spans="1:16" x14ac:dyDescent="0.25">
      <c r="A3257" s="22">
        <v>45772</v>
      </c>
      <c r="B3257" s="1" t="s">
        <v>2547</v>
      </c>
      <c r="C3257" t="s">
        <v>52</v>
      </c>
      <c r="D3257" s="23">
        <v>1130000</v>
      </c>
      <c r="E3257" t="s">
        <v>45</v>
      </c>
      <c r="F3257" s="2">
        <v>210115002</v>
      </c>
      <c r="G3257" s="2" t="s">
        <v>46</v>
      </c>
      <c r="I3257" s="95" t="s">
        <v>7231</v>
      </c>
      <c r="K3257" t="s">
        <v>293</v>
      </c>
      <c r="M3257">
        <v>84.42</v>
      </c>
      <c r="N3257" s="4">
        <f t="shared" si="50"/>
        <v>13385.453683961146</v>
      </c>
      <c r="O3257" t="s">
        <v>605</v>
      </c>
    </row>
    <row r="3258" spans="1:16" x14ac:dyDescent="0.25">
      <c r="A3258" s="22">
        <v>45772</v>
      </c>
      <c r="B3258" s="1" t="s">
        <v>2006</v>
      </c>
      <c r="C3258" t="s">
        <v>52</v>
      </c>
      <c r="D3258" s="23">
        <v>-147573.67000000001</v>
      </c>
      <c r="E3258" t="s">
        <v>35</v>
      </c>
      <c r="F3258" s="2">
        <v>110114001</v>
      </c>
      <c r="G3258" s="2" t="s">
        <v>181</v>
      </c>
      <c r="I3258" s="95" t="s">
        <v>7231</v>
      </c>
      <c r="J3258" t="s">
        <v>502</v>
      </c>
      <c r="K3258" t="s">
        <v>503</v>
      </c>
      <c r="M3258">
        <v>84.42</v>
      </c>
      <c r="N3258" s="4">
        <f t="shared" si="50"/>
        <v>-1748.0889599620943</v>
      </c>
      <c r="O3258" t="s">
        <v>605</v>
      </c>
      <c r="P3258" s="34" t="s">
        <v>1529</v>
      </c>
    </row>
    <row r="3259" spans="1:16" x14ac:dyDescent="0.25">
      <c r="A3259" s="22">
        <v>45772</v>
      </c>
      <c r="B3259" s="1" t="s">
        <v>1894</v>
      </c>
      <c r="C3259" t="s">
        <v>52</v>
      </c>
      <c r="D3259" s="23">
        <v>-1688.4</v>
      </c>
      <c r="E3259" t="s">
        <v>35</v>
      </c>
      <c r="F3259" s="2">
        <v>212901001</v>
      </c>
      <c r="G3259" s="2" t="s">
        <v>91</v>
      </c>
      <c r="I3259" s="95" t="s">
        <v>7231</v>
      </c>
      <c r="J3259" t="s">
        <v>61</v>
      </c>
      <c r="K3259" t="s">
        <v>62</v>
      </c>
      <c r="M3259">
        <v>84.42</v>
      </c>
      <c r="N3259" s="4">
        <f t="shared" si="50"/>
        <v>-20</v>
      </c>
      <c r="O3259" t="s">
        <v>605</v>
      </c>
    </row>
    <row r="3260" spans="1:16" x14ac:dyDescent="0.25">
      <c r="A3260" s="22">
        <v>45772</v>
      </c>
      <c r="B3260" s="1" t="s">
        <v>1907</v>
      </c>
      <c r="C3260" t="s">
        <v>52</v>
      </c>
      <c r="D3260" s="23">
        <v>-1110.8</v>
      </c>
      <c r="E3260" t="s">
        <v>35</v>
      </c>
      <c r="F3260" s="2">
        <v>110114001</v>
      </c>
      <c r="G3260" s="2" t="s">
        <v>181</v>
      </c>
      <c r="I3260" s="95" t="s">
        <v>7231</v>
      </c>
      <c r="J3260" t="s">
        <v>86</v>
      </c>
      <c r="K3260" t="s">
        <v>87</v>
      </c>
      <c r="M3260">
        <v>84.42</v>
      </c>
      <c r="N3260" s="4">
        <f t="shared" si="50"/>
        <v>-13.158019426676143</v>
      </c>
      <c r="O3260" t="s">
        <v>605</v>
      </c>
      <c r="P3260" s="34" t="s">
        <v>1529</v>
      </c>
    </row>
    <row r="3261" spans="1:16" x14ac:dyDescent="0.25">
      <c r="A3261" s="22">
        <v>45772</v>
      </c>
      <c r="B3261" s="1" t="s">
        <v>2028</v>
      </c>
      <c r="C3261" t="s">
        <v>52</v>
      </c>
      <c r="D3261" s="23">
        <v>-40933.57</v>
      </c>
      <c r="E3261" t="s">
        <v>35</v>
      </c>
      <c r="F3261" s="2">
        <v>110114001</v>
      </c>
      <c r="G3261" s="2" t="s">
        <v>181</v>
      </c>
      <c r="I3261" s="95" t="s">
        <v>7231</v>
      </c>
      <c r="J3261" t="s">
        <v>182</v>
      </c>
      <c r="K3261" t="s">
        <v>183</v>
      </c>
      <c r="M3261">
        <v>84.42</v>
      </c>
      <c r="N3261" s="4">
        <f t="shared" si="50"/>
        <v>-484.8800047382137</v>
      </c>
      <c r="O3261" t="s">
        <v>605</v>
      </c>
      <c r="P3261" s="34" t="s">
        <v>1529</v>
      </c>
    </row>
    <row r="3262" spans="1:16" x14ac:dyDescent="0.25">
      <c r="A3262" s="22">
        <v>45772</v>
      </c>
      <c r="B3262" s="1" t="s">
        <v>617</v>
      </c>
      <c r="C3262" t="s">
        <v>52</v>
      </c>
      <c r="D3262" s="23">
        <v>-17595.39</v>
      </c>
      <c r="E3262" t="s">
        <v>35</v>
      </c>
      <c r="F3262" s="2">
        <v>110114001</v>
      </c>
      <c r="G3262" s="2" t="s">
        <v>181</v>
      </c>
      <c r="I3262" s="95" t="s">
        <v>7231</v>
      </c>
      <c r="J3262" t="s">
        <v>383</v>
      </c>
      <c r="K3262" t="s">
        <v>384</v>
      </c>
      <c r="M3262">
        <v>84.42</v>
      </c>
      <c r="N3262" s="4">
        <f t="shared" si="50"/>
        <v>-208.42679459843637</v>
      </c>
      <c r="O3262" t="s">
        <v>605</v>
      </c>
      <c r="P3262" s="34" t="s">
        <v>1529</v>
      </c>
    </row>
    <row r="3263" spans="1:16" x14ac:dyDescent="0.25">
      <c r="A3263" s="22">
        <v>45772</v>
      </c>
      <c r="B3263" s="1" t="s">
        <v>1898</v>
      </c>
      <c r="C3263" t="s">
        <v>52</v>
      </c>
      <c r="D3263" s="23">
        <v>-1688.4</v>
      </c>
      <c r="E3263" t="s">
        <v>35</v>
      </c>
      <c r="F3263" s="2">
        <v>212901001</v>
      </c>
      <c r="G3263" s="2" t="s">
        <v>91</v>
      </c>
      <c r="I3263" s="95" t="s">
        <v>7231</v>
      </c>
      <c r="J3263" t="s">
        <v>61</v>
      </c>
      <c r="K3263" t="s">
        <v>62</v>
      </c>
      <c r="M3263">
        <v>84.42</v>
      </c>
      <c r="N3263" s="4">
        <f t="shared" si="50"/>
        <v>-20</v>
      </c>
      <c r="O3263" t="s">
        <v>605</v>
      </c>
    </row>
    <row r="3264" spans="1:16" x14ac:dyDescent="0.25">
      <c r="A3264" s="22">
        <v>45772</v>
      </c>
      <c r="B3264" s="1" t="s">
        <v>1938</v>
      </c>
      <c r="C3264" t="s">
        <v>52</v>
      </c>
      <c r="D3264" s="23">
        <v>-594954.1</v>
      </c>
      <c r="E3264" t="s">
        <v>35</v>
      </c>
      <c r="F3264" s="2">
        <v>110114001</v>
      </c>
      <c r="G3264" s="2" t="s">
        <v>181</v>
      </c>
      <c r="I3264" s="95" t="s">
        <v>7231</v>
      </c>
      <c r="J3264" t="s">
        <v>37</v>
      </c>
      <c r="K3264" t="s">
        <v>38</v>
      </c>
      <c r="M3264">
        <v>84.42</v>
      </c>
      <c r="N3264" s="4">
        <f t="shared" si="50"/>
        <v>-7047.5491589670692</v>
      </c>
      <c r="O3264" t="s">
        <v>605</v>
      </c>
      <c r="P3264" s="34" t="s">
        <v>1529</v>
      </c>
    </row>
    <row r="3265" spans="1:16" x14ac:dyDescent="0.25">
      <c r="A3265" s="33">
        <v>45772</v>
      </c>
      <c r="B3265" s="27" t="s">
        <v>1888</v>
      </c>
      <c r="C3265" s="28" t="s">
        <v>52</v>
      </c>
      <c r="D3265" s="29">
        <v>-10130.4</v>
      </c>
      <c r="E3265" s="28" t="s">
        <v>35</v>
      </c>
      <c r="F3265" s="30">
        <v>610129001</v>
      </c>
      <c r="G3265" s="30" t="s">
        <v>53</v>
      </c>
      <c r="H3265" s="30"/>
      <c r="I3265" s="95" t="s">
        <v>7231</v>
      </c>
      <c r="J3265" s="28" t="s">
        <v>54</v>
      </c>
      <c r="K3265" s="28" t="s">
        <v>55</v>
      </c>
      <c r="L3265" s="28" t="s">
        <v>56</v>
      </c>
      <c r="M3265" s="28">
        <v>84.42</v>
      </c>
      <c r="N3265" s="4">
        <f t="shared" si="50"/>
        <v>-120</v>
      </c>
      <c r="O3265" t="s">
        <v>605</v>
      </c>
    </row>
    <row r="3266" spans="1:16" x14ac:dyDescent="0.25">
      <c r="A3266" s="22">
        <v>45772</v>
      </c>
      <c r="B3266" s="1" t="s">
        <v>1268</v>
      </c>
      <c r="C3266" t="s">
        <v>2548</v>
      </c>
      <c r="D3266" s="23">
        <v>-5909.4</v>
      </c>
      <c r="E3266" t="s">
        <v>35</v>
      </c>
      <c r="F3266" s="2">
        <v>212901001</v>
      </c>
      <c r="G3266" s="2" t="s">
        <v>91</v>
      </c>
      <c r="I3266" s="95" t="s">
        <v>7231</v>
      </c>
      <c r="J3266" t="s">
        <v>61</v>
      </c>
      <c r="K3266" t="s">
        <v>62</v>
      </c>
      <c r="M3266">
        <v>84.42</v>
      </c>
      <c r="N3266" s="4">
        <f t="shared" si="50"/>
        <v>-70</v>
      </c>
      <c r="O3266" t="s">
        <v>605</v>
      </c>
    </row>
    <row r="3267" spans="1:16" x14ac:dyDescent="0.25">
      <c r="A3267" s="22">
        <v>45772</v>
      </c>
      <c r="B3267" s="1" t="s">
        <v>615</v>
      </c>
      <c r="C3267" t="s">
        <v>2549</v>
      </c>
      <c r="D3267" s="23">
        <v>-39562.21</v>
      </c>
      <c r="E3267" t="s">
        <v>35</v>
      </c>
      <c r="F3267" s="2">
        <v>110114001</v>
      </c>
      <c r="G3267" s="2" t="s">
        <v>181</v>
      </c>
      <c r="I3267" s="95" t="s">
        <v>7231</v>
      </c>
      <c r="J3267" t="s">
        <v>680</v>
      </c>
      <c r="K3267" t="s">
        <v>681</v>
      </c>
      <c r="M3267">
        <v>84.42</v>
      </c>
      <c r="N3267" s="4">
        <f t="shared" si="50"/>
        <v>-468.6355129116323</v>
      </c>
      <c r="O3267" t="s">
        <v>605</v>
      </c>
      <c r="P3267" s="34" t="s">
        <v>1529</v>
      </c>
    </row>
    <row r="3268" spans="1:16" x14ac:dyDescent="0.25">
      <c r="A3268" s="22">
        <v>45772</v>
      </c>
      <c r="B3268" s="1" t="s">
        <v>613</v>
      </c>
      <c r="C3268" t="s">
        <v>2550</v>
      </c>
      <c r="D3268" s="23">
        <v>-33924.17</v>
      </c>
      <c r="E3268" t="s">
        <v>35</v>
      </c>
      <c r="F3268" s="2">
        <v>110114001</v>
      </c>
      <c r="G3268" s="2" t="s">
        <v>181</v>
      </c>
      <c r="I3268" s="95" t="s">
        <v>7231</v>
      </c>
      <c r="J3268" t="s">
        <v>2493</v>
      </c>
      <c r="K3268" t="s">
        <v>2494</v>
      </c>
      <c r="M3268">
        <v>84.42</v>
      </c>
      <c r="N3268" s="4">
        <f t="shared" si="50"/>
        <v>-401.84991708126034</v>
      </c>
      <c r="O3268" t="s">
        <v>605</v>
      </c>
      <c r="P3268" s="34" t="s">
        <v>1529</v>
      </c>
    </row>
    <row r="3269" spans="1:16" x14ac:dyDescent="0.25">
      <c r="A3269" s="22">
        <v>45772</v>
      </c>
      <c r="B3269" s="1" t="s">
        <v>1267</v>
      </c>
      <c r="C3269" t="s">
        <v>2551</v>
      </c>
      <c r="D3269" s="23">
        <v>-4221</v>
      </c>
      <c r="E3269" t="s">
        <v>35</v>
      </c>
      <c r="F3269" s="2">
        <v>212901001</v>
      </c>
      <c r="G3269" s="2" t="s">
        <v>91</v>
      </c>
      <c r="I3269" s="95" t="s">
        <v>7231</v>
      </c>
      <c r="J3269" t="s">
        <v>61</v>
      </c>
      <c r="K3269" t="s">
        <v>62</v>
      </c>
      <c r="M3269">
        <v>84.42</v>
      </c>
      <c r="N3269" s="4">
        <f t="shared" si="50"/>
        <v>-50</v>
      </c>
      <c r="O3269" t="s">
        <v>605</v>
      </c>
    </row>
    <row r="3270" spans="1:16" x14ac:dyDescent="0.25">
      <c r="A3270" s="22">
        <v>45772</v>
      </c>
      <c r="B3270" s="1" t="s">
        <v>1896</v>
      </c>
      <c r="C3270" t="s">
        <v>2552</v>
      </c>
      <c r="D3270" s="23">
        <v>-7597.8</v>
      </c>
      <c r="E3270" t="s">
        <v>35</v>
      </c>
      <c r="F3270" s="2">
        <v>212901001</v>
      </c>
      <c r="G3270" s="2" t="s">
        <v>91</v>
      </c>
      <c r="I3270" s="95" t="s">
        <v>7231</v>
      </c>
      <c r="J3270" t="s">
        <v>61</v>
      </c>
      <c r="K3270" t="s">
        <v>62</v>
      </c>
      <c r="M3270">
        <v>84.42</v>
      </c>
      <c r="N3270" s="4">
        <f t="shared" si="50"/>
        <v>-90</v>
      </c>
      <c r="O3270" t="s">
        <v>605</v>
      </c>
    </row>
    <row r="3271" spans="1:16" x14ac:dyDescent="0.25">
      <c r="A3271" s="22">
        <v>45772</v>
      </c>
      <c r="B3271" s="1" t="s">
        <v>1909</v>
      </c>
      <c r="C3271" t="s">
        <v>2553</v>
      </c>
      <c r="D3271" s="23">
        <v>-844.2</v>
      </c>
      <c r="E3271" t="s">
        <v>35</v>
      </c>
      <c r="F3271" s="2">
        <v>212901001</v>
      </c>
      <c r="G3271" s="2" t="s">
        <v>91</v>
      </c>
      <c r="I3271" s="95" t="s">
        <v>7231</v>
      </c>
      <c r="J3271" t="s">
        <v>61</v>
      </c>
      <c r="K3271" t="s">
        <v>62</v>
      </c>
      <c r="M3271">
        <v>84.42</v>
      </c>
      <c r="N3271" s="4">
        <f t="shared" si="50"/>
        <v>-10</v>
      </c>
      <c r="O3271" t="s">
        <v>605</v>
      </c>
    </row>
    <row r="3272" spans="1:16" x14ac:dyDescent="0.25">
      <c r="A3272" s="22">
        <v>45772</v>
      </c>
      <c r="B3272" s="1" t="s">
        <v>1900</v>
      </c>
      <c r="C3272" t="s">
        <v>2554</v>
      </c>
      <c r="D3272" s="23">
        <v>-15287.4</v>
      </c>
      <c r="E3272" t="s">
        <v>35</v>
      </c>
      <c r="F3272" s="2">
        <v>110114001</v>
      </c>
      <c r="G3272" s="2" t="s">
        <v>181</v>
      </c>
      <c r="I3272" s="95" t="s">
        <v>7231</v>
      </c>
      <c r="J3272" t="s">
        <v>86</v>
      </c>
      <c r="K3272" t="s">
        <v>87</v>
      </c>
      <c r="M3272">
        <v>84.42</v>
      </c>
      <c r="N3272" s="4">
        <f t="shared" si="50"/>
        <v>-181.08742004264391</v>
      </c>
      <c r="O3272" t="s">
        <v>605</v>
      </c>
      <c r="P3272" s="34" t="s">
        <v>1529</v>
      </c>
    </row>
    <row r="3273" spans="1:16" x14ac:dyDescent="0.25">
      <c r="A3273" s="22">
        <v>45772</v>
      </c>
      <c r="B3273" s="1" t="s">
        <v>1994</v>
      </c>
      <c r="C3273" t="s">
        <v>2555</v>
      </c>
      <c r="D3273" s="23">
        <v>-18113.21</v>
      </c>
      <c r="E3273" t="s">
        <v>35</v>
      </c>
      <c r="F3273" s="2">
        <v>110114001</v>
      </c>
      <c r="G3273" s="2" t="s">
        <v>181</v>
      </c>
      <c r="I3273" s="95" t="s">
        <v>7231</v>
      </c>
      <c r="J3273" t="s">
        <v>182</v>
      </c>
      <c r="K3273" t="s">
        <v>183</v>
      </c>
      <c r="M3273">
        <v>84.42</v>
      </c>
      <c r="N3273" s="4">
        <f t="shared" si="50"/>
        <v>-214.56064913527598</v>
      </c>
      <c r="O3273" t="s">
        <v>605</v>
      </c>
      <c r="P3273" s="34" t="s">
        <v>1529</v>
      </c>
    </row>
    <row r="3274" spans="1:16" x14ac:dyDescent="0.25">
      <c r="A3274" s="22">
        <v>45772</v>
      </c>
      <c r="B3274" s="1" t="s">
        <v>1981</v>
      </c>
      <c r="C3274" t="s">
        <v>2556</v>
      </c>
      <c r="D3274" s="23">
        <v>-98091.58</v>
      </c>
      <c r="E3274" t="s">
        <v>35</v>
      </c>
      <c r="F3274" s="2">
        <v>110114001</v>
      </c>
      <c r="G3274" s="2" t="s">
        <v>181</v>
      </c>
      <c r="I3274" s="95" t="s">
        <v>7231</v>
      </c>
      <c r="J3274" t="s">
        <v>182</v>
      </c>
      <c r="K3274" t="s">
        <v>183</v>
      </c>
      <c r="M3274">
        <v>84.42</v>
      </c>
      <c r="N3274" s="4">
        <f t="shared" si="50"/>
        <v>-1161.9471689173181</v>
      </c>
      <c r="O3274" t="s">
        <v>605</v>
      </c>
      <c r="P3274" s="34" t="s">
        <v>1529</v>
      </c>
    </row>
    <row r="3275" spans="1:16" x14ac:dyDescent="0.25">
      <c r="A3275" s="22">
        <v>45772</v>
      </c>
      <c r="B3275" s="1" t="s">
        <v>1983</v>
      </c>
      <c r="C3275" t="s">
        <v>2557</v>
      </c>
      <c r="D3275" s="23">
        <v>-1688.99</v>
      </c>
      <c r="E3275" t="s">
        <v>35</v>
      </c>
      <c r="F3275" s="2">
        <v>110114001</v>
      </c>
      <c r="G3275" s="2" t="s">
        <v>181</v>
      </c>
      <c r="I3275" s="95" t="s">
        <v>7231</v>
      </c>
      <c r="J3275" t="s">
        <v>414</v>
      </c>
      <c r="K3275" t="s">
        <v>415</v>
      </c>
      <c r="M3275">
        <v>84.42</v>
      </c>
      <c r="N3275" s="4">
        <f t="shared" si="50"/>
        <v>-20.006988865197819</v>
      </c>
      <c r="O3275" t="s">
        <v>605</v>
      </c>
      <c r="P3275" s="34" t="s">
        <v>1529</v>
      </c>
    </row>
    <row r="3276" spans="1:16" x14ac:dyDescent="0.25">
      <c r="A3276" s="22">
        <v>45772</v>
      </c>
      <c r="B3276" s="1" t="s">
        <v>1904</v>
      </c>
      <c r="C3276" t="s">
        <v>2558</v>
      </c>
      <c r="D3276" s="23">
        <v>-1688.4</v>
      </c>
      <c r="E3276" t="s">
        <v>35</v>
      </c>
      <c r="F3276" s="2">
        <v>212901001</v>
      </c>
      <c r="G3276" s="2" t="s">
        <v>91</v>
      </c>
      <c r="I3276" s="95" t="s">
        <v>7231</v>
      </c>
      <c r="J3276" t="s">
        <v>61</v>
      </c>
      <c r="K3276" t="s">
        <v>62</v>
      </c>
      <c r="M3276">
        <v>84.42</v>
      </c>
      <c r="N3276" s="4">
        <f t="shared" ref="N3276:N3339" si="51">D3276/M3276</f>
        <v>-20</v>
      </c>
      <c r="O3276" t="s">
        <v>605</v>
      </c>
    </row>
    <row r="3277" spans="1:16" x14ac:dyDescent="0.25">
      <c r="A3277" s="22">
        <v>45772</v>
      </c>
      <c r="B3277" s="1" t="s">
        <v>1886</v>
      </c>
      <c r="C3277" t="s">
        <v>2559</v>
      </c>
      <c r="D3277" s="23">
        <v>-1688.4</v>
      </c>
      <c r="E3277" t="s">
        <v>35</v>
      </c>
      <c r="F3277" s="2">
        <v>212901001</v>
      </c>
      <c r="G3277" s="2" t="s">
        <v>91</v>
      </c>
      <c r="I3277" s="95" t="s">
        <v>7231</v>
      </c>
      <c r="J3277" t="s">
        <v>61</v>
      </c>
      <c r="K3277" t="s">
        <v>62</v>
      </c>
      <c r="M3277">
        <v>84.42</v>
      </c>
      <c r="N3277" s="4">
        <f t="shared" si="51"/>
        <v>-20</v>
      </c>
      <c r="O3277" t="s">
        <v>605</v>
      </c>
    </row>
    <row r="3278" spans="1:16" x14ac:dyDescent="0.25">
      <c r="A3278" s="22">
        <v>45772</v>
      </c>
      <c r="B3278" s="1" t="s">
        <v>619</v>
      </c>
      <c r="C3278" t="s">
        <v>2560</v>
      </c>
      <c r="D3278" s="23">
        <v>-5909.4</v>
      </c>
      <c r="E3278" t="s">
        <v>35</v>
      </c>
      <c r="F3278" s="2">
        <v>212901001</v>
      </c>
      <c r="G3278" s="2" t="s">
        <v>91</v>
      </c>
      <c r="I3278" s="95" t="s">
        <v>7231</v>
      </c>
      <c r="J3278" t="s">
        <v>61</v>
      </c>
      <c r="K3278" t="s">
        <v>62</v>
      </c>
      <c r="M3278">
        <v>84.42</v>
      </c>
      <c r="N3278" s="4">
        <f t="shared" si="51"/>
        <v>-70</v>
      </c>
      <c r="O3278" t="s">
        <v>605</v>
      </c>
    </row>
    <row r="3279" spans="1:16" x14ac:dyDescent="0.25">
      <c r="A3279" s="22">
        <v>45772</v>
      </c>
      <c r="B3279" s="1" t="s">
        <v>1892</v>
      </c>
      <c r="C3279" t="s">
        <v>2561</v>
      </c>
      <c r="D3279" s="23">
        <v>-844.2</v>
      </c>
      <c r="E3279" t="s">
        <v>35</v>
      </c>
      <c r="F3279" s="2">
        <v>212901001</v>
      </c>
      <c r="G3279" s="2" t="s">
        <v>91</v>
      </c>
      <c r="I3279" s="95" t="s">
        <v>7231</v>
      </c>
      <c r="J3279" t="s">
        <v>61</v>
      </c>
      <c r="K3279" t="s">
        <v>62</v>
      </c>
      <c r="M3279">
        <v>84.42</v>
      </c>
      <c r="N3279" s="4">
        <f t="shared" si="51"/>
        <v>-10</v>
      </c>
      <c r="O3279" t="s">
        <v>605</v>
      </c>
    </row>
    <row r="3280" spans="1:16" x14ac:dyDescent="0.25">
      <c r="A3280" s="22">
        <v>45772</v>
      </c>
      <c r="B3280" s="1" t="s">
        <v>1936</v>
      </c>
      <c r="C3280" t="s">
        <v>2562</v>
      </c>
      <c r="D3280" s="23">
        <v>-75403.94</v>
      </c>
      <c r="E3280" t="s">
        <v>35</v>
      </c>
      <c r="F3280" s="2">
        <v>110114001</v>
      </c>
      <c r="G3280" s="2" t="s">
        <v>181</v>
      </c>
      <c r="I3280" s="95" t="s">
        <v>7231</v>
      </c>
      <c r="J3280" t="s">
        <v>928</v>
      </c>
      <c r="K3280" t="s">
        <v>929</v>
      </c>
      <c r="M3280">
        <v>84.42</v>
      </c>
      <c r="N3280" s="4">
        <f t="shared" si="51"/>
        <v>-893.19995261786312</v>
      </c>
      <c r="O3280" t="s">
        <v>605</v>
      </c>
      <c r="P3280" s="34" t="s">
        <v>1529</v>
      </c>
    </row>
    <row r="3281" spans="1:15" x14ac:dyDescent="0.25">
      <c r="A3281" s="22">
        <v>45772</v>
      </c>
      <c r="B3281" s="1" t="s">
        <v>1916</v>
      </c>
      <c r="C3281" t="s">
        <v>622</v>
      </c>
      <c r="D3281" s="23">
        <v>-4.22</v>
      </c>
      <c r="E3281" t="s">
        <v>35</v>
      </c>
      <c r="F3281" s="2">
        <v>610148001</v>
      </c>
      <c r="G3281" s="2" t="s">
        <v>41</v>
      </c>
      <c r="I3281" s="95" t="s">
        <v>7231</v>
      </c>
      <c r="J3281" t="s">
        <v>42</v>
      </c>
      <c r="K3281" t="s">
        <v>41</v>
      </c>
      <c r="M3281">
        <v>84.42</v>
      </c>
      <c r="N3281" s="4">
        <f t="shared" si="51"/>
        <v>-4.9988154465766405E-2</v>
      </c>
      <c r="O3281" t="s">
        <v>605</v>
      </c>
    </row>
    <row r="3282" spans="1:15" x14ac:dyDescent="0.25">
      <c r="A3282" s="22">
        <v>45772</v>
      </c>
      <c r="B3282" s="1" t="s">
        <v>1271</v>
      </c>
      <c r="C3282" t="s">
        <v>622</v>
      </c>
      <c r="D3282" s="23">
        <v>-14.77</v>
      </c>
      <c r="E3282" t="s">
        <v>35</v>
      </c>
      <c r="F3282" s="2">
        <v>610148001</v>
      </c>
      <c r="G3282" s="2" t="s">
        <v>41</v>
      </c>
      <c r="I3282" s="95" t="s">
        <v>7231</v>
      </c>
      <c r="J3282" t="s">
        <v>42</v>
      </c>
      <c r="K3282" t="s">
        <v>41</v>
      </c>
      <c r="M3282">
        <v>84.42</v>
      </c>
      <c r="N3282" s="4">
        <f t="shared" si="51"/>
        <v>-0.1749585406301824</v>
      </c>
      <c r="O3282" t="s">
        <v>605</v>
      </c>
    </row>
    <row r="3283" spans="1:15" x14ac:dyDescent="0.25">
      <c r="A3283" s="22">
        <v>45772</v>
      </c>
      <c r="B3283" s="1" t="s">
        <v>1919</v>
      </c>
      <c r="C3283" t="s">
        <v>622</v>
      </c>
      <c r="D3283" s="23">
        <v>-4.22</v>
      </c>
      <c r="E3283" t="s">
        <v>35</v>
      </c>
      <c r="F3283" s="2">
        <v>610148001</v>
      </c>
      <c r="G3283" s="2" t="s">
        <v>41</v>
      </c>
      <c r="I3283" s="95" t="s">
        <v>7231</v>
      </c>
      <c r="J3283" t="s">
        <v>42</v>
      </c>
      <c r="K3283" t="s">
        <v>41</v>
      </c>
      <c r="M3283">
        <v>84.42</v>
      </c>
      <c r="N3283" s="4">
        <f t="shared" si="51"/>
        <v>-4.9988154465766405E-2</v>
      </c>
      <c r="O3283" t="s">
        <v>605</v>
      </c>
    </row>
    <row r="3284" spans="1:15" x14ac:dyDescent="0.25">
      <c r="A3284" s="22">
        <v>45772</v>
      </c>
      <c r="B3284" s="1" t="s">
        <v>1914</v>
      </c>
      <c r="C3284" t="s">
        <v>622</v>
      </c>
      <c r="D3284" s="23">
        <v>-4.22</v>
      </c>
      <c r="E3284" t="s">
        <v>35</v>
      </c>
      <c r="F3284" s="2">
        <v>610148001</v>
      </c>
      <c r="G3284" s="2" t="s">
        <v>41</v>
      </c>
      <c r="I3284" s="95" t="s">
        <v>7231</v>
      </c>
      <c r="J3284" t="s">
        <v>42</v>
      </c>
      <c r="K3284" t="s">
        <v>41</v>
      </c>
      <c r="M3284">
        <v>84.42</v>
      </c>
      <c r="N3284" s="4">
        <f t="shared" si="51"/>
        <v>-4.9988154465766405E-2</v>
      </c>
      <c r="O3284" t="s">
        <v>605</v>
      </c>
    </row>
    <row r="3285" spans="1:15" x14ac:dyDescent="0.25">
      <c r="A3285" s="22">
        <v>45772</v>
      </c>
      <c r="B3285" s="1" t="s">
        <v>625</v>
      </c>
      <c r="C3285" t="s">
        <v>622</v>
      </c>
      <c r="D3285" s="23">
        <v>-98.9</v>
      </c>
      <c r="E3285" t="s">
        <v>35</v>
      </c>
      <c r="F3285" s="2">
        <v>610148001</v>
      </c>
      <c r="G3285" s="2" t="s">
        <v>41</v>
      </c>
      <c r="I3285" s="95" t="s">
        <v>7231</v>
      </c>
      <c r="J3285" t="s">
        <v>42</v>
      </c>
      <c r="K3285" t="s">
        <v>41</v>
      </c>
      <c r="M3285">
        <v>84.42</v>
      </c>
      <c r="N3285" s="4">
        <f t="shared" si="51"/>
        <v>-1.1715233357024402</v>
      </c>
      <c r="O3285" t="s">
        <v>605</v>
      </c>
    </row>
    <row r="3286" spans="1:15" x14ac:dyDescent="0.25">
      <c r="A3286" s="22">
        <v>45772</v>
      </c>
      <c r="B3286" s="1" t="s">
        <v>1272</v>
      </c>
      <c r="C3286" t="s">
        <v>622</v>
      </c>
      <c r="D3286" s="23">
        <v>-10.55</v>
      </c>
      <c r="E3286" t="s">
        <v>35</v>
      </c>
      <c r="F3286" s="2">
        <v>610148001</v>
      </c>
      <c r="G3286" s="2" t="s">
        <v>41</v>
      </c>
      <c r="I3286" s="95" t="s">
        <v>7231</v>
      </c>
      <c r="J3286" t="s">
        <v>42</v>
      </c>
      <c r="K3286" t="s">
        <v>41</v>
      </c>
      <c r="M3286">
        <v>84.42</v>
      </c>
      <c r="N3286" s="4">
        <f t="shared" si="51"/>
        <v>-0.12497038616441603</v>
      </c>
      <c r="O3286" t="s">
        <v>605</v>
      </c>
    </row>
    <row r="3287" spans="1:15" x14ac:dyDescent="0.25">
      <c r="A3287" s="22">
        <v>45772</v>
      </c>
      <c r="B3287" s="1" t="s">
        <v>1912</v>
      </c>
      <c r="C3287" t="s">
        <v>622</v>
      </c>
      <c r="D3287" s="23">
        <v>-2.11</v>
      </c>
      <c r="E3287" t="s">
        <v>35</v>
      </c>
      <c r="F3287" s="2">
        <v>610148001</v>
      </c>
      <c r="G3287" s="2" t="s">
        <v>41</v>
      </c>
      <c r="I3287" s="95" t="s">
        <v>7231</v>
      </c>
      <c r="J3287" t="s">
        <v>42</v>
      </c>
      <c r="K3287" t="s">
        <v>41</v>
      </c>
      <c r="M3287">
        <v>84.42</v>
      </c>
      <c r="N3287" s="4">
        <f t="shared" si="51"/>
        <v>-2.4994077232883202E-2</v>
      </c>
      <c r="O3287" t="s">
        <v>605</v>
      </c>
    </row>
    <row r="3288" spans="1:15" x14ac:dyDescent="0.25">
      <c r="A3288" s="22">
        <v>45772</v>
      </c>
      <c r="B3288" s="1" t="s">
        <v>1918</v>
      </c>
      <c r="C3288" t="s">
        <v>622</v>
      </c>
      <c r="D3288" s="23">
        <v>-38.21</v>
      </c>
      <c r="E3288" t="s">
        <v>35</v>
      </c>
      <c r="F3288" s="2">
        <v>610148001</v>
      </c>
      <c r="G3288" s="2" t="s">
        <v>41</v>
      </c>
      <c r="I3288" s="95" t="s">
        <v>7231</v>
      </c>
      <c r="J3288" t="s">
        <v>42</v>
      </c>
      <c r="K3288" t="s">
        <v>41</v>
      </c>
      <c r="M3288">
        <v>84.42</v>
      </c>
      <c r="N3288" s="4">
        <f t="shared" si="51"/>
        <v>-0.45261786306562424</v>
      </c>
      <c r="O3288" t="s">
        <v>605</v>
      </c>
    </row>
    <row r="3289" spans="1:15" x14ac:dyDescent="0.25">
      <c r="A3289" s="22">
        <v>45772</v>
      </c>
      <c r="B3289" s="1" t="s">
        <v>1911</v>
      </c>
      <c r="C3289" t="s">
        <v>622</v>
      </c>
      <c r="D3289" s="23">
        <v>-2.77</v>
      </c>
      <c r="E3289" t="s">
        <v>35</v>
      </c>
      <c r="F3289" s="2">
        <v>610148001</v>
      </c>
      <c r="G3289" s="2" t="s">
        <v>41</v>
      </c>
      <c r="I3289" s="95" t="s">
        <v>7231</v>
      </c>
      <c r="J3289" t="s">
        <v>42</v>
      </c>
      <c r="K3289" t="s">
        <v>41</v>
      </c>
      <c r="M3289">
        <v>84.42</v>
      </c>
      <c r="N3289" s="4">
        <f t="shared" si="51"/>
        <v>-3.2812129827055198E-2</v>
      </c>
      <c r="O3289" t="s">
        <v>605</v>
      </c>
    </row>
    <row r="3290" spans="1:15" x14ac:dyDescent="0.25">
      <c r="A3290" s="22">
        <v>45772</v>
      </c>
      <c r="B3290" s="1" t="s">
        <v>1920</v>
      </c>
      <c r="C3290" t="s">
        <v>622</v>
      </c>
      <c r="D3290" s="23">
        <v>-25.32</v>
      </c>
      <c r="E3290" t="s">
        <v>35</v>
      </c>
      <c r="F3290" s="2">
        <v>610148001</v>
      </c>
      <c r="G3290" s="2" t="s">
        <v>41</v>
      </c>
      <c r="I3290" s="95" t="s">
        <v>7231</v>
      </c>
      <c r="J3290" t="s">
        <v>42</v>
      </c>
      <c r="K3290" t="s">
        <v>41</v>
      </c>
      <c r="M3290">
        <v>84.42</v>
      </c>
      <c r="N3290" s="4">
        <f t="shared" si="51"/>
        <v>-0.29992892679459843</v>
      </c>
      <c r="O3290" t="s">
        <v>605</v>
      </c>
    </row>
    <row r="3291" spans="1:15" x14ac:dyDescent="0.25">
      <c r="A3291" s="22">
        <v>45772</v>
      </c>
      <c r="B3291" s="1" t="s">
        <v>2076</v>
      </c>
      <c r="C3291" t="s">
        <v>622</v>
      </c>
      <c r="D3291" s="23">
        <v>-45.28</v>
      </c>
      <c r="E3291" t="s">
        <v>35</v>
      </c>
      <c r="F3291" s="2">
        <v>610148001</v>
      </c>
      <c r="G3291" s="2" t="s">
        <v>41</v>
      </c>
      <c r="I3291" s="95" t="s">
        <v>7231</v>
      </c>
      <c r="J3291" t="s">
        <v>42</v>
      </c>
      <c r="K3291" t="s">
        <v>41</v>
      </c>
      <c r="M3291">
        <v>84.42</v>
      </c>
      <c r="N3291" s="4">
        <f t="shared" si="51"/>
        <v>-0.53636579009713337</v>
      </c>
      <c r="O3291" t="s">
        <v>605</v>
      </c>
    </row>
    <row r="3292" spans="1:15" x14ac:dyDescent="0.25">
      <c r="A3292" s="22">
        <v>45772</v>
      </c>
      <c r="B3292" s="1" t="s">
        <v>2090</v>
      </c>
      <c r="C3292" t="s">
        <v>622</v>
      </c>
      <c r="D3292" s="23">
        <v>-368.93</v>
      </c>
      <c r="E3292" t="s">
        <v>35</v>
      </c>
      <c r="F3292" s="2">
        <v>610148001</v>
      </c>
      <c r="G3292" s="2" t="s">
        <v>41</v>
      </c>
      <c r="I3292" s="95" t="s">
        <v>7231</v>
      </c>
      <c r="J3292" t="s">
        <v>42</v>
      </c>
      <c r="K3292" t="s">
        <v>41</v>
      </c>
      <c r="M3292">
        <v>84.42</v>
      </c>
      <c r="N3292" s="4">
        <f t="shared" si="51"/>
        <v>-4.3701729447998101</v>
      </c>
      <c r="O3292" t="s">
        <v>605</v>
      </c>
    </row>
    <row r="3293" spans="1:15" x14ac:dyDescent="0.25">
      <c r="A3293" s="22">
        <v>45772</v>
      </c>
      <c r="B3293" s="1" t="s">
        <v>2073</v>
      </c>
      <c r="C3293" t="s">
        <v>622</v>
      </c>
      <c r="D3293" s="23">
        <v>-188.5</v>
      </c>
      <c r="E3293" t="s">
        <v>35</v>
      </c>
      <c r="F3293" s="2">
        <v>610148001</v>
      </c>
      <c r="G3293" s="2" t="s">
        <v>41</v>
      </c>
      <c r="I3293" s="95" t="s">
        <v>7231</v>
      </c>
      <c r="J3293" t="s">
        <v>42</v>
      </c>
      <c r="K3293" t="s">
        <v>41</v>
      </c>
      <c r="M3293">
        <v>84.42</v>
      </c>
      <c r="N3293" s="4">
        <f t="shared" si="51"/>
        <v>-2.2328832030324568</v>
      </c>
      <c r="O3293" t="s">
        <v>605</v>
      </c>
    </row>
    <row r="3294" spans="1:15" x14ac:dyDescent="0.25">
      <c r="A3294" s="22">
        <v>45772</v>
      </c>
      <c r="B3294" s="1" t="s">
        <v>1917</v>
      </c>
      <c r="C3294" t="s">
        <v>622</v>
      </c>
      <c r="D3294" s="23">
        <v>-18.989999999999998</v>
      </c>
      <c r="E3294" t="s">
        <v>35</v>
      </c>
      <c r="F3294" s="2">
        <v>610148001</v>
      </c>
      <c r="G3294" s="2" t="s">
        <v>41</v>
      </c>
      <c r="I3294" s="95" t="s">
        <v>7231</v>
      </c>
      <c r="J3294" t="s">
        <v>42</v>
      </c>
      <c r="K3294" t="s">
        <v>41</v>
      </c>
      <c r="M3294">
        <v>84.42</v>
      </c>
      <c r="N3294" s="4">
        <f t="shared" si="51"/>
        <v>-0.22494669509594881</v>
      </c>
      <c r="O3294" t="s">
        <v>605</v>
      </c>
    </row>
    <row r="3295" spans="1:15" x14ac:dyDescent="0.25">
      <c r="A3295" s="22">
        <v>45772</v>
      </c>
      <c r="B3295" s="1" t="s">
        <v>2072</v>
      </c>
      <c r="C3295" t="s">
        <v>622</v>
      </c>
      <c r="D3295" s="23">
        <v>-245.22</v>
      </c>
      <c r="E3295" t="s">
        <v>35</v>
      </c>
      <c r="F3295" s="2">
        <v>610148001</v>
      </c>
      <c r="G3295" s="2" t="s">
        <v>41</v>
      </c>
      <c r="I3295" s="95" t="s">
        <v>7231</v>
      </c>
      <c r="J3295" t="s">
        <v>42</v>
      </c>
      <c r="K3295" t="s">
        <v>41</v>
      </c>
      <c r="M3295">
        <v>84.42</v>
      </c>
      <c r="N3295" s="4">
        <f t="shared" si="51"/>
        <v>-2.9047619047619047</v>
      </c>
      <c r="O3295" t="s">
        <v>605</v>
      </c>
    </row>
    <row r="3296" spans="1:15" x14ac:dyDescent="0.25">
      <c r="A3296" s="22">
        <v>45772</v>
      </c>
      <c r="B3296" s="1" t="s">
        <v>623</v>
      </c>
      <c r="C3296" t="s">
        <v>622</v>
      </c>
      <c r="D3296" s="23">
        <v>-84.81</v>
      </c>
      <c r="E3296" t="s">
        <v>35</v>
      </c>
      <c r="F3296" s="2">
        <v>610148001</v>
      </c>
      <c r="G3296" s="2" t="s">
        <v>41</v>
      </c>
      <c r="I3296" s="95" t="s">
        <v>7231</v>
      </c>
      <c r="J3296" t="s">
        <v>42</v>
      </c>
      <c r="K3296" t="s">
        <v>41</v>
      </c>
      <c r="M3296">
        <v>84.42</v>
      </c>
      <c r="N3296" s="4">
        <f t="shared" si="51"/>
        <v>-1.0046197583511016</v>
      </c>
      <c r="O3296" t="s">
        <v>605</v>
      </c>
    </row>
    <row r="3297" spans="1:15" x14ac:dyDescent="0.25">
      <c r="A3297" s="22">
        <v>45772</v>
      </c>
      <c r="B3297" s="1" t="s">
        <v>624</v>
      </c>
      <c r="C3297" t="s">
        <v>622</v>
      </c>
      <c r="D3297" s="23">
        <v>-43.98</v>
      </c>
      <c r="E3297" t="s">
        <v>35</v>
      </c>
      <c r="F3297" s="2">
        <v>610148001</v>
      </c>
      <c r="G3297" s="2" t="s">
        <v>41</v>
      </c>
      <c r="I3297" s="95" t="s">
        <v>7231</v>
      </c>
      <c r="J3297" t="s">
        <v>42</v>
      </c>
      <c r="K3297" t="s">
        <v>41</v>
      </c>
      <c r="M3297">
        <v>84.42</v>
      </c>
      <c r="N3297" s="4">
        <f t="shared" si="51"/>
        <v>-0.52096659559346126</v>
      </c>
      <c r="O3297" t="s">
        <v>605</v>
      </c>
    </row>
    <row r="3298" spans="1:15" x14ac:dyDescent="0.25">
      <c r="A3298" s="22">
        <v>45772</v>
      </c>
      <c r="B3298" s="1" t="s">
        <v>1913</v>
      </c>
      <c r="C3298" t="s">
        <v>622</v>
      </c>
      <c r="D3298" s="23">
        <v>-4.22</v>
      </c>
      <c r="E3298" t="s">
        <v>35</v>
      </c>
      <c r="F3298" s="2">
        <v>610148001</v>
      </c>
      <c r="G3298" s="2" t="s">
        <v>41</v>
      </c>
      <c r="I3298" s="95" t="s">
        <v>7231</v>
      </c>
      <c r="J3298" t="s">
        <v>42</v>
      </c>
      <c r="K3298" t="s">
        <v>41</v>
      </c>
      <c r="M3298">
        <v>84.42</v>
      </c>
      <c r="N3298" s="4">
        <f t="shared" si="51"/>
        <v>-4.9988154465766405E-2</v>
      </c>
      <c r="O3298" t="s">
        <v>605</v>
      </c>
    </row>
    <row r="3299" spans="1:15" x14ac:dyDescent="0.25">
      <c r="A3299" s="22">
        <v>45772</v>
      </c>
      <c r="B3299" s="1" t="s">
        <v>2102</v>
      </c>
      <c r="C3299" t="s">
        <v>622</v>
      </c>
      <c r="D3299" s="23">
        <v>-102.33</v>
      </c>
      <c r="E3299" t="s">
        <v>35</v>
      </c>
      <c r="F3299" s="2">
        <v>610148001</v>
      </c>
      <c r="G3299" s="2" t="s">
        <v>41</v>
      </c>
      <c r="I3299" s="95" t="s">
        <v>7231</v>
      </c>
      <c r="J3299" t="s">
        <v>42</v>
      </c>
      <c r="K3299" t="s">
        <v>41</v>
      </c>
      <c r="M3299">
        <v>84.42</v>
      </c>
      <c r="N3299" s="4">
        <f t="shared" si="51"/>
        <v>-1.2121535181236673</v>
      </c>
      <c r="O3299" t="s">
        <v>605</v>
      </c>
    </row>
    <row r="3300" spans="1:15" x14ac:dyDescent="0.25">
      <c r="A3300" s="22">
        <v>45772</v>
      </c>
      <c r="B3300" s="1" t="s">
        <v>2061</v>
      </c>
      <c r="C3300" t="s">
        <v>622</v>
      </c>
      <c r="D3300" s="23">
        <v>-4.22</v>
      </c>
      <c r="E3300" t="s">
        <v>35</v>
      </c>
      <c r="F3300" s="2">
        <v>610148001</v>
      </c>
      <c r="G3300" s="2" t="s">
        <v>41</v>
      </c>
      <c r="I3300" s="95" t="s">
        <v>7231</v>
      </c>
      <c r="J3300" t="s">
        <v>42</v>
      </c>
      <c r="K3300" t="s">
        <v>41</v>
      </c>
      <c r="M3300">
        <v>84.42</v>
      </c>
      <c r="N3300" s="4">
        <f t="shared" si="51"/>
        <v>-4.9988154465766405E-2</v>
      </c>
      <c r="O3300" t="s">
        <v>605</v>
      </c>
    </row>
    <row r="3301" spans="1:15" x14ac:dyDescent="0.25">
      <c r="A3301" s="22">
        <v>45772</v>
      </c>
      <c r="B3301" s="1" t="s">
        <v>621</v>
      </c>
      <c r="C3301" t="s">
        <v>622</v>
      </c>
      <c r="D3301" s="23">
        <v>-14.77</v>
      </c>
      <c r="E3301" t="s">
        <v>35</v>
      </c>
      <c r="F3301" s="2">
        <v>610148001</v>
      </c>
      <c r="G3301" s="2" t="s">
        <v>41</v>
      </c>
      <c r="I3301" s="95" t="s">
        <v>7231</v>
      </c>
      <c r="J3301" t="s">
        <v>42</v>
      </c>
      <c r="K3301" t="s">
        <v>41</v>
      </c>
      <c r="M3301">
        <v>84.42</v>
      </c>
      <c r="N3301" s="4">
        <f t="shared" si="51"/>
        <v>-0.1749585406301824</v>
      </c>
      <c r="O3301" t="s">
        <v>605</v>
      </c>
    </row>
    <row r="3302" spans="1:15" x14ac:dyDescent="0.25">
      <c r="A3302" s="22">
        <v>45772</v>
      </c>
      <c r="B3302" s="1" t="s">
        <v>1915</v>
      </c>
      <c r="C3302" t="s">
        <v>622</v>
      </c>
      <c r="D3302" s="23">
        <v>-2.11</v>
      </c>
      <c r="E3302" t="s">
        <v>35</v>
      </c>
      <c r="F3302" s="2">
        <v>610148001</v>
      </c>
      <c r="G3302" s="2" t="s">
        <v>41</v>
      </c>
      <c r="I3302" s="95" t="s">
        <v>7231</v>
      </c>
      <c r="J3302" t="s">
        <v>42</v>
      </c>
      <c r="K3302" t="s">
        <v>41</v>
      </c>
      <c r="M3302">
        <v>84.42</v>
      </c>
      <c r="N3302" s="4">
        <f t="shared" si="51"/>
        <v>-2.4994077232883202E-2</v>
      </c>
      <c r="O3302" t="s">
        <v>605</v>
      </c>
    </row>
    <row r="3303" spans="1:15" x14ac:dyDescent="0.25">
      <c r="A3303" s="22">
        <v>45772</v>
      </c>
      <c r="B3303" s="1" t="s">
        <v>2103</v>
      </c>
      <c r="C3303" t="s">
        <v>622</v>
      </c>
      <c r="D3303" s="23">
        <v>-1487.38</v>
      </c>
      <c r="E3303" t="s">
        <v>35</v>
      </c>
      <c r="F3303" s="2">
        <v>610148001</v>
      </c>
      <c r="G3303" s="2" t="s">
        <v>41</v>
      </c>
      <c r="I3303" s="95" t="s">
        <v>7231</v>
      </c>
      <c r="J3303" t="s">
        <v>42</v>
      </c>
      <c r="K3303" t="s">
        <v>41</v>
      </c>
      <c r="M3303">
        <v>84.42</v>
      </c>
      <c r="N3303" s="4">
        <f t="shared" si="51"/>
        <v>-17.618810708362947</v>
      </c>
      <c r="O3303" t="s">
        <v>605</v>
      </c>
    </row>
    <row r="3304" spans="1:15" x14ac:dyDescent="0.25">
      <c r="A3304" s="22">
        <v>45772</v>
      </c>
      <c r="B3304" s="1" t="s">
        <v>2563</v>
      </c>
      <c r="C3304" t="s">
        <v>293</v>
      </c>
      <c r="D3304" s="23">
        <v>390000</v>
      </c>
      <c r="E3304" t="s">
        <v>45</v>
      </c>
      <c r="F3304" s="2">
        <v>210115002</v>
      </c>
      <c r="G3304" s="2" t="s">
        <v>46</v>
      </c>
      <c r="I3304" s="95" t="s">
        <v>7231</v>
      </c>
      <c r="K3304" t="s">
        <v>293</v>
      </c>
      <c r="M3304">
        <v>84.42</v>
      </c>
      <c r="N3304" s="4">
        <f t="shared" si="51"/>
        <v>4619.7583511016346</v>
      </c>
      <c r="O3304" t="s">
        <v>605</v>
      </c>
    </row>
    <row r="3305" spans="1:15" x14ac:dyDescent="0.25">
      <c r="A3305" s="22">
        <v>45772</v>
      </c>
      <c r="B3305" s="1" t="s">
        <v>2036</v>
      </c>
      <c r="C3305" t="s">
        <v>2564</v>
      </c>
      <c r="D3305" s="23">
        <v>-4221</v>
      </c>
      <c r="E3305" t="s">
        <v>35</v>
      </c>
      <c r="F3305" s="2">
        <v>212901001</v>
      </c>
      <c r="G3305" s="2" t="s">
        <v>91</v>
      </c>
      <c r="I3305" s="95" t="s">
        <v>7231</v>
      </c>
      <c r="J3305" t="s">
        <v>61</v>
      </c>
      <c r="K3305" t="s">
        <v>62</v>
      </c>
      <c r="M3305">
        <v>84.42</v>
      </c>
      <c r="N3305" s="4">
        <f t="shared" si="51"/>
        <v>-50</v>
      </c>
      <c r="O3305" t="s">
        <v>605</v>
      </c>
    </row>
    <row r="3306" spans="1:15" x14ac:dyDescent="0.25">
      <c r="A3306" s="22">
        <v>45772</v>
      </c>
      <c r="B3306" s="1" t="s">
        <v>1898</v>
      </c>
      <c r="C3306" t="s">
        <v>2565</v>
      </c>
      <c r="D3306" s="23">
        <v>-5065.2</v>
      </c>
      <c r="E3306" t="s">
        <v>35</v>
      </c>
      <c r="F3306" s="2">
        <v>212901001</v>
      </c>
      <c r="G3306" s="2" t="s">
        <v>91</v>
      </c>
      <c r="I3306" s="95" t="s">
        <v>7231</v>
      </c>
      <c r="J3306" t="s">
        <v>61</v>
      </c>
      <c r="K3306" t="s">
        <v>62</v>
      </c>
      <c r="M3306">
        <v>84.42</v>
      </c>
      <c r="N3306" s="4">
        <f t="shared" si="51"/>
        <v>-60</v>
      </c>
      <c r="O3306" t="s">
        <v>605</v>
      </c>
    </row>
    <row r="3307" spans="1:15" x14ac:dyDescent="0.25">
      <c r="A3307" s="22">
        <v>45772</v>
      </c>
      <c r="B3307" s="1" t="s">
        <v>1955</v>
      </c>
      <c r="C3307" t="s">
        <v>2566</v>
      </c>
      <c r="D3307" s="23">
        <v>-4221</v>
      </c>
      <c r="E3307" t="s">
        <v>35</v>
      </c>
      <c r="F3307" s="2">
        <v>212901001</v>
      </c>
      <c r="G3307" s="2" t="s">
        <v>91</v>
      </c>
      <c r="I3307" s="95" t="s">
        <v>7231</v>
      </c>
      <c r="J3307" t="s">
        <v>61</v>
      </c>
      <c r="K3307" t="s">
        <v>62</v>
      </c>
      <c r="M3307">
        <v>84.42</v>
      </c>
      <c r="N3307" s="4">
        <f t="shared" si="51"/>
        <v>-50</v>
      </c>
      <c r="O3307" t="s">
        <v>605</v>
      </c>
    </row>
    <row r="3308" spans="1:15" x14ac:dyDescent="0.25">
      <c r="A3308" s="22">
        <v>45772</v>
      </c>
      <c r="B3308" s="1" t="s">
        <v>1267</v>
      </c>
      <c r="C3308" t="s">
        <v>2567</v>
      </c>
      <c r="D3308" s="23">
        <v>-5065.2</v>
      </c>
      <c r="E3308" t="s">
        <v>35</v>
      </c>
      <c r="F3308" s="2">
        <v>212901001</v>
      </c>
      <c r="G3308" s="2" t="s">
        <v>91</v>
      </c>
      <c r="I3308" s="95" t="s">
        <v>7231</v>
      </c>
      <c r="J3308" t="s">
        <v>61</v>
      </c>
      <c r="K3308" t="s">
        <v>62</v>
      </c>
      <c r="M3308">
        <v>84.42</v>
      </c>
      <c r="N3308" s="4">
        <f t="shared" si="51"/>
        <v>-60</v>
      </c>
      <c r="O3308" t="s">
        <v>605</v>
      </c>
    </row>
    <row r="3309" spans="1:15" x14ac:dyDescent="0.25">
      <c r="A3309" s="22">
        <v>45772</v>
      </c>
      <c r="B3309" s="1" t="s">
        <v>1892</v>
      </c>
      <c r="C3309" t="s">
        <v>2568</v>
      </c>
      <c r="D3309" s="23">
        <v>-5065.2</v>
      </c>
      <c r="E3309" t="s">
        <v>35</v>
      </c>
      <c r="F3309" s="2">
        <v>212901001</v>
      </c>
      <c r="G3309" s="2" t="s">
        <v>91</v>
      </c>
      <c r="I3309" s="95" t="s">
        <v>7231</v>
      </c>
      <c r="J3309" t="s">
        <v>61</v>
      </c>
      <c r="K3309" t="s">
        <v>62</v>
      </c>
      <c r="M3309">
        <v>84.42</v>
      </c>
      <c r="N3309" s="4">
        <f t="shared" si="51"/>
        <v>-60</v>
      </c>
      <c r="O3309" t="s">
        <v>605</v>
      </c>
    </row>
    <row r="3310" spans="1:15" x14ac:dyDescent="0.25">
      <c r="A3310" s="22">
        <v>45772</v>
      </c>
      <c r="B3310" s="1" t="s">
        <v>1894</v>
      </c>
      <c r="C3310" t="s">
        <v>2569</v>
      </c>
      <c r="D3310" s="23">
        <v>-5065.2</v>
      </c>
      <c r="E3310" t="s">
        <v>35</v>
      </c>
      <c r="F3310" s="2">
        <v>212901001</v>
      </c>
      <c r="G3310" s="2" t="s">
        <v>91</v>
      </c>
      <c r="I3310" s="95" t="s">
        <v>7231</v>
      </c>
      <c r="J3310" t="s">
        <v>61</v>
      </c>
      <c r="K3310" t="s">
        <v>62</v>
      </c>
      <c r="M3310">
        <v>84.42</v>
      </c>
      <c r="N3310" s="4">
        <f t="shared" si="51"/>
        <v>-60</v>
      </c>
      <c r="O3310" t="s">
        <v>605</v>
      </c>
    </row>
    <row r="3311" spans="1:15" x14ac:dyDescent="0.25">
      <c r="A3311" s="22">
        <v>45772</v>
      </c>
      <c r="B3311" s="1" t="s">
        <v>1886</v>
      </c>
      <c r="C3311" t="s">
        <v>2570</v>
      </c>
      <c r="D3311" s="23">
        <v>-5065.2</v>
      </c>
      <c r="E3311" t="s">
        <v>35</v>
      </c>
      <c r="F3311" s="2">
        <v>212901001</v>
      </c>
      <c r="G3311" s="2" t="s">
        <v>91</v>
      </c>
      <c r="I3311" s="95" t="s">
        <v>7231</v>
      </c>
      <c r="J3311" t="s">
        <v>61</v>
      </c>
      <c r="K3311" t="s">
        <v>62</v>
      </c>
      <c r="M3311">
        <v>84.42</v>
      </c>
      <c r="N3311" s="4">
        <f t="shared" si="51"/>
        <v>-60</v>
      </c>
      <c r="O3311" t="s">
        <v>605</v>
      </c>
    </row>
    <row r="3312" spans="1:15" x14ac:dyDescent="0.25">
      <c r="A3312" s="22">
        <v>45772</v>
      </c>
      <c r="B3312" s="1" t="s">
        <v>2028</v>
      </c>
      <c r="C3312" t="s">
        <v>2571</v>
      </c>
      <c r="D3312" s="23">
        <v>-6753.6</v>
      </c>
      <c r="E3312" t="s">
        <v>35</v>
      </c>
      <c r="F3312" s="2">
        <v>212901001</v>
      </c>
      <c r="G3312" s="2" t="s">
        <v>91</v>
      </c>
      <c r="I3312" s="95" t="s">
        <v>7231</v>
      </c>
      <c r="J3312" t="s">
        <v>61</v>
      </c>
      <c r="K3312" t="s">
        <v>62</v>
      </c>
      <c r="M3312">
        <v>84.42</v>
      </c>
      <c r="N3312" s="4">
        <f t="shared" si="51"/>
        <v>-80</v>
      </c>
      <c r="O3312" t="s">
        <v>605</v>
      </c>
    </row>
    <row r="3313" spans="1:15" x14ac:dyDescent="0.25">
      <c r="A3313" s="22">
        <v>45772</v>
      </c>
      <c r="B3313" s="1" t="s">
        <v>1959</v>
      </c>
      <c r="C3313" t="s">
        <v>2572</v>
      </c>
      <c r="D3313" s="23">
        <v>-3376.8</v>
      </c>
      <c r="E3313" t="s">
        <v>35</v>
      </c>
      <c r="F3313" s="2">
        <v>212901001</v>
      </c>
      <c r="G3313" s="2" t="s">
        <v>91</v>
      </c>
      <c r="I3313" s="95" t="s">
        <v>7231</v>
      </c>
      <c r="J3313" t="s">
        <v>61</v>
      </c>
      <c r="K3313" t="s">
        <v>62</v>
      </c>
      <c r="M3313">
        <v>84.42</v>
      </c>
      <c r="N3313" s="4">
        <f t="shared" si="51"/>
        <v>-40</v>
      </c>
      <c r="O3313" t="s">
        <v>605</v>
      </c>
    </row>
    <row r="3314" spans="1:15" x14ac:dyDescent="0.25">
      <c r="A3314" s="22">
        <v>45772</v>
      </c>
      <c r="B3314" s="1" t="s">
        <v>2032</v>
      </c>
      <c r="C3314" t="s">
        <v>2573</v>
      </c>
      <c r="D3314" s="23">
        <v>-8442</v>
      </c>
      <c r="E3314" t="s">
        <v>35</v>
      </c>
      <c r="F3314" s="2">
        <v>212901001</v>
      </c>
      <c r="G3314" s="2" t="s">
        <v>91</v>
      </c>
      <c r="I3314" s="95" t="s">
        <v>7231</v>
      </c>
      <c r="J3314" t="s">
        <v>61</v>
      </c>
      <c r="K3314" t="s">
        <v>62</v>
      </c>
      <c r="M3314">
        <v>84.42</v>
      </c>
      <c r="N3314" s="4">
        <f t="shared" si="51"/>
        <v>-100</v>
      </c>
      <c r="O3314" t="s">
        <v>605</v>
      </c>
    </row>
    <row r="3315" spans="1:15" x14ac:dyDescent="0.25">
      <c r="A3315" s="22">
        <v>45772</v>
      </c>
      <c r="B3315" s="1" t="s">
        <v>2012</v>
      </c>
      <c r="C3315" t="s">
        <v>2574</v>
      </c>
      <c r="D3315" s="23">
        <v>-4558.68</v>
      </c>
      <c r="E3315" t="s">
        <v>35</v>
      </c>
      <c r="F3315" s="2">
        <v>212901001</v>
      </c>
      <c r="G3315" s="2" t="s">
        <v>91</v>
      </c>
      <c r="I3315" s="95" t="s">
        <v>7231</v>
      </c>
      <c r="J3315" t="s">
        <v>61</v>
      </c>
      <c r="K3315" t="s">
        <v>62</v>
      </c>
      <c r="M3315">
        <v>84.42</v>
      </c>
      <c r="N3315" s="4">
        <f t="shared" si="51"/>
        <v>-54</v>
      </c>
      <c r="O3315" t="s">
        <v>605</v>
      </c>
    </row>
    <row r="3316" spans="1:15" x14ac:dyDescent="0.25">
      <c r="A3316" s="22">
        <v>45772</v>
      </c>
      <c r="B3316" s="1" t="s">
        <v>2014</v>
      </c>
      <c r="C3316" t="s">
        <v>2575</v>
      </c>
      <c r="D3316" s="23">
        <v>-4221</v>
      </c>
      <c r="E3316" t="s">
        <v>35</v>
      </c>
      <c r="F3316" s="2">
        <v>212901001</v>
      </c>
      <c r="G3316" s="2" t="s">
        <v>91</v>
      </c>
      <c r="I3316" s="95" t="s">
        <v>7231</v>
      </c>
      <c r="J3316" t="s">
        <v>61</v>
      </c>
      <c r="K3316" t="s">
        <v>62</v>
      </c>
      <c r="M3316">
        <v>84.42</v>
      </c>
      <c r="N3316" s="4">
        <f t="shared" si="51"/>
        <v>-50</v>
      </c>
      <c r="O3316" t="s">
        <v>605</v>
      </c>
    </row>
    <row r="3317" spans="1:15" x14ac:dyDescent="0.25">
      <c r="A3317" s="22">
        <v>45772</v>
      </c>
      <c r="B3317" s="1" t="s">
        <v>2022</v>
      </c>
      <c r="C3317" t="s">
        <v>2576</v>
      </c>
      <c r="D3317" s="23">
        <v>-8442</v>
      </c>
      <c r="E3317" t="s">
        <v>35</v>
      </c>
      <c r="F3317" s="2">
        <v>212901001</v>
      </c>
      <c r="G3317" s="2" t="s">
        <v>91</v>
      </c>
      <c r="I3317" s="95" t="s">
        <v>7231</v>
      </c>
      <c r="J3317" t="s">
        <v>61</v>
      </c>
      <c r="K3317" t="s">
        <v>62</v>
      </c>
      <c r="M3317">
        <v>84.42</v>
      </c>
      <c r="N3317" s="4">
        <f t="shared" si="51"/>
        <v>-100</v>
      </c>
      <c r="O3317" t="s">
        <v>605</v>
      </c>
    </row>
    <row r="3318" spans="1:15" x14ac:dyDescent="0.25">
      <c r="A3318" s="22">
        <v>45772</v>
      </c>
      <c r="B3318" s="1" t="s">
        <v>613</v>
      </c>
      <c r="C3318" t="s">
        <v>2577</v>
      </c>
      <c r="D3318" s="23">
        <v>-6753.6</v>
      </c>
      <c r="E3318" t="s">
        <v>35</v>
      </c>
      <c r="F3318" s="2">
        <v>212901001</v>
      </c>
      <c r="G3318" s="2" t="s">
        <v>91</v>
      </c>
      <c r="I3318" s="95" t="s">
        <v>7231</v>
      </c>
      <c r="J3318" t="s">
        <v>61</v>
      </c>
      <c r="K3318" t="s">
        <v>62</v>
      </c>
      <c r="M3318">
        <v>84.42</v>
      </c>
      <c r="N3318" s="4">
        <f t="shared" si="51"/>
        <v>-80</v>
      </c>
      <c r="O3318" t="s">
        <v>605</v>
      </c>
    </row>
    <row r="3319" spans="1:15" x14ac:dyDescent="0.25">
      <c r="A3319" s="22">
        <v>45772</v>
      </c>
      <c r="B3319" s="1" t="s">
        <v>615</v>
      </c>
      <c r="C3319" t="s">
        <v>2578</v>
      </c>
      <c r="D3319" s="23">
        <v>-5065.2</v>
      </c>
      <c r="E3319" t="s">
        <v>35</v>
      </c>
      <c r="F3319" s="2">
        <v>212901001</v>
      </c>
      <c r="G3319" s="2" t="s">
        <v>91</v>
      </c>
      <c r="I3319" s="95" t="s">
        <v>7231</v>
      </c>
      <c r="J3319" t="s">
        <v>61</v>
      </c>
      <c r="K3319" t="s">
        <v>62</v>
      </c>
      <c r="M3319">
        <v>84.42</v>
      </c>
      <c r="N3319" s="4">
        <f t="shared" si="51"/>
        <v>-60</v>
      </c>
      <c r="O3319" t="s">
        <v>605</v>
      </c>
    </row>
    <row r="3320" spans="1:15" x14ac:dyDescent="0.25">
      <c r="A3320" s="22">
        <v>45772</v>
      </c>
      <c r="B3320" s="1" t="s">
        <v>1888</v>
      </c>
      <c r="C3320" t="s">
        <v>2579</v>
      </c>
      <c r="D3320" s="23">
        <v>-5065.2</v>
      </c>
      <c r="E3320" t="s">
        <v>35</v>
      </c>
      <c r="F3320" s="2">
        <v>212901001</v>
      </c>
      <c r="G3320" s="2" t="s">
        <v>91</v>
      </c>
      <c r="I3320" s="95" t="s">
        <v>7231</v>
      </c>
      <c r="J3320" t="s">
        <v>61</v>
      </c>
      <c r="K3320" t="s">
        <v>62</v>
      </c>
      <c r="M3320">
        <v>84.42</v>
      </c>
      <c r="N3320" s="4">
        <f t="shared" si="51"/>
        <v>-60</v>
      </c>
      <c r="O3320" t="s">
        <v>605</v>
      </c>
    </row>
    <row r="3321" spans="1:15" x14ac:dyDescent="0.25">
      <c r="A3321" s="22">
        <v>45772</v>
      </c>
      <c r="B3321" s="1" t="s">
        <v>1981</v>
      </c>
      <c r="C3321" t="s">
        <v>2580</v>
      </c>
      <c r="D3321" s="23">
        <v>-8442</v>
      </c>
      <c r="E3321" t="s">
        <v>35</v>
      </c>
      <c r="F3321" s="2">
        <v>212901001</v>
      </c>
      <c r="G3321" s="2" t="s">
        <v>91</v>
      </c>
      <c r="I3321" s="95" t="s">
        <v>7231</v>
      </c>
      <c r="J3321" t="s">
        <v>61</v>
      </c>
      <c r="K3321" t="s">
        <v>62</v>
      </c>
      <c r="M3321">
        <v>84.42</v>
      </c>
      <c r="N3321" s="4">
        <f t="shared" si="51"/>
        <v>-100</v>
      </c>
      <c r="O3321" t="s">
        <v>605</v>
      </c>
    </row>
    <row r="3322" spans="1:15" x14ac:dyDescent="0.25">
      <c r="A3322" s="22">
        <v>45772</v>
      </c>
      <c r="B3322" s="1" t="s">
        <v>1934</v>
      </c>
      <c r="C3322" t="s">
        <v>2581</v>
      </c>
      <c r="D3322" s="23">
        <v>-4221</v>
      </c>
      <c r="E3322" t="s">
        <v>35</v>
      </c>
      <c r="F3322" s="2">
        <v>212901001</v>
      </c>
      <c r="G3322" s="2" t="s">
        <v>91</v>
      </c>
      <c r="I3322" s="95" t="s">
        <v>7231</v>
      </c>
      <c r="J3322" t="s">
        <v>61</v>
      </c>
      <c r="K3322" t="s">
        <v>62</v>
      </c>
      <c r="M3322">
        <v>84.42</v>
      </c>
      <c r="N3322" s="4">
        <f t="shared" si="51"/>
        <v>-50</v>
      </c>
      <c r="O3322" t="s">
        <v>605</v>
      </c>
    </row>
    <row r="3323" spans="1:15" x14ac:dyDescent="0.25">
      <c r="A3323" s="22">
        <v>45772</v>
      </c>
      <c r="B3323" s="1" t="s">
        <v>2008</v>
      </c>
      <c r="C3323" t="s">
        <v>2582</v>
      </c>
      <c r="D3323" s="23">
        <v>-3376.8</v>
      </c>
      <c r="E3323" t="s">
        <v>35</v>
      </c>
      <c r="F3323" s="2">
        <v>212901001</v>
      </c>
      <c r="G3323" s="2" t="s">
        <v>91</v>
      </c>
      <c r="I3323" s="95" t="s">
        <v>7231</v>
      </c>
      <c r="J3323" t="s">
        <v>61</v>
      </c>
      <c r="K3323" t="s">
        <v>62</v>
      </c>
      <c r="M3323">
        <v>84.42</v>
      </c>
      <c r="N3323" s="4">
        <f t="shared" si="51"/>
        <v>-40</v>
      </c>
      <c r="O3323" t="s">
        <v>605</v>
      </c>
    </row>
    <row r="3324" spans="1:15" x14ac:dyDescent="0.25">
      <c r="A3324" s="22">
        <v>45772</v>
      </c>
      <c r="B3324" s="1" t="s">
        <v>1942</v>
      </c>
      <c r="C3324" t="s">
        <v>2583</v>
      </c>
      <c r="D3324" s="23">
        <v>-6753.6</v>
      </c>
      <c r="E3324" t="s">
        <v>35</v>
      </c>
      <c r="F3324" s="2">
        <v>212901001</v>
      </c>
      <c r="G3324" s="2" t="s">
        <v>91</v>
      </c>
      <c r="I3324" s="95" t="s">
        <v>7231</v>
      </c>
      <c r="J3324" t="s">
        <v>61</v>
      </c>
      <c r="K3324" t="s">
        <v>62</v>
      </c>
      <c r="M3324">
        <v>84.42</v>
      </c>
      <c r="N3324" s="4">
        <f t="shared" si="51"/>
        <v>-80</v>
      </c>
      <c r="O3324" t="s">
        <v>605</v>
      </c>
    </row>
    <row r="3325" spans="1:15" x14ac:dyDescent="0.25">
      <c r="A3325" s="22">
        <v>45772</v>
      </c>
      <c r="B3325" s="1" t="s">
        <v>2003</v>
      </c>
      <c r="C3325" t="s">
        <v>2584</v>
      </c>
      <c r="D3325" s="23">
        <v>-4221</v>
      </c>
      <c r="E3325" t="s">
        <v>35</v>
      </c>
      <c r="F3325" s="2">
        <v>212901001</v>
      </c>
      <c r="G3325" s="2" t="s">
        <v>91</v>
      </c>
      <c r="I3325" s="95" t="s">
        <v>7231</v>
      </c>
      <c r="J3325" t="s">
        <v>61</v>
      </c>
      <c r="K3325" t="s">
        <v>62</v>
      </c>
      <c r="M3325">
        <v>84.42</v>
      </c>
      <c r="N3325" s="4">
        <f t="shared" si="51"/>
        <v>-50</v>
      </c>
      <c r="O3325" t="s">
        <v>605</v>
      </c>
    </row>
    <row r="3326" spans="1:15" x14ac:dyDescent="0.25">
      <c r="A3326" s="22">
        <v>45772</v>
      </c>
      <c r="B3326" s="1" t="s">
        <v>2038</v>
      </c>
      <c r="C3326" t="s">
        <v>2585</v>
      </c>
      <c r="D3326" s="23">
        <v>-4221</v>
      </c>
      <c r="E3326" t="s">
        <v>35</v>
      </c>
      <c r="F3326" s="2">
        <v>212901001</v>
      </c>
      <c r="G3326" s="2" t="s">
        <v>91</v>
      </c>
      <c r="I3326" s="95" t="s">
        <v>7231</v>
      </c>
      <c r="J3326" t="s">
        <v>61</v>
      </c>
      <c r="K3326" t="s">
        <v>62</v>
      </c>
      <c r="M3326">
        <v>84.42</v>
      </c>
      <c r="N3326" s="4">
        <f t="shared" si="51"/>
        <v>-50</v>
      </c>
      <c r="O3326" t="s">
        <v>605</v>
      </c>
    </row>
    <row r="3327" spans="1:15" x14ac:dyDescent="0.25">
      <c r="A3327" s="22">
        <v>45772</v>
      </c>
      <c r="B3327" s="1" t="s">
        <v>2051</v>
      </c>
      <c r="C3327" t="s">
        <v>2586</v>
      </c>
      <c r="D3327" s="23">
        <v>-4221</v>
      </c>
      <c r="E3327" t="s">
        <v>35</v>
      </c>
      <c r="F3327" s="2">
        <v>212901001</v>
      </c>
      <c r="G3327" s="2" t="s">
        <v>91</v>
      </c>
      <c r="I3327" s="95" t="s">
        <v>7231</v>
      </c>
      <c r="J3327" t="s">
        <v>61</v>
      </c>
      <c r="K3327" t="s">
        <v>62</v>
      </c>
      <c r="M3327">
        <v>84.42</v>
      </c>
      <c r="N3327" s="4">
        <f t="shared" si="51"/>
        <v>-50</v>
      </c>
      <c r="O3327" t="s">
        <v>605</v>
      </c>
    </row>
    <row r="3328" spans="1:15" x14ac:dyDescent="0.25">
      <c r="A3328" s="22">
        <v>45772</v>
      </c>
      <c r="B3328" s="1" t="s">
        <v>1936</v>
      </c>
      <c r="C3328" t="s">
        <v>2587</v>
      </c>
      <c r="D3328" s="23">
        <v>-6753.6</v>
      </c>
      <c r="E3328" t="s">
        <v>35</v>
      </c>
      <c r="F3328" s="2">
        <v>212901001</v>
      </c>
      <c r="G3328" s="2" t="s">
        <v>91</v>
      </c>
      <c r="I3328" s="95" t="s">
        <v>7231</v>
      </c>
      <c r="J3328" t="s">
        <v>61</v>
      </c>
      <c r="K3328" t="s">
        <v>62</v>
      </c>
      <c r="M3328">
        <v>84.42</v>
      </c>
      <c r="N3328" s="4">
        <f t="shared" si="51"/>
        <v>-80</v>
      </c>
      <c r="O3328" t="s">
        <v>605</v>
      </c>
    </row>
    <row r="3329" spans="1:15" x14ac:dyDescent="0.25">
      <c r="A3329" s="22">
        <v>45772</v>
      </c>
      <c r="B3329" s="1" t="s">
        <v>1938</v>
      </c>
      <c r="C3329" t="s">
        <v>2588</v>
      </c>
      <c r="D3329" s="23">
        <v>-6753.6</v>
      </c>
      <c r="E3329" t="s">
        <v>35</v>
      </c>
      <c r="F3329" s="2">
        <v>212901001</v>
      </c>
      <c r="G3329" s="2" t="s">
        <v>91</v>
      </c>
      <c r="I3329" s="95" t="s">
        <v>7231</v>
      </c>
      <c r="J3329" t="s">
        <v>61</v>
      </c>
      <c r="K3329" t="s">
        <v>62</v>
      </c>
      <c r="M3329">
        <v>84.42</v>
      </c>
      <c r="N3329" s="4">
        <f t="shared" si="51"/>
        <v>-80</v>
      </c>
      <c r="O3329" t="s">
        <v>605</v>
      </c>
    </row>
    <row r="3330" spans="1:15" x14ac:dyDescent="0.25">
      <c r="A3330" s="22">
        <v>45772</v>
      </c>
      <c r="B3330" s="1" t="s">
        <v>1957</v>
      </c>
      <c r="C3330" t="s">
        <v>2589</v>
      </c>
      <c r="D3330" s="23">
        <v>-4221</v>
      </c>
      <c r="E3330" t="s">
        <v>35</v>
      </c>
      <c r="F3330" s="2">
        <v>212901001</v>
      </c>
      <c r="G3330" s="2" t="s">
        <v>91</v>
      </c>
      <c r="I3330" s="95" t="s">
        <v>7231</v>
      </c>
      <c r="J3330" t="s">
        <v>61</v>
      </c>
      <c r="K3330" t="s">
        <v>62</v>
      </c>
      <c r="M3330">
        <v>84.42</v>
      </c>
      <c r="N3330" s="4">
        <f t="shared" si="51"/>
        <v>-50</v>
      </c>
      <c r="O3330" t="s">
        <v>605</v>
      </c>
    </row>
    <row r="3331" spans="1:15" x14ac:dyDescent="0.25">
      <c r="A3331" s="22">
        <v>45772</v>
      </c>
      <c r="B3331" s="1" t="s">
        <v>2010</v>
      </c>
      <c r="C3331" t="s">
        <v>2590</v>
      </c>
      <c r="D3331" s="23">
        <v>-8442</v>
      </c>
      <c r="E3331" t="s">
        <v>35</v>
      </c>
      <c r="F3331" s="2">
        <v>212901001</v>
      </c>
      <c r="G3331" s="2" t="s">
        <v>91</v>
      </c>
      <c r="I3331" s="95" t="s">
        <v>7231</v>
      </c>
      <c r="J3331" t="s">
        <v>61</v>
      </c>
      <c r="K3331" t="s">
        <v>62</v>
      </c>
      <c r="M3331">
        <v>84.42</v>
      </c>
      <c r="N3331" s="4">
        <f t="shared" si="51"/>
        <v>-100</v>
      </c>
      <c r="O3331" t="s">
        <v>605</v>
      </c>
    </row>
    <row r="3332" spans="1:15" x14ac:dyDescent="0.25">
      <c r="A3332" s="22">
        <v>45772</v>
      </c>
      <c r="B3332" s="1" t="s">
        <v>1971</v>
      </c>
      <c r="C3332" t="s">
        <v>2591</v>
      </c>
      <c r="D3332" s="23">
        <v>-9286.2000000000007</v>
      </c>
      <c r="E3332" t="s">
        <v>35</v>
      </c>
      <c r="F3332" s="2">
        <v>212901001</v>
      </c>
      <c r="G3332" s="2" t="s">
        <v>91</v>
      </c>
      <c r="I3332" s="95" t="s">
        <v>7231</v>
      </c>
      <c r="J3332" t="s">
        <v>61</v>
      </c>
      <c r="K3332" t="s">
        <v>62</v>
      </c>
      <c r="M3332">
        <v>84.42</v>
      </c>
      <c r="N3332" s="4">
        <f t="shared" si="51"/>
        <v>-110</v>
      </c>
      <c r="O3332" t="s">
        <v>605</v>
      </c>
    </row>
    <row r="3333" spans="1:15" x14ac:dyDescent="0.25">
      <c r="A3333" s="22">
        <v>45772</v>
      </c>
      <c r="B3333" s="1" t="s">
        <v>2047</v>
      </c>
      <c r="C3333" t="s">
        <v>2584</v>
      </c>
      <c r="D3333" s="23">
        <v>-4221</v>
      </c>
      <c r="E3333" t="s">
        <v>35</v>
      </c>
      <c r="F3333" s="2">
        <v>212901001</v>
      </c>
      <c r="G3333" s="2" t="s">
        <v>91</v>
      </c>
      <c r="I3333" s="95" t="s">
        <v>7231</v>
      </c>
      <c r="J3333" t="s">
        <v>61</v>
      </c>
      <c r="K3333" t="s">
        <v>62</v>
      </c>
      <c r="M3333">
        <v>84.42</v>
      </c>
      <c r="N3333" s="4">
        <f t="shared" si="51"/>
        <v>-50</v>
      </c>
      <c r="O3333" t="s">
        <v>605</v>
      </c>
    </row>
    <row r="3334" spans="1:15" x14ac:dyDescent="0.25">
      <c r="A3334" s="22">
        <v>45772</v>
      </c>
      <c r="B3334" s="1" t="s">
        <v>2049</v>
      </c>
      <c r="C3334" t="s">
        <v>2592</v>
      </c>
      <c r="D3334" s="23">
        <v>-3545.64</v>
      </c>
      <c r="E3334" t="s">
        <v>35</v>
      </c>
      <c r="F3334" s="2">
        <v>212901001</v>
      </c>
      <c r="G3334" s="2" t="s">
        <v>91</v>
      </c>
      <c r="I3334" s="95" t="s">
        <v>7231</v>
      </c>
      <c r="J3334" t="s">
        <v>61</v>
      </c>
      <c r="K3334" t="s">
        <v>62</v>
      </c>
      <c r="M3334">
        <v>84.42</v>
      </c>
      <c r="N3334" s="4">
        <f t="shared" si="51"/>
        <v>-42</v>
      </c>
      <c r="O3334" t="s">
        <v>605</v>
      </c>
    </row>
    <row r="3335" spans="1:15" x14ac:dyDescent="0.25">
      <c r="A3335" s="22">
        <v>45772</v>
      </c>
      <c r="B3335" s="1" t="s">
        <v>1975</v>
      </c>
      <c r="C3335" t="s">
        <v>2593</v>
      </c>
      <c r="D3335" s="23">
        <v>-4221</v>
      </c>
      <c r="E3335" t="s">
        <v>35</v>
      </c>
      <c r="F3335" s="2">
        <v>212901001</v>
      </c>
      <c r="G3335" s="2" t="s">
        <v>91</v>
      </c>
      <c r="I3335" s="95" t="s">
        <v>7231</v>
      </c>
      <c r="J3335" t="s">
        <v>61</v>
      </c>
      <c r="K3335" t="s">
        <v>62</v>
      </c>
      <c r="M3335">
        <v>84.42</v>
      </c>
      <c r="N3335" s="4">
        <f t="shared" si="51"/>
        <v>-50</v>
      </c>
      <c r="O3335" t="s">
        <v>605</v>
      </c>
    </row>
    <row r="3336" spans="1:15" x14ac:dyDescent="0.25">
      <c r="A3336" s="22">
        <v>45772</v>
      </c>
      <c r="B3336" s="1" t="s">
        <v>1979</v>
      </c>
      <c r="C3336" t="s">
        <v>2594</v>
      </c>
      <c r="D3336" s="23">
        <v>-1688.4</v>
      </c>
      <c r="E3336" t="s">
        <v>35</v>
      </c>
      <c r="F3336" s="2">
        <v>212901001</v>
      </c>
      <c r="G3336" s="2" t="s">
        <v>91</v>
      </c>
      <c r="I3336" s="95" t="s">
        <v>7231</v>
      </c>
      <c r="J3336" t="s">
        <v>61</v>
      </c>
      <c r="K3336" t="s">
        <v>62</v>
      </c>
      <c r="M3336">
        <v>84.42</v>
      </c>
      <c r="N3336" s="4">
        <f t="shared" si="51"/>
        <v>-20</v>
      </c>
      <c r="O3336" t="s">
        <v>605</v>
      </c>
    </row>
    <row r="3337" spans="1:15" x14ac:dyDescent="0.25">
      <c r="A3337" s="22">
        <v>45772</v>
      </c>
      <c r="B3337" s="1" t="s">
        <v>1896</v>
      </c>
      <c r="C3337" t="s">
        <v>2595</v>
      </c>
      <c r="D3337" s="23">
        <v>-5065.2</v>
      </c>
      <c r="E3337" t="s">
        <v>35</v>
      </c>
      <c r="F3337" s="2">
        <v>212901001</v>
      </c>
      <c r="G3337" s="2" t="s">
        <v>91</v>
      </c>
      <c r="I3337" s="95" t="s">
        <v>7231</v>
      </c>
      <c r="J3337" t="s">
        <v>61</v>
      </c>
      <c r="K3337" t="s">
        <v>62</v>
      </c>
      <c r="M3337">
        <v>84.42</v>
      </c>
      <c r="N3337" s="4">
        <f t="shared" si="51"/>
        <v>-60</v>
      </c>
      <c r="O3337" t="s">
        <v>605</v>
      </c>
    </row>
    <row r="3338" spans="1:15" x14ac:dyDescent="0.25">
      <c r="A3338" s="22">
        <v>45772</v>
      </c>
      <c r="B3338" s="1" t="s">
        <v>1994</v>
      </c>
      <c r="C3338" t="s">
        <v>2596</v>
      </c>
      <c r="D3338" s="23">
        <v>-12663</v>
      </c>
      <c r="E3338" t="s">
        <v>35</v>
      </c>
      <c r="F3338" s="2">
        <v>212901001</v>
      </c>
      <c r="G3338" s="2" t="s">
        <v>91</v>
      </c>
      <c r="I3338" s="95" t="s">
        <v>7231</v>
      </c>
      <c r="J3338" t="s">
        <v>61</v>
      </c>
      <c r="K3338" t="s">
        <v>62</v>
      </c>
      <c r="M3338">
        <v>84.42</v>
      </c>
      <c r="N3338" s="4">
        <f t="shared" si="51"/>
        <v>-150</v>
      </c>
      <c r="O3338" t="s">
        <v>605</v>
      </c>
    </row>
    <row r="3339" spans="1:15" x14ac:dyDescent="0.25">
      <c r="A3339" s="22">
        <v>45772</v>
      </c>
      <c r="B3339" s="1" t="s">
        <v>2006</v>
      </c>
      <c r="C3339" t="s">
        <v>2597</v>
      </c>
      <c r="D3339" s="23">
        <v>-6753.6</v>
      </c>
      <c r="E3339" t="s">
        <v>35</v>
      </c>
      <c r="F3339" s="2">
        <v>212901001</v>
      </c>
      <c r="G3339" s="2" t="s">
        <v>91</v>
      </c>
      <c r="I3339" s="95" t="s">
        <v>7231</v>
      </c>
      <c r="J3339" t="s">
        <v>61</v>
      </c>
      <c r="K3339" t="s">
        <v>62</v>
      </c>
      <c r="M3339">
        <v>84.42</v>
      </c>
      <c r="N3339" s="4">
        <f t="shared" si="51"/>
        <v>-80</v>
      </c>
      <c r="O3339" t="s">
        <v>605</v>
      </c>
    </row>
    <row r="3340" spans="1:15" x14ac:dyDescent="0.25">
      <c r="A3340" s="22">
        <v>45772</v>
      </c>
      <c r="B3340" s="1" t="s">
        <v>1969</v>
      </c>
      <c r="C3340" t="s">
        <v>2598</v>
      </c>
      <c r="D3340" s="23">
        <v>-3376.8</v>
      </c>
      <c r="E3340" t="s">
        <v>35</v>
      </c>
      <c r="F3340" s="2">
        <v>212901001</v>
      </c>
      <c r="G3340" s="2" t="s">
        <v>91</v>
      </c>
      <c r="I3340" s="95" t="s">
        <v>7231</v>
      </c>
      <c r="J3340" t="s">
        <v>61</v>
      </c>
      <c r="K3340" t="s">
        <v>62</v>
      </c>
      <c r="M3340">
        <v>84.42</v>
      </c>
      <c r="N3340" s="4">
        <f t="shared" ref="N3340:N3403" si="52">D3340/M3340</f>
        <v>-40</v>
      </c>
      <c r="O3340" t="s">
        <v>605</v>
      </c>
    </row>
    <row r="3341" spans="1:15" x14ac:dyDescent="0.25">
      <c r="A3341" s="22">
        <v>45772</v>
      </c>
      <c r="B3341" s="1" t="s">
        <v>2030</v>
      </c>
      <c r="C3341" t="s">
        <v>2599</v>
      </c>
      <c r="D3341" s="23">
        <v>-3376.8</v>
      </c>
      <c r="E3341" t="s">
        <v>35</v>
      </c>
      <c r="F3341" s="2">
        <v>212901001</v>
      </c>
      <c r="G3341" s="2" t="s">
        <v>91</v>
      </c>
      <c r="I3341" s="95" t="s">
        <v>7231</v>
      </c>
      <c r="J3341" t="s">
        <v>61</v>
      </c>
      <c r="K3341" t="s">
        <v>62</v>
      </c>
      <c r="M3341">
        <v>84.42</v>
      </c>
      <c r="N3341" s="4">
        <f t="shared" si="52"/>
        <v>-40</v>
      </c>
      <c r="O3341" t="s">
        <v>605</v>
      </c>
    </row>
    <row r="3342" spans="1:15" x14ac:dyDescent="0.25">
      <c r="A3342" s="22">
        <v>45772</v>
      </c>
      <c r="B3342" s="1" t="s">
        <v>1963</v>
      </c>
      <c r="C3342" t="s">
        <v>2600</v>
      </c>
      <c r="D3342" s="23">
        <v>-12663</v>
      </c>
      <c r="E3342" t="s">
        <v>35</v>
      </c>
      <c r="F3342" s="2">
        <v>212901001</v>
      </c>
      <c r="G3342" s="2" t="s">
        <v>91</v>
      </c>
      <c r="I3342" s="95" t="s">
        <v>7231</v>
      </c>
      <c r="J3342" t="s">
        <v>61</v>
      </c>
      <c r="K3342" t="s">
        <v>62</v>
      </c>
      <c r="M3342">
        <v>84.42</v>
      </c>
      <c r="N3342" s="4">
        <f t="shared" si="52"/>
        <v>-150</v>
      </c>
      <c r="O3342" t="s">
        <v>605</v>
      </c>
    </row>
    <row r="3343" spans="1:15" x14ac:dyDescent="0.25">
      <c r="A3343" s="22">
        <v>45772</v>
      </c>
      <c r="B3343" s="1" t="s">
        <v>1985</v>
      </c>
      <c r="C3343" t="s">
        <v>2601</v>
      </c>
      <c r="D3343" s="23">
        <v>-3545.64</v>
      </c>
      <c r="E3343" t="s">
        <v>35</v>
      </c>
      <c r="F3343" s="2">
        <v>212901001</v>
      </c>
      <c r="G3343" s="2" t="s">
        <v>91</v>
      </c>
      <c r="I3343" s="95" t="s">
        <v>7231</v>
      </c>
      <c r="J3343" t="s">
        <v>61</v>
      </c>
      <c r="K3343" t="s">
        <v>62</v>
      </c>
      <c r="M3343">
        <v>84.42</v>
      </c>
      <c r="N3343" s="4">
        <f t="shared" si="52"/>
        <v>-42</v>
      </c>
      <c r="O3343" t="s">
        <v>605</v>
      </c>
    </row>
    <row r="3344" spans="1:15" x14ac:dyDescent="0.25">
      <c r="A3344" s="22">
        <v>45772</v>
      </c>
      <c r="B3344" s="1" t="s">
        <v>2043</v>
      </c>
      <c r="C3344" t="s">
        <v>2602</v>
      </c>
      <c r="D3344" s="23">
        <v>-2532.6</v>
      </c>
      <c r="E3344" t="s">
        <v>35</v>
      </c>
      <c r="F3344" s="2">
        <v>212901001</v>
      </c>
      <c r="G3344" s="2" t="s">
        <v>91</v>
      </c>
      <c r="I3344" s="95" t="s">
        <v>7231</v>
      </c>
      <c r="J3344" t="s">
        <v>61</v>
      </c>
      <c r="K3344" t="s">
        <v>62</v>
      </c>
      <c r="M3344">
        <v>84.42</v>
      </c>
      <c r="N3344" s="4">
        <f t="shared" si="52"/>
        <v>-30</v>
      </c>
      <c r="O3344" t="s">
        <v>605</v>
      </c>
    </row>
    <row r="3345" spans="1:15" x14ac:dyDescent="0.25">
      <c r="A3345" s="22">
        <v>45772</v>
      </c>
      <c r="B3345" s="1" t="s">
        <v>1965</v>
      </c>
      <c r="C3345" t="s">
        <v>2603</v>
      </c>
      <c r="D3345" s="23">
        <v>-3545.64</v>
      </c>
      <c r="E3345" t="s">
        <v>35</v>
      </c>
      <c r="F3345" s="2">
        <v>212901001</v>
      </c>
      <c r="G3345" s="2" t="s">
        <v>91</v>
      </c>
      <c r="I3345" s="95" t="s">
        <v>7231</v>
      </c>
      <c r="J3345" t="s">
        <v>61</v>
      </c>
      <c r="K3345" t="s">
        <v>62</v>
      </c>
      <c r="M3345">
        <v>84.42</v>
      </c>
      <c r="N3345" s="4">
        <f t="shared" si="52"/>
        <v>-42</v>
      </c>
      <c r="O3345" t="s">
        <v>605</v>
      </c>
    </row>
    <row r="3346" spans="1:15" x14ac:dyDescent="0.25">
      <c r="A3346" s="22">
        <v>45772</v>
      </c>
      <c r="B3346" s="1" t="s">
        <v>2020</v>
      </c>
      <c r="C3346" t="s">
        <v>2604</v>
      </c>
      <c r="D3346" s="23">
        <v>-3545.64</v>
      </c>
      <c r="E3346" t="s">
        <v>35</v>
      </c>
      <c r="F3346" s="2">
        <v>212901001</v>
      </c>
      <c r="G3346" s="2" t="s">
        <v>91</v>
      </c>
      <c r="I3346" s="95" t="s">
        <v>7231</v>
      </c>
      <c r="J3346" t="s">
        <v>61</v>
      </c>
      <c r="K3346" t="s">
        <v>62</v>
      </c>
      <c r="M3346">
        <v>84.42</v>
      </c>
      <c r="N3346" s="4">
        <f t="shared" si="52"/>
        <v>-42</v>
      </c>
      <c r="O3346" t="s">
        <v>605</v>
      </c>
    </row>
    <row r="3347" spans="1:15" x14ac:dyDescent="0.25">
      <c r="A3347" s="22">
        <v>45772</v>
      </c>
      <c r="B3347" s="1" t="s">
        <v>2018</v>
      </c>
      <c r="C3347" t="s">
        <v>2605</v>
      </c>
      <c r="D3347" s="23">
        <v>-1688.4</v>
      </c>
      <c r="E3347" t="s">
        <v>35</v>
      </c>
      <c r="F3347" s="2">
        <v>212901001</v>
      </c>
      <c r="G3347" s="2" t="s">
        <v>91</v>
      </c>
      <c r="I3347" s="95" t="s">
        <v>7231</v>
      </c>
      <c r="J3347" t="s">
        <v>61</v>
      </c>
      <c r="K3347" t="s">
        <v>62</v>
      </c>
      <c r="M3347">
        <v>84.42</v>
      </c>
      <c r="N3347" s="4">
        <f t="shared" si="52"/>
        <v>-20</v>
      </c>
      <c r="O3347" t="s">
        <v>605</v>
      </c>
    </row>
    <row r="3348" spans="1:15" x14ac:dyDescent="0.25">
      <c r="A3348" s="22">
        <v>45772</v>
      </c>
      <c r="B3348" s="1" t="s">
        <v>2055</v>
      </c>
      <c r="C3348" t="s">
        <v>2606</v>
      </c>
      <c r="D3348" s="23">
        <v>-11818.8</v>
      </c>
      <c r="E3348" t="s">
        <v>35</v>
      </c>
      <c r="F3348" s="2">
        <v>212901001</v>
      </c>
      <c r="G3348" s="2" t="s">
        <v>91</v>
      </c>
      <c r="I3348" s="95" t="s">
        <v>7231</v>
      </c>
      <c r="J3348" t="s">
        <v>61</v>
      </c>
      <c r="K3348" t="s">
        <v>62</v>
      </c>
      <c r="M3348">
        <v>84.42</v>
      </c>
      <c r="N3348" s="4">
        <f t="shared" si="52"/>
        <v>-140</v>
      </c>
      <c r="O3348" t="s">
        <v>605</v>
      </c>
    </row>
    <row r="3349" spans="1:15" x14ac:dyDescent="0.25">
      <c r="A3349" s="22">
        <v>45772</v>
      </c>
      <c r="B3349" s="1" t="s">
        <v>1909</v>
      </c>
      <c r="C3349" t="s">
        <v>2607</v>
      </c>
      <c r="D3349" s="23">
        <v>-5065.2</v>
      </c>
      <c r="E3349" t="s">
        <v>35</v>
      </c>
      <c r="F3349" s="2">
        <v>212901001</v>
      </c>
      <c r="G3349" s="2" t="s">
        <v>91</v>
      </c>
      <c r="I3349" s="95" t="s">
        <v>7231</v>
      </c>
      <c r="J3349" t="s">
        <v>61</v>
      </c>
      <c r="K3349" t="s">
        <v>62</v>
      </c>
      <c r="M3349">
        <v>84.42</v>
      </c>
      <c r="N3349" s="4">
        <f t="shared" si="52"/>
        <v>-60</v>
      </c>
      <c r="O3349" t="s">
        <v>605</v>
      </c>
    </row>
    <row r="3350" spans="1:15" x14ac:dyDescent="0.25">
      <c r="A3350" s="22">
        <v>45772</v>
      </c>
      <c r="B3350" s="1" t="s">
        <v>1998</v>
      </c>
      <c r="C3350" t="s">
        <v>2608</v>
      </c>
      <c r="D3350" s="23">
        <v>-4221</v>
      </c>
      <c r="E3350" t="s">
        <v>35</v>
      </c>
      <c r="F3350" s="2">
        <v>212901001</v>
      </c>
      <c r="G3350" s="2" t="s">
        <v>91</v>
      </c>
      <c r="I3350" s="95" t="s">
        <v>7231</v>
      </c>
      <c r="J3350" t="s">
        <v>61</v>
      </c>
      <c r="K3350" t="s">
        <v>62</v>
      </c>
      <c r="M3350">
        <v>84.42</v>
      </c>
      <c r="N3350" s="4">
        <f t="shared" si="52"/>
        <v>-50</v>
      </c>
      <c r="O3350" t="s">
        <v>605</v>
      </c>
    </row>
    <row r="3351" spans="1:15" x14ac:dyDescent="0.25">
      <c r="A3351" s="22">
        <v>45772</v>
      </c>
      <c r="B3351" s="1" t="s">
        <v>1987</v>
      </c>
      <c r="C3351" t="s">
        <v>2609</v>
      </c>
      <c r="D3351" s="23">
        <v>-8442</v>
      </c>
      <c r="E3351" t="s">
        <v>35</v>
      </c>
      <c r="F3351" s="2">
        <v>212901001</v>
      </c>
      <c r="G3351" s="2" t="s">
        <v>91</v>
      </c>
      <c r="I3351" s="95" t="s">
        <v>7231</v>
      </c>
      <c r="J3351" t="s">
        <v>61</v>
      </c>
      <c r="K3351" t="s">
        <v>62</v>
      </c>
      <c r="M3351">
        <v>84.42</v>
      </c>
      <c r="N3351" s="4">
        <f t="shared" si="52"/>
        <v>-100</v>
      </c>
      <c r="O3351" t="s">
        <v>605</v>
      </c>
    </row>
    <row r="3352" spans="1:15" x14ac:dyDescent="0.25">
      <c r="A3352" s="22">
        <v>45772</v>
      </c>
      <c r="B3352" s="1" t="s">
        <v>1973</v>
      </c>
      <c r="C3352" t="s">
        <v>2610</v>
      </c>
      <c r="D3352" s="23">
        <v>-3883.32</v>
      </c>
      <c r="E3352" t="s">
        <v>35</v>
      </c>
      <c r="F3352" s="2">
        <v>212901001</v>
      </c>
      <c r="G3352" s="2" t="s">
        <v>91</v>
      </c>
      <c r="I3352" s="95" t="s">
        <v>7231</v>
      </c>
      <c r="J3352" t="s">
        <v>61</v>
      </c>
      <c r="K3352" t="s">
        <v>62</v>
      </c>
      <c r="M3352">
        <v>84.42</v>
      </c>
      <c r="N3352" s="4">
        <f t="shared" si="52"/>
        <v>-46</v>
      </c>
      <c r="O3352" t="s">
        <v>605</v>
      </c>
    </row>
    <row r="3353" spans="1:15" x14ac:dyDescent="0.25">
      <c r="A3353" s="22">
        <v>45772</v>
      </c>
      <c r="B3353" s="1" t="s">
        <v>2001</v>
      </c>
      <c r="C3353" t="s">
        <v>2611</v>
      </c>
      <c r="D3353" s="23">
        <v>-5909.4</v>
      </c>
      <c r="E3353" t="s">
        <v>35</v>
      </c>
      <c r="F3353" s="2">
        <v>212901001</v>
      </c>
      <c r="G3353" s="2" t="s">
        <v>91</v>
      </c>
      <c r="I3353" s="95" t="s">
        <v>7231</v>
      </c>
      <c r="J3353" t="s">
        <v>61</v>
      </c>
      <c r="K3353" t="s">
        <v>62</v>
      </c>
      <c r="M3353">
        <v>84.42</v>
      </c>
      <c r="N3353" s="4">
        <f t="shared" si="52"/>
        <v>-70</v>
      </c>
      <c r="O3353" t="s">
        <v>605</v>
      </c>
    </row>
    <row r="3354" spans="1:15" x14ac:dyDescent="0.25">
      <c r="A3354" s="22">
        <v>45772</v>
      </c>
      <c r="B3354" s="1" t="s">
        <v>1977</v>
      </c>
      <c r="C3354" t="s">
        <v>2612</v>
      </c>
      <c r="D3354" s="23">
        <v>-1688.4</v>
      </c>
      <c r="E3354" t="s">
        <v>35</v>
      </c>
      <c r="F3354" s="2">
        <v>212901001</v>
      </c>
      <c r="G3354" s="2" t="s">
        <v>91</v>
      </c>
      <c r="I3354" s="95" t="s">
        <v>7231</v>
      </c>
      <c r="J3354" t="s">
        <v>61</v>
      </c>
      <c r="K3354" t="s">
        <v>62</v>
      </c>
      <c r="M3354">
        <v>84.42</v>
      </c>
      <c r="N3354" s="4">
        <f t="shared" si="52"/>
        <v>-20</v>
      </c>
      <c r="O3354" t="s">
        <v>605</v>
      </c>
    </row>
    <row r="3355" spans="1:15" x14ac:dyDescent="0.25">
      <c r="A3355" s="22">
        <v>45772</v>
      </c>
      <c r="B3355" s="1" t="s">
        <v>2053</v>
      </c>
      <c r="C3355" t="s">
        <v>2613</v>
      </c>
      <c r="D3355" s="23">
        <v>-1688.4</v>
      </c>
      <c r="E3355" t="s">
        <v>35</v>
      </c>
      <c r="F3355" s="2">
        <v>212901001</v>
      </c>
      <c r="G3355" s="2" t="s">
        <v>91</v>
      </c>
      <c r="I3355" s="95" t="s">
        <v>7231</v>
      </c>
      <c r="J3355" t="s">
        <v>61</v>
      </c>
      <c r="K3355" t="s">
        <v>62</v>
      </c>
      <c r="M3355">
        <v>84.42</v>
      </c>
      <c r="N3355" s="4">
        <f t="shared" si="52"/>
        <v>-20</v>
      </c>
      <c r="O3355" t="s">
        <v>605</v>
      </c>
    </row>
    <row r="3356" spans="1:15" x14ac:dyDescent="0.25">
      <c r="A3356" s="22">
        <v>45772</v>
      </c>
      <c r="B3356" s="1" t="s">
        <v>2016</v>
      </c>
      <c r="C3356" t="s">
        <v>2614</v>
      </c>
      <c r="D3356" s="23">
        <v>-4221</v>
      </c>
      <c r="E3356" t="s">
        <v>35</v>
      </c>
      <c r="F3356" s="2">
        <v>212901001</v>
      </c>
      <c r="G3356" s="2" t="s">
        <v>91</v>
      </c>
      <c r="I3356" s="95" t="s">
        <v>7231</v>
      </c>
      <c r="J3356" t="s">
        <v>61</v>
      </c>
      <c r="K3356" t="s">
        <v>62</v>
      </c>
      <c r="M3356">
        <v>84.42</v>
      </c>
      <c r="N3356" s="4">
        <f t="shared" si="52"/>
        <v>-50</v>
      </c>
      <c r="O3356" t="s">
        <v>605</v>
      </c>
    </row>
    <row r="3357" spans="1:15" x14ac:dyDescent="0.25">
      <c r="A3357" s="22">
        <v>45772</v>
      </c>
      <c r="B3357" s="1" t="s">
        <v>1991</v>
      </c>
      <c r="C3357" t="s">
        <v>2615</v>
      </c>
      <c r="D3357" s="23">
        <v>-4221</v>
      </c>
      <c r="E3357" t="s">
        <v>35</v>
      </c>
      <c r="F3357" s="2">
        <v>212901001</v>
      </c>
      <c r="G3357" s="2" t="s">
        <v>91</v>
      </c>
      <c r="I3357" s="95" t="s">
        <v>7231</v>
      </c>
      <c r="J3357" t="s">
        <v>61</v>
      </c>
      <c r="K3357" t="s">
        <v>62</v>
      </c>
      <c r="M3357">
        <v>84.42</v>
      </c>
      <c r="N3357" s="4">
        <f t="shared" si="52"/>
        <v>-50</v>
      </c>
      <c r="O3357" t="s">
        <v>605</v>
      </c>
    </row>
    <row r="3358" spans="1:15" x14ac:dyDescent="0.25">
      <c r="A3358" s="22">
        <v>45772</v>
      </c>
      <c r="B3358" s="1" t="s">
        <v>2024</v>
      </c>
      <c r="C3358" t="s">
        <v>2616</v>
      </c>
      <c r="D3358" s="23">
        <v>-10299.24</v>
      </c>
      <c r="E3358" t="s">
        <v>35</v>
      </c>
      <c r="F3358" s="2">
        <v>212901001</v>
      </c>
      <c r="G3358" s="2" t="s">
        <v>91</v>
      </c>
      <c r="I3358" s="95" t="s">
        <v>7231</v>
      </c>
      <c r="J3358" t="s">
        <v>61</v>
      </c>
      <c r="K3358" t="s">
        <v>62</v>
      </c>
      <c r="M3358">
        <v>84.42</v>
      </c>
      <c r="N3358" s="4">
        <f t="shared" si="52"/>
        <v>-122</v>
      </c>
      <c r="O3358" t="s">
        <v>605</v>
      </c>
    </row>
    <row r="3359" spans="1:15" x14ac:dyDescent="0.25">
      <c r="A3359" s="22">
        <v>45772</v>
      </c>
      <c r="B3359" s="1" t="s">
        <v>1946</v>
      </c>
      <c r="C3359" t="s">
        <v>2617</v>
      </c>
      <c r="D3359" s="23">
        <v>-2532.6</v>
      </c>
      <c r="E3359" t="s">
        <v>35</v>
      </c>
      <c r="F3359" s="2">
        <v>212901001</v>
      </c>
      <c r="G3359" s="2" t="s">
        <v>91</v>
      </c>
      <c r="I3359" s="95" t="s">
        <v>7231</v>
      </c>
      <c r="J3359" t="s">
        <v>61</v>
      </c>
      <c r="K3359" t="s">
        <v>62</v>
      </c>
      <c r="M3359">
        <v>84.42</v>
      </c>
      <c r="N3359" s="4">
        <f t="shared" si="52"/>
        <v>-30</v>
      </c>
      <c r="O3359" t="s">
        <v>605</v>
      </c>
    </row>
    <row r="3360" spans="1:15" x14ac:dyDescent="0.25">
      <c r="A3360" s="22">
        <v>45772</v>
      </c>
      <c r="B3360" s="1" t="s">
        <v>619</v>
      </c>
      <c r="C3360" t="s">
        <v>2618</v>
      </c>
      <c r="D3360" s="23">
        <v>-5065.2</v>
      </c>
      <c r="E3360" t="s">
        <v>35</v>
      </c>
      <c r="F3360" s="2">
        <v>212901001</v>
      </c>
      <c r="G3360" s="2" t="s">
        <v>91</v>
      </c>
      <c r="I3360" s="95" t="s">
        <v>7231</v>
      </c>
      <c r="J3360" t="s">
        <v>61</v>
      </c>
      <c r="K3360" t="s">
        <v>62</v>
      </c>
      <c r="M3360">
        <v>84.42</v>
      </c>
      <c r="N3360" s="4">
        <f t="shared" si="52"/>
        <v>-60</v>
      </c>
      <c r="O3360" t="s">
        <v>605</v>
      </c>
    </row>
    <row r="3361" spans="1:15" x14ac:dyDescent="0.25">
      <c r="A3361" s="22">
        <v>45772</v>
      </c>
      <c r="B3361" s="1" t="s">
        <v>1904</v>
      </c>
      <c r="C3361" t="s">
        <v>2619</v>
      </c>
      <c r="D3361" s="23">
        <v>-5065.2</v>
      </c>
      <c r="E3361" t="s">
        <v>35</v>
      </c>
      <c r="F3361" s="2">
        <v>212901001</v>
      </c>
      <c r="G3361" s="2" t="s">
        <v>91</v>
      </c>
      <c r="I3361" s="95" t="s">
        <v>7231</v>
      </c>
      <c r="J3361" t="s">
        <v>61</v>
      </c>
      <c r="K3361" t="s">
        <v>62</v>
      </c>
      <c r="M3361">
        <v>84.42</v>
      </c>
      <c r="N3361" s="4">
        <f t="shared" si="52"/>
        <v>-60</v>
      </c>
      <c r="O3361" t="s">
        <v>605</v>
      </c>
    </row>
    <row r="3362" spans="1:15" x14ac:dyDescent="0.25">
      <c r="A3362" s="22">
        <v>45772</v>
      </c>
      <c r="B3362" s="1" t="s">
        <v>1900</v>
      </c>
      <c r="C3362" t="s">
        <v>2620</v>
      </c>
      <c r="D3362" s="23">
        <v>-5065.2</v>
      </c>
      <c r="E3362" t="s">
        <v>35</v>
      </c>
      <c r="F3362" s="2">
        <v>212901001</v>
      </c>
      <c r="G3362" s="2" t="s">
        <v>91</v>
      </c>
      <c r="I3362" s="95" t="s">
        <v>7231</v>
      </c>
      <c r="J3362" t="s">
        <v>61</v>
      </c>
      <c r="K3362" t="s">
        <v>62</v>
      </c>
      <c r="M3362">
        <v>84.42</v>
      </c>
      <c r="N3362" s="4">
        <f t="shared" si="52"/>
        <v>-60</v>
      </c>
      <c r="O3362" t="s">
        <v>605</v>
      </c>
    </row>
    <row r="3363" spans="1:15" x14ac:dyDescent="0.25">
      <c r="A3363" s="22">
        <v>45772</v>
      </c>
      <c r="B3363" s="1" t="s">
        <v>1907</v>
      </c>
      <c r="C3363" t="s">
        <v>2621</v>
      </c>
      <c r="D3363" s="23">
        <v>-5065.2</v>
      </c>
      <c r="E3363" t="s">
        <v>35</v>
      </c>
      <c r="F3363" s="2">
        <v>212901001</v>
      </c>
      <c r="G3363" s="2" t="s">
        <v>91</v>
      </c>
      <c r="I3363" s="95" t="s">
        <v>7231</v>
      </c>
      <c r="J3363" t="s">
        <v>61</v>
      </c>
      <c r="K3363" t="s">
        <v>62</v>
      </c>
      <c r="M3363">
        <v>84.42</v>
      </c>
      <c r="N3363" s="4">
        <f t="shared" si="52"/>
        <v>-60</v>
      </c>
      <c r="O3363" t="s">
        <v>605</v>
      </c>
    </row>
    <row r="3364" spans="1:15" x14ac:dyDescent="0.25">
      <c r="A3364" s="22">
        <v>45772</v>
      </c>
      <c r="B3364" s="1" t="s">
        <v>1940</v>
      </c>
      <c r="C3364" t="s">
        <v>2622</v>
      </c>
      <c r="D3364" s="23">
        <v>-3376.8</v>
      </c>
      <c r="E3364" t="s">
        <v>35</v>
      </c>
      <c r="F3364" s="2">
        <v>212901001</v>
      </c>
      <c r="G3364" s="2" t="s">
        <v>91</v>
      </c>
      <c r="I3364" s="95" t="s">
        <v>7231</v>
      </c>
      <c r="J3364" t="s">
        <v>61</v>
      </c>
      <c r="K3364" t="s">
        <v>62</v>
      </c>
      <c r="M3364">
        <v>84.42</v>
      </c>
      <c r="N3364" s="4">
        <f t="shared" si="52"/>
        <v>-40</v>
      </c>
      <c r="O3364" t="s">
        <v>605</v>
      </c>
    </row>
    <row r="3365" spans="1:15" x14ac:dyDescent="0.25">
      <c r="A3365" s="22">
        <v>45772</v>
      </c>
      <c r="B3365" s="1" t="s">
        <v>1989</v>
      </c>
      <c r="C3365" t="s">
        <v>2623</v>
      </c>
      <c r="D3365" s="23">
        <v>-4221</v>
      </c>
      <c r="E3365" t="s">
        <v>35</v>
      </c>
      <c r="F3365" s="2">
        <v>212901001</v>
      </c>
      <c r="G3365" s="2" t="s">
        <v>91</v>
      </c>
      <c r="I3365" s="95" t="s">
        <v>7231</v>
      </c>
      <c r="J3365" t="s">
        <v>61</v>
      </c>
      <c r="K3365" t="s">
        <v>62</v>
      </c>
      <c r="M3365">
        <v>84.42</v>
      </c>
      <c r="N3365" s="4">
        <f t="shared" si="52"/>
        <v>-50</v>
      </c>
      <c r="O3365" t="s">
        <v>605</v>
      </c>
    </row>
    <row r="3366" spans="1:15" x14ac:dyDescent="0.25">
      <c r="A3366" s="22">
        <v>45772</v>
      </c>
      <c r="B3366" s="1" t="s">
        <v>1967</v>
      </c>
      <c r="C3366" t="s">
        <v>2624</v>
      </c>
      <c r="D3366" s="23">
        <v>-4221</v>
      </c>
      <c r="E3366" t="s">
        <v>35</v>
      </c>
      <c r="F3366" s="2">
        <v>212901001</v>
      </c>
      <c r="G3366" s="2" t="s">
        <v>91</v>
      </c>
      <c r="I3366" s="95" t="s">
        <v>7231</v>
      </c>
      <c r="J3366" t="s">
        <v>61</v>
      </c>
      <c r="K3366" t="s">
        <v>62</v>
      </c>
      <c r="M3366">
        <v>84.42</v>
      </c>
      <c r="N3366" s="4">
        <f t="shared" si="52"/>
        <v>-50</v>
      </c>
      <c r="O3366" t="s">
        <v>605</v>
      </c>
    </row>
    <row r="3367" spans="1:15" x14ac:dyDescent="0.25">
      <c r="A3367" s="22">
        <v>45772</v>
      </c>
      <c r="B3367" s="1" t="s">
        <v>1944</v>
      </c>
      <c r="C3367" t="s">
        <v>2625</v>
      </c>
      <c r="D3367" s="23">
        <v>-16884</v>
      </c>
      <c r="E3367" t="s">
        <v>35</v>
      </c>
      <c r="F3367" s="2">
        <v>212901001</v>
      </c>
      <c r="G3367" s="2" t="s">
        <v>91</v>
      </c>
      <c r="I3367" s="95" t="s">
        <v>7231</v>
      </c>
      <c r="J3367" t="s">
        <v>61</v>
      </c>
      <c r="K3367" t="s">
        <v>62</v>
      </c>
      <c r="M3367">
        <v>84.42</v>
      </c>
      <c r="N3367" s="4">
        <f t="shared" si="52"/>
        <v>-200</v>
      </c>
      <c r="O3367" t="s">
        <v>605</v>
      </c>
    </row>
    <row r="3368" spans="1:15" x14ac:dyDescent="0.25">
      <c r="A3368" s="22">
        <v>45772</v>
      </c>
      <c r="B3368" s="1" t="s">
        <v>1928</v>
      </c>
      <c r="C3368" t="s">
        <v>2626</v>
      </c>
      <c r="D3368" s="23">
        <v>-3376.8</v>
      </c>
      <c r="E3368" t="s">
        <v>35</v>
      </c>
      <c r="F3368" s="2">
        <v>212901001</v>
      </c>
      <c r="G3368" s="2" t="s">
        <v>91</v>
      </c>
      <c r="I3368" s="95" t="s">
        <v>7231</v>
      </c>
      <c r="J3368" t="s">
        <v>61</v>
      </c>
      <c r="K3368" t="s">
        <v>62</v>
      </c>
      <c r="M3368">
        <v>84.42</v>
      </c>
      <c r="N3368" s="4">
        <f t="shared" si="52"/>
        <v>-40</v>
      </c>
      <c r="O3368" t="s">
        <v>605</v>
      </c>
    </row>
    <row r="3369" spans="1:15" x14ac:dyDescent="0.25">
      <c r="A3369" s="22">
        <v>45772</v>
      </c>
      <c r="B3369" s="1" t="s">
        <v>617</v>
      </c>
      <c r="C3369" t="s">
        <v>2627</v>
      </c>
      <c r="D3369" s="23">
        <v>-5065.2</v>
      </c>
      <c r="E3369" t="s">
        <v>35</v>
      </c>
      <c r="F3369" s="2">
        <v>212901001</v>
      </c>
      <c r="G3369" s="2" t="s">
        <v>91</v>
      </c>
      <c r="I3369" s="95" t="s">
        <v>7231</v>
      </c>
      <c r="J3369" t="s">
        <v>61</v>
      </c>
      <c r="K3369" t="s">
        <v>62</v>
      </c>
      <c r="M3369">
        <v>84.42</v>
      </c>
      <c r="N3369" s="4">
        <f t="shared" si="52"/>
        <v>-60</v>
      </c>
      <c r="O3369" t="s">
        <v>605</v>
      </c>
    </row>
    <row r="3370" spans="1:15" x14ac:dyDescent="0.25">
      <c r="A3370" s="22">
        <v>45772</v>
      </c>
      <c r="B3370" s="1" t="s">
        <v>1268</v>
      </c>
      <c r="C3370" t="s">
        <v>2628</v>
      </c>
      <c r="D3370" s="23">
        <v>-5065.2</v>
      </c>
      <c r="E3370" t="s">
        <v>35</v>
      </c>
      <c r="F3370" s="2">
        <v>212901001</v>
      </c>
      <c r="G3370" s="2" t="s">
        <v>91</v>
      </c>
      <c r="I3370" s="95" t="s">
        <v>7231</v>
      </c>
      <c r="J3370" t="s">
        <v>61</v>
      </c>
      <c r="K3370" t="s">
        <v>62</v>
      </c>
      <c r="M3370">
        <v>84.42</v>
      </c>
      <c r="N3370" s="4">
        <f t="shared" si="52"/>
        <v>-60</v>
      </c>
      <c r="O3370" t="s">
        <v>605</v>
      </c>
    </row>
    <row r="3371" spans="1:15" x14ac:dyDescent="0.25">
      <c r="A3371" s="22">
        <v>45772</v>
      </c>
      <c r="B3371" s="1" t="s">
        <v>1983</v>
      </c>
      <c r="C3371" t="s">
        <v>2629</v>
      </c>
      <c r="D3371" s="23">
        <v>-6753.6</v>
      </c>
      <c r="E3371" t="s">
        <v>35</v>
      </c>
      <c r="F3371" s="2">
        <v>212901001</v>
      </c>
      <c r="G3371" s="2" t="s">
        <v>91</v>
      </c>
      <c r="I3371" s="95" t="s">
        <v>7231</v>
      </c>
      <c r="J3371" t="s">
        <v>61</v>
      </c>
      <c r="K3371" t="s">
        <v>62</v>
      </c>
      <c r="M3371">
        <v>84.42</v>
      </c>
      <c r="N3371" s="4">
        <f t="shared" si="52"/>
        <v>-80</v>
      </c>
      <c r="O3371" t="s">
        <v>605</v>
      </c>
    </row>
    <row r="3372" spans="1:15" x14ac:dyDescent="0.25">
      <c r="A3372" s="22">
        <v>45772</v>
      </c>
      <c r="B3372" s="1" t="s">
        <v>1953</v>
      </c>
      <c r="C3372" t="s">
        <v>2630</v>
      </c>
      <c r="D3372" s="23">
        <v>-6753.6</v>
      </c>
      <c r="E3372" t="s">
        <v>35</v>
      </c>
      <c r="F3372" s="2">
        <v>212901001</v>
      </c>
      <c r="G3372" s="2" t="s">
        <v>91</v>
      </c>
      <c r="I3372" s="95" t="s">
        <v>7231</v>
      </c>
      <c r="J3372" t="s">
        <v>61</v>
      </c>
      <c r="K3372" t="s">
        <v>62</v>
      </c>
      <c r="M3372">
        <v>84.42</v>
      </c>
      <c r="N3372" s="4">
        <f t="shared" si="52"/>
        <v>-80</v>
      </c>
      <c r="O3372" t="s">
        <v>605</v>
      </c>
    </row>
    <row r="3373" spans="1:15" x14ac:dyDescent="0.25">
      <c r="A3373" s="22">
        <v>45772</v>
      </c>
      <c r="B3373" s="1" t="s">
        <v>1996</v>
      </c>
      <c r="C3373" t="s">
        <v>2631</v>
      </c>
      <c r="D3373" s="23">
        <v>-3545.64</v>
      </c>
      <c r="E3373" t="s">
        <v>35</v>
      </c>
      <c r="F3373" s="2">
        <v>212901001</v>
      </c>
      <c r="G3373" s="2" t="s">
        <v>91</v>
      </c>
      <c r="I3373" s="95" t="s">
        <v>7231</v>
      </c>
      <c r="J3373" t="s">
        <v>61</v>
      </c>
      <c r="K3373" t="s">
        <v>62</v>
      </c>
      <c r="M3373">
        <v>84.42</v>
      </c>
      <c r="N3373" s="4">
        <f t="shared" si="52"/>
        <v>-42</v>
      </c>
      <c r="O3373" t="s">
        <v>605</v>
      </c>
    </row>
    <row r="3374" spans="1:15" x14ac:dyDescent="0.25">
      <c r="A3374" s="22">
        <v>45772</v>
      </c>
      <c r="B3374" s="1" t="s">
        <v>1999</v>
      </c>
      <c r="C3374" t="s">
        <v>2632</v>
      </c>
      <c r="D3374" s="23">
        <v>-3376.8</v>
      </c>
      <c r="E3374" t="s">
        <v>35</v>
      </c>
      <c r="F3374" s="2">
        <v>212901001</v>
      </c>
      <c r="G3374" s="2" t="s">
        <v>91</v>
      </c>
      <c r="I3374" s="95" t="s">
        <v>7231</v>
      </c>
      <c r="J3374" t="s">
        <v>61</v>
      </c>
      <c r="K3374" t="s">
        <v>62</v>
      </c>
      <c r="M3374">
        <v>84.42</v>
      </c>
      <c r="N3374" s="4">
        <f t="shared" si="52"/>
        <v>-40</v>
      </c>
      <c r="O3374" t="s">
        <v>605</v>
      </c>
    </row>
    <row r="3375" spans="1:15" x14ac:dyDescent="0.25">
      <c r="A3375" s="22">
        <v>45772</v>
      </c>
      <c r="B3375" s="1" t="s">
        <v>1961</v>
      </c>
      <c r="C3375" t="s">
        <v>2633</v>
      </c>
      <c r="D3375" s="23">
        <v>-3376.8</v>
      </c>
      <c r="E3375" t="s">
        <v>35</v>
      </c>
      <c r="F3375" s="2">
        <v>212901001</v>
      </c>
      <c r="G3375" s="2" t="s">
        <v>91</v>
      </c>
      <c r="I3375" s="95" t="s">
        <v>7231</v>
      </c>
      <c r="J3375" t="s">
        <v>61</v>
      </c>
      <c r="K3375" t="s">
        <v>62</v>
      </c>
      <c r="M3375">
        <v>84.42</v>
      </c>
      <c r="N3375" s="4">
        <f t="shared" si="52"/>
        <v>-40</v>
      </c>
      <c r="O3375" t="s">
        <v>605</v>
      </c>
    </row>
    <row r="3376" spans="1:15" x14ac:dyDescent="0.25">
      <c r="A3376" s="22">
        <v>45772</v>
      </c>
      <c r="B3376" s="1" t="s">
        <v>2045</v>
      </c>
      <c r="C3376" t="s">
        <v>2634</v>
      </c>
      <c r="D3376" s="23">
        <v>-5909.4</v>
      </c>
      <c r="E3376" t="s">
        <v>35</v>
      </c>
      <c r="F3376" s="2">
        <v>212901001</v>
      </c>
      <c r="G3376" s="2" t="s">
        <v>91</v>
      </c>
      <c r="I3376" s="95" t="s">
        <v>7231</v>
      </c>
      <c r="J3376" t="s">
        <v>61</v>
      </c>
      <c r="K3376" t="s">
        <v>62</v>
      </c>
      <c r="M3376">
        <v>84.42</v>
      </c>
      <c r="N3376" s="4">
        <f t="shared" si="52"/>
        <v>-70</v>
      </c>
      <c r="O3376" t="s">
        <v>605</v>
      </c>
    </row>
    <row r="3377" spans="1:15" x14ac:dyDescent="0.25">
      <c r="A3377" s="22">
        <v>45772</v>
      </c>
      <c r="B3377" s="1" t="s">
        <v>2034</v>
      </c>
      <c r="C3377" t="s">
        <v>2635</v>
      </c>
      <c r="D3377" s="23">
        <v>-4221</v>
      </c>
      <c r="E3377" t="s">
        <v>35</v>
      </c>
      <c r="F3377" s="2">
        <v>212901001</v>
      </c>
      <c r="G3377" s="2" t="s">
        <v>91</v>
      </c>
      <c r="I3377" s="95" t="s">
        <v>7231</v>
      </c>
      <c r="J3377" t="s">
        <v>61</v>
      </c>
      <c r="K3377" t="s">
        <v>62</v>
      </c>
      <c r="M3377">
        <v>84.42</v>
      </c>
      <c r="N3377" s="4">
        <f t="shared" si="52"/>
        <v>-50</v>
      </c>
      <c r="O3377" t="s">
        <v>605</v>
      </c>
    </row>
    <row r="3378" spans="1:15" x14ac:dyDescent="0.25">
      <c r="A3378" s="22">
        <v>45772</v>
      </c>
      <c r="B3378" s="1" t="s">
        <v>2098</v>
      </c>
      <c r="C3378" t="s">
        <v>622</v>
      </c>
      <c r="D3378" s="23">
        <v>-8.86</v>
      </c>
      <c r="E3378" t="s">
        <v>35</v>
      </c>
      <c r="F3378" s="2">
        <v>610148001</v>
      </c>
      <c r="G3378" s="2" t="s">
        <v>41</v>
      </c>
      <c r="I3378" s="95" t="s">
        <v>7231</v>
      </c>
      <c r="J3378" t="s">
        <v>42</v>
      </c>
      <c r="K3378" t="s">
        <v>41</v>
      </c>
      <c r="M3378">
        <v>84.42</v>
      </c>
      <c r="N3378" s="4">
        <f t="shared" si="52"/>
        <v>-0.10495143330964225</v>
      </c>
      <c r="O3378" t="s">
        <v>605</v>
      </c>
    </row>
    <row r="3379" spans="1:15" x14ac:dyDescent="0.25">
      <c r="A3379" s="22">
        <v>45772</v>
      </c>
      <c r="B3379" s="1" t="s">
        <v>2072</v>
      </c>
      <c r="C3379" t="s">
        <v>622</v>
      </c>
      <c r="D3379" s="23">
        <v>-21.1</v>
      </c>
      <c r="E3379" t="s">
        <v>35</v>
      </c>
      <c r="F3379" s="2">
        <v>610148001</v>
      </c>
      <c r="G3379" s="2" t="s">
        <v>41</v>
      </c>
      <c r="I3379" s="95" t="s">
        <v>7231</v>
      </c>
      <c r="J3379" t="s">
        <v>42</v>
      </c>
      <c r="K3379" t="s">
        <v>41</v>
      </c>
      <c r="M3379">
        <v>84.42</v>
      </c>
      <c r="N3379" s="4">
        <f t="shared" si="52"/>
        <v>-0.24994077232883205</v>
      </c>
      <c r="O3379" t="s">
        <v>605</v>
      </c>
    </row>
    <row r="3380" spans="1:15" x14ac:dyDescent="0.25">
      <c r="A3380" s="22">
        <v>45772</v>
      </c>
      <c r="B3380" s="1" t="s">
        <v>2096</v>
      </c>
      <c r="C3380" t="s">
        <v>622</v>
      </c>
      <c r="D3380" s="23">
        <v>-10.55</v>
      </c>
      <c r="E3380" t="s">
        <v>35</v>
      </c>
      <c r="F3380" s="2">
        <v>610148001</v>
      </c>
      <c r="G3380" s="2" t="s">
        <v>41</v>
      </c>
      <c r="I3380" s="95" t="s">
        <v>7231</v>
      </c>
      <c r="J3380" t="s">
        <v>42</v>
      </c>
      <c r="K3380" t="s">
        <v>41</v>
      </c>
      <c r="M3380">
        <v>84.42</v>
      </c>
      <c r="N3380" s="4">
        <f t="shared" si="52"/>
        <v>-0.12497038616441603</v>
      </c>
      <c r="O3380" t="s">
        <v>605</v>
      </c>
    </row>
    <row r="3381" spans="1:15" x14ac:dyDescent="0.25">
      <c r="A3381" s="22">
        <v>45772</v>
      </c>
      <c r="B3381" s="1" t="s">
        <v>2078</v>
      </c>
      <c r="C3381" t="s">
        <v>622</v>
      </c>
      <c r="D3381" s="23">
        <v>-10.55</v>
      </c>
      <c r="E3381" t="s">
        <v>35</v>
      </c>
      <c r="F3381" s="2">
        <v>610148001</v>
      </c>
      <c r="G3381" s="2" t="s">
        <v>41</v>
      </c>
      <c r="I3381" s="95" t="s">
        <v>7231</v>
      </c>
      <c r="J3381" t="s">
        <v>42</v>
      </c>
      <c r="K3381" t="s">
        <v>41</v>
      </c>
      <c r="M3381">
        <v>84.42</v>
      </c>
      <c r="N3381" s="4">
        <f t="shared" si="52"/>
        <v>-0.12497038616441603</v>
      </c>
      <c r="O3381" t="s">
        <v>605</v>
      </c>
    </row>
    <row r="3382" spans="1:15" x14ac:dyDescent="0.25">
      <c r="A3382" s="22">
        <v>45772</v>
      </c>
      <c r="B3382" s="1" t="s">
        <v>2093</v>
      </c>
      <c r="C3382" t="s">
        <v>622</v>
      </c>
      <c r="D3382" s="23">
        <v>-10.55</v>
      </c>
      <c r="E3382" t="s">
        <v>35</v>
      </c>
      <c r="F3382" s="2">
        <v>610148001</v>
      </c>
      <c r="G3382" s="2" t="s">
        <v>41</v>
      </c>
      <c r="I3382" s="95" t="s">
        <v>7231</v>
      </c>
      <c r="J3382" t="s">
        <v>42</v>
      </c>
      <c r="K3382" t="s">
        <v>41</v>
      </c>
      <c r="M3382">
        <v>84.42</v>
      </c>
      <c r="N3382" s="4">
        <f t="shared" si="52"/>
        <v>-0.12497038616441603</v>
      </c>
      <c r="O3382" t="s">
        <v>605</v>
      </c>
    </row>
    <row r="3383" spans="1:15" x14ac:dyDescent="0.25">
      <c r="A3383" s="22">
        <v>45772</v>
      </c>
      <c r="B3383" s="1" t="s">
        <v>2110</v>
      </c>
      <c r="C3383" t="s">
        <v>622</v>
      </c>
      <c r="D3383" s="23">
        <v>-8.86</v>
      </c>
      <c r="E3383" t="s">
        <v>35</v>
      </c>
      <c r="F3383" s="2">
        <v>610148001</v>
      </c>
      <c r="G3383" s="2" t="s">
        <v>41</v>
      </c>
      <c r="I3383" s="95" t="s">
        <v>7231</v>
      </c>
      <c r="J3383" t="s">
        <v>42</v>
      </c>
      <c r="K3383" t="s">
        <v>41</v>
      </c>
      <c r="M3383">
        <v>84.42</v>
      </c>
      <c r="N3383" s="4">
        <f t="shared" si="52"/>
        <v>-0.10495143330964225</v>
      </c>
      <c r="O3383" t="s">
        <v>605</v>
      </c>
    </row>
    <row r="3384" spans="1:15" x14ac:dyDescent="0.25">
      <c r="A3384" s="22">
        <v>45772</v>
      </c>
      <c r="B3384" s="1" t="s">
        <v>2071</v>
      </c>
      <c r="C3384" t="s">
        <v>622</v>
      </c>
      <c r="D3384" s="23">
        <v>-6.33</v>
      </c>
      <c r="E3384" t="s">
        <v>35</v>
      </c>
      <c r="F3384" s="2">
        <v>610148001</v>
      </c>
      <c r="G3384" s="2" t="s">
        <v>41</v>
      </c>
      <c r="I3384" s="95" t="s">
        <v>7231</v>
      </c>
      <c r="J3384" t="s">
        <v>42</v>
      </c>
      <c r="K3384" t="s">
        <v>41</v>
      </c>
      <c r="M3384">
        <v>84.42</v>
      </c>
      <c r="N3384" s="4">
        <f t="shared" si="52"/>
        <v>-7.4982231698649607E-2</v>
      </c>
      <c r="O3384" t="s">
        <v>605</v>
      </c>
    </row>
    <row r="3385" spans="1:15" x14ac:dyDescent="0.25">
      <c r="A3385" s="22">
        <v>45772</v>
      </c>
      <c r="B3385" s="1" t="s">
        <v>2090</v>
      </c>
      <c r="C3385" t="s">
        <v>622</v>
      </c>
      <c r="D3385" s="23">
        <v>-16.88</v>
      </c>
      <c r="E3385" t="s">
        <v>35</v>
      </c>
      <c r="F3385" s="2">
        <v>610148001</v>
      </c>
      <c r="G3385" s="2" t="s">
        <v>41</v>
      </c>
      <c r="I3385" s="95" t="s">
        <v>7231</v>
      </c>
      <c r="J3385" t="s">
        <v>42</v>
      </c>
      <c r="K3385" t="s">
        <v>41</v>
      </c>
      <c r="M3385">
        <v>84.42</v>
      </c>
      <c r="N3385" s="4">
        <f t="shared" si="52"/>
        <v>-0.19995261786306562</v>
      </c>
      <c r="O3385" t="s">
        <v>605</v>
      </c>
    </row>
    <row r="3386" spans="1:15" x14ac:dyDescent="0.25">
      <c r="A3386" s="22">
        <v>45772</v>
      </c>
      <c r="B3386" s="1" t="s">
        <v>2083</v>
      </c>
      <c r="C3386" t="s">
        <v>622</v>
      </c>
      <c r="D3386" s="23">
        <v>-6.33</v>
      </c>
      <c r="E3386" t="s">
        <v>35</v>
      </c>
      <c r="F3386" s="2">
        <v>610148001</v>
      </c>
      <c r="G3386" s="2" t="s">
        <v>41</v>
      </c>
      <c r="I3386" s="95" t="s">
        <v>7231</v>
      </c>
      <c r="J3386" t="s">
        <v>42</v>
      </c>
      <c r="K3386" t="s">
        <v>41</v>
      </c>
      <c r="M3386">
        <v>84.42</v>
      </c>
      <c r="N3386" s="4">
        <f t="shared" si="52"/>
        <v>-7.4982231698649607E-2</v>
      </c>
      <c r="O3386" t="s">
        <v>605</v>
      </c>
    </row>
    <row r="3387" spans="1:15" x14ac:dyDescent="0.25">
      <c r="A3387" s="22">
        <v>45772</v>
      </c>
      <c r="B3387" s="1" t="s">
        <v>2108</v>
      </c>
      <c r="C3387" t="s">
        <v>622</v>
      </c>
      <c r="D3387" s="23">
        <v>-21.1</v>
      </c>
      <c r="E3387" t="s">
        <v>35</v>
      </c>
      <c r="F3387" s="2">
        <v>610148001</v>
      </c>
      <c r="G3387" s="2" t="s">
        <v>41</v>
      </c>
      <c r="I3387" s="95" t="s">
        <v>7231</v>
      </c>
      <c r="J3387" t="s">
        <v>42</v>
      </c>
      <c r="K3387" t="s">
        <v>41</v>
      </c>
      <c r="M3387">
        <v>84.42</v>
      </c>
      <c r="N3387" s="4">
        <f t="shared" si="52"/>
        <v>-0.24994077232883205</v>
      </c>
      <c r="O3387" t="s">
        <v>605</v>
      </c>
    </row>
    <row r="3388" spans="1:15" x14ac:dyDescent="0.25">
      <c r="A3388" s="22">
        <v>45772</v>
      </c>
      <c r="B3388" s="1" t="s">
        <v>2088</v>
      </c>
      <c r="C3388" t="s">
        <v>622</v>
      </c>
      <c r="D3388" s="23">
        <v>-25.74</v>
      </c>
      <c r="E3388" t="s">
        <v>35</v>
      </c>
      <c r="F3388" s="2">
        <v>610148001</v>
      </c>
      <c r="G3388" s="2" t="s">
        <v>41</v>
      </c>
      <c r="I3388" s="95" t="s">
        <v>7231</v>
      </c>
      <c r="J3388" t="s">
        <v>42</v>
      </c>
      <c r="K3388" t="s">
        <v>41</v>
      </c>
      <c r="M3388">
        <v>84.42</v>
      </c>
      <c r="N3388" s="4">
        <f t="shared" si="52"/>
        <v>-0.30490405117270786</v>
      </c>
      <c r="O3388" t="s">
        <v>605</v>
      </c>
    </row>
    <row r="3389" spans="1:15" x14ac:dyDescent="0.25">
      <c r="A3389" s="22">
        <v>45772</v>
      </c>
      <c r="B3389" s="1" t="s">
        <v>2060</v>
      </c>
      <c r="C3389" t="s">
        <v>622</v>
      </c>
      <c r="D3389" s="23">
        <v>-8.44</v>
      </c>
      <c r="E3389" t="s">
        <v>35</v>
      </c>
      <c r="F3389" s="2">
        <v>610148001</v>
      </c>
      <c r="G3389" s="2" t="s">
        <v>41</v>
      </c>
      <c r="I3389" s="95" t="s">
        <v>7231</v>
      </c>
      <c r="J3389" t="s">
        <v>42</v>
      </c>
      <c r="K3389" t="s">
        <v>41</v>
      </c>
      <c r="M3389">
        <v>84.42</v>
      </c>
      <c r="N3389" s="4">
        <f t="shared" si="52"/>
        <v>-9.9976308931532809E-2</v>
      </c>
      <c r="O3389" t="s">
        <v>605</v>
      </c>
    </row>
    <row r="3390" spans="1:15" x14ac:dyDescent="0.25">
      <c r="A3390" s="22">
        <v>45772</v>
      </c>
      <c r="B3390" s="1" t="s">
        <v>621</v>
      </c>
      <c r="C3390" t="s">
        <v>622</v>
      </c>
      <c r="D3390" s="23">
        <v>-12.66</v>
      </c>
      <c r="E3390" t="s">
        <v>35</v>
      </c>
      <c r="F3390" s="2">
        <v>610148001</v>
      </c>
      <c r="G3390" s="2" t="s">
        <v>41</v>
      </c>
      <c r="I3390" s="95" t="s">
        <v>7231</v>
      </c>
      <c r="J3390" t="s">
        <v>42</v>
      </c>
      <c r="K3390" t="s">
        <v>41</v>
      </c>
      <c r="M3390">
        <v>84.42</v>
      </c>
      <c r="N3390" s="4">
        <f t="shared" si="52"/>
        <v>-0.14996446339729921</v>
      </c>
      <c r="O3390" t="s">
        <v>605</v>
      </c>
    </row>
    <row r="3391" spans="1:15" x14ac:dyDescent="0.25">
      <c r="A3391" s="22">
        <v>45772</v>
      </c>
      <c r="B3391" s="1" t="s">
        <v>2074</v>
      </c>
      <c r="C3391" t="s">
        <v>622</v>
      </c>
      <c r="D3391" s="23">
        <v>-8.86</v>
      </c>
      <c r="E3391" t="s">
        <v>35</v>
      </c>
      <c r="F3391" s="2">
        <v>610148001</v>
      </c>
      <c r="G3391" s="2" t="s">
        <v>41</v>
      </c>
      <c r="I3391" s="95" t="s">
        <v>7231</v>
      </c>
      <c r="J3391" t="s">
        <v>42</v>
      </c>
      <c r="K3391" t="s">
        <v>41</v>
      </c>
      <c r="M3391">
        <v>84.42</v>
      </c>
      <c r="N3391" s="4">
        <f t="shared" si="52"/>
        <v>-0.10495143330964225</v>
      </c>
      <c r="O3391" t="s">
        <v>605</v>
      </c>
    </row>
    <row r="3392" spans="1:15" x14ac:dyDescent="0.25">
      <c r="A3392" s="22">
        <v>45772</v>
      </c>
      <c r="B3392" s="1" t="s">
        <v>2113</v>
      </c>
      <c r="C3392" t="s">
        <v>622</v>
      </c>
      <c r="D3392" s="23">
        <v>-8.44</v>
      </c>
      <c r="E3392" t="s">
        <v>35</v>
      </c>
      <c r="F3392" s="2">
        <v>610148001</v>
      </c>
      <c r="G3392" s="2" t="s">
        <v>41</v>
      </c>
      <c r="I3392" s="95" t="s">
        <v>7231</v>
      </c>
      <c r="J3392" t="s">
        <v>42</v>
      </c>
      <c r="K3392" t="s">
        <v>41</v>
      </c>
      <c r="M3392">
        <v>84.42</v>
      </c>
      <c r="N3392" s="4">
        <f t="shared" si="52"/>
        <v>-9.9976308931532809E-2</v>
      </c>
      <c r="O3392" t="s">
        <v>605</v>
      </c>
    </row>
    <row r="3393" spans="1:15" x14ac:dyDescent="0.25">
      <c r="A3393" s="22">
        <v>45772</v>
      </c>
      <c r="B3393" s="1" t="s">
        <v>2097</v>
      </c>
      <c r="C3393" t="s">
        <v>622</v>
      </c>
      <c r="D3393" s="23">
        <v>-10.55</v>
      </c>
      <c r="E3393" t="s">
        <v>35</v>
      </c>
      <c r="F3393" s="2">
        <v>610148001</v>
      </c>
      <c r="G3393" s="2" t="s">
        <v>41</v>
      </c>
      <c r="I3393" s="95" t="s">
        <v>7231</v>
      </c>
      <c r="J3393" t="s">
        <v>42</v>
      </c>
      <c r="K3393" t="s">
        <v>41</v>
      </c>
      <c r="M3393">
        <v>84.42</v>
      </c>
      <c r="N3393" s="4">
        <f t="shared" si="52"/>
        <v>-0.12497038616441603</v>
      </c>
      <c r="O3393" t="s">
        <v>605</v>
      </c>
    </row>
    <row r="3394" spans="1:15" x14ac:dyDescent="0.25">
      <c r="A3394" s="22">
        <v>45772</v>
      </c>
      <c r="B3394" s="1" t="s">
        <v>2069</v>
      </c>
      <c r="C3394" t="s">
        <v>622</v>
      </c>
      <c r="D3394" s="23">
        <v>-10.55</v>
      </c>
      <c r="E3394" t="s">
        <v>35</v>
      </c>
      <c r="F3394" s="2">
        <v>610148001</v>
      </c>
      <c r="G3394" s="2" t="s">
        <v>41</v>
      </c>
      <c r="I3394" s="95" t="s">
        <v>7231</v>
      </c>
      <c r="J3394" t="s">
        <v>42</v>
      </c>
      <c r="K3394" t="s">
        <v>41</v>
      </c>
      <c r="M3394">
        <v>84.42</v>
      </c>
      <c r="N3394" s="4">
        <f t="shared" si="52"/>
        <v>-0.12497038616441603</v>
      </c>
      <c r="O3394" t="s">
        <v>605</v>
      </c>
    </row>
    <row r="3395" spans="1:15" x14ac:dyDescent="0.25">
      <c r="A3395" s="22">
        <v>45772</v>
      </c>
      <c r="B3395" s="1" t="s">
        <v>2057</v>
      </c>
      <c r="C3395" t="s">
        <v>622</v>
      </c>
      <c r="D3395" s="23">
        <v>-10.55</v>
      </c>
      <c r="E3395" t="s">
        <v>35</v>
      </c>
      <c r="F3395" s="2">
        <v>610148001</v>
      </c>
      <c r="G3395" s="2" t="s">
        <v>41</v>
      </c>
      <c r="I3395" s="95" t="s">
        <v>7231</v>
      </c>
      <c r="J3395" t="s">
        <v>42</v>
      </c>
      <c r="K3395" t="s">
        <v>41</v>
      </c>
      <c r="M3395">
        <v>84.42</v>
      </c>
      <c r="N3395" s="4">
        <f t="shared" si="52"/>
        <v>-0.12497038616441603</v>
      </c>
      <c r="O3395" t="s">
        <v>605</v>
      </c>
    </row>
    <row r="3396" spans="1:15" x14ac:dyDescent="0.25">
      <c r="A3396" s="22">
        <v>45772</v>
      </c>
      <c r="B3396" s="1" t="s">
        <v>2087</v>
      </c>
      <c r="C3396" t="s">
        <v>622</v>
      </c>
      <c r="D3396" s="23">
        <v>-4.22</v>
      </c>
      <c r="E3396" t="s">
        <v>35</v>
      </c>
      <c r="F3396" s="2">
        <v>610148001</v>
      </c>
      <c r="G3396" s="2" t="s">
        <v>41</v>
      </c>
      <c r="I3396" s="95" t="s">
        <v>7231</v>
      </c>
      <c r="J3396" t="s">
        <v>42</v>
      </c>
      <c r="K3396" t="s">
        <v>41</v>
      </c>
      <c r="M3396">
        <v>84.42</v>
      </c>
      <c r="N3396" s="4">
        <f t="shared" si="52"/>
        <v>-4.9988154465766405E-2</v>
      </c>
      <c r="O3396" t="s">
        <v>605</v>
      </c>
    </row>
    <row r="3397" spans="1:15" x14ac:dyDescent="0.25">
      <c r="A3397" s="22">
        <v>45772</v>
      </c>
      <c r="B3397" s="1" t="s">
        <v>2101</v>
      </c>
      <c r="C3397" t="s">
        <v>622</v>
      </c>
      <c r="D3397" s="23">
        <v>-21.1</v>
      </c>
      <c r="E3397" t="s">
        <v>35</v>
      </c>
      <c r="F3397" s="2">
        <v>610148001</v>
      </c>
      <c r="G3397" s="2" t="s">
        <v>41</v>
      </c>
      <c r="I3397" s="95" t="s">
        <v>7231</v>
      </c>
      <c r="J3397" t="s">
        <v>42</v>
      </c>
      <c r="K3397" t="s">
        <v>41</v>
      </c>
      <c r="M3397">
        <v>84.42</v>
      </c>
      <c r="N3397" s="4">
        <f t="shared" si="52"/>
        <v>-0.24994077232883205</v>
      </c>
      <c r="O3397" t="s">
        <v>605</v>
      </c>
    </row>
    <row r="3398" spans="1:15" x14ac:dyDescent="0.25">
      <c r="A3398" s="22">
        <v>45772</v>
      </c>
      <c r="B3398" s="1" t="s">
        <v>2094</v>
      </c>
      <c r="C3398" t="s">
        <v>622</v>
      </c>
      <c r="D3398" s="23">
        <v>-10.55</v>
      </c>
      <c r="E3398" t="s">
        <v>35</v>
      </c>
      <c r="F3398" s="2">
        <v>610148001</v>
      </c>
      <c r="G3398" s="2" t="s">
        <v>41</v>
      </c>
      <c r="I3398" s="95" t="s">
        <v>7231</v>
      </c>
      <c r="J3398" t="s">
        <v>42</v>
      </c>
      <c r="K3398" t="s">
        <v>41</v>
      </c>
      <c r="M3398">
        <v>84.42</v>
      </c>
      <c r="N3398" s="4">
        <f t="shared" si="52"/>
        <v>-0.12497038616441603</v>
      </c>
      <c r="O3398" t="s">
        <v>605</v>
      </c>
    </row>
    <row r="3399" spans="1:15" x14ac:dyDescent="0.25">
      <c r="A3399" s="22">
        <v>45772</v>
      </c>
      <c r="B3399" s="1" t="s">
        <v>2058</v>
      </c>
      <c r="C3399" t="s">
        <v>622</v>
      </c>
      <c r="D3399" s="23">
        <v>-4.22</v>
      </c>
      <c r="E3399" t="s">
        <v>35</v>
      </c>
      <c r="F3399" s="2">
        <v>610148001</v>
      </c>
      <c r="G3399" s="2" t="s">
        <v>41</v>
      </c>
      <c r="I3399" s="95" t="s">
        <v>7231</v>
      </c>
      <c r="J3399" t="s">
        <v>42</v>
      </c>
      <c r="K3399" t="s">
        <v>41</v>
      </c>
      <c r="M3399">
        <v>84.42</v>
      </c>
      <c r="N3399" s="4">
        <f t="shared" si="52"/>
        <v>-4.9988154465766405E-2</v>
      </c>
      <c r="O3399" t="s">
        <v>605</v>
      </c>
    </row>
    <row r="3400" spans="1:15" x14ac:dyDescent="0.25">
      <c r="A3400" s="22">
        <v>45772</v>
      </c>
      <c r="B3400" s="1" t="s">
        <v>1915</v>
      </c>
      <c r="C3400" t="s">
        <v>622</v>
      </c>
      <c r="D3400" s="23">
        <v>-12.66</v>
      </c>
      <c r="E3400" t="s">
        <v>35</v>
      </c>
      <c r="F3400" s="2">
        <v>610148001</v>
      </c>
      <c r="G3400" s="2" t="s">
        <v>41</v>
      </c>
      <c r="I3400" s="95" t="s">
        <v>7231</v>
      </c>
      <c r="J3400" t="s">
        <v>42</v>
      </c>
      <c r="K3400" t="s">
        <v>41</v>
      </c>
      <c r="M3400">
        <v>84.42</v>
      </c>
      <c r="N3400" s="4">
        <f t="shared" si="52"/>
        <v>-0.14996446339729921</v>
      </c>
      <c r="O3400" t="s">
        <v>605</v>
      </c>
    </row>
    <row r="3401" spans="1:15" x14ac:dyDescent="0.25">
      <c r="A3401" s="22">
        <v>45772</v>
      </c>
      <c r="B3401" s="1" t="s">
        <v>2073</v>
      </c>
      <c r="C3401" t="s">
        <v>622</v>
      </c>
      <c r="D3401" s="23">
        <v>-16.88</v>
      </c>
      <c r="E3401" t="s">
        <v>35</v>
      </c>
      <c r="F3401" s="2">
        <v>610148001</v>
      </c>
      <c r="G3401" s="2" t="s">
        <v>41</v>
      </c>
      <c r="I3401" s="95" t="s">
        <v>7231</v>
      </c>
      <c r="J3401" t="s">
        <v>42</v>
      </c>
      <c r="K3401" t="s">
        <v>41</v>
      </c>
      <c r="M3401">
        <v>84.42</v>
      </c>
      <c r="N3401" s="4">
        <f t="shared" si="52"/>
        <v>-0.19995261786306562</v>
      </c>
      <c r="O3401" t="s">
        <v>605</v>
      </c>
    </row>
    <row r="3402" spans="1:15" x14ac:dyDescent="0.25">
      <c r="A3402" s="22">
        <v>45772</v>
      </c>
      <c r="B3402" s="1" t="s">
        <v>2105</v>
      </c>
      <c r="C3402" t="s">
        <v>622</v>
      </c>
      <c r="D3402" s="23">
        <v>-10.55</v>
      </c>
      <c r="E3402" t="s">
        <v>35</v>
      </c>
      <c r="F3402" s="2">
        <v>610148001</v>
      </c>
      <c r="G3402" s="2" t="s">
        <v>41</v>
      </c>
      <c r="I3402" s="95" t="s">
        <v>7231</v>
      </c>
      <c r="J3402" t="s">
        <v>42</v>
      </c>
      <c r="K3402" t="s">
        <v>41</v>
      </c>
      <c r="M3402">
        <v>84.42</v>
      </c>
      <c r="N3402" s="4">
        <f t="shared" si="52"/>
        <v>-0.12497038616441603</v>
      </c>
      <c r="O3402" t="s">
        <v>605</v>
      </c>
    </row>
    <row r="3403" spans="1:15" x14ac:dyDescent="0.25">
      <c r="A3403" s="22">
        <v>45772</v>
      </c>
      <c r="B3403" s="1" t="s">
        <v>2106</v>
      </c>
      <c r="C3403" t="s">
        <v>622</v>
      </c>
      <c r="D3403" s="23">
        <v>-8.44</v>
      </c>
      <c r="E3403" t="s">
        <v>35</v>
      </c>
      <c r="F3403" s="2">
        <v>610148001</v>
      </c>
      <c r="G3403" s="2" t="s">
        <v>41</v>
      </c>
      <c r="I3403" s="95" t="s">
        <v>7231</v>
      </c>
      <c r="J3403" t="s">
        <v>42</v>
      </c>
      <c r="K3403" t="s">
        <v>41</v>
      </c>
      <c r="M3403">
        <v>84.42</v>
      </c>
      <c r="N3403" s="4">
        <f t="shared" si="52"/>
        <v>-9.9976308931532809E-2</v>
      </c>
      <c r="O3403" t="s">
        <v>605</v>
      </c>
    </row>
    <row r="3404" spans="1:15" x14ac:dyDescent="0.25">
      <c r="A3404" s="22">
        <v>45772</v>
      </c>
      <c r="B3404" s="1" t="s">
        <v>2067</v>
      </c>
      <c r="C3404" t="s">
        <v>622</v>
      </c>
      <c r="D3404" s="23">
        <v>-21.1</v>
      </c>
      <c r="E3404" t="s">
        <v>35</v>
      </c>
      <c r="F3404" s="2">
        <v>610148001</v>
      </c>
      <c r="G3404" s="2" t="s">
        <v>41</v>
      </c>
      <c r="I3404" s="95" t="s">
        <v>7231</v>
      </c>
      <c r="J3404" t="s">
        <v>42</v>
      </c>
      <c r="K3404" t="s">
        <v>41</v>
      </c>
      <c r="M3404">
        <v>84.42</v>
      </c>
      <c r="N3404" s="4">
        <f t="shared" ref="N3404:N3467" si="53">D3404/M3404</f>
        <v>-0.24994077232883205</v>
      </c>
      <c r="O3404" t="s">
        <v>605</v>
      </c>
    </row>
    <row r="3405" spans="1:15" x14ac:dyDescent="0.25">
      <c r="A3405" s="22">
        <v>45772</v>
      </c>
      <c r="B3405" s="1" t="s">
        <v>2079</v>
      </c>
      <c r="C3405" t="s">
        <v>622</v>
      </c>
      <c r="D3405" s="23">
        <v>-10.55</v>
      </c>
      <c r="E3405" t="s">
        <v>35</v>
      </c>
      <c r="F3405" s="2">
        <v>610148001</v>
      </c>
      <c r="G3405" s="2" t="s">
        <v>41</v>
      </c>
      <c r="I3405" s="95" t="s">
        <v>7231</v>
      </c>
      <c r="J3405" t="s">
        <v>42</v>
      </c>
      <c r="K3405" t="s">
        <v>41</v>
      </c>
      <c r="M3405">
        <v>84.42</v>
      </c>
      <c r="N3405" s="4">
        <f t="shared" si="53"/>
        <v>-0.12497038616441603</v>
      </c>
      <c r="O3405" t="s">
        <v>605</v>
      </c>
    </row>
    <row r="3406" spans="1:15" x14ac:dyDescent="0.25">
      <c r="A3406" s="22">
        <v>45772</v>
      </c>
      <c r="B3406" s="1" t="s">
        <v>2100</v>
      </c>
      <c r="C3406" t="s">
        <v>622</v>
      </c>
      <c r="D3406" s="23">
        <v>-4.22</v>
      </c>
      <c r="E3406" t="s">
        <v>35</v>
      </c>
      <c r="F3406" s="2">
        <v>610148001</v>
      </c>
      <c r="G3406" s="2" t="s">
        <v>41</v>
      </c>
      <c r="I3406" s="95" t="s">
        <v>7231</v>
      </c>
      <c r="J3406" t="s">
        <v>42</v>
      </c>
      <c r="K3406" t="s">
        <v>41</v>
      </c>
      <c r="M3406">
        <v>84.42</v>
      </c>
      <c r="N3406" s="4">
        <f t="shared" si="53"/>
        <v>-4.9988154465766405E-2</v>
      </c>
      <c r="O3406" t="s">
        <v>605</v>
      </c>
    </row>
    <row r="3407" spans="1:15" x14ac:dyDescent="0.25">
      <c r="A3407" s="22">
        <v>45772</v>
      </c>
      <c r="B3407" s="1" t="s">
        <v>2059</v>
      </c>
      <c r="C3407" t="s">
        <v>622</v>
      </c>
      <c r="D3407" s="23">
        <v>-42.21</v>
      </c>
      <c r="E3407" t="s">
        <v>35</v>
      </c>
      <c r="F3407" s="2">
        <v>610148001</v>
      </c>
      <c r="G3407" s="2" t="s">
        <v>41</v>
      </c>
      <c r="I3407" s="95" t="s">
        <v>7231</v>
      </c>
      <c r="J3407" t="s">
        <v>42</v>
      </c>
      <c r="K3407" t="s">
        <v>41</v>
      </c>
      <c r="M3407">
        <v>84.42</v>
      </c>
      <c r="N3407" s="4">
        <f t="shared" si="53"/>
        <v>-0.5</v>
      </c>
      <c r="O3407" t="s">
        <v>605</v>
      </c>
    </row>
    <row r="3408" spans="1:15" x14ac:dyDescent="0.25">
      <c r="A3408" s="22">
        <v>45772</v>
      </c>
      <c r="B3408" s="1" t="s">
        <v>1919</v>
      </c>
      <c r="C3408" t="s">
        <v>622</v>
      </c>
      <c r="D3408" s="23">
        <v>-12.66</v>
      </c>
      <c r="E3408" t="s">
        <v>35</v>
      </c>
      <c r="F3408" s="2">
        <v>610148001</v>
      </c>
      <c r="G3408" s="2" t="s">
        <v>41</v>
      </c>
      <c r="I3408" s="95" t="s">
        <v>7231</v>
      </c>
      <c r="J3408" t="s">
        <v>42</v>
      </c>
      <c r="K3408" t="s">
        <v>41</v>
      </c>
      <c r="M3408">
        <v>84.42</v>
      </c>
      <c r="N3408" s="4">
        <f t="shared" si="53"/>
        <v>-0.14996446339729921</v>
      </c>
      <c r="O3408" t="s">
        <v>605</v>
      </c>
    </row>
    <row r="3409" spans="1:15" x14ac:dyDescent="0.25">
      <c r="A3409" s="22">
        <v>45772</v>
      </c>
      <c r="B3409" s="1" t="s">
        <v>1913</v>
      </c>
      <c r="C3409" t="s">
        <v>622</v>
      </c>
      <c r="D3409" s="23">
        <v>-12.66</v>
      </c>
      <c r="E3409" t="s">
        <v>35</v>
      </c>
      <c r="F3409" s="2">
        <v>610148001</v>
      </c>
      <c r="G3409" s="2" t="s">
        <v>41</v>
      </c>
      <c r="I3409" s="95" t="s">
        <v>7231</v>
      </c>
      <c r="J3409" t="s">
        <v>42</v>
      </c>
      <c r="K3409" t="s">
        <v>41</v>
      </c>
      <c r="M3409">
        <v>84.42</v>
      </c>
      <c r="N3409" s="4">
        <f t="shared" si="53"/>
        <v>-0.14996446339729921</v>
      </c>
      <c r="O3409" t="s">
        <v>605</v>
      </c>
    </row>
    <row r="3410" spans="1:15" x14ac:dyDescent="0.25">
      <c r="A3410" s="22">
        <v>45772</v>
      </c>
      <c r="B3410" s="1" t="s">
        <v>1914</v>
      </c>
      <c r="C3410" t="s">
        <v>622</v>
      </c>
      <c r="D3410" s="23">
        <v>-12.66</v>
      </c>
      <c r="E3410" t="s">
        <v>35</v>
      </c>
      <c r="F3410" s="2">
        <v>610148001</v>
      </c>
      <c r="G3410" s="2" t="s">
        <v>41</v>
      </c>
      <c r="I3410" s="95" t="s">
        <v>7231</v>
      </c>
      <c r="J3410" t="s">
        <v>42</v>
      </c>
      <c r="K3410" t="s">
        <v>41</v>
      </c>
      <c r="M3410">
        <v>84.42</v>
      </c>
      <c r="N3410" s="4">
        <f t="shared" si="53"/>
        <v>-0.14996446339729921</v>
      </c>
      <c r="O3410" t="s">
        <v>605</v>
      </c>
    </row>
    <row r="3411" spans="1:15" x14ac:dyDescent="0.25">
      <c r="A3411" s="22">
        <v>45772</v>
      </c>
      <c r="B3411" s="1" t="s">
        <v>1911</v>
      </c>
      <c r="C3411" t="s">
        <v>622</v>
      </c>
      <c r="D3411" s="23">
        <v>-12.66</v>
      </c>
      <c r="E3411" t="s">
        <v>35</v>
      </c>
      <c r="F3411" s="2">
        <v>610148001</v>
      </c>
      <c r="G3411" s="2" t="s">
        <v>41</v>
      </c>
      <c r="I3411" s="95" t="s">
        <v>7231</v>
      </c>
      <c r="J3411" t="s">
        <v>42</v>
      </c>
      <c r="K3411" t="s">
        <v>41</v>
      </c>
      <c r="M3411">
        <v>84.42</v>
      </c>
      <c r="N3411" s="4">
        <f t="shared" si="53"/>
        <v>-0.14996446339729921</v>
      </c>
      <c r="O3411" t="s">
        <v>605</v>
      </c>
    </row>
    <row r="3412" spans="1:15" x14ac:dyDescent="0.25">
      <c r="A3412" s="22">
        <v>45772</v>
      </c>
      <c r="B3412" s="1" t="s">
        <v>1920</v>
      </c>
      <c r="C3412" t="s">
        <v>622</v>
      </c>
      <c r="D3412" s="23">
        <v>-12.66</v>
      </c>
      <c r="E3412" t="s">
        <v>35</v>
      </c>
      <c r="F3412" s="2">
        <v>610148001</v>
      </c>
      <c r="G3412" s="2" t="s">
        <v>41</v>
      </c>
      <c r="I3412" s="95" t="s">
        <v>7231</v>
      </c>
      <c r="J3412" t="s">
        <v>42</v>
      </c>
      <c r="K3412" t="s">
        <v>41</v>
      </c>
      <c r="M3412">
        <v>84.42</v>
      </c>
      <c r="N3412" s="4">
        <f t="shared" si="53"/>
        <v>-0.14996446339729921</v>
      </c>
      <c r="O3412" t="s">
        <v>605</v>
      </c>
    </row>
    <row r="3413" spans="1:15" x14ac:dyDescent="0.25">
      <c r="A3413" s="22">
        <v>45772</v>
      </c>
      <c r="B3413" s="1" t="s">
        <v>2103</v>
      </c>
      <c r="C3413" t="s">
        <v>622</v>
      </c>
      <c r="D3413" s="23">
        <v>-16.88</v>
      </c>
      <c r="E3413" t="s">
        <v>35</v>
      </c>
      <c r="F3413" s="2">
        <v>610148001</v>
      </c>
      <c r="G3413" s="2" t="s">
        <v>41</v>
      </c>
      <c r="I3413" s="95" t="s">
        <v>7231</v>
      </c>
      <c r="J3413" t="s">
        <v>42</v>
      </c>
      <c r="K3413" t="s">
        <v>41</v>
      </c>
      <c r="M3413">
        <v>84.42</v>
      </c>
      <c r="N3413" s="4">
        <f t="shared" si="53"/>
        <v>-0.19995261786306562</v>
      </c>
      <c r="O3413" t="s">
        <v>605</v>
      </c>
    </row>
    <row r="3414" spans="1:15" x14ac:dyDescent="0.25">
      <c r="A3414" s="22">
        <v>45772</v>
      </c>
      <c r="B3414" s="1" t="s">
        <v>2063</v>
      </c>
      <c r="C3414" t="s">
        <v>622</v>
      </c>
      <c r="D3414" s="23">
        <v>-8.86</v>
      </c>
      <c r="E3414" t="s">
        <v>35</v>
      </c>
      <c r="F3414" s="2">
        <v>610148001</v>
      </c>
      <c r="G3414" s="2" t="s">
        <v>41</v>
      </c>
      <c r="I3414" s="95" t="s">
        <v>7231</v>
      </c>
      <c r="J3414" t="s">
        <v>42</v>
      </c>
      <c r="K3414" t="s">
        <v>41</v>
      </c>
      <c r="M3414">
        <v>84.42</v>
      </c>
      <c r="N3414" s="4">
        <f t="shared" si="53"/>
        <v>-0.10495143330964225</v>
      </c>
      <c r="O3414" t="s">
        <v>605</v>
      </c>
    </row>
    <row r="3415" spans="1:15" x14ac:dyDescent="0.25">
      <c r="A3415" s="22">
        <v>45772</v>
      </c>
      <c r="B3415" s="1" t="s">
        <v>2104</v>
      </c>
      <c r="C3415" t="s">
        <v>622</v>
      </c>
      <c r="D3415" s="23">
        <v>-10.55</v>
      </c>
      <c r="E3415" t="s">
        <v>35</v>
      </c>
      <c r="F3415" s="2">
        <v>610148001</v>
      </c>
      <c r="G3415" s="2" t="s">
        <v>41</v>
      </c>
      <c r="I3415" s="95" t="s">
        <v>7231</v>
      </c>
      <c r="J3415" t="s">
        <v>42</v>
      </c>
      <c r="K3415" t="s">
        <v>41</v>
      </c>
      <c r="M3415">
        <v>84.42</v>
      </c>
      <c r="N3415" s="4">
        <f t="shared" si="53"/>
        <v>-0.12497038616441603</v>
      </c>
      <c r="O3415" t="s">
        <v>605</v>
      </c>
    </row>
    <row r="3416" spans="1:15" x14ac:dyDescent="0.25">
      <c r="A3416" s="22">
        <v>45772</v>
      </c>
      <c r="B3416" s="1" t="s">
        <v>1918</v>
      </c>
      <c r="C3416" t="s">
        <v>622</v>
      </c>
      <c r="D3416" s="23">
        <v>-12.66</v>
      </c>
      <c r="E3416" t="s">
        <v>35</v>
      </c>
      <c r="F3416" s="2">
        <v>610148001</v>
      </c>
      <c r="G3416" s="2" t="s">
        <v>41</v>
      </c>
      <c r="I3416" s="95" t="s">
        <v>7231</v>
      </c>
      <c r="J3416" t="s">
        <v>42</v>
      </c>
      <c r="K3416" t="s">
        <v>41</v>
      </c>
      <c r="M3416">
        <v>84.42</v>
      </c>
      <c r="N3416" s="4">
        <f t="shared" si="53"/>
        <v>-0.14996446339729921</v>
      </c>
      <c r="O3416" t="s">
        <v>605</v>
      </c>
    </row>
    <row r="3417" spans="1:15" x14ac:dyDescent="0.25">
      <c r="A3417" s="22">
        <v>45772</v>
      </c>
      <c r="B3417" s="1" t="s">
        <v>2091</v>
      </c>
      <c r="C3417" t="s">
        <v>622</v>
      </c>
      <c r="D3417" s="23">
        <v>-10.55</v>
      </c>
      <c r="E3417" t="s">
        <v>35</v>
      </c>
      <c r="F3417" s="2">
        <v>610148001</v>
      </c>
      <c r="G3417" s="2" t="s">
        <v>41</v>
      </c>
      <c r="I3417" s="95" t="s">
        <v>7231</v>
      </c>
      <c r="J3417" t="s">
        <v>42</v>
      </c>
      <c r="K3417" t="s">
        <v>41</v>
      </c>
      <c r="M3417">
        <v>84.42</v>
      </c>
      <c r="N3417" s="4">
        <f t="shared" si="53"/>
        <v>-0.12497038616441603</v>
      </c>
      <c r="O3417" t="s">
        <v>605</v>
      </c>
    </row>
    <row r="3418" spans="1:15" x14ac:dyDescent="0.25">
      <c r="A3418" s="22">
        <v>45772</v>
      </c>
      <c r="B3418" s="1" t="s">
        <v>2082</v>
      </c>
      <c r="C3418" t="s">
        <v>622</v>
      </c>
      <c r="D3418" s="23">
        <v>-8.44</v>
      </c>
      <c r="E3418" t="s">
        <v>35</v>
      </c>
      <c r="F3418" s="2">
        <v>610148001</v>
      </c>
      <c r="G3418" s="2" t="s">
        <v>41</v>
      </c>
      <c r="I3418" s="95" t="s">
        <v>7231</v>
      </c>
      <c r="J3418" t="s">
        <v>42</v>
      </c>
      <c r="K3418" t="s">
        <v>41</v>
      </c>
      <c r="M3418">
        <v>84.42</v>
      </c>
      <c r="N3418" s="4">
        <f t="shared" si="53"/>
        <v>-9.9976308931532809E-2</v>
      </c>
      <c r="O3418" t="s">
        <v>605</v>
      </c>
    </row>
    <row r="3419" spans="1:15" x14ac:dyDescent="0.25">
      <c r="A3419" s="22">
        <v>45772</v>
      </c>
      <c r="B3419" s="1" t="s">
        <v>2092</v>
      </c>
      <c r="C3419" t="s">
        <v>622</v>
      </c>
      <c r="D3419" s="23">
        <v>-11.39</v>
      </c>
      <c r="E3419" t="s">
        <v>35</v>
      </c>
      <c r="F3419" s="2">
        <v>610148001</v>
      </c>
      <c r="G3419" s="2" t="s">
        <v>41</v>
      </c>
      <c r="I3419" s="95" t="s">
        <v>7231</v>
      </c>
      <c r="J3419" t="s">
        <v>42</v>
      </c>
      <c r="K3419" t="s">
        <v>41</v>
      </c>
      <c r="M3419">
        <v>84.42</v>
      </c>
      <c r="N3419" s="4">
        <f t="shared" si="53"/>
        <v>-0.13492063492063491</v>
      </c>
      <c r="O3419" t="s">
        <v>605</v>
      </c>
    </row>
    <row r="3420" spans="1:15" x14ac:dyDescent="0.25">
      <c r="A3420" s="22">
        <v>45772</v>
      </c>
      <c r="B3420" s="1" t="s">
        <v>2109</v>
      </c>
      <c r="C3420" t="s">
        <v>622</v>
      </c>
      <c r="D3420" s="23">
        <v>-14.77</v>
      </c>
      <c r="E3420" t="s">
        <v>35</v>
      </c>
      <c r="F3420" s="2">
        <v>610148001</v>
      </c>
      <c r="G3420" s="2" t="s">
        <v>41</v>
      </c>
      <c r="I3420" s="95" t="s">
        <v>7231</v>
      </c>
      <c r="J3420" t="s">
        <v>42</v>
      </c>
      <c r="K3420" t="s">
        <v>41</v>
      </c>
      <c r="M3420">
        <v>84.42</v>
      </c>
      <c r="N3420" s="4">
        <f t="shared" si="53"/>
        <v>-0.1749585406301824</v>
      </c>
      <c r="O3420" t="s">
        <v>605</v>
      </c>
    </row>
    <row r="3421" spans="1:15" x14ac:dyDescent="0.25">
      <c r="A3421" s="22">
        <v>45772</v>
      </c>
      <c r="B3421" s="1" t="s">
        <v>2095</v>
      </c>
      <c r="C3421" t="s">
        <v>622</v>
      </c>
      <c r="D3421" s="23">
        <v>-10.55</v>
      </c>
      <c r="E3421" t="s">
        <v>35</v>
      </c>
      <c r="F3421" s="2">
        <v>610148001</v>
      </c>
      <c r="G3421" s="2" t="s">
        <v>41</v>
      </c>
      <c r="I3421" s="95" t="s">
        <v>7231</v>
      </c>
      <c r="J3421" t="s">
        <v>42</v>
      </c>
      <c r="K3421" t="s">
        <v>41</v>
      </c>
      <c r="M3421">
        <v>84.42</v>
      </c>
      <c r="N3421" s="4">
        <f t="shared" si="53"/>
        <v>-0.12497038616441603</v>
      </c>
      <c r="O3421" t="s">
        <v>605</v>
      </c>
    </row>
    <row r="3422" spans="1:15" x14ac:dyDescent="0.25">
      <c r="A3422" s="22">
        <v>45772</v>
      </c>
      <c r="B3422" s="1" t="s">
        <v>2086</v>
      </c>
      <c r="C3422" t="s">
        <v>622</v>
      </c>
      <c r="D3422" s="23">
        <v>-4.22</v>
      </c>
      <c r="E3422" t="s">
        <v>35</v>
      </c>
      <c r="F3422" s="2">
        <v>610148001</v>
      </c>
      <c r="G3422" s="2" t="s">
        <v>41</v>
      </c>
      <c r="I3422" s="95" t="s">
        <v>7231</v>
      </c>
      <c r="J3422" t="s">
        <v>42</v>
      </c>
      <c r="K3422" t="s">
        <v>41</v>
      </c>
      <c r="M3422">
        <v>84.42</v>
      </c>
      <c r="N3422" s="4">
        <f t="shared" si="53"/>
        <v>-4.9988154465766405E-2</v>
      </c>
      <c r="O3422" t="s">
        <v>605</v>
      </c>
    </row>
    <row r="3423" spans="1:15" x14ac:dyDescent="0.25">
      <c r="A3423" s="22">
        <v>45772</v>
      </c>
      <c r="B3423" s="1" t="s">
        <v>1272</v>
      </c>
      <c r="C3423" t="s">
        <v>622</v>
      </c>
      <c r="D3423" s="23">
        <v>-12.66</v>
      </c>
      <c r="E3423" t="s">
        <v>35</v>
      </c>
      <c r="F3423" s="2">
        <v>610148001</v>
      </c>
      <c r="G3423" s="2" t="s">
        <v>41</v>
      </c>
      <c r="I3423" s="95" t="s">
        <v>7231</v>
      </c>
      <c r="J3423" t="s">
        <v>42</v>
      </c>
      <c r="K3423" t="s">
        <v>41</v>
      </c>
      <c r="M3423">
        <v>84.42</v>
      </c>
      <c r="N3423" s="4">
        <f t="shared" si="53"/>
        <v>-0.14996446339729921</v>
      </c>
      <c r="O3423" t="s">
        <v>605</v>
      </c>
    </row>
    <row r="3424" spans="1:15" x14ac:dyDescent="0.25">
      <c r="A3424" s="22">
        <v>45772</v>
      </c>
      <c r="B3424" s="1" t="s">
        <v>625</v>
      </c>
      <c r="C3424" t="s">
        <v>622</v>
      </c>
      <c r="D3424" s="23">
        <v>-12.66</v>
      </c>
      <c r="E3424" t="s">
        <v>35</v>
      </c>
      <c r="F3424" s="2">
        <v>610148001</v>
      </c>
      <c r="G3424" s="2" t="s">
        <v>41</v>
      </c>
      <c r="I3424" s="95" t="s">
        <v>7231</v>
      </c>
      <c r="J3424" t="s">
        <v>42</v>
      </c>
      <c r="K3424" t="s">
        <v>41</v>
      </c>
      <c r="M3424">
        <v>84.42</v>
      </c>
      <c r="N3424" s="4">
        <f t="shared" si="53"/>
        <v>-0.14996446339729921</v>
      </c>
      <c r="O3424" t="s">
        <v>605</v>
      </c>
    </row>
    <row r="3425" spans="1:15" x14ac:dyDescent="0.25">
      <c r="A3425" s="22">
        <v>45772</v>
      </c>
      <c r="B3425" s="1" t="s">
        <v>1271</v>
      </c>
      <c r="C3425" t="s">
        <v>622</v>
      </c>
      <c r="D3425" s="23">
        <v>-12.66</v>
      </c>
      <c r="E3425" t="s">
        <v>35</v>
      </c>
      <c r="F3425" s="2">
        <v>610148001</v>
      </c>
      <c r="G3425" s="2" t="s">
        <v>41</v>
      </c>
      <c r="I3425" s="95" t="s">
        <v>7231</v>
      </c>
      <c r="J3425" t="s">
        <v>42</v>
      </c>
      <c r="K3425" t="s">
        <v>41</v>
      </c>
      <c r="M3425">
        <v>84.42</v>
      </c>
      <c r="N3425" s="4">
        <f t="shared" si="53"/>
        <v>-0.14996446339729921</v>
      </c>
      <c r="O3425" t="s">
        <v>605</v>
      </c>
    </row>
    <row r="3426" spans="1:15" x14ac:dyDescent="0.25">
      <c r="A3426" s="22">
        <v>45772</v>
      </c>
      <c r="B3426" s="1" t="s">
        <v>2102</v>
      </c>
      <c r="C3426" t="s">
        <v>622</v>
      </c>
      <c r="D3426" s="23">
        <v>-16.88</v>
      </c>
      <c r="E3426" t="s">
        <v>35</v>
      </c>
      <c r="F3426" s="2">
        <v>610148001</v>
      </c>
      <c r="G3426" s="2" t="s">
        <v>41</v>
      </c>
      <c r="I3426" s="95" t="s">
        <v>7231</v>
      </c>
      <c r="J3426" t="s">
        <v>42</v>
      </c>
      <c r="K3426" t="s">
        <v>41</v>
      </c>
      <c r="M3426">
        <v>84.42</v>
      </c>
      <c r="N3426" s="4">
        <f t="shared" si="53"/>
        <v>-0.19995261786306562</v>
      </c>
      <c r="O3426" t="s">
        <v>605</v>
      </c>
    </row>
    <row r="3427" spans="1:15" x14ac:dyDescent="0.25">
      <c r="A3427" s="22">
        <v>45772</v>
      </c>
      <c r="B3427" s="1" t="s">
        <v>2065</v>
      </c>
      <c r="C3427" t="s">
        <v>622</v>
      </c>
      <c r="D3427" s="23">
        <v>-8.44</v>
      </c>
      <c r="E3427" t="s">
        <v>35</v>
      </c>
      <c r="F3427" s="2">
        <v>610148001</v>
      </c>
      <c r="G3427" s="2" t="s">
        <v>41</v>
      </c>
      <c r="I3427" s="95" t="s">
        <v>7231</v>
      </c>
      <c r="J3427" t="s">
        <v>42</v>
      </c>
      <c r="K3427" t="s">
        <v>41</v>
      </c>
      <c r="M3427">
        <v>84.42</v>
      </c>
      <c r="N3427" s="4">
        <f t="shared" si="53"/>
        <v>-9.9976308931532809E-2</v>
      </c>
      <c r="O3427" t="s">
        <v>605</v>
      </c>
    </row>
    <row r="3428" spans="1:15" x14ac:dyDescent="0.25">
      <c r="A3428" s="22">
        <v>45772</v>
      </c>
      <c r="B3428" s="1" t="s">
        <v>2066</v>
      </c>
      <c r="C3428" t="s">
        <v>622</v>
      </c>
      <c r="D3428" s="23">
        <v>-8.44</v>
      </c>
      <c r="E3428" t="s">
        <v>35</v>
      </c>
      <c r="F3428" s="2">
        <v>610148001</v>
      </c>
      <c r="G3428" s="2" t="s">
        <v>41</v>
      </c>
      <c r="I3428" s="95" t="s">
        <v>7231</v>
      </c>
      <c r="J3428" t="s">
        <v>42</v>
      </c>
      <c r="K3428" t="s">
        <v>41</v>
      </c>
      <c r="M3428">
        <v>84.42</v>
      </c>
      <c r="N3428" s="4">
        <f t="shared" si="53"/>
        <v>-9.9976308931532809E-2</v>
      </c>
      <c r="O3428" t="s">
        <v>605</v>
      </c>
    </row>
    <row r="3429" spans="1:15" x14ac:dyDescent="0.25">
      <c r="A3429" s="22">
        <v>45772</v>
      </c>
      <c r="B3429" s="1" t="s">
        <v>2081</v>
      </c>
      <c r="C3429" t="s">
        <v>622</v>
      </c>
      <c r="D3429" s="23">
        <v>-8.44</v>
      </c>
      <c r="E3429" t="s">
        <v>35</v>
      </c>
      <c r="F3429" s="2">
        <v>610148001</v>
      </c>
      <c r="G3429" s="2" t="s">
        <v>41</v>
      </c>
      <c r="I3429" s="95" t="s">
        <v>7231</v>
      </c>
      <c r="J3429" t="s">
        <v>42</v>
      </c>
      <c r="K3429" t="s">
        <v>41</v>
      </c>
      <c r="M3429">
        <v>84.42</v>
      </c>
      <c r="N3429" s="4">
        <f t="shared" si="53"/>
        <v>-9.9976308931532809E-2</v>
      </c>
      <c r="O3429" t="s">
        <v>605</v>
      </c>
    </row>
    <row r="3430" spans="1:15" x14ac:dyDescent="0.25">
      <c r="A3430" s="22">
        <v>45772</v>
      </c>
      <c r="B3430" s="1" t="s">
        <v>2084</v>
      </c>
      <c r="C3430" t="s">
        <v>622</v>
      </c>
      <c r="D3430" s="23">
        <v>-16.88</v>
      </c>
      <c r="E3430" t="s">
        <v>35</v>
      </c>
      <c r="F3430" s="2">
        <v>610148001</v>
      </c>
      <c r="G3430" s="2" t="s">
        <v>41</v>
      </c>
      <c r="I3430" s="95" t="s">
        <v>7231</v>
      </c>
      <c r="J3430" t="s">
        <v>42</v>
      </c>
      <c r="K3430" t="s">
        <v>41</v>
      </c>
      <c r="M3430">
        <v>84.42</v>
      </c>
      <c r="N3430" s="4">
        <f t="shared" si="53"/>
        <v>-0.19995261786306562</v>
      </c>
      <c r="O3430" t="s">
        <v>605</v>
      </c>
    </row>
    <row r="3431" spans="1:15" x14ac:dyDescent="0.25">
      <c r="A3431" s="22">
        <v>45772</v>
      </c>
      <c r="B3431" s="1" t="s">
        <v>2070</v>
      </c>
      <c r="C3431" t="s">
        <v>622</v>
      </c>
      <c r="D3431" s="23">
        <v>-10.55</v>
      </c>
      <c r="E3431" t="s">
        <v>35</v>
      </c>
      <c r="F3431" s="2">
        <v>610148001</v>
      </c>
      <c r="G3431" s="2" t="s">
        <v>41</v>
      </c>
      <c r="I3431" s="95" t="s">
        <v>7231</v>
      </c>
      <c r="J3431" t="s">
        <v>42</v>
      </c>
      <c r="K3431" t="s">
        <v>41</v>
      </c>
      <c r="M3431">
        <v>84.42</v>
      </c>
      <c r="N3431" s="4">
        <f t="shared" si="53"/>
        <v>-0.12497038616441603</v>
      </c>
      <c r="O3431" t="s">
        <v>605</v>
      </c>
    </row>
    <row r="3432" spans="1:15" x14ac:dyDescent="0.25">
      <c r="A3432" s="22">
        <v>45772</v>
      </c>
      <c r="B3432" s="1" t="s">
        <v>2099</v>
      </c>
      <c r="C3432" t="s">
        <v>622</v>
      </c>
      <c r="D3432" s="23">
        <v>-10.55</v>
      </c>
      <c r="E3432" t="s">
        <v>35</v>
      </c>
      <c r="F3432" s="2">
        <v>610148001</v>
      </c>
      <c r="G3432" s="2" t="s">
        <v>41</v>
      </c>
      <c r="I3432" s="95" t="s">
        <v>7231</v>
      </c>
      <c r="J3432" t="s">
        <v>42</v>
      </c>
      <c r="K3432" t="s">
        <v>41</v>
      </c>
      <c r="M3432">
        <v>84.42</v>
      </c>
      <c r="N3432" s="4">
        <f t="shared" si="53"/>
        <v>-0.12497038616441603</v>
      </c>
      <c r="O3432" t="s">
        <v>605</v>
      </c>
    </row>
    <row r="3433" spans="1:15" x14ac:dyDescent="0.25">
      <c r="A3433" s="22">
        <v>45772</v>
      </c>
      <c r="B3433" s="1" t="s">
        <v>2111</v>
      </c>
      <c r="C3433" t="s">
        <v>622</v>
      </c>
      <c r="D3433" s="23">
        <v>-29.54</v>
      </c>
      <c r="E3433" t="s">
        <v>35</v>
      </c>
      <c r="F3433" s="2">
        <v>610148001</v>
      </c>
      <c r="G3433" s="2" t="s">
        <v>41</v>
      </c>
      <c r="I3433" s="95" t="s">
        <v>7231</v>
      </c>
      <c r="J3433" t="s">
        <v>42</v>
      </c>
      <c r="K3433" t="s">
        <v>41</v>
      </c>
      <c r="M3433">
        <v>84.42</v>
      </c>
      <c r="N3433" s="4">
        <f t="shared" si="53"/>
        <v>-0.3499170812603648</v>
      </c>
      <c r="O3433" t="s">
        <v>605</v>
      </c>
    </row>
    <row r="3434" spans="1:15" x14ac:dyDescent="0.25">
      <c r="A3434" s="22">
        <v>45772</v>
      </c>
      <c r="B3434" s="1" t="s">
        <v>623</v>
      </c>
      <c r="C3434" t="s">
        <v>622</v>
      </c>
      <c r="D3434" s="23">
        <v>-16.88</v>
      </c>
      <c r="E3434" t="s">
        <v>35</v>
      </c>
      <c r="F3434" s="2">
        <v>610148001</v>
      </c>
      <c r="G3434" s="2" t="s">
        <v>41</v>
      </c>
      <c r="I3434" s="95" t="s">
        <v>7231</v>
      </c>
      <c r="J3434" t="s">
        <v>42</v>
      </c>
      <c r="K3434" t="s">
        <v>41</v>
      </c>
      <c r="M3434">
        <v>84.42</v>
      </c>
      <c r="N3434" s="4">
        <f t="shared" si="53"/>
        <v>-0.19995261786306562</v>
      </c>
      <c r="O3434" t="s">
        <v>605</v>
      </c>
    </row>
    <row r="3435" spans="1:15" x14ac:dyDescent="0.25">
      <c r="A3435" s="22">
        <v>45772</v>
      </c>
      <c r="B3435" s="1" t="s">
        <v>624</v>
      </c>
      <c r="C3435" t="s">
        <v>622</v>
      </c>
      <c r="D3435" s="23">
        <v>-12.66</v>
      </c>
      <c r="E3435" t="s">
        <v>35</v>
      </c>
      <c r="F3435" s="2">
        <v>610148001</v>
      </c>
      <c r="G3435" s="2" t="s">
        <v>41</v>
      </c>
      <c r="I3435" s="95" t="s">
        <v>7231</v>
      </c>
      <c r="J3435" t="s">
        <v>42</v>
      </c>
      <c r="K3435" t="s">
        <v>41</v>
      </c>
      <c r="M3435">
        <v>84.42</v>
      </c>
      <c r="N3435" s="4">
        <f t="shared" si="53"/>
        <v>-0.14996446339729921</v>
      </c>
      <c r="O3435" t="s">
        <v>605</v>
      </c>
    </row>
    <row r="3436" spans="1:15" x14ac:dyDescent="0.25">
      <c r="A3436" s="22">
        <v>45772</v>
      </c>
      <c r="B3436" s="1" t="s">
        <v>1912</v>
      </c>
      <c r="C3436" t="s">
        <v>622</v>
      </c>
      <c r="D3436" s="23">
        <v>-12.66</v>
      </c>
      <c r="E3436" t="s">
        <v>35</v>
      </c>
      <c r="F3436" s="2">
        <v>610148001</v>
      </c>
      <c r="G3436" s="2" t="s">
        <v>41</v>
      </c>
      <c r="I3436" s="95" t="s">
        <v>7231</v>
      </c>
      <c r="J3436" t="s">
        <v>42</v>
      </c>
      <c r="K3436" t="s">
        <v>41</v>
      </c>
      <c r="M3436">
        <v>84.42</v>
      </c>
      <c r="N3436" s="4">
        <f t="shared" si="53"/>
        <v>-0.14996446339729921</v>
      </c>
      <c r="O3436" t="s">
        <v>605</v>
      </c>
    </row>
    <row r="3437" spans="1:15" x14ac:dyDescent="0.25">
      <c r="A3437" s="22">
        <v>45772</v>
      </c>
      <c r="B3437" s="1" t="s">
        <v>2080</v>
      </c>
      <c r="C3437" t="s">
        <v>622</v>
      </c>
      <c r="D3437" s="23">
        <v>-8.44</v>
      </c>
      <c r="E3437" t="s">
        <v>35</v>
      </c>
      <c r="F3437" s="2">
        <v>610148001</v>
      </c>
      <c r="G3437" s="2" t="s">
        <v>41</v>
      </c>
      <c r="I3437" s="95" t="s">
        <v>7231</v>
      </c>
      <c r="J3437" t="s">
        <v>42</v>
      </c>
      <c r="K3437" t="s">
        <v>41</v>
      </c>
      <c r="M3437">
        <v>84.42</v>
      </c>
      <c r="N3437" s="4">
        <f t="shared" si="53"/>
        <v>-9.9976308931532809E-2</v>
      </c>
      <c r="O3437" t="s">
        <v>605</v>
      </c>
    </row>
    <row r="3438" spans="1:15" x14ac:dyDescent="0.25">
      <c r="A3438" s="22">
        <v>45772</v>
      </c>
      <c r="B3438" s="1" t="s">
        <v>2064</v>
      </c>
      <c r="C3438" t="s">
        <v>622</v>
      </c>
      <c r="D3438" s="23">
        <v>-23.21</v>
      </c>
      <c r="E3438" t="s">
        <v>35</v>
      </c>
      <c r="F3438" s="2">
        <v>610148001</v>
      </c>
      <c r="G3438" s="2" t="s">
        <v>41</v>
      </c>
      <c r="I3438" s="95" t="s">
        <v>7231</v>
      </c>
      <c r="J3438" t="s">
        <v>42</v>
      </c>
      <c r="K3438" t="s">
        <v>41</v>
      </c>
      <c r="M3438">
        <v>84.42</v>
      </c>
      <c r="N3438" s="4">
        <f t="shared" si="53"/>
        <v>-0.27493484956171521</v>
      </c>
      <c r="O3438" t="s">
        <v>605</v>
      </c>
    </row>
    <row r="3439" spans="1:15" x14ac:dyDescent="0.25">
      <c r="A3439" s="22">
        <v>45772</v>
      </c>
      <c r="B3439" s="1" t="s">
        <v>2089</v>
      </c>
      <c r="C3439" t="s">
        <v>622</v>
      </c>
      <c r="D3439" s="23">
        <v>-9.6999999999999993</v>
      </c>
      <c r="E3439" t="s">
        <v>35</v>
      </c>
      <c r="F3439" s="2">
        <v>610148001</v>
      </c>
      <c r="G3439" s="2" t="s">
        <v>41</v>
      </c>
      <c r="I3439" s="95" t="s">
        <v>7231</v>
      </c>
      <c r="J3439" t="s">
        <v>42</v>
      </c>
      <c r="K3439" t="s">
        <v>41</v>
      </c>
      <c r="M3439">
        <v>84.42</v>
      </c>
      <c r="N3439" s="4">
        <f t="shared" si="53"/>
        <v>-0.11490168206586115</v>
      </c>
      <c r="O3439" t="s">
        <v>605</v>
      </c>
    </row>
    <row r="3440" spans="1:15" x14ac:dyDescent="0.25">
      <c r="A3440" s="22">
        <v>45772</v>
      </c>
      <c r="B3440" s="1" t="s">
        <v>2075</v>
      </c>
      <c r="C3440" t="s">
        <v>622</v>
      </c>
      <c r="D3440" s="23">
        <v>-14.77</v>
      </c>
      <c r="E3440" t="s">
        <v>35</v>
      </c>
      <c r="F3440" s="2">
        <v>610148001</v>
      </c>
      <c r="G3440" s="2" t="s">
        <v>41</v>
      </c>
      <c r="I3440" s="95" t="s">
        <v>7231</v>
      </c>
      <c r="J3440" t="s">
        <v>42</v>
      </c>
      <c r="K3440" t="s">
        <v>41</v>
      </c>
      <c r="M3440">
        <v>84.42</v>
      </c>
      <c r="N3440" s="4">
        <f t="shared" si="53"/>
        <v>-0.1749585406301824</v>
      </c>
      <c r="O3440" t="s">
        <v>605</v>
      </c>
    </row>
    <row r="3441" spans="1:16" x14ac:dyDescent="0.25">
      <c r="A3441" s="22">
        <v>45772</v>
      </c>
      <c r="B3441" s="1" t="s">
        <v>2085</v>
      </c>
      <c r="C3441" t="s">
        <v>622</v>
      </c>
      <c r="D3441" s="23">
        <v>-10.55</v>
      </c>
      <c r="E3441" t="s">
        <v>35</v>
      </c>
      <c r="F3441" s="2">
        <v>610148001</v>
      </c>
      <c r="G3441" s="2" t="s">
        <v>41</v>
      </c>
      <c r="I3441" s="95" t="s">
        <v>7231</v>
      </c>
      <c r="J3441" t="s">
        <v>42</v>
      </c>
      <c r="K3441" t="s">
        <v>41</v>
      </c>
      <c r="M3441">
        <v>84.42</v>
      </c>
      <c r="N3441" s="4">
        <f t="shared" si="53"/>
        <v>-0.12497038616441603</v>
      </c>
      <c r="O3441" t="s">
        <v>605</v>
      </c>
    </row>
    <row r="3442" spans="1:16" x14ac:dyDescent="0.25">
      <c r="A3442" s="22">
        <v>45772</v>
      </c>
      <c r="B3442" s="1" t="s">
        <v>2077</v>
      </c>
      <c r="C3442" t="s">
        <v>622</v>
      </c>
      <c r="D3442" s="23">
        <v>-8.86</v>
      </c>
      <c r="E3442" t="s">
        <v>35</v>
      </c>
      <c r="F3442" s="2">
        <v>610148001</v>
      </c>
      <c r="G3442" s="2" t="s">
        <v>41</v>
      </c>
      <c r="I3442" s="95" t="s">
        <v>7231</v>
      </c>
      <c r="J3442" t="s">
        <v>42</v>
      </c>
      <c r="K3442" t="s">
        <v>41</v>
      </c>
      <c r="M3442">
        <v>84.42</v>
      </c>
      <c r="N3442" s="4">
        <f t="shared" si="53"/>
        <v>-0.10495143330964225</v>
      </c>
      <c r="O3442" t="s">
        <v>605</v>
      </c>
    </row>
    <row r="3443" spans="1:16" x14ac:dyDescent="0.25">
      <c r="A3443" s="22">
        <v>45772</v>
      </c>
      <c r="B3443" s="1" t="s">
        <v>1917</v>
      </c>
      <c r="C3443" t="s">
        <v>622</v>
      </c>
      <c r="D3443" s="23">
        <v>-12.66</v>
      </c>
      <c r="E3443" t="s">
        <v>35</v>
      </c>
      <c r="F3443" s="2">
        <v>610148001</v>
      </c>
      <c r="G3443" s="2" t="s">
        <v>41</v>
      </c>
      <c r="I3443" s="95" t="s">
        <v>7231</v>
      </c>
      <c r="J3443" t="s">
        <v>42</v>
      </c>
      <c r="K3443" t="s">
        <v>41</v>
      </c>
      <c r="M3443">
        <v>84.42</v>
      </c>
      <c r="N3443" s="4">
        <f t="shared" si="53"/>
        <v>-0.14996446339729921</v>
      </c>
      <c r="O3443" t="s">
        <v>605</v>
      </c>
    </row>
    <row r="3444" spans="1:16" x14ac:dyDescent="0.25">
      <c r="A3444" s="22">
        <v>45772</v>
      </c>
      <c r="B3444" s="1" t="s">
        <v>1916</v>
      </c>
      <c r="C3444" t="s">
        <v>622</v>
      </c>
      <c r="D3444" s="23">
        <v>-12.66</v>
      </c>
      <c r="E3444" t="s">
        <v>35</v>
      </c>
      <c r="F3444" s="2">
        <v>610148001</v>
      </c>
      <c r="G3444" s="2" t="s">
        <v>41</v>
      </c>
      <c r="I3444" s="95" t="s">
        <v>7231</v>
      </c>
      <c r="J3444" t="s">
        <v>42</v>
      </c>
      <c r="K3444" t="s">
        <v>41</v>
      </c>
      <c r="M3444">
        <v>84.42</v>
      </c>
      <c r="N3444" s="4">
        <f t="shared" si="53"/>
        <v>-0.14996446339729921</v>
      </c>
      <c r="O3444" t="s">
        <v>605</v>
      </c>
    </row>
    <row r="3445" spans="1:16" x14ac:dyDescent="0.25">
      <c r="A3445" s="22">
        <v>45772</v>
      </c>
      <c r="B3445" s="1" t="s">
        <v>2076</v>
      </c>
      <c r="C3445" t="s">
        <v>622</v>
      </c>
      <c r="D3445" s="23">
        <v>-31.65</v>
      </c>
      <c r="E3445" t="s">
        <v>35</v>
      </c>
      <c r="F3445" s="2">
        <v>610148001</v>
      </c>
      <c r="G3445" s="2" t="s">
        <v>41</v>
      </c>
      <c r="I3445" s="95" t="s">
        <v>7231</v>
      </c>
      <c r="J3445" t="s">
        <v>42</v>
      </c>
      <c r="K3445" t="s">
        <v>41</v>
      </c>
      <c r="M3445">
        <v>84.42</v>
      </c>
      <c r="N3445" s="4">
        <f t="shared" si="53"/>
        <v>-0.37491115849324802</v>
      </c>
      <c r="O3445" t="s">
        <v>605</v>
      </c>
    </row>
    <row r="3446" spans="1:16" x14ac:dyDescent="0.25">
      <c r="A3446" s="22">
        <v>45772</v>
      </c>
      <c r="B3446" s="1" t="s">
        <v>2061</v>
      </c>
      <c r="C3446" t="s">
        <v>622</v>
      </c>
      <c r="D3446" s="23">
        <v>-16.88</v>
      </c>
      <c r="E3446" t="s">
        <v>35</v>
      </c>
      <c r="F3446" s="2">
        <v>610148001</v>
      </c>
      <c r="G3446" s="2" t="s">
        <v>41</v>
      </c>
      <c r="I3446" s="95" t="s">
        <v>7231</v>
      </c>
      <c r="J3446" t="s">
        <v>42</v>
      </c>
      <c r="K3446" t="s">
        <v>41</v>
      </c>
      <c r="M3446">
        <v>84.42</v>
      </c>
      <c r="N3446" s="4">
        <f t="shared" si="53"/>
        <v>-0.19995261786306562</v>
      </c>
      <c r="O3446" t="s">
        <v>605</v>
      </c>
    </row>
    <row r="3447" spans="1:16" x14ac:dyDescent="0.25">
      <c r="A3447" s="22">
        <v>45772</v>
      </c>
      <c r="B3447" s="1" t="s">
        <v>2062</v>
      </c>
      <c r="C3447" t="s">
        <v>622</v>
      </c>
      <c r="D3447" s="23">
        <v>-16.88</v>
      </c>
      <c r="E3447" t="s">
        <v>35</v>
      </c>
      <c r="F3447" s="2">
        <v>610148001</v>
      </c>
      <c r="G3447" s="2" t="s">
        <v>41</v>
      </c>
      <c r="I3447" s="95" t="s">
        <v>7231</v>
      </c>
      <c r="J3447" t="s">
        <v>42</v>
      </c>
      <c r="K3447" t="s">
        <v>41</v>
      </c>
      <c r="M3447">
        <v>84.42</v>
      </c>
      <c r="N3447" s="4">
        <f t="shared" si="53"/>
        <v>-0.19995261786306562</v>
      </c>
      <c r="O3447" t="s">
        <v>605</v>
      </c>
    </row>
    <row r="3448" spans="1:16" x14ac:dyDescent="0.25">
      <c r="A3448" s="22">
        <v>45772</v>
      </c>
      <c r="B3448" s="1" t="s">
        <v>2112</v>
      </c>
      <c r="C3448" t="s">
        <v>622</v>
      </c>
      <c r="D3448" s="23">
        <v>-10.55</v>
      </c>
      <c r="E3448" t="s">
        <v>35</v>
      </c>
      <c r="F3448" s="2">
        <v>610148001</v>
      </c>
      <c r="G3448" s="2" t="s">
        <v>41</v>
      </c>
      <c r="I3448" s="95" t="s">
        <v>7231</v>
      </c>
      <c r="J3448" t="s">
        <v>42</v>
      </c>
      <c r="K3448" t="s">
        <v>41</v>
      </c>
      <c r="M3448">
        <v>84.42</v>
      </c>
      <c r="N3448" s="4">
        <f t="shared" si="53"/>
        <v>-0.12497038616441603</v>
      </c>
      <c r="O3448" t="s">
        <v>605</v>
      </c>
    </row>
    <row r="3449" spans="1:16" x14ac:dyDescent="0.25">
      <c r="A3449" s="22">
        <v>45772</v>
      </c>
      <c r="B3449" s="1" t="s">
        <v>2107</v>
      </c>
      <c r="C3449" t="s">
        <v>622</v>
      </c>
      <c r="D3449" s="23">
        <v>-21.1</v>
      </c>
      <c r="E3449" t="s">
        <v>35</v>
      </c>
      <c r="F3449" s="2">
        <v>610148001</v>
      </c>
      <c r="G3449" s="2" t="s">
        <v>41</v>
      </c>
      <c r="I3449" s="95" t="s">
        <v>7231</v>
      </c>
      <c r="J3449" t="s">
        <v>42</v>
      </c>
      <c r="K3449" t="s">
        <v>41</v>
      </c>
      <c r="M3449">
        <v>84.42</v>
      </c>
      <c r="N3449" s="4">
        <f t="shared" si="53"/>
        <v>-0.24994077232883205</v>
      </c>
      <c r="O3449" t="s">
        <v>605</v>
      </c>
    </row>
    <row r="3450" spans="1:16" x14ac:dyDescent="0.25">
      <c r="A3450" s="22">
        <v>45772</v>
      </c>
      <c r="B3450" s="1" t="s">
        <v>2068</v>
      </c>
      <c r="C3450" t="s">
        <v>622</v>
      </c>
      <c r="D3450" s="23">
        <v>-31.65</v>
      </c>
      <c r="E3450" t="s">
        <v>35</v>
      </c>
      <c r="F3450" s="2">
        <v>610148001</v>
      </c>
      <c r="G3450" s="2" t="s">
        <v>41</v>
      </c>
      <c r="I3450" s="95" t="s">
        <v>7231</v>
      </c>
      <c r="J3450" t="s">
        <v>42</v>
      </c>
      <c r="K3450" t="s">
        <v>41</v>
      </c>
      <c r="M3450">
        <v>84.42</v>
      </c>
      <c r="N3450" s="4">
        <f t="shared" si="53"/>
        <v>-0.37491115849324802</v>
      </c>
      <c r="O3450" t="s">
        <v>605</v>
      </c>
    </row>
    <row r="3451" spans="1:16" x14ac:dyDescent="0.25">
      <c r="A3451" s="22">
        <v>45775</v>
      </c>
      <c r="B3451" s="1" t="s">
        <v>2636</v>
      </c>
      <c r="C3451" t="s">
        <v>2637</v>
      </c>
      <c r="D3451" s="23">
        <v>51142.45</v>
      </c>
      <c r="E3451" t="s">
        <v>45</v>
      </c>
      <c r="F3451" s="2">
        <v>110106001</v>
      </c>
      <c r="G3451" s="2" t="s">
        <v>1011</v>
      </c>
      <c r="I3451" s="95" t="s">
        <v>7231</v>
      </c>
      <c r="K3451" t="s">
        <v>1617</v>
      </c>
      <c r="M3451">
        <v>86.11</v>
      </c>
      <c r="N3451" s="4">
        <f t="shared" si="53"/>
        <v>593.91998606433629</v>
      </c>
      <c r="O3451" t="s">
        <v>605</v>
      </c>
    </row>
    <row r="3452" spans="1:16" x14ac:dyDescent="0.25">
      <c r="A3452" s="22">
        <v>45775</v>
      </c>
      <c r="B3452" s="1" t="s">
        <v>2638</v>
      </c>
      <c r="C3452" t="s">
        <v>293</v>
      </c>
      <c r="D3452" s="23">
        <v>100000</v>
      </c>
      <c r="E3452" t="s">
        <v>45</v>
      </c>
      <c r="F3452" s="2">
        <v>210115002</v>
      </c>
      <c r="G3452" s="2" t="s">
        <v>46</v>
      </c>
      <c r="I3452" s="95" t="s">
        <v>7231</v>
      </c>
      <c r="K3452" t="s">
        <v>293</v>
      </c>
      <c r="M3452">
        <v>86.11</v>
      </c>
      <c r="N3452" s="4">
        <f t="shared" si="53"/>
        <v>1161.3053071652537</v>
      </c>
      <c r="O3452" t="s">
        <v>605</v>
      </c>
    </row>
    <row r="3453" spans="1:16" x14ac:dyDescent="0.25">
      <c r="A3453" s="22">
        <v>45775</v>
      </c>
      <c r="B3453" s="1" t="s">
        <v>615</v>
      </c>
      <c r="C3453" t="s">
        <v>2639</v>
      </c>
      <c r="D3453" s="23">
        <v>-43104.55</v>
      </c>
      <c r="E3453" t="s">
        <v>35</v>
      </c>
      <c r="F3453" s="2">
        <v>110114001</v>
      </c>
      <c r="G3453" s="2" t="s">
        <v>181</v>
      </c>
      <c r="I3453" s="95" t="s">
        <v>7231</v>
      </c>
      <c r="J3453" t="s">
        <v>928</v>
      </c>
      <c r="K3453" t="s">
        <v>929</v>
      </c>
      <c r="M3453">
        <v>86.11</v>
      </c>
      <c r="N3453" s="4">
        <f t="shared" si="53"/>
        <v>-500.57542677970042</v>
      </c>
      <c r="O3453" t="s">
        <v>605</v>
      </c>
      <c r="P3453" s="34" t="s">
        <v>1529</v>
      </c>
    </row>
    <row r="3454" spans="1:16" x14ac:dyDescent="0.25">
      <c r="A3454" s="22">
        <v>45775</v>
      </c>
      <c r="B3454" s="1" t="s">
        <v>613</v>
      </c>
      <c r="C3454" t="s">
        <v>2640</v>
      </c>
      <c r="D3454" s="23">
        <v>-4305.5</v>
      </c>
      <c r="E3454" t="s">
        <v>35</v>
      </c>
      <c r="F3454" s="2">
        <v>110114001</v>
      </c>
      <c r="G3454" s="2" t="s">
        <v>181</v>
      </c>
      <c r="I3454" s="95" t="s">
        <v>7231</v>
      </c>
      <c r="J3454" t="s">
        <v>86</v>
      </c>
      <c r="K3454" t="s">
        <v>87</v>
      </c>
      <c r="M3454">
        <v>86.11</v>
      </c>
      <c r="N3454" s="4">
        <f t="shared" si="53"/>
        <v>-50</v>
      </c>
      <c r="O3454" t="s">
        <v>605</v>
      </c>
      <c r="P3454" s="34" t="s">
        <v>1529</v>
      </c>
    </row>
    <row r="3455" spans="1:16" x14ac:dyDescent="0.25">
      <c r="A3455" s="22">
        <v>45775</v>
      </c>
      <c r="B3455" s="1" t="s">
        <v>619</v>
      </c>
      <c r="C3455" t="s">
        <v>2641</v>
      </c>
      <c r="D3455" s="23">
        <v>-89898.84</v>
      </c>
      <c r="E3455" t="s">
        <v>35</v>
      </c>
      <c r="F3455" s="2">
        <v>110114001</v>
      </c>
      <c r="G3455" s="2" t="s">
        <v>181</v>
      </c>
      <c r="I3455" s="95" t="s">
        <v>7231</v>
      </c>
      <c r="J3455" t="s">
        <v>37</v>
      </c>
      <c r="K3455" t="s">
        <v>38</v>
      </c>
      <c r="M3455">
        <v>86.11</v>
      </c>
      <c r="N3455" s="4">
        <f t="shared" si="53"/>
        <v>-1044</v>
      </c>
      <c r="O3455" t="s">
        <v>605</v>
      </c>
      <c r="P3455" s="34" t="s">
        <v>1529</v>
      </c>
    </row>
    <row r="3456" spans="1:16" x14ac:dyDescent="0.25">
      <c r="A3456" s="22">
        <v>45775</v>
      </c>
      <c r="B3456" s="1" t="s">
        <v>617</v>
      </c>
      <c r="C3456" t="s">
        <v>2642</v>
      </c>
      <c r="D3456" s="23">
        <v>-16119.8</v>
      </c>
      <c r="E3456" t="s">
        <v>35</v>
      </c>
      <c r="F3456" s="2">
        <v>110114001</v>
      </c>
      <c r="G3456" s="2" t="s">
        <v>181</v>
      </c>
      <c r="I3456" s="95" t="s">
        <v>7231</v>
      </c>
      <c r="J3456" t="s">
        <v>1614</v>
      </c>
      <c r="K3456" t="s">
        <v>1615</v>
      </c>
      <c r="M3456">
        <v>86.11</v>
      </c>
      <c r="N3456" s="4">
        <f t="shared" si="53"/>
        <v>-187.20009290442457</v>
      </c>
      <c r="O3456" t="s">
        <v>605</v>
      </c>
      <c r="P3456" s="34" t="s">
        <v>1529</v>
      </c>
    </row>
    <row r="3457" spans="1:17" x14ac:dyDescent="0.25">
      <c r="A3457" s="22">
        <v>45775</v>
      </c>
      <c r="B3457" s="1" t="s">
        <v>625</v>
      </c>
      <c r="C3457" t="s">
        <v>622</v>
      </c>
      <c r="D3457" s="23">
        <v>-107.76</v>
      </c>
      <c r="E3457" t="s">
        <v>35</v>
      </c>
      <c r="F3457" s="2">
        <v>610148001</v>
      </c>
      <c r="G3457" s="2" t="s">
        <v>41</v>
      </c>
      <c r="I3457" s="95" t="s">
        <v>7231</v>
      </c>
      <c r="J3457" t="s">
        <v>42</v>
      </c>
      <c r="K3457" t="s">
        <v>41</v>
      </c>
      <c r="M3457">
        <v>86.11</v>
      </c>
      <c r="N3457" s="4">
        <f t="shared" si="53"/>
        <v>-1.2514225990012775</v>
      </c>
      <c r="O3457" t="s">
        <v>605</v>
      </c>
    </row>
    <row r="3458" spans="1:17" x14ac:dyDescent="0.25">
      <c r="A3458" s="22">
        <v>45775</v>
      </c>
      <c r="B3458" s="1" t="s">
        <v>624</v>
      </c>
      <c r="C3458" t="s">
        <v>622</v>
      </c>
      <c r="D3458" s="23">
        <v>-40.29</v>
      </c>
      <c r="E3458" t="s">
        <v>35</v>
      </c>
      <c r="F3458" s="2">
        <v>610148001</v>
      </c>
      <c r="G3458" s="2" t="s">
        <v>41</v>
      </c>
      <c r="I3458" s="95" t="s">
        <v>7231</v>
      </c>
      <c r="J3458" t="s">
        <v>42</v>
      </c>
      <c r="K3458" t="s">
        <v>41</v>
      </c>
      <c r="M3458">
        <v>86.11</v>
      </c>
      <c r="N3458" s="4">
        <f t="shared" si="53"/>
        <v>-0.4678899082568807</v>
      </c>
      <c r="O3458" t="s">
        <v>605</v>
      </c>
    </row>
    <row r="3459" spans="1:17" x14ac:dyDescent="0.25">
      <c r="A3459" s="22">
        <v>45775</v>
      </c>
      <c r="B3459" s="1" t="s">
        <v>623</v>
      </c>
      <c r="C3459" t="s">
        <v>622</v>
      </c>
      <c r="D3459" s="23">
        <v>-10.76</v>
      </c>
      <c r="E3459" t="s">
        <v>35</v>
      </c>
      <c r="F3459" s="2">
        <v>610148001</v>
      </c>
      <c r="G3459" s="2" t="s">
        <v>41</v>
      </c>
      <c r="I3459" s="95" t="s">
        <v>7231</v>
      </c>
      <c r="J3459" t="s">
        <v>42</v>
      </c>
      <c r="K3459" t="s">
        <v>41</v>
      </c>
      <c r="M3459">
        <v>86.11</v>
      </c>
      <c r="N3459" s="4">
        <f t="shared" si="53"/>
        <v>-0.1249564510509813</v>
      </c>
      <c r="O3459" t="s">
        <v>605</v>
      </c>
    </row>
    <row r="3460" spans="1:17" x14ac:dyDescent="0.25">
      <c r="A3460" s="22">
        <v>45775</v>
      </c>
      <c r="B3460" s="1" t="s">
        <v>621</v>
      </c>
      <c r="C3460" t="s">
        <v>622</v>
      </c>
      <c r="D3460" s="23">
        <v>-224.74</v>
      </c>
      <c r="E3460" t="s">
        <v>35</v>
      </c>
      <c r="F3460" s="2">
        <v>610148001</v>
      </c>
      <c r="G3460" s="2" t="s">
        <v>41</v>
      </c>
      <c r="I3460" s="95" t="s">
        <v>7231</v>
      </c>
      <c r="J3460" t="s">
        <v>42</v>
      </c>
      <c r="K3460" t="s">
        <v>41</v>
      </c>
      <c r="M3460">
        <v>86.11</v>
      </c>
      <c r="N3460" s="4">
        <f t="shared" si="53"/>
        <v>-2.6099175473231915</v>
      </c>
      <c r="O3460" t="s">
        <v>605</v>
      </c>
    </row>
    <row r="3461" spans="1:17" x14ac:dyDescent="0.25">
      <c r="A3461" s="22">
        <v>45776</v>
      </c>
      <c r="B3461" s="1" t="s">
        <v>2643</v>
      </c>
      <c r="C3461" t="s">
        <v>293</v>
      </c>
      <c r="D3461" s="23">
        <v>100000</v>
      </c>
      <c r="E3461" t="s">
        <v>45</v>
      </c>
      <c r="F3461" s="2">
        <v>210115002</v>
      </c>
      <c r="G3461" s="2" t="s">
        <v>46</v>
      </c>
      <c r="I3461" s="95" t="s">
        <v>7231</v>
      </c>
      <c r="K3461" t="s">
        <v>293</v>
      </c>
      <c r="M3461">
        <v>86.66</v>
      </c>
      <c r="N3461" s="4">
        <f t="shared" si="53"/>
        <v>1153.9349180706208</v>
      </c>
      <c r="O3461" t="s">
        <v>605</v>
      </c>
    </row>
    <row r="3462" spans="1:17" x14ac:dyDescent="0.25">
      <c r="A3462" s="22">
        <v>45776</v>
      </c>
      <c r="B3462" s="1" t="s">
        <v>613</v>
      </c>
      <c r="C3462" t="s">
        <v>2644</v>
      </c>
      <c r="D3462" s="23">
        <v>-240.11</v>
      </c>
      <c r="E3462" t="s">
        <v>35</v>
      </c>
      <c r="F3462" s="2">
        <v>110114001</v>
      </c>
      <c r="G3462" s="2" t="s">
        <v>181</v>
      </c>
      <c r="I3462" s="95" t="s">
        <v>7231</v>
      </c>
      <c r="J3462" t="s">
        <v>376</v>
      </c>
      <c r="K3462" t="s">
        <v>377</v>
      </c>
      <c r="M3462">
        <v>86.66</v>
      </c>
      <c r="N3462" s="4">
        <f t="shared" si="53"/>
        <v>-2.7707131317793681</v>
      </c>
      <c r="O3462" t="s">
        <v>605</v>
      </c>
      <c r="P3462" s="34" t="s">
        <v>1529</v>
      </c>
    </row>
    <row r="3463" spans="1:17" x14ac:dyDescent="0.25">
      <c r="A3463" s="22">
        <v>45776</v>
      </c>
      <c r="B3463" s="1" t="s">
        <v>615</v>
      </c>
      <c r="C3463" t="s">
        <v>2645</v>
      </c>
      <c r="D3463" s="23">
        <v>-104043.99</v>
      </c>
      <c r="E3463" t="s">
        <v>35</v>
      </c>
      <c r="F3463" s="2">
        <v>110114001</v>
      </c>
      <c r="G3463" s="2" t="s">
        <v>181</v>
      </c>
      <c r="I3463" s="95" t="s">
        <v>7231</v>
      </c>
      <c r="J3463" t="s">
        <v>1299</v>
      </c>
      <c r="K3463" t="s">
        <v>1615</v>
      </c>
      <c r="M3463">
        <v>86.66</v>
      </c>
      <c r="N3463" s="4">
        <f t="shared" si="53"/>
        <v>-1200.5999307639049</v>
      </c>
      <c r="O3463" t="s">
        <v>605</v>
      </c>
      <c r="P3463" s="34" t="s">
        <v>1529</v>
      </c>
    </row>
    <row r="3464" spans="1:17" x14ac:dyDescent="0.25">
      <c r="A3464" s="22">
        <v>45776</v>
      </c>
      <c r="B3464" s="1" t="s">
        <v>625</v>
      </c>
      <c r="C3464" t="s">
        <v>622</v>
      </c>
      <c r="D3464" s="23">
        <v>-260.10000000000002</v>
      </c>
      <c r="E3464" t="s">
        <v>35</v>
      </c>
      <c r="F3464" s="2">
        <v>610148001</v>
      </c>
      <c r="G3464" s="2" t="s">
        <v>41</v>
      </c>
      <c r="I3464" s="95" t="s">
        <v>7231</v>
      </c>
      <c r="J3464" t="s">
        <v>42</v>
      </c>
      <c r="K3464" t="s">
        <v>41</v>
      </c>
      <c r="M3464">
        <v>86.66</v>
      </c>
      <c r="N3464" s="4">
        <f t="shared" si="53"/>
        <v>-3.0013847219016849</v>
      </c>
      <c r="O3464" t="s">
        <v>605</v>
      </c>
      <c r="Q3464" s="24" t="s">
        <v>2195</v>
      </c>
    </row>
    <row r="3465" spans="1:17" x14ac:dyDescent="0.25">
      <c r="A3465" s="22">
        <v>45776</v>
      </c>
      <c r="B3465" s="1" t="s">
        <v>623</v>
      </c>
      <c r="C3465" t="s">
        <v>622</v>
      </c>
      <c r="D3465" s="23">
        <v>-0.6</v>
      </c>
      <c r="E3465" t="s">
        <v>35</v>
      </c>
      <c r="F3465" s="2">
        <v>610148001</v>
      </c>
      <c r="G3465" s="2" t="s">
        <v>41</v>
      </c>
      <c r="I3465" s="95" t="s">
        <v>7231</v>
      </c>
      <c r="J3465" t="s">
        <v>42</v>
      </c>
      <c r="K3465" t="s">
        <v>41</v>
      </c>
      <c r="M3465">
        <v>86.66</v>
      </c>
      <c r="N3465" s="4">
        <f t="shared" si="53"/>
        <v>-6.9236095084237248E-3</v>
      </c>
      <c r="O3465" t="s">
        <v>605</v>
      </c>
      <c r="Q3465" s="24" t="s">
        <v>2195</v>
      </c>
    </row>
    <row r="3466" spans="1:17" x14ac:dyDescent="0.25">
      <c r="A3466" s="22">
        <v>45761</v>
      </c>
      <c r="B3466" s="1">
        <v>47900048201</v>
      </c>
      <c r="C3466" t="s">
        <v>2646</v>
      </c>
      <c r="D3466" s="23">
        <v>-6908.22</v>
      </c>
      <c r="E3466" t="s">
        <v>35</v>
      </c>
      <c r="F3466" s="2">
        <v>210101001</v>
      </c>
      <c r="G3466" s="2" t="s">
        <v>36</v>
      </c>
      <c r="I3466" s="95" t="s">
        <v>7231</v>
      </c>
      <c r="J3466" t="s">
        <v>1424</v>
      </c>
      <c r="K3466" t="s">
        <v>1425</v>
      </c>
      <c r="M3466">
        <v>78.36</v>
      </c>
      <c r="N3466" s="4">
        <f t="shared" si="53"/>
        <v>-88.160030627871365</v>
      </c>
      <c r="O3466" t="s">
        <v>39</v>
      </c>
    </row>
    <row r="3467" spans="1:17" x14ac:dyDescent="0.25">
      <c r="A3467" s="22">
        <v>45761</v>
      </c>
      <c r="B3467" s="1">
        <v>43700048201</v>
      </c>
      <c r="C3467" t="s">
        <v>40</v>
      </c>
      <c r="D3467" s="23">
        <v>-0.67</v>
      </c>
      <c r="E3467" t="s">
        <v>35</v>
      </c>
      <c r="F3467" s="2">
        <v>610148001</v>
      </c>
      <c r="G3467" s="2" t="s">
        <v>41</v>
      </c>
      <c r="I3467" s="95" t="s">
        <v>7231</v>
      </c>
      <c r="J3467" t="s">
        <v>42</v>
      </c>
      <c r="K3467" t="s">
        <v>41</v>
      </c>
      <c r="M3467">
        <v>78.36</v>
      </c>
      <c r="N3467" s="4">
        <f t="shared" si="53"/>
        <v>-8.5502807554874941E-3</v>
      </c>
      <c r="O3467" t="s">
        <v>39</v>
      </c>
      <c r="Q3467" s="24" t="s">
        <v>2195</v>
      </c>
    </row>
    <row r="3468" spans="1:17" x14ac:dyDescent="0.25">
      <c r="A3468" s="22">
        <v>45761</v>
      </c>
      <c r="B3468" s="1">
        <v>20405416373</v>
      </c>
      <c r="C3468" t="s">
        <v>2647</v>
      </c>
      <c r="D3468" s="23">
        <v>10431.280000000001</v>
      </c>
      <c r="E3468" t="s">
        <v>45</v>
      </c>
      <c r="F3468" s="2">
        <v>110106001</v>
      </c>
      <c r="G3468" s="2" t="s">
        <v>1011</v>
      </c>
      <c r="I3468" s="95" t="s">
        <v>7231</v>
      </c>
      <c r="K3468" t="s">
        <v>1617</v>
      </c>
      <c r="M3468">
        <v>78.36</v>
      </c>
      <c r="N3468" s="4">
        <f t="shared" ref="N3468:N3531" si="54">D3468/M3468</f>
        <v>133.1199591628382</v>
      </c>
      <c r="O3468" t="s">
        <v>39</v>
      </c>
    </row>
    <row r="3469" spans="1:17" x14ac:dyDescent="0.25">
      <c r="A3469" s="22">
        <v>45775</v>
      </c>
      <c r="B3469" s="1">
        <v>20405717819</v>
      </c>
      <c r="C3469" t="s">
        <v>2648</v>
      </c>
      <c r="D3469" s="23">
        <v>17910.88</v>
      </c>
      <c r="E3469" t="s">
        <v>45</v>
      </c>
      <c r="F3469" s="2">
        <v>110106001</v>
      </c>
      <c r="G3469" s="2" t="s">
        <v>1011</v>
      </c>
      <c r="I3469" s="95" t="s">
        <v>7231</v>
      </c>
      <c r="K3469" t="s">
        <v>1617</v>
      </c>
      <c r="M3469">
        <v>86.11</v>
      </c>
      <c r="N3469" s="4">
        <f t="shared" si="54"/>
        <v>208</v>
      </c>
      <c r="O3469" t="s">
        <v>39</v>
      </c>
    </row>
    <row r="3470" spans="1:17" x14ac:dyDescent="0.25">
      <c r="A3470" s="22">
        <v>45776</v>
      </c>
      <c r="B3470" s="1">
        <v>20405740713</v>
      </c>
      <c r="C3470" t="s">
        <v>2649</v>
      </c>
      <c r="D3470" s="23">
        <v>18025.28</v>
      </c>
      <c r="E3470" t="s">
        <v>45</v>
      </c>
      <c r="F3470" s="2">
        <v>110106001</v>
      </c>
      <c r="G3470" s="2" t="s">
        <v>1011</v>
      </c>
      <c r="I3470" s="95" t="s">
        <v>7231</v>
      </c>
      <c r="K3470" t="s">
        <v>1617</v>
      </c>
      <c r="M3470">
        <v>86.66</v>
      </c>
      <c r="N3470" s="4">
        <f t="shared" si="54"/>
        <v>208</v>
      </c>
      <c r="O3470" t="s">
        <v>39</v>
      </c>
    </row>
    <row r="3471" spans="1:17" x14ac:dyDescent="0.25">
      <c r="A3471" s="22">
        <v>45777</v>
      </c>
      <c r="B3471" s="1">
        <v>71600000000</v>
      </c>
      <c r="C3471" t="s">
        <v>48</v>
      </c>
      <c r="D3471" s="23">
        <v>-0.5</v>
      </c>
      <c r="E3471" t="s">
        <v>35</v>
      </c>
      <c r="F3471" s="2">
        <v>610148001</v>
      </c>
      <c r="G3471" s="2" t="s">
        <v>41</v>
      </c>
      <c r="I3471" s="95" t="s">
        <v>7231</v>
      </c>
      <c r="J3471" t="s">
        <v>42</v>
      </c>
      <c r="K3471" t="s">
        <v>41</v>
      </c>
      <c r="M3471">
        <v>86.85</v>
      </c>
      <c r="N3471" s="4">
        <f t="shared" si="54"/>
        <v>-5.7570523891767415E-3</v>
      </c>
      <c r="O3471" t="s">
        <v>39</v>
      </c>
      <c r="Q3471" s="24" t="s">
        <v>2195</v>
      </c>
    </row>
    <row r="3472" spans="1:17" x14ac:dyDescent="0.25">
      <c r="A3472" s="22">
        <v>45777</v>
      </c>
      <c r="B3472" s="1">
        <v>91577700000</v>
      </c>
      <c r="C3472" t="s">
        <v>49</v>
      </c>
      <c r="D3472" s="23">
        <v>-0.5</v>
      </c>
      <c r="E3472" t="s">
        <v>35</v>
      </c>
      <c r="F3472" s="2">
        <v>610148001</v>
      </c>
      <c r="G3472" s="2" t="s">
        <v>41</v>
      </c>
      <c r="I3472" s="95" t="s">
        <v>7231</v>
      </c>
      <c r="J3472" t="s">
        <v>42</v>
      </c>
      <c r="K3472" t="s">
        <v>41</v>
      </c>
      <c r="M3472">
        <v>86.85</v>
      </c>
      <c r="N3472" s="4">
        <f t="shared" si="54"/>
        <v>-5.7570523891767415E-3</v>
      </c>
      <c r="O3472" t="s">
        <v>39</v>
      </c>
      <c r="Q3472" s="24" t="s">
        <v>2195</v>
      </c>
    </row>
    <row r="3473" spans="1:17" x14ac:dyDescent="0.25">
      <c r="A3473" s="22">
        <v>45791</v>
      </c>
      <c r="B3473" s="1">
        <v>95</v>
      </c>
      <c r="C3473" t="s">
        <v>50</v>
      </c>
      <c r="D3473" s="23">
        <v>-69.790000000000006</v>
      </c>
      <c r="E3473" t="s">
        <v>35</v>
      </c>
      <c r="F3473" s="2">
        <v>610148001</v>
      </c>
      <c r="G3473" s="2" t="s">
        <v>41</v>
      </c>
      <c r="I3473" s="95" t="s">
        <v>7231</v>
      </c>
      <c r="J3473" t="s">
        <v>42</v>
      </c>
      <c r="K3473" t="s">
        <v>41</v>
      </c>
      <c r="M3473">
        <v>93.58</v>
      </c>
      <c r="N3473" s="4">
        <f t="shared" si="54"/>
        <v>-0.74577901260953205</v>
      </c>
      <c r="O3473" t="s">
        <v>51</v>
      </c>
      <c r="Q3473" s="36" t="s">
        <v>2650</v>
      </c>
    </row>
    <row r="3474" spans="1:17" x14ac:dyDescent="0.25">
      <c r="A3474" s="22">
        <v>45791</v>
      </c>
      <c r="B3474" s="1">
        <v>94</v>
      </c>
      <c r="C3474" t="s">
        <v>2651</v>
      </c>
      <c r="D3474" s="23">
        <v>-23265</v>
      </c>
      <c r="E3474" t="s">
        <v>35</v>
      </c>
      <c r="F3474" s="2">
        <v>840101001</v>
      </c>
      <c r="G3474" s="2" t="s">
        <v>60</v>
      </c>
      <c r="I3474" s="95" t="s">
        <v>7231</v>
      </c>
      <c r="J3474" t="s">
        <v>61</v>
      </c>
      <c r="K3474" t="s">
        <v>62</v>
      </c>
      <c r="M3474">
        <v>93.58</v>
      </c>
      <c r="N3474" s="4">
        <f t="shared" si="54"/>
        <v>-248.61081427655483</v>
      </c>
      <c r="O3474" t="s">
        <v>51</v>
      </c>
      <c r="Q3474" s="35"/>
    </row>
    <row r="3475" spans="1:17" x14ac:dyDescent="0.25">
      <c r="A3475" s="22">
        <v>45791</v>
      </c>
      <c r="B3475" s="1">
        <v>93</v>
      </c>
      <c r="C3475" t="s">
        <v>82</v>
      </c>
      <c r="D3475" s="23">
        <v>10000</v>
      </c>
      <c r="E3475" t="s">
        <v>45</v>
      </c>
      <c r="F3475" s="2">
        <v>210115002</v>
      </c>
      <c r="G3475" s="2" t="s">
        <v>46</v>
      </c>
      <c r="I3475" s="95" t="s">
        <v>7231</v>
      </c>
      <c r="K3475" t="s">
        <v>82</v>
      </c>
      <c r="M3475">
        <v>93.58</v>
      </c>
      <c r="N3475" s="4">
        <f t="shared" si="54"/>
        <v>106.86044026501389</v>
      </c>
      <c r="O3475" t="s">
        <v>51</v>
      </c>
      <c r="Q3475" s="35"/>
    </row>
    <row r="3476" spans="1:17" x14ac:dyDescent="0.25">
      <c r="A3476" s="22">
        <v>45807</v>
      </c>
      <c r="B3476" s="1">
        <v>98</v>
      </c>
      <c r="C3476" t="s">
        <v>50</v>
      </c>
      <c r="D3476" s="23">
        <v>-71.430000000000007</v>
      </c>
      <c r="E3476" t="s">
        <v>35</v>
      </c>
      <c r="F3476" s="2">
        <v>610148001</v>
      </c>
      <c r="G3476" s="2" t="s">
        <v>41</v>
      </c>
      <c r="I3476" s="95" t="s">
        <v>7231</v>
      </c>
      <c r="J3476" t="s">
        <v>42</v>
      </c>
      <c r="K3476" t="s">
        <v>41</v>
      </c>
      <c r="M3476">
        <v>96.86</v>
      </c>
      <c r="N3476" s="4">
        <f t="shared" si="54"/>
        <v>-0.73745612223828216</v>
      </c>
      <c r="O3476" t="s">
        <v>51</v>
      </c>
      <c r="Q3476" s="36" t="s">
        <v>2650</v>
      </c>
    </row>
    <row r="3477" spans="1:17" x14ac:dyDescent="0.25">
      <c r="A3477" s="22">
        <v>45807</v>
      </c>
      <c r="B3477" s="1">
        <v>97</v>
      </c>
      <c r="C3477" t="s">
        <v>2652</v>
      </c>
      <c r="D3477" s="23">
        <v>-23810</v>
      </c>
      <c r="E3477" t="s">
        <v>35</v>
      </c>
      <c r="F3477" s="2">
        <v>840101001</v>
      </c>
      <c r="G3477" s="2" t="s">
        <v>60</v>
      </c>
      <c r="I3477" s="95" t="s">
        <v>7231</v>
      </c>
      <c r="J3477" t="s">
        <v>61</v>
      </c>
      <c r="K3477" t="s">
        <v>62</v>
      </c>
      <c r="M3477">
        <v>96.86</v>
      </c>
      <c r="N3477" s="4">
        <f t="shared" si="54"/>
        <v>-245.81870741276069</v>
      </c>
      <c r="O3477" t="s">
        <v>51</v>
      </c>
    </row>
    <row r="3478" spans="1:17" x14ac:dyDescent="0.25">
      <c r="A3478" s="22">
        <v>45807</v>
      </c>
      <c r="B3478" s="1">
        <v>96</v>
      </c>
      <c r="C3478" t="s">
        <v>82</v>
      </c>
      <c r="D3478" s="23">
        <v>25000</v>
      </c>
      <c r="E3478" t="s">
        <v>45</v>
      </c>
      <c r="F3478" s="2">
        <v>210115002</v>
      </c>
      <c r="G3478" s="2" t="s">
        <v>46</v>
      </c>
      <c r="I3478" s="95" t="s">
        <v>7231</v>
      </c>
      <c r="K3478" t="s">
        <v>82</v>
      </c>
      <c r="M3478">
        <v>96.86</v>
      </c>
      <c r="N3478" s="4">
        <f t="shared" si="54"/>
        <v>258.10448069378486</v>
      </c>
      <c r="O3478" t="s">
        <v>51</v>
      </c>
    </row>
    <row r="3479" spans="1:17" x14ac:dyDescent="0.25">
      <c r="A3479" s="22">
        <v>45808</v>
      </c>
      <c r="B3479" s="1">
        <v>100</v>
      </c>
      <c r="C3479" t="s">
        <v>68</v>
      </c>
      <c r="D3479" s="23">
        <v>-0.5</v>
      </c>
      <c r="E3479" t="s">
        <v>35</v>
      </c>
      <c r="F3479" s="2">
        <v>610148001</v>
      </c>
      <c r="G3479" s="2" t="s">
        <v>41</v>
      </c>
      <c r="I3479" s="95" t="s">
        <v>7231</v>
      </c>
      <c r="J3479" t="s">
        <v>42</v>
      </c>
      <c r="K3479" t="s">
        <v>41</v>
      </c>
      <c r="M3479">
        <v>97.31</v>
      </c>
      <c r="N3479" s="4">
        <f t="shared" si="54"/>
        <v>-5.1382180659747196E-3</v>
      </c>
      <c r="O3479" t="s">
        <v>51</v>
      </c>
      <c r="Q3479" s="36" t="s">
        <v>2650</v>
      </c>
    </row>
    <row r="3480" spans="1:17" x14ac:dyDescent="0.25">
      <c r="A3480" s="22">
        <v>45808</v>
      </c>
      <c r="B3480" s="1">
        <v>99</v>
      </c>
      <c r="C3480" t="s">
        <v>69</v>
      </c>
      <c r="D3480" s="23">
        <v>-0.5</v>
      </c>
      <c r="E3480" t="s">
        <v>35</v>
      </c>
      <c r="F3480" s="2">
        <v>610148001</v>
      </c>
      <c r="G3480" s="2" t="s">
        <v>41</v>
      </c>
      <c r="I3480" s="95" t="s">
        <v>7231</v>
      </c>
      <c r="J3480" t="s">
        <v>42</v>
      </c>
      <c r="K3480" t="s">
        <v>41</v>
      </c>
      <c r="M3480">
        <v>97.31</v>
      </c>
      <c r="N3480" s="4">
        <f t="shared" si="54"/>
        <v>-5.1382180659747196E-3</v>
      </c>
      <c r="O3480" t="s">
        <v>51</v>
      </c>
      <c r="Q3480" s="36" t="s">
        <v>2650</v>
      </c>
    </row>
    <row r="3481" spans="1:17" x14ac:dyDescent="0.25">
      <c r="A3481" s="22">
        <v>45779</v>
      </c>
      <c r="B3481" s="1">
        <v>912240735</v>
      </c>
      <c r="C3481" t="s">
        <v>2653</v>
      </c>
      <c r="D3481" s="23">
        <v>-960.02</v>
      </c>
      <c r="E3481" t="s">
        <v>35</v>
      </c>
      <c r="F3481" s="2">
        <v>210101001</v>
      </c>
      <c r="G3481" s="2" t="s">
        <v>36</v>
      </c>
      <c r="I3481" s="95" t="s">
        <v>7231</v>
      </c>
      <c r="J3481" t="s">
        <v>414</v>
      </c>
      <c r="K3481" t="s">
        <v>415</v>
      </c>
      <c r="M3481">
        <v>87.57</v>
      </c>
      <c r="N3481" s="4">
        <f t="shared" si="54"/>
        <v>-10.962886833390431</v>
      </c>
      <c r="O3481" t="s">
        <v>83</v>
      </c>
    </row>
    <row r="3482" spans="1:17" x14ac:dyDescent="0.25">
      <c r="A3482" s="22">
        <v>45779</v>
      </c>
      <c r="B3482" s="1">
        <v>912240735</v>
      </c>
      <c r="C3482" t="s">
        <v>185</v>
      </c>
      <c r="D3482" s="23">
        <v>-2.88</v>
      </c>
      <c r="E3482" t="s">
        <v>35</v>
      </c>
      <c r="F3482" s="2">
        <v>610148001</v>
      </c>
      <c r="G3482" s="2" t="s">
        <v>41</v>
      </c>
      <c r="I3482" s="95" t="s">
        <v>7231</v>
      </c>
      <c r="J3482" t="s">
        <v>42</v>
      </c>
      <c r="K3482" t="s">
        <v>41</v>
      </c>
      <c r="M3482">
        <v>87.57</v>
      </c>
      <c r="N3482" s="4">
        <f t="shared" si="54"/>
        <v>-3.28879753340185E-2</v>
      </c>
      <c r="O3482" t="s">
        <v>83</v>
      </c>
      <c r="Q3482" s="24" t="s">
        <v>2650</v>
      </c>
    </row>
    <row r="3483" spans="1:17" x14ac:dyDescent="0.25">
      <c r="A3483" s="22">
        <v>45779</v>
      </c>
      <c r="B3483" s="1">
        <v>612240822</v>
      </c>
      <c r="C3483" t="s">
        <v>2654</v>
      </c>
      <c r="D3483" s="23">
        <v>-700</v>
      </c>
      <c r="E3483" t="s">
        <v>35</v>
      </c>
      <c r="F3483" s="2">
        <v>210101001</v>
      </c>
      <c r="G3483" s="2" t="s">
        <v>36</v>
      </c>
      <c r="I3483" s="95" t="s">
        <v>7231</v>
      </c>
      <c r="J3483" t="s">
        <v>414</v>
      </c>
      <c r="K3483" t="s">
        <v>415</v>
      </c>
      <c r="M3483">
        <v>87.57</v>
      </c>
      <c r="N3483" s="4">
        <f t="shared" si="54"/>
        <v>-7.9936051159072745</v>
      </c>
      <c r="O3483" t="s">
        <v>83</v>
      </c>
    </row>
    <row r="3484" spans="1:17" x14ac:dyDescent="0.25">
      <c r="A3484" s="22">
        <v>45779</v>
      </c>
      <c r="B3484" s="1">
        <v>612240822</v>
      </c>
      <c r="C3484" t="s">
        <v>185</v>
      </c>
      <c r="D3484" s="23">
        <v>-2.1</v>
      </c>
      <c r="E3484" t="s">
        <v>35</v>
      </c>
      <c r="F3484" s="2">
        <v>610148001</v>
      </c>
      <c r="G3484" s="2" t="s">
        <v>41</v>
      </c>
      <c r="I3484" s="95" t="s">
        <v>7231</v>
      </c>
      <c r="J3484" t="s">
        <v>42</v>
      </c>
      <c r="K3484" t="s">
        <v>41</v>
      </c>
      <c r="M3484">
        <v>87.57</v>
      </c>
      <c r="N3484" s="4">
        <f t="shared" si="54"/>
        <v>-2.3980815347721826E-2</v>
      </c>
      <c r="O3484" t="s">
        <v>83</v>
      </c>
      <c r="Q3484" s="24" t="s">
        <v>2650</v>
      </c>
    </row>
    <row r="3485" spans="1:17" x14ac:dyDescent="0.25">
      <c r="A3485" s="22">
        <v>45779</v>
      </c>
      <c r="B3485" s="1">
        <v>152139807</v>
      </c>
      <c r="C3485" t="s">
        <v>2655</v>
      </c>
      <c r="D3485" s="23">
        <v>165322.74</v>
      </c>
      <c r="E3485" t="s">
        <v>45</v>
      </c>
      <c r="F3485" s="2">
        <v>110106001</v>
      </c>
      <c r="G3485" s="2" t="s">
        <v>1011</v>
      </c>
      <c r="I3485" s="95" t="s">
        <v>7231</v>
      </c>
      <c r="K3485" t="s">
        <v>2656</v>
      </c>
      <c r="M3485">
        <v>87.57</v>
      </c>
      <c r="N3485" s="4">
        <f t="shared" si="54"/>
        <v>1887.8924289140116</v>
      </c>
      <c r="O3485" t="s">
        <v>83</v>
      </c>
    </row>
    <row r="3486" spans="1:17" x14ac:dyDescent="0.25">
      <c r="A3486" s="22">
        <v>45779</v>
      </c>
      <c r="B3486" s="1">
        <v>12262463</v>
      </c>
      <c r="C3486" t="s">
        <v>2657</v>
      </c>
      <c r="D3486" s="23">
        <v>-5254.2</v>
      </c>
      <c r="E3486" t="s">
        <v>35</v>
      </c>
      <c r="F3486" s="2">
        <v>212901001</v>
      </c>
      <c r="G3486" s="2" t="s">
        <v>91</v>
      </c>
      <c r="I3486" s="95" t="s">
        <v>7231</v>
      </c>
      <c r="J3486" t="s">
        <v>61</v>
      </c>
      <c r="K3486" t="s">
        <v>62</v>
      </c>
      <c r="M3486">
        <v>87.57</v>
      </c>
      <c r="N3486" s="4">
        <f t="shared" si="54"/>
        <v>-60</v>
      </c>
      <c r="O3486" t="s">
        <v>83</v>
      </c>
    </row>
    <row r="3487" spans="1:17" x14ac:dyDescent="0.25">
      <c r="A3487" s="22">
        <v>45779</v>
      </c>
      <c r="B3487" s="1">
        <v>12262467</v>
      </c>
      <c r="C3487" t="s">
        <v>2658</v>
      </c>
      <c r="D3487" s="23">
        <v>-14432.31</v>
      </c>
      <c r="E3487" t="s">
        <v>35</v>
      </c>
      <c r="F3487" s="2">
        <v>210101001</v>
      </c>
      <c r="G3487" s="2" t="s">
        <v>36</v>
      </c>
      <c r="I3487" s="95" t="s">
        <v>7231</v>
      </c>
      <c r="J3487" t="s">
        <v>86</v>
      </c>
      <c r="K3487" t="s">
        <v>87</v>
      </c>
      <c r="M3487">
        <v>87.57</v>
      </c>
      <c r="N3487" s="4">
        <f t="shared" si="54"/>
        <v>-164.80883864337102</v>
      </c>
      <c r="O3487" t="s">
        <v>83</v>
      </c>
    </row>
    <row r="3488" spans="1:17" x14ac:dyDescent="0.25">
      <c r="A3488" s="22">
        <v>45779</v>
      </c>
      <c r="B3488" s="1">
        <v>50573773</v>
      </c>
      <c r="C3488" t="s">
        <v>89</v>
      </c>
      <c r="D3488" s="23">
        <v>-49.21</v>
      </c>
      <c r="E3488" t="s">
        <v>35</v>
      </c>
      <c r="F3488" s="2">
        <v>610148001</v>
      </c>
      <c r="G3488" s="2" t="s">
        <v>41</v>
      </c>
      <c r="I3488" s="95" t="s">
        <v>7231</v>
      </c>
      <c r="J3488" t="s">
        <v>42</v>
      </c>
      <c r="K3488" t="s">
        <v>41</v>
      </c>
      <c r="M3488">
        <v>87.57</v>
      </c>
      <c r="N3488" s="4">
        <f t="shared" si="54"/>
        <v>-0.5619504396482814</v>
      </c>
      <c r="O3488" t="s">
        <v>83</v>
      </c>
      <c r="Q3488" s="24" t="s">
        <v>2650</v>
      </c>
    </row>
    <row r="3489" spans="1:15" x14ac:dyDescent="0.25">
      <c r="A3489" s="22">
        <v>45779</v>
      </c>
      <c r="B3489" s="1">
        <v>160711202</v>
      </c>
      <c r="C3489" t="s">
        <v>82</v>
      </c>
      <c r="D3489" s="23">
        <v>500000</v>
      </c>
      <c r="E3489" t="s">
        <v>45</v>
      </c>
      <c r="F3489" s="2">
        <v>210115002</v>
      </c>
      <c r="G3489" s="2" t="s">
        <v>46</v>
      </c>
      <c r="I3489" s="95" t="s">
        <v>7231</v>
      </c>
      <c r="K3489" t="s">
        <v>82</v>
      </c>
      <c r="M3489">
        <v>87.57</v>
      </c>
      <c r="N3489" s="4">
        <f t="shared" si="54"/>
        <v>5709.7179399337674</v>
      </c>
      <c r="O3489" t="s">
        <v>83</v>
      </c>
    </row>
    <row r="3490" spans="1:15" x14ac:dyDescent="0.25">
      <c r="A3490" s="22">
        <v>45779</v>
      </c>
      <c r="B3490" s="1">
        <v>12265918</v>
      </c>
      <c r="C3490" t="s">
        <v>2659</v>
      </c>
      <c r="D3490" s="23">
        <v>-8757</v>
      </c>
      <c r="E3490" t="s">
        <v>35</v>
      </c>
      <c r="F3490" s="2">
        <v>212901001</v>
      </c>
      <c r="G3490" s="2" t="s">
        <v>91</v>
      </c>
      <c r="I3490" s="95" t="s">
        <v>7231</v>
      </c>
      <c r="J3490" t="s">
        <v>61</v>
      </c>
      <c r="K3490" t="s">
        <v>62</v>
      </c>
      <c r="M3490">
        <v>87.57</v>
      </c>
      <c r="N3490" s="4">
        <f t="shared" si="54"/>
        <v>-100.00000000000001</v>
      </c>
      <c r="O3490" t="s">
        <v>83</v>
      </c>
    </row>
    <row r="3491" spans="1:15" x14ac:dyDescent="0.25">
      <c r="A3491" s="22">
        <v>45779</v>
      </c>
      <c r="B3491" s="1">
        <v>12265917</v>
      </c>
      <c r="C3491" t="s">
        <v>2660</v>
      </c>
      <c r="D3491" s="23">
        <v>-8757</v>
      </c>
      <c r="E3491" t="s">
        <v>35</v>
      </c>
      <c r="F3491" s="2">
        <v>212901001</v>
      </c>
      <c r="G3491" s="2" t="s">
        <v>91</v>
      </c>
      <c r="I3491" s="95" t="s">
        <v>7231</v>
      </c>
      <c r="J3491" t="s">
        <v>61</v>
      </c>
      <c r="K3491" t="s">
        <v>62</v>
      </c>
      <c r="M3491">
        <v>87.57</v>
      </c>
      <c r="N3491" s="4">
        <f t="shared" si="54"/>
        <v>-100.00000000000001</v>
      </c>
      <c r="O3491" t="s">
        <v>83</v>
      </c>
    </row>
    <row r="3492" spans="1:15" x14ac:dyDescent="0.25">
      <c r="A3492" s="22">
        <v>45779</v>
      </c>
      <c r="B3492" s="1">
        <v>12265919</v>
      </c>
      <c r="C3492" t="s">
        <v>2661</v>
      </c>
      <c r="D3492" s="23">
        <v>-8757</v>
      </c>
      <c r="E3492" t="s">
        <v>35</v>
      </c>
      <c r="F3492" s="2">
        <v>212901001</v>
      </c>
      <c r="G3492" s="2" t="s">
        <v>91</v>
      </c>
      <c r="I3492" s="95" t="s">
        <v>7231</v>
      </c>
      <c r="J3492" t="s">
        <v>61</v>
      </c>
      <c r="K3492" t="s">
        <v>62</v>
      </c>
      <c r="M3492">
        <v>87.57</v>
      </c>
      <c r="N3492" s="4">
        <f t="shared" si="54"/>
        <v>-100.00000000000001</v>
      </c>
      <c r="O3492" t="s">
        <v>83</v>
      </c>
    </row>
    <row r="3493" spans="1:15" x14ac:dyDescent="0.25">
      <c r="A3493" s="22">
        <v>45779</v>
      </c>
      <c r="B3493" s="1">
        <v>12265920</v>
      </c>
      <c r="C3493" t="s">
        <v>2662</v>
      </c>
      <c r="D3493" s="23">
        <v>-8757</v>
      </c>
      <c r="E3493" t="s">
        <v>35</v>
      </c>
      <c r="F3493" s="2">
        <v>212901001</v>
      </c>
      <c r="G3493" s="2" t="s">
        <v>91</v>
      </c>
      <c r="I3493" s="95" t="s">
        <v>7231</v>
      </c>
      <c r="J3493" t="s">
        <v>61</v>
      </c>
      <c r="K3493" t="s">
        <v>62</v>
      </c>
      <c r="M3493">
        <v>87.57</v>
      </c>
      <c r="N3493" s="4">
        <f t="shared" si="54"/>
        <v>-100.00000000000001</v>
      </c>
      <c r="O3493" t="s">
        <v>83</v>
      </c>
    </row>
    <row r="3494" spans="1:15" x14ac:dyDescent="0.25">
      <c r="A3494" s="22">
        <v>45779</v>
      </c>
      <c r="B3494" s="1">
        <v>12265923</v>
      </c>
      <c r="C3494" t="s">
        <v>2663</v>
      </c>
      <c r="D3494" s="23">
        <v>-8757</v>
      </c>
      <c r="E3494" t="s">
        <v>35</v>
      </c>
      <c r="F3494" s="2">
        <v>212901001</v>
      </c>
      <c r="G3494" s="2" t="s">
        <v>91</v>
      </c>
      <c r="I3494" s="95" t="s">
        <v>7231</v>
      </c>
      <c r="J3494" t="s">
        <v>61</v>
      </c>
      <c r="K3494" t="s">
        <v>62</v>
      </c>
      <c r="M3494">
        <v>87.57</v>
      </c>
      <c r="N3494" s="4">
        <f t="shared" si="54"/>
        <v>-100.00000000000001</v>
      </c>
      <c r="O3494" t="s">
        <v>83</v>
      </c>
    </row>
    <row r="3495" spans="1:15" x14ac:dyDescent="0.25">
      <c r="A3495" s="22">
        <v>45779</v>
      </c>
      <c r="B3495" s="1">
        <v>12265921</v>
      </c>
      <c r="C3495" t="s">
        <v>2664</v>
      </c>
      <c r="D3495" s="23">
        <v>-8757</v>
      </c>
      <c r="E3495" t="s">
        <v>35</v>
      </c>
      <c r="F3495" s="2">
        <v>212901001</v>
      </c>
      <c r="G3495" s="2" t="s">
        <v>91</v>
      </c>
      <c r="I3495" s="95" t="s">
        <v>7231</v>
      </c>
      <c r="J3495" t="s">
        <v>61</v>
      </c>
      <c r="K3495" t="s">
        <v>62</v>
      </c>
      <c r="M3495">
        <v>87.57</v>
      </c>
      <c r="N3495" s="4">
        <f t="shared" si="54"/>
        <v>-100.00000000000001</v>
      </c>
      <c r="O3495" t="s">
        <v>83</v>
      </c>
    </row>
    <row r="3496" spans="1:15" x14ac:dyDescent="0.25">
      <c r="A3496" s="22">
        <v>45779</v>
      </c>
      <c r="B3496" s="1">
        <v>12265924</v>
      </c>
      <c r="C3496" t="s">
        <v>2665</v>
      </c>
      <c r="D3496" s="23">
        <v>-8757</v>
      </c>
      <c r="E3496" t="s">
        <v>35</v>
      </c>
      <c r="F3496" s="2">
        <v>212901001</v>
      </c>
      <c r="G3496" s="2" t="s">
        <v>91</v>
      </c>
      <c r="I3496" s="95" t="s">
        <v>7231</v>
      </c>
      <c r="J3496" t="s">
        <v>61</v>
      </c>
      <c r="K3496" t="s">
        <v>62</v>
      </c>
      <c r="M3496">
        <v>87.57</v>
      </c>
      <c r="N3496" s="4">
        <f t="shared" si="54"/>
        <v>-100.00000000000001</v>
      </c>
      <c r="O3496" t="s">
        <v>83</v>
      </c>
    </row>
    <row r="3497" spans="1:15" x14ac:dyDescent="0.25">
      <c r="A3497" s="22">
        <v>45779</v>
      </c>
      <c r="B3497" s="1">
        <v>12265925</v>
      </c>
      <c r="C3497" t="s">
        <v>2666</v>
      </c>
      <c r="D3497" s="23">
        <v>-8757</v>
      </c>
      <c r="E3497" t="s">
        <v>35</v>
      </c>
      <c r="F3497" s="2">
        <v>212901001</v>
      </c>
      <c r="G3497" s="2" t="s">
        <v>91</v>
      </c>
      <c r="I3497" s="95" t="s">
        <v>7231</v>
      </c>
      <c r="J3497" t="s">
        <v>61</v>
      </c>
      <c r="K3497" t="s">
        <v>62</v>
      </c>
      <c r="M3497">
        <v>87.57</v>
      </c>
      <c r="N3497" s="4">
        <f t="shared" si="54"/>
        <v>-100.00000000000001</v>
      </c>
      <c r="O3497" t="s">
        <v>83</v>
      </c>
    </row>
    <row r="3498" spans="1:15" x14ac:dyDescent="0.25">
      <c r="A3498" s="22">
        <v>45779</v>
      </c>
      <c r="B3498" s="1">
        <v>12265927</v>
      </c>
      <c r="C3498" t="s">
        <v>2667</v>
      </c>
      <c r="D3498" s="23">
        <v>-8757</v>
      </c>
      <c r="E3498" t="s">
        <v>35</v>
      </c>
      <c r="F3498" s="2">
        <v>212901001</v>
      </c>
      <c r="G3498" s="2" t="s">
        <v>91</v>
      </c>
      <c r="I3498" s="95" t="s">
        <v>7231</v>
      </c>
      <c r="J3498" t="s">
        <v>61</v>
      </c>
      <c r="K3498" t="s">
        <v>62</v>
      </c>
      <c r="M3498">
        <v>87.57</v>
      </c>
      <c r="N3498" s="4">
        <f t="shared" si="54"/>
        <v>-100.00000000000001</v>
      </c>
      <c r="O3498" t="s">
        <v>83</v>
      </c>
    </row>
    <row r="3499" spans="1:15" x14ac:dyDescent="0.25">
      <c r="A3499" s="22">
        <v>45779</v>
      </c>
      <c r="B3499" s="1">
        <v>112265928</v>
      </c>
      <c r="C3499" t="s">
        <v>2668</v>
      </c>
      <c r="D3499" s="23">
        <v>-8757</v>
      </c>
      <c r="E3499" t="s">
        <v>35</v>
      </c>
      <c r="F3499" s="2">
        <v>212901001</v>
      </c>
      <c r="G3499" s="2" t="s">
        <v>91</v>
      </c>
      <c r="I3499" s="95" t="s">
        <v>7231</v>
      </c>
      <c r="J3499" t="s">
        <v>61</v>
      </c>
      <c r="K3499" t="s">
        <v>62</v>
      </c>
      <c r="M3499">
        <v>87.57</v>
      </c>
      <c r="N3499" s="4">
        <f t="shared" si="54"/>
        <v>-100.00000000000001</v>
      </c>
      <c r="O3499" t="s">
        <v>83</v>
      </c>
    </row>
    <row r="3500" spans="1:15" x14ac:dyDescent="0.25">
      <c r="A3500" s="22">
        <v>45779</v>
      </c>
      <c r="B3500" s="1">
        <v>112265932</v>
      </c>
      <c r="C3500" t="s">
        <v>2669</v>
      </c>
      <c r="D3500" s="23">
        <v>-8757</v>
      </c>
      <c r="E3500" t="s">
        <v>35</v>
      </c>
      <c r="F3500" s="2">
        <v>212901001</v>
      </c>
      <c r="G3500" s="2" t="s">
        <v>91</v>
      </c>
      <c r="I3500" s="95" t="s">
        <v>7231</v>
      </c>
      <c r="J3500" t="s">
        <v>61</v>
      </c>
      <c r="K3500" t="s">
        <v>62</v>
      </c>
      <c r="M3500">
        <v>87.57</v>
      </c>
      <c r="N3500" s="4">
        <f t="shared" si="54"/>
        <v>-100.00000000000001</v>
      </c>
      <c r="O3500" t="s">
        <v>83</v>
      </c>
    </row>
    <row r="3501" spans="1:15" x14ac:dyDescent="0.25">
      <c r="A3501" s="22">
        <v>45779</v>
      </c>
      <c r="B3501" s="1">
        <v>112265929</v>
      </c>
      <c r="C3501" t="s">
        <v>2670</v>
      </c>
      <c r="D3501" s="23">
        <v>-8757</v>
      </c>
      <c r="E3501" t="s">
        <v>35</v>
      </c>
      <c r="F3501" s="2">
        <v>212901001</v>
      </c>
      <c r="G3501" s="2" t="s">
        <v>91</v>
      </c>
      <c r="I3501" s="95" t="s">
        <v>7231</v>
      </c>
      <c r="J3501" t="s">
        <v>61</v>
      </c>
      <c r="K3501" t="s">
        <v>62</v>
      </c>
      <c r="M3501">
        <v>87.57</v>
      </c>
      <c r="N3501" s="4">
        <f t="shared" si="54"/>
        <v>-100.00000000000001</v>
      </c>
      <c r="O3501" t="s">
        <v>83</v>
      </c>
    </row>
    <row r="3502" spans="1:15" x14ac:dyDescent="0.25">
      <c r="A3502" s="22">
        <v>45779</v>
      </c>
      <c r="B3502" s="1">
        <v>112265930</v>
      </c>
      <c r="C3502" t="s">
        <v>2671</v>
      </c>
      <c r="D3502" s="23">
        <v>-8757</v>
      </c>
      <c r="E3502" t="s">
        <v>35</v>
      </c>
      <c r="F3502" s="2">
        <v>212901001</v>
      </c>
      <c r="G3502" s="2" t="s">
        <v>91</v>
      </c>
      <c r="I3502" s="95" t="s">
        <v>7231</v>
      </c>
      <c r="J3502" t="s">
        <v>61</v>
      </c>
      <c r="K3502" t="s">
        <v>62</v>
      </c>
      <c r="M3502">
        <v>87.57</v>
      </c>
      <c r="N3502" s="4">
        <f t="shared" si="54"/>
        <v>-100.00000000000001</v>
      </c>
      <c r="O3502" t="s">
        <v>83</v>
      </c>
    </row>
    <row r="3503" spans="1:15" x14ac:dyDescent="0.25">
      <c r="A3503" s="22">
        <v>45779</v>
      </c>
      <c r="B3503" s="1">
        <v>112265931</v>
      </c>
      <c r="C3503" t="s">
        <v>2672</v>
      </c>
      <c r="D3503" s="23">
        <v>-8757</v>
      </c>
      <c r="E3503" t="s">
        <v>35</v>
      </c>
      <c r="F3503" s="2">
        <v>212901001</v>
      </c>
      <c r="G3503" s="2" t="s">
        <v>91</v>
      </c>
      <c r="I3503" s="95" t="s">
        <v>7231</v>
      </c>
      <c r="J3503" t="s">
        <v>61</v>
      </c>
      <c r="K3503" t="s">
        <v>62</v>
      </c>
      <c r="M3503">
        <v>87.57</v>
      </c>
      <c r="N3503" s="4">
        <f t="shared" si="54"/>
        <v>-100.00000000000001</v>
      </c>
      <c r="O3503" t="s">
        <v>83</v>
      </c>
    </row>
    <row r="3504" spans="1:15" x14ac:dyDescent="0.25">
      <c r="A3504" s="22">
        <v>45779</v>
      </c>
      <c r="B3504" s="1">
        <v>112265934</v>
      </c>
      <c r="C3504" t="s">
        <v>2673</v>
      </c>
      <c r="D3504" s="23">
        <v>-8757</v>
      </c>
      <c r="E3504" t="s">
        <v>35</v>
      </c>
      <c r="F3504" s="2">
        <v>212901001</v>
      </c>
      <c r="G3504" s="2" t="s">
        <v>91</v>
      </c>
      <c r="I3504" s="95" t="s">
        <v>7231</v>
      </c>
      <c r="J3504" t="s">
        <v>61</v>
      </c>
      <c r="K3504" t="s">
        <v>62</v>
      </c>
      <c r="M3504">
        <v>87.57</v>
      </c>
      <c r="N3504" s="4">
        <f t="shared" si="54"/>
        <v>-100.00000000000001</v>
      </c>
      <c r="O3504" t="s">
        <v>83</v>
      </c>
    </row>
    <row r="3505" spans="1:15" x14ac:dyDescent="0.25">
      <c r="A3505" s="22">
        <v>45779</v>
      </c>
      <c r="B3505" s="1">
        <v>112265933</v>
      </c>
      <c r="C3505" t="s">
        <v>2674</v>
      </c>
      <c r="D3505" s="23">
        <v>-8757</v>
      </c>
      <c r="E3505" t="s">
        <v>35</v>
      </c>
      <c r="F3505" s="2">
        <v>212901001</v>
      </c>
      <c r="G3505" s="2" t="s">
        <v>91</v>
      </c>
      <c r="I3505" s="95" t="s">
        <v>7231</v>
      </c>
      <c r="J3505" t="s">
        <v>61</v>
      </c>
      <c r="K3505" t="s">
        <v>62</v>
      </c>
      <c r="M3505">
        <v>87.57</v>
      </c>
      <c r="N3505" s="4">
        <f t="shared" si="54"/>
        <v>-100.00000000000001</v>
      </c>
      <c r="O3505" t="s">
        <v>83</v>
      </c>
    </row>
    <row r="3506" spans="1:15" x14ac:dyDescent="0.25">
      <c r="A3506" s="22">
        <v>45779</v>
      </c>
      <c r="B3506" s="1">
        <v>212265938</v>
      </c>
      <c r="C3506" t="s">
        <v>2675</v>
      </c>
      <c r="D3506" s="23">
        <v>-10508.4</v>
      </c>
      <c r="E3506" t="s">
        <v>35</v>
      </c>
      <c r="F3506" s="2">
        <v>212901001</v>
      </c>
      <c r="G3506" s="2" t="s">
        <v>91</v>
      </c>
      <c r="I3506" s="95" t="s">
        <v>7231</v>
      </c>
      <c r="J3506" t="s">
        <v>61</v>
      </c>
      <c r="K3506" t="s">
        <v>62</v>
      </c>
      <c r="M3506">
        <v>87.57</v>
      </c>
      <c r="N3506" s="4">
        <f t="shared" si="54"/>
        <v>-120</v>
      </c>
      <c r="O3506" t="s">
        <v>83</v>
      </c>
    </row>
    <row r="3507" spans="1:15" x14ac:dyDescent="0.25">
      <c r="A3507" s="22">
        <v>45779</v>
      </c>
      <c r="B3507" s="1">
        <v>112265935</v>
      </c>
      <c r="C3507" t="s">
        <v>2676</v>
      </c>
      <c r="D3507" s="23">
        <v>-16638.3</v>
      </c>
      <c r="E3507" t="s">
        <v>35</v>
      </c>
      <c r="F3507" s="2">
        <v>212901001</v>
      </c>
      <c r="G3507" s="2" t="s">
        <v>91</v>
      </c>
      <c r="I3507" s="95" t="s">
        <v>7231</v>
      </c>
      <c r="J3507" t="s">
        <v>61</v>
      </c>
      <c r="K3507" t="s">
        <v>62</v>
      </c>
      <c r="M3507">
        <v>87.57</v>
      </c>
      <c r="N3507" s="4">
        <f t="shared" si="54"/>
        <v>-190</v>
      </c>
      <c r="O3507" t="s">
        <v>83</v>
      </c>
    </row>
    <row r="3508" spans="1:15" x14ac:dyDescent="0.25">
      <c r="A3508" s="22">
        <v>45779</v>
      </c>
      <c r="B3508" s="1">
        <v>212265936</v>
      </c>
      <c r="C3508" t="s">
        <v>2677</v>
      </c>
      <c r="D3508" s="23">
        <v>-12259.8</v>
      </c>
      <c r="E3508" t="s">
        <v>35</v>
      </c>
      <c r="F3508" s="2">
        <v>212901001</v>
      </c>
      <c r="G3508" s="2" t="s">
        <v>91</v>
      </c>
      <c r="I3508" s="95" t="s">
        <v>7231</v>
      </c>
      <c r="J3508" t="s">
        <v>61</v>
      </c>
      <c r="K3508" t="s">
        <v>62</v>
      </c>
      <c r="M3508">
        <v>87.57</v>
      </c>
      <c r="N3508" s="4">
        <f t="shared" si="54"/>
        <v>-140</v>
      </c>
      <c r="O3508" t="s">
        <v>83</v>
      </c>
    </row>
    <row r="3509" spans="1:15" x14ac:dyDescent="0.25">
      <c r="A3509" s="22">
        <v>45779</v>
      </c>
      <c r="B3509" s="1">
        <v>212265940</v>
      </c>
      <c r="C3509" t="s">
        <v>2678</v>
      </c>
      <c r="D3509" s="23">
        <v>-10508.4</v>
      </c>
      <c r="E3509" t="s">
        <v>35</v>
      </c>
      <c r="F3509" s="2">
        <v>212901001</v>
      </c>
      <c r="G3509" s="2" t="s">
        <v>91</v>
      </c>
      <c r="I3509" s="95" t="s">
        <v>7231</v>
      </c>
      <c r="J3509" t="s">
        <v>61</v>
      </c>
      <c r="K3509" t="s">
        <v>62</v>
      </c>
      <c r="M3509">
        <v>87.57</v>
      </c>
      <c r="N3509" s="4">
        <f t="shared" si="54"/>
        <v>-120</v>
      </c>
      <c r="O3509" t="s">
        <v>83</v>
      </c>
    </row>
    <row r="3510" spans="1:15" x14ac:dyDescent="0.25">
      <c r="A3510" s="22">
        <v>45779</v>
      </c>
      <c r="B3510" s="1">
        <v>212265937</v>
      </c>
      <c r="C3510" t="s">
        <v>2679</v>
      </c>
      <c r="D3510" s="23">
        <v>-10508.4</v>
      </c>
      <c r="E3510" t="s">
        <v>35</v>
      </c>
      <c r="F3510" s="2">
        <v>212901001</v>
      </c>
      <c r="G3510" s="2" t="s">
        <v>91</v>
      </c>
      <c r="I3510" s="95" t="s">
        <v>7231</v>
      </c>
      <c r="J3510" t="s">
        <v>61</v>
      </c>
      <c r="K3510" t="s">
        <v>62</v>
      </c>
      <c r="M3510">
        <v>87.57</v>
      </c>
      <c r="N3510" s="4">
        <f t="shared" si="54"/>
        <v>-120</v>
      </c>
      <c r="O3510" t="s">
        <v>83</v>
      </c>
    </row>
    <row r="3511" spans="1:15" x14ac:dyDescent="0.25">
      <c r="A3511" s="22">
        <v>45779</v>
      </c>
      <c r="B3511" s="1">
        <v>212265939</v>
      </c>
      <c r="C3511" t="s">
        <v>2680</v>
      </c>
      <c r="D3511" s="23">
        <v>-10508.4</v>
      </c>
      <c r="E3511" t="s">
        <v>35</v>
      </c>
      <c r="F3511" s="2">
        <v>212901001</v>
      </c>
      <c r="G3511" s="2" t="s">
        <v>91</v>
      </c>
      <c r="I3511" s="95" t="s">
        <v>7231</v>
      </c>
      <c r="J3511" t="s">
        <v>61</v>
      </c>
      <c r="K3511" t="s">
        <v>62</v>
      </c>
      <c r="M3511">
        <v>87.57</v>
      </c>
      <c r="N3511" s="4">
        <f t="shared" si="54"/>
        <v>-120</v>
      </c>
      <c r="O3511" t="s">
        <v>83</v>
      </c>
    </row>
    <row r="3512" spans="1:15" x14ac:dyDescent="0.25">
      <c r="A3512" s="22">
        <v>45779</v>
      </c>
      <c r="B3512" s="1">
        <v>212265942</v>
      </c>
      <c r="C3512" t="s">
        <v>2681</v>
      </c>
      <c r="D3512" s="23">
        <v>-10508.4</v>
      </c>
      <c r="E3512" t="s">
        <v>35</v>
      </c>
      <c r="F3512" s="2">
        <v>212901001</v>
      </c>
      <c r="G3512" s="2" t="s">
        <v>91</v>
      </c>
      <c r="I3512" s="95" t="s">
        <v>7231</v>
      </c>
      <c r="J3512" t="s">
        <v>61</v>
      </c>
      <c r="K3512" t="s">
        <v>62</v>
      </c>
      <c r="M3512">
        <v>87.57</v>
      </c>
      <c r="N3512" s="4">
        <f t="shared" si="54"/>
        <v>-120</v>
      </c>
      <c r="O3512" t="s">
        <v>83</v>
      </c>
    </row>
    <row r="3513" spans="1:15" x14ac:dyDescent="0.25">
      <c r="A3513" s="22">
        <v>45779</v>
      </c>
      <c r="B3513" s="1">
        <v>212265941</v>
      </c>
      <c r="C3513" t="s">
        <v>2682</v>
      </c>
      <c r="D3513" s="23">
        <v>-10508.4</v>
      </c>
      <c r="E3513" t="s">
        <v>35</v>
      </c>
      <c r="F3513" s="2">
        <v>212901001</v>
      </c>
      <c r="G3513" s="2" t="s">
        <v>91</v>
      </c>
      <c r="I3513" s="95" t="s">
        <v>7231</v>
      </c>
      <c r="J3513" t="s">
        <v>61</v>
      </c>
      <c r="K3513" t="s">
        <v>62</v>
      </c>
      <c r="M3513">
        <v>87.57</v>
      </c>
      <c r="N3513" s="4">
        <f t="shared" si="54"/>
        <v>-120</v>
      </c>
      <c r="O3513" t="s">
        <v>83</v>
      </c>
    </row>
    <row r="3514" spans="1:15" x14ac:dyDescent="0.25">
      <c r="A3514" s="22">
        <v>45779</v>
      </c>
      <c r="B3514" s="1">
        <v>212265943</v>
      </c>
      <c r="C3514" t="s">
        <v>2683</v>
      </c>
      <c r="D3514" s="23">
        <v>-7881.3</v>
      </c>
      <c r="E3514" t="s">
        <v>35</v>
      </c>
      <c r="F3514" s="2">
        <v>212901001</v>
      </c>
      <c r="G3514" s="2" t="s">
        <v>91</v>
      </c>
      <c r="I3514" s="95" t="s">
        <v>7231</v>
      </c>
      <c r="J3514" t="s">
        <v>61</v>
      </c>
      <c r="K3514" t="s">
        <v>62</v>
      </c>
      <c r="M3514">
        <v>87.57</v>
      </c>
      <c r="N3514" s="4">
        <f t="shared" si="54"/>
        <v>-90.000000000000014</v>
      </c>
      <c r="O3514" t="s">
        <v>83</v>
      </c>
    </row>
    <row r="3515" spans="1:15" x14ac:dyDescent="0.25">
      <c r="A3515" s="22">
        <v>45779</v>
      </c>
      <c r="B3515" s="1">
        <v>212265944</v>
      </c>
      <c r="C3515" t="s">
        <v>2684</v>
      </c>
      <c r="D3515" s="23">
        <v>-7881.3</v>
      </c>
      <c r="E3515" t="s">
        <v>35</v>
      </c>
      <c r="F3515" s="2">
        <v>212901001</v>
      </c>
      <c r="G3515" s="2" t="s">
        <v>91</v>
      </c>
      <c r="I3515" s="95" t="s">
        <v>7231</v>
      </c>
      <c r="J3515" t="s">
        <v>61</v>
      </c>
      <c r="K3515" t="s">
        <v>62</v>
      </c>
      <c r="M3515">
        <v>87.57</v>
      </c>
      <c r="N3515" s="4">
        <f t="shared" si="54"/>
        <v>-90.000000000000014</v>
      </c>
      <c r="O3515" t="s">
        <v>83</v>
      </c>
    </row>
    <row r="3516" spans="1:15" x14ac:dyDescent="0.25">
      <c r="A3516" s="22">
        <v>45779</v>
      </c>
      <c r="B3516" s="1">
        <v>312265945</v>
      </c>
      <c r="C3516" t="s">
        <v>2685</v>
      </c>
      <c r="D3516" s="23">
        <v>-7881.3</v>
      </c>
      <c r="E3516" t="s">
        <v>35</v>
      </c>
      <c r="F3516" s="2">
        <v>212901001</v>
      </c>
      <c r="G3516" s="2" t="s">
        <v>91</v>
      </c>
      <c r="I3516" s="95" t="s">
        <v>7231</v>
      </c>
      <c r="J3516" t="s">
        <v>61</v>
      </c>
      <c r="K3516" t="s">
        <v>62</v>
      </c>
      <c r="M3516">
        <v>87.57</v>
      </c>
      <c r="N3516" s="4">
        <f t="shared" si="54"/>
        <v>-90.000000000000014</v>
      </c>
      <c r="O3516" t="s">
        <v>83</v>
      </c>
    </row>
    <row r="3517" spans="1:15" x14ac:dyDescent="0.25">
      <c r="A3517" s="22">
        <v>45779</v>
      </c>
      <c r="B3517" s="1">
        <v>312265946</v>
      </c>
      <c r="C3517" t="s">
        <v>2686</v>
      </c>
      <c r="D3517" s="23">
        <v>-7881.3</v>
      </c>
      <c r="E3517" t="s">
        <v>35</v>
      </c>
      <c r="F3517" s="2">
        <v>212901001</v>
      </c>
      <c r="G3517" s="2" t="s">
        <v>91</v>
      </c>
      <c r="I3517" s="95" t="s">
        <v>7231</v>
      </c>
      <c r="J3517" t="s">
        <v>61</v>
      </c>
      <c r="K3517" t="s">
        <v>62</v>
      </c>
      <c r="M3517">
        <v>87.57</v>
      </c>
      <c r="N3517" s="4">
        <f t="shared" si="54"/>
        <v>-90.000000000000014</v>
      </c>
      <c r="O3517" t="s">
        <v>83</v>
      </c>
    </row>
    <row r="3518" spans="1:15" x14ac:dyDescent="0.25">
      <c r="A3518" s="22">
        <v>45779</v>
      </c>
      <c r="B3518" s="1">
        <v>312265947</v>
      </c>
      <c r="C3518" t="s">
        <v>2687</v>
      </c>
      <c r="D3518" s="23">
        <v>-7881.3</v>
      </c>
      <c r="E3518" t="s">
        <v>35</v>
      </c>
      <c r="F3518" s="2">
        <v>212901001</v>
      </c>
      <c r="G3518" s="2" t="s">
        <v>91</v>
      </c>
      <c r="I3518" s="95" t="s">
        <v>7231</v>
      </c>
      <c r="J3518" t="s">
        <v>61</v>
      </c>
      <c r="K3518" t="s">
        <v>62</v>
      </c>
      <c r="M3518">
        <v>87.57</v>
      </c>
      <c r="N3518" s="4">
        <f t="shared" si="54"/>
        <v>-90.000000000000014</v>
      </c>
      <c r="O3518" t="s">
        <v>83</v>
      </c>
    </row>
    <row r="3519" spans="1:15" x14ac:dyDescent="0.25">
      <c r="A3519" s="22">
        <v>45779</v>
      </c>
      <c r="B3519" s="1">
        <v>312265948</v>
      </c>
      <c r="C3519" t="s">
        <v>2688</v>
      </c>
      <c r="D3519" s="23">
        <v>-7881.3</v>
      </c>
      <c r="E3519" t="s">
        <v>35</v>
      </c>
      <c r="F3519" s="2">
        <v>212901001</v>
      </c>
      <c r="G3519" s="2" t="s">
        <v>91</v>
      </c>
      <c r="I3519" s="95" t="s">
        <v>7231</v>
      </c>
      <c r="J3519" t="s">
        <v>61</v>
      </c>
      <c r="K3519" t="s">
        <v>62</v>
      </c>
      <c r="M3519">
        <v>87.57</v>
      </c>
      <c r="N3519" s="4">
        <f t="shared" si="54"/>
        <v>-90.000000000000014</v>
      </c>
      <c r="O3519" t="s">
        <v>83</v>
      </c>
    </row>
    <row r="3520" spans="1:15" x14ac:dyDescent="0.25">
      <c r="A3520" s="22">
        <v>45779</v>
      </c>
      <c r="B3520" s="1">
        <v>312265949</v>
      </c>
      <c r="C3520" t="s">
        <v>2689</v>
      </c>
      <c r="D3520" s="23">
        <v>-7005.6</v>
      </c>
      <c r="E3520" t="s">
        <v>35</v>
      </c>
      <c r="F3520" s="2">
        <v>212901001</v>
      </c>
      <c r="G3520" s="2" t="s">
        <v>91</v>
      </c>
      <c r="I3520" s="95" t="s">
        <v>7231</v>
      </c>
      <c r="J3520" t="s">
        <v>61</v>
      </c>
      <c r="K3520" t="s">
        <v>62</v>
      </c>
      <c r="M3520">
        <v>87.57</v>
      </c>
      <c r="N3520" s="4">
        <f t="shared" si="54"/>
        <v>-80.000000000000014</v>
      </c>
      <c r="O3520" t="s">
        <v>83</v>
      </c>
    </row>
    <row r="3521" spans="1:15" x14ac:dyDescent="0.25">
      <c r="A3521" s="22">
        <v>45779</v>
      </c>
      <c r="B3521" s="1">
        <v>312265952</v>
      </c>
      <c r="C3521" t="s">
        <v>2690</v>
      </c>
      <c r="D3521" s="23">
        <v>-7005.6</v>
      </c>
      <c r="E3521" t="s">
        <v>35</v>
      </c>
      <c r="F3521" s="2">
        <v>212901001</v>
      </c>
      <c r="G3521" s="2" t="s">
        <v>91</v>
      </c>
      <c r="I3521" s="95" t="s">
        <v>7231</v>
      </c>
      <c r="J3521" t="s">
        <v>61</v>
      </c>
      <c r="K3521" t="s">
        <v>62</v>
      </c>
      <c r="M3521">
        <v>87.57</v>
      </c>
      <c r="N3521" s="4">
        <f t="shared" si="54"/>
        <v>-80.000000000000014</v>
      </c>
      <c r="O3521" t="s">
        <v>83</v>
      </c>
    </row>
    <row r="3522" spans="1:15" x14ac:dyDescent="0.25">
      <c r="A3522" s="22">
        <v>45779</v>
      </c>
      <c r="B3522" s="1">
        <v>312265951</v>
      </c>
      <c r="C3522" t="s">
        <v>2691</v>
      </c>
      <c r="D3522" s="23">
        <v>-7005.6</v>
      </c>
      <c r="E3522" t="s">
        <v>35</v>
      </c>
      <c r="F3522" s="2">
        <v>212901001</v>
      </c>
      <c r="G3522" s="2" t="s">
        <v>91</v>
      </c>
      <c r="I3522" s="95" t="s">
        <v>7231</v>
      </c>
      <c r="J3522" t="s">
        <v>61</v>
      </c>
      <c r="K3522" t="s">
        <v>62</v>
      </c>
      <c r="M3522">
        <v>87.57</v>
      </c>
      <c r="N3522" s="4">
        <f t="shared" si="54"/>
        <v>-80.000000000000014</v>
      </c>
      <c r="O3522" t="s">
        <v>83</v>
      </c>
    </row>
    <row r="3523" spans="1:15" x14ac:dyDescent="0.25">
      <c r="A3523" s="22">
        <v>45779</v>
      </c>
      <c r="B3523" s="1">
        <v>312265953</v>
      </c>
      <c r="C3523" t="s">
        <v>2692</v>
      </c>
      <c r="D3523" s="23">
        <v>-7005.6</v>
      </c>
      <c r="E3523" t="s">
        <v>35</v>
      </c>
      <c r="F3523" s="2">
        <v>212901001</v>
      </c>
      <c r="G3523" s="2" t="s">
        <v>91</v>
      </c>
      <c r="I3523" s="95" t="s">
        <v>7231</v>
      </c>
      <c r="J3523" t="s">
        <v>61</v>
      </c>
      <c r="K3523" t="s">
        <v>62</v>
      </c>
      <c r="M3523">
        <v>87.57</v>
      </c>
      <c r="N3523" s="4">
        <f t="shared" si="54"/>
        <v>-80.000000000000014</v>
      </c>
      <c r="O3523" t="s">
        <v>83</v>
      </c>
    </row>
    <row r="3524" spans="1:15" x14ac:dyDescent="0.25">
      <c r="A3524" s="22">
        <v>45779</v>
      </c>
      <c r="B3524" s="1">
        <v>412265956</v>
      </c>
      <c r="C3524" t="s">
        <v>2693</v>
      </c>
      <c r="D3524" s="23">
        <v>-7005.6</v>
      </c>
      <c r="E3524" t="s">
        <v>35</v>
      </c>
      <c r="F3524" s="2">
        <v>212901001</v>
      </c>
      <c r="G3524" s="2" t="s">
        <v>91</v>
      </c>
      <c r="I3524" s="95" t="s">
        <v>7231</v>
      </c>
      <c r="J3524" t="s">
        <v>61</v>
      </c>
      <c r="K3524" t="s">
        <v>62</v>
      </c>
      <c r="M3524">
        <v>87.57</v>
      </c>
      <c r="N3524" s="4">
        <f t="shared" si="54"/>
        <v>-80.000000000000014</v>
      </c>
      <c r="O3524" t="s">
        <v>83</v>
      </c>
    </row>
    <row r="3525" spans="1:15" x14ac:dyDescent="0.25">
      <c r="A3525" s="22">
        <v>45779</v>
      </c>
      <c r="B3525" s="1">
        <v>312265955</v>
      </c>
      <c r="C3525" t="s">
        <v>2694</v>
      </c>
      <c r="D3525" s="23">
        <v>-7005.6</v>
      </c>
      <c r="E3525" t="s">
        <v>35</v>
      </c>
      <c r="F3525" s="2">
        <v>212901001</v>
      </c>
      <c r="G3525" s="2" t="s">
        <v>91</v>
      </c>
      <c r="I3525" s="95" t="s">
        <v>7231</v>
      </c>
      <c r="J3525" t="s">
        <v>61</v>
      </c>
      <c r="K3525" t="s">
        <v>62</v>
      </c>
      <c r="M3525">
        <v>87.57</v>
      </c>
      <c r="N3525" s="4">
        <f t="shared" si="54"/>
        <v>-80.000000000000014</v>
      </c>
      <c r="O3525" t="s">
        <v>83</v>
      </c>
    </row>
    <row r="3526" spans="1:15" x14ac:dyDescent="0.25">
      <c r="A3526" s="22">
        <v>45779</v>
      </c>
      <c r="B3526" s="1">
        <v>412265961</v>
      </c>
      <c r="C3526" t="s">
        <v>2695</v>
      </c>
      <c r="D3526" s="23">
        <v>-12259.8</v>
      </c>
      <c r="E3526" t="s">
        <v>35</v>
      </c>
      <c r="F3526" s="2">
        <v>212901001</v>
      </c>
      <c r="G3526" s="2" t="s">
        <v>91</v>
      </c>
      <c r="I3526" s="95" t="s">
        <v>7231</v>
      </c>
      <c r="J3526" t="s">
        <v>61</v>
      </c>
      <c r="K3526" t="s">
        <v>62</v>
      </c>
      <c r="M3526">
        <v>87.57</v>
      </c>
      <c r="N3526" s="4">
        <f t="shared" si="54"/>
        <v>-140</v>
      </c>
      <c r="O3526" t="s">
        <v>83</v>
      </c>
    </row>
    <row r="3527" spans="1:15" x14ac:dyDescent="0.25">
      <c r="A3527" s="22">
        <v>45779</v>
      </c>
      <c r="B3527" s="1">
        <v>412265962</v>
      </c>
      <c r="C3527" t="s">
        <v>2696</v>
      </c>
      <c r="D3527" s="23">
        <v>-16638.3</v>
      </c>
      <c r="E3527" t="s">
        <v>35</v>
      </c>
      <c r="F3527" s="2">
        <v>212901001</v>
      </c>
      <c r="G3527" s="2" t="s">
        <v>91</v>
      </c>
      <c r="I3527" s="95" t="s">
        <v>7231</v>
      </c>
      <c r="J3527" t="s">
        <v>61</v>
      </c>
      <c r="K3527" t="s">
        <v>62</v>
      </c>
      <c r="M3527">
        <v>87.57</v>
      </c>
      <c r="N3527" s="4">
        <f t="shared" si="54"/>
        <v>-190</v>
      </c>
      <c r="O3527" t="s">
        <v>83</v>
      </c>
    </row>
    <row r="3528" spans="1:15" x14ac:dyDescent="0.25">
      <c r="A3528" s="22">
        <v>45779</v>
      </c>
      <c r="B3528" s="1">
        <v>412265957</v>
      </c>
      <c r="C3528" t="s">
        <v>2697</v>
      </c>
      <c r="D3528" s="23">
        <v>-7005.6</v>
      </c>
      <c r="E3528" t="s">
        <v>35</v>
      </c>
      <c r="F3528" s="2">
        <v>212901001</v>
      </c>
      <c r="G3528" s="2" t="s">
        <v>91</v>
      </c>
      <c r="I3528" s="95" t="s">
        <v>7231</v>
      </c>
      <c r="J3528" t="s">
        <v>61</v>
      </c>
      <c r="K3528" t="s">
        <v>62</v>
      </c>
      <c r="M3528">
        <v>87.57</v>
      </c>
      <c r="N3528" s="4">
        <f t="shared" si="54"/>
        <v>-80.000000000000014</v>
      </c>
      <c r="O3528" t="s">
        <v>83</v>
      </c>
    </row>
    <row r="3529" spans="1:15" x14ac:dyDescent="0.25">
      <c r="A3529" s="22">
        <v>45779</v>
      </c>
      <c r="B3529" s="1">
        <v>412265958</v>
      </c>
      <c r="C3529" t="s">
        <v>2698</v>
      </c>
      <c r="D3529" s="23">
        <v>-8757</v>
      </c>
      <c r="E3529" t="s">
        <v>35</v>
      </c>
      <c r="F3529" s="2">
        <v>212901001</v>
      </c>
      <c r="G3529" s="2" t="s">
        <v>91</v>
      </c>
      <c r="I3529" s="95" t="s">
        <v>7231</v>
      </c>
      <c r="J3529" t="s">
        <v>61</v>
      </c>
      <c r="K3529" t="s">
        <v>62</v>
      </c>
      <c r="M3529">
        <v>87.57</v>
      </c>
      <c r="N3529" s="4">
        <f t="shared" si="54"/>
        <v>-100.00000000000001</v>
      </c>
      <c r="O3529" t="s">
        <v>83</v>
      </c>
    </row>
    <row r="3530" spans="1:15" x14ac:dyDescent="0.25">
      <c r="A3530" s="22">
        <v>45779</v>
      </c>
      <c r="B3530" s="1">
        <v>412265963</v>
      </c>
      <c r="C3530" t="s">
        <v>2699</v>
      </c>
      <c r="D3530" s="23">
        <v>-6129.9</v>
      </c>
      <c r="E3530" t="s">
        <v>35</v>
      </c>
      <c r="F3530" s="2">
        <v>212901001</v>
      </c>
      <c r="G3530" s="2" t="s">
        <v>91</v>
      </c>
      <c r="I3530" s="95" t="s">
        <v>7231</v>
      </c>
      <c r="J3530" t="s">
        <v>61</v>
      </c>
      <c r="K3530" t="s">
        <v>62</v>
      </c>
      <c r="M3530">
        <v>87.57</v>
      </c>
      <c r="N3530" s="4">
        <f t="shared" si="54"/>
        <v>-70</v>
      </c>
      <c r="O3530" t="s">
        <v>83</v>
      </c>
    </row>
    <row r="3531" spans="1:15" x14ac:dyDescent="0.25">
      <c r="A3531" s="22">
        <v>45779</v>
      </c>
      <c r="B3531" s="1">
        <v>412265964</v>
      </c>
      <c r="C3531" t="s">
        <v>2700</v>
      </c>
      <c r="D3531" s="23">
        <v>-13135.5</v>
      </c>
      <c r="E3531" t="s">
        <v>35</v>
      </c>
      <c r="F3531" s="2">
        <v>212901001</v>
      </c>
      <c r="G3531" s="2" t="s">
        <v>91</v>
      </c>
      <c r="I3531" s="95" t="s">
        <v>7231</v>
      </c>
      <c r="J3531" t="s">
        <v>61</v>
      </c>
      <c r="K3531" t="s">
        <v>62</v>
      </c>
      <c r="M3531">
        <v>87.57</v>
      </c>
      <c r="N3531" s="4">
        <f t="shared" si="54"/>
        <v>-150</v>
      </c>
      <c r="O3531" t="s">
        <v>83</v>
      </c>
    </row>
    <row r="3532" spans="1:15" x14ac:dyDescent="0.25">
      <c r="A3532" s="22">
        <v>45779</v>
      </c>
      <c r="B3532" s="1">
        <v>412265967</v>
      </c>
      <c r="C3532" t="s">
        <v>2701</v>
      </c>
      <c r="D3532" s="23">
        <v>-12259.8</v>
      </c>
      <c r="E3532" t="s">
        <v>35</v>
      </c>
      <c r="F3532" s="2">
        <v>212901001</v>
      </c>
      <c r="G3532" s="2" t="s">
        <v>91</v>
      </c>
      <c r="I3532" s="95" t="s">
        <v>7231</v>
      </c>
      <c r="J3532" t="s">
        <v>61</v>
      </c>
      <c r="K3532" t="s">
        <v>62</v>
      </c>
      <c r="M3532">
        <v>87.57</v>
      </c>
      <c r="N3532" s="4">
        <f t="shared" ref="N3532:N3595" si="55">D3532/M3532</f>
        <v>-140</v>
      </c>
      <c r="O3532" t="s">
        <v>83</v>
      </c>
    </row>
    <row r="3533" spans="1:15" x14ac:dyDescent="0.25">
      <c r="A3533" s="22">
        <v>45779</v>
      </c>
      <c r="B3533" s="1">
        <v>512265969</v>
      </c>
      <c r="C3533" t="s">
        <v>2702</v>
      </c>
      <c r="D3533" s="23">
        <v>-9632.7000000000007</v>
      </c>
      <c r="E3533" t="s">
        <v>35</v>
      </c>
      <c r="F3533" s="2">
        <v>212901001</v>
      </c>
      <c r="G3533" s="2" t="s">
        <v>91</v>
      </c>
      <c r="I3533" s="95" t="s">
        <v>7231</v>
      </c>
      <c r="J3533" t="s">
        <v>61</v>
      </c>
      <c r="K3533" t="s">
        <v>62</v>
      </c>
      <c r="M3533">
        <v>87.57</v>
      </c>
      <c r="N3533" s="4">
        <f t="shared" si="55"/>
        <v>-110.00000000000001</v>
      </c>
      <c r="O3533" t="s">
        <v>83</v>
      </c>
    </row>
    <row r="3534" spans="1:15" x14ac:dyDescent="0.25">
      <c r="A3534" s="22">
        <v>45779</v>
      </c>
      <c r="B3534" s="1">
        <v>512265968</v>
      </c>
      <c r="C3534" t="s">
        <v>2703</v>
      </c>
      <c r="D3534" s="23">
        <v>-4028.22</v>
      </c>
      <c r="E3534" t="s">
        <v>35</v>
      </c>
      <c r="F3534" s="2">
        <v>212901001</v>
      </c>
      <c r="G3534" s="2" t="s">
        <v>91</v>
      </c>
      <c r="I3534" s="95" t="s">
        <v>7231</v>
      </c>
      <c r="J3534" t="s">
        <v>61</v>
      </c>
      <c r="K3534" t="s">
        <v>62</v>
      </c>
      <c r="M3534">
        <v>87.57</v>
      </c>
      <c r="N3534" s="4">
        <f t="shared" si="55"/>
        <v>-46</v>
      </c>
      <c r="O3534" t="s">
        <v>83</v>
      </c>
    </row>
    <row r="3535" spans="1:15" x14ac:dyDescent="0.25">
      <c r="A3535" s="22">
        <v>45779</v>
      </c>
      <c r="B3535" s="1">
        <v>412265965</v>
      </c>
      <c r="C3535" t="s">
        <v>2704</v>
      </c>
      <c r="D3535" s="23">
        <v>-10508.4</v>
      </c>
      <c r="E3535" t="s">
        <v>35</v>
      </c>
      <c r="F3535" s="2">
        <v>212901001</v>
      </c>
      <c r="G3535" s="2" t="s">
        <v>91</v>
      </c>
      <c r="I3535" s="95" t="s">
        <v>7231</v>
      </c>
      <c r="J3535" t="s">
        <v>61</v>
      </c>
      <c r="K3535" t="s">
        <v>62</v>
      </c>
      <c r="M3535">
        <v>87.57</v>
      </c>
      <c r="N3535" s="4">
        <f t="shared" si="55"/>
        <v>-120</v>
      </c>
      <c r="O3535" t="s">
        <v>83</v>
      </c>
    </row>
    <row r="3536" spans="1:15" x14ac:dyDescent="0.25">
      <c r="A3536" s="22">
        <v>45779</v>
      </c>
      <c r="B3536" s="1">
        <v>512265970</v>
      </c>
      <c r="C3536" t="s">
        <v>2705</v>
      </c>
      <c r="D3536" s="23">
        <v>-9632.7000000000007</v>
      </c>
      <c r="E3536" t="s">
        <v>35</v>
      </c>
      <c r="F3536" s="2">
        <v>212901001</v>
      </c>
      <c r="G3536" s="2" t="s">
        <v>91</v>
      </c>
      <c r="I3536" s="95" t="s">
        <v>7231</v>
      </c>
      <c r="J3536" t="s">
        <v>61</v>
      </c>
      <c r="K3536" t="s">
        <v>62</v>
      </c>
      <c r="M3536">
        <v>87.57</v>
      </c>
      <c r="N3536" s="4">
        <f t="shared" si="55"/>
        <v>-110.00000000000001</v>
      </c>
      <c r="O3536" t="s">
        <v>83</v>
      </c>
    </row>
    <row r="3537" spans="1:15" x14ac:dyDescent="0.25">
      <c r="A3537" s="22">
        <v>45779</v>
      </c>
      <c r="B3537" s="1">
        <v>512265971</v>
      </c>
      <c r="C3537" t="s">
        <v>2706</v>
      </c>
      <c r="D3537" s="23">
        <v>-9632.7000000000007</v>
      </c>
      <c r="E3537" t="s">
        <v>35</v>
      </c>
      <c r="F3537" s="2">
        <v>212901001</v>
      </c>
      <c r="G3537" s="2" t="s">
        <v>91</v>
      </c>
      <c r="I3537" s="95" t="s">
        <v>7231</v>
      </c>
      <c r="J3537" t="s">
        <v>61</v>
      </c>
      <c r="K3537" t="s">
        <v>62</v>
      </c>
      <c r="M3537">
        <v>87.57</v>
      </c>
      <c r="N3537" s="4">
        <f t="shared" si="55"/>
        <v>-110.00000000000001</v>
      </c>
      <c r="O3537" t="s">
        <v>83</v>
      </c>
    </row>
    <row r="3538" spans="1:15" x14ac:dyDescent="0.25">
      <c r="A3538" s="22">
        <v>45779</v>
      </c>
      <c r="B3538" s="1">
        <v>512265972</v>
      </c>
      <c r="C3538" t="s">
        <v>2707</v>
      </c>
      <c r="D3538" s="23">
        <v>-7881.3</v>
      </c>
      <c r="E3538" t="s">
        <v>35</v>
      </c>
      <c r="F3538" s="2">
        <v>212901001</v>
      </c>
      <c r="G3538" s="2" t="s">
        <v>91</v>
      </c>
      <c r="I3538" s="95" t="s">
        <v>7231</v>
      </c>
      <c r="J3538" t="s">
        <v>61</v>
      </c>
      <c r="K3538" t="s">
        <v>62</v>
      </c>
      <c r="M3538">
        <v>87.57</v>
      </c>
      <c r="N3538" s="4">
        <f t="shared" si="55"/>
        <v>-90.000000000000014</v>
      </c>
      <c r="O3538" t="s">
        <v>83</v>
      </c>
    </row>
    <row r="3539" spans="1:15" x14ac:dyDescent="0.25">
      <c r="A3539" s="22">
        <v>45779</v>
      </c>
      <c r="B3539" s="1">
        <v>512265977</v>
      </c>
      <c r="C3539" t="s">
        <v>2708</v>
      </c>
      <c r="D3539" s="23">
        <v>-7881.3</v>
      </c>
      <c r="E3539" t="s">
        <v>35</v>
      </c>
      <c r="F3539" s="2">
        <v>212901001</v>
      </c>
      <c r="G3539" s="2" t="s">
        <v>91</v>
      </c>
      <c r="I3539" s="95" t="s">
        <v>7231</v>
      </c>
      <c r="J3539" t="s">
        <v>61</v>
      </c>
      <c r="K3539" t="s">
        <v>62</v>
      </c>
      <c r="M3539">
        <v>87.57</v>
      </c>
      <c r="N3539" s="4">
        <f t="shared" si="55"/>
        <v>-90.000000000000014</v>
      </c>
      <c r="O3539" t="s">
        <v>83</v>
      </c>
    </row>
    <row r="3540" spans="1:15" x14ac:dyDescent="0.25">
      <c r="A3540" s="22">
        <v>45779</v>
      </c>
      <c r="B3540" s="1">
        <v>512265975</v>
      </c>
      <c r="C3540" t="s">
        <v>2709</v>
      </c>
      <c r="D3540" s="23">
        <v>-7881.3</v>
      </c>
      <c r="E3540" t="s">
        <v>35</v>
      </c>
      <c r="F3540" s="2">
        <v>212901001</v>
      </c>
      <c r="G3540" s="2" t="s">
        <v>91</v>
      </c>
      <c r="I3540" s="95" t="s">
        <v>7231</v>
      </c>
      <c r="J3540" t="s">
        <v>61</v>
      </c>
      <c r="K3540" t="s">
        <v>62</v>
      </c>
      <c r="M3540">
        <v>87.57</v>
      </c>
      <c r="N3540" s="4">
        <f t="shared" si="55"/>
        <v>-90.000000000000014</v>
      </c>
      <c r="O3540" t="s">
        <v>83</v>
      </c>
    </row>
    <row r="3541" spans="1:15" x14ac:dyDescent="0.25">
      <c r="A3541" s="22">
        <v>45779</v>
      </c>
      <c r="B3541" s="1">
        <v>612265982</v>
      </c>
      <c r="C3541" t="s">
        <v>2710</v>
      </c>
      <c r="D3541" s="23">
        <v>-7881.3</v>
      </c>
      <c r="E3541" t="s">
        <v>35</v>
      </c>
      <c r="F3541" s="2">
        <v>212901001</v>
      </c>
      <c r="G3541" s="2" t="s">
        <v>91</v>
      </c>
      <c r="I3541" s="95" t="s">
        <v>7231</v>
      </c>
      <c r="J3541" t="s">
        <v>61</v>
      </c>
      <c r="K3541" t="s">
        <v>62</v>
      </c>
      <c r="M3541">
        <v>87.57</v>
      </c>
      <c r="N3541" s="4">
        <f t="shared" si="55"/>
        <v>-90.000000000000014</v>
      </c>
      <c r="O3541" t="s">
        <v>83</v>
      </c>
    </row>
    <row r="3542" spans="1:15" x14ac:dyDescent="0.25">
      <c r="A3542" s="22">
        <v>45779</v>
      </c>
      <c r="B3542" s="1">
        <v>512265978</v>
      </c>
      <c r="C3542" t="s">
        <v>2711</v>
      </c>
      <c r="D3542" s="23">
        <v>-7881.3</v>
      </c>
      <c r="E3542" t="s">
        <v>35</v>
      </c>
      <c r="F3542" s="2">
        <v>212901001</v>
      </c>
      <c r="G3542" s="2" t="s">
        <v>91</v>
      </c>
      <c r="I3542" s="95" t="s">
        <v>7231</v>
      </c>
      <c r="J3542" t="s">
        <v>61</v>
      </c>
      <c r="K3542" t="s">
        <v>62</v>
      </c>
      <c r="M3542">
        <v>87.57</v>
      </c>
      <c r="N3542" s="4">
        <f t="shared" si="55"/>
        <v>-90.000000000000014</v>
      </c>
      <c r="O3542" t="s">
        <v>83</v>
      </c>
    </row>
    <row r="3543" spans="1:15" x14ac:dyDescent="0.25">
      <c r="A3543" s="22">
        <v>45779</v>
      </c>
      <c r="B3543" s="1">
        <v>612265980</v>
      </c>
      <c r="C3543" t="s">
        <v>2712</v>
      </c>
      <c r="D3543" s="23">
        <v>-7881.3</v>
      </c>
      <c r="E3543" t="s">
        <v>35</v>
      </c>
      <c r="F3543" s="2">
        <v>212901001</v>
      </c>
      <c r="G3543" s="2" t="s">
        <v>91</v>
      </c>
      <c r="I3543" s="95" t="s">
        <v>7231</v>
      </c>
      <c r="J3543" t="s">
        <v>61</v>
      </c>
      <c r="K3543" t="s">
        <v>62</v>
      </c>
      <c r="M3543">
        <v>87.57</v>
      </c>
      <c r="N3543" s="4">
        <f t="shared" si="55"/>
        <v>-90.000000000000014</v>
      </c>
      <c r="O3543" t="s">
        <v>83</v>
      </c>
    </row>
    <row r="3544" spans="1:15" x14ac:dyDescent="0.25">
      <c r="A3544" s="22">
        <v>45779</v>
      </c>
      <c r="B3544" s="1">
        <v>612265979</v>
      </c>
      <c r="C3544" t="s">
        <v>2708</v>
      </c>
      <c r="D3544" s="23">
        <v>-7881.3</v>
      </c>
      <c r="E3544" t="s">
        <v>35</v>
      </c>
      <c r="F3544" s="2">
        <v>212901001</v>
      </c>
      <c r="G3544" s="2" t="s">
        <v>91</v>
      </c>
      <c r="I3544" s="95" t="s">
        <v>7231</v>
      </c>
      <c r="J3544" t="s">
        <v>61</v>
      </c>
      <c r="K3544" t="s">
        <v>62</v>
      </c>
      <c r="M3544">
        <v>87.57</v>
      </c>
      <c r="N3544" s="4">
        <f t="shared" si="55"/>
        <v>-90.000000000000014</v>
      </c>
      <c r="O3544" t="s">
        <v>83</v>
      </c>
    </row>
    <row r="3545" spans="1:15" x14ac:dyDescent="0.25">
      <c r="A3545" s="22">
        <v>45779</v>
      </c>
      <c r="B3545" s="1">
        <v>612265984</v>
      </c>
      <c r="C3545" t="s">
        <v>2713</v>
      </c>
      <c r="D3545" s="23">
        <v>-7881.3</v>
      </c>
      <c r="E3545" t="s">
        <v>35</v>
      </c>
      <c r="F3545" s="2">
        <v>212901001</v>
      </c>
      <c r="G3545" s="2" t="s">
        <v>91</v>
      </c>
      <c r="I3545" s="95" t="s">
        <v>7231</v>
      </c>
      <c r="J3545" t="s">
        <v>61</v>
      </c>
      <c r="K3545" t="s">
        <v>62</v>
      </c>
      <c r="M3545">
        <v>87.57</v>
      </c>
      <c r="N3545" s="4">
        <f t="shared" si="55"/>
        <v>-90.000000000000014</v>
      </c>
      <c r="O3545" t="s">
        <v>83</v>
      </c>
    </row>
    <row r="3546" spans="1:15" x14ac:dyDescent="0.25">
      <c r="A3546" s="22">
        <v>45779</v>
      </c>
      <c r="B3546" s="1">
        <v>612265981</v>
      </c>
      <c r="C3546" t="s">
        <v>2714</v>
      </c>
      <c r="D3546" s="23">
        <v>-7881.3</v>
      </c>
      <c r="E3546" t="s">
        <v>35</v>
      </c>
      <c r="F3546" s="2">
        <v>212901001</v>
      </c>
      <c r="G3546" s="2" t="s">
        <v>91</v>
      </c>
      <c r="I3546" s="95" t="s">
        <v>7231</v>
      </c>
      <c r="J3546" t="s">
        <v>61</v>
      </c>
      <c r="K3546" t="s">
        <v>62</v>
      </c>
      <c r="M3546">
        <v>87.57</v>
      </c>
      <c r="N3546" s="4">
        <f t="shared" si="55"/>
        <v>-90.000000000000014</v>
      </c>
      <c r="O3546" t="s">
        <v>83</v>
      </c>
    </row>
    <row r="3547" spans="1:15" x14ac:dyDescent="0.25">
      <c r="A3547" s="22">
        <v>45779</v>
      </c>
      <c r="B3547" s="1">
        <v>612265983</v>
      </c>
      <c r="C3547" t="s">
        <v>2715</v>
      </c>
      <c r="D3547" s="23">
        <v>-7881.3</v>
      </c>
      <c r="E3547" t="s">
        <v>35</v>
      </c>
      <c r="F3547" s="2">
        <v>212901001</v>
      </c>
      <c r="G3547" s="2" t="s">
        <v>91</v>
      </c>
      <c r="I3547" s="95" t="s">
        <v>7231</v>
      </c>
      <c r="J3547" t="s">
        <v>61</v>
      </c>
      <c r="K3547" t="s">
        <v>62</v>
      </c>
      <c r="M3547">
        <v>87.57</v>
      </c>
      <c r="N3547" s="4">
        <f t="shared" si="55"/>
        <v>-90.000000000000014</v>
      </c>
      <c r="O3547" t="s">
        <v>83</v>
      </c>
    </row>
    <row r="3548" spans="1:15" x14ac:dyDescent="0.25">
      <c r="A3548" s="22">
        <v>45779</v>
      </c>
      <c r="B3548" s="1">
        <v>612265986</v>
      </c>
      <c r="C3548" t="s">
        <v>2716</v>
      </c>
      <c r="D3548" s="23">
        <v>-7881.3</v>
      </c>
      <c r="E3548" t="s">
        <v>35</v>
      </c>
      <c r="F3548" s="2">
        <v>212901001</v>
      </c>
      <c r="G3548" s="2" t="s">
        <v>91</v>
      </c>
      <c r="I3548" s="95" t="s">
        <v>7231</v>
      </c>
      <c r="J3548" t="s">
        <v>61</v>
      </c>
      <c r="K3548" t="s">
        <v>62</v>
      </c>
      <c r="M3548">
        <v>87.57</v>
      </c>
      <c r="N3548" s="4">
        <f t="shared" si="55"/>
        <v>-90.000000000000014</v>
      </c>
      <c r="O3548" t="s">
        <v>83</v>
      </c>
    </row>
    <row r="3549" spans="1:15" x14ac:dyDescent="0.25">
      <c r="A3549" s="22">
        <v>45779</v>
      </c>
      <c r="B3549" s="1">
        <v>612265985</v>
      </c>
      <c r="C3549" t="s">
        <v>2717</v>
      </c>
      <c r="D3549" s="23">
        <v>-7881.3</v>
      </c>
      <c r="E3549" t="s">
        <v>35</v>
      </c>
      <c r="F3549" s="2">
        <v>212901001</v>
      </c>
      <c r="G3549" s="2" t="s">
        <v>91</v>
      </c>
      <c r="I3549" s="95" t="s">
        <v>7231</v>
      </c>
      <c r="J3549" t="s">
        <v>61</v>
      </c>
      <c r="K3549" t="s">
        <v>62</v>
      </c>
      <c r="M3549">
        <v>87.57</v>
      </c>
      <c r="N3549" s="4">
        <f t="shared" si="55"/>
        <v>-90.000000000000014</v>
      </c>
      <c r="O3549" t="s">
        <v>83</v>
      </c>
    </row>
    <row r="3550" spans="1:15" x14ac:dyDescent="0.25">
      <c r="A3550" s="22">
        <v>45779</v>
      </c>
      <c r="B3550" s="1">
        <v>612265988</v>
      </c>
      <c r="C3550" t="s">
        <v>2718</v>
      </c>
      <c r="D3550" s="23">
        <v>-7881.3</v>
      </c>
      <c r="E3550" t="s">
        <v>35</v>
      </c>
      <c r="F3550" s="2">
        <v>212901001</v>
      </c>
      <c r="G3550" s="2" t="s">
        <v>91</v>
      </c>
      <c r="I3550" s="95" t="s">
        <v>7231</v>
      </c>
      <c r="J3550" t="s">
        <v>61</v>
      </c>
      <c r="K3550" t="s">
        <v>62</v>
      </c>
      <c r="M3550">
        <v>87.57</v>
      </c>
      <c r="N3550" s="4">
        <f t="shared" si="55"/>
        <v>-90.000000000000014</v>
      </c>
      <c r="O3550" t="s">
        <v>83</v>
      </c>
    </row>
    <row r="3551" spans="1:15" x14ac:dyDescent="0.25">
      <c r="A3551" s="22">
        <v>45779</v>
      </c>
      <c r="B3551" s="1">
        <v>612265987</v>
      </c>
      <c r="C3551" t="s">
        <v>2719</v>
      </c>
      <c r="D3551" s="23">
        <v>-7881.3</v>
      </c>
      <c r="E3551" t="s">
        <v>35</v>
      </c>
      <c r="F3551" s="2">
        <v>212901001</v>
      </c>
      <c r="G3551" s="2" t="s">
        <v>91</v>
      </c>
      <c r="I3551" s="95" t="s">
        <v>7231</v>
      </c>
      <c r="J3551" t="s">
        <v>61</v>
      </c>
      <c r="K3551" t="s">
        <v>62</v>
      </c>
      <c r="M3551">
        <v>87.57</v>
      </c>
      <c r="N3551" s="4">
        <f t="shared" si="55"/>
        <v>-90.000000000000014</v>
      </c>
      <c r="O3551" t="s">
        <v>83</v>
      </c>
    </row>
    <row r="3552" spans="1:15" x14ac:dyDescent="0.25">
      <c r="A3552" s="22">
        <v>45779</v>
      </c>
      <c r="B3552" s="1">
        <v>712265992</v>
      </c>
      <c r="C3552" t="s">
        <v>2720</v>
      </c>
      <c r="D3552" s="23">
        <v>-5254.2</v>
      </c>
      <c r="E3552" t="s">
        <v>35</v>
      </c>
      <c r="F3552" s="2">
        <v>212901001</v>
      </c>
      <c r="G3552" s="2" t="s">
        <v>91</v>
      </c>
      <c r="I3552" s="95" t="s">
        <v>7231</v>
      </c>
      <c r="J3552" t="s">
        <v>61</v>
      </c>
      <c r="K3552" t="s">
        <v>62</v>
      </c>
      <c r="M3552">
        <v>87.57</v>
      </c>
      <c r="N3552" s="4">
        <f t="shared" si="55"/>
        <v>-60</v>
      </c>
      <c r="O3552" t="s">
        <v>83</v>
      </c>
    </row>
    <row r="3553" spans="1:17" x14ac:dyDescent="0.25">
      <c r="A3553" s="22">
        <v>45779</v>
      </c>
      <c r="B3553" s="1">
        <v>712265991</v>
      </c>
      <c r="C3553" t="s">
        <v>2721</v>
      </c>
      <c r="D3553" s="23">
        <v>-5254.2</v>
      </c>
      <c r="E3553" t="s">
        <v>35</v>
      </c>
      <c r="F3553" s="2">
        <v>212901001</v>
      </c>
      <c r="G3553" s="2" t="s">
        <v>91</v>
      </c>
      <c r="I3553" s="95" t="s">
        <v>7231</v>
      </c>
      <c r="J3553" t="s">
        <v>61</v>
      </c>
      <c r="K3553" t="s">
        <v>62</v>
      </c>
      <c r="M3553">
        <v>87.57</v>
      </c>
      <c r="N3553" s="4">
        <f t="shared" si="55"/>
        <v>-60</v>
      </c>
      <c r="O3553" t="s">
        <v>83</v>
      </c>
    </row>
    <row r="3554" spans="1:17" x14ac:dyDescent="0.25">
      <c r="A3554" s="22">
        <v>45779</v>
      </c>
      <c r="B3554" s="1">
        <v>712265990</v>
      </c>
      <c r="C3554" t="s">
        <v>2722</v>
      </c>
      <c r="D3554" s="23">
        <v>-7881.3</v>
      </c>
      <c r="E3554" t="s">
        <v>35</v>
      </c>
      <c r="F3554" s="2">
        <v>212901001</v>
      </c>
      <c r="G3554" s="2" t="s">
        <v>91</v>
      </c>
      <c r="I3554" s="95" t="s">
        <v>7231</v>
      </c>
      <c r="J3554" t="s">
        <v>61</v>
      </c>
      <c r="K3554" t="s">
        <v>62</v>
      </c>
      <c r="M3554">
        <v>87.57</v>
      </c>
      <c r="N3554" s="4">
        <f t="shared" si="55"/>
        <v>-90.000000000000014</v>
      </c>
      <c r="O3554" t="s">
        <v>83</v>
      </c>
    </row>
    <row r="3555" spans="1:17" x14ac:dyDescent="0.25">
      <c r="A3555" s="22">
        <v>45779</v>
      </c>
      <c r="B3555" s="1">
        <v>712265996</v>
      </c>
      <c r="C3555" t="s">
        <v>2723</v>
      </c>
      <c r="D3555" s="23">
        <v>-17514</v>
      </c>
      <c r="E3555" t="s">
        <v>35</v>
      </c>
      <c r="F3555" s="2">
        <v>212901001</v>
      </c>
      <c r="G3555" s="2" t="s">
        <v>91</v>
      </c>
      <c r="I3555" s="95" t="s">
        <v>7231</v>
      </c>
      <c r="J3555" t="s">
        <v>61</v>
      </c>
      <c r="K3555" t="s">
        <v>62</v>
      </c>
      <c r="M3555">
        <v>87.57</v>
      </c>
      <c r="N3555" s="4">
        <f t="shared" si="55"/>
        <v>-200.00000000000003</v>
      </c>
      <c r="O3555" t="s">
        <v>83</v>
      </c>
    </row>
    <row r="3556" spans="1:17" x14ac:dyDescent="0.25">
      <c r="A3556" s="22">
        <v>45779</v>
      </c>
      <c r="B3556" s="1">
        <v>712265994</v>
      </c>
      <c r="C3556" t="s">
        <v>2724</v>
      </c>
      <c r="D3556" s="23">
        <v>-5254.2</v>
      </c>
      <c r="E3556" t="s">
        <v>35</v>
      </c>
      <c r="F3556" s="2">
        <v>212901001</v>
      </c>
      <c r="G3556" s="2" t="s">
        <v>91</v>
      </c>
      <c r="I3556" s="95" t="s">
        <v>7231</v>
      </c>
      <c r="J3556" t="s">
        <v>61</v>
      </c>
      <c r="K3556" t="s">
        <v>62</v>
      </c>
      <c r="M3556">
        <v>87.57</v>
      </c>
      <c r="N3556" s="4">
        <f t="shared" si="55"/>
        <v>-60</v>
      </c>
      <c r="O3556" t="s">
        <v>83</v>
      </c>
    </row>
    <row r="3557" spans="1:17" x14ac:dyDescent="0.25">
      <c r="A3557" s="33">
        <v>45779</v>
      </c>
      <c r="B3557" s="27">
        <v>712265993</v>
      </c>
      <c r="C3557" s="28" t="s">
        <v>2725</v>
      </c>
      <c r="D3557" s="29">
        <v>-5254.2</v>
      </c>
      <c r="E3557" s="28" t="s">
        <v>35</v>
      </c>
      <c r="F3557" s="30">
        <v>610156001</v>
      </c>
      <c r="G3557" s="30" t="s">
        <v>72</v>
      </c>
      <c r="H3557" s="30"/>
      <c r="I3557" s="95" t="s">
        <v>7231</v>
      </c>
      <c r="J3557" s="28" t="s">
        <v>2398</v>
      </c>
      <c r="K3557" s="28" t="s">
        <v>632</v>
      </c>
      <c r="L3557" s="28" t="s">
        <v>56</v>
      </c>
      <c r="M3557" s="28">
        <v>87.57</v>
      </c>
      <c r="N3557" s="4">
        <f t="shared" si="55"/>
        <v>-60</v>
      </c>
      <c r="O3557" t="s">
        <v>83</v>
      </c>
      <c r="Q3557" s="24" t="s">
        <v>2726</v>
      </c>
    </row>
    <row r="3558" spans="1:17" x14ac:dyDescent="0.25">
      <c r="A3558" s="22">
        <v>45779</v>
      </c>
      <c r="B3558" s="1">
        <v>712265995</v>
      </c>
      <c r="C3558" t="s">
        <v>2727</v>
      </c>
      <c r="D3558" s="23">
        <v>-8757</v>
      </c>
      <c r="E3558" t="s">
        <v>35</v>
      </c>
      <c r="F3558" s="2">
        <v>212901001</v>
      </c>
      <c r="G3558" s="2" t="s">
        <v>91</v>
      </c>
      <c r="I3558" s="95" t="s">
        <v>7231</v>
      </c>
      <c r="J3558" t="s">
        <v>61</v>
      </c>
      <c r="K3558" t="s">
        <v>62</v>
      </c>
      <c r="M3558">
        <v>87.57</v>
      </c>
      <c r="N3558" s="4">
        <f t="shared" si="55"/>
        <v>-100.00000000000001</v>
      </c>
      <c r="O3558" t="s">
        <v>83</v>
      </c>
    </row>
    <row r="3559" spans="1:17" x14ac:dyDescent="0.25">
      <c r="A3559" s="22">
        <v>45779</v>
      </c>
      <c r="B3559" s="1">
        <v>712265998</v>
      </c>
      <c r="C3559" t="s">
        <v>2728</v>
      </c>
      <c r="D3559" s="23">
        <v>-6129.9</v>
      </c>
      <c r="E3559" t="s">
        <v>35</v>
      </c>
      <c r="F3559" s="2">
        <v>212901001</v>
      </c>
      <c r="G3559" s="2" t="s">
        <v>91</v>
      </c>
      <c r="I3559" s="95" t="s">
        <v>7231</v>
      </c>
      <c r="J3559" t="s">
        <v>61</v>
      </c>
      <c r="K3559" t="s">
        <v>62</v>
      </c>
      <c r="M3559">
        <v>87.57</v>
      </c>
      <c r="N3559" s="4">
        <f t="shared" si="55"/>
        <v>-70</v>
      </c>
      <c r="O3559" t="s">
        <v>83</v>
      </c>
    </row>
    <row r="3560" spans="1:17" x14ac:dyDescent="0.25">
      <c r="A3560" s="22">
        <v>45779</v>
      </c>
      <c r="B3560" s="1">
        <v>712265997</v>
      </c>
      <c r="C3560" t="s">
        <v>2729</v>
      </c>
      <c r="D3560" s="23">
        <v>-10683.54</v>
      </c>
      <c r="E3560" t="s">
        <v>35</v>
      </c>
      <c r="F3560" s="2">
        <v>212901001</v>
      </c>
      <c r="G3560" s="2" t="s">
        <v>91</v>
      </c>
      <c r="I3560" s="95" t="s">
        <v>7231</v>
      </c>
      <c r="J3560" t="s">
        <v>61</v>
      </c>
      <c r="K3560" t="s">
        <v>62</v>
      </c>
      <c r="M3560">
        <v>87.57</v>
      </c>
      <c r="N3560" s="4">
        <f t="shared" si="55"/>
        <v>-122.00000000000001</v>
      </c>
      <c r="O3560" t="s">
        <v>83</v>
      </c>
    </row>
    <row r="3561" spans="1:17" x14ac:dyDescent="0.25">
      <c r="A3561" s="22">
        <v>45779</v>
      </c>
      <c r="B3561" s="1">
        <v>812265999</v>
      </c>
      <c r="C3561" t="s">
        <v>2730</v>
      </c>
      <c r="D3561" s="23">
        <v>-7005.6</v>
      </c>
      <c r="E3561" t="s">
        <v>35</v>
      </c>
      <c r="F3561" s="2">
        <v>212901001</v>
      </c>
      <c r="G3561" s="2" t="s">
        <v>91</v>
      </c>
      <c r="I3561" s="95" t="s">
        <v>7231</v>
      </c>
      <c r="J3561" t="s">
        <v>61</v>
      </c>
      <c r="K3561" t="s">
        <v>62</v>
      </c>
      <c r="M3561">
        <v>87.57</v>
      </c>
      <c r="N3561" s="4">
        <f t="shared" si="55"/>
        <v>-80.000000000000014</v>
      </c>
      <c r="O3561" t="s">
        <v>83</v>
      </c>
    </row>
    <row r="3562" spans="1:17" x14ac:dyDescent="0.25">
      <c r="A3562" s="22">
        <v>45779</v>
      </c>
      <c r="B3562" s="1">
        <v>50551558</v>
      </c>
      <c r="C3562" t="s">
        <v>2731</v>
      </c>
      <c r="D3562" s="23">
        <v>-15762.6</v>
      </c>
      <c r="E3562" t="s">
        <v>35</v>
      </c>
      <c r="F3562" s="2">
        <v>212901001</v>
      </c>
      <c r="G3562" s="2" t="s">
        <v>91</v>
      </c>
      <c r="I3562" s="95" t="s">
        <v>7231</v>
      </c>
      <c r="J3562" t="s">
        <v>61</v>
      </c>
      <c r="K3562" t="s">
        <v>62</v>
      </c>
      <c r="M3562">
        <v>87.57</v>
      </c>
      <c r="N3562" s="4">
        <f t="shared" si="55"/>
        <v>-180.00000000000003</v>
      </c>
      <c r="O3562" t="s">
        <v>83</v>
      </c>
    </row>
    <row r="3563" spans="1:17" x14ac:dyDescent="0.25">
      <c r="A3563" s="22">
        <v>45779</v>
      </c>
      <c r="B3563" s="1">
        <v>50551558</v>
      </c>
      <c r="C3563" t="s">
        <v>179</v>
      </c>
      <c r="D3563" s="23">
        <v>-23.64</v>
      </c>
      <c r="E3563" t="s">
        <v>35</v>
      </c>
      <c r="F3563" s="2">
        <v>610148001</v>
      </c>
      <c r="G3563" s="2" t="s">
        <v>41</v>
      </c>
      <c r="I3563" s="95" t="s">
        <v>7231</v>
      </c>
      <c r="J3563" t="s">
        <v>42</v>
      </c>
      <c r="K3563" t="s">
        <v>41</v>
      </c>
      <c r="M3563">
        <v>87.57</v>
      </c>
      <c r="N3563" s="4">
        <f t="shared" si="55"/>
        <v>-0.26995546420006855</v>
      </c>
      <c r="O3563" t="s">
        <v>83</v>
      </c>
      <c r="Q3563" s="24" t="s">
        <v>2650</v>
      </c>
    </row>
    <row r="3564" spans="1:17" x14ac:dyDescent="0.25">
      <c r="A3564" s="22">
        <v>45779</v>
      </c>
      <c r="B3564" s="1">
        <v>50551558</v>
      </c>
      <c r="C3564" t="s">
        <v>89</v>
      </c>
      <c r="D3564" s="23">
        <v>-1575.82</v>
      </c>
      <c r="E3564" t="s">
        <v>35</v>
      </c>
      <c r="F3564" s="2">
        <v>610148001</v>
      </c>
      <c r="G3564" s="2" t="s">
        <v>41</v>
      </c>
      <c r="I3564" s="95" t="s">
        <v>7231</v>
      </c>
      <c r="J3564" t="s">
        <v>42</v>
      </c>
      <c r="K3564" t="s">
        <v>41</v>
      </c>
      <c r="M3564">
        <v>87.57</v>
      </c>
      <c r="N3564" s="4">
        <f t="shared" si="55"/>
        <v>-17.994975448212859</v>
      </c>
      <c r="O3564" t="s">
        <v>83</v>
      </c>
      <c r="Q3564" s="24" t="s">
        <v>2650</v>
      </c>
    </row>
    <row r="3565" spans="1:17" x14ac:dyDescent="0.25">
      <c r="A3565" s="22">
        <v>45782</v>
      </c>
      <c r="B3565" s="1">
        <v>512395228</v>
      </c>
      <c r="C3565" t="s">
        <v>2732</v>
      </c>
      <c r="D3565" s="23">
        <v>-1751.4</v>
      </c>
      <c r="E3565" t="s">
        <v>35</v>
      </c>
      <c r="F3565" s="2">
        <v>212901001</v>
      </c>
      <c r="G3565" s="2" t="s">
        <v>91</v>
      </c>
      <c r="I3565" s="95" t="s">
        <v>7231</v>
      </c>
      <c r="J3565" t="s">
        <v>61</v>
      </c>
      <c r="K3565" t="s">
        <v>62</v>
      </c>
      <c r="M3565">
        <v>88.64</v>
      </c>
      <c r="N3565" s="4">
        <f t="shared" si="55"/>
        <v>-19.758574007220219</v>
      </c>
      <c r="O3565" t="s">
        <v>83</v>
      </c>
    </row>
    <row r="3566" spans="1:17" x14ac:dyDescent="0.25">
      <c r="A3566" s="22">
        <v>45782</v>
      </c>
      <c r="B3566" s="1">
        <v>512395228</v>
      </c>
      <c r="C3566" t="s">
        <v>185</v>
      </c>
      <c r="D3566" s="23">
        <v>-5.25</v>
      </c>
      <c r="E3566" t="s">
        <v>35</v>
      </c>
      <c r="F3566" s="2">
        <v>610148001</v>
      </c>
      <c r="G3566" s="2" t="s">
        <v>41</v>
      </c>
      <c r="I3566" s="95" t="s">
        <v>7231</v>
      </c>
      <c r="J3566" t="s">
        <v>42</v>
      </c>
      <c r="K3566" t="s">
        <v>41</v>
      </c>
      <c r="M3566">
        <v>88.64</v>
      </c>
      <c r="N3566" s="4">
        <f t="shared" si="55"/>
        <v>-5.9228339350180507E-2</v>
      </c>
      <c r="O3566" t="s">
        <v>83</v>
      </c>
      <c r="Q3566" s="24" t="s">
        <v>2650</v>
      </c>
    </row>
    <row r="3567" spans="1:17" x14ac:dyDescent="0.25">
      <c r="A3567" s="22">
        <v>45782</v>
      </c>
      <c r="B3567" s="1">
        <v>133946427</v>
      </c>
      <c r="C3567" t="s">
        <v>82</v>
      </c>
      <c r="D3567" s="23">
        <v>85000</v>
      </c>
      <c r="E3567" t="s">
        <v>45</v>
      </c>
      <c r="F3567" s="2">
        <v>210115002</v>
      </c>
      <c r="G3567" s="2" t="s">
        <v>46</v>
      </c>
      <c r="I3567" s="95" t="s">
        <v>7231</v>
      </c>
      <c r="K3567" t="s">
        <v>82</v>
      </c>
      <c r="M3567">
        <v>88.64</v>
      </c>
      <c r="N3567" s="4">
        <f t="shared" si="55"/>
        <v>958.93501805054154</v>
      </c>
      <c r="O3567" t="s">
        <v>83</v>
      </c>
    </row>
    <row r="3568" spans="1:17" x14ac:dyDescent="0.25">
      <c r="A3568" s="22">
        <v>45782</v>
      </c>
      <c r="B3568" s="1">
        <v>812407631</v>
      </c>
      <c r="C3568" t="s">
        <v>2733</v>
      </c>
      <c r="D3568" s="23">
        <v>-8509.44</v>
      </c>
      <c r="E3568" t="s">
        <v>35</v>
      </c>
      <c r="F3568" s="2">
        <v>210101001</v>
      </c>
      <c r="G3568" s="2" t="s">
        <v>36</v>
      </c>
      <c r="I3568" s="95" t="s">
        <v>7231</v>
      </c>
      <c r="J3568" t="s">
        <v>37</v>
      </c>
      <c r="K3568" t="s">
        <v>38</v>
      </c>
      <c r="M3568">
        <v>88.64</v>
      </c>
      <c r="N3568" s="4">
        <f t="shared" si="55"/>
        <v>-96</v>
      </c>
      <c r="O3568" t="s">
        <v>83</v>
      </c>
    </row>
    <row r="3569" spans="1:17" x14ac:dyDescent="0.25">
      <c r="A3569" s="22">
        <v>45782</v>
      </c>
      <c r="B3569" s="1">
        <v>812407629</v>
      </c>
      <c r="C3569" t="s">
        <v>2734</v>
      </c>
      <c r="D3569" s="23">
        <v>-6621.16</v>
      </c>
      <c r="E3569" t="s">
        <v>35</v>
      </c>
      <c r="F3569" s="2">
        <v>210101001</v>
      </c>
      <c r="G3569" s="2" t="s">
        <v>36</v>
      </c>
      <c r="I3569" s="95" t="s">
        <v>7231</v>
      </c>
      <c r="J3569" t="s">
        <v>380</v>
      </c>
      <c r="K3569" t="s">
        <v>381</v>
      </c>
      <c r="M3569">
        <v>88.64</v>
      </c>
      <c r="N3569" s="4">
        <f t="shared" si="55"/>
        <v>-74.697202166064983</v>
      </c>
      <c r="O3569" t="s">
        <v>83</v>
      </c>
    </row>
    <row r="3570" spans="1:17" x14ac:dyDescent="0.25">
      <c r="A3570" s="22">
        <v>45782</v>
      </c>
      <c r="B3570" s="1">
        <v>812407630</v>
      </c>
      <c r="C3570" t="s">
        <v>2735</v>
      </c>
      <c r="D3570" s="23">
        <v>-49567.49</v>
      </c>
      <c r="E3570" t="s">
        <v>35</v>
      </c>
      <c r="F3570" s="2">
        <v>210101001</v>
      </c>
      <c r="G3570" s="2" t="s">
        <v>36</v>
      </c>
      <c r="I3570" s="95" t="s">
        <v>7231</v>
      </c>
      <c r="J3570" t="s">
        <v>37</v>
      </c>
      <c r="K3570" t="s">
        <v>38</v>
      </c>
      <c r="M3570">
        <v>88.64</v>
      </c>
      <c r="N3570" s="4">
        <f t="shared" si="55"/>
        <v>-559.20002256317684</v>
      </c>
      <c r="O3570" t="s">
        <v>83</v>
      </c>
    </row>
    <row r="3571" spans="1:17" x14ac:dyDescent="0.25">
      <c r="A3571" s="22">
        <v>45782</v>
      </c>
      <c r="B3571" s="1">
        <v>812407628</v>
      </c>
      <c r="C3571" t="s">
        <v>2736</v>
      </c>
      <c r="D3571" s="23">
        <v>-1794</v>
      </c>
      <c r="E3571" t="s">
        <v>35</v>
      </c>
      <c r="F3571" s="2">
        <v>210101001</v>
      </c>
      <c r="G3571" s="2" t="s">
        <v>36</v>
      </c>
      <c r="I3571" s="95" t="s">
        <v>7231</v>
      </c>
      <c r="J3571" t="s">
        <v>86</v>
      </c>
      <c r="K3571" t="s">
        <v>87</v>
      </c>
      <c r="M3571">
        <v>88.64</v>
      </c>
      <c r="N3571" s="4">
        <f t="shared" si="55"/>
        <v>-20.239169675090253</v>
      </c>
      <c r="O3571" t="s">
        <v>83</v>
      </c>
    </row>
    <row r="3572" spans="1:17" x14ac:dyDescent="0.25">
      <c r="A3572" s="22">
        <v>45782</v>
      </c>
      <c r="B3572" s="1">
        <v>50558796</v>
      </c>
      <c r="C3572" t="s">
        <v>89</v>
      </c>
      <c r="D3572" s="23">
        <v>-166.23</v>
      </c>
      <c r="E3572" t="s">
        <v>35</v>
      </c>
      <c r="F3572" s="2">
        <v>610148001</v>
      </c>
      <c r="G3572" s="2" t="s">
        <v>41</v>
      </c>
      <c r="I3572" s="95" t="s">
        <v>7231</v>
      </c>
      <c r="J3572" t="s">
        <v>42</v>
      </c>
      <c r="K3572" t="s">
        <v>41</v>
      </c>
      <c r="M3572">
        <v>88.64</v>
      </c>
      <c r="N3572" s="4">
        <f t="shared" si="55"/>
        <v>-1.8753384476534294</v>
      </c>
      <c r="O3572" t="s">
        <v>83</v>
      </c>
      <c r="Q3572" s="24" t="s">
        <v>2650</v>
      </c>
    </row>
    <row r="3573" spans="1:17" x14ac:dyDescent="0.25">
      <c r="A3573" s="33">
        <v>45782</v>
      </c>
      <c r="B3573" s="27">
        <v>134526816</v>
      </c>
      <c r="C3573" s="28" t="s">
        <v>2737</v>
      </c>
      <c r="D3573" s="29">
        <v>-3350.35</v>
      </c>
      <c r="E3573" s="28" t="s">
        <v>35</v>
      </c>
      <c r="F3573" s="30">
        <v>610122003</v>
      </c>
      <c r="G3573" s="30" t="s">
        <v>2738</v>
      </c>
      <c r="H3573" s="30"/>
      <c r="I3573" s="95" t="s">
        <v>7231</v>
      </c>
      <c r="J3573" s="28" t="s">
        <v>2739</v>
      </c>
      <c r="K3573" s="28" t="s">
        <v>2740</v>
      </c>
      <c r="L3573" s="28" t="s">
        <v>56</v>
      </c>
      <c r="M3573" s="28">
        <v>88.64</v>
      </c>
      <c r="N3573" s="4">
        <f t="shared" si="55"/>
        <v>-37.797269855595665</v>
      </c>
      <c r="O3573" t="s">
        <v>83</v>
      </c>
      <c r="Q3573" s="24" t="s">
        <v>2741</v>
      </c>
    </row>
    <row r="3574" spans="1:17" x14ac:dyDescent="0.25">
      <c r="A3574" s="33">
        <v>45782</v>
      </c>
      <c r="B3574" s="27">
        <v>134555366</v>
      </c>
      <c r="C3574" s="28" t="s">
        <v>2742</v>
      </c>
      <c r="D3574" s="29">
        <v>-3702.59</v>
      </c>
      <c r="E3574" s="28" t="s">
        <v>35</v>
      </c>
      <c r="F3574" s="30">
        <v>610122003</v>
      </c>
      <c r="G3574" s="30" t="s">
        <v>2738</v>
      </c>
      <c r="H3574" s="30"/>
      <c r="I3574" s="95" t="s">
        <v>7231</v>
      </c>
      <c r="J3574" s="28" t="s">
        <v>2739</v>
      </c>
      <c r="K3574" s="28" t="s">
        <v>2740</v>
      </c>
      <c r="L3574" s="28" t="s">
        <v>56</v>
      </c>
      <c r="M3574" s="28">
        <v>88.64</v>
      </c>
      <c r="N3574" s="4">
        <f t="shared" si="55"/>
        <v>-41.771096570397113</v>
      </c>
      <c r="O3574" t="s">
        <v>83</v>
      </c>
      <c r="Q3574" s="24" t="s">
        <v>2741</v>
      </c>
    </row>
    <row r="3575" spans="1:17" x14ac:dyDescent="0.25">
      <c r="A3575" s="33">
        <v>45782</v>
      </c>
      <c r="B3575" s="27">
        <v>134621432</v>
      </c>
      <c r="C3575" s="28" t="s">
        <v>2743</v>
      </c>
      <c r="D3575" s="29">
        <v>-4379.8</v>
      </c>
      <c r="E3575" s="28" t="s">
        <v>35</v>
      </c>
      <c r="F3575" s="30">
        <v>610122003</v>
      </c>
      <c r="G3575" s="30" t="s">
        <v>2738</v>
      </c>
      <c r="H3575" s="30"/>
      <c r="I3575" s="95" t="s">
        <v>7231</v>
      </c>
      <c r="J3575" s="28" t="s">
        <v>2739</v>
      </c>
      <c r="K3575" s="28" t="s">
        <v>2740</v>
      </c>
      <c r="L3575" s="28" t="s">
        <v>56</v>
      </c>
      <c r="M3575" s="28">
        <v>88.64</v>
      </c>
      <c r="N3575" s="4">
        <f t="shared" si="55"/>
        <v>-49.411101083032491</v>
      </c>
      <c r="O3575" t="s">
        <v>83</v>
      </c>
      <c r="Q3575" s="24" t="s">
        <v>2741</v>
      </c>
    </row>
    <row r="3576" spans="1:17" x14ac:dyDescent="0.25">
      <c r="A3576" s="33">
        <v>45782</v>
      </c>
      <c r="B3576" s="27">
        <v>134651119</v>
      </c>
      <c r="C3576" s="28" t="s">
        <v>2744</v>
      </c>
      <c r="D3576" s="29">
        <v>-2750.81</v>
      </c>
      <c r="E3576" s="28" t="s">
        <v>35</v>
      </c>
      <c r="F3576" s="30">
        <v>610122003</v>
      </c>
      <c r="G3576" s="30" t="s">
        <v>2738</v>
      </c>
      <c r="H3576" s="30"/>
      <c r="I3576" s="95" t="s">
        <v>7231</v>
      </c>
      <c r="J3576" s="28" t="s">
        <v>2739</v>
      </c>
      <c r="K3576" s="28" t="s">
        <v>2740</v>
      </c>
      <c r="L3576" s="28" t="s">
        <v>56</v>
      </c>
      <c r="M3576" s="28">
        <v>88.64</v>
      </c>
      <c r="N3576" s="4">
        <f t="shared" si="55"/>
        <v>-31.033506317689529</v>
      </c>
      <c r="O3576" t="s">
        <v>83</v>
      </c>
      <c r="Q3576" s="24" t="s">
        <v>2741</v>
      </c>
    </row>
    <row r="3577" spans="1:17" x14ac:dyDescent="0.25">
      <c r="A3577" s="22">
        <v>45782</v>
      </c>
      <c r="B3577" s="1">
        <v>152030289</v>
      </c>
      <c r="C3577" t="s">
        <v>2745</v>
      </c>
      <c r="D3577" s="23">
        <v>130689.47</v>
      </c>
      <c r="E3577" t="s">
        <v>45</v>
      </c>
      <c r="F3577" s="2">
        <v>110106001</v>
      </c>
      <c r="G3577" s="2" t="s">
        <v>1011</v>
      </c>
      <c r="I3577" s="95" t="s">
        <v>7231</v>
      </c>
      <c r="K3577" t="s">
        <v>2746</v>
      </c>
      <c r="M3577">
        <v>88.64</v>
      </c>
      <c r="N3577" s="4">
        <f t="shared" si="55"/>
        <v>1474.3848149819494</v>
      </c>
      <c r="O3577" t="s">
        <v>83</v>
      </c>
    </row>
    <row r="3578" spans="1:17" x14ac:dyDescent="0.25">
      <c r="A3578" s="22">
        <v>45782</v>
      </c>
      <c r="B3578" s="1">
        <v>712413825</v>
      </c>
      <c r="C3578" t="s">
        <v>2733</v>
      </c>
      <c r="D3578" s="23">
        <v>-17813.09</v>
      </c>
      <c r="E3578" t="s">
        <v>35</v>
      </c>
      <c r="F3578" s="2">
        <v>210101001</v>
      </c>
      <c r="G3578" s="2" t="s">
        <v>36</v>
      </c>
      <c r="I3578" s="95" t="s">
        <v>7231</v>
      </c>
      <c r="J3578" t="s">
        <v>37</v>
      </c>
      <c r="K3578" t="s">
        <v>38</v>
      </c>
      <c r="M3578">
        <v>88.64</v>
      </c>
      <c r="N3578" s="4">
        <f t="shared" si="55"/>
        <v>-200.95995036101084</v>
      </c>
      <c r="O3578" t="s">
        <v>83</v>
      </c>
    </row>
    <row r="3579" spans="1:17" x14ac:dyDescent="0.25">
      <c r="A3579" s="22">
        <v>45782</v>
      </c>
      <c r="B3579" s="1">
        <v>712413825</v>
      </c>
      <c r="C3579" t="s">
        <v>185</v>
      </c>
      <c r="D3579" s="23">
        <v>-53.44</v>
      </c>
      <c r="E3579" t="s">
        <v>35</v>
      </c>
      <c r="F3579" s="2">
        <v>610148001</v>
      </c>
      <c r="G3579" s="2" t="s">
        <v>41</v>
      </c>
      <c r="I3579" s="95" t="s">
        <v>7231</v>
      </c>
      <c r="J3579" t="s">
        <v>42</v>
      </c>
      <c r="K3579" t="s">
        <v>41</v>
      </c>
      <c r="M3579">
        <v>88.64</v>
      </c>
      <c r="N3579" s="4">
        <f t="shared" si="55"/>
        <v>-0.6028880866425993</v>
      </c>
      <c r="O3579" t="s">
        <v>83</v>
      </c>
      <c r="Q3579" s="24" t="s">
        <v>2650</v>
      </c>
    </row>
    <row r="3580" spans="1:17" x14ac:dyDescent="0.25">
      <c r="A3580" s="22">
        <v>45783</v>
      </c>
      <c r="B3580" s="1">
        <v>912455664</v>
      </c>
      <c r="C3580" t="s">
        <v>2747</v>
      </c>
      <c r="D3580" s="23">
        <v>-6123.66</v>
      </c>
      <c r="E3580" t="s">
        <v>35</v>
      </c>
      <c r="F3580" s="2">
        <v>210101001</v>
      </c>
      <c r="G3580" s="2" t="s">
        <v>36</v>
      </c>
      <c r="I3580" s="95" t="s">
        <v>7231</v>
      </c>
      <c r="J3580" t="s">
        <v>599</v>
      </c>
      <c r="K3580" t="s">
        <v>600</v>
      </c>
      <c r="M3580">
        <v>88.72</v>
      </c>
      <c r="N3580" s="4">
        <f t="shared" si="55"/>
        <v>-69.022317403065827</v>
      </c>
      <c r="O3580" t="s">
        <v>83</v>
      </c>
    </row>
    <row r="3581" spans="1:17" x14ac:dyDescent="0.25">
      <c r="A3581" s="22">
        <v>45783</v>
      </c>
      <c r="B3581" s="1">
        <v>912455663</v>
      </c>
      <c r="C3581" t="s">
        <v>2748</v>
      </c>
      <c r="D3581" s="23">
        <v>-48884.72</v>
      </c>
      <c r="E3581" t="s">
        <v>35</v>
      </c>
      <c r="F3581" s="2">
        <v>210101001</v>
      </c>
      <c r="G3581" s="2" t="s">
        <v>36</v>
      </c>
      <c r="I3581" s="95" t="s">
        <v>7231</v>
      </c>
      <c r="J3581" t="s">
        <v>37</v>
      </c>
      <c r="K3581" t="s">
        <v>38</v>
      </c>
      <c r="M3581">
        <v>88.72</v>
      </c>
      <c r="N3581" s="4">
        <f t="shared" si="55"/>
        <v>-551</v>
      </c>
      <c r="O3581" t="s">
        <v>83</v>
      </c>
    </row>
    <row r="3582" spans="1:17" x14ac:dyDescent="0.25">
      <c r="A3582" s="22">
        <v>45783</v>
      </c>
      <c r="B3582" s="1">
        <v>50544884</v>
      </c>
      <c r="C3582" t="s">
        <v>2749</v>
      </c>
      <c r="D3582" s="23">
        <v>-17102.349999999999</v>
      </c>
      <c r="E3582" t="s">
        <v>35</v>
      </c>
      <c r="F3582" s="2">
        <v>110106001</v>
      </c>
      <c r="G3582" s="2" t="s">
        <v>1011</v>
      </c>
      <c r="I3582" s="95" t="s">
        <v>7231</v>
      </c>
      <c r="K3582" t="s">
        <v>2750</v>
      </c>
      <c r="M3582">
        <v>88.72</v>
      </c>
      <c r="N3582" s="4">
        <f t="shared" si="55"/>
        <v>-192.767696122633</v>
      </c>
      <c r="O3582" t="s">
        <v>83</v>
      </c>
      <c r="P3582" t="s">
        <v>2751</v>
      </c>
    </row>
    <row r="3583" spans="1:17" x14ac:dyDescent="0.25">
      <c r="A3583" s="22">
        <v>45783</v>
      </c>
      <c r="B3583" s="1">
        <v>50544884</v>
      </c>
      <c r="C3583" t="s">
        <v>179</v>
      </c>
      <c r="D3583" s="23">
        <v>-25.65</v>
      </c>
      <c r="E3583" t="s">
        <v>35</v>
      </c>
      <c r="F3583" s="2">
        <v>610148001</v>
      </c>
      <c r="G3583" s="2" t="s">
        <v>41</v>
      </c>
      <c r="I3583" s="95" t="s">
        <v>7231</v>
      </c>
      <c r="J3583" t="s">
        <v>42</v>
      </c>
      <c r="K3583" t="s">
        <v>41</v>
      </c>
      <c r="M3583">
        <v>88.72</v>
      </c>
      <c r="N3583" s="4">
        <f t="shared" si="55"/>
        <v>-0.28911181244364292</v>
      </c>
      <c r="O3583" t="s">
        <v>83</v>
      </c>
      <c r="Q3583" s="24" t="s">
        <v>2650</v>
      </c>
    </row>
    <row r="3584" spans="1:17" x14ac:dyDescent="0.25">
      <c r="A3584" s="22">
        <v>45783</v>
      </c>
      <c r="B3584" s="1">
        <v>50544884</v>
      </c>
      <c r="C3584" t="s">
        <v>89</v>
      </c>
      <c r="D3584" s="23">
        <v>-137.52000000000001</v>
      </c>
      <c r="E3584" t="s">
        <v>35</v>
      </c>
      <c r="F3584" s="2">
        <v>610148001</v>
      </c>
      <c r="G3584" s="2" t="s">
        <v>41</v>
      </c>
      <c r="I3584" s="95" t="s">
        <v>7231</v>
      </c>
      <c r="J3584" t="s">
        <v>42</v>
      </c>
      <c r="K3584" t="s">
        <v>41</v>
      </c>
      <c r="M3584">
        <v>88.72</v>
      </c>
      <c r="N3584" s="4">
        <f t="shared" si="55"/>
        <v>-1.5500450856627594</v>
      </c>
      <c r="O3584" t="s">
        <v>83</v>
      </c>
      <c r="Q3584" s="24" t="s">
        <v>2650</v>
      </c>
    </row>
    <row r="3585" spans="1:17" x14ac:dyDescent="0.25">
      <c r="A3585" s="33">
        <v>45783</v>
      </c>
      <c r="B3585" s="27">
        <v>212459992</v>
      </c>
      <c r="C3585" s="28" t="s">
        <v>2752</v>
      </c>
      <c r="D3585" s="29">
        <v>-891</v>
      </c>
      <c r="E3585" s="28" t="s">
        <v>35</v>
      </c>
      <c r="F3585" s="30"/>
      <c r="G3585" s="30"/>
      <c r="H3585" s="30"/>
      <c r="I3585" s="95" t="s">
        <v>7231</v>
      </c>
      <c r="J3585" s="28" t="s">
        <v>908</v>
      </c>
      <c r="K3585" s="28" t="s">
        <v>909</v>
      </c>
      <c r="L3585" s="28" t="s">
        <v>56</v>
      </c>
      <c r="M3585" s="28">
        <v>88.72</v>
      </c>
      <c r="N3585" s="4">
        <f t="shared" si="55"/>
        <v>-10.04283137962128</v>
      </c>
      <c r="O3585" t="s">
        <v>83</v>
      </c>
      <c r="P3585" s="3" t="s">
        <v>901</v>
      </c>
      <c r="Q3585" s="24" t="s">
        <v>2753</v>
      </c>
    </row>
    <row r="3586" spans="1:17" x14ac:dyDescent="0.25">
      <c r="A3586" s="22">
        <v>45783</v>
      </c>
      <c r="B3586" s="1">
        <v>212459992</v>
      </c>
      <c r="C3586" t="s">
        <v>185</v>
      </c>
      <c r="D3586" s="23">
        <v>-2.67</v>
      </c>
      <c r="E3586" t="s">
        <v>35</v>
      </c>
      <c r="F3586" s="2">
        <v>610148001</v>
      </c>
      <c r="G3586" s="2" t="s">
        <v>41</v>
      </c>
      <c r="I3586" s="95" t="s">
        <v>7231</v>
      </c>
      <c r="J3586" t="s">
        <v>42</v>
      </c>
      <c r="K3586" t="s">
        <v>41</v>
      </c>
      <c r="M3586">
        <v>88.72</v>
      </c>
      <c r="N3586" s="4">
        <f t="shared" si="55"/>
        <v>-3.0094679891794408E-2</v>
      </c>
      <c r="O3586" t="s">
        <v>83</v>
      </c>
      <c r="Q3586" s="24" t="s">
        <v>2650</v>
      </c>
    </row>
    <row r="3587" spans="1:17" x14ac:dyDescent="0.25">
      <c r="A3587" s="22">
        <v>45785</v>
      </c>
      <c r="B3587" s="1">
        <v>144620076</v>
      </c>
      <c r="C3587" t="s">
        <v>82</v>
      </c>
      <c r="D3587" s="23">
        <v>10000</v>
      </c>
      <c r="E3587" t="s">
        <v>45</v>
      </c>
      <c r="F3587" s="2">
        <v>210115002</v>
      </c>
      <c r="G3587" s="2" t="s">
        <v>46</v>
      </c>
      <c r="I3587" s="95" t="s">
        <v>7231</v>
      </c>
      <c r="K3587" t="s">
        <v>82</v>
      </c>
      <c r="M3587">
        <v>91.92</v>
      </c>
      <c r="N3587" s="4">
        <f t="shared" si="55"/>
        <v>108.79025239338556</v>
      </c>
      <c r="O3587" t="s">
        <v>83</v>
      </c>
    </row>
    <row r="3588" spans="1:17" x14ac:dyDescent="0.25">
      <c r="A3588" s="22">
        <v>45785</v>
      </c>
      <c r="B3588" s="1">
        <v>412546953</v>
      </c>
      <c r="C3588" t="s">
        <v>2754</v>
      </c>
      <c r="D3588" s="23">
        <v>-55443.73</v>
      </c>
      <c r="E3588" t="s">
        <v>35</v>
      </c>
      <c r="F3588" s="2">
        <v>210101001</v>
      </c>
      <c r="G3588" s="2" t="s">
        <v>36</v>
      </c>
      <c r="I3588" s="95" t="s">
        <v>7231</v>
      </c>
      <c r="J3588" t="s">
        <v>2493</v>
      </c>
      <c r="K3588" t="s">
        <v>2494</v>
      </c>
      <c r="M3588">
        <v>91.92</v>
      </c>
      <c r="N3588" s="4">
        <f t="shared" si="55"/>
        <v>-603.17373803307225</v>
      </c>
      <c r="O3588" t="s">
        <v>83</v>
      </c>
    </row>
    <row r="3589" spans="1:17" x14ac:dyDescent="0.25">
      <c r="A3589" s="22">
        <v>45785</v>
      </c>
      <c r="B3589" s="1">
        <v>412546953</v>
      </c>
      <c r="C3589" t="s">
        <v>185</v>
      </c>
      <c r="D3589" s="23">
        <v>-166.33</v>
      </c>
      <c r="E3589" t="s">
        <v>35</v>
      </c>
      <c r="F3589" s="2">
        <v>610148001</v>
      </c>
      <c r="G3589" s="2" t="s">
        <v>41</v>
      </c>
      <c r="I3589" s="95" t="s">
        <v>7231</v>
      </c>
      <c r="J3589" t="s">
        <v>42</v>
      </c>
      <c r="K3589" t="s">
        <v>41</v>
      </c>
      <c r="M3589">
        <v>91.92</v>
      </c>
      <c r="N3589" s="4">
        <f t="shared" si="55"/>
        <v>-1.8095082680591821</v>
      </c>
      <c r="O3589" t="s">
        <v>83</v>
      </c>
      <c r="Q3589" s="24" t="s">
        <v>2650</v>
      </c>
    </row>
    <row r="3590" spans="1:17" x14ac:dyDescent="0.25">
      <c r="A3590" s="22">
        <v>45786</v>
      </c>
      <c r="B3590" s="1">
        <v>134421708</v>
      </c>
      <c r="C3590" t="s">
        <v>82</v>
      </c>
      <c r="D3590" s="23">
        <v>495000</v>
      </c>
      <c r="E3590" t="s">
        <v>45</v>
      </c>
      <c r="F3590" s="2">
        <v>210115002</v>
      </c>
      <c r="G3590" s="2" t="s">
        <v>46</v>
      </c>
      <c r="I3590" s="95" t="s">
        <v>7231</v>
      </c>
      <c r="K3590" t="s">
        <v>82</v>
      </c>
      <c r="M3590">
        <v>92.83</v>
      </c>
      <c r="N3590" s="4">
        <f t="shared" si="55"/>
        <v>5332.3279112355922</v>
      </c>
      <c r="O3590" t="s">
        <v>83</v>
      </c>
    </row>
    <row r="3591" spans="1:17" x14ac:dyDescent="0.25">
      <c r="A3591" s="22">
        <v>45786</v>
      </c>
      <c r="B3591" s="1">
        <v>135035646</v>
      </c>
      <c r="C3591" t="s">
        <v>82</v>
      </c>
      <c r="D3591" s="23">
        <v>10000</v>
      </c>
      <c r="E3591" t="s">
        <v>45</v>
      </c>
      <c r="F3591" s="2">
        <v>210115002</v>
      </c>
      <c r="G3591" s="2" t="s">
        <v>46</v>
      </c>
      <c r="I3591" s="95" t="s">
        <v>7231</v>
      </c>
      <c r="K3591" t="s">
        <v>82</v>
      </c>
      <c r="M3591">
        <v>92.83</v>
      </c>
      <c r="N3591" s="4">
        <f t="shared" si="55"/>
        <v>107.72379618657762</v>
      </c>
      <c r="O3591" t="s">
        <v>83</v>
      </c>
    </row>
    <row r="3592" spans="1:17" x14ac:dyDescent="0.25">
      <c r="A3592" s="22">
        <v>45786</v>
      </c>
      <c r="B3592" s="1">
        <v>412592454</v>
      </c>
      <c r="C3592" t="s">
        <v>2755</v>
      </c>
      <c r="D3592" s="23">
        <v>-5198.4799999999996</v>
      </c>
      <c r="E3592" t="s">
        <v>35</v>
      </c>
      <c r="F3592" s="2">
        <v>212901001</v>
      </c>
      <c r="G3592" s="2" t="s">
        <v>91</v>
      </c>
      <c r="I3592" s="95" t="s">
        <v>7231</v>
      </c>
      <c r="J3592" t="s">
        <v>61</v>
      </c>
      <c r="K3592" t="s">
        <v>62</v>
      </c>
      <c r="M3592">
        <v>92.83</v>
      </c>
      <c r="N3592" s="4">
        <f t="shared" si="55"/>
        <v>-55.999999999999993</v>
      </c>
      <c r="O3592" t="s">
        <v>83</v>
      </c>
    </row>
    <row r="3593" spans="1:17" x14ac:dyDescent="0.25">
      <c r="A3593" s="22">
        <v>45786</v>
      </c>
      <c r="B3593" s="1">
        <v>412592456</v>
      </c>
      <c r="C3593" t="s">
        <v>2756</v>
      </c>
      <c r="D3593" s="23">
        <v>-4641.5</v>
      </c>
      <c r="E3593" t="s">
        <v>35</v>
      </c>
      <c r="F3593" s="2">
        <v>212901001</v>
      </c>
      <c r="G3593" s="2" t="s">
        <v>91</v>
      </c>
      <c r="I3593" s="95" t="s">
        <v>7231</v>
      </c>
      <c r="J3593" t="s">
        <v>61</v>
      </c>
      <c r="K3593" t="s">
        <v>62</v>
      </c>
      <c r="M3593">
        <v>92.83</v>
      </c>
      <c r="N3593" s="4">
        <f t="shared" si="55"/>
        <v>-50</v>
      </c>
      <c r="O3593" t="s">
        <v>83</v>
      </c>
    </row>
    <row r="3594" spans="1:17" x14ac:dyDescent="0.25">
      <c r="A3594" s="22">
        <v>45786</v>
      </c>
      <c r="B3594" s="1">
        <v>412592455</v>
      </c>
      <c r="C3594" t="s">
        <v>2757</v>
      </c>
      <c r="D3594" s="23">
        <v>-6498.1</v>
      </c>
      <c r="E3594" t="s">
        <v>35</v>
      </c>
      <c r="F3594" s="2">
        <v>212901001</v>
      </c>
      <c r="G3594" s="2" t="s">
        <v>91</v>
      </c>
      <c r="I3594" s="95" t="s">
        <v>7231</v>
      </c>
      <c r="J3594" t="s">
        <v>61</v>
      </c>
      <c r="K3594" t="s">
        <v>62</v>
      </c>
      <c r="M3594">
        <v>92.83</v>
      </c>
      <c r="N3594" s="4">
        <f t="shared" si="55"/>
        <v>-70</v>
      </c>
      <c r="O3594" t="s">
        <v>83</v>
      </c>
    </row>
    <row r="3595" spans="1:17" x14ac:dyDescent="0.25">
      <c r="A3595" s="22">
        <v>45786</v>
      </c>
      <c r="B3595" s="1">
        <v>512592458</v>
      </c>
      <c r="C3595" t="s">
        <v>2758</v>
      </c>
      <c r="D3595" s="23">
        <v>-1856.6</v>
      </c>
      <c r="E3595" t="s">
        <v>35</v>
      </c>
      <c r="F3595" s="2">
        <v>212901001</v>
      </c>
      <c r="G3595" s="2" t="s">
        <v>91</v>
      </c>
      <c r="I3595" s="95" t="s">
        <v>7231</v>
      </c>
      <c r="J3595" t="s">
        <v>61</v>
      </c>
      <c r="K3595" t="s">
        <v>62</v>
      </c>
      <c r="M3595">
        <v>92.83</v>
      </c>
      <c r="N3595" s="4">
        <f t="shared" si="55"/>
        <v>-20</v>
      </c>
      <c r="O3595" t="s">
        <v>83</v>
      </c>
    </row>
    <row r="3596" spans="1:17" x14ac:dyDescent="0.25">
      <c r="A3596" s="22">
        <v>45786</v>
      </c>
      <c r="B3596" s="1">
        <v>512592459</v>
      </c>
      <c r="C3596" t="s">
        <v>2759</v>
      </c>
      <c r="D3596" s="23">
        <v>-1856.6</v>
      </c>
      <c r="E3596" t="s">
        <v>35</v>
      </c>
      <c r="F3596" s="2">
        <v>212901001</v>
      </c>
      <c r="G3596" s="2" t="s">
        <v>91</v>
      </c>
      <c r="I3596" s="95" t="s">
        <v>7231</v>
      </c>
      <c r="J3596" t="s">
        <v>61</v>
      </c>
      <c r="K3596" t="s">
        <v>62</v>
      </c>
      <c r="M3596">
        <v>92.83</v>
      </c>
      <c r="N3596" s="4">
        <f t="shared" ref="N3596:N3659" si="56">D3596/M3596</f>
        <v>-20</v>
      </c>
      <c r="O3596" t="s">
        <v>83</v>
      </c>
    </row>
    <row r="3597" spans="1:17" x14ac:dyDescent="0.25">
      <c r="A3597" s="22">
        <v>45786</v>
      </c>
      <c r="B3597" s="1">
        <v>512592460</v>
      </c>
      <c r="C3597" t="s">
        <v>2760</v>
      </c>
      <c r="D3597" s="23">
        <v>-1856.6</v>
      </c>
      <c r="E3597" t="s">
        <v>35</v>
      </c>
      <c r="F3597" s="2">
        <v>212901001</v>
      </c>
      <c r="G3597" s="2" t="s">
        <v>91</v>
      </c>
      <c r="I3597" s="95" t="s">
        <v>7231</v>
      </c>
      <c r="J3597" t="s">
        <v>61</v>
      </c>
      <c r="K3597" t="s">
        <v>62</v>
      </c>
      <c r="M3597">
        <v>92.83</v>
      </c>
      <c r="N3597" s="4">
        <f t="shared" si="56"/>
        <v>-20</v>
      </c>
      <c r="O3597" t="s">
        <v>83</v>
      </c>
    </row>
    <row r="3598" spans="1:17" x14ac:dyDescent="0.25">
      <c r="A3598" s="22">
        <v>45786</v>
      </c>
      <c r="B3598" s="1">
        <v>512592461</v>
      </c>
      <c r="C3598" t="s">
        <v>2761</v>
      </c>
      <c r="D3598" s="23">
        <v>-1856.6</v>
      </c>
      <c r="E3598" t="s">
        <v>35</v>
      </c>
      <c r="F3598" s="2">
        <v>212901001</v>
      </c>
      <c r="G3598" s="2" t="s">
        <v>91</v>
      </c>
      <c r="I3598" s="95" t="s">
        <v>7231</v>
      </c>
      <c r="J3598" t="s">
        <v>61</v>
      </c>
      <c r="K3598" t="s">
        <v>62</v>
      </c>
      <c r="M3598">
        <v>92.83</v>
      </c>
      <c r="N3598" s="4">
        <f t="shared" si="56"/>
        <v>-20</v>
      </c>
      <c r="O3598" t="s">
        <v>83</v>
      </c>
    </row>
    <row r="3599" spans="1:17" x14ac:dyDescent="0.25">
      <c r="A3599" s="22">
        <v>45786</v>
      </c>
      <c r="B3599" s="1">
        <v>512592462</v>
      </c>
      <c r="C3599" t="s">
        <v>2762</v>
      </c>
      <c r="D3599" s="23">
        <v>-1856.6</v>
      </c>
      <c r="E3599" t="s">
        <v>35</v>
      </c>
      <c r="F3599" s="2">
        <v>212901001</v>
      </c>
      <c r="G3599" s="2" t="s">
        <v>91</v>
      </c>
      <c r="I3599" s="95" t="s">
        <v>7231</v>
      </c>
      <c r="J3599" t="s">
        <v>61</v>
      </c>
      <c r="K3599" t="s">
        <v>62</v>
      </c>
      <c r="M3599">
        <v>92.83</v>
      </c>
      <c r="N3599" s="4">
        <f t="shared" si="56"/>
        <v>-20</v>
      </c>
      <c r="O3599" t="s">
        <v>83</v>
      </c>
    </row>
    <row r="3600" spans="1:17" x14ac:dyDescent="0.25">
      <c r="A3600" s="33">
        <v>45786</v>
      </c>
      <c r="B3600" s="27">
        <v>512592463</v>
      </c>
      <c r="C3600" s="28" t="s">
        <v>2763</v>
      </c>
      <c r="D3600" s="29">
        <v>-3898.86</v>
      </c>
      <c r="E3600" s="28" t="s">
        <v>35</v>
      </c>
      <c r="F3600" s="30">
        <v>610156001</v>
      </c>
      <c r="G3600" s="30" t="s">
        <v>72</v>
      </c>
      <c r="H3600" s="30"/>
      <c r="I3600" s="95" t="s">
        <v>7231</v>
      </c>
      <c r="J3600" s="28" t="s">
        <v>2398</v>
      </c>
      <c r="K3600" s="28" t="s">
        <v>632</v>
      </c>
      <c r="L3600" s="28" t="s">
        <v>56</v>
      </c>
      <c r="M3600" s="28">
        <v>92.83</v>
      </c>
      <c r="N3600" s="4">
        <f t="shared" si="56"/>
        <v>-42</v>
      </c>
      <c r="O3600" t="s">
        <v>83</v>
      </c>
      <c r="Q3600" s="24" t="s">
        <v>2764</v>
      </c>
    </row>
    <row r="3601" spans="1:17" x14ac:dyDescent="0.25">
      <c r="A3601" s="33">
        <v>45786</v>
      </c>
      <c r="B3601" s="27">
        <v>512592464</v>
      </c>
      <c r="C3601" s="28" t="s">
        <v>2765</v>
      </c>
      <c r="D3601" s="29">
        <v>-3713.2</v>
      </c>
      <c r="E3601" s="28" t="s">
        <v>35</v>
      </c>
      <c r="F3601" s="30">
        <v>610156001</v>
      </c>
      <c r="G3601" s="30" t="s">
        <v>72</v>
      </c>
      <c r="H3601" s="30"/>
      <c r="I3601" s="95" t="s">
        <v>7231</v>
      </c>
      <c r="J3601" s="28" t="s">
        <v>73</v>
      </c>
      <c r="K3601" s="28" t="s">
        <v>74</v>
      </c>
      <c r="L3601" s="28" t="s">
        <v>56</v>
      </c>
      <c r="M3601" s="28">
        <v>92.83</v>
      </c>
      <c r="N3601" s="4">
        <f t="shared" si="56"/>
        <v>-40</v>
      </c>
      <c r="O3601" t="s">
        <v>83</v>
      </c>
      <c r="Q3601" s="24" t="s">
        <v>2766</v>
      </c>
    </row>
    <row r="3602" spans="1:17" x14ac:dyDescent="0.25">
      <c r="A3602" s="22">
        <v>45786</v>
      </c>
      <c r="B3602" s="1">
        <v>512592465</v>
      </c>
      <c r="C3602" t="s">
        <v>2767</v>
      </c>
      <c r="D3602" s="23">
        <v>-21723.43</v>
      </c>
      <c r="E3602" t="s">
        <v>35</v>
      </c>
      <c r="F3602" s="2">
        <v>210101001</v>
      </c>
      <c r="G3602" s="2" t="s">
        <v>36</v>
      </c>
      <c r="I3602" s="95" t="s">
        <v>7231</v>
      </c>
      <c r="J3602" t="s">
        <v>86</v>
      </c>
      <c r="K3602" t="s">
        <v>87</v>
      </c>
      <c r="M3602">
        <v>92.83</v>
      </c>
      <c r="N3602" s="4">
        <f t="shared" si="56"/>
        <v>-234.01303457933858</v>
      </c>
      <c r="O3602" t="s">
        <v>83</v>
      </c>
    </row>
    <row r="3603" spans="1:17" x14ac:dyDescent="0.25">
      <c r="A3603" s="22">
        <v>45786</v>
      </c>
      <c r="B3603" s="1">
        <v>512592466</v>
      </c>
      <c r="C3603" t="s">
        <v>2768</v>
      </c>
      <c r="D3603" s="23">
        <v>-9876.9</v>
      </c>
      <c r="E3603" t="s">
        <v>35</v>
      </c>
      <c r="F3603" s="2">
        <v>210101001</v>
      </c>
      <c r="G3603" s="2" t="s">
        <v>36</v>
      </c>
      <c r="I3603" s="95" t="s">
        <v>7231</v>
      </c>
      <c r="J3603" t="s">
        <v>86</v>
      </c>
      <c r="K3603" t="s">
        <v>87</v>
      </c>
      <c r="M3603">
        <v>92.83</v>
      </c>
      <c r="N3603" s="4">
        <f t="shared" si="56"/>
        <v>-106.39771625552085</v>
      </c>
      <c r="O3603" t="s">
        <v>83</v>
      </c>
    </row>
    <row r="3604" spans="1:17" x14ac:dyDescent="0.25">
      <c r="A3604" s="22">
        <v>45786</v>
      </c>
      <c r="B3604" s="1">
        <v>612592468</v>
      </c>
      <c r="C3604" t="s">
        <v>2769</v>
      </c>
      <c r="D3604" s="23">
        <v>-46504.4</v>
      </c>
      <c r="E3604" t="s">
        <v>35</v>
      </c>
      <c r="F3604" s="2">
        <v>210101001</v>
      </c>
      <c r="G3604" s="2" t="s">
        <v>36</v>
      </c>
      <c r="I3604" s="95" t="s">
        <v>7231</v>
      </c>
      <c r="J3604" t="s">
        <v>414</v>
      </c>
      <c r="K3604" t="s">
        <v>415</v>
      </c>
      <c r="M3604">
        <v>92.83</v>
      </c>
      <c r="N3604" s="4">
        <f t="shared" si="56"/>
        <v>-500.96305073790802</v>
      </c>
      <c r="O3604" t="s">
        <v>83</v>
      </c>
    </row>
    <row r="3605" spans="1:17" x14ac:dyDescent="0.25">
      <c r="A3605" s="22">
        <v>45786</v>
      </c>
      <c r="B3605" s="1">
        <v>612592467</v>
      </c>
      <c r="C3605" t="s">
        <v>2770</v>
      </c>
      <c r="D3605" s="23">
        <v>-10684.49</v>
      </c>
      <c r="E3605" t="s">
        <v>35</v>
      </c>
      <c r="F3605" s="2">
        <v>110101002</v>
      </c>
      <c r="G3605" s="2" t="s">
        <v>2771</v>
      </c>
      <c r="I3605" s="95" t="s">
        <v>7231</v>
      </c>
      <c r="K3605" t="s">
        <v>2772</v>
      </c>
      <c r="M3605">
        <v>92.83</v>
      </c>
      <c r="N3605" s="4">
        <f t="shared" si="56"/>
        <v>-115.09738231175267</v>
      </c>
      <c r="O3605" t="s">
        <v>83</v>
      </c>
    </row>
    <row r="3606" spans="1:17" x14ac:dyDescent="0.25">
      <c r="A3606" s="22">
        <v>45786</v>
      </c>
      <c r="B3606" s="1">
        <v>612592471</v>
      </c>
      <c r="C3606" t="s">
        <v>2773</v>
      </c>
      <c r="D3606" s="23">
        <v>-29167.65</v>
      </c>
      <c r="E3606" t="s">
        <v>35</v>
      </c>
      <c r="F3606" s="2">
        <v>210101001</v>
      </c>
      <c r="G3606" s="2" t="s">
        <v>36</v>
      </c>
      <c r="I3606" s="95" t="s">
        <v>7231</v>
      </c>
      <c r="J3606" t="s">
        <v>2774</v>
      </c>
      <c r="K3606" t="s">
        <v>2775</v>
      </c>
      <c r="M3606">
        <v>92.83</v>
      </c>
      <c r="N3606" s="4">
        <f t="shared" si="56"/>
        <v>-314.2049983841431</v>
      </c>
      <c r="O3606" t="s">
        <v>83</v>
      </c>
    </row>
    <row r="3607" spans="1:17" x14ac:dyDescent="0.25">
      <c r="A3607" s="22">
        <v>45786</v>
      </c>
      <c r="B3607" s="1">
        <v>612592470</v>
      </c>
      <c r="C3607" t="s">
        <v>2776</v>
      </c>
      <c r="D3607" s="23">
        <v>-136356.28</v>
      </c>
      <c r="E3607" t="s">
        <v>35</v>
      </c>
      <c r="F3607" s="2">
        <v>210101001</v>
      </c>
      <c r="G3607" s="2" t="s">
        <v>36</v>
      </c>
      <c r="I3607" s="95" t="s">
        <v>7231</v>
      </c>
      <c r="J3607" t="s">
        <v>37</v>
      </c>
      <c r="K3607" t="s">
        <v>38</v>
      </c>
      <c r="M3607">
        <v>92.83</v>
      </c>
      <c r="N3607" s="4">
        <f t="shared" si="56"/>
        <v>-1468.881611547991</v>
      </c>
      <c r="O3607" t="s">
        <v>83</v>
      </c>
    </row>
    <row r="3608" spans="1:17" x14ac:dyDescent="0.25">
      <c r="A3608" s="33">
        <v>45786</v>
      </c>
      <c r="B3608" s="27">
        <v>612592469</v>
      </c>
      <c r="C3608" s="28" t="s">
        <v>52</v>
      </c>
      <c r="D3608" s="29">
        <v>-11139.6</v>
      </c>
      <c r="E3608" s="28" t="s">
        <v>35</v>
      </c>
      <c r="F3608" s="30">
        <v>610129001</v>
      </c>
      <c r="G3608" s="30" t="s">
        <v>53</v>
      </c>
      <c r="H3608" s="30"/>
      <c r="I3608" s="95" t="s">
        <v>7231</v>
      </c>
      <c r="J3608" s="28" t="s">
        <v>54</v>
      </c>
      <c r="K3608" s="28" t="s">
        <v>55</v>
      </c>
      <c r="L3608" s="28" t="s">
        <v>56</v>
      </c>
      <c r="M3608" s="28">
        <v>92.83</v>
      </c>
      <c r="N3608" s="4">
        <f t="shared" si="56"/>
        <v>-120</v>
      </c>
      <c r="O3608" t="s">
        <v>83</v>
      </c>
      <c r="Q3608" s="24" t="s">
        <v>2777</v>
      </c>
    </row>
    <row r="3609" spans="1:17" x14ac:dyDescent="0.25">
      <c r="A3609" s="22">
        <v>45786</v>
      </c>
      <c r="B3609" s="1">
        <v>612592472</v>
      </c>
      <c r="C3609" t="s">
        <v>2776</v>
      </c>
      <c r="D3609" s="23">
        <v>-200000</v>
      </c>
      <c r="E3609" t="s">
        <v>35</v>
      </c>
      <c r="F3609" s="2">
        <v>210101001</v>
      </c>
      <c r="G3609" s="2" t="s">
        <v>36</v>
      </c>
      <c r="I3609" s="95" t="s">
        <v>7231</v>
      </c>
      <c r="J3609" t="s">
        <v>37</v>
      </c>
      <c r="K3609" t="s">
        <v>38</v>
      </c>
      <c r="M3609">
        <v>92.83</v>
      </c>
      <c r="N3609" s="4">
        <f t="shared" si="56"/>
        <v>-2154.4759237315525</v>
      </c>
      <c r="O3609" t="s">
        <v>83</v>
      </c>
    </row>
    <row r="3610" spans="1:17" x14ac:dyDescent="0.25">
      <c r="A3610" s="22">
        <v>45786</v>
      </c>
      <c r="B3610" s="1">
        <v>50550989</v>
      </c>
      <c r="C3610" t="s">
        <v>89</v>
      </c>
      <c r="D3610" s="23">
        <v>-1246.71</v>
      </c>
      <c r="E3610" t="s">
        <v>35</v>
      </c>
      <c r="F3610" s="2">
        <v>610148001</v>
      </c>
      <c r="G3610" s="2" t="s">
        <v>41</v>
      </c>
      <c r="I3610" s="95" t="s">
        <v>7231</v>
      </c>
      <c r="J3610" t="s">
        <v>42</v>
      </c>
      <c r="K3610" t="s">
        <v>41</v>
      </c>
      <c r="M3610">
        <v>92.83</v>
      </c>
      <c r="N3610" s="4">
        <f t="shared" si="56"/>
        <v>-13.430033394376819</v>
      </c>
      <c r="O3610" t="s">
        <v>83</v>
      </c>
      <c r="Q3610" s="24" t="s">
        <v>2650</v>
      </c>
    </row>
    <row r="3611" spans="1:17" x14ac:dyDescent="0.25">
      <c r="A3611" s="22">
        <v>45786</v>
      </c>
      <c r="B3611" s="1">
        <v>141707093</v>
      </c>
      <c r="C3611" t="s">
        <v>82</v>
      </c>
      <c r="D3611" s="23">
        <v>55000</v>
      </c>
      <c r="E3611" t="s">
        <v>45</v>
      </c>
      <c r="F3611" s="2">
        <v>210115002</v>
      </c>
      <c r="G3611" s="2" t="s">
        <v>46</v>
      </c>
      <c r="I3611" s="95" t="s">
        <v>7231</v>
      </c>
      <c r="K3611" t="s">
        <v>82</v>
      </c>
      <c r="M3611">
        <v>92.83</v>
      </c>
      <c r="N3611" s="4">
        <f t="shared" si="56"/>
        <v>592.48087902617692</v>
      </c>
      <c r="O3611" t="s">
        <v>83</v>
      </c>
    </row>
    <row r="3612" spans="1:17" x14ac:dyDescent="0.25">
      <c r="A3612" s="22">
        <v>45786</v>
      </c>
      <c r="B3612" s="1">
        <v>0</v>
      </c>
      <c r="C3612" t="s">
        <v>92</v>
      </c>
      <c r="D3612" s="23">
        <v>-87.56</v>
      </c>
      <c r="E3612" t="s">
        <v>35</v>
      </c>
      <c r="F3612" s="2">
        <v>610148001</v>
      </c>
      <c r="G3612" s="2" t="s">
        <v>41</v>
      </c>
      <c r="I3612" s="95" t="s">
        <v>7231</v>
      </c>
      <c r="J3612" t="s">
        <v>42</v>
      </c>
      <c r="K3612" t="s">
        <v>41</v>
      </c>
      <c r="M3612">
        <v>92.83</v>
      </c>
      <c r="N3612" s="4">
        <f t="shared" si="56"/>
        <v>-0.94322955940967368</v>
      </c>
      <c r="O3612" t="s">
        <v>83</v>
      </c>
      <c r="Q3612" s="24" t="s">
        <v>2650</v>
      </c>
    </row>
    <row r="3613" spans="1:17" x14ac:dyDescent="0.25">
      <c r="A3613" s="22">
        <v>45786</v>
      </c>
      <c r="B3613" s="1">
        <v>576905</v>
      </c>
      <c r="C3613" t="s">
        <v>2778</v>
      </c>
      <c r="D3613" s="23">
        <v>-57216.13</v>
      </c>
      <c r="E3613" t="s">
        <v>35</v>
      </c>
      <c r="F3613" s="2">
        <v>210601001</v>
      </c>
      <c r="G3613" s="2" t="s">
        <v>272</v>
      </c>
      <c r="I3613" s="95" t="s">
        <v>7231</v>
      </c>
      <c r="J3613" t="s">
        <v>273</v>
      </c>
      <c r="K3613" t="s">
        <v>274</v>
      </c>
      <c r="M3613">
        <v>92.83</v>
      </c>
      <c r="N3613" s="4">
        <f t="shared" si="56"/>
        <v>-616.35387267047292</v>
      </c>
      <c r="O3613" t="s">
        <v>83</v>
      </c>
      <c r="Q3613" s="24" t="s">
        <v>2779</v>
      </c>
    </row>
    <row r="3614" spans="1:17" x14ac:dyDescent="0.25">
      <c r="A3614" s="22">
        <v>45789</v>
      </c>
      <c r="B3614" s="1">
        <v>111040795</v>
      </c>
      <c r="C3614" t="s">
        <v>82</v>
      </c>
      <c r="D3614" s="23">
        <v>420000</v>
      </c>
      <c r="E3614" t="s">
        <v>45</v>
      </c>
      <c r="F3614" s="2">
        <v>210115002</v>
      </c>
      <c r="G3614" s="2" t="s">
        <v>46</v>
      </c>
      <c r="I3614" s="95" t="s">
        <v>7231</v>
      </c>
      <c r="K3614" t="s">
        <v>82</v>
      </c>
      <c r="M3614">
        <v>93.05</v>
      </c>
      <c r="N3614" s="4">
        <f t="shared" si="56"/>
        <v>4513.702310585707</v>
      </c>
      <c r="O3614" t="s">
        <v>83</v>
      </c>
    </row>
    <row r="3615" spans="1:17" x14ac:dyDescent="0.25">
      <c r="A3615" s="22">
        <v>45789</v>
      </c>
      <c r="B3615" s="1">
        <v>912731099</v>
      </c>
      <c r="C3615" t="s">
        <v>2780</v>
      </c>
      <c r="D3615" s="31">
        <v>-186100</v>
      </c>
      <c r="E3615" t="s">
        <v>35</v>
      </c>
      <c r="I3615" s="95" t="s">
        <v>7231</v>
      </c>
      <c r="J3615" t="s">
        <v>899</v>
      </c>
      <c r="K3615" t="s">
        <v>900</v>
      </c>
      <c r="L3615" s="28" t="s">
        <v>56</v>
      </c>
      <c r="M3615">
        <v>93.05</v>
      </c>
      <c r="N3615" s="4">
        <f t="shared" si="56"/>
        <v>-2000</v>
      </c>
      <c r="O3615" t="s">
        <v>83</v>
      </c>
      <c r="P3615" s="3" t="s">
        <v>901</v>
      </c>
      <c r="Q3615" s="24" t="s">
        <v>2781</v>
      </c>
    </row>
    <row r="3616" spans="1:17" x14ac:dyDescent="0.25">
      <c r="A3616" s="22">
        <v>45789</v>
      </c>
      <c r="B3616" s="1">
        <v>912731099</v>
      </c>
      <c r="C3616" t="s">
        <v>185</v>
      </c>
      <c r="D3616" s="23">
        <v>-558.29999999999995</v>
      </c>
      <c r="E3616" t="s">
        <v>35</v>
      </c>
      <c r="F3616" s="2">
        <v>610148001</v>
      </c>
      <c r="G3616" s="2" t="s">
        <v>41</v>
      </c>
      <c r="I3616" s="95" t="s">
        <v>7231</v>
      </c>
      <c r="J3616" t="s">
        <v>42</v>
      </c>
      <c r="K3616" t="s">
        <v>41</v>
      </c>
      <c r="M3616">
        <v>93.05</v>
      </c>
      <c r="N3616" s="4">
        <f t="shared" si="56"/>
        <v>-6</v>
      </c>
      <c r="O3616" t="s">
        <v>83</v>
      </c>
      <c r="Q3616" s="24" t="s">
        <v>2650</v>
      </c>
    </row>
    <row r="3617" spans="1:17" x14ac:dyDescent="0.25">
      <c r="A3617" s="22">
        <v>45789</v>
      </c>
      <c r="B3617" s="1">
        <v>212731224</v>
      </c>
      <c r="C3617" t="s">
        <v>2782</v>
      </c>
      <c r="D3617" s="31">
        <v>-200000</v>
      </c>
      <c r="E3617" t="s">
        <v>35</v>
      </c>
      <c r="I3617" s="95" t="s">
        <v>7231</v>
      </c>
      <c r="J3617" t="s">
        <v>899</v>
      </c>
      <c r="K3617" t="s">
        <v>900</v>
      </c>
      <c r="L3617" s="28" t="s">
        <v>56</v>
      </c>
      <c r="M3617">
        <v>93.05</v>
      </c>
      <c r="N3617" s="4">
        <f t="shared" si="56"/>
        <v>-2149.3820526598602</v>
      </c>
      <c r="O3617" t="s">
        <v>83</v>
      </c>
      <c r="P3617" s="3" t="s">
        <v>901</v>
      </c>
      <c r="Q3617" s="24" t="s">
        <v>2781</v>
      </c>
    </row>
    <row r="3618" spans="1:17" x14ac:dyDescent="0.25">
      <c r="A3618" s="22">
        <v>45789</v>
      </c>
      <c r="B3618" s="1">
        <v>212731224</v>
      </c>
      <c r="C3618" t="s">
        <v>185</v>
      </c>
      <c r="D3618" s="23">
        <v>-600</v>
      </c>
      <c r="E3618" t="s">
        <v>35</v>
      </c>
      <c r="F3618" s="2">
        <v>610148001</v>
      </c>
      <c r="G3618" s="2" t="s">
        <v>41</v>
      </c>
      <c r="I3618" s="95" t="s">
        <v>7231</v>
      </c>
      <c r="J3618" t="s">
        <v>42</v>
      </c>
      <c r="K3618" t="s">
        <v>41</v>
      </c>
      <c r="M3618">
        <v>93.05</v>
      </c>
      <c r="N3618" s="4">
        <f t="shared" si="56"/>
        <v>-6.4481461579795809</v>
      </c>
      <c r="O3618" t="s">
        <v>83</v>
      </c>
      <c r="Q3618" s="24" t="s">
        <v>2650</v>
      </c>
    </row>
    <row r="3619" spans="1:17" x14ac:dyDescent="0.25">
      <c r="A3619" s="22">
        <v>45789</v>
      </c>
      <c r="B3619" s="1">
        <v>112731800</v>
      </c>
      <c r="C3619" t="s">
        <v>2782</v>
      </c>
      <c r="D3619" s="31">
        <v>-32625</v>
      </c>
      <c r="E3619" t="s">
        <v>35</v>
      </c>
      <c r="I3619" s="95" t="s">
        <v>7231</v>
      </c>
      <c r="J3619" t="s">
        <v>899</v>
      </c>
      <c r="K3619" t="s">
        <v>900</v>
      </c>
      <c r="L3619" s="28" t="s">
        <v>56</v>
      </c>
      <c r="M3619">
        <v>93.05</v>
      </c>
      <c r="N3619" s="4">
        <f t="shared" si="56"/>
        <v>-350.61794734013972</v>
      </c>
      <c r="O3619" t="s">
        <v>83</v>
      </c>
      <c r="P3619" s="3" t="s">
        <v>901</v>
      </c>
      <c r="Q3619" s="24" t="s">
        <v>2781</v>
      </c>
    </row>
    <row r="3620" spans="1:17" x14ac:dyDescent="0.25">
      <c r="A3620" s="22">
        <v>45789</v>
      </c>
      <c r="B3620" s="1">
        <v>112731800</v>
      </c>
      <c r="C3620" t="s">
        <v>185</v>
      </c>
      <c r="D3620" s="23">
        <v>-97.88</v>
      </c>
      <c r="E3620" t="s">
        <v>35</v>
      </c>
      <c r="F3620" s="2">
        <v>610148001</v>
      </c>
      <c r="G3620" s="2" t="s">
        <v>41</v>
      </c>
      <c r="I3620" s="95" t="s">
        <v>7231</v>
      </c>
      <c r="J3620" t="s">
        <v>42</v>
      </c>
      <c r="K3620" t="s">
        <v>41</v>
      </c>
      <c r="M3620">
        <v>93.05</v>
      </c>
      <c r="N3620" s="4">
        <f t="shared" si="56"/>
        <v>-1.0519075765717356</v>
      </c>
      <c r="O3620" t="s">
        <v>83</v>
      </c>
      <c r="Q3620" s="24" t="s">
        <v>2650</v>
      </c>
    </row>
    <row r="3621" spans="1:17" x14ac:dyDescent="0.25">
      <c r="A3621" s="22">
        <v>45789</v>
      </c>
      <c r="B3621" s="1">
        <v>151158713</v>
      </c>
      <c r="C3621" t="s">
        <v>82</v>
      </c>
      <c r="D3621" s="23">
        <v>20000</v>
      </c>
      <c r="E3621" t="s">
        <v>45</v>
      </c>
      <c r="F3621" s="2">
        <v>210115002</v>
      </c>
      <c r="G3621" s="2" t="s">
        <v>46</v>
      </c>
      <c r="I3621" s="95" t="s">
        <v>7231</v>
      </c>
      <c r="K3621" t="s">
        <v>82</v>
      </c>
      <c r="M3621">
        <v>93.05</v>
      </c>
      <c r="N3621" s="4">
        <f t="shared" si="56"/>
        <v>214.93820526598603</v>
      </c>
      <c r="O3621" t="s">
        <v>83</v>
      </c>
    </row>
    <row r="3622" spans="1:17" x14ac:dyDescent="0.25">
      <c r="A3622" s="22">
        <v>45789</v>
      </c>
      <c r="B3622" s="1">
        <v>912746617</v>
      </c>
      <c r="C3622" t="s">
        <v>2783</v>
      </c>
      <c r="D3622" s="23">
        <v>-12077.92</v>
      </c>
      <c r="E3622" t="s">
        <v>35</v>
      </c>
      <c r="F3622" s="2">
        <v>210101001</v>
      </c>
      <c r="G3622" s="2" t="s">
        <v>36</v>
      </c>
      <c r="I3622" s="95" t="s">
        <v>7231</v>
      </c>
      <c r="J3622" t="s">
        <v>414</v>
      </c>
      <c r="K3622" t="s">
        <v>415</v>
      </c>
      <c r="M3622">
        <v>93.05</v>
      </c>
      <c r="N3622" s="4">
        <f t="shared" si="56"/>
        <v>-129.8003224073079</v>
      </c>
      <c r="O3622" t="s">
        <v>83</v>
      </c>
    </row>
    <row r="3623" spans="1:17" x14ac:dyDescent="0.25">
      <c r="A3623" s="22">
        <v>45789</v>
      </c>
      <c r="B3623" s="1">
        <v>912746617</v>
      </c>
      <c r="C3623" t="s">
        <v>185</v>
      </c>
      <c r="D3623" s="23">
        <v>-36.229999999999997</v>
      </c>
      <c r="E3623" t="s">
        <v>35</v>
      </c>
      <c r="F3623" s="2">
        <v>610148001</v>
      </c>
      <c r="G3623" s="2" t="s">
        <v>41</v>
      </c>
      <c r="I3623" s="95" t="s">
        <v>7231</v>
      </c>
      <c r="J3623" t="s">
        <v>42</v>
      </c>
      <c r="K3623" t="s">
        <v>41</v>
      </c>
      <c r="M3623">
        <v>93.05</v>
      </c>
      <c r="N3623" s="4">
        <f t="shared" si="56"/>
        <v>-0.38936055883933368</v>
      </c>
      <c r="O3623" t="s">
        <v>83</v>
      </c>
      <c r="Q3623" s="24" t="s">
        <v>2650</v>
      </c>
    </row>
    <row r="3624" spans="1:17" x14ac:dyDescent="0.25">
      <c r="A3624" s="22">
        <v>45789</v>
      </c>
      <c r="B3624" s="1">
        <v>512747366</v>
      </c>
      <c r="C3624" t="s">
        <v>2784</v>
      </c>
      <c r="D3624" s="23">
        <v>-2850</v>
      </c>
      <c r="E3624" t="s">
        <v>35</v>
      </c>
      <c r="F3624" s="2">
        <v>210101001</v>
      </c>
      <c r="G3624" s="2" t="s">
        <v>36</v>
      </c>
      <c r="I3624" s="95" t="s">
        <v>7231</v>
      </c>
      <c r="J3624" t="s">
        <v>380</v>
      </c>
      <c r="K3624" t="s">
        <v>381</v>
      </c>
      <c r="M3624">
        <v>93.05</v>
      </c>
      <c r="N3624" s="4">
        <f t="shared" si="56"/>
        <v>-30.628694250403012</v>
      </c>
      <c r="O3624" t="s">
        <v>83</v>
      </c>
    </row>
    <row r="3625" spans="1:17" x14ac:dyDescent="0.25">
      <c r="A3625" s="22">
        <v>45789</v>
      </c>
      <c r="B3625" s="1">
        <v>512747366</v>
      </c>
      <c r="C3625" t="s">
        <v>185</v>
      </c>
      <c r="D3625" s="23">
        <v>-8.5500000000000007</v>
      </c>
      <c r="E3625" t="s">
        <v>35</v>
      </c>
      <c r="F3625" s="2">
        <v>610148001</v>
      </c>
      <c r="G3625" s="2" t="s">
        <v>41</v>
      </c>
      <c r="I3625" s="95" t="s">
        <v>7231</v>
      </c>
      <c r="J3625" t="s">
        <v>42</v>
      </c>
      <c r="K3625" t="s">
        <v>41</v>
      </c>
      <c r="M3625">
        <v>93.05</v>
      </c>
      <c r="N3625" s="4">
        <f t="shared" si="56"/>
        <v>-9.1886082751209033E-2</v>
      </c>
      <c r="O3625" t="s">
        <v>83</v>
      </c>
      <c r="Q3625" s="24" t="s">
        <v>2650</v>
      </c>
    </row>
    <row r="3626" spans="1:17" x14ac:dyDescent="0.25">
      <c r="A3626" s="22">
        <v>45791</v>
      </c>
      <c r="B3626" s="1">
        <v>12810525</v>
      </c>
      <c r="C3626" t="s">
        <v>2785</v>
      </c>
      <c r="D3626" s="31">
        <v>-1060</v>
      </c>
      <c r="E3626" t="s">
        <v>35</v>
      </c>
      <c r="I3626" s="95" t="s">
        <v>7231</v>
      </c>
      <c r="J3626" t="s">
        <v>899</v>
      </c>
      <c r="K3626" t="s">
        <v>900</v>
      </c>
      <c r="L3626" s="28" t="s">
        <v>56</v>
      </c>
      <c r="M3626">
        <v>93.58</v>
      </c>
      <c r="N3626" s="4">
        <f t="shared" si="56"/>
        <v>-11.327206668091472</v>
      </c>
      <c r="O3626" t="s">
        <v>83</v>
      </c>
      <c r="P3626" s="3" t="s">
        <v>901</v>
      </c>
      <c r="Q3626" s="24" t="s">
        <v>2786</v>
      </c>
    </row>
    <row r="3627" spans="1:17" x14ac:dyDescent="0.25">
      <c r="A3627" s="22">
        <v>45791</v>
      </c>
      <c r="B3627" s="1">
        <v>12810525</v>
      </c>
      <c r="C3627" t="s">
        <v>185</v>
      </c>
      <c r="D3627" s="23">
        <v>-3.18</v>
      </c>
      <c r="E3627" t="s">
        <v>35</v>
      </c>
      <c r="F3627" s="2">
        <v>610148001</v>
      </c>
      <c r="G3627" s="2" t="s">
        <v>41</v>
      </c>
      <c r="I3627" s="95" t="s">
        <v>7231</v>
      </c>
      <c r="J3627" t="s">
        <v>42</v>
      </c>
      <c r="K3627" t="s">
        <v>41</v>
      </c>
      <c r="M3627">
        <v>93.58</v>
      </c>
      <c r="N3627" s="4">
        <f t="shared" si="56"/>
        <v>-3.3981620004274418E-2</v>
      </c>
      <c r="O3627" t="s">
        <v>83</v>
      </c>
      <c r="Q3627" s="24" t="s">
        <v>2650</v>
      </c>
    </row>
    <row r="3628" spans="1:17" x14ac:dyDescent="0.25">
      <c r="A3628" s="33">
        <v>45791</v>
      </c>
      <c r="B3628" s="27">
        <v>12811363</v>
      </c>
      <c r="C3628" s="28" t="s">
        <v>2787</v>
      </c>
      <c r="D3628" s="29">
        <v>-1045.0999999999999</v>
      </c>
      <c r="E3628" s="28" t="s">
        <v>35</v>
      </c>
      <c r="F3628" s="30"/>
      <c r="G3628" s="30"/>
      <c r="H3628" s="30"/>
      <c r="I3628" s="95" t="s">
        <v>7231</v>
      </c>
      <c r="J3628" s="28" t="s">
        <v>908</v>
      </c>
      <c r="K3628" s="28" t="s">
        <v>909</v>
      </c>
      <c r="L3628" s="28" t="s">
        <v>56</v>
      </c>
      <c r="M3628" s="28">
        <v>93.58</v>
      </c>
      <c r="N3628" s="4">
        <f t="shared" si="56"/>
        <v>-11.167984612096602</v>
      </c>
      <c r="O3628" t="s">
        <v>83</v>
      </c>
      <c r="P3628" s="3" t="s">
        <v>901</v>
      </c>
      <c r="Q3628" s="24" t="s">
        <v>2788</v>
      </c>
    </row>
    <row r="3629" spans="1:17" x14ac:dyDescent="0.25">
      <c r="A3629" s="22">
        <v>45791</v>
      </c>
      <c r="B3629" s="1">
        <v>12811363</v>
      </c>
      <c r="C3629" t="s">
        <v>185</v>
      </c>
      <c r="D3629" s="23">
        <v>-3.14</v>
      </c>
      <c r="E3629" t="s">
        <v>35</v>
      </c>
      <c r="F3629" s="2">
        <v>610148001</v>
      </c>
      <c r="G3629" s="2" t="s">
        <v>41</v>
      </c>
      <c r="I3629" s="95" t="s">
        <v>7231</v>
      </c>
      <c r="J3629" t="s">
        <v>42</v>
      </c>
      <c r="K3629" t="s">
        <v>41</v>
      </c>
      <c r="M3629">
        <v>93.58</v>
      </c>
      <c r="N3629" s="4">
        <f t="shared" si="56"/>
        <v>-3.3554178243214362E-2</v>
      </c>
      <c r="O3629" t="s">
        <v>83</v>
      </c>
      <c r="Q3629" s="24" t="s">
        <v>2650</v>
      </c>
    </row>
    <row r="3630" spans="1:17" x14ac:dyDescent="0.25">
      <c r="A3630" s="33">
        <v>45791</v>
      </c>
      <c r="B3630" s="27">
        <v>12817858</v>
      </c>
      <c r="C3630" s="28" t="s">
        <v>2789</v>
      </c>
      <c r="D3630" s="29">
        <v>-313.52999999999997</v>
      </c>
      <c r="E3630" s="28" t="s">
        <v>35</v>
      </c>
      <c r="F3630" s="30"/>
      <c r="G3630" s="30"/>
      <c r="H3630" s="30"/>
      <c r="I3630" s="95" t="s">
        <v>7231</v>
      </c>
      <c r="J3630" s="28" t="s">
        <v>908</v>
      </c>
      <c r="K3630" s="28" t="s">
        <v>909</v>
      </c>
      <c r="L3630" s="28" t="s">
        <v>56</v>
      </c>
      <c r="M3630" s="28">
        <v>93.58</v>
      </c>
      <c r="N3630" s="4">
        <f t="shared" si="56"/>
        <v>-3.3503953836289804</v>
      </c>
      <c r="O3630" t="s">
        <v>83</v>
      </c>
      <c r="P3630" s="3" t="s">
        <v>901</v>
      </c>
      <c r="Q3630" s="24" t="s">
        <v>2788</v>
      </c>
    </row>
    <row r="3631" spans="1:17" x14ac:dyDescent="0.25">
      <c r="A3631" s="22">
        <v>45791</v>
      </c>
      <c r="B3631" s="1">
        <v>12817858</v>
      </c>
      <c r="C3631" t="s">
        <v>185</v>
      </c>
      <c r="D3631" s="23">
        <v>-0.94</v>
      </c>
      <c r="E3631" t="s">
        <v>35</v>
      </c>
      <c r="F3631" s="2">
        <v>610148001</v>
      </c>
      <c r="G3631" s="2" t="s">
        <v>41</v>
      </c>
      <c r="I3631" s="95" t="s">
        <v>7231</v>
      </c>
      <c r="J3631" t="s">
        <v>42</v>
      </c>
      <c r="K3631" t="s">
        <v>41</v>
      </c>
      <c r="M3631">
        <v>93.58</v>
      </c>
      <c r="N3631" s="4">
        <f t="shared" si="56"/>
        <v>-1.0044881384911306E-2</v>
      </c>
      <c r="O3631" t="s">
        <v>83</v>
      </c>
      <c r="Q3631" s="24" t="s">
        <v>2650</v>
      </c>
    </row>
    <row r="3632" spans="1:17" x14ac:dyDescent="0.25">
      <c r="A3632" s="22">
        <v>45791</v>
      </c>
      <c r="B3632" s="1">
        <v>140454708</v>
      </c>
      <c r="C3632" t="s">
        <v>82</v>
      </c>
      <c r="D3632" s="23">
        <v>130000</v>
      </c>
      <c r="E3632" t="s">
        <v>45</v>
      </c>
      <c r="F3632" s="2">
        <v>210115002</v>
      </c>
      <c r="G3632" s="2" t="s">
        <v>46</v>
      </c>
      <c r="I3632" s="95" t="s">
        <v>7231</v>
      </c>
      <c r="K3632" t="s">
        <v>82</v>
      </c>
      <c r="M3632">
        <v>93.58</v>
      </c>
      <c r="N3632" s="4">
        <f t="shared" si="56"/>
        <v>1389.1857234451807</v>
      </c>
      <c r="O3632" t="s">
        <v>83</v>
      </c>
    </row>
    <row r="3633" spans="1:20" x14ac:dyDescent="0.25">
      <c r="A3633" s="22">
        <v>45791</v>
      </c>
      <c r="B3633" s="1">
        <v>312829387</v>
      </c>
      <c r="C3633" t="s">
        <v>2790</v>
      </c>
      <c r="D3633" s="23">
        <v>-98498.79</v>
      </c>
      <c r="E3633" t="s">
        <v>35</v>
      </c>
      <c r="F3633" s="2">
        <v>110114001</v>
      </c>
      <c r="G3633" s="2" t="s">
        <v>181</v>
      </c>
      <c r="I3633" s="95" t="s">
        <v>7231</v>
      </c>
      <c r="J3633" t="s">
        <v>37</v>
      </c>
      <c r="K3633" t="s">
        <v>38</v>
      </c>
      <c r="M3633">
        <v>93.58</v>
      </c>
      <c r="N3633" s="4">
        <f t="shared" si="56"/>
        <v>-1052.5624064971148</v>
      </c>
      <c r="O3633" t="s">
        <v>83</v>
      </c>
      <c r="P3633" s="34" t="s">
        <v>2492</v>
      </c>
    </row>
    <row r="3634" spans="1:20" x14ac:dyDescent="0.25">
      <c r="A3634" s="22">
        <v>45791</v>
      </c>
      <c r="B3634" s="1">
        <v>312829387</v>
      </c>
      <c r="C3634" t="s">
        <v>185</v>
      </c>
      <c r="D3634" s="23">
        <v>-295.5</v>
      </c>
      <c r="E3634" t="s">
        <v>35</v>
      </c>
      <c r="F3634" s="2">
        <v>610148001</v>
      </c>
      <c r="G3634" s="2" t="s">
        <v>41</v>
      </c>
      <c r="I3634" s="95" t="s">
        <v>7231</v>
      </c>
      <c r="J3634" t="s">
        <v>42</v>
      </c>
      <c r="K3634" t="s">
        <v>41</v>
      </c>
      <c r="M3634">
        <v>93.58</v>
      </c>
      <c r="N3634" s="4">
        <f t="shared" si="56"/>
        <v>-3.1577260098311606</v>
      </c>
      <c r="O3634" t="s">
        <v>83</v>
      </c>
      <c r="Q3634" s="24" t="s">
        <v>2650</v>
      </c>
    </row>
    <row r="3635" spans="1:20" x14ac:dyDescent="0.25">
      <c r="A3635" s="22">
        <v>45791</v>
      </c>
      <c r="B3635" s="1">
        <v>140646177</v>
      </c>
      <c r="C3635" t="s">
        <v>2791</v>
      </c>
      <c r="D3635" s="23">
        <v>-25784.32</v>
      </c>
      <c r="E3635" t="s">
        <v>35</v>
      </c>
      <c r="F3635" s="2">
        <v>210101001</v>
      </c>
      <c r="G3635" s="2" t="s">
        <v>36</v>
      </c>
      <c r="I3635" s="95" t="s">
        <v>7231</v>
      </c>
      <c r="J3635" t="s">
        <v>1301</v>
      </c>
      <c r="K3635" t="s">
        <v>1302</v>
      </c>
      <c r="M3635">
        <v>93.58</v>
      </c>
      <c r="N3635" s="4">
        <f t="shared" si="56"/>
        <v>-275.53237871340031</v>
      </c>
      <c r="O3635" t="s">
        <v>83</v>
      </c>
    </row>
    <row r="3636" spans="1:20" x14ac:dyDescent="0.25">
      <c r="A3636" s="22">
        <v>45791</v>
      </c>
      <c r="B3636" s="1">
        <v>152634425</v>
      </c>
      <c r="C3636" t="s">
        <v>82</v>
      </c>
      <c r="D3636" s="23">
        <v>10000</v>
      </c>
      <c r="E3636" t="s">
        <v>45</v>
      </c>
      <c r="F3636" s="2">
        <v>210115002</v>
      </c>
      <c r="G3636" s="2" t="s">
        <v>46</v>
      </c>
      <c r="I3636" s="95" t="s">
        <v>7231</v>
      </c>
      <c r="K3636" t="s">
        <v>82</v>
      </c>
      <c r="M3636">
        <v>93.58</v>
      </c>
      <c r="N3636" s="4">
        <f t="shared" si="56"/>
        <v>106.86044026501389</v>
      </c>
      <c r="O3636" t="s">
        <v>83</v>
      </c>
    </row>
    <row r="3637" spans="1:20" x14ac:dyDescent="0.25">
      <c r="A3637" s="22">
        <v>45791</v>
      </c>
      <c r="B3637" s="1">
        <v>152727680</v>
      </c>
      <c r="C3637" t="s">
        <v>2792</v>
      </c>
      <c r="D3637" s="23">
        <v>-8827.7000000000007</v>
      </c>
      <c r="E3637" t="s">
        <v>35</v>
      </c>
      <c r="F3637" s="2">
        <v>210101001</v>
      </c>
      <c r="G3637" s="2" t="s">
        <v>36</v>
      </c>
      <c r="I3637" s="95" t="s">
        <v>7231</v>
      </c>
      <c r="J3637" t="s">
        <v>599</v>
      </c>
      <c r="K3637" t="s">
        <v>600</v>
      </c>
      <c r="M3637">
        <v>93.58</v>
      </c>
      <c r="N3637" s="4">
        <f t="shared" si="56"/>
        <v>-94.333190852746327</v>
      </c>
      <c r="O3637" t="s">
        <v>83</v>
      </c>
    </row>
    <row r="3638" spans="1:20" x14ac:dyDescent="0.25">
      <c r="A3638" s="22">
        <v>45791</v>
      </c>
      <c r="B3638" s="1">
        <v>160215851</v>
      </c>
      <c r="C3638" t="s">
        <v>82</v>
      </c>
      <c r="D3638" s="23">
        <v>146000</v>
      </c>
      <c r="E3638" t="s">
        <v>45</v>
      </c>
      <c r="F3638" s="2">
        <v>210115002</v>
      </c>
      <c r="G3638" s="2" t="s">
        <v>46</v>
      </c>
      <c r="I3638" s="95" t="s">
        <v>7231</v>
      </c>
      <c r="K3638" t="s">
        <v>82</v>
      </c>
      <c r="M3638">
        <v>93.58</v>
      </c>
      <c r="N3638" s="4">
        <f t="shared" si="56"/>
        <v>1560.1624278692029</v>
      </c>
      <c r="O3638" t="s">
        <v>83</v>
      </c>
    </row>
    <row r="3639" spans="1:20" x14ac:dyDescent="0.25">
      <c r="A3639" s="22">
        <v>45791</v>
      </c>
      <c r="B3639" s="1">
        <v>160502716</v>
      </c>
      <c r="C3639" t="s">
        <v>2793</v>
      </c>
      <c r="D3639" s="23">
        <v>-145769.01999999999</v>
      </c>
      <c r="E3639" t="s">
        <v>35</v>
      </c>
      <c r="F3639" s="2">
        <v>110114001</v>
      </c>
      <c r="G3639" s="2" t="s">
        <v>181</v>
      </c>
      <c r="I3639" s="95" t="s">
        <v>7231</v>
      </c>
      <c r="J3639" t="s">
        <v>37</v>
      </c>
      <c r="K3639" t="s">
        <v>38</v>
      </c>
      <c r="M3639">
        <v>93.58</v>
      </c>
      <c r="N3639" s="4">
        <f t="shared" si="56"/>
        <v>-1557.6941654199613</v>
      </c>
      <c r="O3639" t="s">
        <v>83</v>
      </c>
      <c r="P3639" s="34" t="s">
        <v>2492</v>
      </c>
      <c r="Q3639" t="s">
        <v>2794</v>
      </c>
    </row>
    <row r="3640" spans="1:20" x14ac:dyDescent="0.25">
      <c r="A3640" s="22">
        <v>45791</v>
      </c>
      <c r="B3640" s="1">
        <v>163531398</v>
      </c>
      <c r="C3640" t="s">
        <v>82</v>
      </c>
      <c r="D3640" s="23">
        <v>320000</v>
      </c>
      <c r="E3640" t="s">
        <v>45</v>
      </c>
      <c r="F3640" s="2">
        <v>210115002</v>
      </c>
      <c r="G3640" s="2" t="s">
        <v>46</v>
      </c>
      <c r="I3640" s="95" t="s">
        <v>7231</v>
      </c>
      <c r="K3640" t="s">
        <v>82</v>
      </c>
      <c r="M3640">
        <v>93.58</v>
      </c>
      <c r="N3640" s="4">
        <f t="shared" si="56"/>
        <v>3419.5340884804446</v>
      </c>
      <c r="O3640" t="s">
        <v>83</v>
      </c>
    </row>
    <row r="3641" spans="1:20" x14ac:dyDescent="0.25">
      <c r="A3641" s="22">
        <v>45791</v>
      </c>
      <c r="B3641" s="1">
        <v>812839372</v>
      </c>
      <c r="C3641" t="s">
        <v>2795</v>
      </c>
      <c r="D3641" s="23">
        <v>-6939.48</v>
      </c>
      <c r="E3641" t="s">
        <v>35</v>
      </c>
      <c r="F3641" s="2">
        <v>212901001</v>
      </c>
      <c r="G3641" s="2" t="s">
        <v>91</v>
      </c>
      <c r="I3641" s="95" t="s">
        <v>7231</v>
      </c>
      <c r="J3641" t="s">
        <v>61</v>
      </c>
      <c r="K3641" t="s">
        <v>62</v>
      </c>
      <c r="M3641">
        <v>93.58</v>
      </c>
      <c r="N3641" s="4">
        <f t="shared" si="56"/>
        <v>-74.155588801025857</v>
      </c>
      <c r="O3641" t="s">
        <v>83</v>
      </c>
      <c r="R3641">
        <v>9</v>
      </c>
      <c r="S3641" t="e">
        <f>VLOOKUP(R3641,[1]!NOMINA[#Data],4,FALSE)</f>
        <v>#REF!</v>
      </c>
      <c r="T3641" t="e">
        <f>VLOOKUP(R3641,[1]!NOMINA[#Data],5,FALSE)</f>
        <v>#REF!</v>
      </c>
    </row>
    <row r="3642" spans="1:20" x14ac:dyDescent="0.25">
      <c r="A3642" s="22">
        <v>45791</v>
      </c>
      <c r="B3642" s="1">
        <v>812839374</v>
      </c>
      <c r="C3642" t="s">
        <v>2796</v>
      </c>
      <c r="D3642" s="23">
        <v>-3671.22</v>
      </c>
      <c r="E3642" t="s">
        <v>35</v>
      </c>
      <c r="F3642" s="2">
        <v>212901001</v>
      </c>
      <c r="G3642" s="2" t="s">
        <v>91</v>
      </c>
      <c r="I3642" s="95" t="s">
        <v>7231</v>
      </c>
      <c r="J3642" t="s">
        <v>61</v>
      </c>
      <c r="K3642" t="s">
        <v>62</v>
      </c>
      <c r="M3642">
        <v>93.58</v>
      </c>
      <c r="N3642" s="4">
        <f t="shared" si="56"/>
        <v>-39.23081855097243</v>
      </c>
      <c r="O3642" t="s">
        <v>83</v>
      </c>
      <c r="R3642">
        <v>29</v>
      </c>
      <c r="S3642" t="e">
        <f>VLOOKUP(R3642,[1]!NOMINA[#Data],4,FALSE)</f>
        <v>#REF!</v>
      </c>
      <c r="T3642" t="e">
        <f>VLOOKUP(R3642,[1]!NOMINA[#Data],5,FALSE)</f>
        <v>#REF!</v>
      </c>
    </row>
    <row r="3643" spans="1:20" x14ac:dyDescent="0.25">
      <c r="A3643" s="22">
        <v>45791</v>
      </c>
      <c r="B3643" s="1">
        <v>812839375</v>
      </c>
      <c r="C3643" t="s">
        <v>2797</v>
      </c>
      <c r="D3643" s="23">
        <v>-6939.48</v>
      </c>
      <c r="E3643" t="s">
        <v>35</v>
      </c>
      <c r="F3643" s="2">
        <v>212901001</v>
      </c>
      <c r="G3643" s="2" t="s">
        <v>91</v>
      </c>
      <c r="I3643" s="95" t="s">
        <v>7231</v>
      </c>
      <c r="J3643" t="s">
        <v>61</v>
      </c>
      <c r="K3643" t="s">
        <v>62</v>
      </c>
      <c r="M3643">
        <v>93.58</v>
      </c>
      <c r="N3643" s="4">
        <f t="shared" si="56"/>
        <v>-74.155588801025857</v>
      </c>
      <c r="O3643" t="s">
        <v>83</v>
      </c>
      <c r="R3643">
        <v>10</v>
      </c>
      <c r="S3643" t="e">
        <f>VLOOKUP(R3643,[1]!NOMINA[#Data],4,FALSE)</f>
        <v>#REF!</v>
      </c>
      <c r="T3643" t="e">
        <f>VLOOKUP(R3643,[1]!NOMINA[#Data],5,FALSE)</f>
        <v>#REF!</v>
      </c>
    </row>
    <row r="3644" spans="1:20" x14ac:dyDescent="0.25">
      <c r="A3644" s="22">
        <v>45791</v>
      </c>
      <c r="B3644" s="1">
        <v>812839373</v>
      </c>
      <c r="C3644" t="s">
        <v>2798</v>
      </c>
      <c r="D3644" s="23">
        <v>-3204.99</v>
      </c>
      <c r="E3644" t="s">
        <v>35</v>
      </c>
      <c r="F3644" s="2">
        <v>212901001</v>
      </c>
      <c r="G3644" s="2" t="s">
        <v>91</v>
      </c>
      <c r="I3644" s="95" t="s">
        <v>7231</v>
      </c>
      <c r="J3644" t="s">
        <v>61</v>
      </c>
      <c r="K3644" t="s">
        <v>62</v>
      </c>
      <c r="M3644">
        <v>93.58</v>
      </c>
      <c r="N3644" s="4">
        <f t="shared" si="56"/>
        <v>-34.248664244496688</v>
      </c>
      <c r="O3644" t="s">
        <v>83</v>
      </c>
      <c r="R3644">
        <v>26</v>
      </c>
      <c r="S3644" t="e">
        <f>VLOOKUP(Tabla3[[#This Row],[Nº]],[1]!NOMINA[#Data],4,FALSE)</f>
        <v>#REF!</v>
      </c>
      <c r="T3644" t="e">
        <f>VLOOKUP(Tabla3[[#This Row],[Nº]],[1]!NOMINA[#Data],5,FALSE)</f>
        <v>#REF!</v>
      </c>
    </row>
    <row r="3645" spans="1:20" x14ac:dyDescent="0.25">
      <c r="A3645" s="22">
        <v>45791</v>
      </c>
      <c r="B3645" s="1">
        <v>812839376</v>
      </c>
      <c r="C3645" t="s">
        <v>2799</v>
      </c>
      <c r="D3645" s="23">
        <v>-6952.51</v>
      </c>
      <c r="E3645" t="s">
        <v>35</v>
      </c>
      <c r="F3645" s="2">
        <v>212901001</v>
      </c>
      <c r="G3645" s="2" t="s">
        <v>91</v>
      </c>
      <c r="I3645" s="95" t="s">
        <v>7231</v>
      </c>
      <c r="J3645" t="s">
        <v>61</v>
      </c>
      <c r="K3645" t="s">
        <v>62</v>
      </c>
      <c r="M3645">
        <v>93.58</v>
      </c>
      <c r="N3645" s="4">
        <f t="shared" si="56"/>
        <v>-74.294827954691172</v>
      </c>
      <c r="O3645" t="s">
        <v>83</v>
      </c>
      <c r="R3645">
        <v>18</v>
      </c>
      <c r="S3645" t="e">
        <f>VLOOKUP(Tabla3[[#This Row],[Nº]],[1]!NOMINA[#Data],4,FALSE)</f>
        <v>#REF!</v>
      </c>
      <c r="T3645" t="e">
        <f>VLOOKUP(Tabla3[[#This Row],[Nº]],[1]!NOMINA[#Data],5,FALSE)</f>
        <v>#REF!</v>
      </c>
    </row>
    <row r="3646" spans="1:20" x14ac:dyDescent="0.25">
      <c r="A3646" s="22">
        <v>45791</v>
      </c>
      <c r="B3646" s="1">
        <v>912839378</v>
      </c>
      <c r="C3646" t="s">
        <v>2800</v>
      </c>
      <c r="D3646" s="23">
        <v>-6033.08</v>
      </c>
      <c r="E3646" t="s">
        <v>35</v>
      </c>
      <c r="F3646" s="2">
        <v>212901001</v>
      </c>
      <c r="G3646" s="2" t="s">
        <v>91</v>
      </c>
      <c r="I3646" s="95" t="s">
        <v>7231</v>
      </c>
      <c r="J3646" t="s">
        <v>61</v>
      </c>
      <c r="K3646" t="s">
        <v>62</v>
      </c>
      <c r="M3646">
        <v>93.58</v>
      </c>
      <c r="N3646" s="4">
        <f t="shared" si="56"/>
        <v>-64.469758495405003</v>
      </c>
      <c r="O3646" t="s">
        <v>83</v>
      </c>
      <c r="R3646">
        <v>15</v>
      </c>
      <c r="S3646" t="e">
        <f>VLOOKUP(R3646,[1]!NOMINA[#Data],4,FALSE)</f>
        <v>#REF!</v>
      </c>
      <c r="T3646" t="e">
        <f>VLOOKUP(R3646,[1]!NOMINA[#Data],5,FALSE)</f>
        <v>#REF!</v>
      </c>
    </row>
    <row r="3647" spans="1:20" x14ac:dyDescent="0.25">
      <c r="A3647" s="22">
        <v>45791</v>
      </c>
      <c r="B3647" s="1">
        <v>812839377</v>
      </c>
      <c r="C3647" t="s">
        <v>2801</v>
      </c>
      <c r="D3647" s="23">
        <v>-5070.84</v>
      </c>
      <c r="E3647" t="s">
        <v>35</v>
      </c>
      <c r="F3647" s="2">
        <v>212901001</v>
      </c>
      <c r="G3647" s="2" t="s">
        <v>91</v>
      </c>
      <c r="I3647" s="95" t="s">
        <v>7231</v>
      </c>
      <c r="J3647" t="s">
        <v>61</v>
      </c>
      <c r="K3647" t="s">
        <v>62</v>
      </c>
      <c r="M3647">
        <v>93.58</v>
      </c>
      <c r="N3647" s="4">
        <f t="shared" si="56"/>
        <v>-54.187219491344308</v>
      </c>
      <c r="O3647" t="s">
        <v>83</v>
      </c>
      <c r="R3647">
        <v>38</v>
      </c>
      <c r="S3647" t="e">
        <f>VLOOKUP(R3647,[1]!NOMINA[#Data],4,FALSE)</f>
        <v>#REF!</v>
      </c>
      <c r="T3647" t="e">
        <f>VLOOKUP(R3647,[1]!NOMINA[#Data],5,FALSE)</f>
        <v>#REF!</v>
      </c>
    </row>
    <row r="3648" spans="1:20" x14ac:dyDescent="0.25">
      <c r="A3648" s="22">
        <v>45791</v>
      </c>
      <c r="B3648" s="1">
        <v>912839381</v>
      </c>
      <c r="C3648" t="s">
        <v>2802</v>
      </c>
      <c r="D3648" s="23">
        <v>-7873.81</v>
      </c>
      <c r="E3648" t="s">
        <v>35</v>
      </c>
      <c r="F3648" s="2">
        <v>212901001</v>
      </c>
      <c r="G3648" s="2" t="s">
        <v>91</v>
      </c>
      <c r="I3648" s="95" t="s">
        <v>7231</v>
      </c>
      <c r="J3648" t="s">
        <v>61</v>
      </c>
      <c r="K3648" t="s">
        <v>62</v>
      </c>
      <c r="M3648">
        <v>93.58</v>
      </c>
      <c r="N3648" s="4">
        <f t="shared" si="56"/>
        <v>-84.139880316306915</v>
      </c>
      <c r="O3648" t="s">
        <v>83</v>
      </c>
      <c r="R3648">
        <v>8</v>
      </c>
      <c r="S3648" t="e">
        <f>VLOOKUP(R3648,[1]!NOMINA[#Data],4,FALSE)</f>
        <v>#REF!</v>
      </c>
      <c r="T3648" t="e">
        <f>VLOOKUP(R3648,[1]!NOMINA[#Data],5,FALSE)</f>
        <v>#REF!</v>
      </c>
    </row>
    <row r="3649" spans="1:20" x14ac:dyDescent="0.25">
      <c r="A3649" s="22">
        <v>45791</v>
      </c>
      <c r="B3649" s="1">
        <v>912839384</v>
      </c>
      <c r="C3649" t="s">
        <v>2803</v>
      </c>
      <c r="D3649" s="23">
        <v>-14367.53</v>
      </c>
      <c r="E3649" t="s">
        <v>35</v>
      </c>
      <c r="F3649" s="2">
        <v>212901001</v>
      </c>
      <c r="G3649" s="2" t="s">
        <v>91</v>
      </c>
      <c r="I3649" s="95" t="s">
        <v>7231</v>
      </c>
      <c r="J3649" t="s">
        <v>61</v>
      </c>
      <c r="K3649" t="s">
        <v>62</v>
      </c>
      <c r="M3649">
        <v>93.58</v>
      </c>
      <c r="N3649" s="4">
        <f t="shared" si="56"/>
        <v>-153.53205813207953</v>
      </c>
      <c r="O3649" t="s">
        <v>83</v>
      </c>
      <c r="R3649">
        <v>43</v>
      </c>
      <c r="S3649" t="e">
        <f>VLOOKUP(R3649,[1]!NOMINA[#Data],4,FALSE)</f>
        <v>#REF!</v>
      </c>
      <c r="T3649" t="e">
        <f>VLOOKUP(R3649,[1]!NOMINA[#Data],5,FALSE)</f>
        <v>#REF!</v>
      </c>
    </row>
    <row r="3650" spans="1:20" x14ac:dyDescent="0.25">
      <c r="A3650" s="22">
        <v>45791</v>
      </c>
      <c r="B3650" s="1">
        <v>912839380</v>
      </c>
      <c r="C3650" t="s">
        <v>2804</v>
      </c>
      <c r="D3650" s="23">
        <v>-6914.36</v>
      </c>
      <c r="E3650" t="s">
        <v>35</v>
      </c>
      <c r="F3650" s="2">
        <v>212901001</v>
      </c>
      <c r="G3650" s="2" t="s">
        <v>91</v>
      </c>
      <c r="I3650" s="95" t="s">
        <v>7231</v>
      </c>
      <c r="J3650" t="s">
        <v>61</v>
      </c>
      <c r="K3650" t="s">
        <v>62</v>
      </c>
      <c r="M3650">
        <v>93.58</v>
      </c>
      <c r="N3650" s="4">
        <f t="shared" si="56"/>
        <v>-73.887155375080141</v>
      </c>
      <c r="O3650" t="s">
        <v>83</v>
      </c>
      <c r="R3650">
        <v>13</v>
      </c>
      <c r="S3650" t="e">
        <f>VLOOKUP(R3650,[1]!NOMINA[#Data],4,FALSE)</f>
        <v>#REF!</v>
      </c>
      <c r="T3650" t="e">
        <f>VLOOKUP(R3650,[1]!NOMINA[#Data],5,FALSE)</f>
        <v>#REF!</v>
      </c>
    </row>
    <row r="3651" spans="1:20" x14ac:dyDescent="0.25">
      <c r="A3651" s="22">
        <v>45791</v>
      </c>
      <c r="B3651" s="1">
        <v>912839379</v>
      </c>
      <c r="C3651" t="s">
        <v>2805</v>
      </c>
      <c r="D3651" s="23">
        <v>-6606.33</v>
      </c>
      <c r="E3651" t="s">
        <v>35</v>
      </c>
      <c r="F3651" s="2">
        <v>212901001</v>
      </c>
      <c r="G3651" s="2" t="s">
        <v>91</v>
      </c>
      <c r="I3651" s="95" t="s">
        <v>7231</v>
      </c>
      <c r="J3651" t="s">
        <v>61</v>
      </c>
      <c r="K3651" t="s">
        <v>62</v>
      </c>
      <c r="M3651">
        <v>93.58</v>
      </c>
      <c r="N3651" s="4">
        <f t="shared" si="56"/>
        <v>-70.595533233596925</v>
      </c>
      <c r="O3651" t="s">
        <v>83</v>
      </c>
      <c r="R3651">
        <v>20</v>
      </c>
      <c r="S3651" t="e">
        <f>VLOOKUP(Tabla3[[#This Row],[Nº]],[1]!NOMINA[#Data],4,FALSE)</f>
        <v>#REF!</v>
      </c>
      <c r="T3651" t="e">
        <f>VLOOKUP(Tabla3[[#This Row],[Nº]],[1]!NOMINA[#Data],5,FALSE)</f>
        <v>#REF!</v>
      </c>
    </row>
    <row r="3652" spans="1:20" x14ac:dyDescent="0.25">
      <c r="A3652" s="22">
        <v>45791</v>
      </c>
      <c r="B3652" s="1">
        <v>912839382</v>
      </c>
      <c r="C3652" t="s">
        <v>2806</v>
      </c>
      <c r="D3652" s="23">
        <v>-6939.48</v>
      </c>
      <c r="E3652" t="s">
        <v>35</v>
      </c>
      <c r="F3652" s="2">
        <v>212901001</v>
      </c>
      <c r="G3652" s="2" t="s">
        <v>91</v>
      </c>
      <c r="I3652" s="95" t="s">
        <v>7231</v>
      </c>
      <c r="J3652" t="s">
        <v>61</v>
      </c>
      <c r="K3652" t="s">
        <v>62</v>
      </c>
      <c r="M3652">
        <v>93.58</v>
      </c>
      <c r="N3652" s="4">
        <f t="shared" si="56"/>
        <v>-74.155588801025857</v>
      </c>
      <c r="O3652" t="s">
        <v>83</v>
      </c>
      <c r="R3652">
        <v>11</v>
      </c>
      <c r="S3652" t="e">
        <f>VLOOKUP(R3652,[1]!NOMINA[#Data],4,FALSE)</f>
        <v>#REF!</v>
      </c>
      <c r="T3652" t="e">
        <f>VLOOKUP(R3652,[1]!NOMINA[#Data],5,FALSE)</f>
        <v>#REF!</v>
      </c>
    </row>
    <row r="3653" spans="1:20" x14ac:dyDescent="0.25">
      <c r="A3653" s="22">
        <v>45791</v>
      </c>
      <c r="B3653" s="1">
        <v>912839389</v>
      </c>
      <c r="C3653" t="s">
        <v>2807</v>
      </c>
      <c r="D3653" s="23">
        <v>-4602.75</v>
      </c>
      <c r="E3653" t="s">
        <v>35</v>
      </c>
      <c r="F3653" s="2">
        <v>212901001</v>
      </c>
      <c r="G3653" s="2" t="s">
        <v>91</v>
      </c>
      <c r="I3653" s="95" t="s">
        <v>7231</v>
      </c>
      <c r="J3653" t="s">
        <v>61</v>
      </c>
      <c r="K3653" t="s">
        <v>62</v>
      </c>
      <c r="M3653">
        <v>93.58</v>
      </c>
      <c r="N3653" s="4">
        <f t="shared" si="56"/>
        <v>-49.185189142979269</v>
      </c>
      <c r="O3653" t="s">
        <v>83</v>
      </c>
      <c r="R3653">
        <v>22</v>
      </c>
      <c r="S3653" t="e">
        <f>VLOOKUP(R3653,[1]!NOMINA[#Data],4,FALSE)</f>
        <v>#REF!</v>
      </c>
      <c r="T3653" t="e">
        <f>VLOOKUP(R3653,[1]!NOMINA[#Data],5,FALSE)</f>
        <v>#REF!</v>
      </c>
    </row>
    <row r="3654" spans="1:20" x14ac:dyDescent="0.25">
      <c r="A3654" s="22">
        <v>45791</v>
      </c>
      <c r="B3654" s="1">
        <v>912839383</v>
      </c>
      <c r="C3654" t="s">
        <v>2808</v>
      </c>
      <c r="D3654" s="23">
        <v>-3204.06</v>
      </c>
      <c r="E3654" t="s">
        <v>35</v>
      </c>
      <c r="F3654" s="2">
        <v>212901001</v>
      </c>
      <c r="G3654" s="2" t="s">
        <v>91</v>
      </c>
      <c r="I3654" s="95" t="s">
        <v>7231</v>
      </c>
      <c r="J3654" t="s">
        <v>61</v>
      </c>
      <c r="K3654" t="s">
        <v>62</v>
      </c>
      <c r="M3654">
        <v>93.58</v>
      </c>
      <c r="N3654" s="4">
        <f t="shared" si="56"/>
        <v>-34.238726223552042</v>
      </c>
      <c r="O3654" t="s">
        <v>83</v>
      </c>
      <c r="R3654">
        <v>23</v>
      </c>
      <c r="S3654" t="e">
        <f>VLOOKUP(R3654,[1]!NOMINA[#Data],4,FALSE)</f>
        <v>#REF!</v>
      </c>
      <c r="T3654" t="e">
        <f>VLOOKUP(R3654,[1]!NOMINA[#Data],5,FALSE)</f>
        <v>#REF!</v>
      </c>
    </row>
    <row r="3655" spans="1:20" x14ac:dyDescent="0.25">
      <c r="A3655" s="22">
        <v>45791</v>
      </c>
      <c r="B3655" s="1">
        <v>12839392</v>
      </c>
      <c r="C3655" t="s">
        <v>2809</v>
      </c>
      <c r="D3655" s="23">
        <v>-4913.57</v>
      </c>
      <c r="E3655" t="s">
        <v>35</v>
      </c>
      <c r="F3655" s="2">
        <v>212901001</v>
      </c>
      <c r="G3655" s="2" t="s">
        <v>91</v>
      </c>
      <c r="I3655" s="95" t="s">
        <v>7231</v>
      </c>
      <c r="J3655" t="s">
        <v>61</v>
      </c>
      <c r="K3655" t="s">
        <v>62</v>
      </c>
      <c r="M3655">
        <v>93.58</v>
      </c>
      <c r="N3655" s="4">
        <f t="shared" si="56"/>
        <v>-52.506625347296428</v>
      </c>
      <c r="O3655" t="s">
        <v>83</v>
      </c>
      <c r="R3655">
        <v>42</v>
      </c>
      <c r="S3655" t="e">
        <f>VLOOKUP(R3655,[1]!NOMINA[#Data],4,FALSE)</f>
        <v>#REF!</v>
      </c>
      <c r="T3655" t="e">
        <f>VLOOKUP(R3655,[1]!NOMINA[#Data],5,FALSE)</f>
        <v>#REF!</v>
      </c>
    </row>
    <row r="3656" spans="1:20" x14ac:dyDescent="0.25">
      <c r="A3656" s="22">
        <v>45791</v>
      </c>
      <c r="B3656" s="1">
        <v>912839385</v>
      </c>
      <c r="C3656" t="s">
        <v>2810</v>
      </c>
      <c r="D3656" s="23">
        <v>-7887.77</v>
      </c>
      <c r="E3656" t="s">
        <v>35</v>
      </c>
      <c r="F3656" s="2">
        <v>212901001</v>
      </c>
      <c r="G3656" s="2" t="s">
        <v>91</v>
      </c>
      <c r="I3656" s="95" t="s">
        <v>7231</v>
      </c>
      <c r="J3656" t="s">
        <v>61</v>
      </c>
      <c r="K3656" t="s">
        <v>62</v>
      </c>
      <c r="M3656">
        <v>93.58</v>
      </c>
      <c r="N3656" s="4">
        <f t="shared" si="56"/>
        <v>-84.289057490916875</v>
      </c>
      <c r="O3656" t="s">
        <v>83</v>
      </c>
      <c r="R3656">
        <v>17</v>
      </c>
      <c r="S3656" t="e">
        <f>VLOOKUP(R3656,[1]!NOMINA[#Data],4,FALSE)</f>
        <v>#REF!</v>
      </c>
      <c r="T3656" t="e">
        <f>VLOOKUP(R3656,[1]!NOMINA[#Data],5,FALSE)</f>
        <v>#REF!</v>
      </c>
    </row>
    <row r="3657" spans="1:20" x14ac:dyDescent="0.25">
      <c r="A3657" s="22">
        <v>45791</v>
      </c>
      <c r="B3657" s="1">
        <v>12839390</v>
      </c>
      <c r="C3657" t="s">
        <v>2811</v>
      </c>
      <c r="D3657" s="23">
        <v>-7887.77</v>
      </c>
      <c r="E3657" t="s">
        <v>35</v>
      </c>
      <c r="F3657" s="2">
        <v>212901001</v>
      </c>
      <c r="G3657" s="2" t="s">
        <v>91</v>
      </c>
      <c r="I3657" s="95" t="s">
        <v>7231</v>
      </c>
      <c r="J3657" t="s">
        <v>61</v>
      </c>
      <c r="K3657" t="s">
        <v>62</v>
      </c>
      <c r="M3657">
        <v>93.58</v>
      </c>
      <c r="N3657" s="4">
        <f t="shared" si="56"/>
        <v>-84.289057490916875</v>
      </c>
      <c r="O3657" t="s">
        <v>83</v>
      </c>
      <c r="R3657">
        <v>14</v>
      </c>
      <c r="S3657" t="e">
        <f>VLOOKUP(R3657,[1]!NOMINA[#Data],4,FALSE)</f>
        <v>#REF!</v>
      </c>
      <c r="T3657" t="e">
        <f>VLOOKUP(R3657,[1]!NOMINA[#Data],5,FALSE)</f>
        <v>#REF!</v>
      </c>
    </row>
    <row r="3658" spans="1:20" x14ac:dyDescent="0.25">
      <c r="A3658" s="22">
        <v>45791</v>
      </c>
      <c r="B3658" s="1">
        <v>912839387</v>
      </c>
      <c r="C3658" t="s">
        <v>2812</v>
      </c>
      <c r="D3658" s="23">
        <v>-11536.65</v>
      </c>
      <c r="E3658" t="s">
        <v>35</v>
      </c>
      <c r="F3658" s="2">
        <v>212901001</v>
      </c>
      <c r="G3658" s="2" t="s">
        <v>91</v>
      </c>
      <c r="I3658" s="95" t="s">
        <v>7231</v>
      </c>
      <c r="J3658" t="s">
        <v>61</v>
      </c>
      <c r="K3658" t="s">
        <v>62</v>
      </c>
      <c r="M3658">
        <v>93.58</v>
      </c>
      <c r="N3658" s="4">
        <f t="shared" si="56"/>
        <v>-123.28114981833725</v>
      </c>
      <c r="O3658" t="s">
        <v>83</v>
      </c>
      <c r="R3658">
        <v>4</v>
      </c>
      <c r="S3658" t="e">
        <f>VLOOKUP(R3658,[1]!NOMINA[#Data],4,FALSE)</f>
        <v>#REF!</v>
      </c>
      <c r="T3658" t="e">
        <f>VLOOKUP(R3658,[1]!NOMINA[#Data],5,FALSE)</f>
        <v>#REF!</v>
      </c>
    </row>
    <row r="3659" spans="1:20" x14ac:dyDescent="0.25">
      <c r="A3659" s="22">
        <v>45791</v>
      </c>
      <c r="B3659" s="1">
        <v>12839394</v>
      </c>
      <c r="C3659" t="s">
        <v>2813</v>
      </c>
      <c r="D3659" s="23">
        <v>-4602.75</v>
      </c>
      <c r="E3659" t="s">
        <v>35</v>
      </c>
      <c r="F3659" s="2">
        <v>212901001</v>
      </c>
      <c r="G3659" s="2" t="s">
        <v>91</v>
      </c>
      <c r="I3659" s="95" t="s">
        <v>7231</v>
      </c>
      <c r="J3659" t="s">
        <v>61</v>
      </c>
      <c r="K3659" t="s">
        <v>62</v>
      </c>
      <c r="M3659">
        <v>93.58</v>
      </c>
      <c r="N3659" s="4">
        <f t="shared" si="56"/>
        <v>-49.185189142979269</v>
      </c>
      <c r="O3659" t="s">
        <v>83</v>
      </c>
      <c r="R3659">
        <v>21</v>
      </c>
      <c r="S3659" t="e">
        <f>VLOOKUP(R3659,[1]!NOMINA[#Data],4,FALSE)</f>
        <v>#REF!</v>
      </c>
      <c r="T3659" t="e">
        <f>VLOOKUP(R3659,[1]!NOMINA[#Data],5,FALSE)</f>
        <v>#REF!</v>
      </c>
    </row>
    <row r="3660" spans="1:20" x14ac:dyDescent="0.25">
      <c r="A3660" s="22">
        <v>45791</v>
      </c>
      <c r="B3660" s="1">
        <v>12839393</v>
      </c>
      <c r="C3660" t="s">
        <v>2814</v>
      </c>
      <c r="D3660" s="23">
        <v>-7874.74</v>
      </c>
      <c r="E3660" t="s">
        <v>35</v>
      </c>
      <c r="F3660" s="2">
        <v>212901001</v>
      </c>
      <c r="G3660" s="2" t="s">
        <v>91</v>
      </c>
      <c r="I3660" s="95" t="s">
        <v>7231</v>
      </c>
      <c r="J3660" t="s">
        <v>61</v>
      </c>
      <c r="K3660" t="s">
        <v>62</v>
      </c>
      <c r="M3660">
        <v>93.58</v>
      </c>
      <c r="N3660" s="4">
        <f t="shared" ref="N3660:N3723" si="57">D3660/M3660</f>
        <v>-84.149818337251546</v>
      </c>
      <c r="O3660" t="s">
        <v>83</v>
      </c>
      <c r="R3660">
        <v>39</v>
      </c>
      <c r="S3660" t="e">
        <f>VLOOKUP(R3660,[1]!NOMINA[#Data],4,FALSE)</f>
        <v>#REF!</v>
      </c>
      <c r="T3660" t="e">
        <f>VLOOKUP(R3660,[1]!NOMINA[#Data],5,FALSE)</f>
        <v>#REF!</v>
      </c>
    </row>
    <row r="3661" spans="1:20" x14ac:dyDescent="0.25">
      <c r="A3661" s="22">
        <v>45791</v>
      </c>
      <c r="B3661" s="1">
        <v>12839395</v>
      </c>
      <c r="C3661" t="s">
        <v>2815</v>
      </c>
      <c r="D3661" s="23">
        <v>-3204.99</v>
      </c>
      <c r="E3661" t="s">
        <v>35</v>
      </c>
      <c r="F3661" s="2">
        <v>212901001</v>
      </c>
      <c r="G3661" s="2" t="s">
        <v>91</v>
      </c>
      <c r="I3661" s="95" t="s">
        <v>7231</v>
      </c>
      <c r="J3661" t="s">
        <v>61</v>
      </c>
      <c r="K3661" t="s">
        <v>62</v>
      </c>
      <c r="M3661">
        <v>93.58</v>
      </c>
      <c r="N3661" s="4">
        <f t="shared" si="57"/>
        <v>-34.248664244496688</v>
      </c>
      <c r="O3661" t="s">
        <v>83</v>
      </c>
      <c r="R3661">
        <v>25</v>
      </c>
      <c r="S3661" t="e">
        <f>VLOOKUP(R3661,[1]!NOMINA[#Data],4,FALSE)</f>
        <v>#REF!</v>
      </c>
      <c r="T3661" t="e">
        <f>VLOOKUP(R3661,[1]!NOMINA[#Data],5,FALSE)</f>
        <v>#REF!</v>
      </c>
    </row>
    <row r="3662" spans="1:20" x14ac:dyDescent="0.25">
      <c r="A3662" s="22">
        <v>45791</v>
      </c>
      <c r="B3662" s="1">
        <v>12839396</v>
      </c>
      <c r="C3662" t="s">
        <v>2816</v>
      </c>
      <c r="D3662" s="23">
        <v>-7796.57</v>
      </c>
      <c r="E3662" t="s">
        <v>35</v>
      </c>
      <c r="F3662" s="2">
        <v>212901001</v>
      </c>
      <c r="G3662" s="2" t="s">
        <v>91</v>
      </c>
      <c r="I3662" s="95" t="s">
        <v>7231</v>
      </c>
      <c r="J3662" t="s">
        <v>61</v>
      </c>
      <c r="K3662" t="s">
        <v>62</v>
      </c>
      <c r="M3662">
        <v>93.58</v>
      </c>
      <c r="N3662" s="4">
        <f t="shared" si="57"/>
        <v>-83.314490275699939</v>
      </c>
      <c r="O3662" t="s">
        <v>83</v>
      </c>
      <c r="R3662">
        <v>12</v>
      </c>
      <c r="S3662" t="e">
        <f>VLOOKUP(R3662,[1]!NOMINA[#Data],4,FALSE)</f>
        <v>#REF!</v>
      </c>
      <c r="T3662" t="e">
        <f>VLOOKUP(R3662,[1]!NOMINA[#Data],5,FALSE)</f>
        <v>#REF!</v>
      </c>
    </row>
    <row r="3663" spans="1:20" x14ac:dyDescent="0.25">
      <c r="A3663" s="22">
        <v>45791</v>
      </c>
      <c r="B3663" s="1">
        <v>12839397</v>
      </c>
      <c r="C3663" t="s">
        <v>2817</v>
      </c>
      <c r="D3663" s="23">
        <v>-46464.86</v>
      </c>
      <c r="E3663" t="s">
        <v>35</v>
      </c>
      <c r="F3663" s="2">
        <v>212901001</v>
      </c>
      <c r="G3663" s="2" t="s">
        <v>91</v>
      </c>
      <c r="I3663" s="95" t="s">
        <v>7231</v>
      </c>
      <c r="J3663" t="s">
        <v>61</v>
      </c>
      <c r="K3663" t="s">
        <v>62</v>
      </c>
      <c r="M3663">
        <v>93.58</v>
      </c>
      <c r="N3663" s="4">
        <f t="shared" si="57"/>
        <v>-496.52553964522338</v>
      </c>
      <c r="O3663" t="s">
        <v>83</v>
      </c>
      <c r="R3663">
        <v>2</v>
      </c>
      <c r="S3663" t="e">
        <f>VLOOKUP(Tabla3[[#This Row],[Nº]],[1]!NOMINA[#Data],4,FALSE)</f>
        <v>#REF!</v>
      </c>
      <c r="T3663" t="e">
        <f>VLOOKUP(Tabla3[[#This Row],[Nº]],[1]!NOMINA[#Data],5,FALSE)</f>
        <v>#REF!</v>
      </c>
    </row>
    <row r="3664" spans="1:20" x14ac:dyDescent="0.25">
      <c r="A3664" s="22">
        <v>45791</v>
      </c>
      <c r="B3664" s="1">
        <v>12839398</v>
      </c>
      <c r="C3664" t="s">
        <v>2818</v>
      </c>
      <c r="D3664" s="23">
        <v>-3426.47</v>
      </c>
      <c r="E3664" t="s">
        <v>35</v>
      </c>
      <c r="F3664" s="2">
        <v>212901001</v>
      </c>
      <c r="G3664" s="2" t="s">
        <v>91</v>
      </c>
      <c r="I3664" s="95" t="s">
        <v>7231</v>
      </c>
      <c r="J3664" t="s">
        <v>61</v>
      </c>
      <c r="K3664" t="s">
        <v>62</v>
      </c>
      <c r="M3664">
        <v>93.58</v>
      </c>
      <c r="N3664" s="4">
        <f t="shared" si="57"/>
        <v>-36.615409275486215</v>
      </c>
      <c r="O3664" t="s">
        <v>83</v>
      </c>
      <c r="R3664">
        <v>28</v>
      </c>
      <c r="S3664" t="e">
        <f>VLOOKUP(R3664,[1]!NOMINA[#Data],4,FALSE)</f>
        <v>#REF!</v>
      </c>
      <c r="T3664" t="e">
        <f>VLOOKUP(R3664,[1]!NOMINA[#Data],5,FALSE)</f>
        <v>#REF!</v>
      </c>
    </row>
    <row r="3665" spans="1:20" x14ac:dyDescent="0.25">
      <c r="A3665" s="22">
        <v>45791</v>
      </c>
      <c r="B3665" s="1">
        <v>112839402</v>
      </c>
      <c r="C3665" t="s">
        <v>2819</v>
      </c>
      <c r="D3665" s="23">
        <v>-22618.23</v>
      </c>
      <c r="E3665" t="s">
        <v>35</v>
      </c>
      <c r="F3665" s="2">
        <v>212901001</v>
      </c>
      <c r="G3665" s="2" t="s">
        <v>91</v>
      </c>
      <c r="I3665" s="95" t="s">
        <v>7231</v>
      </c>
      <c r="J3665" t="s">
        <v>61</v>
      </c>
      <c r="K3665" t="s">
        <v>62</v>
      </c>
      <c r="M3665">
        <v>93.58</v>
      </c>
      <c r="N3665" s="4">
        <f t="shared" si="57"/>
        <v>-241.69940158153452</v>
      </c>
      <c r="O3665" t="s">
        <v>83</v>
      </c>
      <c r="R3665">
        <v>3</v>
      </c>
      <c r="S3665" t="e">
        <f>VLOOKUP(R3665,[1]!NOMINA[#Data],4,FALSE)</f>
        <v>#REF!</v>
      </c>
      <c r="T3665" t="e">
        <f>VLOOKUP(R3665,[1]!NOMINA[#Data],5,FALSE)</f>
        <v>#REF!</v>
      </c>
    </row>
    <row r="3666" spans="1:20" x14ac:dyDescent="0.25">
      <c r="A3666" s="22">
        <v>45791</v>
      </c>
      <c r="B3666" s="1">
        <v>112839405</v>
      </c>
      <c r="C3666" t="s">
        <v>2820</v>
      </c>
      <c r="D3666" s="23">
        <v>-5237.42</v>
      </c>
      <c r="E3666" t="s">
        <v>35</v>
      </c>
      <c r="F3666" s="2">
        <v>212901001</v>
      </c>
      <c r="G3666" s="2" t="s">
        <v>91</v>
      </c>
      <c r="I3666" s="95" t="s">
        <v>7231</v>
      </c>
      <c r="J3666" t="s">
        <v>61</v>
      </c>
      <c r="K3666" t="s">
        <v>62</v>
      </c>
      <c r="M3666">
        <v>93.58</v>
      </c>
      <c r="N3666" s="4">
        <f t="shared" si="57"/>
        <v>-55.967300705278909</v>
      </c>
      <c r="O3666" t="s">
        <v>83</v>
      </c>
      <c r="R3666">
        <v>19</v>
      </c>
      <c r="S3666" t="e">
        <f>VLOOKUP(R3666,[1]!NOMINA[#Data],4,FALSE)</f>
        <v>#REF!</v>
      </c>
      <c r="T3666" t="e">
        <f>VLOOKUP(R3666,[1]!NOMINA[#Data],5,FALSE)</f>
        <v>#REF!</v>
      </c>
    </row>
    <row r="3667" spans="1:20" x14ac:dyDescent="0.25">
      <c r="A3667" s="22">
        <v>45791</v>
      </c>
      <c r="B3667" s="1">
        <v>12839401</v>
      </c>
      <c r="C3667" t="s">
        <v>2821</v>
      </c>
      <c r="D3667" s="23">
        <v>-4569.25</v>
      </c>
      <c r="E3667" t="s">
        <v>35</v>
      </c>
      <c r="F3667" s="2">
        <v>212901001</v>
      </c>
      <c r="G3667" s="2" t="s">
        <v>91</v>
      </c>
      <c r="I3667" s="95" t="s">
        <v>7231</v>
      </c>
      <c r="J3667" t="s">
        <v>61</v>
      </c>
      <c r="K3667" t="s">
        <v>62</v>
      </c>
      <c r="M3667">
        <v>93.58</v>
      </c>
      <c r="N3667" s="4">
        <f t="shared" si="57"/>
        <v>-48.82720666809147</v>
      </c>
      <c r="O3667" t="s">
        <v>83</v>
      </c>
      <c r="R3667">
        <v>24</v>
      </c>
      <c r="S3667" t="e">
        <f>VLOOKUP(R3667,[1]!NOMINA[#Data],4,FALSE)</f>
        <v>#REF!</v>
      </c>
      <c r="T3667" t="e">
        <f>VLOOKUP(R3667,[1]!NOMINA[#Data],5,FALSE)</f>
        <v>#REF!</v>
      </c>
    </row>
    <row r="3668" spans="1:20" x14ac:dyDescent="0.25">
      <c r="A3668" s="22">
        <v>45791</v>
      </c>
      <c r="B3668" s="1">
        <v>112839404</v>
      </c>
      <c r="C3668" t="s">
        <v>2822</v>
      </c>
      <c r="D3668" s="23">
        <v>-3204.99</v>
      </c>
      <c r="E3668" t="s">
        <v>35</v>
      </c>
      <c r="F3668" s="2">
        <v>212901001</v>
      </c>
      <c r="G3668" s="2" t="s">
        <v>91</v>
      </c>
      <c r="I3668" s="95" t="s">
        <v>7231</v>
      </c>
      <c r="J3668" t="s">
        <v>61</v>
      </c>
      <c r="K3668" t="s">
        <v>62</v>
      </c>
      <c r="M3668">
        <v>93.58</v>
      </c>
      <c r="N3668" s="4">
        <f t="shared" si="57"/>
        <v>-34.248664244496688</v>
      </c>
      <c r="O3668" t="s">
        <v>83</v>
      </c>
      <c r="R3668">
        <v>27</v>
      </c>
      <c r="S3668" t="e">
        <f>VLOOKUP(R3668,[1]!NOMINA[#Data],4,FALSE)</f>
        <v>#REF!</v>
      </c>
      <c r="T3668" t="e">
        <f>VLOOKUP(R3668,[1]!NOMINA[#Data],5,FALSE)</f>
        <v>#REF!</v>
      </c>
    </row>
    <row r="3669" spans="1:20" x14ac:dyDescent="0.25">
      <c r="A3669" s="22">
        <v>45791</v>
      </c>
      <c r="B3669" s="1">
        <v>12839400</v>
      </c>
      <c r="C3669" t="s">
        <v>2823</v>
      </c>
      <c r="D3669" s="23">
        <v>-11567.36</v>
      </c>
      <c r="E3669" t="s">
        <v>35</v>
      </c>
      <c r="F3669" s="2">
        <v>212901001</v>
      </c>
      <c r="G3669" s="2" t="s">
        <v>91</v>
      </c>
      <c r="I3669" s="95" t="s">
        <v>7231</v>
      </c>
      <c r="J3669" t="s">
        <v>61</v>
      </c>
      <c r="K3669" t="s">
        <v>62</v>
      </c>
      <c r="M3669">
        <v>93.58</v>
      </c>
      <c r="N3669" s="4">
        <f t="shared" si="57"/>
        <v>-123.60931823039111</v>
      </c>
      <c r="O3669" t="s">
        <v>83</v>
      </c>
      <c r="R3669">
        <v>6</v>
      </c>
      <c r="S3669" t="e">
        <f>VLOOKUP(R3669,[1]!NOMINA[#Data],4,FALSE)</f>
        <v>#REF!</v>
      </c>
      <c r="T3669" t="e">
        <f>VLOOKUP(R3669,[1]!NOMINA[#Data],5,FALSE)</f>
        <v>#REF!</v>
      </c>
    </row>
    <row r="3670" spans="1:20" x14ac:dyDescent="0.25">
      <c r="A3670" s="22">
        <v>45791</v>
      </c>
      <c r="B3670" s="1">
        <v>112839407</v>
      </c>
      <c r="C3670" t="s">
        <v>2824</v>
      </c>
      <c r="D3670" s="23">
        <v>-7887.77</v>
      </c>
      <c r="E3670" t="s">
        <v>35</v>
      </c>
      <c r="F3670" s="2">
        <v>212901001</v>
      </c>
      <c r="G3670" s="2" t="s">
        <v>91</v>
      </c>
      <c r="I3670" s="95" t="s">
        <v>7231</v>
      </c>
      <c r="J3670" t="s">
        <v>61</v>
      </c>
      <c r="K3670" t="s">
        <v>62</v>
      </c>
      <c r="M3670">
        <v>93.58</v>
      </c>
      <c r="N3670" s="4">
        <f t="shared" si="57"/>
        <v>-84.289057490916875</v>
      </c>
      <c r="O3670" t="s">
        <v>83</v>
      </c>
      <c r="R3670">
        <v>16</v>
      </c>
      <c r="S3670" t="e">
        <f>VLOOKUP(Tabla3[[#This Row],[Nº]],[1]!NOMINA[#Data],4,FALSE)</f>
        <v>#REF!</v>
      </c>
      <c r="T3670" t="e">
        <f>VLOOKUP(Tabla3[[#This Row],[Nº]],[1]!NOMINA[#Data],5,FALSE)</f>
        <v>#REF!</v>
      </c>
    </row>
    <row r="3671" spans="1:20" x14ac:dyDescent="0.25">
      <c r="A3671" s="22">
        <v>45791</v>
      </c>
      <c r="B3671" s="1">
        <v>112839406</v>
      </c>
      <c r="C3671" t="s">
        <v>2825</v>
      </c>
      <c r="D3671" s="23">
        <v>-6000.51</v>
      </c>
      <c r="E3671" t="s">
        <v>35</v>
      </c>
      <c r="F3671" s="2">
        <v>212901001</v>
      </c>
      <c r="G3671" s="2" t="s">
        <v>91</v>
      </c>
      <c r="I3671" s="95" t="s">
        <v>7231</v>
      </c>
      <c r="J3671" t="s">
        <v>61</v>
      </c>
      <c r="K3671" t="s">
        <v>62</v>
      </c>
      <c r="M3671">
        <v>93.58</v>
      </c>
      <c r="N3671" s="4">
        <f t="shared" si="57"/>
        <v>-64.121714041461857</v>
      </c>
      <c r="O3671" t="s">
        <v>83</v>
      </c>
      <c r="R3671">
        <v>5</v>
      </c>
      <c r="S3671" t="e">
        <f>VLOOKUP(R3671,[1]!NOMINA[#Data],4,FALSE)</f>
        <v>#REF!</v>
      </c>
      <c r="T3671" t="e">
        <f>VLOOKUP(R3671,[1]!NOMINA[#Data],5,FALSE)</f>
        <v>#REF!</v>
      </c>
    </row>
    <row r="3672" spans="1:20" x14ac:dyDescent="0.25">
      <c r="A3672" s="22">
        <v>45791</v>
      </c>
      <c r="B3672" s="1">
        <v>112839409</v>
      </c>
      <c r="C3672" t="s">
        <v>2826</v>
      </c>
      <c r="D3672" s="23">
        <v>-37158.86</v>
      </c>
      <c r="E3672" t="s">
        <v>35</v>
      </c>
      <c r="F3672" s="2">
        <v>212901001</v>
      </c>
      <c r="G3672" s="2" t="s">
        <v>91</v>
      </c>
      <c r="I3672" s="95" t="s">
        <v>7231</v>
      </c>
      <c r="J3672" t="s">
        <v>61</v>
      </c>
      <c r="K3672" t="s">
        <v>62</v>
      </c>
      <c r="M3672">
        <v>93.58</v>
      </c>
      <c r="N3672" s="4">
        <f t="shared" si="57"/>
        <v>-397.08121393460141</v>
      </c>
      <c r="O3672" t="s">
        <v>83</v>
      </c>
      <c r="R3672">
        <v>1</v>
      </c>
      <c r="S3672" t="e">
        <f>VLOOKUP(R3672,[1]!NOMINA[#Data],4,FALSE)</f>
        <v>#REF!</v>
      </c>
      <c r="T3672" t="e">
        <f>VLOOKUP(R3672,[1]!NOMINA[#Data],5,FALSE)</f>
        <v>#REF!</v>
      </c>
    </row>
    <row r="3673" spans="1:20" x14ac:dyDescent="0.25">
      <c r="A3673" s="22">
        <v>45791</v>
      </c>
      <c r="B3673" s="1">
        <v>112839408</v>
      </c>
      <c r="C3673" t="s">
        <v>2827</v>
      </c>
      <c r="D3673" s="23">
        <v>-3205.92</v>
      </c>
      <c r="E3673" t="s">
        <v>35</v>
      </c>
      <c r="F3673" s="2">
        <v>212901001</v>
      </c>
      <c r="G3673" s="2" t="s">
        <v>91</v>
      </c>
      <c r="I3673" s="95" t="s">
        <v>7231</v>
      </c>
      <c r="J3673" t="s">
        <v>61</v>
      </c>
      <c r="K3673" t="s">
        <v>62</v>
      </c>
      <c r="M3673">
        <v>93.58</v>
      </c>
      <c r="N3673" s="4">
        <f t="shared" si="57"/>
        <v>-34.258602265441333</v>
      </c>
      <c r="O3673" t="s">
        <v>83</v>
      </c>
      <c r="R3673">
        <v>7</v>
      </c>
      <c r="S3673" t="e">
        <f>VLOOKUP(R3673,[1]!NOMINA[#Data],4,FALSE)</f>
        <v>#REF!</v>
      </c>
      <c r="T3673" t="e">
        <f>VLOOKUP(R3673,[1]!NOMINA[#Data],5,FALSE)</f>
        <v>#REF!</v>
      </c>
    </row>
    <row r="3674" spans="1:20" x14ac:dyDescent="0.25">
      <c r="A3674" s="22">
        <v>45791</v>
      </c>
      <c r="B3674" s="1">
        <v>112839412</v>
      </c>
      <c r="C3674" t="s">
        <v>2828</v>
      </c>
      <c r="D3674" s="23">
        <v>-61.65</v>
      </c>
      <c r="E3674" t="s">
        <v>35</v>
      </c>
      <c r="F3674" s="2">
        <v>212901001</v>
      </c>
      <c r="G3674" s="2" t="s">
        <v>91</v>
      </c>
      <c r="I3674" s="95" t="s">
        <v>7231</v>
      </c>
      <c r="J3674" t="s">
        <v>61</v>
      </c>
      <c r="K3674" t="s">
        <v>62</v>
      </c>
      <c r="M3674">
        <v>93.58</v>
      </c>
      <c r="N3674" s="4">
        <f t="shared" si="57"/>
        <v>-0.65879461423381069</v>
      </c>
      <c r="O3674" t="s">
        <v>83</v>
      </c>
      <c r="R3674">
        <v>9</v>
      </c>
      <c r="S3674" t="e">
        <f>VLOOKUP(R3674,[1]!NOMINA[#Data],4,FALSE)</f>
        <v>#REF!</v>
      </c>
      <c r="T3674" t="e">
        <f>VLOOKUP(R3674,[1]!NOMINA[#Data],5,FALSE)</f>
        <v>#REF!</v>
      </c>
    </row>
    <row r="3675" spans="1:20" x14ac:dyDescent="0.25">
      <c r="A3675" s="22">
        <v>45791</v>
      </c>
      <c r="B3675" s="1">
        <v>112839411</v>
      </c>
      <c r="C3675" t="s">
        <v>2829</v>
      </c>
      <c r="D3675" s="23">
        <v>-61.65</v>
      </c>
      <c r="E3675" t="s">
        <v>35</v>
      </c>
      <c r="F3675" s="2">
        <v>212901001</v>
      </c>
      <c r="G3675" s="2" t="s">
        <v>91</v>
      </c>
      <c r="I3675" s="95" t="s">
        <v>7231</v>
      </c>
      <c r="J3675" t="s">
        <v>61</v>
      </c>
      <c r="K3675" t="s">
        <v>62</v>
      </c>
      <c r="M3675">
        <v>93.58</v>
      </c>
      <c r="N3675" s="4">
        <f t="shared" si="57"/>
        <v>-0.65879461423381069</v>
      </c>
      <c r="O3675" t="s">
        <v>83</v>
      </c>
      <c r="R3675">
        <v>26</v>
      </c>
      <c r="S3675" t="e">
        <f>VLOOKUP(Tabla3[[#This Row],[Nº]],[1]!NOMINA[#Data],4,FALSE)</f>
        <v>#REF!</v>
      </c>
      <c r="T3675" t="e">
        <f>VLOOKUP(Tabla3[[#This Row],[Nº]],[1]!NOMINA[#Data],5,FALSE)</f>
        <v>#REF!</v>
      </c>
    </row>
    <row r="3676" spans="1:20" x14ac:dyDescent="0.25">
      <c r="A3676" s="22">
        <v>45791</v>
      </c>
      <c r="B3676" s="1">
        <v>112839410</v>
      </c>
      <c r="C3676" t="s">
        <v>2830</v>
      </c>
      <c r="D3676" s="23">
        <v>-4613.91</v>
      </c>
      <c r="E3676" t="s">
        <v>35</v>
      </c>
      <c r="F3676" s="2">
        <v>212901001</v>
      </c>
      <c r="G3676" s="2" t="s">
        <v>91</v>
      </c>
      <c r="I3676" s="95" t="s">
        <v>7231</v>
      </c>
      <c r="J3676" t="s">
        <v>61</v>
      </c>
      <c r="K3676" t="s">
        <v>62</v>
      </c>
      <c r="M3676">
        <v>93.58</v>
      </c>
      <c r="N3676" s="4">
        <f t="shared" si="57"/>
        <v>-49.304445394315024</v>
      </c>
      <c r="O3676" t="s">
        <v>83</v>
      </c>
      <c r="R3676">
        <v>36</v>
      </c>
      <c r="S3676" t="e">
        <f>VLOOKUP(R3676,[1]!NOMINA[#Data],4,FALSE)</f>
        <v>#REF!</v>
      </c>
      <c r="T3676" t="e">
        <f>VLOOKUP(R3676,[1]!NOMINA[#Data],5,FALSE)</f>
        <v>#REF!</v>
      </c>
    </row>
    <row r="3677" spans="1:20" x14ac:dyDescent="0.25">
      <c r="A3677" s="22">
        <v>45791</v>
      </c>
      <c r="B3677" s="1">
        <v>212839414</v>
      </c>
      <c r="C3677" t="s">
        <v>2831</v>
      </c>
      <c r="D3677" s="23">
        <v>-61.65</v>
      </c>
      <c r="E3677" t="s">
        <v>35</v>
      </c>
      <c r="F3677" s="2">
        <v>212901001</v>
      </c>
      <c r="G3677" s="2" t="s">
        <v>91</v>
      </c>
      <c r="I3677" s="95" t="s">
        <v>7231</v>
      </c>
      <c r="J3677" t="s">
        <v>61</v>
      </c>
      <c r="K3677" t="s">
        <v>62</v>
      </c>
      <c r="M3677">
        <v>93.58</v>
      </c>
      <c r="N3677" s="4">
        <f t="shared" si="57"/>
        <v>-0.65879461423381069</v>
      </c>
      <c r="O3677" t="s">
        <v>83</v>
      </c>
      <c r="R3677">
        <v>29</v>
      </c>
      <c r="S3677" t="e">
        <f>VLOOKUP(R3677,[1]!NOMINA[#Data],4,FALSE)</f>
        <v>#REF!</v>
      </c>
      <c r="T3677" t="e">
        <f>VLOOKUP(R3677,[1]!NOMINA[#Data],5,FALSE)</f>
        <v>#REF!</v>
      </c>
    </row>
    <row r="3678" spans="1:20" x14ac:dyDescent="0.25">
      <c r="A3678" s="22">
        <v>45791</v>
      </c>
      <c r="B3678" s="1">
        <v>212839413</v>
      </c>
      <c r="C3678" t="s">
        <v>2832</v>
      </c>
      <c r="D3678" s="23">
        <v>-61.65</v>
      </c>
      <c r="E3678" t="s">
        <v>35</v>
      </c>
      <c r="F3678" s="2">
        <v>212901001</v>
      </c>
      <c r="G3678" s="2" t="s">
        <v>91</v>
      </c>
      <c r="I3678" s="95" t="s">
        <v>7231</v>
      </c>
      <c r="J3678" t="s">
        <v>61</v>
      </c>
      <c r="K3678" t="s">
        <v>62</v>
      </c>
      <c r="M3678">
        <v>93.58</v>
      </c>
      <c r="N3678" s="4">
        <f t="shared" si="57"/>
        <v>-0.65879461423381069</v>
      </c>
      <c r="O3678" t="s">
        <v>83</v>
      </c>
      <c r="R3678">
        <v>10</v>
      </c>
      <c r="S3678" t="e">
        <f>VLOOKUP(R3678,[1]!NOMINA[#Data],4,FALSE)</f>
        <v>#REF!</v>
      </c>
      <c r="T3678" t="e">
        <f>VLOOKUP(R3678,[1]!NOMINA[#Data],5,FALSE)</f>
        <v>#REF!</v>
      </c>
    </row>
    <row r="3679" spans="1:20" x14ac:dyDescent="0.25">
      <c r="A3679" s="22">
        <v>45791</v>
      </c>
      <c r="B3679" s="1">
        <v>212839415</v>
      </c>
      <c r="C3679" t="s">
        <v>2833</v>
      </c>
      <c r="D3679" s="23">
        <v>-61.65</v>
      </c>
      <c r="E3679" t="s">
        <v>35</v>
      </c>
      <c r="F3679" s="2">
        <v>212901001</v>
      </c>
      <c r="G3679" s="2" t="s">
        <v>91</v>
      </c>
      <c r="I3679" s="95" t="s">
        <v>7231</v>
      </c>
      <c r="J3679" t="s">
        <v>61</v>
      </c>
      <c r="K3679" t="s">
        <v>62</v>
      </c>
      <c r="M3679">
        <v>93.58</v>
      </c>
      <c r="N3679" s="4">
        <f t="shared" si="57"/>
        <v>-0.65879461423381069</v>
      </c>
      <c r="O3679" t="s">
        <v>83</v>
      </c>
      <c r="R3679">
        <v>18</v>
      </c>
      <c r="S3679" t="e">
        <f>VLOOKUP(Tabla3[[#This Row],[Nº]],[1]!NOMINA[#Data],4,FALSE)</f>
        <v>#REF!</v>
      </c>
      <c r="T3679" t="e">
        <f>VLOOKUP(Tabla3[[#This Row],[Nº]],[1]!NOMINA[#Data],5,FALSE)</f>
        <v>#REF!</v>
      </c>
    </row>
    <row r="3680" spans="1:20" x14ac:dyDescent="0.25">
      <c r="A3680" s="22">
        <v>45791</v>
      </c>
      <c r="B3680" s="1">
        <v>212839417</v>
      </c>
      <c r="C3680" t="s">
        <v>2834</v>
      </c>
      <c r="D3680" s="23">
        <v>-44.49</v>
      </c>
      <c r="E3680" t="s">
        <v>35</v>
      </c>
      <c r="F3680" s="2">
        <v>212901001</v>
      </c>
      <c r="G3680" s="2" t="s">
        <v>91</v>
      </c>
      <c r="I3680" s="95" t="s">
        <v>7231</v>
      </c>
      <c r="J3680" t="s">
        <v>61</v>
      </c>
      <c r="K3680" t="s">
        <v>62</v>
      </c>
      <c r="M3680">
        <v>93.58</v>
      </c>
      <c r="N3680" s="4">
        <f t="shared" si="57"/>
        <v>-0.47542209873904684</v>
      </c>
      <c r="O3680" t="s">
        <v>83</v>
      </c>
      <c r="R3680">
        <v>38</v>
      </c>
      <c r="S3680" t="e">
        <f>VLOOKUP(R3680,[1]!NOMINA[#Data],4,FALSE)</f>
        <v>#REF!</v>
      </c>
      <c r="T3680" t="e">
        <f>VLOOKUP(R3680,[1]!NOMINA[#Data],5,FALSE)</f>
        <v>#REF!</v>
      </c>
    </row>
    <row r="3681" spans="1:20" x14ac:dyDescent="0.25">
      <c r="A3681" s="22">
        <v>45791</v>
      </c>
      <c r="B3681" s="1">
        <v>212839421</v>
      </c>
      <c r="C3681" t="s">
        <v>2835</v>
      </c>
      <c r="D3681" s="23">
        <v>-61.65</v>
      </c>
      <c r="E3681" t="s">
        <v>35</v>
      </c>
      <c r="F3681" s="2">
        <v>212901001</v>
      </c>
      <c r="G3681" s="2" t="s">
        <v>91</v>
      </c>
      <c r="I3681" s="95" t="s">
        <v>7231</v>
      </c>
      <c r="J3681" t="s">
        <v>61</v>
      </c>
      <c r="K3681" t="s">
        <v>62</v>
      </c>
      <c r="M3681">
        <v>93.58</v>
      </c>
      <c r="N3681" s="4">
        <f t="shared" si="57"/>
        <v>-0.65879461423381069</v>
      </c>
      <c r="O3681" t="s">
        <v>83</v>
      </c>
      <c r="R3681">
        <v>20</v>
      </c>
      <c r="S3681" t="e">
        <f>VLOOKUP(Tabla3[[#This Row],[Nº]],[1]!NOMINA[#Data],4,FALSE)</f>
        <v>#REF!</v>
      </c>
      <c r="T3681" t="e">
        <f>VLOOKUP(Tabla3[[#This Row],[Nº]],[1]!NOMINA[#Data],5,FALSE)</f>
        <v>#REF!</v>
      </c>
    </row>
    <row r="3682" spans="1:20" x14ac:dyDescent="0.25">
      <c r="A3682" s="22">
        <v>45791</v>
      </c>
      <c r="B3682" s="1">
        <v>212839416</v>
      </c>
      <c r="C3682" t="s">
        <v>2836</v>
      </c>
      <c r="D3682" s="23">
        <v>-44.49</v>
      </c>
      <c r="E3682" t="s">
        <v>35</v>
      </c>
      <c r="F3682" s="2">
        <v>212901001</v>
      </c>
      <c r="G3682" s="2" t="s">
        <v>91</v>
      </c>
      <c r="I3682" s="95" t="s">
        <v>7231</v>
      </c>
      <c r="J3682" t="s">
        <v>61</v>
      </c>
      <c r="K3682" t="s">
        <v>62</v>
      </c>
      <c r="M3682">
        <v>93.58</v>
      </c>
      <c r="N3682" s="4">
        <f t="shared" si="57"/>
        <v>-0.47542209873904684</v>
      </c>
      <c r="O3682" t="s">
        <v>83</v>
      </c>
      <c r="R3682">
        <v>15</v>
      </c>
      <c r="S3682" t="e">
        <f>VLOOKUP(R3682,[1]!NOMINA[#Data],4,FALSE)</f>
        <v>#REF!</v>
      </c>
      <c r="T3682" t="e">
        <f>VLOOKUP(R3682,[1]!NOMINA[#Data],5,FALSE)</f>
        <v>#REF!</v>
      </c>
    </row>
    <row r="3683" spans="1:20" x14ac:dyDescent="0.25">
      <c r="A3683" s="22">
        <v>45791</v>
      </c>
      <c r="B3683" s="1">
        <v>212839423</v>
      </c>
      <c r="C3683" t="s">
        <v>2837</v>
      </c>
      <c r="D3683" s="23">
        <v>-61.65</v>
      </c>
      <c r="E3683" t="s">
        <v>35</v>
      </c>
      <c r="F3683" s="2">
        <v>212901001</v>
      </c>
      <c r="G3683" s="2" t="s">
        <v>91</v>
      </c>
      <c r="I3683" s="95" t="s">
        <v>7231</v>
      </c>
      <c r="J3683" t="s">
        <v>61</v>
      </c>
      <c r="K3683" t="s">
        <v>62</v>
      </c>
      <c r="M3683">
        <v>93.58</v>
      </c>
      <c r="N3683" s="4">
        <f t="shared" si="57"/>
        <v>-0.65879461423381069</v>
      </c>
      <c r="O3683" t="s">
        <v>83</v>
      </c>
      <c r="R3683">
        <v>13</v>
      </c>
      <c r="S3683" t="e">
        <f>VLOOKUP(R3683,[1]!NOMINA[#Data],4,FALSE)</f>
        <v>#REF!</v>
      </c>
      <c r="T3683" t="e">
        <f>VLOOKUP(R3683,[1]!NOMINA[#Data],5,FALSE)</f>
        <v>#REF!</v>
      </c>
    </row>
    <row r="3684" spans="1:20" x14ac:dyDescent="0.25">
      <c r="A3684" s="22">
        <v>45791</v>
      </c>
      <c r="B3684" s="1">
        <v>212839418</v>
      </c>
      <c r="C3684" t="s">
        <v>2838</v>
      </c>
      <c r="D3684" s="23">
        <v>-61.65</v>
      </c>
      <c r="E3684" t="s">
        <v>35</v>
      </c>
      <c r="F3684" s="2">
        <v>212901001</v>
      </c>
      <c r="G3684" s="2" t="s">
        <v>91</v>
      </c>
      <c r="I3684" s="95" t="s">
        <v>7231</v>
      </c>
      <c r="J3684" t="s">
        <v>61</v>
      </c>
      <c r="K3684" t="s">
        <v>62</v>
      </c>
      <c r="M3684">
        <v>93.58</v>
      </c>
      <c r="N3684" s="4">
        <f t="shared" si="57"/>
        <v>-0.65879461423381069</v>
      </c>
      <c r="O3684" t="s">
        <v>83</v>
      </c>
      <c r="R3684">
        <v>8</v>
      </c>
      <c r="S3684" t="e">
        <f>VLOOKUP(R3684,[1]!NOMINA[#Data],4,FALSE)</f>
        <v>#REF!</v>
      </c>
      <c r="T3684" t="e">
        <f>VLOOKUP(R3684,[1]!NOMINA[#Data],5,FALSE)</f>
        <v>#REF!</v>
      </c>
    </row>
    <row r="3685" spans="1:20" x14ac:dyDescent="0.25">
      <c r="A3685" s="22">
        <v>45791</v>
      </c>
      <c r="B3685" s="1">
        <v>212839420</v>
      </c>
      <c r="C3685" t="s">
        <v>2839</v>
      </c>
      <c r="D3685" s="23">
        <v>-61.65</v>
      </c>
      <c r="E3685" t="s">
        <v>35</v>
      </c>
      <c r="F3685" s="2">
        <v>212901001</v>
      </c>
      <c r="G3685" s="2" t="s">
        <v>91</v>
      </c>
      <c r="I3685" s="95" t="s">
        <v>7231</v>
      </c>
      <c r="J3685" t="s">
        <v>61</v>
      </c>
      <c r="K3685" t="s">
        <v>62</v>
      </c>
      <c r="M3685">
        <v>93.58</v>
      </c>
      <c r="N3685" s="4">
        <f t="shared" si="57"/>
        <v>-0.65879461423381069</v>
      </c>
      <c r="O3685" t="s">
        <v>83</v>
      </c>
      <c r="R3685">
        <v>11</v>
      </c>
      <c r="S3685" t="e">
        <f>VLOOKUP(R3685,[1]!NOMINA[#Data],4,FALSE)</f>
        <v>#REF!</v>
      </c>
      <c r="T3685" t="e">
        <f>VLOOKUP(R3685,[1]!NOMINA[#Data],5,FALSE)</f>
        <v>#REF!</v>
      </c>
    </row>
    <row r="3686" spans="1:20" x14ac:dyDescent="0.25">
      <c r="A3686" s="22">
        <v>45791</v>
      </c>
      <c r="B3686" s="1">
        <v>212839422</v>
      </c>
      <c r="C3686" t="s">
        <v>2840</v>
      </c>
      <c r="D3686" s="23">
        <v>-61.65</v>
      </c>
      <c r="E3686" t="s">
        <v>35</v>
      </c>
      <c r="F3686" s="2">
        <v>212901001</v>
      </c>
      <c r="G3686" s="2" t="s">
        <v>91</v>
      </c>
      <c r="I3686" s="95" t="s">
        <v>7231</v>
      </c>
      <c r="J3686" t="s">
        <v>61</v>
      </c>
      <c r="K3686" t="s">
        <v>62</v>
      </c>
      <c r="M3686">
        <v>93.58</v>
      </c>
      <c r="N3686" s="4">
        <f t="shared" si="57"/>
        <v>-0.65879461423381069</v>
      </c>
      <c r="O3686" t="s">
        <v>83</v>
      </c>
      <c r="R3686">
        <v>23</v>
      </c>
      <c r="S3686" t="e">
        <f>VLOOKUP(R3686,[1]!NOMINA[#Data],4,FALSE)</f>
        <v>#REF!</v>
      </c>
      <c r="T3686" t="e">
        <f>VLOOKUP(R3686,[1]!NOMINA[#Data],5,FALSE)</f>
        <v>#REF!</v>
      </c>
    </row>
    <row r="3687" spans="1:20" x14ac:dyDescent="0.25">
      <c r="A3687" s="22">
        <v>45791</v>
      </c>
      <c r="B3687" s="1">
        <v>312839424</v>
      </c>
      <c r="C3687" t="s">
        <v>2841</v>
      </c>
      <c r="D3687" s="23">
        <v>-53.07</v>
      </c>
      <c r="E3687" t="s">
        <v>35</v>
      </c>
      <c r="F3687" s="2">
        <v>212901001</v>
      </c>
      <c r="G3687" s="2" t="s">
        <v>91</v>
      </c>
      <c r="I3687" s="95" t="s">
        <v>7231</v>
      </c>
      <c r="J3687" t="s">
        <v>61</v>
      </c>
      <c r="K3687" t="s">
        <v>62</v>
      </c>
      <c r="M3687">
        <v>93.58</v>
      </c>
      <c r="N3687" s="4">
        <f t="shared" si="57"/>
        <v>-0.56710835648642877</v>
      </c>
      <c r="O3687" t="s">
        <v>83</v>
      </c>
      <c r="R3687">
        <v>43</v>
      </c>
      <c r="S3687" t="e">
        <f>VLOOKUP(R3687,[1]!NOMINA[#Data],4,FALSE)</f>
        <v>#REF!</v>
      </c>
      <c r="T3687" t="e">
        <f>VLOOKUP(R3687,[1]!NOMINA[#Data],5,FALSE)</f>
        <v>#REF!</v>
      </c>
    </row>
    <row r="3688" spans="1:20" x14ac:dyDescent="0.25">
      <c r="A3688" s="22">
        <v>45791</v>
      </c>
      <c r="B3688" s="1">
        <v>312839426</v>
      </c>
      <c r="C3688" t="s">
        <v>2842</v>
      </c>
      <c r="D3688" s="23">
        <v>-61.65</v>
      </c>
      <c r="E3688" t="s">
        <v>35</v>
      </c>
      <c r="F3688" s="2">
        <v>212901001</v>
      </c>
      <c r="G3688" s="2" t="s">
        <v>91</v>
      </c>
      <c r="I3688" s="95" t="s">
        <v>7231</v>
      </c>
      <c r="J3688" t="s">
        <v>61</v>
      </c>
      <c r="K3688" t="s">
        <v>62</v>
      </c>
      <c r="M3688">
        <v>93.58</v>
      </c>
      <c r="N3688" s="4">
        <f t="shared" si="57"/>
        <v>-0.65879461423381069</v>
      </c>
      <c r="O3688" t="s">
        <v>83</v>
      </c>
      <c r="R3688">
        <v>17</v>
      </c>
      <c r="S3688" t="e">
        <f>VLOOKUP(R3688,[1]!NOMINA[#Data],4,FALSE)</f>
        <v>#REF!</v>
      </c>
      <c r="T3688" t="e">
        <f>VLOOKUP(R3688,[1]!NOMINA[#Data],5,FALSE)</f>
        <v>#REF!</v>
      </c>
    </row>
    <row r="3689" spans="1:20" x14ac:dyDescent="0.25">
      <c r="A3689" s="22">
        <v>45791</v>
      </c>
      <c r="B3689" s="1">
        <v>312839425</v>
      </c>
      <c r="C3689" t="s">
        <v>2843</v>
      </c>
      <c r="D3689" s="23">
        <v>-61.65</v>
      </c>
      <c r="E3689" t="s">
        <v>35</v>
      </c>
      <c r="F3689" s="2">
        <v>212901001</v>
      </c>
      <c r="G3689" s="2" t="s">
        <v>91</v>
      </c>
      <c r="I3689" s="95" t="s">
        <v>7231</v>
      </c>
      <c r="J3689" t="s">
        <v>61</v>
      </c>
      <c r="K3689" t="s">
        <v>62</v>
      </c>
      <c r="M3689">
        <v>93.58</v>
      </c>
      <c r="N3689" s="4">
        <f t="shared" si="57"/>
        <v>-0.65879461423381069</v>
      </c>
      <c r="O3689" t="s">
        <v>83</v>
      </c>
      <c r="R3689">
        <v>4</v>
      </c>
      <c r="S3689" t="e">
        <f>VLOOKUP(R3689,[1]!NOMINA[#Data],4,FALSE)</f>
        <v>#REF!</v>
      </c>
      <c r="T3689" t="e">
        <f>VLOOKUP(R3689,[1]!NOMINA[#Data],5,FALSE)</f>
        <v>#REF!</v>
      </c>
    </row>
    <row r="3690" spans="1:20" x14ac:dyDescent="0.25">
      <c r="A3690" s="22">
        <v>45791</v>
      </c>
      <c r="B3690" s="1">
        <v>312839427</v>
      </c>
      <c r="C3690" t="s">
        <v>2844</v>
      </c>
      <c r="D3690" s="23">
        <v>-61.65</v>
      </c>
      <c r="E3690" t="s">
        <v>35</v>
      </c>
      <c r="F3690" s="2">
        <v>212901001</v>
      </c>
      <c r="G3690" s="2" t="s">
        <v>91</v>
      </c>
      <c r="I3690" s="95" t="s">
        <v>7231</v>
      </c>
      <c r="J3690" t="s">
        <v>61</v>
      </c>
      <c r="K3690" t="s">
        <v>62</v>
      </c>
      <c r="M3690">
        <v>93.58</v>
      </c>
      <c r="N3690" s="4">
        <f t="shared" si="57"/>
        <v>-0.65879461423381069</v>
      </c>
      <c r="O3690" t="s">
        <v>83</v>
      </c>
      <c r="R3690">
        <v>22</v>
      </c>
      <c r="S3690" t="e">
        <f>VLOOKUP(R3690,[1]!NOMINA[#Data],4,FALSE)</f>
        <v>#REF!</v>
      </c>
      <c r="T3690" t="e">
        <f>VLOOKUP(R3690,[1]!NOMINA[#Data],5,FALSE)</f>
        <v>#REF!</v>
      </c>
    </row>
    <row r="3691" spans="1:20" x14ac:dyDescent="0.25">
      <c r="A3691" s="22">
        <v>45791</v>
      </c>
      <c r="B3691" s="1">
        <v>312839429</v>
      </c>
      <c r="C3691" t="s">
        <v>2845</v>
      </c>
      <c r="D3691" s="23">
        <v>-57.36</v>
      </c>
      <c r="E3691" t="s">
        <v>35</v>
      </c>
      <c r="F3691" s="2">
        <v>212901001</v>
      </c>
      <c r="G3691" s="2" t="s">
        <v>91</v>
      </c>
      <c r="I3691" s="95" t="s">
        <v>7231</v>
      </c>
      <c r="J3691" t="s">
        <v>61</v>
      </c>
      <c r="K3691" t="s">
        <v>62</v>
      </c>
      <c r="M3691">
        <v>93.58</v>
      </c>
      <c r="N3691" s="4">
        <f t="shared" si="57"/>
        <v>-0.61295148536011967</v>
      </c>
      <c r="O3691" t="s">
        <v>83</v>
      </c>
      <c r="R3691">
        <v>42</v>
      </c>
      <c r="S3691" t="e">
        <f>VLOOKUP(R3691,[1]!NOMINA[#Data],4,FALSE)</f>
        <v>#REF!</v>
      </c>
      <c r="T3691" t="e">
        <f>VLOOKUP(R3691,[1]!NOMINA[#Data],5,FALSE)</f>
        <v>#REF!</v>
      </c>
    </row>
    <row r="3692" spans="1:20" x14ac:dyDescent="0.25">
      <c r="A3692" s="22">
        <v>45791</v>
      </c>
      <c r="B3692" s="1">
        <v>312839430</v>
      </c>
      <c r="C3692" t="s">
        <v>2846</v>
      </c>
      <c r="D3692" s="23">
        <v>-61.65</v>
      </c>
      <c r="E3692" t="s">
        <v>35</v>
      </c>
      <c r="F3692" s="2">
        <v>212901001</v>
      </c>
      <c r="G3692" s="2" t="s">
        <v>91</v>
      </c>
      <c r="I3692" s="95" t="s">
        <v>7231</v>
      </c>
      <c r="J3692" t="s">
        <v>61</v>
      </c>
      <c r="K3692" t="s">
        <v>62</v>
      </c>
      <c r="M3692">
        <v>93.58</v>
      </c>
      <c r="N3692" s="4">
        <f t="shared" si="57"/>
        <v>-0.65879461423381069</v>
      </c>
      <c r="O3692" t="s">
        <v>83</v>
      </c>
      <c r="R3692">
        <v>14</v>
      </c>
      <c r="S3692" t="e">
        <f>VLOOKUP(R3692,[1]!NOMINA[#Data],4,FALSE)</f>
        <v>#REF!</v>
      </c>
      <c r="T3692" t="e">
        <f>VLOOKUP(R3692,[1]!NOMINA[#Data],5,FALSE)</f>
        <v>#REF!</v>
      </c>
    </row>
    <row r="3693" spans="1:20" x14ac:dyDescent="0.25">
      <c r="A3693" s="22">
        <v>45791</v>
      </c>
      <c r="B3693" s="1">
        <v>312839428</v>
      </c>
      <c r="C3693" t="s">
        <v>2847</v>
      </c>
      <c r="D3693" s="23">
        <v>-61.65</v>
      </c>
      <c r="E3693" t="s">
        <v>35</v>
      </c>
      <c r="F3693" s="2">
        <v>212901001</v>
      </c>
      <c r="G3693" s="2" t="s">
        <v>91</v>
      </c>
      <c r="I3693" s="95" t="s">
        <v>7231</v>
      </c>
      <c r="J3693" t="s">
        <v>61</v>
      </c>
      <c r="K3693" t="s">
        <v>62</v>
      </c>
      <c r="M3693">
        <v>93.58</v>
      </c>
      <c r="N3693" s="4">
        <f t="shared" si="57"/>
        <v>-0.65879461423381069</v>
      </c>
      <c r="O3693" t="s">
        <v>83</v>
      </c>
      <c r="R3693">
        <v>39</v>
      </c>
      <c r="S3693" t="e">
        <f>VLOOKUP(R3693,[1]!NOMINA[#Data],4,FALSE)</f>
        <v>#REF!</v>
      </c>
      <c r="T3693" t="e">
        <f>VLOOKUP(R3693,[1]!NOMINA[#Data],5,FALSE)</f>
        <v>#REF!</v>
      </c>
    </row>
    <row r="3694" spans="1:20" x14ac:dyDescent="0.25">
      <c r="A3694" s="22">
        <v>45791</v>
      </c>
      <c r="B3694" s="1">
        <v>312839431</v>
      </c>
      <c r="C3694" t="s">
        <v>2848</v>
      </c>
      <c r="D3694" s="23">
        <v>-61.65</v>
      </c>
      <c r="E3694" t="s">
        <v>35</v>
      </c>
      <c r="F3694" s="2">
        <v>212901001</v>
      </c>
      <c r="G3694" s="2" t="s">
        <v>91</v>
      </c>
      <c r="I3694" s="95" t="s">
        <v>7231</v>
      </c>
      <c r="J3694" t="s">
        <v>61</v>
      </c>
      <c r="K3694" t="s">
        <v>62</v>
      </c>
      <c r="M3694">
        <v>93.58</v>
      </c>
      <c r="N3694" s="4">
        <f t="shared" si="57"/>
        <v>-0.65879461423381069</v>
      </c>
      <c r="O3694" t="s">
        <v>83</v>
      </c>
      <c r="R3694">
        <v>21</v>
      </c>
      <c r="S3694" t="e">
        <f>VLOOKUP(R3694,[1]!NOMINA[#Data],4,FALSE)</f>
        <v>#REF!</v>
      </c>
      <c r="T3694" t="e">
        <f>VLOOKUP(R3694,[1]!NOMINA[#Data],5,FALSE)</f>
        <v>#REF!</v>
      </c>
    </row>
    <row r="3695" spans="1:20" x14ac:dyDescent="0.25">
      <c r="A3695" s="22">
        <v>45791</v>
      </c>
      <c r="B3695" s="1">
        <v>312839432</v>
      </c>
      <c r="C3695" t="s">
        <v>2849</v>
      </c>
      <c r="D3695" s="23">
        <v>-61.65</v>
      </c>
      <c r="E3695" t="s">
        <v>35</v>
      </c>
      <c r="F3695" s="2">
        <v>212901001</v>
      </c>
      <c r="G3695" s="2" t="s">
        <v>91</v>
      </c>
      <c r="I3695" s="95" t="s">
        <v>7231</v>
      </c>
      <c r="J3695" t="s">
        <v>61</v>
      </c>
      <c r="K3695" t="s">
        <v>62</v>
      </c>
      <c r="M3695">
        <v>93.58</v>
      </c>
      <c r="N3695" s="4">
        <f t="shared" si="57"/>
        <v>-0.65879461423381069</v>
      </c>
      <c r="O3695" t="s">
        <v>83</v>
      </c>
      <c r="R3695">
        <v>25</v>
      </c>
      <c r="S3695" t="e">
        <f>VLOOKUP(R3695,[1]!NOMINA[#Data],4,FALSE)</f>
        <v>#REF!</v>
      </c>
      <c r="T3695" t="e">
        <f>VLOOKUP(R3695,[1]!NOMINA[#Data],5,FALSE)</f>
        <v>#REF!</v>
      </c>
    </row>
    <row r="3696" spans="1:20" x14ac:dyDescent="0.25">
      <c r="A3696" s="22">
        <v>45791</v>
      </c>
      <c r="B3696" s="1">
        <v>312839433</v>
      </c>
      <c r="C3696" t="s">
        <v>2850</v>
      </c>
      <c r="D3696" s="23">
        <v>-61.65</v>
      </c>
      <c r="E3696" t="s">
        <v>35</v>
      </c>
      <c r="F3696" s="2">
        <v>212901001</v>
      </c>
      <c r="G3696" s="2" t="s">
        <v>91</v>
      </c>
      <c r="I3696" s="95" t="s">
        <v>7231</v>
      </c>
      <c r="J3696" t="s">
        <v>61</v>
      </c>
      <c r="K3696" t="s">
        <v>62</v>
      </c>
      <c r="M3696">
        <v>93.58</v>
      </c>
      <c r="N3696" s="4">
        <f t="shared" si="57"/>
        <v>-0.65879461423381069</v>
      </c>
      <c r="O3696" t="s">
        <v>83</v>
      </c>
      <c r="R3696">
        <v>12</v>
      </c>
      <c r="S3696" t="e">
        <f>VLOOKUP(R3696,[1]!NOMINA[#Data],4,FALSE)</f>
        <v>#REF!</v>
      </c>
      <c r="T3696" t="e">
        <f>VLOOKUP(R3696,[1]!NOMINA[#Data],5,FALSE)</f>
        <v>#REF!</v>
      </c>
    </row>
    <row r="3697" spans="1:20" x14ac:dyDescent="0.25">
      <c r="A3697" s="22">
        <v>45791</v>
      </c>
      <c r="B3697" s="1">
        <v>412839437</v>
      </c>
      <c r="C3697" t="s">
        <v>2851</v>
      </c>
      <c r="D3697" s="23">
        <v>-61.65</v>
      </c>
      <c r="E3697" t="s">
        <v>35</v>
      </c>
      <c r="F3697" s="2">
        <v>212901001</v>
      </c>
      <c r="G3697" s="2" t="s">
        <v>91</v>
      </c>
      <c r="I3697" s="95" t="s">
        <v>7231</v>
      </c>
      <c r="J3697" t="s">
        <v>61</v>
      </c>
      <c r="K3697" t="s">
        <v>62</v>
      </c>
      <c r="M3697">
        <v>93.58</v>
      </c>
      <c r="N3697" s="4">
        <f t="shared" si="57"/>
        <v>-0.65879461423381069</v>
      </c>
      <c r="O3697" t="s">
        <v>83</v>
      </c>
      <c r="R3697">
        <v>2</v>
      </c>
      <c r="S3697" t="e">
        <f>VLOOKUP(Tabla3[[#This Row],[Nº]],[1]!NOMINA[#Data],4,FALSE)</f>
        <v>#REF!</v>
      </c>
      <c r="T3697" t="e">
        <f>VLOOKUP(Tabla3[[#This Row],[Nº]],[1]!NOMINA[#Data],5,FALSE)</f>
        <v>#REF!</v>
      </c>
    </row>
    <row r="3698" spans="1:20" x14ac:dyDescent="0.25">
      <c r="A3698" s="22">
        <v>45791</v>
      </c>
      <c r="B3698" s="1">
        <v>312839435</v>
      </c>
      <c r="C3698" t="s">
        <v>2852</v>
      </c>
      <c r="D3698" s="23">
        <v>-61.65</v>
      </c>
      <c r="E3698" t="s">
        <v>35</v>
      </c>
      <c r="F3698" s="2">
        <v>212901001</v>
      </c>
      <c r="G3698" s="2" t="s">
        <v>91</v>
      </c>
      <c r="I3698" s="95" t="s">
        <v>7231</v>
      </c>
      <c r="J3698" t="s">
        <v>61</v>
      </c>
      <c r="K3698" t="s">
        <v>62</v>
      </c>
      <c r="M3698">
        <v>93.58</v>
      </c>
      <c r="N3698" s="4">
        <f t="shared" si="57"/>
        <v>-0.65879461423381069</v>
      </c>
      <c r="O3698" t="s">
        <v>83</v>
      </c>
      <c r="R3698">
        <v>6</v>
      </c>
      <c r="S3698" t="e">
        <f>VLOOKUP(R3698,[1]!NOMINA[#Data],4,FALSE)</f>
        <v>#REF!</v>
      </c>
      <c r="T3698" t="e">
        <f>VLOOKUP(R3698,[1]!NOMINA[#Data],5,FALSE)</f>
        <v>#REF!</v>
      </c>
    </row>
    <row r="3699" spans="1:20" x14ac:dyDescent="0.25">
      <c r="A3699" s="22">
        <v>45791</v>
      </c>
      <c r="B3699" s="1">
        <v>412839439</v>
      </c>
      <c r="C3699" t="s">
        <v>2853</v>
      </c>
      <c r="D3699" s="23">
        <v>-61.65</v>
      </c>
      <c r="E3699" t="s">
        <v>35</v>
      </c>
      <c r="F3699" s="2">
        <v>212901001</v>
      </c>
      <c r="G3699" s="2" t="s">
        <v>91</v>
      </c>
      <c r="I3699" s="95" t="s">
        <v>7231</v>
      </c>
      <c r="J3699" t="s">
        <v>61</v>
      </c>
      <c r="K3699" t="s">
        <v>62</v>
      </c>
      <c r="M3699">
        <v>93.58</v>
      </c>
      <c r="N3699" s="4">
        <f t="shared" si="57"/>
        <v>-0.65879461423381069</v>
      </c>
      <c r="O3699" t="s">
        <v>83</v>
      </c>
      <c r="R3699">
        <v>24</v>
      </c>
      <c r="S3699" t="e">
        <f>VLOOKUP(R3699,[1]!NOMINA[#Data],4,FALSE)</f>
        <v>#REF!</v>
      </c>
      <c r="T3699" t="e">
        <f>VLOOKUP(R3699,[1]!NOMINA[#Data],5,FALSE)</f>
        <v>#REF!</v>
      </c>
    </row>
    <row r="3700" spans="1:20" x14ac:dyDescent="0.25">
      <c r="A3700" s="22">
        <v>45791</v>
      </c>
      <c r="B3700" s="1">
        <v>412839440</v>
      </c>
      <c r="C3700" t="s">
        <v>2854</v>
      </c>
      <c r="D3700" s="23">
        <v>-61.65</v>
      </c>
      <c r="E3700" t="s">
        <v>35</v>
      </c>
      <c r="F3700" s="2">
        <v>212901001</v>
      </c>
      <c r="G3700" s="2" t="s">
        <v>91</v>
      </c>
      <c r="I3700" s="95" t="s">
        <v>7231</v>
      </c>
      <c r="J3700" t="s">
        <v>61</v>
      </c>
      <c r="K3700" t="s">
        <v>62</v>
      </c>
      <c r="M3700">
        <v>93.58</v>
      </c>
      <c r="N3700" s="4">
        <f t="shared" si="57"/>
        <v>-0.65879461423381069</v>
      </c>
      <c r="O3700" t="s">
        <v>83</v>
      </c>
      <c r="R3700">
        <v>3</v>
      </c>
      <c r="S3700" t="e">
        <f>VLOOKUP(R3700,[1]!NOMINA[#Data],4,FALSE)</f>
        <v>#REF!</v>
      </c>
      <c r="T3700" t="e">
        <f>VLOOKUP(R3700,[1]!NOMINA[#Data],5,FALSE)</f>
        <v>#REF!</v>
      </c>
    </row>
    <row r="3701" spans="1:20" x14ac:dyDescent="0.25">
      <c r="A3701" s="22">
        <v>45791</v>
      </c>
      <c r="B3701" s="1">
        <v>412839436</v>
      </c>
      <c r="C3701" t="s">
        <v>2855</v>
      </c>
      <c r="D3701" s="23">
        <v>-57.36</v>
      </c>
      <c r="E3701" t="s">
        <v>35</v>
      </c>
      <c r="F3701" s="2">
        <v>212901001</v>
      </c>
      <c r="G3701" s="2" t="s">
        <v>91</v>
      </c>
      <c r="I3701" s="95" t="s">
        <v>7231</v>
      </c>
      <c r="J3701" t="s">
        <v>61</v>
      </c>
      <c r="K3701" t="s">
        <v>62</v>
      </c>
      <c r="M3701">
        <v>93.58</v>
      </c>
      <c r="N3701" s="4">
        <f t="shared" si="57"/>
        <v>-0.61295148536011967</v>
      </c>
      <c r="O3701" t="s">
        <v>83</v>
      </c>
      <c r="R3701">
        <v>28</v>
      </c>
      <c r="S3701" t="e">
        <f>VLOOKUP(R3701,[1]!NOMINA[#Data],4,FALSE)</f>
        <v>#REF!</v>
      </c>
      <c r="T3701" t="e">
        <f>VLOOKUP(R3701,[1]!NOMINA[#Data],5,FALSE)</f>
        <v>#REF!</v>
      </c>
    </row>
    <row r="3702" spans="1:20" x14ac:dyDescent="0.25">
      <c r="A3702" s="22">
        <v>45791</v>
      </c>
      <c r="B3702" s="1">
        <v>412839438</v>
      </c>
      <c r="C3702" t="s">
        <v>2856</v>
      </c>
      <c r="D3702" s="23">
        <v>-61.65</v>
      </c>
      <c r="E3702" t="s">
        <v>35</v>
      </c>
      <c r="F3702" s="2">
        <v>212901001</v>
      </c>
      <c r="G3702" s="2" t="s">
        <v>91</v>
      </c>
      <c r="I3702" s="95" t="s">
        <v>7231</v>
      </c>
      <c r="J3702" t="s">
        <v>61</v>
      </c>
      <c r="K3702" t="s">
        <v>62</v>
      </c>
      <c r="M3702">
        <v>93.58</v>
      </c>
      <c r="N3702" s="4">
        <f t="shared" si="57"/>
        <v>-0.65879461423381069</v>
      </c>
      <c r="O3702" t="s">
        <v>83</v>
      </c>
      <c r="R3702">
        <v>27</v>
      </c>
      <c r="S3702" t="e">
        <f>VLOOKUP(R3702,[1]!NOMINA[#Data],4,FALSE)</f>
        <v>#REF!</v>
      </c>
      <c r="T3702" t="e">
        <f>VLOOKUP(R3702,[1]!NOMINA[#Data],5,FALSE)</f>
        <v>#REF!</v>
      </c>
    </row>
    <row r="3703" spans="1:20" x14ac:dyDescent="0.25">
      <c r="A3703" s="22">
        <v>45791</v>
      </c>
      <c r="B3703" s="1">
        <v>412839443</v>
      </c>
      <c r="C3703" t="s">
        <v>2857</v>
      </c>
      <c r="D3703" s="23">
        <v>-61.65</v>
      </c>
      <c r="E3703" t="s">
        <v>35</v>
      </c>
      <c r="F3703" s="2">
        <v>212901001</v>
      </c>
      <c r="G3703" s="2" t="s">
        <v>91</v>
      </c>
      <c r="I3703" s="95" t="s">
        <v>7231</v>
      </c>
      <c r="J3703" t="s">
        <v>61</v>
      </c>
      <c r="K3703" t="s">
        <v>62</v>
      </c>
      <c r="M3703">
        <v>93.58</v>
      </c>
      <c r="N3703" s="4">
        <f t="shared" si="57"/>
        <v>-0.65879461423381069</v>
      </c>
      <c r="O3703" t="s">
        <v>83</v>
      </c>
      <c r="R3703">
        <v>19</v>
      </c>
      <c r="S3703" t="e">
        <f>VLOOKUP(R3703,[1]!NOMINA[#Data],4,FALSE)</f>
        <v>#REF!</v>
      </c>
      <c r="T3703" t="e">
        <f>VLOOKUP(R3703,[1]!NOMINA[#Data],5,FALSE)</f>
        <v>#REF!</v>
      </c>
    </row>
    <row r="3704" spans="1:20" x14ac:dyDescent="0.25">
      <c r="A3704" s="22">
        <v>45791</v>
      </c>
      <c r="B3704" s="1">
        <v>412839446</v>
      </c>
      <c r="C3704" t="s">
        <v>2858</v>
      </c>
      <c r="D3704" s="23">
        <v>-61.65</v>
      </c>
      <c r="E3704" t="s">
        <v>35</v>
      </c>
      <c r="F3704" s="2">
        <v>212901001</v>
      </c>
      <c r="G3704" s="2" t="s">
        <v>91</v>
      </c>
      <c r="I3704" s="95" t="s">
        <v>7231</v>
      </c>
      <c r="J3704" t="s">
        <v>61</v>
      </c>
      <c r="K3704" t="s">
        <v>62</v>
      </c>
      <c r="M3704">
        <v>93.58</v>
      </c>
      <c r="N3704" s="4">
        <f t="shared" si="57"/>
        <v>-0.65879461423381069</v>
      </c>
      <c r="O3704" t="s">
        <v>83</v>
      </c>
      <c r="R3704">
        <v>5</v>
      </c>
      <c r="S3704" t="e">
        <f>VLOOKUP(R3704,[1]!NOMINA[#Data],4,FALSE)</f>
        <v>#REF!</v>
      </c>
      <c r="T3704" t="e">
        <f>VLOOKUP(R3704,[1]!NOMINA[#Data],5,FALSE)</f>
        <v>#REF!</v>
      </c>
    </row>
    <row r="3705" spans="1:20" x14ac:dyDescent="0.25">
      <c r="A3705" s="22">
        <v>45791</v>
      </c>
      <c r="B3705" s="1">
        <v>412839442</v>
      </c>
      <c r="C3705" t="s">
        <v>2859</v>
      </c>
      <c r="D3705" s="23">
        <v>-61.65</v>
      </c>
      <c r="E3705" t="s">
        <v>35</v>
      </c>
      <c r="F3705" s="2">
        <v>212901001</v>
      </c>
      <c r="G3705" s="2" t="s">
        <v>91</v>
      </c>
      <c r="I3705" s="95" t="s">
        <v>7231</v>
      </c>
      <c r="J3705" t="s">
        <v>61</v>
      </c>
      <c r="K3705" t="s">
        <v>62</v>
      </c>
      <c r="M3705">
        <v>93.58</v>
      </c>
      <c r="N3705" s="4">
        <f t="shared" si="57"/>
        <v>-0.65879461423381069</v>
      </c>
      <c r="O3705" t="s">
        <v>83</v>
      </c>
      <c r="R3705">
        <v>16</v>
      </c>
      <c r="S3705" t="e">
        <f>VLOOKUP(Tabla3[[#This Row],[Nº]],[1]!NOMINA[#Data],4,FALSE)</f>
        <v>#REF!</v>
      </c>
      <c r="T3705" t="e">
        <f>VLOOKUP(Tabla3[[#This Row],[Nº]],[1]!NOMINA[#Data],5,FALSE)</f>
        <v>#REF!</v>
      </c>
    </row>
    <row r="3706" spans="1:20" x14ac:dyDescent="0.25">
      <c r="A3706" s="22">
        <v>45791</v>
      </c>
      <c r="B3706" s="1">
        <v>412839444</v>
      </c>
      <c r="C3706" t="s">
        <v>2860</v>
      </c>
      <c r="D3706" s="23">
        <v>-61.65</v>
      </c>
      <c r="E3706" t="s">
        <v>35</v>
      </c>
      <c r="F3706" s="2">
        <v>212901001</v>
      </c>
      <c r="G3706" s="2" t="s">
        <v>91</v>
      </c>
      <c r="I3706" s="95" t="s">
        <v>7231</v>
      </c>
      <c r="J3706" t="s">
        <v>61</v>
      </c>
      <c r="K3706" t="s">
        <v>62</v>
      </c>
      <c r="M3706">
        <v>93.58</v>
      </c>
      <c r="N3706" s="4">
        <f t="shared" si="57"/>
        <v>-0.65879461423381069</v>
      </c>
      <c r="O3706" t="s">
        <v>83</v>
      </c>
      <c r="R3706">
        <v>7</v>
      </c>
      <c r="S3706" t="e">
        <f>VLOOKUP(R3706,[1]!NOMINA[#Data],4,FALSE)</f>
        <v>#REF!</v>
      </c>
      <c r="T3706" t="e">
        <f>VLOOKUP(R3706,[1]!NOMINA[#Data],5,FALSE)</f>
        <v>#REF!</v>
      </c>
    </row>
    <row r="3707" spans="1:20" x14ac:dyDescent="0.25">
      <c r="A3707" s="22">
        <v>45791</v>
      </c>
      <c r="B3707" s="1">
        <v>412839445</v>
      </c>
      <c r="C3707" t="s">
        <v>2861</v>
      </c>
      <c r="D3707" s="23">
        <v>-61.65</v>
      </c>
      <c r="E3707" t="s">
        <v>35</v>
      </c>
      <c r="F3707" s="2">
        <v>212901001</v>
      </c>
      <c r="G3707" s="2" t="s">
        <v>91</v>
      </c>
      <c r="I3707" s="95" t="s">
        <v>7231</v>
      </c>
      <c r="J3707" t="s">
        <v>61</v>
      </c>
      <c r="K3707" t="s">
        <v>62</v>
      </c>
      <c r="M3707">
        <v>93.58</v>
      </c>
      <c r="N3707" s="4">
        <f t="shared" si="57"/>
        <v>-0.65879461423381069</v>
      </c>
      <c r="O3707" t="s">
        <v>83</v>
      </c>
      <c r="R3707">
        <v>1</v>
      </c>
      <c r="S3707" t="e">
        <f>VLOOKUP(R3707,[1]!NOMINA[#Data],4,FALSE)</f>
        <v>#REF!</v>
      </c>
      <c r="T3707" t="e">
        <f>VLOOKUP(R3707,[1]!NOMINA[#Data],5,FALSE)</f>
        <v>#REF!</v>
      </c>
    </row>
    <row r="3708" spans="1:20" x14ac:dyDescent="0.25">
      <c r="A3708" s="22">
        <v>45791</v>
      </c>
      <c r="B3708" s="1">
        <v>512839447</v>
      </c>
      <c r="C3708" t="s">
        <v>2862</v>
      </c>
      <c r="D3708" s="23">
        <v>-61.65</v>
      </c>
      <c r="E3708" t="s">
        <v>35</v>
      </c>
      <c r="F3708" s="2">
        <v>212901001</v>
      </c>
      <c r="G3708" s="2" t="s">
        <v>91</v>
      </c>
      <c r="I3708" s="95" t="s">
        <v>7231</v>
      </c>
      <c r="J3708" t="s">
        <v>61</v>
      </c>
      <c r="K3708" s="2" t="s">
        <v>62</v>
      </c>
      <c r="L3708" s="2"/>
      <c r="M3708">
        <v>93.58</v>
      </c>
      <c r="N3708" s="4">
        <f t="shared" si="57"/>
        <v>-0.65879461423381069</v>
      </c>
      <c r="O3708" t="s">
        <v>83</v>
      </c>
      <c r="R3708">
        <v>36</v>
      </c>
      <c r="S3708" t="e">
        <f>VLOOKUP(R3708,[1]!NOMINA[#Data],4,FALSE)</f>
        <v>#REF!</v>
      </c>
      <c r="T3708" t="e">
        <f>VLOOKUP(R3708,[1]!NOMINA[#Data],5,FALSE)</f>
        <v>#REF!</v>
      </c>
    </row>
    <row r="3709" spans="1:20" x14ac:dyDescent="0.25">
      <c r="A3709" s="22">
        <v>45791</v>
      </c>
      <c r="B3709" s="1">
        <v>50516566</v>
      </c>
      <c r="C3709" t="s">
        <v>2863</v>
      </c>
      <c r="D3709" s="23">
        <v>-11629.01</v>
      </c>
      <c r="E3709" t="s">
        <v>35</v>
      </c>
      <c r="F3709" s="2">
        <v>212901001</v>
      </c>
      <c r="G3709" s="2" t="s">
        <v>91</v>
      </c>
      <c r="I3709" s="95" t="s">
        <v>7231</v>
      </c>
      <c r="J3709" t="s">
        <v>61</v>
      </c>
      <c r="K3709" t="s">
        <v>62</v>
      </c>
      <c r="M3709">
        <v>93.58</v>
      </c>
      <c r="N3709" s="4">
        <f t="shared" si="57"/>
        <v>-124.26811284462492</v>
      </c>
      <c r="O3709" t="s">
        <v>83</v>
      </c>
      <c r="R3709">
        <v>40</v>
      </c>
      <c r="S3709" t="e">
        <f>VLOOKUP(R3709,[1]!NOMINA[#Data],4,FALSE)</f>
        <v>#REF!</v>
      </c>
      <c r="T3709" t="e">
        <f>VLOOKUP(R3709,[1]!NOMINA[#Data],5,FALSE)</f>
        <v>#REF!</v>
      </c>
    </row>
    <row r="3710" spans="1:20" x14ac:dyDescent="0.25">
      <c r="A3710" s="22">
        <v>45791</v>
      </c>
      <c r="B3710" s="1">
        <v>50516566</v>
      </c>
      <c r="C3710" t="s">
        <v>179</v>
      </c>
      <c r="D3710" s="23">
        <v>-17.440000000000001</v>
      </c>
      <c r="E3710" t="s">
        <v>35</v>
      </c>
      <c r="F3710" s="2">
        <v>610148001</v>
      </c>
      <c r="G3710" s="2" t="s">
        <v>41</v>
      </c>
      <c r="I3710" s="95" t="s">
        <v>7231</v>
      </c>
      <c r="J3710" t="s">
        <v>42</v>
      </c>
      <c r="K3710" t="s">
        <v>41</v>
      </c>
      <c r="M3710">
        <v>93.58</v>
      </c>
      <c r="N3710" s="4">
        <f t="shared" si="57"/>
        <v>-0.18636460782218425</v>
      </c>
      <c r="O3710" t="s">
        <v>83</v>
      </c>
      <c r="Q3710" s="24" t="s">
        <v>2650</v>
      </c>
    </row>
    <row r="3711" spans="1:20" x14ac:dyDescent="0.25">
      <c r="A3711" s="22">
        <v>45791</v>
      </c>
      <c r="B3711" s="1">
        <v>50516566</v>
      </c>
      <c r="C3711" t="s">
        <v>89</v>
      </c>
      <c r="D3711" s="23">
        <v>-757.56</v>
      </c>
      <c r="E3711" t="s">
        <v>35</v>
      </c>
      <c r="F3711" s="2">
        <v>610148001</v>
      </c>
      <c r="G3711" s="2" t="s">
        <v>41</v>
      </c>
      <c r="I3711" s="95" t="s">
        <v>7231</v>
      </c>
      <c r="J3711" t="s">
        <v>42</v>
      </c>
      <c r="K3711" t="s">
        <v>41</v>
      </c>
      <c r="M3711">
        <v>93.58</v>
      </c>
      <c r="N3711" s="4">
        <f t="shared" si="57"/>
        <v>-8.0953195127163919</v>
      </c>
      <c r="O3711" t="s">
        <v>83</v>
      </c>
      <c r="Q3711" s="24" t="s">
        <v>2650</v>
      </c>
    </row>
    <row r="3712" spans="1:20" x14ac:dyDescent="0.25">
      <c r="A3712" s="22">
        <v>45792</v>
      </c>
      <c r="B3712" s="1">
        <v>612862605</v>
      </c>
      <c r="C3712" t="s">
        <v>2864</v>
      </c>
      <c r="D3712" s="44">
        <v>-2060</v>
      </c>
      <c r="E3712" t="s">
        <v>35</v>
      </c>
      <c r="F3712" s="2">
        <v>110114001</v>
      </c>
      <c r="G3712" s="2" t="s">
        <v>181</v>
      </c>
      <c r="I3712" s="95" t="s">
        <v>7231</v>
      </c>
      <c r="J3712" t="s">
        <v>414</v>
      </c>
      <c r="K3712" t="s">
        <v>415</v>
      </c>
      <c r="M3712">
        <v>94.16</v>
      </c>
      <c r="N3712" s="4">
        <f t="shared" si="57"/>
        <v>-21.877655055225148</v>
      </c>
      <c r="O3712" t="s">
        <v>83</v>
      </c>
      <c r="P3712" s="34" t="s">
        <v>1279</v>
      </c>
    </row>
    <row r="3713" spans="1:17" x14ac:dyDescent="0.25">
      <c r="A3713" s="22">
        <v>45792</v>
      </c>
      <c r="B3713" s="1">
        <v>612862605</v>
      </c>
      <c r="C3713" t="s">
        <v>185</v>
      </c>
      <c r="D3713" s="23">
        <v>-6.18</v>
      </c>
      <c r="E3713" t="s">
        <v>35</v>
      </c>
      <c r="F3713" s="2">
        <v>610148001</v>
      </c>
      <c r="G3713" s="2" t="s">
        <v>41</v>
      </c>
      <c r="I3713" s="95" t="s">
        <v>7231</v>
      </c>
      <c r="J3713" t="s">
        <v>42</v>
      </c>
      <c r="K3713" t="s">
        <v>41</v>
      </c>
      <c r="M3713">
        <v>94.16</v>
      </c>
      <c r="N3713" s="4">
        <f t="shared" si="57"/>
        <v>-6.5632965165675447E-2</v>
      </c>
      <c r="O3713" t="s">
        <v>83</v>
      </c>
      <c r="Q3713" s="24" t="s">
        <v>2650</v>
      </c>
    </row>
    <row r="3714" spans="1:17" x14ac:dyDescent="0.25">
      <c r="A3714" s="22">
        <v>45792</v>
      </c>
      <c r="B3714" s="1">
        <v>412880086</v>
      </c>
      <c r="C3714" t="s">
        <v>2864</v>
      </c>
      <c r="D3714" s="44">
        <v>-2000</v>
      </c>
      <c r="E3714" t="s">
        <v>35</v>
      </c>
      <c r="F3714" s="2">
        <v>110114001</v>
      </c>
      <c r="G3714" s="2" t="s">
        <v>181</v>
      </c>
      <c r="I3714" s="95" t="s">
        <v>7231</v>
      </c>
      <c r="J3714" t="s">
        <v>414</v>
      </c>
      <c r="K3714" t="s">
        <v>415</v>
      </c>
      <c r="M3714">
        <v>94.16</v>
      </c>
      <c r="N3714" s="4">
        <f t="shared" si="57"/>
        <v>-21.240441801189466</v>
      </c>
      <c r="O3714" t="s">
        <v>83</v>
      </c>
      <c r="P3714" s="34" t="s">
        <v>1279</v>
      </c>
    </row>
    <row r="3715" spans="1:17" x14ac:dyDescent="0.25">
      <c r="A3715" s="22">
        <v>45792</v>
      </c>
      <c r="B3715" s="1">
        <v>412880086</v>
      </c>
      <c r="C3715" t="s">
        <v>185</v>
      </c>
      <c r="D3715" s="23">
        <v>-6</v>
      </c>
      <c r="E3715" t="s">
        <v>35</v>
      </c>
      <c r="F3715" s="2">
        <v>610148001</v>
      </c>
      <c r="G3715" s="2" t="s">
        <v>41</v>
      </c>
      <c r="I3715" s="95" t="s">
        <v>7231</v>
      </c>
      <c r="J3715" t="s">
        <v>42</v>
      </c>
      <c r="K3715" t="s">
        <v>41</v>
      </c>
      <c r="M3715">
        <v>94.16</v>
      </c>
      <c r="N3715" s="4">
        <f t="shared" si="57"/>
        <v>-6.3721325403568396E-2</v>
      </c>
      <c r="O3715" t="s">
        <v>83</v>
      </c>
      <c r="Q3715" s="24" t="s">
        <v>2650</v>
      </c>
    </row>
    <row r="3716" spans="1:17" x14ac:dyDescent="0.25">
      <c r="A3716" s="22">
        <v>45793</v>
      </c>
      <c r="B3716" s="1">
        <v>153444184</v>
      </c>
      <c r="C3716" t="s">
        <v>82</v>
      </c>
      <c r="D3716" s="23">
        <v>440000</v>
      </c>
      <c r="E3716" t="s">
        <v>45</v>
      </c>
      <c r="F3716" s="2">
        <v>210115002</v>
      </c>
      <c r="G3716" s="2" t="s">
        <v>46</v>
      </c>
      <c r="I3716" s="95" t="s">
        <v>7231</v>
      </c>
      <c r="K3716" t="s">
        <v>82</v>
      </c>
      <c r="M3716">
        <v>94.32</v>
      </c>
      <c r="N3716" s="4">
        <f t="shared" si="57"/>
        <v>4664.9703138252762</v>
      </c>
      <c r="O3716" t="s">
        <v>83</v>
      </c>
    </row>
    <row r="3717" spans="1:17" x14ac:dyDescent="0.25">
      <c r="A3717" s="22">
        <v>45793</v>
      </c>
      <c r="B3717" s="1">
        <v>212971651</v>
      </c>
      <c r="C3717" t="s">
        <v>2865</v>
      </c>
      <c r="D3717" s="23">
        <v>-7545.6</v>
      </c>
      <c r="E3717" t="s">
        <v>35</v>
      </c>
      <c r="F3717" s="2">
        <v>212901001</v>
      </c>
      <c r="G3717" s="2" t="s">
        <v>91</v>
      </c>
      <c r="I3717" s="95" t="s">
        <v>7231</v>
      </c>
      <c r="J3717" t="s">
        <v>61</v>
      </c>
      <c r="K3717" t="s">
        <v>62</v>
      </c>
      <c r="M3717">
        <v>94.32</v>
      </c>
      <c r="N3717" s="4">
        <f t="shared" si="57"/>
        <v>-80.000000000000014</v>
      </c>
      <c r="O3717" t="s">
        <v>83</v>
      </c>
    </row>
    <row r="3718" spans="1:17" x14ac:dyDescent="0.25">
      <c r="A3718" s="22">
        <v>45793</v>
      </c>
      <c r="B3718" s="1">
        <v>312971653</v>
      </c>
      <c r="C3718" t="s">
        <v>2866</v>
      </c>
      <c r="D3718" s="23">
        <v>-5659.2</v>
      </c>
      <c r="E3718" t="s">
        <v>35</v>
      </c>
      <c r="F3718" s="2">
        <v>212901001</v>
      </c>
      <c r="G3718" s="2" t="s">
        <v>91</v>
      </c>
      <c r="I3718" s="95" t="s">
        <v>7231</v>
      </c>
      <c r="J3718" t="s">
        <v>61</v>
      </c>
      <c r="K3718" t="s">
        <v>62</v>
      </c>
      <c r="M3718">
        <v>94.32</v>
      </c>
      <c r="N3718" s="4">
        <f t="shared" si="57"/>
        <v>-60</v>
      </c>
      <c r="O3718" t="s">
        <v>83</v>
      </c>
    </row>
    <row r="3719" spans="1:17" x14ac:dyDescent="0.25">
      <c r="A3719" s="22">
        <v>45793</v>
      </c>
      <c r="B3719" s="1">
        <v>312971654</v>
      </c>
      <c r="C3719" t="s">
        <v>2867</v>
      </c>
      <c r="D3719" s="23">
        <v>-5659.2</v>
      </c>
      <c r="E3719" t="s">
        <v>35</v>
      </c>
      <c r="F3719" s="2">
        <v>212901001</v>
      </c>
      <c r="G3719" s="2" t="s">
        <v>91</v>
      </c>
      <c r="I3719" s="95" t="s">
        <v>7231</v>
      </c>
      <c r="J3719" t="s">
        <v>61</v>
      </c>
      <c r="K3719" t="s">
        <v>62</v>
      </c>
      <c r="M3719">
        <v>94.32</v>
      </c>
      <c r="N3719" s="4">
        <f t="shared" si="57"/>
        <v>-60</v>
      </c>
      <c r="O3719" t="s">
        <v>83</v>
      </c>
    </row>
    <row r="3720" spans="1:17" x14ac:dyDescent="0.25">
      <c r="A3720" s="22">
        <v>45793</v>
      </c>
      <c r="B3720" s="1">
        <v>312971652</v>
      </c>
      <c r="C3720" t="s">
        <v>2868</v>
      </c>
      <c r="D3720" s="23">
        <v>-5659.2</v>
      </c>
      <c r="E3720" t="s">
        <v>35</v>
      </c>
      <c r="F3720" s="2">
        <v>212901001</v>
      </c>
      <c r="G3720" s="2" t="s">
        <v>91</v>
      </c>
      <c r="I3720" s="95" t="s">
        <v>7231</v>
      </c>
      <c r="J3720" t="s">
        <v>61</v>
      </c>
      <c r="K3720" t="s">
        <v>62</v>
      </c>
      <c r="M3720">
        <v>94.32</v>
      </c>
      <c r="N3720" s="4">
        <f t="shared" si="57"/>
        <v>-60</v>
      </c>
      <c r="O3720" t="s">
        <v>83</v>
      </c>
    </row>
    <row r="3721" spans="1:17" x14ac:dyDescent="0.25">
      <c r="A3721" s="22">
        <v>45793</v>
      </c>
      <c r="B3721" s="1">
        <v>312971657</v>
      </c>
      <c r="C3721" t="s">
        <v>2869</v>
      </c>
      <c r="D3721" s="23">
        <v>-5659.2</v>
      </c>
      <c r="E3721" t="s">
        <v>35</v>
      </c>
      <c r="F3721" s="2">
        <v>212901001</v>
      </c>
      <c r="G3721" s="2" t="s">
        <v>91</v>
      </c>
      <c r="I3721" s="95" t="s">
        <v>7231</v>
      </c>
      <c r="J3721" t="s">
        <v>61</v>
      </c>
      <c r="K3721" t="s">
        <v>62</v>
      </c>
      <c r="M3721">
        <v>94.32</v>
      </c>
      <c r="N3721" s="4">
        <f t="shared" si="57"/>
        <v>-60</v>
      </c>
      <c r="O3721" t="s">
        <v>83</v>
      </c>
    </row>
    <row r="3722" spans="1:17" x14ac:dyDescent="0.25">
      <c r="A3722" s="22">
        <v>45793</v>
      </c>
      <c r="B3722" s="1">
        <v>312971660</v>
      </c>
      <c r="C3722" t="s">
        <v>2870</v>
      </c>
      <c r="D3722" s="23">
        <v>-5659.2</v>
      </c>
      <c r="E3722" t="s">
        <v>35</v>
      </c>
      <c r="F3722" s="2">
        <v>212901001</v>
      </c>
      <c r="G3722" s="2" t="s">
        <v>91</v>
      </c>
      <c r="I3722" s="95" t="s">
        <v>7231</v>
      </c>
      <c r="J3722" t="s">
        <v>61</v>
      </c>
      <c r="K3722" t="s">
        <v>62</v>
      </c>
      <c r="M3722">
        <v>94.32</v>
      </c>
      <c r="N3722" s="4">
        <f t="shared" si="57"/>
        <v>-60</v>
      </c>
      <c r="O3722" t="s">
        <v>83</v>
      </c>
    </row>
    <row r="3723" spans="1:17" x14ac:dyDescent="0.25">
      <c r="A3723" s="22">
        <v>45793</v>
      </c>
      <c r="B3723" s="1">
        <v>312971658</v>
      </c>
      <c r="C3723" t="s">
        <v>2871</v>
      </c>
      <c r="D3723" s="23">
        <v>-5659.2</v>
      </c>
      <c r="E3723" t="s">
        <v>35</v>
      </c>
      <c r="F3723" s="2">
        <v>212901001</v>
      </c>
      <c r="G3723" s="2" t="s">
        <v>91</v>
      </c>
      <c r="I3723" s="95" t="s">
        <v>7231</v>
      </c>
      <c r="J3723" t="s">
        <v>61</v>
      </c>
      <c r="K3723" t="s">
        <v>62</v>
      </c>
      <c r="M3723">
        <v>94.32</v>
      </c>
      <c r="N3723" s="4">
        <f t="shared" si="57"/>
        <v>-60</v>
      </c>
      <c r="O3723" t="s">
        <v>83</v>
      </c>
    </row>
    <row r="3724" spans="1:17" x14ac:dyDescent="0.25">
      <c r="A3724" s="22">
        <v>45793</v>
      </c>
      <c r="B3724" s="1">
        <v>312971656</v>
      </c>
      <c r="C3724" t="s">
        <v>2872</v>
      </c>
      <c r="D3724" s="23">
        <v>-5659.2</v>
      </c>
      <c r="E3724" t="s">
        <v>35</v>
      </c>
      <c r="F3724" s="2">
        <v>212901001</v>
      </c>
      <c r="G3724" s="2" t="s">
        <v>91</v>
      </c>
      <c r="I3724" s="95" t="s">
        <v>7231</v>
      </c>
      <c r="J3724" t="s">
        <v>61</v>
      </c>
      <c r="K3724" t="s">
        <v>62</v>
      </c>
      <c r="M3724">
        <v>94.32</v>
      </c>
      <c r="N3724" s="4">
        <f t="shared" ref="N3724:N3787" si="58">D3724/M3724</f>
        <v>-60</v>
      </c>
      <c r="O3724" t="s">
        <v>83</v>
      </c>
    </row>
    <row r="3725" spans="1:17" x14ac:dyDescent="0.25">
      <c r="A3725" s="22">
        <v>45793</v>
      </c>
      <c r="B3725" s="1">
        <v>312971655</v>
      </c>
      <c r="C3725" t="s">
        <v>2873</v>
      </c>
      <c r="D3725" s="23">
        <v>-5659.2</v>
      </c>
      <c r="E3725" t="s">
        <v>35</v>
      </c>
      <c r="F3725" s="2">
        <v>212901001</v>
      </c>
      <c r="G3725" s="2" t="s">
        <v>91</v>
      </c>
      <c r="I3725" s="95" t="s">
        <v>7231</v>
      </c>
      <c r="J3725" t="s">
        <v>61</v>
      </c>
      <c r="K3725" t="s">
        <v>62</v>
      </c>
      <c r="M3725">
        <v>94.32</v>
      </c>
      <c r="N3725" s="4">
        <f t="shared" si="58"/>
        <v>-60</v>
      </c>
      <c r="O3725" t="s">
        <v>83</v>
      </c>
    </row>
    <row r="3726" spans="1:17" x14ac:dyDescent="0.25">
      <c r="A3726" s="22">
        <v>45793</v>
      </c>
      <c r="B3726" s="1">
        <v>312971659</v>
      </c>
      <c r="C3726" t="s">
        <v>2874</v>
      </c>
      <c r="D3726" s="23">
        <v>-5659.2</v>
      </c>
      <c r="E3726" t="s">
        <v>35</v>
      </c>
      <c r="F3726" s="2">
        <v>212901001</v>
      </c>
      <c r="G3726" s="2" t="s">
        <v>91</v>
      </c>
      <c r="I3726" s="95" t="s">
        <v>7231</v>
      </c>
      <c r="J3726" t="s">
        <v>61</v>
      </c>
      <c r="K3726" t="s">
        <v>62</v>
      </c>
      <c r="M3726">
        <v>94.32</v>
      </c>
      <c r="N3726" s="4">
        <f t="shared" si="58"/>
        <v>-60</v>
      </c>
      <c r="O3726" t="s">
        <v>83</v>
      </c>
    </row>
    <row r="3727" spans="1:17" x14ac:dyDescent="0.25">
      <c r="A3727" s="22">
        <v>45793</v>
      </c>
      <c r="B3727" s="1">
        <v>412971663</v>
      </c>
      <c r="C3727" t="s">
        <v>2875</v>
      </c>
      <c r="D3727" s="23">
        <v>-5659.2</v>
      </c>
      <c r="E3727" t="s">
        <v>35</v>
      </c>
      <c r="F3727" s="2">
        <v>212901001</v>
      </c>
      <c r="G3727" s="2" t="s">
        <v>91</v>
      </c>
      <c r="I3727" s="95" t="s">
        <v>7231</v>
      </c>
      <c r="J3727" t="s">
        <v>61</v>
      </c>
      <c r="K3727" t="s">
        <v>62</v>
      </c>
      <c r="M3727">
        <v>94.32</v>
      </c>
      <c r="N3727" s="4">
        <f t="shared" si="58"/>
        <v>-60</v>
      </c>
      <c r="O3727" t="s">
        <v>83</v>
      </c>
    </row>
    <row r="3728" spans="1:17" x14ac:dyDescent="0.25">
      <c r="A3728" s="22">
        <v>45793</v>
      </c>
      <c r="B3728" s="1">
        <v>412971666</v>
      </c>
      <c r="C3728" t="s">
        <v>2876</v>
      </c>
      <c r="D3728" s="23">
        <v>-5659.2</v>
      </c>
      <c r="E3728" t="s">
        <v>35</v>
      </c>
      <c r="F3728" s="2">
        <v>212901001</v>
      </c>
      <c r="G3728" s="2" t="s">
        <v>91</v>
      </c>
      <c r="I3728" s="95" t="s">
        <v>7231</v>
      </c>
      <c r="J3728" t="s">
        <v>61</v>
      </c>
      <c r="K3728" t="s">
        <v>62</v>
      </c>
      <c r="M3728">
        <v>94.32</v>
      </c>
      <c r="N3728" s="4">
        <f t="shared" si="58"/>
        <v>-60</v>
      </c>
      <c r="O3728" t="s">
        <v>83</v>
      </c>
    </row>
    <row r="3729" spans="1:15" x14ac:dyDescent="0.25">
      <c r="A3729" s="22">
        <v>45793</v>
      </c>
      <c r="B3729" s="1">
        <v>412971665</v>
      </c>
      <c r="C3729" t="s">
        <v>2877</v>
      </c>
      <c r="D3729" s="23">
        <v>-5659.2</v>
      </c>
      <c r="E3729" t="s">
        <v>35</v>
      </c>
      <c r="F3729" s="2">
        <v>212901001</v>
      </c>
      <c r="G3729" s="2" t="s">
        <v>91</v>
      </c>
      <c r="I3729" s="95" t="s">
        <v>7231</v>
      </c>
      <c r="J3729" t="s">
        <v>61</v>
      </c>
      <c r="K3729" t="s">
        <v>62</v>
      </c>
      <c r="M3729">
        <v>94.32</v>
      </c>
      <c r="N3729" s="4">
        <f t="shared" si="58"/>
        <v>-60</v>
      </c>
      <c r="O3729" t="s">
        <v>83</v>
      </c>
    </row>
    <row r="3730" spans="1:15" x14ac:dyDescent="0.25">
      <c r="A3730" s="22">
        <v>45793</v>
      </c>
      <c r="B3730" s="1">
        <v>312971662</v>
      </c>
      <c r="C3730" t="s">
        <v>2878</v>
      </c>
      <c r="D3730" s="23">
        <v>-5659.2</v>
      </c>
      <c r="E3730" t="s">
        <v>35</v>
      </c>
      <c r="F3730" s="2">
        <v>212901001</v>
      </c>
      <c r="G3730" s="2" t="s">
        <v>91</v>
      </c>
      <c r="I3730" s="95" t="s">
        <v>7231</v>
      </c>
      <c r="J3730" t="s">
        <v>61</v>
      </c>
      <c r="K3730" t="s">
        <v>62</v>
      </c>
      <c r="M3730">
        <v>94.32</v>
      </c>
      <c r="N3730" s="4">
        <f t="shared" si="58"/>
        <v>-60</v>
      </c>
      <c r="O3730" t="s">
        <v>83</v>
      </c>
    </row>
    <row r="3731" spans="1:15" x14ac:dyDescent="0.25">
      <c r="A3731" s="22">
        <v>45793</v>
      </c>
      <c r="B3731" s="1">
        <v>412971668</v>
      </c>
      <c r="C3731" t="s">
        <v>2879</v>
      </c>
      <c r="D3731" s="23">
        <v>-9432</v>
      </c>
      <c r="E3731" t="s">
        <v>35</v>
      </c>
      <c r="F3731" s="2">
        <v>212901001</v>
      </c>
      <c r="G3731" s="2" t="s">
        <v>91</v>
      </c>
      <c r="I3731" s="95" t="s">
        <v>7231</v>
      </c>
      <c r="J3731" t="s">
        <v>61</v>
      </c>
      <c r="K3731" t="s">
        <v>62</v>
      </c>
      <c r="M3731">
        <v>94.32</v>
      </c>
      <c r="N3731" s="4">
        <f t="shared" si="58"/>
        <v>-100.00000000000001</v>
      </c>
      <c r="O3731" t="s">
        <v>83</v>
      </c>
    </row>
    <row r="3732" spans="1:15" x14ac:dyDescent="0.25">
      <c r="A3732" s="22">
        <v>45793</v>
      </c>
      <c r="B3732" s="1">
        <v>412971667</v>
      </c>
      <c r="C3732" t="s">
        <v>2880</v>
      </c>
      <c r="D3732" s="23">
        <v>-14148</v>
      </c>
      <c r="E3732" t="s">
        <v>35</v>
      </c>
      <c r="F3732" s="2">
        <v>212901001</v>
      </c>
      <c r="G3732" s="2" t="s">
        <v>91</v>
      </c>
      <c r="I3732" s="95" t="s">
        <v>7231</v>
      </c>
      <c r="J3732" t="s">
        <v>61</v>
      </c>
      <c r="K3732" t="s">
        <v>62</v>
      </c>
      <c r="M3732">
        <v>94.32</v>
      </c>
      <c r="N3732" s="4">
        <f t="shared" si="58"/>
        <v>-150</v>
      </c>
      <c r="O3732" t="s">
        <v>83</v>
      </c>
    </row>
    <row r="3733" spans="1:15" x14ac:dyDescent="0.25">
      <c r="A3733" s="22">
        <v>45793</v>
      </c>
      <c r="B3733" s="1">
        <v>312971661</v>
      </c>
      <c r="C3733" t="s">
        <v>2881</v>
      </c>
      <c r="D3733" s="23">
        <v>-5659.2</v>
      </c>
      <c r="E3733" t="s">
        <v>35</v>
      </c>
      <c r="F3733" s="2">
        <v>212901001</v>
      </c>
      <c r="G3733" s="2" t="s">
        <v>91</v>
      </c>
      <c r="I3733" s="95" t="s">
        <v>7231</v>
      </c>
      <c r="J3733" t="s">
        <v>61</v>
      </c>
      <c r="K3733" t="s">
        <v>62</v>
      </c>
      <c r="M3733">
        <v>94.32</v>
      </c>
      <c r="N3733" s="4">
        <f t="shared" si="58"/>
        <v>-60</v>
      </c>
      <c r="O3733" t="s">
        <v>83</v>
      </c>
    </row>
    <row r="3734" spans="1:15" x14ac:dyDescent="0.25">
      <c r="A3734" s="22">
        <v>45793</v>
      </c>
      <c r="B3734" s="1">
        <v>412971664</v>
      </c>
      <c r="C3734" t="s">
        <v>2882</v>
      </c>
      <c r="D3734" s="23">
        <v>-5659.2</v>
      </c>
      <c r="E3734" t="s">
        <v>35</v>
      </c>
      <c r="F3734" s="2">
        <v>212901001</v>
      </c>
      <c r="G3734" s="2" t="s">
        <v>91</v>
      </c>
      <c r="I3734" s="95" t="s">
        <v>7231</v>
      </c>
      <c r="J3734" t="s">
        <v>61</v>
      </c>
      <c r="K3734" t="s">
        <v>62</v>
      </c>
      <c r="M3734">
        <v>94.32</v>
      </c>
      <c r="N3734" s="4">
        <f t="shared" si="58"/>
        <v>-60</v>
      </c>
      <c r="O3734" t="s">
        <v>83</v>
      </c>
    </row>
    <row r="3735" spans="1:15" x14ac:dyDescent="0.25">
      <c r="A3735" s="22">
        <v>45793</v>
      </c>
      <c r="B3735" s="1">
        <v>412971670</v>
      </c>
      <c r="C3735" t="s">
        <v>2883</v>
      </c>
      <c r="D3735" s="23">
        <v>-7545.6</v>
      </c>
      <c r="E3735" t="s">
        <v>35</v>
      </c>
      <c r="F3735" s="2">
        <v>212901001</v>
      </c>
      <c r="G3735" s="2" t="s">
        <v>91</v>
      </c>
      <c r="I3735" s="95" t="s">
        <v>7231</v>
      </c>
      <c r="J3735" t="s">
        <v>61</v>
      </c>
      <c r="K3735" t="s">
        <v>62</v>
      </c>
      <c r="M3735">
        <v>94.32</v>
      </c>
      <c r="N3735" s="4">
        <f t="shared" si="58"/>
        <v>-80.000000000000014</v>
      </c>
      <c r="O3735" t="s">
        <v>83</v>
      </c>
    </row>
    <row r="3736" spans="1:15" x14ac:dyDescent="0.25">
      <c r="A3736" s="22">
        <v>45793</v>
      </c>
      <c r="B3736" s="1">
        <v>412971669</v>
      </c>
      <c r="C3736" t="s">
        <v>2884</v>
      </c>
      <c r="D3736" s="23">
        <v>-7545.6</v>
      </c>
      <c r="E3736" t="s">
        <v>35</v>
      </c>
      <c r="F3736" s="2">
        <v>212901001</v>
      </c>
      <c r="G3736" s="2" t="s">
        <v>91</v>
      </c>
      <c r="I3736" s="95" t="s">
        <v>7231</v>
      </c>
      <c r="J3736" t="s">
        <v>61</v>
      </c>
      <c r="K3736" t="s">
        <v>62</v>
      </c>
      <c r="M3736">
        <v>94.32</v>
      </c>
      <c r="N3736" s="4">
        <f t="shared" si="58"/>
        <v>-80.000000000000014</v>
      </c>
      <c r="O3736" t="s">
        <v>83</v>
      </c>
    </row>
    <row r="3737" spans="1:15" x14ac:dyDescent="0.25">
      <c r="A3737" s="22">
        <v>45793</v>
      </c>
      <c r="B3737" s="1">
        <v>512971672</v>
      </c>
      <c r="C3737" t="s">
        <v>2885</v>
      </c>
      <c r="D3737" s="23">
        <v>-7545.6</v>
      </c>
      <c r="E3737" t="s">
        <v>35</v>
      </c>
      <c r="F3737" s="2">
        <v>212901001</v>
      </c>
      <c r="G3737" s="2" t="s">
        <v>91</v>
      </c>
      <c r="I3737" s="95" t="s">
        <v>7231</v>
      </c>
      <c r="J3737" t="s">
        <v>61</v>
      </c>
      <c r="K3737" t="s">
        <v>62</v>
      </c>
      <c r="M3737">
        <v>94.32</v>
      </c>
      <c r="N3737" s="4">
        <f t="shared" si="58"/>
        <v>-80.000000000000014</v>
      </c>
      <c r="O3737" t="s">
        <v>83</v>
      </c>
    </row>
    <row r="3738" spans="1:15" x14ac:dyDescent="0.25">
      <c r="A3738" s="22">
        <v>45793</v>
      </c>
      <c r="B3738" s="1">
        <v>512971675</v>
      </c>
      <c r="C3738" t="s">
        <v>2886</v>
      </c>
      <c r="D3738" s="23">
        <v>-7545.6</v>
      </c>
      <c r="E3738" t="s">
        <v>35</v>
      </c>
      <c r="F3738" s="2">
        <v>212901001</v>
      </c>
      <c r="G3738" s="2" t="s">
        <v>91</v>
      </c>
      <c r="I3738" s="95" t="s">
        <v>7231</v>
      </c>
      <c r="J3738" t="s">
        <v>61</v>
      </c>
      <c r="K3738" t="s">
        <v>62</v>
      </c>
      <c r="M3738">
        <v>94.32</v>
      </c>
      <c r="N3738" s="4">
        <f t="shared" si="58"/>
        <v>-80.000000000000014</v>
      </c>
      <c r="O3738" t="s">
        <v>83</v>
      </c>
    </row>
    <row r="3739" spans="1:15" x14ac:dyDescent="0.25">
      <c r="A3739" s="22">
        <v>45793</v>
      </c>
      <c r="B3739" s="1">
        <v>412971671</v>
      </c>
      <c r="C3739" t="s">
        <v>2887</v>
      </c>
      <c r="D3739" s="23">
        <v>-7545.6</v>
      </c>
      <c r="E3739" t="s">
        <v>35</v>
      </c>
      <c r="F3739" s="2">
        <v>212901001</v>
      </c>
      <c r="G3739" s="2" t="s">
        <v>91</v>
      </c>
      <c r="I3739" s="95" t="s">
        <v>7231</v>
      </c>
      <c r="J3739" t="s">
        <v>61</v>
      </c>
      <c r="K3739" t="s">
        <v>62</v>
      </c>
      <c r="M3739">
        <v>94.32</v>
      </c>
      <c r="N3739" s="4">
        <f t="shared" si="58"/>
        <v>-80.000000000000014</v>
      </c>
      <c r="O3739" t="s">
        <v>83</v>
      </c>
    </row>
    <row r="3740" spans="1:15" x14ac:dyDescent="0.25">
      <c r="A3740" s="22">
        <v>45793</v>
      </c>
      <c r="B3740" s="1">
        <v>512971685</v>
      </c>
      <c r="C3740" t="s">
        <v>2888</v>
      </c>
      <c r="D3740" s="23">
        <v>-4716</v>
      </c>
      <c r="E3740" t="s">
        <v>35</v>
      </c>
      <c r="F3740" s="2">
        <v>212901001</v>
      </c>
      <c r="G3740" s="2" t="s">
        <v>91</v>
      </c>
      <c r="I3740" s="95" t="s">
        <v>7231</v>
      </c>
      <c r="J3740" t="s">
        <v>61</v>
      </c>
      <c r="K3740" t="s">
        <v>62</v>
      </c>
      <c r="M3740">
        <v>94.32</v>
      </c>
      <c r="N3740" s="4">
        <f t="shared" si="58"/>
        <v>-50.000000000000007</v>
      </c>
      <c r="O3740" t="s">
        <v>83</v>
      </c>
    </row>
    <row r="3741" spans="1:15" x14ac:dyDescent="0.25">
      <c r="A3741" s="22">
        <v>45793</v>
      </c>
      <c r="B3741" s="1">
        <v>512971680</v>
      </c>
      <c r="C3741" t="s">
        <v>2889</v>
      </c>
      <c r="D3741" s="23">
        <v>-4716</v>
      </c>
      <c r="E3741" t="s">
        <v>35</v>
      </c>
      <c r="F3741" s="2">
        <v>212901001</v>
      </c>
      <c r="G3741" s="2" t="s">
        <v>91</v>
      </c>
      <c r="I3741" s="95" t="s">
        <v>7231</v>
      </c>
      <c r="J3741" t="s">
        <v>61</v>
      </c>
      <c r="K3741" t="s">
        <v>62</v>
      </c>
      <c r="M3741">
        <v>94.32</v>
      </c>
      <c r="N3741" s="4">
        <f t="shared" si="58"/>
        <v>-50.000000000000007</v>
      </c>
      <c r="O3741" t="s">
        <v>83</v>
      </c>
    </row>
    <row r="3742" spans="1:15" x14ac:dyDescent="0.25">
      <c r="A3742" s="22">
        <v>45793</v>
      </c>
      <c r="B3742" s="1">
        <v>512971684</v>
      </c>
      <c r="C3742" t="s">
        <v>2890</v>
      </c>
      <c r="D3742" s="23">
        <v>-4716</v>
      </c>
      <c r="E3742" t="s">
        <v>35</v>
      </c>
      <c r="F3742" s="2">
        <v>212901001</v>
      </c>
      <c r="G3742" s="2" t="s">
        <v>91</v>
      </c>
      <c r="I3742" s="95" t="s">
        <v>7231</v>
      </c>
      <c r="J3742" t="s">
        <v>61</v>
      </c>
      <c r="K3742" t="s">
        <v>62</v>
      </c>
      <c r="M3742">
        <v>94.32</v>
      </c>
      <c r="N3742" s="4">
        <f t="shared" si="58"/>
        <v>-50.000000000000007</v>
      </c>
      <c r="O3742" t="s">
        <v>83</v>
      </c>
    </row>
    <row r="3743" spans="1:15" x14ac:dyDescent="0.25">
      <c r="A3743" s="22">
        <v>45793</v>
      </c>
      <c r="B3743" s="1">
        <v>512971673</v>
      </c>
      <c r="C3743" t="s">
        <v>2891</v>
      </c>
      <c r="D3743" s="23">
        <v>-7545.6</v>
      </c>
      <c r="E3743" t="s">
        <v>35</v>
      </c>
      <c r="F3743" s="2">
        <v>212901001</v>
      </c>
      <c r="G3743" s="2" t="s">
        <v>91</v>
      </c>
      <c r="I3743" s="95" t="s">
        <v>7231</v>
      </c>
      <c r="J3743" t="s">
        <v>61</v>
      </c>
      <c r="K3743" t="s">
        <v>62</v>
      </c>
      <c r="M3743">
        <v>94.32</v>
      </c>
      <c r="N3743" s="4">
        <f t="shared" si="58"/>
        <v>-80.000000000000014</v>
      </c>
      <c r="O3743" t="s">
        <v>83</v>
      </c>
    </row>
    <row r="3744" spans="1:15" x14ac:dyDescent="0.25">
      <c r="A3744" s="22">
        <v>45793</v>
      </c>
      <c r="B3744" s="1">
        <v>512971678</v>
      </c>
      <c r="C3744" t="s">
        <v>2892</v>
      </c>
      <c r="D3744" s="23">
        <v>-3961.44</v>
      </c>
      <c r="E3744" t="s">
        <v>35</v>
      </c>
      <c r="F3744" s="2">
        <v>212901001</v>
      </c>
      <c r="G3744" s="2" t="s">
        <v>91</v>
      </c>
      <c r="I3744" s="95" t="s">
        <v>7231</v>
      </c>
      <c r="J3744" t="s">
        <v>61</v>
      </c>
      <c r="K3744" t="s">
        <v>62</v>
      </c>
      <c r="M3744">
        <v>94.32</v>
      </c>
      <c r="N3744" s="4">
        <f t="shared" si="58"/>
        <v>-42.000000000000007</v>
      </c>
      <c r="O3744" t="s">
        <v>83</v>
      </c>
    </row>
    <row r="3745" spans="1:15" x14ac:dyDescent="0.25">
      <c r="A3745" s="22">
        <v>45793</v>
      </c>
      <c r="B3745" s="1">
        <v>512971682</v>
      </c>
      <c r="C3745" t="s">
        <v>2893</v>
      </c>
      <c r="D3745" s="23">
        <v>-4716</v>
      </c>
      <c r="E3745" t="s">
        <v>35</v>
      </c>
      <c r="F3745" s="2">
        <v>212901001</v>
      </c>
      <c r="G3745" s="2" t="s">
        <v>91</v>
      </c>
      <c r="I3745" s="95" t="s">
        <v>7231</v>
      </c>
      <c r="J3745" t="s">
        <v>61</v>
      </c>
      <c r="K3745" t="s">
        <v>62</v>
      </c>
      <c r="M3745">
        <v>94.32</v>
      </c>
      <c r="N3745" s="4">
        <f t="shared" si="58"/>
        <v>-50.000000000000007</v>
      </c>
      <c r="O3745" t="s">
        <v>83</v>
      </c>
    </row>
    <row r="3746" spans="1:15" x14ac:dyDescent="0.25">
      <c r="A3746" s="22">
        <v>45793</v>
      </c>
      <c r="B3746" s="1">
        <v>512971681</v>
      </c>
      <c r="C3746" t="s">
        <v>2894</v>
      </c>
      <c r="D3746" s="23">
        <v>-4716</v>
      </c>
      <c r="E3746" t="s">
        <v>35</v>
      </c>
      <c r="F3746" s="2">
        <v>212901001</v>
      </c>
      <c r="G3746" s="2" t="s">
        <v>91</v>
      </c>
      <c r="I3746" s="95" t="s">
        <v>7231</v>
      </c>
      <c r="J3746" t="s">
        <v>61</v>
      </c>
      <c r="K3746" t="s">
        <v>62</v>
      </c>
      <c r="M3746">
        <v>94.32</v>
      </c>
      <c r="N3746" s="4">
        <f t="shared" si="58"/>
        <v>-50.000000000000007</v>
      </c>
      <c r="O3746" t="s">
        <v>83</v>
      </c>
    </row>
    <row r="3747" spans="1:15" x14ac:dyDescent="0.25">
      <c r="A3747" s="22">
        <v>45793</v>
      </c>
      <c r="B3747" s="1">
        <v>612971689</v>
      </c>
      <c r="C3747" t="s">
        <v>2895</v>
      </c>
      <c r="D3747" s="23">
        <v>-3772.8</v>
      </c>
      <c r="E3747" t="s">
        <v>35</v>
      </c>
      <c r="F3747" s="2">
        <v>212901001</v>
      </c>
      <c r="G3747" s="2" t="s">
        <v>91</v>
      </c>
      <c r="I3747" s="95" t="s">
        <v>7231</v>
      </c>
      <c r="J3747" t="s">
        <v>61</v>
      </c>
      <c r="K3747" t="s">
        <v>62</v>
      </c>
      <c r="M3747">
        <v>94.32</v>
      </c>
      <c r="N3747" s="4">
        <f t="shared" si="58"/>
        <v>-40.000000000000007</v>
      </c>
      <c r="O3747" t="s">
        <v>83</v>
      </c>
    </row>
    <row r="3748" spans="1:15" x14ac:dyDescent="0.25">
      <c r="A3748" s="22">
        <v>45793</v>
      </c>
      <c r="B3748" s="1">
        <v>612971688</v>
      </c>
      <c r="C3748" t="s">
        <v>2896</v>
      </c>
      <c r="D3748" s="23">
        <v>-3772.8</v>
      </c>
      <c r="E3748" t="s">
        <v>35</v>
      </c>
      <c r="F3748" s="2">
        <v>212901001</v>
      </c>
      <c r="G3748" s="2" t="s">
        <v>91</v>
      </c>
      <c r="I3748" s="95" t="s">
        <v>7231</v>
      </c>
      <c r="J3748" t="s">
        <v>61</v>
      </c>
      <c r="K3748" t="s">
        <v>62</v>
      </c>
      <c r="M3748">
        <v>94.32</v>
      </c>
      <c r="N3748" s="4">
        <f t="shared" si="58"/>
        <v>-40.000000000000007</v>
      </c>
      <c r="O3748" t="s">
        <v>83</v>
      </c>
    </row>
    <row r="3749" spans="1:15" x14ac:dyDescent="0.25">
      <c r="A3749" s="22">
        <v>45793</v>
      </c>
      <c r="B3749" s="1">
        <v>612971690</v>
      </c>
      <c r="C3749" t="s">
        <v>2897</v>
      </c>
      <c r="D3749" s="23">
        <v>-3772.8</v>
      </c>
      <c r="E3749" t="s">
        <v>35</v>
      </c>
      <c r="F3749" s="2">
        <v>212901001</v>
      </c>
      <c r="G3749" s="2" t="s">
        <v>91</v>
      </c>
      <c r="I3749" s="95" t="s">
        <v>7231</v>
      </c>
      <c r="J3749" t="s">
        <v>61</v>
      </c>
      <c r="K3749" t="s">
        <v>62</v>
      </c>
      <c r="M3749">
        <v>94.32</v>
      </c>
      <c r="N3749" s="4">
        <f t="shared" si="58"/>
        <v>-40.000000000000007</v>
      </c>
      <c r="O3749" t="s">
        <v>83</v>
      </c>
    </row>
    <row r="3750" spans="1:15" x14ac:dyDescent="0.25">
      <c r="A3750" s="22">
        <v>45793</v>
      </c>
      <c r="B3750" s="1">
        <v>612971695</v>
      </c>
      <c r="C3750" t="s">
        <v>2898</v>
      </c>
      <c r="D3750" s="23">
        <v>-9432</v>
      </c>
      <c r="E3750" t="s">
        <v>35</v>
      </c>
      <c r="F3750" s="2">
        <v>212901001</v>
      </c>
      <c r="G3750" s="2" t="s">
        <v>91</v>
      </c>
      <c r="I3750" s="95" t="s">
        <v>7231</v>
      </c>
      <c r="J3750" t="s">
        <v>61</v>
      </c>
      <c r="K3750" t="s">
        <v>62</v>
      </c>
      <c r="M3750">
        <v>94.32</v>
      </c>
      <c r="N3750" s="4">
        <f t="shared" si="58"/>
        <v>-100.00000000000001</v>
      </c>
      <c r="O3750" t="s">
        <v>83</v>
      </c>
    </row>
    <row r="3751" spans="1:15" x14ac:dyDescent="0.25">
      <c r="A3751" s="22">
        <v>45793</v>
      </c>
      <c r="B3751" s="1">
        <v>612971693</v>
      </c>
      <c r="C3751" t="s">
        <v>2899</v>
      </c>
      <c r="D3751" s="23">
        <v>-3772.8</v>
      </c>
      <c r="E3751" t="s">
        <v>35</v>
      </c>
      <c r="F3751" s="2">
        <v>212901001</v>
      </c>
      <c r="G3751" s="2" t="s">
        <v>91</v>
      </c>
      <c r="I3751" s="95" t="s">
        <v>7231</v>
      </c>
      <c r="J3751" t="s">
        <v>61</v>
      </c>
      <c r="K3751" t="s">
        <v>62</v>
      </c>
      <c r="M3751">
        <v>94.32</v>
      </c>
      <c r="N3751" s="4">
        <f t="shared" si="58"/>
        <v>-40.000000000000007</v>
      </c>
      <c r="O3751" t="s">
        <v>83</v>
      </c>
    </row>
    <row r="3752" spans="1:15" x14ac:dyDescent="0.25">
      <c r="A3752" s="22">
        <v>45793</v>
      </c>
      <c r="B3752" s="1">
        <v>612971692</v>
      </c>
      <c r="C3752" t="s">
        <v>2900</v>
      </c>
      <c r="D3752" s="23">
        <v>-3772.8</v>
      </c>
      <c r="E3752" t="s">
        <v>35</v>
      </c>
      <c r="F3752" s="2">
        <v>212901001</v>
      </c>
      <c r="G3752" s="2" t="s">
        <v>91</v>
      </c>
      <c r="I3752" s="95" t="s">
        <v>7231</v>
      </c>
      <c r="J3752" t="s">
        <v>61</v>
      </c>
      <c r="K3752" t="s">
        <v>62</v>
      </c>
      <c r="M3752">
        <v>94.32</v>
      </c>
      <c r="N3752" s="4">
        <f t="shared" si="58"/>
        <v>-40.000000000000007</v>
      </c>
      <c r="O3752" t="s">
        <v>83</v>
      </c>
    </row>
    <row r="3753" spans="1:15" x14ac:dyDescent="0.25">
      <c r="A3753" s="22">
        <v>45793</v>
      </c>
      <c r="B3753" s="1">
        <v>612971691</v>
      </c>
      <c r="C3753" t="s">
        <v>2901</v>
      </c>
      <c r="D3753" s="23">
        <v>-3772.8</v>
      </c>
      <c r="E3753" t="s">
        <v>35</v>
      </c>
      <c r="F3753" s="2">
        <v>212901001</v>
      </c>
      <c r="G3753" s="2" t="s">
        <v>91</v>
      </c>
      <c r="I3753" s="95" t="s">
        <v>7231</v>
      </c>
      <c r="J3753" t="s">
        <v>61</v>
      </c>
      <c r="K3753" t="s">
        <v>62</v>
      </c>
      <c r="M3753">
        <v>94.32</v>
      </c>
      <c r="N3753" s="4">
        <f t="shared" si="58"/>
        <v>-40.000000000000007</v>
      </c>
      <c r="O3753" t="s">
        <v>83</v>
      </c>
    </row>
    <row r="3754" spans="1:15" x14ac:dyDescent="0.25">
      <c r="A3754" s="22">
        <v>45793</v>
      </c>
      <c r="B3754" s="1">
        <v>612971696</v>
      </c>
      <c r="C3754" t="s">
        <v>2902</v>
      </c>
      <c r="D3754" s="23">
        <v>-14148</v>
      </c>
      <c r="E3754" t="s">
        <v>35</v>
      </c>
      <c r="F3754" s="2">
        <v>212901001</v>
      </c>
      <c r="G3754" s="2" t="s">
        <v>91</v>
      </c>
      <c r="I3754" s="95" t="s">
        <v>7231</v>
      </c>
      <c r="J3754" t="s">
        <v>61</v>
      </c>
      <c r="K3754" t="s">
        <v>62</v>
      </c>
      <c r="M3754">
        <v>94.32</v>
      </c>
      <c r="N3754" s="4">
        <f t="shared" si="58"/>
        <v>-150</v>
      </c>
      <c r="O3754" t="s">
        <v>83</v>
      </c>
    </row>
    <row r="3755" spans="1:15" x14ac:dyDescent="0.25">
      <c r="A3755" s="22">
        <v>45793</v>
      </c>
      <c r="B3755" s="1">
        <v>712971701</v>
      </c>
      <c r="C3755" t="s">
        <v>2903</v>
      </c>
      <c r="D3755" s="23">
        <v>-3772.8</v>
      </c>
      <c r="E3755" t="s">
        <v>35</v>
      </c>
      <c r="F3755" s="2">
        <v>212901001</v>
      </c>
      <c r="G3755" s="2" t="s">
        <v>91</v>
      </c>
      <c r="I3755" s="95" t="s">
        <v>7231</v>
      </c>
      <c r="J3755" t="s">
        <v>61</v>
      </c>
      <c r="K3755" t="s">
        <v>62</v>
      </c>
      <c r="M3755">
        <v>94.32</v>
      </c>
      <c r="N3755" s="4">
        <f t="shared" si="58"/>
        <v>-40.000000000000007</v>
      </c>
      <c r="O3755" t="s">
        <v>83</v>
      </c>
    </row>
    <row r="3756" spans="1:15" x14ac:dyDescent="0.25">
      <c r="A3756" s="22">
        <v>45793</v>
      </c>
      <c r="B3756" s="1">
        <v>712971700</v>
      </c>
      <c r="C3756" t="s">
        <v>2904</v>
      </c>
      <c r="D3756" s="23">
        <v>-9432</v>
      </c>
      <c r="E3756" t="s">
        <v>35</v>
      </c>
      <c r="F3756" s="2">
        <v>212901001</v>
      </c>
      <c r="G3756" s="2" t="s">
        <v>91</v>
      </c>
      <c r="I3756" s="95" t="s">
        <v>7231</v>
      </c>
      <c r="J3756" t="s">
        <v>61</v>
      </c>
      <c r="K3756" t="s">
        <v>62</v>
      </c>
      <c r="M3756">
        <v>94.32</v>
      </c>
      <c r="N3756" s="4">
        <f t="shared" si="58"/>
        <v>-100.00000000000001</v>
      </c>
      <c r="O3756" t="s">
        <v>83</v>
      </c>
    </row>
    <row r="3757" spans="1:15" x14ac:dyDescent="0.25">
      <c r="A3757" s="22">
        <v>45793</v>
      </c>
      <c r="B3757" s="1">
        <v>612971698</v>
      </c>
      <c r="C3757" t="s">
        <v>2905</v>
      </c>
      <c r="D3757" s="23">
        <v>-10375.200000000001</v>
      </c>
      <c r="E3757" t="s">
        <v>35</v>
      </c>
      <c r="F3757" s="2">
        <v>212901001</v>
      </c>
      <c r="G3757" s="2" t="s">
        <v>91</v>
      </c>
      <c r="I3757" s="95" t="s">
        <v>7231</v>
      </c>
      <c r="J3757" t="s">
        <v>61</v>
      </c>
      <c r="K3757" t="s">
        <v>62</v>
      </c>
      <c r="M3757">
        <v>94.32</v>
      </c>
      <c r="N3757" s="4">
        <f t="shared" si="58"/>
        <v>-110.00000000000001</v>
      </c>
      <c r="O3757" t="s">
        <v>83</v>
      </c>
    </row>
    <row r="3758" spans="1:15" x14ac:dyDescent="0.25">
      <c r="A3758" s="22">
        <v>45793</v>
      </c>
      <c r="B3758" s="1">
        <v>512971687</v>
      </c>
      <c r="C3758" t="s">
        <v>2906</v>
      </c>
      <c r="D3758" s="23">
        <v>-3772.8</v>
      </c>
      <c r="E3758" t="s">
        <v>35</v>
      </c>
      <c r="F3758" s="2">
        <v>212901001</v>
      </c>
      <c r="G3758" s="2" t="s">
        <v>91</v>
      </c>
      <c r="I3758" s="95" t="s">
        <v>7231</v>
      </c>
      <c r="J3758" t="s">
        <v>61</v>
      </c>
      <c r="K3758" t="s">
        <v>62</v>
      </c>
      <c r="M3758">
        <v>94.32</v>
      </c>
      <c r="N3758" s="4">
        <f t="shared" si="58"/>
        <v>-40.000000000000007</v>
      </c>
      <c r="O3758" t="s">
        <v>83</v>
      </c>
    </row>
    <row r="3759" spans="1:15" x14ac:dyDescent="0.25">
      <c r="A3759" s="22">
        <v>45793</v>
      </c>
      <c r="B3759" s="1">
        <v>712971703</v>
      </c>
      <c r="C3759" t="s">
        <v>2907</v>
      </c>
      <c r="D3759" s="23">
        <v>-6602.4</v>
      </c>
      <c r="E3759" t="s">
        <v>35</v>
      </c>
      <c r="F3759" s="2">
        <v>212901001</v>
      </c>
      <c r="G3759" s="2" t="s">
        <v>91</v>
      </c>
      <c r="I3759" s="95" t="s">
        <v>7231</v>
      </c>
      <c r="J3759" t="s">
        <v>61</v>
      </c>
      <c r="K3759" t="s">
        <v>62</v>
      </c>
      <c r="M3759">
        <v>94.32</v>
      </c>
      <c r="N3759" s="4">
        <f t="shared" si="58"/>
        <v>-70</v>
      </c>
      <c r="O3759" t="s">
        <v>83</v>
      </c>
    </row>
    <row r="3760" spans="1:15" x14ac:dyDescent="0.25">
      <c r="A3760" s="22">
        <v>45793</v>
      </c>
      <c r="B3760" s="1">
        <v>612971694</v>
      </c>
      <c r="C3760" t="s">
        <v>2908</v>
      </c>
      <c r="D3760" s="23">
        <v>-9432</v>
      </c>
      <c r="E3760" t="s">
        <v>35</v>
      </c>
      <c r="F3760" s="2">
        <v>212901001</v>
      </c>
      <c r="G3760" s="2" t="s">
        <v>91</v>
      </c>
      <c r="I3760" s="95" t="s">
        <v>7231</v>
      </c>
      <c r="J3760" t="s">
        <v>61</v>
      </c>
      <c r="K3760" t="s">
        <v>62</v>
      </c>
      <c r="M3760">
        <v>94.32</v>
      </c>
      <c r="N3760" s="4">
        <f t="shared" si="58"/>
        <v>-100.00000000000001</v>
      </c>
      <c r="O3760" t="s">
        <v>83</v>
      </c>
    </row>
    <row r="3761" spans="1:15" x14ac:dyDescent="0.25">
      <c r="A3761" s="22">
        <v>45793</v>
      </c>
      <c r="B3761" s="1">
        <v>612971699</v>
      </c>
      <c r="C3761" t="s">
        <v>2909</v>
      </c>
      <c r="D3761" s="23">
        <v>-7545.6</v>
      </c>
      <c r="E3761" t="s">
        <v>35</v>
      </c>
      <c r="F3761" s="2">
        <v>212901001</v>
      </c>
      <c r="G3761" s="2" t="s">
        <v>91</v>
      </c>
      <c r="I3761" s="95" t="s">
        <v>7231</v>
      </c>
      <c r="J3761" t="s">
        <v>61</v>
      </c>
      <c r="K3761" t="s">
        <v>62</v>
      </c>
      <c r="M3761">
        <v>94.32</v>
      </c>
      <c r="N3761" s="4">
        <f t="shared" si="58"/>
        <v>-80.000000000000014</v>
      </c>
      <c r="O3761" t="s">
        <v>83</v>
      </c>
    </row>
    <row r="3762" spans="1:15" x14ac:dyDescent="0.25">
      <c r="A3762" s="22">
        <v>45793</v>
      </c>
      <c r="B3762" s="1">
        <v>612971697</v>
      </c>
      <c r="C3762" t="s">
        <v>2910</v>
      </c>
      <c r="D3762" s="23">
        <v>-2829.6</v>
      </c>
      <c r="E3762" t="s">
        <v>35</v>
      </c>
      <c r="F3762" s="2">
        <v>212901001</v>
      </c>
      <c r="G3762" s="2" t="s">
        <v>91</v>
      </c>
      <c r="I3762" s="95" t="s">
        <v>7231</v>
      </c>
      <c r="J3762" t="s">
        <v>61</v>
      </c>
      <c r="K3762" t="s">
        <v>62</v>
      </c>
      <c r="M3762">
        <v>94.32</v>
      </c>
      <c r="N3762" s="4">
        <f t="shared" si="58"/>
        <v>-30</v>
      </c>
      <c r="O3762" t="s">
        <v>83</v>
      </c>
    </row>
    <row r="3763" spans="1:15" x14ac:dyDescent="0.25">
      <c r="A3763" s="22">
        <v>45793</v>
      </c>
      <c r="B3763" s="1">
        <v>712971702</v>
      </c>
      <c r="C3763" t="s">
        <v>2911</v>
      </c>
      <c r="D3763" s="23">
        <v>-6602.4</v>
      </c>
      <c r="E3763" t="s">
        <v>35</v>
      </c>
      <c r="F3763" s="2">
        <v>212901001</v>
      </c>
      <c r="G3763" s="2" t="s">
        <v>91</v>
      </c>
      <c r="I3763" s="95" t="s">
        <v>7231</v>
      </c>
      <c r="J3763" t="s">
        <v>61</v>
      </c>
      <c r="K3763" t="s">
        <v>62</v>
      </c>
      <c r="M3763">
        <v>94.32</v>
      </c>
      <c r="N3763" s="4">
        <f t="shared" si="58"/>
        <v>-70</v>
      </c>
      <c r="O3763" t="s">
        <v>83</v>
      </c>
    </row>
    <row r="3764" spans="1:15" x14ac:dyDescent="0.25">
      <c r="A3764" s="22">
        <v>45793</v>
      </c>
      <c r="B3764" s="1">
        <v>712971705</v>
      </c>
      <c r="C3764" t="s">
        <v>2912</v>
      </c>
      <c r="D3764" s="23">
        <v>-4716</v>
      </c>
      <c r="E3764" t="s">
        <v>35</v>
      </c>
      <c r="F3764" s="2">
        <v>212901001</v>
      </c>
      <c r="G3764" s="2" t="s">
        <v>91</v>
      </c>
      <c r="I3764" s="95" t="s">
        <v>7231</v>
      </c>
      <c r="J3764" t="s">
        <v>61</v>
      </c>
      <c r="K3764" t="s">
        <v>62</v>
      </c>
      <c r="M3764">
        <v>94.32</v>
      </c>
      <c r="N3764" s="4">
        <f t="shared" si="58"/>
        <v>-50.000000000000007</v>
      </c>
      <c r="O3764" t="s">
        <v>83</v>
      </c>
    </row>
    <row r="3765" spans="1:15" x14ac:dyDescent="0.25">
      <c r="A3765" s="22">
        <v>45793</v>
      </c>
      <c r="B3765" s="1">
        <v>712971704</v>
      </c>
      <c r="C3765" t="s">
        <v>2913</v>
      </c>
      <c r="D3765" s="23">
        <v>-6602.4</v>
      </c>
      <c r="E3765" t="s">
        <v>35</v>
      </c>
      <c r="F3765" s="2">
        <v>212901001</v>
      </c>
      <c r="G3765" s="2" t="s">
        <v>91</v>
      </c>
      <c r="I3765" s="95" t="s">
        <v>7231</v>
      </c>
      <c r="J3765" t="s">
        <v>61</v>
      </c>
      <c r="K3765" t="s">
        <v>62</v>
      </c>
      <c r="M3765">
        <v>94.32</v>
      </c>
      <c r="N3765" s="4">
        <f t="shared" si="58"/>
        <v>-70</v>
      </c>
      <c r="O3765" t="s">
        <v>83</v>
      </c>
    </row>
    <row r="3766" spans="1:15" x14ac:dyDescent="0.25">
      <c r="A3766" s="22">
        <v>45793</v>
      </c>
      <c r="B3766" s="1">
        <v>712971706</v>
      </c>
      <c r="C3766" t="s">
        <v>2914</v>
      </c>
      <c r="D3766" s="23">
        <v>-4716</v>
      </c>
      <c r="E3766" t="s">
        <v>35</v>
      </c>
      <c r="F3766" s="2">
        <v>212901001</v>
      </c>
      <c r="G3766" s="2" t="s">
        <v>91</v>
      </c>
      <c r="I3766" s="95" t="s">
        <v>7231</v>
      </c>
      <c r="J3766" t="s">
        <v>61</v>
      </c>
      <c r="K3766" t="s">
        <v>62</v>
      </c>
      <c r="M3766">
        <v>94.32</v>
      </c>
      <c r="N3766" s="4">
        <f t="shared" si="58"/>
        <v>-50.000000000000007</v>
      </c>
      <c r="O3766" t="s">
        <v>83</v>
      </c>
    </row>
    <row r="3767" spans="1:15" x14ac:dyDescent="0.25">
      <c r="A3767" s="22">
        <v>45793</v>
      </c>
      <c r="B3767" s="1">
        <v>712971707</v>
      </c>
      <c r="C3767" t="s">
        <v>2915</v>
      </c>
      <c r="D3767" s="23">
        <v>-3961.44</v>
      </c>
      <c r="E3767" t="s">
        <v>35</v>
      </c>
      <c r="F3767" s="2">
        <v>212901001</v>
      </c>
      <c r="G3767" s="2" t="s">
        <v>91</v>
      </c>
      <c r="I3767" s="95" t="s">
        <v>7231</v>
      </c>
      <c r="J3767" t="s">
        <v>61</v>
      </c>
      <c r="K3767" t="s">
        <v>62</v>
      </c>
      <c r="M3767">
        <v>94.32</v>
      </c>
      <c r="N3767" s="4">
        <f t="shared" si="58"/>
        <v>-42.000000000000007</v>
      </c>
      <c r="O3767" t="s">
        <v>83</v>
      </c>
    </row>
    <row r="3768" spans="1:15" x14ac:dyDescent="0.25">
      <c r="A3768" s="22">
        <v>45793</v>
      </c>
      <c r="B3768" s="1">
        <v>812971709</v>
      </c>
      <c r="C3768" t="s">
        <v>2916</v>
      </c>
      <c r="D3768" s="23">
        <v>-4716</v>
      </c>
      <c r="E3768" t="s">
        <v>35</v>
      </c>
      <c r="F3768" s="2">
        <v>212901001</v>
      </c>
      <c r="G3768" s="2" t="s">
        <v>91</v>
      </c>
      <c r="I3768" s="95" t="s">
        <v>7231</v>
      </c>
      <c r="J3768" t="s">
        <v>61</v>
      </c>
      <c r="K3768" t="s">
        <v>62</v>
      </c>
      <c r="M3768">
        <v>94.32</v>
      </c>
      <c r="N3768" s="4">
        <f t="shared" si="58"/>
        <v>-50.000000000000007</v>
      </c>
      <c r="O3768" t="s">
        <v>83</v>
      </c>
    </row>
    <row r="3769" spans="1:15" x14ac:dyDescent="0.25">
      <c r="A3769" s="22">
        <v>45793</v>
      </c>
      <c r="B3769" s="1">
        <v>812971708</v>
      </c>
      <c r="C3769" t="s">
        <v>2917</v>
      </c>
      <c r="D3769" s="23">
        <v>-4716</v>
      </c>
      <c r="E3769" t="s">
        <v>35</v>
      </c>
      <c r="F3769" s="2">
        <v>212901001</v>
      </c>
      <c r="G3769" s="2" t="s">
        <v>91</v>
      </c>
      <c r="I3769" s="95" t="s">
        <v>7231</v>
      </c>
      <c r="J3769" t="s">
        <v>61</v>
      </c>
      <c r="K3769" t="s">
        <v>62</v>
      </c>
      <c r="M3769">
        <v>94.32</v>
      </c>
      <c r="N3769" s="4">
        <f t="shared" si="58"/>
        <v>-50.000000000000007</v>
      </c>
      <c r="O3769" t="s">
        <v>83</v>
      </c>
    </row>
    <row r="3770" spans="1:15" x14ac:dyDescent="0.25">
      <c r="A3770" s="22">
        <v>45793</v>
      </c>
      <c r="B3770" s="1">
        <v>812971712</v>
      </c>
      <c r="C3770" t="s">
        <v>2918</v>
      </c>
      <c r="D3770" s="23">
        <v>-4716</v>
      </c>
      <c r="E3770" t="s">
        <v>35</v>
      </c>
      <c r="F3770" s="2">
        <v>212901001</v>
      </c>
      <c r="G3770" s="2" t="s">
        <v>91</v>
      </c>
      <c r="I3770" s="95" t="s">
        <v>7231</v>
      </c>
      <c r="J3770" t="s">
        <v>61</v>
      </c>
      <c r="K3770" t="s">
        <v>62</v>
      </c>
      <c r="M3770">
        <v>94.32</v>
      </c>
      <c r="N3770" s="4">
        <f t="shared" si="58"/>
        <v>-50.000000000000007</v>
      </c>
      <c r="O3770" t="s">
        <v>83</v>
      </c>
    </row>
    <row r="3771" spans="1:15" x14ac:dyDescent="0.25">
      <c r="A3771" s="22">
        <v>45793</v>
      </c>
      <c r="B3771" s="1">
        <v>812971710</v>
      </c>
      <c r="C3771" t="s">
        <v>2914</v>
      </c>
      <c r="D3771" s="23">
        <v>-4716</v>
      </c>
      <c r="E3771" t="s">
        <v>35</v>
      </c>
      <c r="F3771" s="2">
        <v>212901001</v>
      </c>
      <c r="G3771" s="2" t="s">
        <v>91</v>
      </c>
      <c r="I3771" s="95" t="s">
        <v>7231</v>
      </c>
      <c r="J3771" t="s">
        <v>61</v>
      </c>
      <c r="K3771" t="s">
        <v>62</v>
      </c>
      <c r="M3771">
        <v>94.32</v>
      </c>
      <c r="N3771" s="4">
        <f t="shared" si="58"/>
        <v>-50.000000000000007</v>
      </c>
      <c r="O3771" t="s">
        <v>83</v>
      </c>
    </row>
    <row r="3772" spans="1:15" x14ac:dyDescent="0.25">
      <c r="A3772" s="22">
        <v>45793</v>
      </c>
      <c r="B3772" s="1">
        <v>812971711</v>
      </c>
      <c r="C3772" t="s">
        <v>2919</v>
      </c>
      <c r="D3772" s="23">
        <v>-4716</v>
      </c>
      <c r="E3772" t="s">
        <v>35</v>
      </c>
      <c r="F3772" s="2">
        <v>212901001</v>
      </c>
      <c r="G3772" s="2" t="s">
        <v>91</v>
      </c>
      <c r="I3772" s="95" t="s">
        <v>7231</v>
      </c>
      <c r="J3772" t="s">
        <v>61</v>
      </c>
      <c r="K3772" t="s">
        <v>62</v>
      </c>
      <c r="M3772">
        <v>94.32</v>
      </c>
      <c r="N3772" s="4">
        <f t="shared" si="58"/>
        <v>-50.000000000000007</v>
      </c>
      <c r="O3772" t="s">
        <v>83</v>
      </c>
    </row>
    <row r="3773" spans="1:15" x14ac:dyDescent="0.25">
      <c r="A3773" s="22">
        <v>45793</v>
      </c>
      <c r="B3773" s="1">
        <v>812971715</v>
      </c>
      <c r="C3773" t="s">
        <v>2920</v>
      </c>
      <c r="D3773" s="23">
        <v>-4716</v>
      </c>
      <c r="E3773" t="s">
        <v>35</v>
      </c>
      <c r="F3773" s="2">
        <v>212901001</v>
      </c>
      <c r="G3773" s="2" t="s">
        <v>91</v>
      </c>
      <c r="I3773" s="95" t="s">
        <v>7231</v>
      </c>
      <c r="J3773" t="s">
        <v>61</v>
      </c>
      <c r="K3773" t="s">
        <v>62</v>
      </c>
      <c r="M3773">
        <v>94.32</v>
      </c>
      <c r="N3773" s="4">
        <f t="shared" si="58"/>
        <v>-50.000000000000007</v>
      </c>
      <c r="O3773" t="s">
        <v>83</v>
      </c>
    </row>
    <row r="3774" spans="1:15" x14ac:dyDescent="0.25">
      <c r="A3774" s="22">
        <v>45793</v>
      </c>
      <c r="B3774" s="1">
        <v>812971713</v>
      </c>
      <c r="C3774" t="s">
        <v>2921</v>
      </c>
      <c r="D3774" s="23">
        <v>-4716</v>
      </c>
      <c r="E3774" t="s">
        <v>35</v>
      </c>
      <c r="F3774" s="2">
        <v>212901001</v>
      </c>
      <c r="G3774" s="2" t="s">
        <v>91</v>
      </c>
      <c r="I3774" s="95" t="s">
        <v>7231</v>
      </c>
      <c r="J3774" t="s">
        <v>61</v>
      </c>
      <c r="K3774" t="s">
        <v>62</v>
      </c>
      <c r="M3774">
        <v>94.32</v>
      </c>
      <c r="N3774" s="4">
        <f t="shared" si="58"/>
        <v>-50.000000000000007</v>
      </c>
      <c r="O3774" t="s">
        <v>83</v>
      </c>
    </row>
    <row r="3775" spans="1:15" x14ac:dyDescent="0.25">
      <c r="A3775" s="22">
        <v>45793</v>
      </c>
      <c r="B3775" s="1">
        <v>912971721</v>
      </c>
      <c r="C3775" t="s">
        <v>2922</v>
      </c>
      <c r="D3775" s="23">
        <v>-1886.4</v>
      </c>
      <c r="E3775" t="s">
        <v>35</v>
      </c>
      <c r="F3775" s="2">
        <v>212901001</v>
      </c>
      <c r="G3775" s="2" t="s">
        <v>91</v>
      </c>
      <c r="I3775" s="95" t="s">
        <v>7231</v>
      </c>
      <c r="J3775" t="s">
        <v>61</v>
      </c>
      <c r="K3775" t="s">
        <v>62</v>
      </c>
      <c r="M3775">
        <v>94.32</v>
      </c>
      <c r="N3775" s="4">
        <f t="shared" si="58"/>
        <v>-20.000000000000004</v>
      </c>
      <c r="O3775" t="s">
        <v>83</v>
      </c>
    </row>
    <row r="3776" spans="1:15" x14ac:dyDescent="0.25">
      <c r="A3776" s="22">
        <v>45793</v>
      </c>
      <c r="B3776" s="1">
        <v>812971714</v>
      </c>
      <c r="C3776" t="s">
        <v>2923</v>
      </c>
      <c r="D3776" s="23">
        <v>-3961.44</v>
      </c>
      <c r="E3776" t="s">
        <v>35</v>
      </c>
      <c r="F3776" s="2">
        <v>212901001</v>
      </c>
      <c r="G3776" s="2" t="s">
        <v>91</v>
      </c>
      <c r="I3776" s="95" t="s">
        <v>7231</v>
      </c>
      <c r="J3776" t="s">
        <v>61</v>
      </c>
      <c r="K3776" t="s">
        <v>62</v>
      </c>
      <c r="M3776">
        <v>94.32</v>
      </c>
      <c r="N3776" s="4">
        <f t="shared" si="58"/>
        <v>-42.000000000000007</v>
      </c>
      <c r="O3776" t="s">
        <v>83</v>
      </c>
    </row>
    <row r="3777" spans="1:17" x14ac:dyDescent="0.25">
      <c r="A3777" s="22">
        <v>45793</v>
      </c>
      <c r="B3777" s="1">
        <v>812971716</v>
      </c>
      <c r="C3777" t="s">
        <v>2924</v>
      </c>
      <c r="D3777" s="23">
        <v>-4716</v>
      </c>
      <c r="E3777" t="s">
        <v>35</v>
      </c>
      <c r="F3777" s="2">
        <v>212901001</v>
      </c>
      <c r="G3777" s="2" t="s">
        <v>91</v>
      </c>
      <c r="I3777" s="95" t="s">
        <v>7231</v>
      </c>
      <c r="J3777" t="s">
        <v>61</v>
      </c>
      <c r="K3777" t="s">
        <v>62</v>
      </c>
      <c r="M3777">
        <v>94.32</v>
      </c>
      <c r="N3777" s="4">
        <f t="shared" si="58"/>
        <v>-50.000000000000007</v>
      </c>
      <c r="O3777" t="s">
        <v>83</v>
      </c>
    </row>
    <row r="3778" spans="1:17" x14ac:dyDescent="0.25">
      <c r="A3778" s="22">
        <v>45793</v>
      </c>
      <c r="B3778" s="1">
        <v>912971720</v>
      </c>
      <c r="C3778" t="s">
        <v>2925</v>
      </c>
      <c r="D3778" s="23">
        <v>-1886.4</v>
      </c>
      <c r="E3778" t="s">
        <v>35</v>
      </c>
      <c r="F3778" s="2">
        <v>212901001</v>
      </c>
      <c r="G3778" s="2" t="s">
        <v>91</v>
      </c>
      <c r="I3778" s="95" t="s">
        <v>7231</v>
      </c>
      <c r="J3778" t="s">
        <v>61</v>
      </c>
      <c r="K3778" t="s">
        <v>62</v>
      </c>
      <c r="M3778">
        <v>94.32</v>
      </c>
      <c r="N3778" s="4">
        <f t="shared" si="58"/>
        <v>-20.000000000000004</v>
      </c>
      <c r="O3778" t="s">
        <v>83</v>
      </c>
    </row>
    <row r="3779" spans="1:17" x14ac:dyDescent="0.25">
      <c r="A3779" s="22">
        <v>45793</v>
      </c>
      <c r="B3779" s="1">
        <v>812971718</v>
      </c>
      <c r="C3779" t="s">
        <v>2926</v>
      </c>
      <c r="D3779" s="23">
        <v>-3961.44</v>
      </c>
      <c r="E3779" t="s">
        <v>35</v>
      </c>
      <c r="F3779" s="2">
        <v>212901001</v>
      </c>
      <c r="G3779" s="2" t="s">
        <v>91</v>
      </c>
      <c r="I3779" s="95" t="s">
        <v>7231</v>
      </c>
      <c r="J3779" t="s">
        <v>61</v>
      </c>
      <c r="K3779" t="s">
        <v>62</v>
      </c>
      <c r="M3779">
        <v>94.32</v>
      </c>
      <c r="N3779" s="4">
        <f t="shared" si="58"/>
        <v>-42.000000000000007</v>
      </c>
      <c r="O3779" t="s">
        <v>83</v>
      </c>
    </row>
    <row r="3780" spans="1:17" x14ac:dyDescent="0.25">
      <c r="A3780" s="22">
        <v>45793</v>
      </c>
      <c r="B3780" s="1">
        <v>812971717</v>
      </c>
      <c r="C3780" t="s">
        <v>2927</v>
      </c>
      <c r="D3780" s="23">
        <v>-4716</v>
      </c>
      <c r="E3780" t="s">
        <v>35</v>
      </c>
      <c r="F3780" s="2">
        <v>212901001</v>
      </c>
      <c r="G3780" s="2" t="s">
        <v>91</v>
      </c>
      <c r="I3780" s="95" t="s">
        <v>7231</v>
      </c>
      <c r="J3780" t="s">
        <v>61</v>
      </c>
      <c r="K3780" t="s">
        <v>62</v>
      </c>
      <c r="M3780">
        <v>94.32</v>
      </c>
      <c r="N3780" s="4">
        <f t="shared" si="58"/>
        <v>-50.000000000000007</v>
      </c>
      <c r="O3780" t="s">
        <v>83</v>
      </c>
    </row>
    <row r="3781" spans="1:17" x14ac:dyDescent="0.25">
      <c r="A3781" s="22">
        <v>45793</v>
      </c>
      <c r="B3781" s="1">
        <v>912971724</v>
      </c>
      <c r="C3781" t="s">
        <v>2928</v>
      </c>
      <c r="D3781" s="23">
        <v>-9432</v>
      </c>
      <c r="E3781" t="s">
        <v>35</v>
      </c>
      <c r="F3781" s="2">
        <v>212901001</v>
      </c>
      <c r="G3781" s="2" t="s">
        <v>91</v>
      </c>
      <c r="I3781" s="95" t="s">
        <v>7231</v>
      </c>
      <c r="J3781" t="s">
        <v>61</v>
      </c>
      <c r="K3781" t="s">
        <v>62</v>
      </c>
      <c r="M3781">
        <v>94.32</v>
      </c>
      <c r="N3781" s="4">
        <f t="shared" si="58"/>
        <v>-100.00000000000001</v>
      </c>
      <c r="O3781" t="s">
        <v>83</v>
      </c>
    </row>
    <row r="3782" spans="1:17" x14ac:dyDescent="0.25">
      <c r="A3782" s="22">
        <v>45793</v>
      </c>
      <c r="B3782" s="1">
        <v>912971719</v>
      </c>
      <c r="C3782" t="s">
        <v>2929</v>
      </c>
      <c r="D3782" s="23">
        <v>-4716</v>
      </c>
      <c r="E3782" t="s">
        <v>35</v>
      </c>
      <c r="F3782" s="2">
        <v>212901001</v>
      </c>
      <c r="G3782" s="2" t="s">
        <v>91</v>
      </c>
      <c r="I3782" s="95" t="s">
        <v>7231</v>
      </c>
      <c r="J3782" t="s">
        <v>61</v>
      </c>
      <c r="K3782" t="s">
        <v>62</v>
      </c>
      <c r="M3782">
        <v>94.32</v>
      </c>
      <c r="N3782" s="4">
        <f t="shared" si="58"/>
        <v>-50.000000000000007</v>
      </c>
      <c r="O3782" t="s">
        <v>83</v>
      </c>
    </row>
    <row r="3783" spans="1:17" x14ac:dyDescent="0.25">
      <c r="A3783" s="22">
        <v>45793</v>
      </c>
      <c r="B3783" s="1">
        <v>912971726</v>
      </c>
      <c r="C3783" t="s">
        <v>2930</v>
      </c>
      <c r="D3783" s="23">
        <v>-11507.04</v>
      </c>
      <c r="E3783" t="s">
        <v>35</v>
      </c>
      <c r="F3783" s="2">
        <v>212901001</v>
      </c>
      <c r="G3783" s="2" t="s">
        <v>91</v>
      </c>
      <c r="I3783" s="95" t="s">
        <v>7231</v>
      </c>
      <c r="J3783" t="s">
        <v>61</v>
      </c>
      <c r="K3783" t="s">
        <v>62</v>
      </c>
      <c r="M3783">
        <v>94.32</v>
      </c>
      <c r="N3783" s="4">
        <f t="shared" si="58"/>
        <v>-122.00000000000001</v>
      </c>
      <c r="O3783" t="s">
        <v>83</v>
      </c>
    </row>
    <row r="3784" spans="1:17" x14ac:dyDescent="0.25">
      <c r="A3784" s="22">
        <v>45793</v>
      </c>
      <c r="B3784" s="1">
        <v>912971725</v>
      </c>
      <c r="C3784" t="s">
        <v>2931</v>
      </c>
      <c r="D3784" s="23">
        <v>-18864</v>
      </c>
      <c r="E3784" t="s">
        <v>35</v>
      </c>
      <c r="F3784" s="2">
        <v>212901001</v>
      </c>
      <c r="G3784" s="2" t="s">
        <v>91</v>
      </c>
      <c r="I3784" s="95" t="s">
        <v>7231</v>
      </c>
      <c r="J3784" t="s">
        <v>61</v>
      </c>
      <c r="K3784" t="s">
        <v>62</v>
      </c>
      <c r="M3784">
        <v>94.32</v>
      </c>
      <c r="N3784" s="4">
        <f t="shared" si="58"/>
        <v>-200.00000000000003</v>
      </c>
      <c r="O3784" t="s">
        <v>83</v>
      </c>
    </row>
    <row r="3785" spans="1:17" x14ac:dyDescent="0.25">
      <c r="A3785" s="22">
        <v>45793</v>
      </c>
      <c r="B3785" s="1">
        <v>912971727</v>
      </c>
      <c r="C3785" t="s">
        <v>2932</v>
      </c>
      <c r="D3785" s="23">
        <v>-2829.6</v>
      </c>
      <c r="E3785" t="s">
        <v>35</v>
      </c>
      <c r="F3785" s="2">
        <v>212901001</v>
      </c>
      <c r="G3785" s="2" t="s">
        <v>91</v>
      </c>
      <c r="I3785" s="95" t="s">
        <v>7231</v>
      </c>
      <c r="J3785" t="s">
        <v>61</v>
      </c>
      <c r="K3785" t="s">
        <v>62</v>
      </c>
      <c r="M3785">
        <v>94.32</v>
      </c>
      <c r="N3785" s="4">
        <f t="shared" si="58"/>
        <v>-30</v>
      </c>
      <c r="O3785" t="s">
        <v>83</v>
      </c>
    </row>
    <row r="3786" spans="1:17" x14ac:dyDescent="0.25">
      <c r="A3786" s="22">
        <v>45793</v>
      </c>
      <c r="B3786" s="1">
        <v>912971722</v>
      </c>
      <c r="C3786" t="s">
        <v>2933</v>
      </c>
      <c r="D3786" s="23">
        <v>-1886.4</v>
      </c>
      <c r="E3786" t="s">
        <v>35</v>
      </c>
      <c r="F3786" s="2">
        <v>212901001</v>
      </c>
      <c r="G3786" s="2" t="s">
        <v>91</v>
      </c>
      <c r="I3786" s="95" t="s">
        <v>7231</v>
      </c>
      <c r="J3786" t="s">
        <v>61</v>
      </c>
      <c r="K3786" t="s">
        <v>62</v>
      </c>
      <c r="M3786">
        <v>94.32</v>
      </c>
      <c r="N3786" s="4">
        <f t="shared" si="58"/>
        <v>-20.000000000000004</v>
      </c>
      <c r="O3786" t="s">
        <v>83</v>
      </c>
    </row>
    <row r="3787" spans="1:17" x14ac:dyDescent="0.25">
      <c r="A3787" s="22">
        <v>45793</v>
      </c>
      <c r="B3787" s="1">
        <v>912971723</v>
      </c>
      <c r="C3787" t="s">
        <v>2934</v>
      </c>
      <c r="D3787" s="23">
        <v>-1886.4</v>
      </c>
      <c r="E3787" t="s">
        <v>35</v>
      </c>
      <c r="F3787" s="2">
        <v>212901001</v>
      </c>
      <c r="G3787" s="2" t="s">
        <v>91</v>
      </c>
      <c r="I3787" s="95" t="s">
        <v>7231</v>
      </c>
      <c r="J3787" t="s">
        <v>61</v>
      </c>
      <c r="K3787" t="s">
        <v>62</v>
      </c>
      <c r="M3787">
        <v>94.32</v>
      </c>
      <c r="N3787" s="4">
        <f t="shared" si="58"/>
        <v>-20.000000000000004</v>
      </c>
      <c r="O3787" t="s">
        <v>83</v>
      </c>
    </row>
    <row r="3788" spans="1:17" x14ac:dyDescent="0.25">
      <c r="A3788" s="22">
        <v>45793</v>
      </c>
      <c r="B3788" s="1">
        <v>912971728</v>
      </c>
      <c r="C3788" t="s">
        <v>2935</v>
      </c>
      <c r="D3788" s="23">
        <v>-3772.8</v>
      </c>
      <c r="E3788" t="s">
        <v>35</v>
      </c>
      <c r="F3788" s="2">
        <v>212901001</v>
      </c>
      <c r="G3788" s="2" t="s">
        <v>91</v>
      </c>
      <c r="I3788" s="95" t="s">
        <v>7231</v>
      </c>
      <c r="J3788" t="s">
        <v>61</v>
      </c>
      <c r="K3788" t="s">
        <v>62</v>
      </c>
      <c r="M3788">
        <v>94.32</v>
      </c>
      <c r="N3788" s="4">
        <f t="shared" ref="N3788:N3851" si="59">D3788/M3788</f>
        <v>-40.000000000000007</v>
      </c>
      <c r="O3788" t="s">
        <v>83</v>
      </c>
    </row>
    <row r="3789" spans="1:17" x14ac:dyDescent="0.25">
      <c r="A3789" s="22">
        <v>45793</v>
      </c>
      <c r="B3789" s="1">
        <v>50597800</v>
      </c>
      <c r="C3789" t="s">
        <v>2936</v>
      </c>
      <c r="D3789" s="23">
        <v>-13204.8</v>
      </c>
      <c r="E3789" t="s">
        <v>35</v>
      </c>
      <c r="F3789" s="2">
        <v>212901001</v>
      </c>
      <c r="G3789" s="2" t="s">
        <v>91</v>
      </c>
      <c r="I3789" s="95" t="s">
        <v>7231</v>
      </c>
      <c r="J3789" t="s">
        <v>61</v>
      </c>
      <c r="K3789" t="s">
        <v>62</v>
      </c>
      <c r="M3789">
        <v>94.32</v>
      </c>
      <c r="N3789" s="4">
        <f t="shared" si="59"/>
        <v>-140</v>
      </c>
      <c r="O3789" t="s">
        <v>83</v>
      </c>
    </row>
    <row r="3790" spans="1:17" x14ac:dyDescent="0.25">
      <c r="A3790" s="22">
        <v>45793</v>
      </c>
      <c r="B3790" s="1">
        <v>50597800</v>
      </c>
      <c r="C3790" t="s">
        <v>179</v>
      </c>
      <c r="D3790" s="23">
        <v>-19.8</v>
      </c>
      <c r="E3790" t="s">
        <v>35</v>
      </c>
      <c r="F3790" s="2">
        <v>610148001</v>
      </c>
      <c r="G3790" s="2" t="s">
        <v>41</v>
      </c>
      <c r="I3790" s="95" t="s">
        <v>7231</v>
      </c>
      <c r="J3790" t="s">
        <v>42</v>
      </c>
      <c r="K3790" t="s">
        <v>41</v>
      </c>
      <c r="M3790">
        <v>94.32</v>
      </c>
      <c r="N3790" s="4">
        <f t="shared" si="59"/>
        <v>-0.20992366412213742</v>
      </c>
      <c r="O3790" t="s">
        <v>83</v>
      </c>
      <c r="Q3790" s="24" t="s">
        <v>2650</v>
      </c>
    </row>
    <row r="3791" spans="1:17" x14ac:dyDescent="0.25">
      <c r="A3791" s="22">
        <v>45793</v>
      </c>
      <c r="B3791" s="1">
        <v>50597800</v>
      </c>
      <c r="C3791" t="s">
        <v>89</v>
      </c>
      <c r="D3791" s="23">
        <v>-1061.0999999999999</v>
      </c>
      <c r="E3791" t="s">
        <v>35</v>
      </c>
      <c r="F3791" s="2">
        <v>610148001</v>
      </c>
      <c r="G3791" s="2" t="s">
        <v>41</v>
      </c>
      <c r="I3791" s="95" t="s">
        <v>7231</v>
      </c>
      <c r="J3791" t="s">
        <v>42</v>
      </c>
      <c r="K3791" t="s">
        <v>41</v>
      </c>
      <c r="M3791">
        <v>94.32</v>
      </c>
      <c r="N3791" s="4">
        <f t="shared" si="59"/>
        <v>-11.25</v>
      </c>
      <c r="O3791" t="s">
        <v>83</v>
      </c>
      <c r="Q3791" s="24" t="s">
        <v>2650</v>
      </c>
    </row>
    <row r="3792" spans="1:17" x14ac:dyDescent="0.25">
      <c r="A3792" s="22">
        <v>45796</v>
      </c>
      <c r="B3792" s="1">
        <v>224002292</v>
      </c>
      <c r="C3792" t="s">
        <v>2937</v>
      </c>
      <c r="D3792" s="23">
        <v>10552.47</v>
      </c>
      <c r="E3792" t="s">
        <v>45</v>
      </c>
      <c r="F3792" s="2">
        <v>110106001</v>
      </c>
      <c r="G3792" s="2" t="s">
        <v>1011</v>
      </c>
      <c r="I3792" s="95" t="s">
        <v>7231</v>
      </c>
      <c r="K3792" t="s">
        <v>1617</v>
      </c>
      <c r="M3792">
        <v>94.76</v>
      </c>
      <c r="N3792" s="4">
        <f t="shared" si="59"/>
        <v>111.3599620092866</v>
      </c>
      <c r="O3792" t="s">
        <v>83</v>
      </c>
    </row>
    <row r="3793" spans="1:20" x14ac:dyDescent="0.25">
      <c r="A3793" s="22">
        <v>45796</v>
      </c>
      <c r="B3793" s="1">
        <v>224002292</v>
      </c>
      <c r="C3793" t="s">
        <v>1013</v>
      </c>
      <c r="D3793" s="23">
        <v>-158.28</v>
      </c>
      <c r="E3793" t="s">
        <v>35</v>
      </c>
      <c r="F3793" s="2">
        <v>610148001</v>
      </c>
      <c r="G3793" s="2" t="s">
        <v>41</v>
      </c>
      <c r="I3793" s="95" t="s">
        <v>7231</v>
      </c>
      <c r="J3793" t="s">
        <v>42</v>
      </c>
      <c r="K3793" t="s">
        <v>41</v>
      </c>
      <c r="M3793">
        <v>94.76</v>
      </c>
      <c r="N3793" s="4">
        <f t="shared" si="59"/>
        <v>-1.6703250316589278</v>
      </c>
      <c r="O3793" t="s">
        <v>83</v>
      </c>
      <c r="Q3793" s="24" t="s">
        <v>2650</v>
      </c>
    </row>
    <row r="3794" spans="1:20" x14ac:dyDescent="0.25">
      <c r="A3794" s="22">
        <v>45796</v>
      </c>
      <c r="B3794" s="1">
        <v>337021977</v>
      </c>
      <c r="C3794" t="s">
        <v>2938</v>
      </c>
      <c r="D3794" s="23">
        <v>14069.96</v>
      </c>
      <c r="E3794" t="s">
        <v>45</v>
      </c>
      <c r="F3794" s="2">
        <v>110106001</v>
      </c>
      <c r="G3794" s="2" t="s">
        <v>1011</v>
      </c>
      <c r="I3794" s="95" t="s">
        <v>7231</v>
      </c>
      <c r="K3794" t="s">
        <v>1617</v>
      </c>
      <c r="M3794">
        <v>94.76</v>
      </c>
      <c r="N3794" s="4">
        <f t="shared" si="59"/>
        <v>148.47994934571548</v>
      </c>
      <c r="O3794" t="s">
        <v>83</v>
      </c>
    </row>
    <row r="3795" spans="1:20" x14ac:dyDescent="0.25">
      <c r="A3795" s="22">
        <v>45796</v>
      </c>
      <c r="B3795" s="1">
        <v>337021977</v>
      </c>
      <c r="C3795" t="s">
        <v>1013</v>
      </c>
      <c r="D3795" s="23">
        <v>-211.04</v>
      </c>
      <c r="E3795" t="s">
        <v>35</v>
      </c>
      <c r="F3795" s="2">
        <v>610148001</v>
      </c>
      <c r="G3795" s="2" t="s">
        <v>41</v>
      </c>
      <c r="I3795" s="95" t="s">
        <v>7231</v>
      </c>
      <c r="J3795" t="s">
        <v>42</v>
      </c>
      <c r="K3795" t="s">
        <v>41</v>
      </c>
      <c r="M3795">
        <v>94.76</v>
      </c>
      <c r="N3795" s="4">
        <f t="shared" si="59"/>
        <v>-2.2271000422119034</v>
      </c>
      <c r="O3795" t="s">
        <v>83</v>
      </c>
      <c r="Q3795" s="24" t="s">
        <v>2650</v>
      </c>
    </row>
    <row r="3796" spans="1:20" x14ac:dyDescent="0.25">
      <c r="A3796" s="22">
        <v>45796</v>
      </c>
      <c r="B3796" s="1">
        <v>906002295</v>
      </c>
      <c r="C3796" t="s">
        <v>2939</v>
      </c>
      <c r="D3796" s="23">
        <v>10552.47</v>
      </c>
      <c r="E3796" t="s">
        <v>45</v>
      </c>
      <c r="F3796" s="2">
        <v>110106001</v>
      </c>
      <c r="G3796" s="2" t="s">
        <v>1011</v>
      </c>
      <c r="I3796" s="95" t="s">
        <v>7231</v>
      </c>
      <c r="K3796" t="s">
        <v>1617</v>
      </c>
      <c r="M3796">
        <v>94.76</v>
      </c>
      <c r="N3796" s="4">
        <f t="shared" si="59"/>
        <v>111.3599620092866</v>
      </c>
      <c r="O3796" t="s">
        <v>83</v>
      </c>
    </row>
    <row r="3797" spans="1:20" x14ac:dyDescent="0.25">
      <c r="A3797" s="22">
        <v>45796</v>
      </c>
      <c r="B3797" s="1">
        <v>906002295</v>
      </c>
      <c r="C3797" t="s">
        <v>1013</v>
      </c>
      <c r="D3797" s="23">
        <v>-158.28</v>
      </c>
      <c r="E3797" t="s">
        <v>35</v>
      </c>
      <c r="F3797" s="2">
        <v>610148001</v>
      </c>
      <c r="G3797" s="2" t="s">
        <v>41</v>
      </c>
      <c r="I3797" s="95" t="s">
        <v>7231</v>
      </c>
      <c r="J3797" t="s">
        <v>42</v>
      </c>
      <c r="K3797" t="s">
        <v>41</v>
      </c>
      <c r="M3797">
        <v>94.76</v>
      </c>
      <c r="N3797" s="4">
        <f t="shared" si="59"/>
        <v>-1.6703250316589278</v>
      </c>
      <c r="O3797" t="s">
        <v>83</v>
      </c>
      <c r="Q3797" s="24" t="s">
        <v>2650</v>
      </c>
    </row>
    <row r="3798" spans="1:20" x14ac:dyDescent="0.25">
      <c r="A3798" s="22">
        <v>45797</v>
      </c>
      <c r="B3798" s="1">
        <v>559038860</v>
      </c>
      <c r="C3798" t="s">
        <v>2940</v>
      </c>
      <c r="D3798" s="23">
        <v>50000</v>
      </c>
      <c r="E3798" t="s">
        <v>45</v>
      </c>
      <c r="F3798" s="2">
        <v>110106001</v>
      </c>
      <c r="G3798" s="2" t="s">
        <v>1011</v>
      </c>
      <c r="I3798" s="95" t="s">
        <v>7231</v>
      </c>
      <c r="K3798" t="s">
        <v>1617</v>
      </c>
      <c r="M3798">
        <v>94.8</v>
      </c>
      <c r="N3798" s="4">
        <f t="shared" si="59"/>
        <v>527.4261603375528</v>
      </c>
      <c r="O3798" t="s">
        <v>83</v>
      </c>
    </row>
    <row r="3799" spans="1:20" x14ac:dyDescent="0.25">
      <c r="A3799" s="22">
        <v>45797</v>
      </c>
      <c r="B3799" s="1">
        <v>559038860</v>
      </c>
      <c r="C3799" t="s">
        <v>1013</v>
      </c>
      <c r="D3799" s="23">
        <v>-750</v>
      </c>
      <c r="E3799" t="s">
        <v>35</v>
      </c>
      <c r="F3799" s="2">
        <v>610148001</v>
      </c>
      <c r="G3799" s="2" t="s">
        <v>41</v>
      </c>
      <c r="I3799" s="95" t="s">
        <v>7231</v>
      </c>
      <c r="J3799" t="s">
        <v>42</v>
      </c>
      <c r="K3799" t="s">
        <v>41</v>
      </c>
      <c r="M3799">
        <v>94.8</v>
      </c>
      <c r="N3799" s="4">
        <f t="shared" si="59"/>
        <v>-7.9113924050632916</v>
      </c>
      <c r="O3799" t="s">
        <v>83</v>
      </c>
      <c r="Q3799" s="24" t="s">
        <v>2650</v>
      </c>
    </row>
    <row r="3800" spans="1:20" x14ac:dyDescent="0.25">
      <c r="A3800" s="22">
        <v>45797</v>
      </c>
      <c r="B3800" s="1">
        <v>925002305</v>
      </c>
      <c r="C3800" t="s">
        <v>2941</v>
      </c>
      <c r="D3800" s="23">
        <v>10556.93</v>
      </c>
      <c r="E3800" t="s">
        <v>45</v>
      </c>
      <c r="F3800" s="2">
        <v>110106001</v>
      </c>
      <c r="G3800" s="2" t="s">
        <v>1011</v>
      </c>
      <c r="I3800" s="95" t="s">
        <v>7231</v>
      </c>
      <c r="K3800" t="s">
        <v>1617</v>
      </c>
      <c r="M3800">
        <v>94.8</v>
      </c>
      <c r="N3800" s="4">
        <f t="shared" si="59"/>
        <v>111.36002109704641</v>
      </c>
      <c r="O3800" t="s">
        <v>83</v>
      </c>
    </row>
    <row r="3801" spans="1:20" x14ac:dyDescent="0.25">
      <c r="A3801" s="22">
        <v>45797</v>
      </c>
      <c r="B3801" s="1">
        <v>925002305</v>
      </c>
      <c r="C3801" t="s">
        <v>1013</v>
      </c>
      <c r="D3801" s="23">
        <v>-158.35</v>
      </c>
      <c r="E3801" t="s">
        <v>35</v>
      </c>
      <c r="F3801" s="2">
        <v>610148001</v>
      </c>
      <c r="G3801" s="2" t="s">
        <v>41</v>
      </c>
      <c r="I3801" s="95" t="s">
        <v>7231</v>
      </c>
      <c r="J3801" t="s">
        <v>42</v>
      </c>
      <c r="K3801" t="s">
        <v>41</v>
      </c>
      <c r="M3801">
        <v>94.8</v>
      </c>
      <c r="N3801" s="4">
        <f t="shared" si="59"/>
        <v>-1.6703586497890295</v>
      </c>
      <c r="O3801" t="s">
        <v>83</v>
      </c>
      <c r="Q3801" s="24" t="s">
        <v>2650</v>
      </c>
    </row>
    <row r="3802" spans="1:20" x14ac:dyDescent="0.25">
      <c r="A3802" s="22">
        <v>45797</v>
      </c>
      <c r="B3802" s="1">
        <v>732038864</v>
      </c>
      <c r="C3802" t="s">
        <v>2940</v>
      </c>
      <c r="D3802" s="23">
        <v>11582.08</v>
      </c>
      <c r="E3802" t="s">
        <v>45</v>
      </c>
      <c r="F3802" s="2">
        <v>110106001</v>
      </c>
      <c r="G3802" s="2" t="s">
        <v>1011</v>
      </c>
      <c r="I3802" s="95" t="s">
        <v>7231</v>
      </c>
      <c r="K3802" t="s">
        <v>1617</v>
      </c>
      <c r="M3802">
        <v>94.8</v>
      </c>
      <c r="N3802" s="4">
        <f t="shared" si="59"/>
        <v>122.17383966244726</v>
      </c>
      <c r="O3802" t="s">
        <v>83</v>
      </c>
    </row>
    <row r="3803" spans="1:20" x14ac:dyDescent="0.25">
      <c r="A3803" s="22">
        <v>45797</v>
      </c>
      <c r="B3803" s="1">
        <v>732038864</v>
      </c>
      <c r="C3803" t="s">
        <v>1013</v>
      </c>
      <c r="D3803" s="23">
        <v>-173.73</v>
      </c>
      <c r="E3803" t="s">
        <v>35</v>
      </c>
      <c r="F3803" s="2">
        <v>610148001</v>
      </c>
      <c r="G3803" s="2" t="s">
        <v>41</v>
      </c>
      <c r="I3803" s="95" t="s">
        <v>7231</v>
      </c>
      <c r="J3803" t="s">
        <v>42</v>
      </c>
      <c r="K3803" t="s">
        <v>41</v>
      </c>
      <c r="M3803">
        <v>94.8</v>
      </c>
      <c r="N3803" s="4">
        <f t="shared" si="59"/>
        <v>-1.8325949367088608</v>
      </c>
      <c r="O3803" t="s">
        <v>83</v>
      </c>
      <c r="Q3803" s="24" t="s">
        <v>2650</v>
      </c>
    </row>
    <row r="3804" spans="1:20" x14ac:dyDescent="0.25">
      <c r="A3804" s="22">
        <v>45797</v>
      </c>
      <c r="B3804" s="1">
        <v>813217739</v>
      </c>
      <c r="C3804" t="s">
        <v>2942</v>
      </c>
      <c r="D3804" s="23">
        <v>-75438.05</v>
      </c>
      <c r="E3804" t="s">
        <v>35</v>
      </c>
      <c r="F3804" s="2">
        <v>110106001</v>
      </c>
      <c r="G3804" s="2" t="s">
        <v>1011</v>
      </c>
      <c r="I3804" s="95" t="s">
        <v>7231</v>
      </c>
      <c r="K3804" t="s">
        <v>2943</v>
      </c>
      <c r="M3804">
        <v>94.8</v>
      </c>
      <c r="N3804" s="4">
        <f t="shared" si="59"/>
        <v>-795.76002109704643</v>
      </c>
      <c r="O3804" t="s">
        <v>83</v>
      </c>
    </row>
    <row r="3805" spans="1:20" x14ac:dyDescent="0.25">
      <c r="A3805" s="22">
        <v>45797</v>
      </c>
      <c r="B3805" s="1">
        <v>813217739</v>
      </c>
      <c r="C3805" t="s">
        <v>185</v>
      </c>
      <c r="D3805" s="23">
        <v>-226.31</v>
      </c>
      <c r="E3805" t="s">
        <v>35</v>
      </c>
      <c r="F3805" s="2">
        <v>610148001</v>
      </c>
      <c r="G3805" s="2" t="s">
        <v>41</v>
      </c>
      <c r="I3805" s="95" t="s">
        <v>7231</v>
      </c>
      <c r="J3805" t="s">
        <v>42</v>
      </c>
      <c r="K3805" t="s">
        <v>41</v>
      </c>
      <c r="M3805">
        <v>94.8</v>
      </c>
      <c r="N3805" s="4">
        <f t="shared" si="59"/>
        <v>-2.3872362869198311</v>
      </c>
      <c r="O3805" t="s">
        <v>83</v>
      </c>
      <c r="Q3805" s="24" t="s">
        <v>2650</v>
      </c>
    </row>
    <row r="3806" spans="1:20" x14ac:dyDescent="0.25">
      <c r="A3806" s="22">
        <v>45800</v>
      </c>
      <c r="B3806" s="1">
        <v>712551826</v>
      </c>
      <c r="C3806" t="s">
        <v>2944</v>
      </c>
      <c r="D3806" s="23">
        <v>40000</v>
      </c>
      <c r="E3806" t="s">
        <v>45</v>
      </c>
      <c r="F3806" s="2">
        <v>110101003</v>
      </c>
      <c r="G3806" s="2" t="s">
        <v>2945</v>
      </c>
      <c r="I3806" s="95" t="s">
        <v>7231</v>
      </c>
      <c r="K3806" t="s">
        <v>2944</v>
      </c>
      <c r="M3806">
        <v>95.02</v>
      </c>
      <c r="N3806" s="4">
        <f t="shared" si="59"/>
        <v>420.96400757735216</v>
      </c>
      <c r="O3806" t="s">
        <v>83</v>
      </c>
    </row>
    <row r="3807" spans="1:20" x14ac:dyDescent="0.25">
      <c r="A3807" s="22">
        <v>45800</v>
      </c>
      <c r="B3807" s="1">
        <v>78728</v>
      </c>
      <c r="C3807" t="s">
        <v>2946</v>
      </c>
      <c r="D3807" s="23">
        <v>20000</v>
      </c>
      <c r="E3807" t="s">
        <v>45</v>
      </c>
      <c r="F3807" s="2">
        <v>110101003</v>
      </c>
      <c r="G3807" s="2" t="s">
        <v>2945</v>
      </c>
      <c r="I3807" s="95" t="s">
        <v>7231</v>
      </c>
      <c r="K3807" t="s">
        <v>2946</v>
      </c>
      <c r="M3807">
        <v>95.02</v>
      </c>
      <c r="N3807" s="4">
        <f t="shared" si="59"/>
        <v>210.48200378867608</v>
      </c>
      <c r="O3807" t="s">
        <v>83</v>
      </c>
    </row>
    <row r="3808" spans="1:20" x14ac:dyDescent="0.25">
      <c r="A3808" s="22">
        <v>45800</v>
      </c>
      <c r="B3808" s="1">
        <v>413367861</v>
      </c>
      <c r="C3808" t="s">
        <v>2947</v>
      </c>
      <c r="D3808" s="23">
        <v>-154.68</v>
      </c>
      <c r="E3808" t="s">
        <v>35</v>
      </c>
      <c r="F3808" s="2">
        <v>212901001</v>
      </c>
      <c r="G3808" s="2" t="s">
        <v>91</v>
      </c>
      <c r="I3808" s="95" t="s">
        <v>7231</v>
      </c>
      <c r="J3808" t="s">
        <v>61</v>
      </c>
      <c r="K3808" t="s">
        <v>62</v>
      </c>
      <c r="M3808">
        <v>95.02</v>
      </c>
      <c r="N3808" s="4">
        <f t="shared" si="59"/>
        <v>-1.6278678173016208</v>
      </c>
      <c r="O3808" t="s">
        <v>83</v>
      </c>
      <c r="Q3808" s="70" t="s">
        <v>2948</v>
      </c>
      <c r="R3808">
        <v>2</v>
      </c>
      <c r="S3808" t="e">
        <f>VLOOKUP(Tabla3[[#This Row],[Nº]],[1]!NOMINA[#Data],4,FALSE)</f>
        <v>#REF!</v>
      </c>
      <c r="T3808" t="e">
        <f>VLOOKUP(Tabla3[[#This Row],[Nº]],[1]!NOMINA[#Data],5,FALSE)</f>
        <v>#REF!</v>
      </c>
    </row>
    <row r="3809" spans="1:20" x14ac:dyDescent="0.25">
      <c r="A3809" s="22">
        <v>45800</v>
      </c>
      <c r="B3809" s="1">
        <v>513367862</v>
      </c>
      <c r="C3809" t="s">
        <v>2947</v>
      </c>
      <c r="D3809" s="23">
        <v>-97996.69</v>
      </c>
      <c r="E3809" t="s">
        <v>35</v>
      </c>
      <c r="F3809" s="2">
        <v>212901001</v>
      </c>
      <c r="G3809" s="2" t="s">
        <v>91</v>
      </c>
      <c r="I3809" s="95" t="s">
        <v>7231</v>
      </c>
      <c r="J3809" t="s">
        <v>61</v>
      </c>
      <c r="K3809" t="s">
        <v>62</v>
      </c>
      <c r="M3809">
        <v>95.02</v>
      </c>
      <c r="N3809" s="4">
        <f t="shared" si="59"/>
        <v>-1031.3269837928858</v>
      </c>
      <c r="O3809" t="s">
        <v>83</v>
      </c>
      <c r="Q3809" s="70" t="s">
        <v>2948</v>
      </c>
      <c r="R3809">
        <v>2</v>
      </c>
      <c r="S3809" t="e">
        <f>VLOOKUP(Tabla3[[#This Row],[Nº]],[1]!NOMINA[#Data],4,FALSE)</f>
        <v>#REF!</v>
      </c>
      <c r="T3809" t="e">
        <f>VLOOKUP(Tabla3[[#This Row],[Nº]],[1]!NOMINA[#Data],5,FALSE)</f>
        <v>#REF!</v>
      </c>
    </row>
    <row r="3810" spans="1:20" x14ac:dyDescent="0.25">
      <c r="A3810" s="22">
        <v>45800</v>
      </c>
      <c r="B3810" s="1">
        <v>50583801</v>
      </c>
      <c r="C3810" t="s">
        <v>89</v>
      </c>
      <c r="D3810" s="23">
        <v>-245.37</v>
      </c>
      <c r="E3810" t="s">
        <v>35</v>
      </c>
      <c r="F3810" s="2">
        <v>610148001</v>
      </c>
      <c r="G3810" s="2" t="s">
        <v>41</v>
      </c>
      <c r="I3810" s="95" t="s">
        <v>7231</v>
      </c>
      <c r="J3810" t="s">
        <v>42</v>
      </c>
      <c r="K3810" t="s">
        <v>41</v>
      </c>
      <c r="M3810">
        <v>95.02</v>
      </c>
      <c r="N3810" s="4">
        <f t="shared" si="59"/>
        <v>-2.5822984634813726</v>
      </c>
      <c r="O3810" t="s">
        <v>83</v>
      </c>
      <c r="Q3810" s="24" t="s">
        <v>2650</v>
      </c>
    </row>
    <row r="3811" spans="1:20" x14ac:dyDescent="0.25">
      <c r="A3811" s="22">
        <v>45800</v>
      </c>
      <c r="B3811" s="1">
        <v>113396259</v>
      </c>
      <c r="C3811" t="s">
        <v>2949</v>
      </c>
      <c r="D3811" s="23">
        <v>-2850.6</v>
      </c>
      <c r="E3811" t="s">
        <v>35</v>
      </c>
      <c r="F3811" s="2">
        <v>212901001</v>
      </c>
      <c r="G3811" s="2" t="s">
        <v>91</v>
      </c>
      <c r="I3811" s="95" t="s">
        <v>7231</v>
      </c>
      <c r="J3811" t="s">
        <v>61</v>
      </c>
      <c r="K3811" t="s">
        <v>62</v>
      </c>
      <c r="M3811">
        <v>95.02</v>
      </c>
      <c r="N3811" s="4">
        <f t="shared" si="59"/>
        <v>-30</v>
      </c>
      <c r="O3811" t="s">
        <v>83</v>
      </c>
    </row>
    <row r="3812" spans="1:20" x14ac:dyDescent="0.25">
      <c r="A3812" s="22">
        <v>45800</v>
      </c>
      <c r="B3812" s="1">
        <v>113396259</v>
      </c>
      <c r="C3812" t="s">
        <v>185</v>
      </c>
      <c r="D3812" s="23">
        <v>-8.5500000000000007</v>
      </c>
      <c r="E3812" t="s">
        <v>35</v>
      </c>
      <c r="F3812" s="2">
        <v>610148001</v>
      </c>
      <c r="G3812" s="2" t="s">
        <v>41</v>
      </c>
      <c r="I3812" s="95" t="s">
        <v>7231</v>
      </c>
      <c r="J3812" t="s">
        <v>42</v>
      </c>
      <c r="K3812" t="s">
        <v>41</v>
      </c>
      <c r="M3812">
        <v>95.02</v>
      </c>
      <c r="N3812" s="4">
        <f t="shared" si="59"/>
        <v>-8.9981056619659036E-2</v>
      </c>
      <c r="O3812" t="s">
        <v>83</v>
      </c>
      <c r="Q3812" s="24" t="s">
        <v>2650</v>
      </c>
    </row>
    <row r="3813" spans="1:20" x14ac:dyDescent="0.25">
      <c r="A3813" s="22">
        <v>45800</v>
      </c>
      <c r="B3813" s="1">
        <v>160247680</v>
      </c>
      <c r="C3813" t="s">
        <v>82</v>
      </c>
      <c r="D3813" s="23">
        <v>440000</v>
      </c>
      <c r="E3813" t="s">
        <v>45</v>
      </c>
      <c r="F3813" s="2">
        <v>210115002</v>
      </c>
      <c r="G3813" s="2" t="s">
        <v>46</v>
      </c>
      <c r="I3813" s="95" t="s">
        <v>7231</v>
      </c>
      <c r="K3813" t="s">
        <v>82</v>
      </c>
      <c r="M3813">
        <v>95.02</v>
      </c>
      <c r="N3813" s="4">
        <f t="shared" si="59"/>
        <v>4630.6040833508741</v>
      </c>
      <c r="O3813" t="s">
        <v>83</v>
      </c>
    </row>
    <row r="3814" spans="1:20" x14ac:dyDescent="0.25">
      <c r="A3814" s="22">
        <v>45800</v>
      </c>
      <c r="B3814" s="1">
        <v>213401417</v>
      </c>
      <c r="C3814" t="s">
        <v>2950</v>
      </c>
      <c r="D3814" s="23">
        <v>-7601.6</v>
      </c>
      <c r="E3814" t="s">
        <v>35</v>
      </c>
      <c r="F3814" s="2">
        <v>212901001</v>
      </c>
      <c r="G3814" s="2" t="s">
        <v>91</v>
      </c>
      <c r="I3814" s="95" t="s">
        <v>7231</v>
      </c>
      <c r="J3814" t="s">
        <v>61</v>
      </c>
      <c r="K3814" t="s">
        <v>62</v>
      </c>
      <c r="M3814">
        <v>95.02</v>
      </c>
      <c r="N3814" s="4">
        <f t="shared" si="59"/>
        <v>-80.000000000000014</v>
      </c>
      <c r="O3814" t="s">
        <v>83</v>
      </c>
    </row>
    <row r="3815" spans="1:20" x14ac:dyDescent="0.25">
      <c r="A3815" s="22">
        <v>45800</v>
      </c>
      <c r="B3815" s="1">
        <v>213401419</v>
      </c>
      <c r="C3815" t="s">
        <v>2951</v>
      </c>
      <c r="D3815" s="23">
        <v>-5701.2</v>
      </c>
      <c r="E3815" t="s">
        <v>35</v>
      </c>
      <c r="F3815" s="2">
        <v>212901001</v>
      </c>
      <c r="G3815" s="2" t="s">
        <v>91</v>
      </c>
      <c r="I3815" s="95" t="s">
        <v>7231</v>
      </c>
      <c r="J3815" t="s">
        <v>61</v>
      </c>
      <c r="K3815" t="s">
        <v>62</v>
      </c>
      <c r="M3815">
        <v>95.02</v>
      </c>
      <c r="N3815" s="4">
        <f t="shared" si="59"/>
        <v>-60</v>
      </c>
      <c r="O3815" t="s">
        <v>83</v>
      </c>
    </row>
    <row r="3816" spans="1:20" x14ac:dyDescent="0.25">
      <c r="A3816" s="22">
        <v>45800</v>
      </c>
      <c r="B3816" s="1">
        <v>213401420</v>
      </c>
      <c r="C3816" t="s">
        <v>2952</v>
      </c>
      <c r="D3816" s="23">
        <v>-5701.2</v>
      </c>
      <c r="E3816" t="s">
        <v>35</v>
      </c>
      <c r="F3816" s="2">
        <v>212901001</v>
      </c>
      <c r="G3816" s="2" t="s">
        <v>91</v>
      </c>
      <c r="I3816" s="95" t="s">
        <v>7231</v>
      </c>
      <c r="J3816" t="s">
        <v>61</v>
      </c>
      <c r="K3816" t="s">
        <v>62</v>
      </c>
      <c r="M3816">
        <v>95.02</v>
      </c>
      <c r="N3816" s="4">
        <f t="shared" si="59"/>
        <v>-60</v>
      </c>
      <c r="O3816" t="s">
        <v>83</v>
      </c>
    </row>
    <row r="3817" spans="1:20" x14ac:dyDescent="0.25">
      <c r="A3817" s="22">
        <v>45800</v>
      </c>
      <c r="B3817" s="1">
        <v>213401418</v>
      </c>
      <c r="C3817" t="s">
        <v>2953</v>
      </c>
      <c r="D3817" s="23">
        <v>-5701.2</v>
      </c>
      <c r="E3817" t="s">
        <v>35</v>
      </c>
      <c r="F3817" s="2">
        <v>212901001</v>
      </c>
      <c r="G3817" s="2" t="s">
        <v>91</v>
      </c>
      <c r="I3817" s="95" t="s">
        <v>7231</v>
      </c>
      <c r="J3817" t="s">
        <v>61</v>
      </c>
      <c r="K3817" t="s">
        <v>62</v>
      </c>
      <c r="M3817">
        <v>95.02</v>
      </c>
      <c r="N3817" s="4">
        <f t="shared" si="59"/>
        <v>-60</v>
      </c>
      <c r="O3817" t="s">
        <v>83</v>
      </c>
    </row>
    <row r="3818" spans="1:20" x14ac:dyDescent="0.25">
      <c r="A3818" s="22">
        <v>45800</v>
      </c>
      <c r="B3818" s="1">
        <v>213401422</v>
      </c>
      <c r="C3818" t="s">
        <v>2954</v>
      </c>
      <c r="D3818" s="23">
        <v>-5701.2</v>
      </c>
      <c r="E3818" t="s">
        <v>35</v>
      </c>
      <c r="F3818" s="2">
        <v>212901001</v>
      </c>
      <c r="G3818" s="2" t="s">
        <v>91</v>
      </c>
      <c r="I3818" s="95" t="s">
        <v>7231</v>
      </c>
      <c r="J3818" t="s">
        <v>61</v>
      </c>
      <c r="K3818" t="s">
        <v>62</v>
      </c>
      <c r="M3818">
        <v>95.02</v>
      </c>
      <c r="N3818" s="4">
        <f t="shared" si="59"/>
        <v>-60</v>
      </c>
      <c r="O3818" t="s">
        <v>83</v>
      </c>
    </row>
    <row r="3819" spans="1:20" x14ac:dyDescent="0.25">
      <c r="A3819" s="22">
        <v>45800</v>
      </c>
      <c r="B3819" s="1">
        <v>213401426</v>
      </c>
      <c r="C3819" t="s">
        <v>2955</v>
      </c>
      <c r="D3819" s="23">
        <v>-5701.2</v>
      </c>
      <c r="E3819" t="s">
        <v>35</v>
      </c>
      <c r="F3819" s="2">
        <v>212901001</v>
      </c>
      <c r="G3819" s="2" t="s">
        <v>91</v>
      </c>
      <c r="I3819" s="95" t="s">
        <v>7231</v>
      </c>
      <c r="J3819" t="s">
        <v>61</v>
      </c>
      <c r="K3819" t="s">
        <v>62</v>
      </c>
      <c r="M3819">
        <v>95.02</v>
      </c>
      <c r="N3819" s="4">
        <f t="shared" si="59"/>
        <v>-60</v>
      </c>
      <c r="O3819" t="s">
        <v>83</v>
      </c>
    </row>
    <row r="3820" spans="1:20" x14ac:dyDescent="0.25">
      <c r="A3820" s="22">
        <v>45800</v>
      </c>
      <c r="B3820" s="1">
        <v>213401423</v>
      </c>
      <c r="C3820" t="s">
        <v>2956</v>
      </c>
      <c r="D3820" s="23">
        <v>-5701.2</v>
      </c>
      <c r="E3820" t="s">
        <v>35</v>
      </c>
      <c r="F3820" s="2">
        <v>212901001</v>
      </c>
      <c r="G3820" s="2" t="s">
        <v>91</v>
      </c>
      <c r="I3820" s="95" t="s">
        <v>7231</v>
      </c>
      <c r="J3820" t="s">
        <v>61</v>
      </c>
      <c r="K3820" t="s">
        <v>62</v>
      </c>
      <c r="M3820">
        <v>95.02</v>
      </c>
      <c r="N3820" s="4">
        <f t="shared" si="59"/>
        <v>-60</v>
      </c>
      <c r="O3820" t="s">
        <v>83</v>
      </c>
    </row>
    <row r="3821" spans="1:20" x14ac:dyDescent="0.25">
      <c r="A3821" s="22">
        <v>45800</v>
      </c>
      <c r="B3821" s="1">
        <v>213401425</v>
      </c>
      <c r="C3821" t="s">
        <v>2957</v>
      </c>
      <c r="D3821" s="23">
        <v>-5701.2</v>
      </c>
      <c r="E3821" t="s">
        <v>35</v>
      </c>
      <c r="F3821" s="2">
        <v>212901001</v>
      </c>
      <c r="G3821" s="2" t="s">
        <v>91</v>
      </c>
      <c r="I3821" s="95" t="s">
        <v>7231</v>
      </c>
      <c r="J3821" t="s">
        <v>61</v>
      </c>
      <c r="K3821" t="s">
        <v>62</v>
      </c>
      <c r="M3821">
        <v>95.02</v>
      </c>
      <c r="N3821" s="4">
        <f t="shared" si="59"/>
        <v>-60</v>
      </c>
      <c r="O3821" t="s">
        <v>83</v>
      </c>
    </row>
    <row r="3822" spans="1:20" x14ac:dyDescent="0.25">
      <c r="A3822" s="22">
        <v>45800</v>
      </c>
      <c r="B3822" s="1">
        <v>313401427</v>
      </c>
      <c r="C3822" t="s">
        <v>2958</v>
      </c>
      <c r="D3822" s="23">
        <v>-5701.2</v>
      </c>
      <c r="E3822" t="s">
        <v>35</v>
      </c>
      <c r="F3822" s="2">
        <v>212901001</v>
      </c>
      <c r="G3822" s="2" t="s">
        <v>91</v>
      </c>
      <c r="I3822" s="95" t="s">
        <v>7231</v>
      </c>
      <c r="J3822" t="s">
        <v>61</v>
      </c>
      <c r="K3822" t="s">
        <v>62</v>
      </c>
      <c r="M3822">
        <v>95.02</v>
      </c>
      <c r="N3822" s="4">
        <f t="shared" si="59"/>
        <v>-60</v>
      </c>
      <c r="O3822" t="s">
        <v>83</v>
      </c>
    </row>
    <row r="3823" spans="1:20" x14ac:dyDescent="0.25">
      <c r="A3823" s="22">
        <v>45800</v>
      </c>
      <c r="B3823" s="1">
        <v>313401428</v>
      </c>
      <c r="C3823" t="s">
        <v>2959</v>
      </c>
      <c r="D3823" s="23">
        <v>-5701.2</v>
      </c>
      <c r="E3823" t="s">
        <v>35</v>
      </c>
      <c r="F3823" s="2">
        <v>212901001</v>
      </c>
      <c r="G3823" s="2" t="s">
        <v>91</v>
      </c>
      <c r="I3823" s="95" t="s">
        <v>7231</v>
      </c>
      <c r="J3823" t="s">
        <v>61</v>
      </c>
      <c r="K3823" t="s">
        <v>62</v>
      </c>
      <c r="M3823">
        <v>95.02</v>
      </c>
      <c r="N3823" s="4">
        <f t="shared" si="59"/>
        <v>-60</v>
      </c>
      <c r="O3823" t="s">
        <v>83</v>
      </c>
    </row>
    <row r="3824" spans="1:20" x14ac:dyDescent="0.25">
      <c r="A3824" s="22">
        <v>45800</v>
      </c>
      <c r="B3824" s="1">
        <v>313401434</v>
      </c>
      <c r="C3824" t="s">
        <v>2960</v>
      </c>
      <c r="D3824" s="23">
        <v>-5701.2</v>
      </c>
      <c r="E3824" t="s">
        <v>35</v>
      </c>
      <c r="F3824" s="2">
        <v>212901001</v>
      </c>
      <c r="G3824" s="2" t="s">
        <v>91</v>
      </c>
      <c r="I3824" s="95" t="s">
        <v>7231</v>
      </c>
      <c r="J3824" t="s">
        <v>61</v>
      </c>
      <c r="K3824" t="s">
        <v>62</v>
      </c>
      <c r="M3824">
        <v>95.02</v>
      </c>
      <c r="N3824" s="4">
        <f t="shared" si="59"/>
        <v>-60</v>
      </c>
      <c r="O3824" t="s">
        <v>83</v>
      </c>
    </row>
    <row r="3825" spans="1:15" x14ac:dyDescent="0.25">
      <c r="A3825" s="22">
        <v>45800</v>
      </c>
      <c r="B3825" s="1">
        <v>313401432</v>
      </c>
      <c r="C3825" t="s">
        <v>2961</v>
      </c>
      <c r="D3825" s="23">
        <v>-5701.2</v>
      </c>
      <c r="E3825" t="s">
        <v>35</v>
      </c>
      <c r="F3825" s="2">
        <v>212901001</v>
      </c>
      <c r="G3825" s="2" t="s">
        <v>91</v>
      </c>
      <c r="I3825" s="95" t="s">
        <v>7231</v>
      </c>
      <c r="J3825" t="s">
        <v>61</v>
      </c>
      <c r="K3825" t="s">
        <v>62</v>
      </c>
      <c r="M3825">
        <v>95.02</v>
      </c>
      <c r="N3825" s="4">
        <f t="shared" si="59"/>
        <v>-60</v>
      </c>
      <c r="O3825" t="s">
        <v>83</v>
      </c>
    </row>
    <row r="3826" spans="1:15" x14ac:dyDescent="0.25">
      <c r="A3826" s="22">
        <v>45800</v>
      </c>
      <c r="B3826" s="1">
        <v>313401438</v>
      </c>
      <c r="C3826" t="s">
        <v>2962</v>
      </c>
      <c r="D3826" s="23">
        <v>-5701.2</v>
      </c>
      <c r="E3826" t="s">
        <v>35</v>
      </c>
      <c r="F3826" s="2">
        <v>212901001</v>
      </c>
      <c r="G3826" s="2" t="s">
        <v>91</v>
      </c>
      <c r="I3826" s="95" t="s">
        <v>7231</v>
      </c>
      <c r="J3826" t="s">
        <v>61</v>
      </c>
      <c r="K3826" t="s">
        <v>62</v>
      </c>
      <c r="M3826">
        <v>95.02</v>
      </c>
      <c r="N3826" s="4">
        <f t="shared" si="59"/>
        <v>-60</v>
      </c>
      <c r="O3826" t="s">
        <v>83</v>
      </c>
    </row>
    <row r="3827" spans="1:15" x14ac:dyDescent="0.25">
      <c r="A3827" s="22">
        <v>45800</v>
      </c>
      <c r="B3827" s="1">
        <v>313401429</v>
      </c>
      <c r="C3827" t="s">
        <v>2963</v>
      </c>
      <c r="D3827" s="23">
        <v>-5701.2</v>
      </c>
      <c r="E3827" t="s">
        <v>35</v>
      </c>
      <c r="F3827" s="2">
        <v>212901001</v>
      </c>
      <c r="G3827" s="2" t="s">
        <v>91</v>
      </c>
      <c r="I3827" s="95" t="s">
        <v>7231</v>
      </c>
      <c r="J3827" t="s">
        <v>61</v>
      </c>
      <c r="K3827" t="s">
        <v>62</v>
      </c>
      <c r="M3827">
        <v>95.02</v>
      </c>
      <c r="N3827" s="4">
        <f t="shared" si="59"/>
        <v>-60</v>
      </c>
      <c r="O3827" t="s">
        <v>83</v>
      </c>
    </row>
    <row r="3828" spans="1:15" x14ac:dyDescent="0.25">
      <c r="A3828" s="22">
        <v>45800</v>
      </c>
      <c r="B3828" s="1">
        <v>313401431</v>
      </c>
      <c r="C3828" t="s">
        <v>2964</v>
      </c>
      <c r="D3828" s="23">
        <v>-5701.2</v>
      </c>
      <c r="E3828" t="s">
        <v>35</v>
      </c>
      <c r="F3828" s="2">
        <v>212901001</v>
      </c>
      <c r="G3828" s="2" t="s">
        <v>91</v>
      </c>
      <c r="I3828" s="95" t="s">
        <v>7231</v>
      </c>
      <c r="J3828" t="s">
        <v>61</v>
      </c>
      <c r="K3828" t="s">
        <v>62</v>
      </c>
      <c r="M3828">
        <v>95.02</v>
      </c>
      <c r="N3828" s="4">
        <f t="shared" si="59"/>
        <v>-60</v>
      </c>
      <c r="O3828" t="s">
        <v>83</v>
      </c>
    </row>
    <row r="3829" spans="1:15" x14ac:dyDescent="0.25">
      <c r="A3829" s="22">
        <v>45800</v>
      </c>
      <c r="B3829" s="1">
        <v>313401436</v>
      </c>
      <c r="C3829" t="s">
        <v>2965</v>
      </c>
      <c r="D3829" s="23">
        <v>-5701.2</v>
      </c>
      <c r="E3829" t="s">
        <v>35</v>
      </c>
      <c r="F3829" s="2">
        <v>212901001</v>
      </c>
      <c r="G3829" s="2" t="s">
        <v>91</v>
      </c>
      <c r="I3829" s="95" t="s">
        <v>7231</v>
      </c>
      <c r="J3829" t="s">
        <v>61</v>
      </c>
      <c r="K3829" t="s">
        <v>62</v>
      </c>
      <c r="M3829">
        <v>95.02</v>
      </c>
      <c r="N3829" s="4">
        <f t="shared" si="59"/>
        <v>-60</v>
      </c>
      <c r="O3829" t="s">
        <v>83</v>
      </c>
    </row>
    <row r="3830" spans="1:15" x14ac:dyDescent="0.25">
      <c r="A3830" s="22">
        <v>45800</v>
      </c>
      <c r="B3830" s="1">
        <v>413401442</v>
      </c>
      <c r="C3830" t="s">
        <v>2966</v>
      </c>
      <c r="D3830" s="23">
        <v>-7601.6</v>
      </c>
      <c r="E3830" t="s">
        <v>35</v>
      </c>
      <c r="F3830" s="2">
        <v>212901001</v>
      </c>
      <c r="G3830" s="2" t="s">
        <v>91</v>
      </c>
      <c r="I3830" s="95" t="s">
        <v>7231</v>
      </c>
      <c r="J3830" t="s">
        <v>61</v>
      </c>
      <c r="K3830" t="s">
        <v>62</v>
      </c>
      <c r="M3830">
        <v>95.02</v>
      </c>
      <c r="N3830" s="4">
        <f t="shared" si="59"/>
        <v>-80.000000000000014</v>
      </c>
      <c r="O3830" t="s">
        <v>83</v>
      </c>
    </row>
    <row r="3831" spans="1:15" x14ac:dyDescent="0.25">
      <c r="A3831" s="22">
        <v>45800</v>
      </c>
      <c r="B3831" s="1">
        <v>313401439</v>
      </c>
      <c r="C3831" t="s">
        <v>2967</v>
      </c>
      <c r="D3831" s="23">
        <v>-14253</v>
      </c>
      <c r="E3831" t="s">
        <v>35</v>
      </c>
      <c r="F3831" s="2">
        <v>212901001</v>
      </c>
      <c r="G3831" s="2" t="s">
        <v>91</v>
      </c>
      <c r="I3831" s="95" t="s">
        <v>7231</v>
      </c>
      <c r="J3831" t="s">
        <v>61</v>
      </c>
      <c r="K3831" t="s">
        <v>62</v>
      </c>
      <c r="M3831">
        <v>95.02</v>
      </c>
      <c r="N3831" s="4">
        <f t="shared" si="59"/>
        <v>-150</v>
      </c>
      <c r="O3831" t="s">
        <v>83</v>
      </c>
    </row>
    <row r="3832" spans="1:15" x14ac:dyDescent="0.25">
      <c r="A3832" s="22">
        <v>45800</v>
      </c>
      <c r="B3832" s="1">
        <v>413401444</v>
      </c>
      <c r="C3832" t="s">
        <v>2968</v>
      </c>
      <c r="D3832" s="23">
        <v>-7601.6</v>
      </c>
      <c r="E3832" t="s">
        <v>35</v>
      </c>
      <c r="F3832" s="2">
        <v>212901001</v>
      </c>
      <c r="G3832" s="2" t="s">
        <v>91</v>
      </c>
      <c r="I3832" s="95" t="s">
        <v>7231</v>
      </c>
      <c r="J3832" t="s">
        <v>61</v>
      </c>
      <c r="K3832" t="s">
        <v>62</v>
      </c>
      <c r="M3832">
        <v>95.02</v>
      </c>
      <c r="N3832" s="4">
        <f t="shared" si="59"/>
        <v>-80.000000000000014</v>
      </c>
      <c r="O3832" t="s">
        <v>83</v>
      </c>
    </row>
    <row r="3833" spans="1:15" x14ac:dyDescent="0.25">
      <c r="A3833" s="22">
        <v>45800</v>
      </c>
      <c r="B3833" s="1">
        <v>413401441</v>
      </c>
      <c r="C3833" t="s">
        <v>2969</v>
      </c>
      <c r="D3833" s="23">
        <v>-7601.6</v>
      </c>
      <c r="E3833" t="s">
        <v>35</v>
      </c>
      <c r="F3833" s="2">
        <v>212901001</v>
      </c>
      <c r="G3833" s="2" t="s">
        <v>91</v>
      </c>
      <c r="I3833" s="95" t="s">
        <v>7231</v>
      </c>
      <c r="J3833" t="s">
        <v>61</v>
      </c>
      <c r="K3833" t="s">
        <v>62</v>
      </c>
      <c r="M3833">
        <v>95.02</v>
      </c>
      <c r="N3833" s="4">
        <f t="shared" si="59"/>
        <v>-80.000000000000014</v>
      </c>
      <c r="O3833" t="s">
        <v>83</v>
      </c>
    </row>
    <row r="3834" spans="1:15" x14ac:dyDescent="0.25">
      <c r="A3834" s="22">
        <v>45800</v>
      </c>
      <c r="B3834" s="1">
        <v>413401445</v>
      </c>
      <c r="C3834" t="s">
        <v>2970</v>
      </c>
      <c r="D3834" s="23">
        <v>-7601.6</v>
      </c>
      <c r="E3834" t="s">
        <v>35</v>
      </c>
      <c r="F3834" s="2">
        <v>212901001</v>
      </c>
      <c r="G3834" s="2" t="s">
        <v>91</v>
      </c>
      <c r="I3834" s="95" t="s">
        <v>7231</v>
      </c>
      <c r="J3834" t="s">
        <v>61</v>
      </c>
      <c r="K3834" t="s">
        <v>62</v>
      </c>
      <c r="M3834">
        <v>95.02</v>
      </c>
      <c r="N3834" s="4">
        <f t="shared" si="59"/>
        <v>-80.000000000000014</v>
      </c>
      <c r="O3834" t="s">
        <v>83</v>
      </c>
    </row>
    <row r="3835" spans="1:15" x14ac:dyDescent="0.25">
      <c r="A3835" s="22">
        <v>45800</v>
      </c>
      <c r="B3835" s="1">
        <v>413401443</v>
      </c>
      <c r="C3835" t="s">
        <v>2971</v>
      </c>
      <c r="D3835" s="23">
        <v>-7601.6</v>
      </c>
      <c r="E3835" t="s">
        <v>35</v>
      </c>
      <c r="F3835" s="2">
        <v>212901001</v>
      </c>
      <c r="G3835" s="2" t="s">
        <v>91</v>
      </c>
      <c r="I3835" s="95" t="s">
        <v>7231</v>
      </c>
      <c r="J3835" t="s">
        <v>61</v>
      </c>
      <c r="K3835" t="s">
        <v>62</v>
      </c>
      <c r="M3835">
        <v>95.02</v>
      </c>
      <c r="N3835" s="4">
        <f t="shared" si="59"/>
        <v>-80.000000000000014</v>
      </c>
      <c r="O3835" t="s">
        <v>83</v>
      </c>
    </row>
    <row r="3836" spans="1:15" x14ac:dyDescent="0.25">
      <c r="A3836" s="22">
        <v>45800</v>
      </c>
      <c r="B3836" s="1">
        <v>413401440</v>
      </c>
      <c r="C3836" t="s">
        <v>2972</v>
      </c>
      <c r="D3836" s="23">
        <v>-9502</v>
      </c>
      <c r="E3836" t="s">
        <v>35</v>
      </c>
      <c r="F3836" s="2">
        <v>212901001</v>
      </c>
      <c r="G3836" s="2" t="s">
        <v>91</v>
      </c>
      <c r="I3836" s="95" t="s">
        <v>7231</v>
      </c>
      <c r="J3836" t="s">
        <v>61</v>
      </c>
      <c r="K3836" t="s">
        <v>62</v>
      </c>
      <c r="M3836">
        <v>95.02</v>
      </c>
      <c r="N3836" s="4">
        <f t="shared" si="59"/>
        <v>-100</v>
      </c>
      <c r="O3836" t="s">
        <v>83</v>
      </c>
    </row>
    <row r="3837" spans="1:15" x14ac:dyDescent="0.25">
      <c r="A3837" s="22">
        <v>45800</v>
      </c>
      <c r="B3837" s="1">
        <v>413401448</v>
      </c>
      <c r="C3837" t="s">
        <v>2973</v>
      </c>
      <c r="D3837" s="23">
        <v>-7601.6</v>
      </c>
      <c r="E3837" t="s">
        <v>35</v>
      </c>
      <c r="F3837" s="2">
        <v>212901001</v>
      </c>
      <c r="G3837" s="2" t="s">
        <v>91</v>
      </c>
      <c r="I3837" s="95" t="s">
        <v>7231</v>
      </c>
      <c r="J3837" t="s">
        <v>61</v>
      </c>
      <c r="K3837" t="s">
        <v>62</v>
      </c>
      <c r="M3837">
        <v>95.02</v>
      </c>
      <c r="N3837" s="4">
        <f t="shared" si="59"/>
        <v>-80.000000000000014</v>
      </c>
      <c r="O3837" t="s">
        <v>83</v>
      </c>
    </row>
    <row r="3838" spans="1:15" x14ac:dyDescent="0.25">
      <c r="A3838" s="22">
        <v>45800</v>
      </c>
      <c r="B3838" s="1">
        <v>513401455</v>
      </c>
      <c r="C3838" t="s">
        <v>2974</v>
      </c>
      <c r="D3838" s="23">
        <v>-4751</v>
      </c>
      <c r="E3838" t="s">
        <v>35</v>
      </c>
      <c r="F3838" s="2">
        <v>212901001</v>
      </c>
      <c r="G3838" s="2" t="s">
        <v>91</v>
      </c>
      <c r="I3838" s="95" t="s">
        <v>7231</v>
      </c>
      <c r="J3838" t="s">
        <v>61</v>
      </c>
      <c r="K3838" t="s">
        <v>62</v>
      </c>
      <c r="M3838">
        <v>95.02</v>
      </c>
      <c r="N3838" s="4">
        <f t="shared" si="59"/>
        <v>-50</v>
      </c>
      <c r="O3838" t="s">
        <v>83</v>
      </c>
    </row>
    <row r="3839" spans="1:15" x14ac:dyDescent="0.25">
      <c r="A3839" s="22">
        <v>45800</v>
      </c>
      <c r="B3839" s="1">
        <v>413401449</v>
      </c>
      <c r="C3839" t="s">
        <v>2975</v>
      </c>
      <c r="D3839" s="23">
        <v>-3990.84</v>
      </c>
      <c r="E3839" t="s">
        <v>35</v>
      </c>
      <c r="F3839" s="2">
        <v>212901001</v>
      </c>
      <c r="G3839" s="2" t="s">
        <v>91</v>
      </c>
      <c r="I3839" s="95" t="s">
        <v>7231</v>
      </c>
      <c r="J3839" t="s">
        <v>61</v>
      </c>
      <c r="K3839" t="s">
        <v>62</v>
      </c>
      <c r="M3839">
        <v>95.02</v>
      </c>
      <c r="N3839" s="4">
        <f t="shared" si="59"/>
        <v>-42</v>
      </c>
      <c r="O3839" t="s">
        <v>83</v>
      </c>
    </row>
    <row r="3840" spans="1:15" x14ac:dyDescent="0.25">
      <c r="A3840" s="22">
        <v>45800</v>
      </c>
      <c r="B3840" s="1">
        <v>413401450</v>
      </c>
      <c r="C3840" t="s">
        <v>2976</v>
      </c>
      <c r="D3840" s="23">
        <v>-4751</v>
      </c>
      <c r="E3840" t="s">
        <v>35</v>
      </c>
      <c r="F3840" s="2">
        <v>212901001</v>
      </c>
      <c r="G3840" s="2" t="s">
        <v>91</v>
      </c>
      <c r="I3840" s="95" t="s">
        <v>7231</v>
      </c>
      <c r="J3840" t="s">
        <v>61</v>
      </c>
      <c r="K3840" t="s">
        <v>62</v>
      </c>
      <c r="M3840">
        <v>95.02</v>
      </c>
      <c r="N3840" s="4">
        <f t="shared" si="59"/>
        <v>-50</v>
      </c>
      <c r="O3840" t="s">
        <v>83</v>
      </c>
    </row>
    <row r="3841" spans="1:15" x14ac:dyDescent="0.25">
      <c r="A3841" s="22">
        <v>45800</v>
      </c>
      <c r="B3841" s="1">
        <v>513401452</v>
      </c>
      <c r="C3841" t="s">
        <v>2977</v>
      </c>
      <c r="D3841" s="23">
        <v>-4751</v>
      </c>
      <c r="E3841" t="s">
        <v>35</v>
      </c>
      <c r="F3841" s="2">
        <v>212901001</v>
      </c>
      <c r="G3841" s="2" t="s">
        <v>91</v>
      </c>
      <c r="I3841" s="95" t="s">
        <v>7231</v>
      </c>
      <c r="J3841" t="s">
        <v>61</v>
      </c>
      <c r="K3841" t="s">
        <v>62</v>
      </c>
      <c r="M3841">
        <v>95.02</v>
      </c>
      <c r="N3841" s="4">
        <f t="shared" si="59"/>
        <v>-50</v>
      </c>
      <c r="O3841" t="s">
        <v>83</v>
      </c>
    </row>
    <row r="3842" spans="1:15" x14ac:dyDescent="0.25">
      <c r="A3842" s="22">
        <v>45800</v>
      </c>
      <c r="B3842" s="1">
        <v>513401454</v>
      </c>
      <c r="C3842" t="s">
        <v>2978</v>
      </c>
      <c r="D3842" s="23">
        <v>-4751</v>
      </c>
      <c r="E3842" t="s">
        <v>35</v>
      </c>
      <c r="F3842" s="2">
        <v>212901001</v>
      </c>
      <c r="G3842" s="2" t="s">
        <v>91</v>
      </c>
      <c r="I3842" s="95" t="s">
        <v>7231</v>
      </c>
      <c r="J3842" t="s">
        <v>61</v>
      </c>
      <c r="K3842" t="s">
        <v>62</v>
      </c>
      <c r="M3842">
        <v>95.02</v>
      </c>
      <c r="N3842" s="4">
        <f t="shared" si="59"/>
        <v>-50</v>
      </c>
      <c r="O3842" t="s">
        <v>83</v>
      </c>
    </row>
    <row r="3843" spans="1:15" x14ac:dyDescent="0.25">
      <c r="A3843" s="22">
        <v>45800</v>
      </c>
      <c r="B3843" s="1">
        <v>513401453</v>
      </c>
      <c r="C3843" t="s">
        <v>2979</v>
      </c>
      <c r="D3843" s="23">
        <v>-3990.84</v>
      </c>
      <c r="E3843" t="s">
        <v>35</v>
      </c>
      <c r="F3843" s="2">
        <v>212901001</v>
      </c>
      <c r="G3843" s="2" t="s">
        <v>91</v>
      </c>
      <c r="I3843" s="95" t="s">
        <v>7231</v>
      </c>
      <c r="J3843" t="s">
        <v>61</v>
      </c>
      <c r="K3843" t="s">
        <v>62</v>
      </c>
      <c r="M3843">
        <v>95.02</v>
      </c>
      <c r="N3843" s="4">
        <f t="shared" si="59"/>
        <v>-42</v>
      </c>
      <c r="O3843" t="s">
        <v>83</v>
      </c>
    </row>
    <row r="3844" spans="1:15" x14ac:dyDescent="0.25">
      <c r="A3844" s="22">
        <v>45800</v>
      </c>
      <c r="B3844" s="1">
        <v>513401456</v>
      </c>
      <c r="C3844" t="s">
        <v>2980</v>
      </c>
      <c r="D3844" s="23">
        <v>-3800.8</v>
      </c>
      <c r="E3844" t="s">
        <v>35</v>
      </c>
      <c r="F3844" s="2">
        <v>212901001</v>
      </c>
      <c r="G3844" s="2" t="s">
        <v>91</v>
      </c>
      <c r="I3844" s="95" t="s">
        <v>7231</v>
      </c>
      <c r="J3844" t="s">
        <v>61</v>
      </c>
      <c r="K3844" t="s">
        <v>62</v>
      </c>
      <c r="M3844">
        <v>95.02</v>
      </c>
      <c r="N3844" s="4">
        <f t="shared" si="59"/>
        <v>-40.000000000000007</v>
      </c>
      <c r="O3844" t="s">
        <v>83</v>
      </c>
    </row>
    <row r="3845" spans="1:15" x14ac:dyDescent="0.25">
      <c r="A3845" s="22">
        <v>45800</v>
      </c>
      <c r="B3845" s="1">
        <v>513401458</v>
      </c>
      <c r="C3845" t="s">
        <v>2981</v>
      </c>
      <c r="D3845" s="23">
        <v>-3800.8</v>
      </c>
      <c r="E3845" t="s">
        <v>35</v>
      </c>
      <c r="F3845" s="2">
        <v>212901001</v>
      </c>
      <c r="G3845" s="2" t="s">
        <v>91</v>
      </c>
      <c r="I3845" s="95" t="s">
        <v>7231</v>
      </c>
      <c r="J3845" t="s">
        <v>61</v>
      </c>
      <c r="K3845" t="s">
        <v>62</v>
      </c>
      <c r="M3845">
        <v>95.02</v>
      </c>
      <c r="N3845" s="4">
        <f t="shared" si="59"/>
        <v>-40.000000000000007</v>
      </c>
      <c r="O3845" t="s">
        <v>83</v>
      </c>
    </row>
    <row r="3846" spans="1:15" x14ac:dyDescent="0.25">
      <c r="A3846" s="22">
        <v>45800</v>
      </c>
      <c r="B3846" s="1">
        <v>513401460</v>
      </c>
      <c r="C3846" t="s">
        <v>2982</v>
      </c>
      <c r="D3846" s="23">
        <v>-3800.8</v>
      </c>
      <c r="E3846" t="s">
        <v>35</v>
      </c>
      <c r="F3846" s="2">
        <v>212901001</v>
      </c>
      <c r="G3846" s="2" t="s">
        <v>91</v>
      </c>
      <c r="I3846" s="95" t="s">
        <v>7231</v>
      </c>
      <c r="J3846" t="s">
        <v>61</v>
      </c>
      <c r="K3846" t="s">
        <v>62</v>
      </c>
      <c r="M3846">
        <v>95.02</v>
      </c>
      <c r="N3846" s="4">
        <f t="shared" si="59"/>
        <v>-40.000000000000007</v>
      </c>
      <c r="O3846" t="s">
        <v>83</v>
      </c>
    </row>
    <row r="3847" spans="1:15" x14ac:dyDescent="0.25">
      <c r="A3847" s="22">
        <v>45800</v>
      </c>
      <c r="B3847" s="1">
        <v>513401457</v>
      </c>
      <c r="C3847" t="s">
        <v>2983</v>
      </c>
      <c r="D3847" s="23">
        <v>-3800.8</v>
      </c>
      <c r="E3847" t="s">
        <v>35</v>
      </c>
      <c r="F3847" s="2">
        <v>212901001</v>
      </c>
      <c r="G3847" s="2" t="s">
        <v>91</v>
      </c>
      <c r="I3847" s="95" t="s">
        <v>7231</v>
      </c>
      <c r="J3847" t="s">
        <v>61</v>
      </c>
      <c r="K3847" t="s">
        <v>62</v>
      </c>
      <c r="M3847">
        <v>95.02</v>
      </c>
      <c r="N3847" s="4">
        <f t="shared" si="59"/>
        <v>-40.000000000000007</v>
      </c>
      <c r="O3847" t="s">
        <v>83</v>
      </c>
    </row>
    <row r="3848" spans="1:15" x14ac:dyDescent="0.25">
      <c r="A3848" s="22">
        <v>45800</v>
      </c>
      <c r="B3848" s="1">
        <v>613401465</v>
      </c>
      <c r="C3848" t="s">
        <v>2984</v>
      </c>
      <c r="D3848" s="23">
        <v>-9502</v>
      </c>
      <c r="E3848" t="s">
        <v>35</v>
      </c>
      <c r="F3848" s="2">
        <v>212901001</v>
      </c>
      <c r="G3848" s="2" t="s">
        <v>91</v>
      </c>
      <c r="I3848" s="95" t="s">
        <v>7231</v>
      </c>
      <c r="J3848" t="s">
        <v>61</v>
      </c>
      <c r="K3848" t="s">
        <v>62</v>
      </c>
      <c r="M3848">
        <v>95.02</v>
      </c>
      <c r="N3848" s="4">
        <f t="shared" si="59"/>
        <v>-100</v>
      </c>
      <c r="O3848" t="s">
        <v>83</v>
      </c>
    </row>
    <row r="3849" spans="1:15" x14ac:dyDescent="0.25">
      <c r="A3849" s="22">
        <v>45800</v>
      </c>
      <c r="B3849" s="1">
        <v>613401462</v>
      </c>
      <c r="C3849" t="s">
        <v>2985</v>
      </c>
      <c r="D3849" s="23">
        <v>-3800.8</v>
      </c>
      <c r="E3849" t="s">
        <v>35</v>
      </c>
      <c r="F3849" s="2">
        <v>212901001</v>
      </c>
      <c r="G3849" s="2" t="s">
        <v>91</v>
      </c>
      <c r="I3849" s="95" t="s">
        <v>7231</v>
      </c>
      <c r="J3849" t="s">
        <v>61</v>
      </c>
      <c r="K3849" t="s">
        <v>62</v>
      </c>
      <c r="M3849">
        <v>95.02</v>
      </c>
      <c r="N3849" s="4">
        <f t="shared" si="59"/>
        <v>-40.000000000000007</v>
      </c>
      <c r="O3849" t="s">
        <v>83</v>
      </c>
    </row>
    <row r="3850" spans="1:15" x14ac:dyDescent="0.25">
      <c r="A3850" s="22">
        <v>45800</v>
      </c>
      <c r="B3850" s="1">
        <v>513401461</v>
      </c>
      <c r="C3850" t="s">
        <v>2986</v>
      </c>
      <c r="D3850" s="23">
        <v>-3800.8</v>
      </c>
      <c r="E3850" t="s">
        <v>35</v>
      </c>
      <c r="F3850" s="2">
        <v>212901001</v>
      </c>
      <c r="G3850" s="2" t="s">
        <v>91</v>
      </c>
      <c r="I3850" s="95" t="s">
        <v>7231</v>
      </c>
      <c r="J3850" t="s">
        <v>61</v>
      </c>
      <c r="K3850" t="s">
        <v>62</v>
      </c>
      <c r="M3850">
        <v>95.02</v>
      </c>
      <c r="N3850" s="4">
        <f t="shared" si="59"/>
        <v>-40.000000000000007</v>
      </c>
      <c r="O3850" t="s">
        <v>83</v>
      </c>
    </row>
    <row r="3851" spans="1:15" x14ac:dyDescent="0.25">
      <c r="A3851" s="22">
        <v>45800</v>
      </c>
      <c r="B3851" s="1">
        <v>613401466</v>
      </c>
      <c r="C3851" t="s">
        <v>2987</v>
      </c>
      <c r="D3851" s="23">
        <v>-14253</v>
      </c>
      <c r="E3851" t="s">
        <v>35</v>
      </c>
      <c r="F3851" s="2">
        <v>212901001</v>
      </c>
      <c r="G3851" s="2" t="s">
        <v>91</v>
      </c>
      <c r="I3851" s="95" t="s">
        <v>7231</v>
      </c>
      <c r="J3851" t="s">
        <v>61</v>
      </c>
      <c r="K3851" t="s">
        <v>62</v>
      </c>
      <c r="M3851">
        <v>95.02</v>
      </c>
      <c r="N3851" s="4">
        <f t="shared" si="59"/>
        <v>-150</v>
      </c>
      <c r="O3851" t="s">
        <v>83</v>
      </c>
    </row>
    <row r="3852" spans="1:15" x14ac:dyDescent="0.25">
      <c r="A3852" s="22">
        <v>45800</v>
      </c>
      <c r="B3852" s="1">
        <v>613401464</v>
      </c>
      <c r="C3852" t="s">
        <v>2988</v>
      </c>
      <c r="D3852" s="23">
        <v>-9502</v>
      </c>
      <c r="E3852" t="s">
        <v>35</v>
      </c>
      <c r="F3852" s="2">
        <v>212901001</v>
      </c>
      <c r="G3852" s="2" t="s">
        <v>91</v>
      </c>
      <c r="I3852" s="95" t="s">
        <v>7231</v>
      </c>
      <c r="J3852" t="s">
        <v>61</v>
      </c>
      <c r="K3852" t="s">
        <v>62</v>
      </c>
      <c r="M3852">
        <v>95.02</v>
      </c>
      <c r="N3852" s="4">
        <f t="shared" ref="N3852:N3915" si="60">D3852/M3852</f>
        <v>-100</v>
      </c>
      <c r="O3852" t="s">
        <v>83</v>
      </c>
    </row>
    <row r="3853" spans="1:15" x14ac:dyDescent="0.25">
      <c r="A3853" s="22">
        <v>45800</v>
      </c>
      <c r="B3853" s="1">
        <v>613401463</v>
      </c>
      <c r="C3853" t="s">
        <v>2989</v>
      </c>
      <c r="D3853" s="23">
        <v>-3800.8</v>
      </c>
      <c r="E3853" t="s">
        <v>35</v>
      </c>
      <c r="F3853" s="2">
        <v>212901001</v>
      </c>
      <c r="G3853" s="2" t="s">
        <v>91</v>
      </c>
      <c r="I3853" s="95" t="s">
        <v>7231</v>
      </c>
      <c r="J3853" t="s">
        <v>61</v>
      </c>
      <c r="K3853" t="s">
        <v>62</v>
      </c>
      <c r="M3853">
        <v>95.02</v>
      </c>
      <c r="N3853" s="4">
        <f t="shared" si="60"/>
        <v>-40.000000000000007</v>
      </c>
      <c r="O3853" t="s">
        <v>83</v>
      </c>
    </row>
    <row r="3854" spans="1:15" x14ac:dyDescent="0.25">
      <c r="A3854" s="22">
        <v>45800</v>
      </c>
      <c r="B3854" s="1">
        <v>613401467</v>
      </c>
      <c r="C3854" t="s">
        <v>2990</v>
      </c>
      <c r="D3854" s="23">
        <v>-2850.6</v>
      </c>
      <c r="E3854" t="s">
        <v>35</v>
      </c>
      <c r="F3854" s="2">
        <v>212901001</v>
      </c>
      <c r="G3854" s="2" t="s">
        <v>91</v>
      </c>
      <c r="I3854" s="95" t="s">
        <v>7231</v>
      </c>
      <c r="J3854" t="s">
        <v>61</v>
      </c>
      <c r="K3854" t="s">
        <v>62</v>
      </c>
      <c r="M3854">
        <v>95.02</v>
      </c>
      <c r="N3854" s="4">
        <f t="shared" si="60"/>
        <v>-30</v>
      </c>
      <c r="O3854" t="s">
        <v>83</v>
      </c>
    </row>
    <row r="3855" spans="1:15" x14ac:dyDescent="0.25">
      <c r="A3855" s="22">
        <v>45800</v>
      </c>
      <c r="B3855" s="1">
        <v>713401471</v>
      </c>
      <c r="C3855" t="s">
        <v>2991</v>
      </c>
      <c r="D3855" s="23">
        <v>-4370.92</v>
      </c>
      <c r="E3855" t="s">
        <v>35</v>
      </c>
      <c r="F3855" s="2">
        <v>212901001</v>
      </c>
      <c r="G3855" s="2" t="s">
        <v>91</v>
      </c>
      <c r="I3855" s="95" t="s">
        <v>7231</v>
      </c>
      <c r="J3855" t="s">
        <v>61</v>
      </c>
      <c r="K3855" t="s">
        <v>62</v>
      </c>
      <c r="M3855">
        <v>95.02</v>
      </c>
      <c r="N3855" s="4">
        <f t="shared" si="60"/>
        <v>-46</v>
      </c>
      <c r="O3855" t="s">
        <v>83</v>
      </c>
    </row>
    <row r="3856" spans="1:15" x14ac:dyDescent="0.25">
      <c r="A3856" s="22">
        <v>45800</v>
      </c>
      <c r="B3856" s="1">
        <v>613401469</v>
      </c>
      <c r="C3856" t="s">
        <v>2992</v>
      </c>
      <c r="D3856" s="23">
        <v>-7601.6</v>
      </c>
      <c r="E3856" t="s">
        <v>35</v>
      </c>
      <c r="F3856" s="2">
        <v>212901001</v>
      </c>
      <c r="G3856" s="2" t="s">
        <v>91</v>
      </c>
      <c r="I3856" s="95" t="s">
        <v>7231</v>
      </c>
      <c r="J3856" t="s">
        <v>61</v>
      </c>
      <c r="K3856" t="s">
        <v>62</v>
      </c>
      <c r="M3856">
        <v>95.02</v>
      </c>
      <c r="N3856" s="4">
        <f t="shared" si="60"/>
        <v>-80.000000000000014</v>
      </c>
      <c r="O3856" t="s">
        <v>83</v>
      </c>
    </row>
    <row r="3857" spans="1:15" x14ac:dyDescent="0.25">
      <c r="A3857" s="22">
        <v>45800</v>
      </c>
      <c r="B3857" s="1">
        <v>613401470</v>
      </c>
      <c r="C3857" t="s">
        <v>2993</v>
      </c>
      <c r="D3857" s="23">
        <v>-9502</v>
      </c>
      <c r="E3857" t="s">
        <v>35</v>
      </c>
      <c r="F3857" s="2">
        <v>212901001</v>
      </c>
      <c r="G3857" s="2" t="s">
        <v>91</v>
      </c>
      <c r="I3857" s="95" t="s">
        <v>7231</v>
      </c>
      <c r="J3857" t="s">
        <v>61</v>
      </c>
      <c r="K3857" t="s">
        <v>62</v>
      </c>
      <c r="M3857">
        <v>95.02</v>
      </c>
      <c r="N3857" s="4">
        <f t="shared" si="60"/>
        <v>-100</v>
      </c>
      <c r="O3857" t="s">
        <v>83</v>
      </c>
    </row>
    <row r="3858" spans="1:15" x14ac:dyDescent="0.25">
      <c r="A3858" s="22">
        <v>45800</v>
      </c>
      <c r="B3858" s="1">
        <v>613401468</v>
      </c>
      <c r="C3858" t="s">
        <v>2994</v>
      </c>
      <c r="D3858" s="23">
        <v>-10452.200000000001</v>
      </c>
      <c r="E3858" t="s">
        <v>35</v>
      </c>
      <c r="F3858" s="2">
        <v>212901001</v>
      </c>
      <c r="G3858" s="2" t="s">
        <v>91</v>
      </c>
      <c r="I3858" s="95" t="s">
        <v>7231</v>
      </c>
      <c r="J3858" t="s">
        <v>61</v>
      </c>
      <c r="K3858" t="s">
        <v>62</v>
      </c>
      <c r="M3858">
        <v>95.02</v>
      </c>
      <c r="N3858" s="4">
        <f t="shared" si="60"/>
        <v>-110.00000000000001</v>
      </c>
      <c r="O3858" t="s">
        <v>83</v>
      </c>
    </row>
    <row r="3859" spans="1:15" x14ac:dyDescent="0.25">
      <c r="A3859" s="22">
        <v>45800</v>
      </c>
      <c r="B3859" s="1">
        <v>713401473</v>
      </c>
      <c r="C3859" t="s">
        <v>2995</v>
      </c>
      <c r="D3859" s="23">
        <v>-6651.4</v>
      </c>
      <c r="E3859" t="s">
        <v>35</v>
      </c>
      <c r="F3859" s="2">
        <v>212901001</v>
      </c>
      <c r="G3859" s="2" t="s">
        <v>91</v>
      </c>
      <c r="I3859" s="95" t="s">
        <v>7231</v>
      </c>
      <c r="J3859" t="s">
        <v>61</v>
      </c>
      <c r="K3859" t="s">
        <v>62</v>
      </c>
      <c r="M3859">
        <v>95.02</v>
      </c>
      <c r="N3859" s="4">
        <f t="shared" si="60"/>
        <v>-70</v>
      </c>
      <c r="O3859" t="s">
        <v>83</v>
      </c>
    </row>
    <row r="3860" spans="1:15" x14ac:dyDescent="0.25">
      <c r="A3860" s="22">
        <v>45800</v>
      </c>
      <c r="B3860" s="1">
        <v>713401474</v>
      </c>
      <c r="C3860" t="s">
        <v>2996</v>
      </c>
      <c r="D3860" s="23">
        <v>-6651.4</v>
      </c>
      <c r="E3860" t="s">
        <v>35</v>
      </c>
      <c r="F3860" s="2">
        <v>212901001</v>
      </c>
      <c r="G3860" s="2" t="s">
        <v>91</v>
      </c>
      <c r="I3860" s="95" t="s">
        <v>7231</v>
      </c>
      <c r="J3860" t="s">
        <v>61</v>
      </c>
      <c r="K3860" t="s">
        <v>62</v>
      </c>
      <c r="M3860">
        <v>95.02</v>
      </c>
      <c r="N3860" s="4">
        <f t="shared" si="60"/>
        <v>-70</v>
      </c>
      <c r="O3860" t="s">
        <v>83</v>
      </c>
    </row>
    <row r="3861" spans="1:15" x14ac:dyDescent="0.25">
      <c r="A3861" s="22">
        <v>45800</v>
      </c>
      <c r="B3861" s="1">
        <v>713401472</v>
      </c>
      <c r="C3861" t="s">
        <v>2997</v>
      </c>
      <c r="D3861" s="23">
        <v>-6651.4</v>
      </c>
      <c r="E3861" t="s">
        <v>35</v>
      </c>
      <c r="F3861" s="2">
        <v>212901001</v>
      </c>
      <c r="G3861" s="2" t="s">
        <v>91</v>
      </c>
      <c r="I3861" s="95" t="s">
        <v>7231</v>
      </c>
      <c r="J3861" t="s">
        <v>61</v>
      </c>
      <c r="K3861" t="s">
        <v>62</v>
      </c>
      <c r="M3861">
        <v>95.02</v>
      </c>
      <c r="N3861" s="4">
        <f t="shared" si="60"/>
        <v>-70</v>
      </c>
      <c r="O3861" t="s">
        <v>83</v>
      </c>
    </row>
    <row r="3862" spans="1:15" x14ac:dyDescent="0.25">
      <c r="A3862" s="22">
        <v>45800</v>
      </c>
      <c r="B3862" s="1">
        <v>713401475</v>
      </c>
      <c r="C3862" t="s">
        <v>2998</v>
      </c>
      <c r="D3862" s="23">
        <v>-4751</v>
      </c>
      <c r="E3862" t="s">
        <v>35</v>
      </c>
      <c r="F3862" s="2">
        <v>212901001</v>
      </c>
      <c r="G3862" s="2" t="s">
        <v>91</v>
      </c>
      <c r="I3862" s="95" t="s">
        <v>7231</v>
      </c>
      <c r="J3862" t="s">
        <v>61</v>
      </c>
      <c r="K3862" t="s">
        <v>62</v>
      </c>
      <c r="M3862">
        <v>95.02</v>
      </c>
      <c r="N3862" s="4">
        <f t="shared" si="60"/>
        <v>-50</v>
      </c>
      <c r="O3862" t="s">
        <v>83</v>
      </c>
    </row>
    <row r="3863" spans="1:15" x14ac:dyDescent="0.25">
      <c r="A3863" s="22">
        <v>45800</v>
      </c>
      <c r="B3863" s="1">
        <v>713401476</v>
      </c>
      <c r="C3863" t="s">
        <v>2999</v>
      </c>
      <c r="D3863" s="23">
        <v>-4751</v>
      </c>
      <c r="E3863" t="s">
        <v>35</v>
      </c>
      <c r="F3863" s="2">
        <v>212901001</v>
      </c>
      <c r="G3863" s="2" t="s">
        <v>91</v>
      </c>
      <c r="I3863" s="95" t="s">
        <v>7231</v>
      </c>
      <c r="J3863" t="s">
        <v>61</v>
      </c>
      <c r="K3863" t="s">
        <v>62</v>
      </c>
      <c r="M3863">
        <v>95.02</v>
      </c>
      <c r="N3863" s="4">
        <f t="shared" si="60"/>
        <v>-50</v>
      </c>
      <c r="O3863" t="s">
        <v>83</v>
      </c>
    </row>
    <row r="3864" spans="1:15" x14ac:dyDescent="0.25">
      <c r="A3864" s="22">
        <v>45800</v>
      </c>
      <c r="B3864" s="1">
        <v>713401477</v>
      </c>
      <c r="C3864" t="s">
        <v>3000</v>
      </c>
      <c r="D3864" s="23">
        <v>-4751</v>
      </c>
      <c r="E3864" t="s">
        <v>35</v>
      </c>
      <c r="F3864" s="2">
        <v>212901001</v>
      </c>
      <c r="G3864" s="2" t="s">
        <v>91</v>
      </c>
      <c r="I3864" s="95" t="s">
        <v>7231</v>
      </c>
      <c r="J3864" t="s">
        <v>61</v>
      </c>
      <c r="K3864" t="s">
        <v>62</v>
      </c>
      <c r="M3864">
        <v>95.02</v>
      </c>
      <c r="N3864" s="4">
        <f t="shared" si="60"/>
        <v>-50</v>
      </c>
      <c r="O3864" t="s">
        <v>83</v>
      </c>
    </row>
    <row r="3865" spans="1:15" x14ac:dyDescent="0.25">
      <c r="A3865" s="22">
        <v>45800</v>
      </c>
      <c r="B3865" s="1">
        <v>713401481</v>
      </c>
      <c r="C3865" t="s">
        <v>3001</v>
      </c>
      <c r="D3865" s="23">
        <v>-4751</v>
      </c>
      <c r="E3865" t="s">
        <v>35</v>
      </c>
      <c r="F3865" s="2">
        <v>212901001</v>
      </c>
      <c r="G3865" s="2" t="s">
        <v>91</v>
      </c>
      <c r="I3865" s="95" t="s">
        <v>7231</v>
      </c>
      <c r="J3865" t="s">
        <v>61</v>
      </c>
      <c r="K3865" t="s">
        <v>62</v>
      </c>
      <c r="M3865">
        <v>95.02</v>
      </c>
      <c r="N3865" s="4">
        <f t="shared" si="60"/>
        <v>-50</v>
      </c>
      <c r="O3865" t="s">
        <v>83</v>
      </c>
    </row>
    <row r="3866" spans="1:15" x14ac:dyDescent="0.25">
      <c r="A3866" s="22">
        <v>45800</v>
      </c>
      <c r="B3866" s="1">
        <v>813401484</v>
      </c>
      <c r="C3866" t="s">
        <v>3002</v>
      </c>
      <c r="D3866" s="23">
        <v>-4751</v>
      </c>
      <c r="E3866" t="s">
        <v>35</v>
      </c>
      <c r="F3866" s="2">
        <v>212901001</v>
      </c>
      <c r="G3866" s="2" t="s">
        <v>91</v>
      </c>
      <c r="I3866" s="95" t="s">
        <v>7231</v>
      </c>
      <c r="J3866" t="s">
        <v>61</v>
      </c>
      <c r="K3866" t="s">
        <v>62</v>
      </c>
      <c r="M3866">
        <v>95.02</v>
      </c>
      <c r="N3866" s="4">
        <f t="shared" si="60"/>
        <v>-50</v>
      </c>
      <c r="O3866" t="s">
        <v>83</v>
      </c>
    </row>
    <row r="3867" spans="1:15" x14ac:dyDescent="0.25">
      <c r="A3867" s="22">
        <v>45800</v>
      </c>
      <c r="B3867" s="1">
        <v>713401478</v>
      </c>
      <c r="C3867" t="s">
        <v>3003</v>
      </c>
      <c r="D3867" s="23">
        <v>-4751</v>
      </c>
      <c r="E3867" t="s">
        <v>35</v>
      </c>
      <c r="F3867" s="2">
        <v>212901001</v>
      </c>
      <c r="G3867" s="2" t="s">
        <v>91</v>
      </c>
      <c r="I3867" s="95" t="s">
        <v>7231</v>
      </c>
      <c r="J3867" t="s">
        <v>61</v>
      </c>
      <c r="K3867" t="s">
        <v>62</v>
      </c>
      <c r="M3867">
        <v>95.02</v>
      </c>
      <c r="N3867" s="4">
        <f t="shared" si="60"/>
        <v>-50</v>
      </c>
      <c r="O3867" t="s">
        <v>83</v>
      </c>
    </row>
    <row r="3868" spans="1:15" x14ac:dyDescent="0.25">
      <c r="A3868" s="22">
        <v>45800</v>
      </c>
      <c r="B3868" s="1">
        <v>813401483</v>
      </c>
      <c r="C3868" t="s">
        <v>2999</v>
      </c>
      <c r="D3868" s="23">
        <v>-4751</v>
      </c>
      <c r="E3868" t="s">
        <v>35</v>
      </c>
      <c r="F3868" s="2">
        <v>212901001</v>
      </c>
      <c r="G3868" s="2" t="s">
        <v>91</v>
      </c>
      <c r="I3868" s="95" t="s">
        <v>7231</v>
      </c>
      <c r="J3868" t="s">
        <v>61</v>
      </c>
      <c r="K3868" t="s">
        <v>62</v>
      </c>
      <c r="M3868">
        <v>95.02</v>
      </c>
      <c r="N3868" s="4">
        <f t="shared" si="60"/>
        <v>-50</v>
      </c>
      <c r="O3868" t="s">
        <v>83</v>
      </c>
    </row>
    <row r="3869" spans="1:15" x14ac:dyDescent="0.25">
      <c r="A3869" s="22">
        <v>45800</v>
      </c>
      <c r="B3869" s="1">
        <v>813401482</v>
      </c>
      <c r="C3869" t="s">
        <v>3004</v>
      </c>
      <c r="D3869" s="23">
        <v>-4751</v>
      </c>
      <c r="E3869" t="s">
        <v>35</v>
      </c>
      <c r="F3869" s="2">
        <v>212901001</v>
      </c>
      <c r="G3869" s="2" t="s">
        <v>91</v>
      </c>
      <c r="I3869" s="95" t="s">
        <v>7231</v>
      </c>
      <c r="J3869" t="s">
        <v>61</v>
      </c>
      <c r="K3869" t="s">
        <v>62</v>
      </c>
      <c r="M3869">
        <v>95.02</v>
      </c>
      <c r="N3869" s="4">
        <f t="shared" si="60"/>
        <v>-50</v>
      </c>
      <c r="O3869" t="s">
        <v>83</v>
      </c>
    </row>
    <row r="3870" spans="1:15" x14ac:dyDescent="0.25">
      <c r="A3870" s="22">
        <v>45800</v>
      </c>
      <c r="B3870" s="1">
        <v>813401486</v>
      </c>
      <c r="C3870" t="s">
        <v>3005</v>
      </c>
      <c r="D3870" s="23">
        <v>-3990.84</v>
      </c>
      <c r="E3870" t="s">
        <v>35</v>
      </c>
      <c r="F3870" s="2">
        <v>212901001</v>
      </c>
      <c r="G3870" s="2" t="s">
        <v>91</v>
      </c>
      <c r="I3870" s="95" t="s">
        <v>7231</v>
      </c>
      <c r="J3870" t="s">
        <v>61</v>
      </c>
      <c r="K3870" t="s">
        <v>62</v>
      </c>
      <c r="M3870">
        <v>95.02</v>
      </c>
      <c r="N3870" s="4">
        <f t="shared" si="60"/>
        <v>-42</v>
      </c>
      <c r="O3870" t="s">
        <v>83</v>
      </c>
    </row>
    <row r="3871" spans="1:15" x14ac:dyDescent="0.25">
      <c r="A3871" s="22">
        <v>45800</v>
      </c>
      <c r="B3871" s="1">
        <v>813401489</v>
      </c>
      <c r="C3871" t="s">
        <v>3006</v>
      </c>
      <c r="D3871" s="23">
        <v>-4751</v>
      </c>
      <c r="E3871" t="s">
        <v>35</v>
      </c>
      <c r="F3871" s="2">
        <v>212901001</v>
      </c>
      <c r="G3871" s="2" t="s">
        <v>91</v>
      </c>
      <c r="I3871" s="95" t="s">
        <v>7231</v>
      </c>
      <c r="J3871" t="s">
        <v>61</v>
      </c>
      <c r="K3871" t="s">
        <v>62</v>
      </c>
      <c r="M3871">
        <v>95.02</v>
      </c>
      <c r="N3871" s="4">
        <f t="shared" si="60"/>
        <v>-50</v>
      </c>
      <c r="O3871" t="s">
        <v>83</v>
      </c>
    </row>
    <row r="3872" spans="1:15" x14ac:dyDescent="0.25">
      <c r="A3872" s="22">
        <v>45800</v>
      </c>
      <c r="B3872" s="1">
        <v>813401491</v>
      </c>
      <c r="C3872" t="s">
        <v>3007</v>
      </c>
      <c r="D3872" s="23">
        <v>-4751</v>
      </c>
      <c r="E3872" t="s">
        <v>35</v>
      </c>
      <c r="F3872" s="2">
        <v>212901001</v>
      </c>
      <c r="G3872" s="2" t="s">
        <v>91</v>
      </c>
      <c r="I3872" s="95" t="s">
        <v>7231</v>
      </c>
      <c r="J3872" t="s">
        <v>61</v>
      </c>
      <c r="K3872" t="s">
        <v>62</v>
      </c>
      <c r="M3872">
        <v>95.02</v>
      </c>
      <c r="N3872" s="4">
        <f t="shared" si="60"/>
        <v>-50</v>
      </c>
      <c r="O3872" t="s">
        <v>83</v>
      </c>
    </row>
    <row r="3873" spans="1:17" x14ac:dyDescent="0.25">
      <c r="A3873" s="22">
        <v>45800</v>
      </c>
      <c r="B3873" s="1">
        <v>813401488</v>
      </c>
      <c r="C3873" t="s">
        <v>3008</v>
      </c>
      <c r="D3873" s="23">
        <v>-4751</v>
      </c>
      <c r="E3873" t="s">
        <v>35</v>
      </c>
      <c r="F3873" s="2">
        <v>212901001</v>
      </c>
      <c r="G3873" s="2" t="s">
        <v>91</v>
      </c>
      <c r="I3873" s="95" t="s">
        <v>7231</v>
      </c>
      <c r="J3873" t="s">
        <v>61</v>
      </c>
      <c r="K3873" t="s">
        <v>62</v>
      </c>
      <c r="M3873">
        <v>95.02</v>
      </c>
      <c r="N3873" s="4">
        <f t="shared" si="60"/>
        <v>-50</v>
      </c>
      <c r="O3873" t="s">
        <v>83</v>
      </c>
    </row>
    <row r="3874" spans="1:17" x14ac:dyDescent="0.25">
      <c r="A3874" s="22">
        <v>45800</v>
      </c>
      <c r="B3874" s="1">
        <v>813401487</v>
      </c>
      <c r="C3874" t="s">
        <v>3009</v>
      </c>
      <c r="D3874" s="23">
        <v>-4751</v>
      </c>
      <c r="E3874" t="s">
        <v>35</v>
      </c>
      <c r="F3874" s="2">
        <v>212901001</v>
      </c>
      <c r="G3874" s="2" t="s">
        <v>91</v>
      </c>
      <c r="I3874" s="95" t="s">
        <v>7231</v>
      </c>
      <c r="J3874" t="s">
        <v>61</v>
      </c>
      <c r="K3874" t="s">
        <v>62</v>
      </c>
      <c r="M3874">
        <v>95.02</v>
      </c>
      <c r="N3874" s="4">
        <f t="shared" si="60"/>
        <v>-50</v>
      </c>
      <c r="O3874" t="s">
        <v>83</v>
      </c>
    </row>
    <row r="3875" spans="1:17" x14ac:dyDescent="0.25">
      <c r="A3875" s="22">
        <v>45800</v>
      </c>
      <c r="B3875" s="1">
        <v>813401490</v>
      </c>
      <c r="C3875" t="s">
        <v>3010</v>
      </c>
      <c r="D3875" s="23">
        <v>-4751</v>
      </c>
      <c r="E3875" t="s">
        <v>35</v>
      </c>
      <c r="F3875" s="2">
        <v>212901001</v>
      </c>
      <c r="G3875" s="2" t="s">
        <v>91</v>
      </c>
      <c r="I3875" s="95" t="s">
        <v>7231</v>
      </c>
      <c r="J3875" t="s">
        <v>61</v>
      </c>
      <c r="K3875" t="s">
        <v>62</v>
      </c>
      <c r="M3875">
        <v>95.02</v>
      </c>
      <c r="N3875" s="4">
        <f t="shared" si="60"/>
        <v>-50</v>
      </c>
      <c r="O3875" t="s">
        <v>83</v>
      </c>
    </row>
    <row r="3876" spans="1:17" x14ac:dyDescent="0.25">
      <c r="A3876" s="22">
        <v>45800</v>
      </c>
      <c r="B3876" s="1">
        <v>913401493</v>
      </c>
      <c r="C3876" t="s">
        <v>3011</v>
      </c>
      <c r="D3876" s="23">
        <v>-1900.4</v>
      </c>
      <c r="E3876" t="s">
        <v>35</v>
      </c>
      <c r="F3876" s="2">
        <v>212901001</v>
      </c>
      <c r="G3876" s="2" t="s">
        <v>91</v>
      </c>
      <c r="I3876" s="95" t="s">
        <v>7231</v>
      </c>
      <c r="J3876" t="s">
        <v>61</v>
      </c>
      <c r="K3876" t="s">
        <v>62</v>
      </c>
      <c r="M3876">
        <v>95.02</v>
      </c>
      <c r="N3876" s="4">
        <f t="shared" si="60"/>
        <v>-20.000000000000004</v>
      </c>
      <c r="O3876" t="s">
        <v>83</v>
      </c>
    </row>
    <row r="3877" spans="1:17" x14ac:dyDescent="0.25">
      <c r="A3877" s="22">
        <v>45800</v>
      </c>
      <c r="B3877" s="1">
        <v>913401496</v>
      </c>
      <c r="C3877" t="s">
        <v>3012</v>
      </c>
      <c r="D3877" s="23">
        <v>-1900.4</v>
      </c>
      <c r="E3877" t="s">
        <v>35</v>
      </c>
      <c r="F3877" s="2">
        <v>212901001</v>
      </c>
      <c r="G3877" s="2" t="s">
        <v>91</v>
      </c>
      <c r="I3877" s="95" t="s">
        <v>7231</v>
      </c>
      <c r="J3877" t="s">
        <v>61</v>
      </c>
      <c r="K3877" t="s">
        <v>62</v>
      </c>
      <c r="M3877">
        <v>95.02</v>
      </c>
      <c r="N3877" s="4">
        <f t="shared" si="60"/>
        <v>-20.000000000000004</v>
      </c>
      <c r="O3877" t="s">
        <v>83</v>
      </c>
    </row>
    <row r="3878" spans="1:17" x14ac:dyDescent="0.25">
      <c r="A3878" s="22">
        <v>45800</v>
      </c>
      <c r="B3878" s="1">
        <v>913401492</v>
      </c>
      <c r="C3878" t="s">
        <v>3013</v>
      </c>
      <c r="D3878" s="23">
        <v>-4751</v>
      </c>
      <c r="E3878" t="s">
        <v>35</v>
      </c>
      <c r="F3878" s="2">
        <v>212901001</v>
      </c>
      <c r="G3878" s="2" t="s">
        <v>91</v>
      </c>
      <c r="I3878" s="95" t="s">
        <v>7231</v>
      </c>
      <c r="J3878" t="s">
        <v>61</v>
      </c>
      <c r="K3878" t="s">
        <v>62</v>
      </c>
      <c r="M3878">
        <v>95.02</v>
      </c>
      <c r="N3878" s="4">
        <f t="shared" si="60"/>
        <v>-50</v>
      </c>
      <c r="O3878" t="s">
        <v>83</v>
      </c>
    </row>
    <row r="3879" spans="1:17" x14ac:dyDescent="0.25">
      <c r="A3879" s="22">
        <v>45800</v>
      </c>
      <c r="B3879" s="1">
        <v>913401497</v>
      </c>
      <c r="C3879" t="s">
        <v>3014</v>
      </c>
      <c r="D3879" s="23">
        <v>-9502</v>
      </c>
      <c r="E3879" t="s">
        <v>35</v>
      </c>
      <c r="F3879" s="2">
        <v>212901001</v>
      </c>
      <c r="G3879" s="2" t="s">
        <v>91</v>
      </c>
      <c r="I3879" s="95" t="s">
        <v>7231</v>
      </c>
      <c r="J3879" t="s">
        <v>61</v>
      </c>
      <c r="K3879" t="s">
        <v>62</v>
      </c>
      <c r="M3879">
        <v>95.02</v>
      </c>
      <c r="N3879" s="4">
        <f t="shared" si="60"/>
        <v>-100</v>
      </c>
      <c r="O3879" t="s">
        <v>83</v>
      </c>
    </row>
    <row r="3880" spans="1:17" x14ac:dyDescent="0.25">
      <c r="A3880" s="22">
        <v>45800</v>
      </c>
      <c r="B3880" s="1">
        <v>913401494</v>
      </c>
      <c r="C3880" t="s">
        <v>3015</v>
      </c>
      <c r="D3880" s="23">
        <v>-1900.4</v>
      </c>
      <c r="E3880" t="s">
        <v>35</v>
      </c>
      <c r="F3880" s="2">
        <v>212901001</v>
      </c>
      <c r="G3880" s="2" t="s">
        <v>91</v>
      </c>
      <c r="I3880" s="95" t="s">
        <v>7231</v>
      </c>
      <c r="J3880" t="s">
        <v>61</v>
      </c>
      <c r="K3880" t="s">
        <v>62</v>
      </c>
      <c r="M3880">
        <v>95.02</v>
      </c>
      <c r="N3880" s="4">
        <f t="shared" si="60"/>
        <v>-20.000000000000004</v>
      </c>
      <c r="O3880" t="s">
        <v>83</v>
      </c>
    </row>
    <row r="3881" spans="1:17" x14ac:dyDescent="0.25">
      <c r="A3881" s="22">
        <v>45800</v>
      </c>
      <c r="B3881" s="1">
        <v>913401495</v>
      </c>
      <c r="C3881" t="s">
        <v>3016</v>
      </c>
      <c r="D3881" s="23">
        <v>-1900.4</v>
      </c>
      <c r="E3881" t="s">
        <v>35</v>
      </c>
      <c r="F3881" s="2">
        <v>212901001</v>
      </c>
      <c r="G3881" s="2" t="s">
        <v>91</v>
      </c>
      <c r="I3881" s="95" t="s">
        <v>7231</v>
      </c>
      <c r="J3881" t="s">
        <v>61</v>
      </c>
      <c r="K3881" t="s">
        <v>62</v>
      </c>
      <c r="M3881">
        <v>95.02</v>
      </c>
      <c r="N3881" s="4">
        <f t="shared" si="60"/>
        <v>-20.000000000000004</v>
      </c>
      <c r="O3881" t="s">
        <v>83</v>
      </c>
    </row>
    <row r="3882" spans="1:17" x14ac:dyDescent="0.25">
      <c r="A3882" s="22">
        <v>45800</v>
      </c>
      <c r="B3882" s="1">
        <v>913401498</v>
      </c>
      <c r="C3882" t="s">
        <v>3017</v>
      </c>
      <c r="D3882" s="23">
        <v>-19004</v>
      </c>
      <c r="E3882" t="s">
        <v>35</v>
      </c>
      <c r="F3882" s="2">
        <v>212901001</v>
      </c>
      <c r="G3882" s="2" t="s">
        <v>91</v>
      </c>
      <c r="I3882" s="95" t="s">
        <v>7231</v>
      </c>
      <c r="J3882" t="s">
        <v>61</v>
      </c>
      <c r="K3882" t="s">
        <v>62</v>
      </c>
      <c r="M3882">
        <v>95.02</v>
      </c>
      <c r="N3882" s="4">
        <f t="shared" si="60"/>
        <v>-200</v>
      </c>
      <c r="O3882" t="s">
        <v>83</v>
      </c>
    </row>
    <row r="3883" spans="1:17" x14ac:dyDescent="0.25">
      <c r="A3883" s="22">
        <v>45800</v>
      </c>
      <c r="B3883" s="1">
        <v>913401501</v>
      </c>
      <c r="C3883" t="s">
        <v>3018</v>
      </c>
      <c r="D3883" s="23">
        <v>-2850.6</v>
      </c>
      <c r="E3883" t="s">
        <v>35</v>
      </c>
      <c r="F3883" s="2">
        <v>212901001</v>
      </c>
      <c r="G3883" s="2" t="s">
        <v>91</v>
      </c>
      <c r="I3883" s="95" t="s">
        <v>7231</v>
      </c>
      <c r="J3883" t="s">
        <v>61</v>
      </c>
      <c r="K3883" t="s">
        <v>62</v>
      </c>
      <c r="M3883">
        <v>95.02</v>
      </c>
      <c r="N3883" s="4">
        <f t="shared" si="60"/>
        <v>-30</v>
      </c>
      <c r="O3883" t="s">
        <v>83</v>
      </c>
    </row>
    <row r="3884" spans="1:17" x14ac:dyDescent="0.25">
      <c r="A3884" s="22">
        <v>45800</v>
      </c>
      <c r="B3884" s="1">
        <v>913401500</v>
      </c>
      <c r="C3884" t="s">
        <v>3019</v>
      </c>
      <c r="D3884" s="23">
        <v>-11592.44</v>
      </c>
      <c r="E3884" t="s">
        <v>35</v>
      </c>
      <c r="F3884" s="2">
        <v>212901001</v>
      </c>
      <c r="G3884" s="2" t="s">
        <v>91</v>
      </c>
      <c r="I3884" s="95" t="s">
        <v>7231</v>
      </c>
      <c r="J3884" t="s">
        <v>61</v>
      </c>
      <c r="K3884" t="s">
        <v>62</v>
      </c>
      <c r="M3884">
        <v>95.02</v>
      </c>
      <c r="N3884" s="4">
        <f t="shared" si="60"/>
        <v>-122.00000000000001</v>
      </c>
      <c r="O3884" t="s">
        <v>83</v>
      </c>
    </row>
    <row r="3885" spans="1:17" x14ac:dyDescent="0.25">
      <c r="A3885" s="22">
        <v>45800</v>
      </c>
      <c r="B3885" s="1">
        <v>913401503</v>
      </c>
      <c r="C3885" t="s">
        <v>3020</v>
      </c>
      <c r="D3885" s="23">
        <v>-3800.8</v>
      </c>
      <c r="E3885" t="s">
        <v>35</v>
      </c>
      <c r="F3885" s="2">
        <v>212901001</v>
      </c>
      <c r="G3885" s="2" t="s">
        <v>91</v>
      </c>
      <c r="I3885" s="95" t="s">
        <v>7231</v>
      </c>
      <c r="J3885" t="s">
        <v>61</v>
      </c>
      <c r="K3885" t="s">
        <v>62</v>
      </c>
      <c r="M3885">
        <v>95.02</v>
      </c>
      <c r="N3885" s="4">
        <f t="shared" si="60"/>
        <v>-40.000000000000007</v>
      </c>
      <c r="O3885" t="s">
        <v>83</v>
      </c>
    </row>
    <row r="3886" spans="1:17" x14ac:dyDescent="0.25">
      <c r="A3886" s="22">
        <v>45800</v>
      </c>
      <c r="B3886" s="1">
        <v>50550047</v>
      </c>
      <c r="C3886" t="s">
        <v>3021</v>
      </c>
      <c r="D3886" s="23">
        <v>-13302.8</v>
      </c>
      <c r="E3886" t="s">
        <v>35</v>
      </c>
      <c r="F3886" s="2">
        <v>212901001</v>
      </c>
      <c r="G3886" s="2" t="s">
        <v>91</v>
      </c>
      <c r="I3886" s="95" t="s">
        <v>7231</v>
      </c>
      <c r="J3886" t="s">
        <v>61</v>
      </c>
      <c r="K3886" t="s">
        <v>62</v>
      </c>
      <c r="M3886">
        <v>95.02</v>
      </c>
      <c r="N3886" s="4">
        <f t="shared" si="60"/>
        <v>-140</v>
      </c>
      <c r="O3886" t="s">
        <v>83</v>
      </c>
    </row>
    <row r="3887" spans="1:17" x14ac:dyDescent="0.25">
      <c r="A3887" s="22">
        <v>45800</v>
      </c>
      <c r="B3887" s="1">
        <v>50550047</v>
      </c>
      <c r="C3887" t="s">
        <v>179</v>
      </c>
      <c r="D3887" s="23">
        <v>-19.95</v>
      </c>
      <c r="E3887" t="s">
        <v>35</v>
      </c>
      <c r="F3887" s="2">
        <v>610148001</v>
      </c>
      <c r="G3887" s="2" t="s">
        <v>41</v>
      </c>
      <c r="I3887" s="95" t="s">
        <v>7231</v>
      </c>
      <c r="J3887" t="s">
        <v>42</v>
      </c>
      <c r="K3887" t="s">
        <v>41</v>
      </c>
      <c r="M3887">
        <v>95.02</v>
      </c>
      <c r="N3887" s="4">
        <f t="shared" si="60"/>
        <v>-0.20995579877920437</v>
      </c>
      <c r="O3887" t="s">
        <v>83</v>
      </c>
      <c r="Q3887" s="24" t="s">
        <v>2650</v>
      </c>
    </row>
    <row r="3888" spans="1:17" x14ac:dyDescent="0.25">
      <c r="A3888" s="22">
        <v>45800</v>
      </c>
      <c r="B3888" s="1">
        <v>50550047</v>
      </c>
      <c r="C3888" t="s">
        <v>89</v>
      </c>
      <c r="D3888" s="23">
        <v>-1072.3</v>
      </c>
      <c r="E3888" t="s">
        <v>35</v>
      </c>
      <c r="F3888" s="2">
        <v>610148001</v>
      </c>
      <c r="G3888" s="2" t="s">
        <v>41</v>
      </c>
      <c r="I3888" s="95" t="s">
        <v>7231</v>
      </c>
      <c r="J3888" t="s">
        <v>42</v>
      </c>
      <c r="K3888" t="s">
        <v>41</v>
      </c>
      <c r="M3888">
        <v>95.02</v>
      </c>
      <c r="N3888" s="4">
        <f t="shared" si="60"/>
        <v>-11.284992633129868</v>
      </c>
      <c r="O3888" t="s">
        <v>83</v>
      </c>
      <c r="Q3888" s="24" t="s">
        <v>2650</v>
      </c>
    </row>
    <row r="3889" spans="1:17" x14ac:dyDescent="0.25">
      <c r="A3889" s="22">
        <v>45803</v>
      </c>
      <c r="B3889" s="1">
        <v>85725098</v>
      </c>
      <c r="C3889" t="s">
        <v>82</v>
      </c>
      <c r="D3889" s="23">
        <v>5000</v>
      </c>
      <c r="E3889" t="s">
        <v>45</v>
      </c>
      <c r="F3889" s="2">
        <v>210115002</v>
      </c>
      <c r="G3889" s="2" t="s">
        <v>46</v>
      </c>
      <c r="I3889" s="95" t="s">
        <v>7231</v>
      </c>
      <c r="K3889" t="s">
        <v>82</v>
      </c>
      <c r="M3889">
        <v>95.08</v>
      </c>
      <c r="N3889" s="4">
        <f t="shared" si="60"/>
        <v>52.587294909549854</v>
      </c>
      <c r="O3889" t="s">
        <v>83</v>
      </c>
    </row>
    <row r="3890" spans="1:17" x14ac:dyDescent="0.25">
      <c r="A3890" s="22">
        <v>45803</v>
      </c>
      <c r="B3890" s="1">
        <v>313533152</v>
      </c>
      <c r="C3890" t="s">
        <v>3022</v>
      </c>
      <c r="D3890" s="23">
        <v>-4754</v>
      </c>
      <c r="E3890" t="s">
        <v>35</v>
      </c>
      <c r="F3890" s="2">
        <v>110114001</v>
      </c>
      <c r="G3890" s="2" t="s">
        <v>181</v>
      </c>
      <c r="I3890" s="95" t="s">
        <v>7231</v>
      </c>
      <c r="J3890" s="51" t="s">
        <v>86</v>
      </c>
      <c r="K3890" t="s">
        <v>87</v>
      </c>
      <c r="M3890">
        <v>95.08</v>
      </c>
      <c r="N3890" s="4">
        <f t="shared" si="60"/>
        <v>-50</v>
      </c>
      <c r="O3890" t="s">
        <v>83</v>
      </c>
      <c r="P3890" s="34" t="s">
        <v>2492</v>
      </c>
    </row>
    <row r="3891" spans="1:17" x14ac:dyDescent="0.25">
      <c r="A3891" s="22">
        <v>45803</v>
      </c>
      <c r="B3891" s="1">
        <v>313533152</v>
      </c>
      <c r="C3891" t="s">
        <v>185</v>
      </c>
      <c r="D3891" s="23">
        <v>-14.26</v>
      </c>
      <c r="E3891" t="s">
        <v>35</v>
      </c>
      <c r="F3891" s="2">
        <v>610148001</v>
      </c>
      <c r="G3891" s="2" t="s">
        <v>41</v>
      </c>
      <c r="I3891" s="95" t="s">
        <v>7231</v>
      </c>
      <c r="J3891" t="s">
        <v>42</v>
      </c>
      <c r="K3891" t="s">
        <v>41</v>
      </c>
      <c r="M3891">
        <v>95.08</v>
      </c>
      <c r="N3891" s="4">
        <f t="shared" si="60"/>
        <v>-0.14997896508203618</v>
      </c>
      <c r="O3891" t="s">
        <v>83</v>
      </c>
      <c r="Q3891" s="24" t="s">
        <v>2650</v>
      </c>
    </row>
    <row r="3892" spans="1:17" x14ac:dyDescent="0.25">
      <c r="A3892" s="22">
        <v>45803</v>
      </c>
      <c r="B3892" s="1">
        <v>878783779</v>
      </c>
      <c r="C3892" t="s">
        <v>366</v>
      </c>
      <c r="D3892" s="23">
        <v>140000</v>
      </c>
      <c r="E3892" t="s">
        <v>45</v>
      </c>
      <c r="F3892" s="2">
        <v>210115002</v>
      </c>
      <c r="G3892" s="2" t="s">
        <v>46</v>
      </c>
      <c r="I3892" s="95" t="s">
        <v>7231</v>
      </c>
      <c r="K3892" t="s">
        <v>366</v>
      </c>
      <c r="M3892">
        <v>95.08</v>
      </c>
      <c r="N3892" s="4">
        <f t="shared" si="60"/>
        <v>1472.4442574673958</v>
      </c>
      <c r="O3892" t="s">
        <v>83</v>
      </c>
    </row>
    <row r="3893" spans="1:17" x14ac:dyDescent="0.25">
      <c r="A3893" s="22">
        <v>45803</v>
      </c>
      <c r="B3893" s="1">
        <v>113558763</v>
      </c>
      <c r="C3893" t="s">
        <v>3023</v>
      </c>
      <c r="D3893" s="23">
        <v>-8391.2000000000007</v>
      </c>
      <c r="E3893" t="s">
        <v>35</v>
      </c>
      <c r="F3893" s="2">
        <v>110114001</v>
      </c>
      <c r="G3893" s="2" t="s">
        <v>181</v>
      </c>
      <c r="I3893" s="95" t="s">
        <v>7231</v>
      </c>
      <c r="J3893" s="51" t="s">
        <v>182</v>
      </c>
      <c r="K3893" s="51" t="s">
        <v>183</v>
      </c>
      <c r="L3893" s="51"/>
      <c r="M3893">
        <v>95.08</v>
      </c>
      <c r="N3893" s="4">
        <f t="shared" si="60"/>
        <v>-88.254101809002961</v>
      </c>
      <c r="O3893" t="s">
        <v>83</v>
      </c>
      <c r="P3893" s="34" t="s">
        <v>2492</v>
      </c>
    </row>
    <row r="3894" spans="1:17" x14ac:dyDescent="0.25">
      <c r="A3894" s="22">
        <v>45803</v>
      </c>
      <c r="B3894" s="1">
        <v>13558762</v>
      </c>
      <c r="C3894" t="s">
        <v>3024</v>
      </c>
      <c r="D3894" s="23">
        <v>-44024.89</v>
      </c>
      <c r="E3894" t="s">
        <v>35</v>
      </c>
      <c r="F3894" s="2">
        <v>110114001</v>
      </c>
      <c r="G3894" s="2" t="s">
        <v>181</v>
      </c>
      <c r="I3894" s="95" t="s">
        <v>7231</v>
      </c>
      <c r="J3894" s="51" t="s">
        <v>2774</v>
      </c>
      <c r="K3894" t="s">
        <v>3025</v>
      </c>
      <c r="M3894">
        <v>95.08</v>
      </c>
      <c r="N3894" s="4">
        <f t="shared" si="60"/>
        <v>-463.02997475809843</v>
      </c>
      <c r="O3894" t="s">
        <v>83</v>
      </c>
      <c r="P3894" s="34" t="s">
        <v>2492</v>
      </c>
    </row>
    <row r="3895" spans="1:17" x14ac:dyDescent="0.25">
      <c r="A3895" s="22">
        <v>45803</v>
      </c>
      <c r="B3895" s="1">
        <v>50556097</v>
      </c>
      <c r="C3895" t="s">
        <v>3026</v>
      </c>
      <c r="D3895" s="23">
        <v>-69033.710000000006</v>
      </c>
      <c r="E3895" t="s">
        <v>35</v>
      </c>
      <c r="F3895" s="2">
        <v>110114001</v>
      </c>
      <c r="G3895" s="2" t="s">
        <v>181</v>
      </c>
      <c r="I3895" s="95" t="s">
        <v>7231</v>
      </c>
      <c r="K3895" t="s">
        <v>1862</v>
      </c>
      <c r="M3895">
        <v>95.08</v>
      </c>
      <c r="N3895" s="4">
        <f t="shared" si="60"/>
        <v>-726.05921329406829</v>
      </c>
      <c r="O3895" t="s">
        <v>83</v>
      </c>
    </row>
    <row r="3896" spans="1:17" x14ac:dyDescent="0.25">
      <c r="A3896" s="22">
        <v>45803</v>
      </c>
      <c r="B3896" s="1">
        <v>50556097</v>
      </c>
      <c r="C3896" t="s">
        <v>179</v>
      </c>
      <c r="D3896" s="23">
        <v>-103.55</v>
      </c>
      <c r="E3896" t="s">
        <v>35</v>
      </c>
      <c r="F3896" s="2">
        <v>610148001</v>
      </c>
      <c r="G3896" s="2" t="s">
        <v>41</v>
      </c>
      <c r="I3896" s="95" t="s">
        <v>7231</v>
      </c>
      <c r="J3896" t="s">
        <v>42</v>
      </c>
      <c r="K3896" t="s">
        <v>41</v>
      </c>
      <c r="M3896">
        <v>95.08</v>
      </c>
      <c r="N3896" s="4">
        <f t="shared" si="60"/>
        <v>-1.0890828775767774</v>
      </c>
      <c r="O3896" t="s">
        <v>83</v>
      </c>
      <c r="Q3896" s="24" t="s">
        <v>2650</v>
      </c>
    </row>
    <row r="3897" spans="1:17" x14ac:dyDescent="0.25">
      <c r="A3897" s="22">
        <v>45803</v>
      </c>
      <c r="B3897" s="1">
        <v>50556097</v>
      </c>
      <c r="C3897" t="s">
        <v>89</v>
      </c>
      <c r="D3897" s="23">
        <v>-131.04</v>
      </c>
      <c r="E3897" t="s">
        <v>35</v>
      </c>
      <c r="F3897" s="2">
        <v>610148001</v>
      </c>
      <c r="G3897" s="2" t="s">
        <v>41</v>
      </c>
      <c r="I3897" s="95" t="s">
        <v>7231</v>
      </c>
      <c r="J3897" t="s">
        <v>42</v>
      </c>
      <c r="K3897" t="s">
        <v>41</v>
      </c>
      <c r="M3897">
        <v>95.08</v>
      </c>
      <c r="N3897" s="4">
        <f t="shared" si="60"/>
        <v>-1.3782078249894825</v>
      </c>
      <c r="O3897" t="s">
        <v>83</v>
      </c>
      <c r="Q3897" s="24" t="s">
        <v>2650</v>
      </c>
    </row>
    <row r="3898" spans="1:17" x14ac:dyDescent="0.25">
      <c r="A3898" s="22">
        <v>45804</v>
      </c>
      <c r="B3898" s="1">
        <v>133613400</v>
      </c>
      <c r="C3898" t="s">
        <v>3027</v>
      </c>
      <c r="D3898" s="23">
        <v>50793.59</v>
      </c>
      <c r="E3898" t="s">
        <v>45</v>
      </c>
      <c r="F3898" s="2">
        <v>110114001</v>
      </c>
      <c r="G3898" s="2" t="s">
        <v>181</v>
      </c>
      <c r="I3898" s="95" t="s">
        <v>7231</v>
      </c>
      <c r="K3898" t="s">
        <v>3028</v>
      </c>
      <c r="M3898">
        <v>95.24</v>
      </c>
      <c r="N3898" s="4">
        <f t="shared" si="60"/>
        <v>533.32202855942876</v>
      </c>
      <c r="O3898" t="s">
        <v>83</v>
      </c>
    </row>
    <row r="3899" spans="1:17" x14ac:dyDescent="0.25">
      <c r="A3899" s="22">
        <v>45804</v>
      </c>
      <c r="B3899" s="1">
        <v>133743552</v>
      </c>
      <c r="C3899" t="s">
        <v>3027</v>
      </c>
      <c r="D3899" s="23">
        <v>18240.12</v>
      </c>
      <c r="E3899" t="s">
        <v>45</v>
      </c>
      <c r="F3899" s="2">
        <v>110114001</v>
      </c>
      <c r="G3899" s="2" t="s">
        <v>181</v>
      </c>
      <c r="I3899" s="95" t="s">
        <v>7231</v>
      </c>
      <c r="K3899" t="s">
        <v>3028</v>
      </c>
      <c r="M3899">
        <v>95.24</v>
      </c>
      <c r="N3899" s="4">
        <f t="shared" si="60"/>
        <v>191.51742965140699</v>
      </c>
      <c r="O3899" t="s">
        <v>83</v>
      </c>
    </row>
    <row r="3900" spans="1:17" x14ac:dyDescent="0.25">
      <c r="A3900" s="22">
        <v>45804</v>
      </c>
      <c r="B3900" s="1">
        <v>135605222</v>
      </c>
      <c r="C3900" t="s">
        <v>3029</v>
      </c>
      <c r="D3900" s="23">
        <v>70919.100000000006</v>
      </c>
      <c r="E3900" t="s">
        <v>45</v>
      </c>
      <c r="F3900" s="2">
        <v>110106001</v>
      </c>
      <c r="G3900" s="2" t="s">
        <v>1011</v>
      </c>
      <c r="I3900" s="95" t="s">
        <v>7231</v>
      </c>
      <c r="K3900" t="s">
        <v>3030</v>
      </c>
      <c r="M3900">
        <v>95.24</v>
      </c>
      <c r="N3900" s="4">
        <f t="shared" si="60"/>
        <v>744.63565728685433</v>
      </c>
      <c r="O3900" t="s">
        <v>83</v>
      </c>
    </row>
    <row r="3901" spans="1:17" x14ac:dyDescent="0.25">
      <c r="A3901" s="22">
        <v>45804</v>
      </c>
      <c r="B3901" s="1">
        <v>135941177</v>
      </c>
      <c r="C3901" t="s">
        <v>3031</v>
      </c>
      <c r="D3901" s="23">
        <v>120642.41</v>
      </c>
      <c r="E3901" t="s">
        <v>45</v>
      </c>
      <c r="F3901" s="2">
        <v>110106001</v>
      </c>
      <c r="G3901" s="2" t="s">
        <v>1011</v>
      </c>
      <c r="I3901" s="95" t="s">
        <v>7231</v>
      </c>
      <c r="K3901" t="s">
        <v>3032</v>
      </c>
      <c r="M3901">
        <v>95.24</v>
      </c>
      <c r="N3901" s="4">
        <f t="shared" si="60"/>
        <v>1266.7199706005881</v>
      </c>
      <c r="O3901" t="s">
        <v>83</v>
      </c>
    </row>
    <row r="3902" spans="1:17" x14ac:dyDescent="0.25">
      <c r="A3902" s="22">
        <v>45804</v>
      </c>
      <c r="B3902" s="1">
        <v>50578616</v>
      </c>
      <c r="C3902" t="s">
        <v>3026</v>
      </c>
      <c r="D3902" s="23">
        <v>50793.59</v>
      </c>
      <c r="E3902" t="s">
        <v>45</v>
      </c>
      <c r="F3902" s="2">
        <v>110114001</v>
      </c>
      <c r="G3902" s="2" t="s">
        <v>181</v>
      </c>
      <c r="I3902" s="95" t="s">
        <v>7231</v>
      </c>
      <c r="K3902" t="s">
        <v>1162</v>
      </c>
      <c r="M3902">
        <v>95.24</v>
      </c>
      <c r="N3902" s="4">
        <f t="shared" si="60"/>
        <v>533.32202855942876</v>
      </c>
      <c r="O3902" t="s">
        <v>83</v>
      </c>
    </row>
    <row r="3903" spans="1:17" x14ac:dyDescent="0.25">
      <c r="A3903" s="22">
        <v>45804</v>
      </c>
      <c r="B3903" s="1">
        <v>50578616</v>
      </c>
      <c r="C3903" t="s">
        <v>3026</v>
      </c>
      <c r="D3903" s="23">
        <v>18240.12</v>
      </c>
      <c r="E3903" t="s">
        <v>45</v>
      </c>
      <c r="F3903" s="2">
        <v>110114001</v>
      </c>
      <c r="G3903" s="2" t="s">
        <v>181</v>
      </c>
      <c r="I3903" s="95" t="s">
        <v>7231</v>
      </c>
      <c r="K3903" t="s">
        <v>1162</v>
      </c>
      <c r="M3903">
        <v>95.24</v>
      </c>
      <c r="N3903" s="4">
        <f t="shared" si="60"/>
        <v>191.51742965140699</v>
      </c>
      <c r="O3903" t="s">
        <v>83</v>
      </c>
    </row>
    <row r="3904" spans="1:17" x14ac:dyDescent="0.25">
      <c r="A3904" s="22">
        <v>45804</v>
      </c>
      <c r="B3904" s="1">
        <v>313605711</v>
      </c>
      <c r="C3904" t="s">
        <v>3033</v>
      </c>
      <c r="D3904" s="23">
        <v>-5409.03</v>
      </c>
      <c r="E3904" t="s">
        <v>35</v>
      </c>
      <c r="F3904" s="2">
        <v>110114001</v>
      </c>
      <c r="G3904" s="2" t="s">
        <v>181</v>
      </c>
      <c r="I3904" s="95" t="s">
        <v>7231</v>
      </c>
      <c r="J3904" s="51" t="s">
        <v>804</v>
      </c>
      <c r="K3904" s="51" t="s">
        <v>805</v>
      </c>
      <c r="L3904" s="51"/>
      <c r="M3904">
        <v>95.24</v>
      </c>
      <c r="N3904" s="4">
        <f t="shared" si="60"/>
        <v>-56.793679126417473</v>
      </c>
      <c r="O3904" t="s">
        <v>83</v>
      </c>
      <c r="P3904" s="34" t="s">
        <v>2492</v>
      </c>
    </row>
    <row r="3905" spans="1:17" x14ac:dyDescent="0.25">
      <c r="A3905" s="22">
        <v>45804</v>
      </c>
      <c r="B3905" s="1">
        <v>313605712</v>
      </c>
      <c r="C3905" t="s">
        <v>3034</v>
      </c>
      <c r="D3905" s="44">
        <v>-23688</v>
      </c>
      <c r="E3905" t="s">
        <v>35</v>
      </c>
      <c r="F3905" s="2">
        <v>110114001</v>
      </c>
      <c r="G3905" s="2" t="s">
        <v>181</v>
      </c>
      <c r="I3905" s="95" t="s">
        <v>7231</v>
      </c>
      <c r="J3905" t="s">
        <v>182</v>
      </c>
      <c r="K3905" t="s">
        <v>2491</v>
      </c>
      <c r="M3905">
        <v>95.24</v>
      </c>
      <c r="N3905" s="4">
        <f t="shared" si="60"/>
        <v>-248.71902561948761</v>
      </c>
      <c r="O3905" t="s">
        <v>83</v>
      </c>
      <c r="P3905" s="34" t="s">
        <v>3035</v>
      </c>
    </row>
    <row r="3906" spans="1:17" x14ac:dyDescent="0.25">
      <c r="A3906" s="22">
        <v>45804</v>
      </c>
      <c r="B3906" s="1">
        <v>313605713</v>
      </c>
      <c r="C3906" t="s">
        <v>3036</v>
      </c>
      <c r="D3906" s="44">
        <v>-12373.58</v>
      </c>
      <c r="E3906" t="s">
        <v>35</v>
      </c>
      <c r="F3906" s="2">
        <v>110114001</v>
      </c>
      <c r="G3906" s="2" t="s">
        <v>181</v>
      </c>
      <c r="I3906" s="95" t="s">
        <v>7231</v>
      </c>
      <c r="J3906" t="s">
        <v>1424</v>
      </c>
      <c r="K3906" t="s">
        <v>1425</v>
      </c>
      <c r="M3906">
        <v>95.24</v>
      </c>
      <c r="N3906" s="4">
        <f t="shared" si="60"/>
        <v>-129.919991600168</v>
      </c>
      <c r="O3906" t="s">
        <v>83</v>
      </c>
      <c r="P3906" s="34" t="s">
        <v>2492</v>
      </c>
    </row>
    <row r="3907" spans="1:17" x14ac:dyDescent="0.25">
      <c r="A3907" s="22">
        <v>45804</v>
      </c>
      <c r="B3907" s="1">
        <v>313605715</v>
      </c>
      <c r="C3907" t="s">
        <v>3037</v>
      </c>
      <c r="D3907" s="23">
        <v>-1833.96</v>
      </c>
      <c r="E3907" t="s">
        <v>35</v>
      </c>
      <c r="F3907" s="2">
        <v>110114001</v>
      </c>
      <c r="G3907" s="2" t="s">
        <v>181</v>
      </c>
      <c r="I3907" s="95" t="s">
        <v>7231</v>
      </c>
      <c r="J3907" s="51" t="s">
        <v>1424</v>
      </c>
      <c r="K3907" t="s">
        <v>1425</v>
      </c>
      <c r="M3907">
        <v>95.24</v>
      </c>
      <c r="N3907" s="4">
        <f t="shared" si="60"/>
        <v>-19.25619487610248</v>
      </c>
      <c r="O3907" t="s">
        <v>83</v>
      </c>
      <c r="P3907" s="34" t="s">
        <v>2492</v>
      </c>
    </row>
    <row r="3908" spans="1:17" x14ac:dyDescent="0.25">
      <c r="A3908" s="22">
        <v>45804</v>
      </c>
      <c r="B3908" s="1">
        <v>313605714</v>
      </c>
      <c r="C3908" t="s">
        <v>3038</v>
      </c>
      <c r="D3908" s="23">
        <v>-22620</v>
      </c>
      <c r="E3908" t="s">
        <v>35</v>
      </c>
      <c r="F3908" s="2">
        <v>110114001</v>
      </c>
      <c r="G3908" s="2" t="s">
        <v>181</v>
      </c>
      <c r="I3908" s="95" t="s">
        <v>7231</v>
      </c>
      <c r="J3908" s="51" t="s">
        <v>680</v>
      </c>
      <c r="K3908" s="51" t="s">
        <v>681</v>
      </c>
      <c r="L3908" s="51"/>
      <c r="M3908">
        <v>95.24</v>
      </c>
      <c r="N3908" s="4">
        <f t="shared" si="60"/>
        <v>-237.50524989500212</v>
      </c>
      <c r="O3908" t="s">
        <v>83</v>
      </c>
      <c r="P3908" s="34" t="s">
        <v>2492</v>
      </c>
    </row>
    <row r="3909" spans="1:17" x14ac:dyDescent="0.25">
      <c r="A3909" s="22">
        <v>45804</v>
      </c>
      <c r="B3909" s="1">
        <v>50578616</v>
      </c>
      <c r="C3909" t="s">
        <v>3039</v>
      </c>
      <c r="D3909" s="23">
        <v>-69033.710000000006</v>
      </c>
      <c r="E3909" t="s">
        <v>35</v>
      </c>
      <c r="F3909" s="2">
        <v>210101001</v>
      </c>
      <c r="G3909" s="2" t="s">
        <v>36</v>
      </c>
      <c r="I3909" s="95" t="s">
        <v>7231</v>
      </c>
      <c r="J3909" t="s">
        <v>1614</v>
      </c>
      <c r="K3909" t="s">
        <v>1615</v>
      </c>
      <c r="M3909">
        <v>95.24</v>
      </c>
      <c r="N3909" s="4">
        <f t="shared" si="60"/>
        <v>-724.83945821083591</v>
      </c>
      <c r="O3909" t="s">
        <v>83</v>
      </c>
    </row>
    <row r="3910" spans="1:17" x14ac:dyDescent="0.25">
      <c r="A3910" s="22">
        <v>45804</v>
      </c>
      <c r="B3910" s="1">
        <v>50578616</v>
      </c>
      <c r="C3910" t="s">
        <v>179</v>
      </c>
      <c r="D3910" s="23">
        <v>-103.55</v>
      </c>
      <c r="E3910" t="s">
        <v>35</v>
      </c>
      <c r="F3910" s="2">
        <v>610148001</v>
      </c>
      <c r="G3910" s="2" t="s">
        <v>41</v>
      </c>
      <c r="I3910" s="95" t="s">
        <v>7231</v>
      </c>
      <c r="J3910" t="s">
        <v>42</v>
      </c>
      <c r="K3910" t="s">
        <v>41</v>
      </c>
      <c r="M3910">
        <v>95.24</v>
      </c>
      <c r="N3910" s="4">
        <f t="shared" si="60"/>
        <v>-1.0872532549349014</v>
      </c>
      <c r="O3910" t="s">
        <v>83</v>
      </c>
      <c r="Q3910" s="24" t="s">
        <v>2650</v>
      </c>
    </row>
    <row r="3911" spans="1:17" x14ac:dyDescent="0.25">
      <c r="A3911" s="22">
        <v>45804</v>
      </c>
      <c r="B3911" s="1">
        <v>50578616</v>
      </c>
      <c r="C3911" t="s">
        <v>89</v>
      </c>
      <c r="D3911" s="23">
        <v>-164.81</v>
      </c>
      <c r="E3911" t="s">
        <v>35</v>
      </c>
      <c r="F3911" s="2">
        <v>610148001</v>
      </c>
      <c r="G3911" s="2" t="s">
        <v>41</v>
      </c>
      <c r="I3911" s="95" t="s">
        <v>7231</v>
      </c>
      <c r="J3911" t="s">
        <v>42</v>
      </c>
      <c r="K3911" t="s">
        <v>41</v>
      </c>
      <c r="M3911">
        <v>95.24</v>
      </c>
      <c r="N3911" s="4">
        <f t="shared" si="60"/>
        <v>-1.7304703905921883</v>
      </c>
      <c r="O3911" t="s">
        <v>83</v>
      </c>
      <c r="Q3911" s="24" t="s">
        <v>2650</v>
      </c>
    </row>
    <row r="3912" spans="1:17" x14ac:dyDescent="0.25">
      <c r="A3912" s="22">
        <v>45804</v>
      </c>
      <c r="B3912" s="1">
        <v>150212783</v>
      </c>
      <c r="C3912" t="s">
        <v>3040</v>
      </c>
      <c r="D3912" s="23">
        <v>-18240.12</v>
      </c>
      <c r="E3912" t="s">
        <v>35</v>
      </c>
      <c r="F3912" s="2">
        <v>210101001</v>
      </c>
      <c r="G3912" s="2" t="s">
        <v>36</v>
      </c>
      <c r="I3912" s="95" t="s">
        <v>7231</v>
      </c>
      <c r="J3912" t="s">
        <v>1614</v>
      </c>
      <c r="K3912" t="s">
        <v>1615</v>
      </c>
      <c r="M3912">
        <v>95.24</v>
      </c>
      <c r="N3912" s="4">
        <f t="shared" si="60"/>
        <v>-191.51742965140699</v>
      </c>
      <c r="O3912" t="s">
        <v>83</v>
      </c>
    </row>
    <row r="3913" spans="1:17" x14ac:dyDescent="0.25">
      <c r="A3913" s="22">
        <v>45804</v>
      </c>
      <c r="B3913" s="1">
        <v>150334294</v>
      </c>
      <c r="C3913" t="s">
        <v>3041</v>
      </c>
      <c r="D3913" s="23">
        <v>-50793.59</v>
      </c>
      <c r="E3913" t="s">
        <v>35</v>
      </c>
      <c r="F3913" s="2">
        <v>210101001</v>
      </c>
      <c r="G3913" s="2" t="s">
        <v>36</v>
      </c>
      <c r="I3913" s="95" t="s">
        <v>7231</v>
      </c>
      <c r="J3913" t="s">
        <v>389</v>
      </c>
      <c r="K3913" t="s">
        <v>390</v>
      </c>
      <c r="M3913">
        <v>95.24</v>
      </c>
      <c r="N3913" s="4">
        <f t="shared" si="60"/>
        <v>-533.32202855942876</v>
      </c>
      <c r="O3913" t="s">
        <v>83</v>
      </c>
    </row>
    <row r="3914" spans="1:17" x14ac:dyDescent="0.25">
      <c r="A3914" s="22">
        <v>45805</v>
      </c>
      <c r="B3914" s="1">
        <v>60755721</v>
      </c>
      <c r="C3914" t="s">
        <v>498</v>
      </c>
      <c r="D3914" s="23">
        <v>-143.69999999999999</v>
      </c>
      <c r="E3914" t="s">
        <v>35</v>
      </c>
      <c r="F3914" s="2">
        <v>610148001</v>
      </c>
      <c r="G3914" s="2" t="s">
        <v>41</v>
      </c>
      <c r="I3914" s="95" t="s">
        <v>7231</v>
      </c>
      <c r="J3914" t="s">
        <v>42</v>
      </c>
      <c r="K3914" t="s">
        <v>41</v>
      </c>
      <c r="M3914">
        <v>95.81</v>
      </c>
      <c r="N3914" s="4">
        <f t="shared" si="60"/>
        <v>-1.4998434401419474</v>
      </c>
      <c r="O3914" t="s">
        <v>83</v>
      </c>
      <c r="Q3914" s="24" t="s">
        <v>2650</v>
      </c>
    </row>
    <row r="3915" spans="1:17" x14ac:dyDescent="0.25">
      <c r="A3915" s="22">
        <v>45807</v>
      </c>
      <c r="B3915" s="1">
        <v>813733455</v>
      </c>
      <c r="C3915" t="s">
        <v>3042</v>
      </c>
      <c r="D3915" s="23">
        <v>-15.6</v>
      </c>
      <c r="E3915" t="s">
        <v>35</v>
      </c>
      <c r="F3915" s="2">
        <v>210101001</v>
      </c>
      <c r="G3915" s="2" t="s">
        <v>2397</v>
      </c>
      <c r="I3915" s="95" t="s">
        <v>7231</v>
      </c>
      <c r="J3915" t="s">
        <v>86</v>
      </c>
      <c r="K3915" t="s">
        <v>87</v>
      </c>
      <c r="M3915">
        <v>96.86</v>
      </c>
      <c r="N3915" s="4">
        <f t="shared" si="60"/>
        <v>-0.16105719595292173</v>
      </c>
      <c r="O3915" t="s">
        <v>83</v>
      </c>
    </row>
    <row r="3916" spans="1:17" x14ac:dyDescent="0.25">
      <c r="A3916" s="22">
        <v>45807</v>
      </c>
      <c r="B3916" s="1">
        <v>813733455</v>
      </c>
      <c r="C3916" t="s">
        <v>185</v>
      </c>
      <c r="D3916" s="23">
        <v>-0.05</v>
      </c>
      <c r="E3916" t="s">
        <v>35</v>
      </c>
      <c r="F3916" s="2">
        <v>610148001</v>
      </c>
      <c r="G3916" s="2" t="s">
        <v>41</v>
      </c>
      <c r="I3916" s="95" t="s">
        <v>7231</v>
      </c>
      <c r="J3916" t="s">
        <v>42</v>
      </c>
      <c r="K3916" t="s">
        <v>41</v>
      </c>
      <c r="M3916">
        <v>96.86</v>
      </c>
      <c r="N3916" s="4">
        <f t="shared" ref="N3916:N3979" si="61">D3916/M3916</f>
        <v>-5.1620896138756969E-4</v>
      </c>
      <c r="O3916" t="s">
        <v>83</v>
      </c>
      <c r="Q3916" s="24" t="s">
        <v>2650</v>
      </c>
    </row>
    <row r="3917" spans="1:17" x14ac:dyDescent="0.25">
      <c r="A3917" s="22">
        <v>45807</v>
      </c>
      <c r="B3917" s="1">
        <v>179119251</v>
      </c>
      <c r="C3917" t="s">
        <v>366</v>
      </c>
      <c r="D3917" s="23">
        <v>200000</v>
      </c>
      <c r="E3917" t="s">
        <v>45</v>
      </c>
      <c r="F3917" s="2">
        <v>210115002</v>
      </c>
      <c r="G3917" s="2" t="s">
        <v>46</v>
      </c>
      <c r="I3917" s="95" t="s">
        <v>7231</v>
      </c>
      <c r="K3917" t="s">
        <v>366</v>
      </c>
      <c r="M3917">
        <v>96.86</v>
      </c>
      <c r="N3917" s="4">
        <f t="shared" si="61"/>
        <v>2064.8358455502789</v>
      </c>
      <c r="O3917" t="s">
        <v>83</v>
      </c>
    </row>
    <row r="3918" spans="1:17" x14ac:dyDescent="0.25">
      <c r="A3918" s="22">
        <v>45807</v>
      </c>
      <c r="B3918" s="1">
        <v>79119304</v>
      </c>
      <c r="C3918" t="s">
        <v>366</v>
      </c>
      <c r="D3918" s="23">
        <v>200000</v>
      </c>
      <c r="E3918" t="s">
        <v>45</v>
      </c>
      <c r="F3918" s="2">
        <v>210115002</v>
      </c>
      <c r="G3918" s="2" t="s">
        <v>46</v>
      </c>
      <c r="I3918" s="95" t="s">
        <v>7231</v>
      </c>
      <c r="K3918" t="s">
        <v>366</v>
      </c>
      <c r="M3918">
        <v>96.86</v>
      </c>
      <c r="N3918" s="4">
        <f t="shared" si="61"/>
        <v>2064.8358455502789</v>
      </c>
      <c r="O3918" t="s">
        <v>83</v>
      </c>
    </row>
    <row r="3919" spans="1:17" x14ac:dyDescent="0.25">
      <c r="A3919" s="22">
        <v>45807</v>
      </c>
      <c r="B3919" s="1">
        <v>979119410</v>
      </c>
      <c r="C3919" t="s">
        <v>366</v>
      </c>
      <c r="D3919" s="23">
        <v>200000</v>
      </c>
      <c r="E3919" t="s">
        <v>45</v>
      </c>
      <c r="F3919" s="2">
        <v>210115002</v>
      </c>
      <c r="G3919" s="2" t="s">
        <v>46</v>
      </c>
      <c r="I3919" s="95" t="s">
        <v>7231</v>
      </c>
      <c r="K3919" t="s">
        <v>366</v>
      </c>
      <c r="M3919">
        <v>96.86</v>
      </c>
      <c r="N3919" s="4">
        <f t="shared" si="61"/>
        <v>2064.8358455502789</v>
      </c>
      <c r="O3919" t="s">
        <v>83</v>
      </c>
    </row>
    <row r="3920" spans="1:17" x14ac:dyDescent="0.25">
      <c r="A3920" s="22">
        <v>45807</v>
      </c>
      <c r="B3920" s="1">
        <v>913744695</v>
      </c>
      <c r="C3920" t="s">
        <v>3043</v>
      </c>
      <c r="D3920" s="23">
        <v>-11623.2</v>
      </c>
      <c r="E3920" t="s">
        <v>35</v>
      </c>
      <c r="F3920" s="2">
        <v>212901001</v>
      </c>
      <c r="G3920" s="2" t="s">
        <v>91</v>
      </c>
      <c r="I3920" s="95" t="s">
        <v>7231</v>
      </c>
      <c r="J3920" t="s">
        <v>61</v>
      </c>
      <c r="K3920" t="s">
        <v>62</v>
      </c>
      <c r="M3920">
        <v>96.86</v>
      </c>
      <c r="N3920" s="4">
        <f t="shared" si="61"/>
        <v>-120.00000000000001</v>
      </c>
      <c r="O3920" t="s">
        <v>83</v>
      </c>
    </row>
    <row r="3921" spans="1:15" x14ac:dyDescent="0.25">
      <c r="A3921" s="22">
        <v>45807</v>
      </c>
      <c r="B3921" s="1">
        <v>913744697</v>
      </c>
      <c r="C3921" t="s">
        <v>3044</v>
      </c>
      <c r="D3921" s="23">
        <v>-9686</v>
      </c>
      <c r="E3921" t="s">
        <v>35</v>
      </c>
      <c r="F3921" s="2">
        <v>212901001</v>
      </c>
      <c r="G3921" s="2" t="s">
        <v>91</v>
      </c>
      <c r="I3921" s="95" t="s">
        <v>7231</v>
      </c>
      <c r="J3921" t="s">
        <v>61</v>
      </c>
      <c r="K3921" t="s">
        <v>62</v>
      </c>
      <c r="M3921">
        <v>96.86</v>
      </c>
      <c r="N3921" s="4">
        <f t="shared" si="61"/>
        <v>-100</v>
      </c>
      <c r="O3921" t="s">
        <v>83</v>
      </c>
    </row>
    <row r="3922" spans="1:15" x14ac:dyDescent="0.25">
      <c r="A3922" s="22">
        <v>45807</v>
      </c>
      <c r="B3922" s="1">
        <v>913744696</v>
      </c>
      <c r="C3922" t="s">
        <v>3045</v>
      </c>
      <c r="D3922" s="23">
        <v>-9686</v>
      </c>
      <c r="E3922" t="s">
        <v>35</v>
      </c>
      <c r="F3922" s="2">
        <v>212901001</v>
      </c>
      <c r="G3922" s="2" t="s">
        <v>91</v>
      </c>
      <c r="I3922" s="95" t="s">
        <v>7231</v>
      </c>
      <c r="J3922" t="s">
        <v>61</v>
      </c>
      <c r="K3922" t="s">
        <v>62</v>
      </c>
      <c r="M3922">
        <v>96.86</v>
      </c>
      <c r="N3922" s="4">
        <f t="shared" si="61"/>
        <v>-100</v>
      </c>
      <c r="O3922" t="s">
        <v>83</v>
      </c>
    </row>
    <row r="3923" spans="1:15" x14ac:dyDescent="0.25">
      <c r="A3923" s="22">
        <v>45807</v>
      </c>
      <c r="B3923" s="1">
        <v>913744702</v>
      </c>
      <c r="C3923" t="s">
        <v>3046</v>
      </c>
      <c r="D3923" s="23">
        <v>-9686</v>
      </c>
      <c r="E3923" t="s">
        <v>35</v>
      </c>
      <c r="F3923" s="2">
        <v>212901001</v>
      </c>
      <c r="G3923" s="2" t="s">
        <v>91</v>
      </c>
      <c r="I3923" s="95" t="s">
        <v>7231</v>
      </c>
      <c r="J3923" t="s">
        <v>61</v>
      </c>
      <c r="K3923" t="s">
        <v>62</v>
      </c>
      <c r="M3923">
        <v>96.86</v>
      </c>
      <c r="N3923" s="4">
        <f t="shared" si="61"/>
        <v>-100</v>
      </c>
      <c r="O3923" t="s">
        <v>83</v>
      </c>
    </row>
    <row r="3924" spans="1:15" x14ac:dyDescent="0.25">
      <c r="A3924" s="22">
        <v>45807</v>
      </c>
      <c r="B3924" s="1">
        <v>913744698</v>
      </c>
      <c r="C3924" t="s">
        <v>3047</v>
      </c>
      <c r="D3924" s="23">
        <v>-9686</v>
      </c>
      <c r="E3924" t="s">
        <v>35</v>
      </c>
      <c r="F3924" s="2">
        <v>212901001</v>
      </c>
      <c r="G3924" s="2" t="s">
        <v>91</v>
      </c>
      <c r="I3924" s="95" t="s">
        <v>7231</v>
      </c>
      <c r="J3924" t="s">
        <v>61</v>
      </c>
      <c r="K3924" t="s">
        <v>62</v>
      </c>
      <c r="M3924">
        <v>96.86</v>
      </c>
      <c r="N3924" s="4">
        <f t="shared" si="61"/>
        <v>-100</v>
      </c>
      <c r="O3924" t="s">
        <v>83</v>
      </c>
    </row>
    <row r="3925" spans="1:15" x14ac:dyDescent="0.25">
      <c r="A3925" s="22">
        <v>45807</v>
      </c>
      <c r="B3925" s="1">
        <v>913744700</v>
      </c>
      <c r="C3925" t="s">
        <v>3048</v>
      </c>
      <c r="D3925" s="23">
        <v>-9686</v>
      </c>
      <c r="E3925" t="s">
        <v>35</v>
      </c>
      <c r="F3925" s="2">
        <v>212901001</v>
      </c>
      <c r="G3925" s="2" t="s">
        <v>91</v>
      </c>
      <c r="I3925" s="95" t="s">
        <v>7231</v>
      </c>
      <c r="J3925" t="s">
        <v>61</v>
      </c>
      <c r="K3925" t="s">
        <v>62</v>
      </c>
      <c r="M3925">
        <v>96.86</v>
      </c>
      <c r="N3925" s="4">
        <f t="shared" si="61"/>
        <v>-100</v>
      </c>
      <c r="O3925" t="s">
        <v>83</v>
      </c>
    </row>
    <row r="3926" spans="1:15" x14ac:dyDescent="0.25">
      <c r="A3926" s="22">
        <v>45807</v>
      </c>
      <c r="B3926" s="1">
        <v>13744708</v>
      </c>
      <c r="C3926" t="s">
        <v>3049</v>
      </c>
      <c r="D3926" s="23">
        <v>-9686</v>
      </c>
      <c r="E3926" t="s">
        <v>35</v>
      </c>
      <c r="F3926" s="2">
        <v>212901001</v>
      </c>
      <c r="G3926" s="2" t="s">
        <v>91</v>
      </c>
      <c r="I3926" s="95" t="s">
        <v>7231</v>
      </c>
      <c r="J3926" t="s">
        <v>61</v>
      </c>
      <c r="K3926" t="s">
        <v>62</v>
      </c>
      <c r="M3926">
        <v>96.86</v>
      </c>
      <c r="N3926" s="4">
        <f t="shared" si="61"/>
        <v>-100</v>
      </c>
      <c r="O3926" t="s">
        <v>83</v>
      </c>
    </row>
    <row r="3927" spans="1:15" x14ac:dyDescent="0.25">
      <c r="A3927" s="22">
        <v>45807</v>
      </c>
      <c r="B3927" s="1">
        <v>913744699</v>
      </c>
      <c r="C3927" t="s">
        <v>3050</v>
      </c>
      <c r="D3927" s="23">
        <v>-9686</v>
      </c>
      <c r="E3927" t="s">
        <v>35</v>
      </c>
      <c r="F3927" s="2">
        <v>212901001</v>
      </c>
      <c r="G3927" s="2" t="s">
        <v>91</v>
      </c>
      <c r="I3927" s="95" t="s">
        <v>7231</v>
      </c>
      <c r="J3927" t="s">
        <v>61</v>
      </c>
      <c r="K3927" t="s">
        <v>62</v>
      </c>
      <c r="M3927">
        <v>96.86</v>
      </c>
      <c r="N3927" s="4">
        <f t="shared" si="61"/>
        <v>-100</v>
      </c>
      <c r="O3927" t="s">
        <v>83</v>
      </c>
    </row>
    <row r="3928" spans="1:15" x14ac:dyDescent="0.25">
      <c r="A3928" s="22">
        <v>45807</v>
      </c>
      <c r="B3928" s="1">
        <v>13744703</v>
      </c>
      <c r="C3928" t="s">
        <v>3051</v>
      </c>
      <c r="D3928" s="23">
        <v>-9686</v>
      </c>
      <c r="E3928" t="s">
        <v>35</v>
      </c>
      <c r="F3928" s="2">
        <v>212901001</v>
      </c>
      <c r="G3928" s="2" t="s">
        <v>91</v>
      </c>
      <c r="I3928" s="95" t="s">
        <v>7231</v>
      </c>
      <c r="J3928" t="s">
        <v>61</v>
      </c>
      <c r="K3928" t="s">
        <v>62</v>
      </c>
      <c r="M3928">
        <v>96.86</v>
      </c>
      <c r="N3928" s="4">
        <f t="shared" si="61"/>
        <v>-100</v>
      </c>
      <c r="O3928" t="s">
        <v>83</v>
      </c>
    </row>
    <row r="3929" spans="1:15" x14ac:dyDescent="0.25">
      <c r="A3929" s="22">
        <v>45807</v>
      </c>
      <c r="B3929" s="1">
        <v>13744705</v>
      </c>
      <c r="C3929" t="s">
        <v>3052</v>
      </c>
      <c r="D3929" s="23">
        <v>-9686</v>
      </c>
      <c r="E3929" t="s">
        <v>35</v>
      </c>
      <c r="F3929" s="2">
        <v>212901001</v>
      </c>
      <c r="G3929" s="2" t="s">
        <v>91</v>
      </c>
      <c r="I3929" s="95" t="s">
        <v>7231</v>
      </c>
      <c r="J3929" t="s">
        <v>61</v>
      </c>
      <c r="K3929" t="s">
        <v>62</v>
      </c>
      <c r="M3929">
        <v>96.86</v>
      </c>
      <c r="N3929" s="4">
        <f t="shared" si="61"/>
        <v>-100</v>
      </c>
      <c r="O3929" t="s">
        <v>83</v>
      </c>
    </row>
    <row r="3930" spans="1:15" x14ac:dyDescent="0.25">
      <c r="A3930" s="22">
        <v>45807</v>
      </c>
      <c r="B3930" s="1">
        <v>13744704</v>
      </c>
      <c r="C3930" t="s">
        <v>3053</v>
      </c>
      <c r="D3930" s="23">
        <v>-9686</v>
      </c>
      <c r="E3930" t="s">
        <v>35</v>
      </c>
      <c r="F3930" s="2">
        <v>212901001</v>
      </c>
      <c r="G3930" s="2" t="s">
        <v>91</v>
      </c>
      <c r="I3930" s="95" t="s">
        <v>7231</v>
      </c>
      <c r="J3930" t="s">
        <v>61</v>
      </c>
      <c r="K3930" t="s">
        <v>62</v>
      </c>
      <c r="M3930">
        <v>96.86</v>
      </c>
      <c r="N3930" s="4">
        <f t="shared" si="61"/>
        <v>-100</v>
      </c>
      <c r="O3930" t="s">
        <v>83</v>
      </c>
    </row>
    <row r="3931" spans="1:15" x14ac:dyDescent="0.25">
      <c r="A3931" s="22">
        <v>45807</v>
      </c>
      <c r="B3931" s="1">
        <v>13744706</v>
      </c>
      <c r="C3931" t="s">
        <v>3054</v>
      </c>
      <c r="D3931" s="23">
        <v>-9686</v>
      </c>
      <c r="E3931" t="s">
        <v>35</v>
      </c>
      <c r="F3931" s="2">
        <v>212901001</v>
      </c>
      <c r="G3931" s="2" t="s">
        <v>91</v>
      </c>
      <c r="I3931" s="95" t="s">
        <v>7231</v>
      </c>
      <c r="J3931" t="s">
        <v>61</v>
      </c>
      <c r="K3931" t="s">
        <v>62</v>
      </c>
      <c r="M3931">
        <v>96.86</v>
      </c>
      <c r="N3931" s="4">
        <f t="shared" si="61"/>
        <v>-100</v>
      </c>
      <c r="O3931" t="s">
        <v>83</v>
      </c>
    </row>
    <row r="3932" spans="1:15" x14ac:dyDescent="0.25">
      <c r="A3932" s="22">
        <v>45807</v>
      </c>
      <c r="B3932" s="1">
        <v>913744701</v>
      </c>
      <c r="C3932" t="s">
        <v>3055</v>
      </c>
      <c r="D3932" s="23">
        <v>-9686</v>
      </c>
      <c r="E3932" t="s">
        <v>35</v>
      </c>
      <c r="F3932" s="2">
        <v>212901001</v>
      </c>
      <c r="G3932" s="2" t="s">
        <v>91</v>
      </c>
      <c r="I3932" s="95" t="s">
        <v>7231</v>
      </c>
      <c r="J3932" t="s">
        <v>61</v>
      </c>
      <c r="K3932" t="s">
        <v>62</v>
      </c>
      <c r="M3932">
        <v>96.86</v>
      </c>
      <c r="N3932" s="4">
        <f t="shared" si="61"/>
        <v>-100</v>
      </c>
      <c r="O3932" t="s">
        <v>83</v>
      </c>
    </row>
    <row r="3933" spans="1:15" x14ac:dyDescent="0.25">
      <c r="A3933" s="22">
        <v>45807</v>
      </c>
      <c r="B3933" s="1">
        <v>13744712</v>
      </c>
      <c r="C3933" t="s">
        <v>3056</v>
      </c>
      <c r="D3933" s="23">
        <v>-18403.400000000001</v>
      </c>
      <c r="E3933" t="s">
        <v>35</v>
      </c>
      <c r="F3933" s="2">
        <v>212901001</v>
      </c>
      <c r="G3933" s="2" t="s">
        <v>91</v>
      </c>
      <c r="I3933" s="95" t="s">
        <v>7231</v>
      </c>
      <c r="J3933" t="s">
        <v>61</v>
      </c>
      <c r="K3933" t="s">
        <v>62</v>
      </c>
      <c r="M3933">
        <v>96.86</v>
      </c>
      <c r="N3933" s="4">
        <f t="shared" si="61"/>
        <v>-190.00000000000003</v>
      </c>
      <c r="O3933" t="s">
        <v>83</v>
      </c>
    </row>
    <row r="3934" spans="1:15" x14ac:dyDescent="0.25">
      <c r="A3934" s="22">
        <v>45807</v>
      </c>
      <c r="B3934" s="1">
        <v>13744711</v>
      </c>
      <c r="C3934" t="s">
        <v>3057</v>
      </c>
      <c r="D3934" s="23">
        <v>-9686</v>
      </c>
      <c r="E3934" t="s">
        <v>35</v>
      </c>
      <c r="F3934" s="2">
        <v>212901001</v>
      </c>
      <c r="G3934" s="2" t="s">
        <v>91</v>
      </c>
      <c r="I3934" s="95" t="s">
        <v>7231</v>
      </c>
      <c r="J3934" t="s">
        <v>61</v>
      </c>
      <c r="K3934" t="s">
        <v>62</v>
      </c>
      <c r="M3934">
        <v>96.86</v>
      </c>
      <c r="N3934" s="4">
        <f t="shared" si="61"/>
        <v>-100</v>
      </c>
      <c r="O3934" t="s">
        <v>83</v>
      </c>
    </row>
    <row r="3935" spans="1:15" x14ac:dyDescent="0.25">
      <c r="A3935" s="22">
        <v>45807</v>
      </c>
      <c r="B3935" s="1">
        <v>113744716</v>
      </c>
      <c r="C3935" t="s">
        <v>3058</v>
      </c>
      <c r="D3935" s="23">
        <v>-11623.2</v>
      </c>
      <c r="E3935" t="s">
        <v>35</v>
      </c>
      <c r="F3935" s="2">
        <v>212901001</v>
      </c>
      <c r="G3935" s="2" t="s">
        <v>91</v>
      </c>
      <c r="I3935" s="95" t="s">
        <v>7231</v>
      </c>
      <c r="J3935" t="s">
        <v>61</v>
      </c>
      <c r="K3935" t="s">
        <v>62</v>
      </c>
      <c r="M3935">
        <v>96.86</v>
      </c>
      <c r="N3935" s="4">
        <f t="shared" si="61"/>
        <v>-120.00000000000001</v>
      </c>
      <c r="O3935" t="s">
        <v>83</v>
      </c>
    </row>
    <row r="3936" spans="1:15" x14ac:dyDescent="0.25">
      <c r="A3936" s="22">
        <v>45807</v>
      </c>
      <c r="B3936" s="1">
        <v>113744720</v>
      </c>
      <c r="C3936" t="s">
        <v>3059</v>
      </c>
      <c r="D3936" s="23">
        <v>-11623.2</v>
      </c>
      <c r="E3936" t="s">
        <v>35</v>
      </c>
      <c r="F3936" s="2">
        <v>212901001</v>
      </c>
      <c r="G3936" s="2" t="s">
        <v>91</v>
      </c>
      <c r="I3936" s="95" t="s">
        <v>7231</v>
      </c>
      <c r="J3936" t="s">
        <v>61</v>
      </c>
      <c r="K3936" t="s">
        <v>62</v>
      </c>
      <c r="M3936">
        <v>96.86</v>
      </c>
      <c r="N3936" s="4">
        <f t="shared" si="61"/>
        <v>-120.00000000000001</v>
      </c>
      <c r="O3936" t="s">
        <v>83</v>
      </c>
    </row>
    <row r="3937" spans="1:15" x14ac:dyDescent="0.25">
      <c r="A3937" s="22">
        <v>45807</v>
      </c>
      <c r="B3937" s="1">
        <v>13744715</v>
      </c>
      <c r="C3937" t="s">
        <v>3060</v>
      </c>
      <c r="D3937" s="23">
        <v>-11623.2</v>
      </c>
      <c r="E3937" t="s">
        <v>35</v>
      </c>
      <c r="F3937" s="2">
        <v>212901001</v>
      </c>
      <c r="G3937" s="2" t="s">
        <v>91</v>
      </c>
      <c r="I3937" s="95" t="s">
        <v>7231</v>
      </c>
      <c r="J3937" t="s">
        <v>61</v>
      </c>
      <c r="K3937" t="s">
        <v>62</v>
      </c>
      <c r="M3937">
        <v>96.86</v>
      </c>
      <c r="N3937" s="4">
        <f t="shared" si="61"/>
        <v>-120.00000000000001</v>
      </c>
      <c r="O3937" t="s">
        <v>83</v>
      </c>
    </row>
    <row r="3938" spans="1:15" x14ac:dyDescent="0.25">
      <c r="A3938" s="22">
        <v>45807</v>
      </c>
      <c r="B3938" s="1">
        <v>113744718</v>
      </c>
      <c r="C3938" t="s">
        <v>3061</v>
      </c>
      <c r="D3938" s="23">
        <v>-11623.2</v>
      </c>
      <c r="E3938" t="s">
        <v>35</v>
      </c>
      <c r="F3938" s="2">
        <v>212901001</v>
      </c>
      <c r="G3938" s="2" t="s">
        <v>91</v>
      </c>
      <c r="I3938" s="95" t="s">
        <v>7231</v>
      </c>
      <c r="J3938" t="s">
        <v>61</v>
      </c>
      <c r="K3938" t="s">
        <v>62</v>
      </c>
      <c r="M3938">
        <v>96.86</v>
      </c>
      <c r="N3938" s="4">
        <f t="shared" si="61"/>
        <v>-120.00000000000001</v>
      </c>
      <c r="O3938" t="s">
        <v>83</v>
      </c>
    </row>
    <row r="3939" spans="1:15" x14ac:dyDescent="0.25">
      <c r="A3939" s="22">
        <v>45807</v>
      </c>
      <c r="B3939" s="1">
        <v>113744719</v>
      </c>
      <c r="C3939" t="s">
        <v>3062</v>
      </c>
      <c r="D3939" s="23">
        <v>-11623.2</v>
      </c>
      <c r="E3939" t="s">
        <v>35</v>
      </c>
      <c r="F3939" s="2">
        <v>212901001</v>
      </c>
      <c r="G3939" s="2" t="s">
        <v>91</v>
      </c>
      <c r="I3939" s="95" t="s">
        <v>7231</v>
      </c>
      <c r="J3939" t="s">
        <v>61</v>
      </c>
      <c r="K3939" t="s">
        <v>62</v>
      </c>
      <c r="M3939">
        <v>96.86</v>
      </c>
      <c r="N3939" s="4">
        <f t="shared" si="61"/>
        <v>-120.00000000000001</v>
      </c>
      <c r="O3939" t="s">
        <v>83</v>
      </c>
    </row>
    <row r="3940" spans="1:15" x14ac:dyDescent="0.25">
      <c r="A3940" s="22">
        <v>45807</v>
      </c>
      <c r="B3940" s="1">
        <v>13744713</v>
      </c>
      <c r="C3940" t="s">
        <v>3063</v>
      </c>
      <c r="D3940" s="23">
        <v>-13560.4</v>
      </c>
      <c r="E3940" t="s">
        <v>35</v>
      </c>
      <c r="F3940" s="2">
        <v>212901001</v>
      </c>
      <c r="G3940" s="2" t="s">
        <v>91</v>
      </c>
      <c r="I3940" s="95" t="s">
        <v>7231</v>
      </c>
      <c r="J3940" t="s">
        <v>61</v>
      </c>
      <c r="K3940" t="s">
        <v>62</v>
      </c>
      <c r="M3940">
        <v>96.86</v>
      </c>
      <c r="N3940" s="4">
        <f t="shared" si="61"/>
        <v>-140</v>
      </c>
      <c r="O3940" t="s">
        <v>83</v>
      </c>
    </row>
    <row r="3941" spans="1:15" x14ac:dyDescent="0.25">
      <c r="A3941" s="22">
        <v>45807</v>
      </c>
      <c r="B3941" s="1">
        <v>13744707</v>
      </c>
      <c r="C3941" t="s">
        <v>3064</v>
      </c>
      <c r="D3941" s="23">
        <v>-9686</v>
      </c>
      <c r="E3941" t="s">
        <v>35</v>
      </c>
      <c r="F3941" s="2">
        <v>212901001</v>
      </c>
      <c r="G3941" s="2" t="s">
        <v>91</v>
      </c>
      <c r="I3941" s="95" t="s">
        <v>7231</v>
      </c>
      <c r="J3941" t="s">
        <v>61</v>
      </c>
      <c r="K3941" t="s">
        <v>62</v>
      </c>
      <c r="M3941">
        <v>96.86</v>
      </c>
      <c r="N3941" s="4">
        <f t="shared" si="61"/>
        <v>-100</v>
      </c>
      <c r="O3941" t="s">
        <v>83</v>
      </c>
    </row>
    <row r="3942" spans="1:15" x14ac:dyDescent="0.25">
      <c r="A3942" s="22">
        <v>45807</v>
      </c>
      <c r="B3942" s="1">
        <v>13744709</v>
      </c>
      <c r="C3942" t="s">
        <v>3065</v>
      </c>
      <c r="D3942" s="23">
        <v>-9686</v>
      </c>
      <c r="E3942" t="s">
        <v>35</v>
      </c>
      <c r="F3942" s="2">
        <v>212901001</v>
      </c>
      <c r="G3942" s="2" t="s">
        <v>91</v>
      </c>
      <c r="I3942" s="95" t="s">
        <v>7231</v>
      </c>
      <c r="J3942" t="s">
        <v>61</v>
      </c>
      <c r="K3942" t="s">
        <v>62</v>
      </c>
      <c r="M3942">
        <v>96.86</v>
      </c>
      <c r="N3942" s="4">
        <f t="shared" si="61"/>
        <v>-100</v>
      </c>
      <c r="O3942" t="s">
        <v>83</v>
      </c>
    </row>
    <row r="3943" spans="1:15" x14ac:dyDescent="0.25">
      <c r="A3943" s="22">
        <v>45807</v>
      </c>
      <c r="B3943" s="1">
        <v>113744717</v>
      </c>
      <c r="C3943" t="s">
        <v>3066</v>
      </c>
      <c r="D3943" s="23">
        <v>-11623.2</v>
      </c>
      <c r="E3943" t="s">
        <v>35</v>
      </c>
      <c r="F3943" s="2">
        <v>212901001</v>
      </c>
      <c r="G3943" s="2" t="s">
        <v>91</v>
      </c>
      <c r="I3943" s="95" t="s">
        <v>7231</v>
      </c>
      <c r="J3943" t="s">
        <v>61</v>
      </c>
      <c r="K3943" t="s">
        <v>62</v>
      </c>
      <c r="M3943">
        <v>96.86</v>
      </c>
      <c r="N3943" s="4">
        <f t="shared" si="61"/>
        <v>-120.00000000000001</v>
      </c>
      <c r="O3943" t="s">
        <v>83</v>
      </c>
    </row>
    <row r="3944" spans="1:15" x14ac:dyDescent="0.25">
      <c r="A3944" s="22">
        <v>45807</v>
      </c>
      <c r="B3944" s="1">
        <v>113744722</v>
      </c>
      <c r="C3944" t="s">
        <v>3067</v>
      </c>
      <c r="D3944" s="23">
        <v>-7942.52</v>
      </c>
      <c r="E3944" t="s">
        <v>35</v>
      </c>
      <c r="F3944" s="2">
        <v>212901001</v>
      </c>
      <c r="G3944" s="2" t="s">
        <v>91</v>
      </c>
      <c r="I3944" s="95" t="s">
        <v>7231</v>
      </c>
      <c r="J3944" t="s">
        <v>61</v>
      </c>
      <c r="K3944" t="s">
        <v>62</v>
      </c>
      <c r="M3944">
        <v>96.86</v>
      </c>
      <c r="N3944" s="4">
        <f t="shared" si="61"/>
        <v>-82</v>
      </c>
      <c r="O3944" t="s">
        <v>83</v>
      </c>
    </row>
    <row r="3945" spans="1:15" x14ac:dyDescent="0.25">
      <c r="A3945" s="22">
        <v>45807</v>
      </c>
      <c r="B3945" s="1">
        <v>113744726</v>
      </c>
      <c r="C3945" t="s">
        <v>3068</v>
      </c>
      <c r="D3945" s="23">
        <v>-8717.4</v>
      </c>
      <c r="E3945" t="s">
        <v>35</v>
      </c>
      <c r="F3945" s="2">
        <v>212901001</v>
      </c>
      <c r="G3945" s="2" t="s">
        <v>91</v>
      </c>
      <c r="I3945" s="95" t="s">
        <v>7231</v>
      </c>
      <c r="J3945" t="s">
        <v>61</v>
      </c>
      <c r="K3945" t="s">
        <v>62</v>
      </c>
      <c r="M3945">
        <v>96.86</v>
      </c>
      <c r="N3945" s="4">
        <f t="shared" si="61"/>
        <v>-90</v>
      </c>
      <c r="O3945" t="s">
        <v>83</v>
      </c>
    </row>
    <row r="3946" spans="1:15" x14ac:dyDescent="0.25">
      <c r="A3946" s="22">
        <v>45807</v>
      </c>
      <c r="B3946" s="1">
        <v>113744724</v>
      </c>
      <c r="C3946" t="s">
        <v>3069</v>
      </c>
      <c r="D3946" s="23">
        <v>-8717.4</v>
      </c>
      <c r="E3946" t="s">
        <v>35</v>
      </c>
      <c r="F3946" s="2">
        <v>212901001</v>
      </c>
      <c r="G3946" s="2" t="s">
        <v>91</v>
      </c>
      <c r="I3946" s="95" t="s">
        <v>7231</v>
      </c>
      <c r="J3946" t="s">
        <v>61</v>
      </c>
      <c r="K3946" t="s">
        <v>62</v>
      </c>
      <c r="M3946">
        <v>96.86</v>
      </c>
      <c r="N3946" s="4">
        <f t="shared" si="61"/>
        <v>-90</v>
      </c>
      <c r="O3946" t="s">
        <v>83</v>
      </c>
    </row>
    <row r="3947" spans="1:15" x14ac:dyDescent="0.25">
      <c r="A3947" s="22">
        <v>45807</v>
      </c>
      <c r="B3947" s="1">
        <v>213744727</v>
      </c>
      <c r="C3947" t="s">
        <v>3070</v>
      </c>
      <c r="D3947" s="23">
        <v>-8717.4</v>
      </c>
      <c r="E3947" t="s">
        <v>35</v>
      </c>
      <c r="F3947" s="2">
        <v>212901001</v>
      </c>
      <c r="G3947" s="2" t="s">
        <v>91</v>
      </c>
      <c r="I3947" s="95" t="s">
        <v>7231</v>
      </c>
      <c r="J3947" t="s">
        <v>61</v>
      </c>
      <c r="K3947" t="s">
        <v>62</v>
      </c>
      <c r="M3947">
        <v>96.86</v>
      </c>
      <c r="N3947" s="4">
        <f t="shared" si="61"/>
        <v>-90</v>
      </c>
      <c r="O3947" t="s">
        <v>83</v>
      </c>
    </row>
    <row r="3948" spans="1:15" x14ac:dyDescent="0.25">
      <c r="A3948" s="22">
        <v>45807</v>
      </c>
      <c r="B3948" s="1">
        <v>213744731</v>
      </c>
      <c r="C3948" t="s">
        <v>3071</v>
      </c>
      <c r="D3948" s="23">
        <v>-7748.8</v>
      </c>
      <c r="E3948" t="s">
        <v>35</v>
      </c>
      <c r="F3948" s="2">
        <v>212901001</v>
      </c>
      <c r="G3948" s="2" t="s">
        <v>91</v>
      </c>
      <c r="I3948" s="95" t="s">
        <v>7231</v>
      </c>
      <c r="J3948" t="s">
        <v>61</v>
      </c>
      <c r="K3948" t="s">
        <v>62</v>
      </c>
      <c r="M3948">
        <v>96.86</v>
      </c>
      <c r="N3948" s="4">
        <f t="shared" si="61"/>
        <v>-80</v>
      </c>
      <c r="O3948" t="s">
        <v>83</v>
      </c>
    </row>
    <row r="3949" spans="1:15" x14ac:dyDescent="0.25">
      <c r="A3949" s="22">
        <v>45807</v>
      </c>
      <c r="B3949" s="1">
        <v>113744725</v>
      </c>
      <c r="C3949" t="s">
        <v>3072</v>
      </c>
      <c r="D3949" s="23">
        <v>-7942.52</v>
      </c>
      <c r="E3949" t="s">
        <v>35</v>
      </c>
      <c r="F3949" s="2">
        <v>212901001</v>
      </c>
      <c r="G3949" s="2" t="s">
        <v>91</v>
      </c>
      <c r="I3949" s="95" t="s">
        <v>7231</v>
      </c>
      <c r="J3949" t="s">
        <v>61</v>
      </c>
      <c r="K3949" t="s">
        <v>62</v>
      </c>
      <c r="M3949">
        <v>96.86</v>
      </c>
      <c r="N3949" s="4">
        <f t="shared" si="61"/>
        <v>-82</v>
      </c>
      <c r="O3949" t="s">
        <v>83</v>
      </c>
    </row>
    <row r="3950" spans="1:15" x14ac:dyDescent="0.25">
      <c r="A3950" s="22">
        <v>45807</v>
      </c>
      <c r="B3950" s="1">
        <v>213744728</v>
      </c>
      <c r="C3950" t="s">
        <v>3073</v>
      </c>
      <c r="D3950" s="23">
        <v>-7748.8</v>
      </c>
      <c r="E3950" t="s">
        <v>35</v>
      </c>
      <c r="F3950" s="2">
        <v>212901001</v>
      </c>
      <c r="G3950" s="2" t="s">
        <v>91</v>
      </c>
      <c r="I3950" s="95" t="s">
        <v>7231</v>
      </c>
      <c r="J3950" t="s">
        <v>61</v>
      </c>
      <c r="K3950" t="s">
        <v>62</v>
      </c>
      <c r="M3950">
        <v>96.86</v>
      </c>
      <c r="N3950" s="4">
        <f t="shared" si="61"/>
        <v>-80</v>
      </c>
      <c r="O3950" t="s">
        <v>83</v>
      </c>
    </row>
    <row r="3951" spans="1:15" x14ac:dyDescent="0.25">
      <c r="A3951" s="22">
        <v>45807</v>
      </c>
      <c r="B3951" s="1">
        <v>213744730</v>
      </c>
      <c r="C3951" t="s">
        <v>3074</v>
      </c>
      <c r="D3951" s="23">
        <v>-7748.8</v>
      </c>
      <c r="E3951" t="s">
        <v>35</v>
      </c>
      <c r="F3951" s="2">
        <v>212901001</v>
      </c>
      <c r="G3951" s="2" t="s">
        <v>91</v>
      </c>
      <c r="I3951" s="95" t="s">
        <v>7231</v>
      </c>
      <c r="J3951" t="s">
        <v>61</v>
      </c>
      <c r="K3951" t="s">
        <v>62</v>
      </c>
      <c r="M3951">
        <v>96.86</v>
      </c>
      <c r="N3951" s="4">
        <f t="shared" si="61"/>
        <v>-80</v>
      </c>
      <c r="O3951" t="s">
        <v>83</v>
      </c>
    </row>
    <row r="3952" spans="1:15" x14ac:dyDescent="0.25">
      <c r="A3952" s="22">
        <v>45807</v>
      </c>
      <c r="B3952" s="1">
        <v>313744737</v>
      </c>
      <c r="C3952" t="s">
        <v>3075</v>
      </c>
      <c r="D3952" s="23">
        <v>-13560.4</v>
      </c>
      <c r="E3952" t="s">
        <v>35</v>
      </c>
      <c r="F3952" s="2">
        <v>212901001</v>
      </c>
      <c r="G3952" s="2" t="s">
        <v>91</v>
      </c>
      <c r="I3952" s="95" t="s">
        <v>7231</v>
      </c>
      <c r="J3952" t="s">
        <v>61</v>
      </c>
      <c r="K3952" t="s">
        <v>62</v>
      </c>
      <c r="M3952">
        <v>96.86</v>
      </c>
      <c r="N3952" s="4">
        <f t="shared" si="61"/>
        <v>-140</v>
      </c>
      <c r="O3952" t="s">
        <v>83</v>
      </c>
    </row>
    <row r="3953" spans="1:15" x14ac:dyDescent="0.25">
      <c r="A3953" s="22">
        <v>45807</v>
      </c>
      <c r="B3953" s="1">
        <v>213744732</v>
      </c>
      <c r="C3953" t="s">
        <v>3076</v>
      </c>
      <c r="D3953" s="23">
        <v>-7748.8</v>
      </c>
      <c r="E3953" t="s">
        <v>35</v>
      </c>
      <c r="F3953" s="2">
        <v>212901001</v>
      </c>
      <c r="G3953" s="2" t="s">
        <v>91</v>
      </c>
      <c r="I3953" s="95" t="s">
        <v>7231</v>
      </c>
      <c r="J3953" t="s">
        <v>61</v>
      </c>
      <c r="K3953" t="s">
        <v>62</v>
      </c>
      <c r="M3953">
        <v>96.86</v>
      </c>
      <c r="N3953" s="4">
        <f t="shared" si="61"/>
        <v>-80</v>
      </c>
      <c r="O3953" t="s">
        <v>83</v>
      </c>
    </row>
    <row r="3954" spans="1:15" x14ac:dyDescent="0.25">
      <c r="A3954" s="22">
        <v>45807</v>
      </c>
      <c r="B3954" s="1">
        <v>313744738</v>
      </c>
      <c r="C3954" t="s">
        <v>3077</v>
      </c>
      <c r="D3954" s="23">
        <v>-18403.400000000001</v>
      </c>
      <c r="E3954" t="s">
        <v>35</v>
      </c>
      <c r="F3954" s="2">
        <v>212901001</v>
      </c>
      <c r="G3954" s="2" t="s">
        <v>91</v>
      </c>
      <c r="I3954" s="95" t="s">
        <v>7231</v>
      </c>
      <c r="J3954" t="s">
        <v>61</v>
      </c>
      <c r="K3954" t="s">
        <v>62</v>
      </c>
      <c r="M3954">
        <v>96.86</v>
      </c>
      <c r="N3954" s="4">
        <f t="shared" si="61"/>
        <v>-190.00000000000003</v>
      </c>
      <c r="O3954" t="s">
        <v>83</v>
      </c>
    </row>
    <row r="3955" spans="1:15" x14ac:dyDescent="0.25">
      <c r="A3955" s="22">
        <v>45807</v>
      </c>
      <c r="B3955" s="1">
        <v>213744733</v>
      </c>
      <c r="C3955" t="s">
        <v>3078</v>
      </c>
      <c r="D3955" s="23">
        <v>-7748.8</v>
      </c>
      <c r="E3955" t="s">
        <v>35</v>
      </c>
      <c r="F3955" s="2">
        <v>212901001</v>
      </c>
      <c r="G3955" s="2" t="s">
        <v>91</v>
      </c>
      <c r="I3955" s="95" t="s">
        <v>7231</v>
      </c>
      <c r="J3955" t="s">
        <v>61</v>
      </c>
      <c r="K3955" t="s">
        <v>62</v>
      </c>
      <c r="M3955">
        <v>96.86</v>
      </c>
      <c r="N3955" s="4">
        <f t="shared" si="61"/>
        <v>-80</v>
      </c>
      <c r="O3955" t="s">
        <v>83</v>
      </c>
    </row>
    <row r="3956" spans="1:15" x14ac:dyDescent="0.25">
      <c r="A3956" s="22">
        <v>45807</v>
      </c>
      <c r="B3956" s="1">
        <v>213744734</v>
      </c>
      <c r="C3956" t="s">
        <v>3079</v>
      </c>
      <c r="D3956" s="23">
        <v>-7748.8</v>
      </c>
      <c r="E3956" t="s">
        <v>35</v>
      </c>
      <c r="F3956" s="2">
        <v>212901001</v>
      </c>
      <c r="G3956" s="2" t="s">
        <v>91</v>
      </c>
      <c r="I3956" s="95" t="s">
        <v>7231</v>
      </c>
      <c r="J3956" t="s">
        <v>61</v>
      </c>
      <c r="K3956" t="s">
        <v>62</v>
      </c>
      <c r="M3956">
        <v>96.86</v>
      </c>
      <c r="N3956" s="4">
        <f t="shared" si="61"/>
        <v>-80</v>
      </c>
      <c r="O3956" t="s">
        <v>83</v>
      </c>
    </row>
    <row r="3957" spans="1:15" x14ac:dyDescent="0.25">
      <c r="A3957" s="22">
        <v>45807</v>
      </c>
      <c r="B3957" s="1">
        <v>113744723</v>
      </c>
      <c r="C3957" t="s">
        <v>3080</v>
      </c>
      <c r="D3957" s="23">
        <v>-8717.4</v>
      </c>
      <c r="E3957" t="s">
        <v>35</v>
      </c>
      <c r="F3957" s="2">
        <v>212901001</v>
      </c>
      <c r="G3957" s="2" t="s">
        <v>91</v>
      </c>
      <c r="I3957" s="95" t="s">
        <v>7231</v>
      </c>
      <c r="J3957" t="s">
        <v>61</v>
      </c>
      <c r="K3957" t="s">
        <v>62</v>
      </c>
      <c r="M3957">
        <v>96.86</v>
      </c>
      <c r="N3957" s="4">
        <f t="shared" si="61"/>
        <v>-90</v>
      </c>
      <c r="O3957" t="s">
        <v>83</v>
      </c>
    </row>
    <row r="3958" spans="1:15" x14ac:dyDescent="0.25">
      <c r="A3958" s="22">
        <v>45807</v>
      </c>
      <c r="B3958" s="1">
        <v>313744744</v>
      </c>
      <c r="C3958" t="s">
        <v>3081</v>
      </c>
      <c r="D3958" s="23">
        <v>-13560.4</v>
      </c>
      <c r="E3958" t="s">
        <v>35</v>
      </c>
      <c r="F3958" s="2">
        <v>212901001</v>
      </c>
      <c r="G3958" s="2" t="s">
        <v>91</v>
      </c>
      <c r="I3958" s="95" t="s">
        <v>7231</v>
      </c>
      <c r="J3958" t="s">
        <v>61</v>
      </c>
      <c r="K3958" t="s">
        <v>62</v>
      </c>
      <c r="M3958">
        <v>96.86</v>
      </c>
      <c r="N3958" s="4">
        <f t="shared" si="61"/>
        <v>-140</v>
      </c>
      <c r="O3958" t="s">
        <v>83</v>
      </c>
    </row>
    <row r="3959" spans="1:15" x14ac:dyDescent="0.25">
      <c r="A3959" s="22">
        <v>45807</v>
      </c>
      <c r="B3959" s="1">
        <v>213744735</v>
      </c>
      <c r="C3959" t="s">
        <v>3082</v>
      </c>
      <c r="D3959" s="23">
        <v>-7748.8</v>
      </c>
      <c r="E3959" t="s">
        <v>35</v>
      </c>
      <c r="F3959" s="2">
        <v>212901001</v>
      </c>
      <c r="G3959" s="2" t="s">
        <v>91</v>
      </c>
      <c r="I3959" s="95" t="s">
        <v>7231</v>
      </c>
      <c r="J3959" t="s">
        <v>61</v>
      </c>
      <c r="K3959" t="s">
        <v>62</v>
      </c>
      <c r="M3959">
        <v>96.86</v>
      </c>
      <c r="N3959" s="4">
        <f t="shared" si="61"/>
        <v>-80</v>
      </c>
      <c r="O3959" t="s">
        <v>83</v>
      </c>
    </row>
    <row r="3960" spans="1:15" x14ac:dyDescent="0.25">
      <c r="A3960" s="22">
        <v>45807</v>
      </c>
      <c r="B3960" s="1">
        <v>213744736</v>
      </c>
      <c r="C3960" t="s">
        <v>3083</v>
      </c>
      <c r="D3960" s="23">
        <v>-9686</v>
      </c>
      <c r="E3960" t="s">
        <v>35</v>
      </c>
      <c r="F3960" s="2">
        <v>212901001</v>
      </c>
      <c r="G3960" s="2" t="s">
        <v>91</v>
      </c>
      <c r="I3960" s="95" t="s">
        <v>7231</v>
      </c>
      <c r="J3960" t="s">
        <v>61</v>
      </c>
      <c r="K3960" t="s">
        <v>62</v>
      </c>
      <c r="M3960">
        <v>96.86</v>
      </c>
      <c r="N3960" s="4">
        <f t="shared" si="61"/>
        <v>-100</v>
      </c>
      <c r="O3960" t="s">
        <v>83</v>
      </c>
    </row>
    <row r="3961" spans="1:15" x14ac:dyDescent="0.25">
      <c r="A3961" s="22">
        <v>45807</v>
      </c>
      <c r="B3961" s="1">
        <v>313744747</v>
      </c>
      <c r="C3961" t="s">
        <v>3084</v>
      </c>
      <c r="D3961" s="23">
        <v>-10654.6</v>
      </c>
      <c r="E3961" t="s">
        <v>35</v>
      </c>
      <c r="F3961" s="2">
        <v>212901001</v>
      </c>
      <c r="G3961" s="2" t="s">
        <v>91</v>
      </c>
      <c r="I3961" s="95" t="s">
        <v>7231</v>
      </c>
      <c r="J3961" t="s">
        <v>61</v>
      </c>
      <c r="K3961" t="s">
        <v>62</v>
      </c>
      <c r="M3961">
        <v>96.86</v>
      </c>
      <c r="N3961" s="4">
        <f t="shared" si="61"/>
        <v>-110</v>
      </c>
      <c r="O3961" t="s">
        <v>83</v>
      </c>
    </row>
    <row r="3962" spans="1:15" x14ac:dyDescent="0.25">
      <c r="A3962" s="22">
        <v>45807</v>
      </c>
      <c r="B3962" s="1">
        <v>313744742</v>
      </c>
      <c r="C3962" t="s">
        <v>3085</v>
      </c>
      <c r="D3962" s="23">
        <v>-14529</v>
      </c>
      <c r="E3962" t="s">
        <v>35</v>
      </c>
      <c r="F3962" s="2">
        <v>212901001</v>
      </c>
      <c r="G3962" s="2" t="s">
        <v>91</v>
      </c>
      <c r="I3962" s="95" t="s">
        <v>7231</v>
      </c>
      <c r="J3962" t="s">
        <v>61</v>
      </c>
      <c r="K3962" t="s">
        <v>62</v>
      </c>
      <c r="M3962">
        <v>96.86</v>
      </c>
      <c r="N3962" s="4">
        <f t="shared" si="61"/>
        <v>-150</v>
      </c>
      <c r="O3962" t="s">
        <v>83</v>
      </c>
    </row>
    <row r="3963" spans="1:15" x14ac:dyDescent="0.25">
      <c r="A3963" s="22">
        <v>45807</v>
      </c>
      <c r="B3963" s="1">
        <v>313744739</v>
      </c>
      <c r="C3963" t="s">
        <v>3086</v>
      </c>
      <c r="D3963" s="23">
        <v>-6780.2</v>
      </c>
      <c r="E3963" t="s">
        <v>35</v>
      </c>
      <c r="F3963" s="2">
        <v>212901001</v>
      </c>
      <c r="G3963" s="2" t="s">
        <v>91</v>
      </c>
      <c r="I3963" s="95" t="s">
        <v>7231</v>
      </c>
      <c r="J3963" t="s">
        <v>61</v>
      </c>
      <c r="K3963" t="s">
        <v>62</v>
      </c>
      <c r="M3963">
        <v>96.86</v>
      </c>
      <c r="N3963" s="4">
        <f t="shared" si="61"/>
        <v>-70</v>
      </c>
      <c r="O3963" t="s">
        <v>83</v>
      </c>
    </row>
    <row r="3964" spans="1:15" x14ac:dyDescent="0.25">
      <c r="A3964" s="22">
        <v>45807</v>
      </c>
      <c r="B3964" s="1">
        <v>313744745</v>
      </c>
      <c r="C3964" t="s">
        <v>3087</v>
      </c>
      <c r="D3964" s="23">
        <v>-6392.76</v>
      </c>
      <c r="E3964" t="s">
        <v>35</v>
      </c>
      <c r="F3964" s="2">
        <v>212901001</v>
      </c>
      <c r="G3964" s="2" t="s">
        <v>91</v>
      </c>
      <c r="I3964" s="95" t="s">
        <v>7231</v>
      </c>
      <c r="J3964" t="s">
        <v>61</v>
      </c>
      <c r="K3964" t="s">
        <v>62</v>
      </c>
      <c r="M3964">
        <v>96.86</v>
      </c>
      <c r="N3964" s="4">
        <f t="shared" si="61"/>
        <v>-66</v>
      </c>
      <c r="O3964" t="s">
        <v>83</v>
      </c>
    </row>
    <row r="3965" spans="1:15" x14ac:dyDescent="0.25">
      <c r="A3965" s="22">
        <v>45807</v>
      </c>
      <c r="B3965" s="1">
        <v>313744743</v>
      </c>
      <c r="C3965" t="s">
        <v>3088</v>
      </c>
      <c r="D3965" s="23">
        <v>-11623.2</v>
      </c>
      <c r="E3965" t="s">
        <v>35</v>
      </c>
      <c r="F3965" s="2">
        <v>212901001</v>
      </c>
      <c r="G3965" s="2" t="s">
        <v>91</v>
      </c>
      <c r="I3965" s="95" t="s">
        <v>7231</v>
      </c>
      <c r="J3965" t="s">
        <v>61</v>
      </c>
      <c r="K3965" t="s">
        <v>62</v>
      </c>
      <c r="M3965">
        <v>96.86</v>
      </c>
      <c r="N3965" s="4">
        <f t="shared" si="61"/>
        <v>-120.00000000000001</v>
      </c>
      <c r="O3965" t="s">
        <v>83</v>
      </c>
    </row>
    <row r="3966" spans="1:15" x14ac:dyDescent="0.25">
      <c r="A3966" s="22">
        <v>45807</v>
      </c>
      <c r="B3966" s="1">
        <v>313744749</v>
      </c>
      <c r="C3966" t="s">
        <v>3089</v>
      </c>
      <c r="D3966" s="23">
        <v>-7942.52</v>
      </c>
      <c r="E3966" t="s">
        <v>35</v>
      </c>
      <c r="F3966" s="2">
        <v>212901001</v>
      </c>
      <c r="G3966" s="2" t="s">
        <v>91</v>
      </c>
      <c r="I3966" s="95" t="s">
        <v>7231</v>
      </c>
      <c r="J3966" t="s">
        <v>61</v>
      </c>
      <c r="K3966" t="s">
        <v>62</v>
      </c>
      <c r="M3966">
        <v>96.86</v>
      </c>
      <c r="N3966" s="4">
        <f t="shared" si="61"/>
        <v>-82</v>
      </c>
      <c r="O3966" t="s">
        <v>83</v>
      </c>
    </row>
    <row r="3967" spans="1:15" x14ac:dyDescent="0.25">
      <c r="A3967" s="22">
        <v>45807</v>
      </c>
      <c r="B3967" s="1">
        <v>313744746</v>
      </c>
      <c r="C3967" t="s">
        <v>3090</v>
      </c>
      <c r="D3967" s="23">
        <v>-10654.6</v>
      </c>
      <c r="E3967" t="s">
        <v>35</v>
      </c>
      <c r="F3967" s="2">
        <v>212901001</v>
      </c>
      <c r="G3967" s="2" t="s">
        <v>91</v>
      </c>
      <c r="I3967" s="95" t="s">
        <v>7231</v>
      </c>
      <c r="J3967" t="s">
        <v>61</v>
      </c>
      <c r="K3967" t="s">
        <v>62</v>
      </c>
      <c r="M3967">
        <v>96.86</v>
      </c>
      <c r="N3967" s="4">
        <f t="shared" si="61"/>
        <v>-110</v>
      </c>
      <c r="O3967" t="s">
        <v>83</v>
      </c>
    </row>
    <row r="3968" spans="1:15" x14ac:dyDescent="0.25">
      <c r="A3968" s="22">
        <v>45807</v>
      </c>
      <c r="B3968" s="1">
        <v>413744750</v>
      </c>
      <c r="C3968" t="s">
        <v>3091</v>
      </c>
      <c r="D3968" s="23">
        <v>-10654.6</v>
      </c>
      <c r="E3968" t="s">
        <v>35</v>
      </c>
      <c r="F3968" s="2">
        <v>212901001</v>
      </c>
      <c r="G3968" s="2" t="s">
        <v>91</v>
      </c>
      <c r="I3968" s="95" t="s">
        <v>7231</v>
      </c>
      <c r="J3968" t="s">
        <v>61</v>
      </c>
      <c r="K3968" t="s">
        <v>62</v>
      </c>
      <c r="M3968">
        <v>96.86</v>
      </c>
      <c r="N3968" s="4">
        <f t="shared" si="61"/>
        <v>-110</v>
      </c>
      <c r="O3968" t="s">
        <v>83</v>
      </c>
    </row>
    <row r="3969" spans="1:15" x14ac:dyDescent="0.25">
      <c r="A3969" s="22">
        <v>45807</v>
      </c>
      <c r="B3969" s="1">
        <v>313744748</v>
      </c>
      <c r="C3969" t="s">
        <v>3092</v>
      </c>
      <c r="D3969" s="23">
        <v>-10654.6</v>
      </c>
      <c r="E3969" t="s">
        <v>35</v>
      </c>
      <c r="F3969" s="2">
        <v>212901001</v>
      </c>
      <c r="G3969" s="2" t="s">
        <v>91</v>
      </c>
      <c r="I3969" s="95" t="s">
        <v>7231</v>
      </c>
      <c r="J3969" t="s">
        <v>61</v>
      </c>
      <c r="K3969" t="s">
        <v>62</v>
      </c>
      <c r="M3969">
        <v>96.86</v>
      </c>
      <c r="N3969" s="4">
        <f t="shared" si="61"/>
        <v>-110</v>
      </c>
      <c r="O3969" t="s">
        <v>83</v>
      </c>
    </row>
    <row r="3970" spans="1:15" x14ac:dyDescent="0.25">
      <c r="A3970" s="22">
        <v>45807</v>
      </c>
      <c r="B3970" s="1">
        <v>413744751</v>
      </c>
      <c r="C3970" t="s">
        <v>3093</v>
      </c>
      <c r="D3970" s="23">
        <v>-8717.4</v>
      </c>
      <c r="E3970" t="s">
        <v>35</v>
      </c>
      <c r="F3970" s="2">
        <v>212901001</v>
      </c>
      <c r="G3970" s="2" t="s">
        <v>91</v>
      </c>
      <c r="I3970" s="95" t="s">
        <v>7231</v>
      </c>
      <c r="J3970" t="s">
        <v>61</v>
      </c>
      <c r="K3970" t="s">
        <v>62</v>
      </c>
      <c r="M3970">
        <v>96.86</v>
      </c>
      <c r="N3970" s="4">
        <f t="shared" si="61"/>
        <v>-90</v>
      </c>
      <c r="O3970" t="s">
        <v>83</v>
      </c>
    </row>
    <row r="3971" spans="1:15" x14ac:dyDescent="0.25">
      <c r="A3971" s="22">
        <v>45807</v>
      </c>
      <c r="B3971" s="1">
        <v>413744752</v>
      </c>
      <c r="C3971" t="s">
        <v>3094</v>
      </c>
      <c r="D3971" s="23">
        <v>-8717.4</v>
      </c>
      <c r="E3971" t="s">
        <v>35</v>
      </c>
      <c r="F3971" s="2">
        <v>212901001</v>
      </c>
      <c r="G3971" s="2" t="s">
        <v>91</v>
      </c>
      <c r="I3971" s="95" t="s">
        <v>7231</v>
      </c>
      <c r="J3971" t="s">
        <v>61</v>
      </c>
      <c r="K3971" t="s">
        <v>62</v>
      </c>
      <c r="M3971">
        <v>96.86</v>
      </c>
      <c r="N3971" s="4">
        <f t="shared" si="61"/>
        <v>-90</v>
      </c>
      <c r="O3971" t="s">
        <v>83</v>
      </c>
    </row>
    <row r="3972" spans="1:15" x14ac:dyDescent="0.25">
      <c r="A3972" s="22">
        <v>45807</v>
      </c>
      <c r="B3972" s="1">
        <v>413744753</v>
      </c>
      <c r="C3972" t="s">
        <v>3095</v>
      </c>
      <c r="D3972" s="23">
        <v>-8717.4</v>
      </c>
      <c r="E3972" t="s">
        <v>35</v>
      </c>
      <c r="F3972" s="2">
        <v>212901001</v>
      </c>
      <c r="G3972" s="2" t="s">
        <v>91</v>
      </c>
      <c r="I3972" s="95" t="s">
        <v>7231</v>
      </c>
      <c r="J3972" t="s">
        <v>61</v>
      </c>
      <c r="K3972" t="s">
        <v>62</v>
      </c>
      <c r="M3972">
        <v>96.86</v>
      </c>
      <c r="N3972" s="4">
        <f t="shared" si="61"/>
        <v>-90</v>
      </c>
      <c r="O3972" t="s">
        <v>83</v>
      </c>
    </row>
    <row r="3973" spans="1:15" x14ac:dyDescent="0.25">
      <c r="A3973" s="22">
        <v>45807</v>
      </c>
      <c r="B3973" s="1">
        <v>413744754</v>
      </c>
      <c r="C3973" t="s">
        <v>3096</v>
      </c>
      <c r="D3973" s="23">
        <v>-8717.4</v>
      </c>
      <c r="E3973" t="s">
        <v>35</v>
      </c>
      <c r="F3973" s="2">
        <v>212901001</v>
      </c>
      <c r="G3973" s="2" t="s">
        <v>91</v>
      </c>
      <c r="I3973" s="95" t="s">
        <v>7231</v>
      </c>
      <c r="J3973" t="s">
        <v>61</v>
      </c>
      <c r="K3973" t="s">
        <v>62</v>
      </c>
      <c r="M3973">
        <v>96.86</v>
      </c>
      <c r="N3973" s="4">
        <f t="shared" si="61"/>
        <v>-90</v>
      </c>
      <c r="O3973" t="s">
        <v>83</v>
      </c>
    </row>
    <row r="3974" spans="1:15" x14ac:dyDescent="0.25">
      <c r="A3974" s="22">
        <v>45807</v>
      </c>
      <c r="B3974" s="1">
        <v>513744761</v>
      </c>
      <c r="C3974" t="s">
        <v>3092</v>
      </c>
      <c r="D3974" s="23">
        <v>-8717.4</v>
      </c>
      <c r="E3974" t="s">
        <v>35</v>
      </c>
      <c r="F3974" s="2">
        <v>212901001</v>
      </c>
      <c r="G3974" s="2" t="s">
        <v>91</v>
      </c>
      <c r="I3974" s="95" t="s">
        <v>7231</v>
      </c>
      <c r="J3974" t="s">
        <v>61</v>
      </c>
      <c r="K3974" t="s">
        <v>62</v>
      </c>
      <c r="M3974">
        <v>96.86</v>
      </c>
      <c r="N3974" s="4">
        <f t="shared" si="61"/>
        <v>-90</v>
      </c>
      <c r="O3974" t="s">
        <v>83</v>
      </c>
    </row>
    <row r="3975" spans="1:15" x14ac:dyDescent="0.25">
      <c r="A3975" s="22">
        <v>45807</v>
      </c>
      <c r="B3975" s="1">
        <v>413744755</v>
      </c>
      <c r="C3975" t="s">
        <v>3097</v>
      </c>
      <c r="D3975" s="23">
        <v>-8717.4</v>
      </c>
      <c r="E3975" t="s">
        <v>35</v>
      </c>
      <c r="F3975" s="2">
        <v>212901001</v>
      </c>
      <c r="G3975" s="2" t="s">
        <v>91</v>
      </c>
      <c r="I3975" s="95" t="s">
        <v>7231</v>
      </c>
      <c r="J3975" t="s">
        <v>61</v>
      </c>
      <c r="K3975" t="s">
        <v>62</v>
      </c>
      <c r="M3975">
        <v>96.86</v>
      </c>
      <c r="N3975" s="4">
        <f t="shared" si="61"/>
        <v>-90</v>
      </c>
      <c r="O3975" t="s">
        <v>83</v>
      </c>
    </row>
    <row r="3976" spans="1:15" x14ac:dyDescent="0.25">
      <c r="A3976" s="22">
        <v>45807</v>
      </c>
      <c r="B3976" s="1">
        <v>413744756</v>
      </c>
      <c r="C3976" t="s">
        <v>3098</v>
      </c>
      <c r="D3976" s="23">
        <v>-8717.4</v>
      </c>
      <c r="E3976" t="s">
        <v>35</v>
      </c>
      <c r="F3976" s="2">
        <v>212901001</v>
      </c>
      <c r="G3976" s="2" t="s">
        <v>91</v>
      </c>
      <c r="I3976" s="95" t="s">
        <v>7231</v>
      </c>
      <c r="J3976" t="s">
        <v>61</v>
      </c>
      <c r="K3976" t="s">
        <v>62</v>
      </c>
      <c r="M3976">
        <v>96.86</v>
      </c>
      <c r="N3976" s="4">
        <f t="shared" si="61"/>
        <v>-90</v>
      </c>
      <c r="O3976" t="s">
        <v>83</v>
      </c>
    </row>
    <row r="3977" spans="1:15" x14ac:dyDescent="0.25">
      <c r="A3977" s="22">
        <v>45807</v>
      </c>
      <c r="B3977" s="1">
        <v>513744764</v>
      </c>
      <c r="C3977" t="s">
        <v>3099</v>
      </c>
      <c r="D3977" s="23">
        <v>-8717.4</v>
      </c>
      <c r="E3977" t="s">
        <v>35</v>
      </c>
      <c r="F3977" s="2">
        <v>212901001</v>
      </c>
      <c r="G3977" s="2" t="s">
        <v>91</v>
      </c>
      <c r="I3977" s="95" t="s">
        <v>7231</v>
      </c>
      <c r="J3977" t="s">
        <v>61</v>
      </c>
      <c r="K3977" t="s">
        <v>62</v>
      </c>
      <c r="M3977">
        <v>96.86</v>
      </c>
      <c r="N3977" s="4">
        <f t="shared" si="61"/>
        <v>-90</v>
      </c>
      <c r="O3977" t="s">
        <v>83</v>
      </c>
    </row>
    <row r="3978" spans="1:15" x14ac:dyDescent="0.25">
      <c r="A3978" s="22">
        <v>45807</v>
      </c>
      <c r="B3978" s="1">
        <v>413744758</v>
      </c>
      <c r="C3978" t="s">
        <v>3100</v>
      </c>
      <c r="D3978" s="23">
        <v>-8717.4</v>
      </c>
      <c r="E3978" t="s">
        <v>35</v>
      </c>
      <c r="F3978" s="2">
        <v>212901001</v>
      </c>
      <c r="G3978" s="2" t="s">
        <v>91</v>
      </c>
      <c r="I3978" s="95" t="s">
        <v>7231</v>
      </c>
      <c r="J3978" t="s">
        <v>61</v>
      </c>
      <c r="K3978" t="s">
        <v>62</v>
      </c>
      <c r="M3978">
        <v>96.86</v>
      </c>
      <c r="N3978" s="4">
        <f t="shared" si="61"/>
        <v>-90</v>
      </c>
      <c r="O3978" t="s">
        <v>83</v>
      </c>
    </row>
    <row r="3979" spans="1:15" x14ac:dyDescent="0.25">
      <c r="A3979" s="22">
        <v>45807</v>
      </c>
      <c r="B3979" s="1">
        <v>513744765</v>
      </c>
      <c r="C3979" t="s">
        <v>3101</v>
      </c>
      <c r="D3979" s="23">
        <v>-7942.52</v>
      </c>
      <c r="E3979" t="s">
        <v>35</v>
      </c>
      <c r="F3979" s="2">
        <v>212901001</v>
      </c>
      <c r="G3979" s="2" t="s">
        <v>91</v>
      </c>
      <c r="I3979" s="95" t="s">
        <v>7231</v>
      </c>
      <c r="J3979" t="s">
        <v>61</v>
      </c>
      <c r="K3979" t="s">
        <v>62</v>
      </c>
      <c r="M3979">
        <v>96.86</v>
      </c>
      <c r="N3979" s="4">
        <f t="shared" si="61"/>
        <v>-82</v>
      </c>
      <c r="O3979" t="s">
        <v>83</v>
      </c>
    </row>
    <row r="3980" spans="1:15" x14ac:dyDescent="0.25">
      <c r="A3980" s="22">
        <v>45807</v>
      </c>
      <c r="B3980" s="1">
        <v>513744760</v>
      </c>
      <c r="C3980" t="s">
        <v>3102</v>
      </c>
      <c r="D3980" s="23">
        <v>-8717.4</v>
      </c>
      <c r="E3980" t="s">
        <v>35</v>
      </c>
      <c r="F3980" s="2">
        <v>212901001</v>
      </c>
      <c r="G3980" s="2" t="s">
        <v>91</v>
      </c>
      <c r="I3980" s="95" t="s">
        <v>7231</v>
      </c>
      <c r="J3980" t="s">
        <v>61</v>
      </c>
      <c r="K3980" t="s">
        <v>62</v>
      </c>
      <c r="M3980">
        <v>96.86</v>
      </c>
      <c r="N3980" s="4">
        <f t="shared" ref="N3980:N4043" si="62">D3980/M3980</f>
        <v>-90</v>
      </c>
      <c r="O3980" t="s">
        <v>83</v>
      </c>
    </row>
    <row r="3981" spans="1:15" x14ac:dyDescent="0.25">
      <c r="A3981" s="22">
        <v>45807</v>
      </c>
      <c r="B3981" s="1">
        <v>513744769</v>
      </c>
      <c r="C3981" t="s">
        <v>2657</v>
      </c>
      <c r="D3981" s="23">
        <v>-5811.6</v>
      </c>
      <c r="E3981" t="s">
        <v>35</v>
      </c>
      <c r="F3981" s="2">
        <v>212901001</v>
      </c>
      <c r="G3981" s="2" t="s">
        <v>91</v>
      </c>
      <c r="I3981" s="95" t="s">
        <v>7231</v>
      </c>
      <c r="J3981" t="s">
        <v>61</v>
      </c>
      <c r="K3981" t="s">
        <v>62</v>
      </c>
      <c r="M3981">
        <v>96.86</v>
      </c>
      <c r="N3981" s="4">
        <f t="shared" si="62"/>
        <v>-60.000000000000007</v>
      </c>
      <c r="O3981" t="s">
        <v>83</v>
      </c>
    </row>
    <row r="3982" spans="1:15" x14ac:dyDescent="0.25">
      <c r="A3982" s="22">
        <v>45807</v>
      </c>
      <c r="B3982" s="1">
        <v>513744766</v>
      </c>
      <c r="C3982" t="s">
        <v>3103</v>
      </c>
      <c r="D3982" s="23">
        <v>-5811.6</v>
      </c>
      <c r="E3982" t="s">
        <v>35</v>
      </c>
      <c r="F3982" s="2">
        <v>212901001</v>
      </c>
      <c r="G3982" s="2" t="s">
        <v>91</v>
      </c>
      <c r="I3982" s="95" t="s">
        <v>7231</v>
      </c>
      <c r="J3982" t="s">
        <v>61</v>
      </c>
      <c r="K3982" t="s">
        <v>62</v>
      </c>
      <c r="M3982">
        <v>96.86</v>
      </c>
      <c r="N3982" s="4">
        <f t="shared" si="62"/>
        <v>-60.000000000000007</v>
      </c>
      <c r="O3982" t="s">
        <v>83</v>
      </c>
    </row>
    <row r="3983" spans="1:15" x14ac:dyDescent="0.25">
      <c r="A3983" s="22">
        <v>45807</v>
      </c>
      <c r="B3983" s="1">
        <v>513744763</v>
      </c>
      <c r="C3983" t="s">
        <v>3104</v>
      </c>
      <c r="D3983" s="23">
        <v>-8717.4</v>
      </c>
      <c r="E3983" t="s">
        <v>35</v>
      </c>
      <c r="F3983" s="2">
        <v>212901001</v>
      </c>
      <c r="G3983" s="2" t="s">
        <v>91</v>
      </c>
      <c r="I3983" s="95" t="s">
        <v>7231</v>
      </c>
      <c r="J3983" t="s">
        <v>61</v>
      </c>
      <c r="K3983" t="s">
        <v>62</v>
      </c>
      <c r="M3983">
        <v>96.86</v>
      </c>
      <c r="N3983" s="4">
        <f t="shared" si="62"/>
        <v>-90</v>
      </c>
      <c r="O3983" t="s">
        <v>83</v>
      </c>
    </row>
    <row r="3984" spans="1:15" x14ac:dyDescent="0.25">
      <c r="A3984" s="22">
        <v>45807</v>
      </c>
      <c r="B3984" s="1">
        <v>413744757</v>
      </c>
      <c r="C3984" t="s">
        <v>3105</v>
      </c>
      <c r="D3984" s="23">
        <v>-8717.4</v>
      </c>
      <c r="E3984" t="s">
        <v>35</v>
      </c>
      <c r="F3984" s="2">
        <v>212901001</v>
      </c>
      <c r="G3984" s="2" t="s">
        <v>91</v>
      </c>
      <c r="I3984" s="95" t="s">
        <v>7231</v>
      </c>
      <c r="J3984" t="s">
        <v>61</v>
      </c>
      <c r="K3984" t="s">
        <v>62</v>
      </c>
      <c r="M3984">
        <v>96.86</v>
      </c>
      <c r="N3984" s="4">
        <f t="shared" si="62"/>
        <v>-90</v>
      </c>
      <c r="O3984" t="s">
        <v>83</v>
      </c>
    </row>
    <row r="3985" spans="1:17" x14ac:dyDescent="0.25">
      <c r="A3985" s="22">
        <v>45807</v>
      </c>
      <c r="B3985" s="1">
        <v>513744771</v>
      </c>
      <c r="C3985" t="s">
        <v>3106</v>
      </c>
      <c r="D3985" s="23">
        <v>-9686</v>
      </c>
      <c r="E3985" t="s">
        <v>35</v>
      </c>
      <c r="F3985" s="2">
        <v>212901001</v>
      </c>
      <c r="G3985" s="2" t="s">
        <v>91</v>
      </c>
      <c r="I3985" s="95" t="s">
        <v>7231</v>
      </c>
      <c r="J3985" t="s">
        <v>61</v>
      </c>
      <c r="K3985" t="s">
        <v>62</v>
      </c>
      <c r="M3985">
        <v>96.86</v>
      </c>
      <c r="N3985" s="4">
        <f t="shared" si="62"/>
        <v>-100</v>
      </c>
      <c r="O3985" t="s">
        <v>83</v>
      </c>
    </row>
    <row r="3986" spans="1:17" x14ac:dyDescent="0.25">
      <c r="A3986" s="22">
        <v>45807</v>
      </c>
      <c r="B3986" s="1">
        <v>513744767</v>
      </c>
      <c r="C3986" t="s">
        <v>3107</v>
      </c>
      <c r="D3986" s="23">
        <v>-5811.6</v>
      </c>
      <c r="E3986" t="s">
        <v>35</v>
      </c>
      <c r="F3986" s="2">
        <v>212901001</v>
      </c>
      <c r="G3986" s="2" t="s">
        <v>91</v>
      </c>
      <c r="I3986" s="95" t="s">
        <v>7231</v>
      </c>
      <c r="J3986" t="s">
        <v>61</v>
      </c>
      <c r="K3986" t="s">
        <v>62</v>
      </c>
      <c r="M3986">
        <v>96.86</v>
      </c>
      <c r="N3986" s="4">
        <f t="shared" si="62"/>
        <v>-60.000000000000007</v>
      </c>
      <c r="O3986" t="s">
        <v>83</v>
      </c>
    </row>
    <row r="3987" spans="1:17" x14ac:dyDescent="0.25">
      <c r="A3987" s="22">
        <v>45807</v>
      </c>
      <c r="B3987" s="1">
        <v>613744772</v>
      </c>
      <c r="C3987" t="s">
        <v>3108</v>
      </c>
      <c r="D3987" s="23">
        <v>-19372</v>
      </c>
      <c r="E3987" t="s">
        <v>35</v>
      </c>
      <c r="F3987" s="2">
        <v>212901001</v>
      </c>
      <c r="G3987" s="2" t="s">
        <v>91</v>
      </c>
      <c r="I3987" s="95" t="s">
        <v>7231</v>
      </c>
      <c r="J3987" t="s">
        <v>61</v>
      </c>
      <c r="K3987" t="s">
        <v>62</v>
      </c>
      <c r="M3987">
        <v>96.86</v>
      </c>
      <c r="N3987" s="4">
        <f t="shared" si="62"/>
        <v>-200</v>
      </c>
      <c r="O3987" t="s">
        <v>83</v>
      </c>
    </row>
    <row r="3988" spans="1:17" x14ac:dyDescent="0.25">
      <c r="A3988" s="22">
        <v>45807</v>
      </c>
      <c r="B3988" s="1">
        <v>613744773</v>
      </c>
      <c r="C3988" t="s">
        <v>3109</v>
      </c>
      <c r="D3988" s="23">
        <v>-11235.76</v>
      </c>
      <c r="E3988" t="s">
        <v>35</v>
      </c>
      <c r="F3988" s="2">
        <v>212901001</v>
      </c>
      <c r="G3988" s="2" t="s">
        <v>91</v>
      </c>
      <c r="I3988" s="95" t="s">
        <v>7231</v>
      </c>
      <c r="J3988" t="s">
        <v>61</v>
      </c>
      <c r="K3988" t="s">
        <v>62</v>
      </c>
      <c r="M3988">
        <v>96.86</v>
      </c>
      <c r="N3988" s="4">
        <f t="shared" si="62"/>
        <v>-116</v>
      </c>
      <c r="O3988" t="s">
        <v>83</v>
      </c>
    </row>
    <row r="3989" spans="1:17" x14ac:dyDescent="0.25">
      <c r="A3989" s="22">
        <v>45807</v>
      </c>
      <c r="B3989" s="1">
        <v>513744770</v>
      </c>
      <c r="C3989" t="s">
        <v>3110</v>
      </c>
      <c r="D3989" s="23">
        <v>-5811.6</v>
      </c>
      <c r="E3989" t="s">
        <v>35</v>
      </c>
      <c r="F3989" s="2">
        <v>212901001</v>
      </c>
      <c r="G3989" s="2" t="s">
        <v>91</v>
      </c>
      <c r="I3989" s="95" t="s">
        <v>7231</v>
      </c>
      <c r="J3989" t="s">
        <v>61</v>
      </c>
      <c r="K3989" t="s">
        <v>62</v>
      </c>
      <c r="M3989">
        <v>96.86</v>
      </c>
      <c r="N3989" s="4">
        <f t="shared" si="62"/>
        <v>-60.000000000000007</v>
      </c>
      <c r="O3989" t="s">
        <v>83</v>
      </c>
    </row>
    <row r="3990" spans="1:17" x14ac:dyDescent="0.25">
      <c r="A3990" s="22">
        <v>45807</v>
      </c>
      <c r="B3990" s="1">
        <v>613744775</v>
      </c>
      <c r="C3990" t="s">
        <v>3111</v>
      </c>
      <c r="D3990" s="23">
        <v>-7748.8</v>
      </c>
      <c r="E3990" t="s">
        <v>35</v>
      </c>
      <c r="F3990" s="2">
        <v>212901001</v>
      </c>
      <c r="G3990" s="2" t="s">
        <v>91</v>
      </c>
      <c r="I3990" s="95" t="s">
        <v>7231</v>
      </c>
      <c r="J3990" t="s">
        <v>61</v>
      </c>
      <c r="K3990" t="s">
        <v>62</v>
      </c>
      <c r="M3990">
        <v>96.86</v>
      </c>
      <c r="N3990" s="4">
        <f t="shared" si="62"/>
        <v>-80</v>
      </c>
      <c r="O3990" t="s">
        <v>83</v>
      </c>
    </row>
    <row r="3991" spans="1:17" x14ac:dyDescent="0.25">
      <c r="A3991" s="22">
        <v>45807</v>
      </c>
      <c r="B3991" s="1">
        <v>613744774</v>
      </c>
      <c r="C3991" t="s">
        <v>3112</v>
      </c>
      <c r="D3991" s="23">
        <v>-6780.2</v>
      </c>
      <c r="E3991" t="s">
        <v>35</v>
      </c>
      <c r="F3991" s="2">
        <v>212901001</v>
      </c>
      <c r="G3991" s="2" t="s">
        <v>91</v>
      </c>
      <c r="I3991" s="95" t="s">
        <v>7231</v>
      </c>
      <c r="J3991" t="s">
        <v>61</v>
      </c>
      <c r="K3991" t="s">
        <v>62</v>
      </c>
      <c r="M3991">
        <v>96.86</v>
      </c>
      <c r="N3991" s="4">
        <f t="shared" si="62"/>
        <v>-70</v>
      </c>
      <c r="O3991" t="s">
        <v>83</v>
      </c>
    </row>
    <row r="3992" spans="1:17" x14ac:dyDescent="0.25">
      <c r="A3992" s="22">
        <v>45807</v>
      </c>
      <c r="B3992" s="1">
        <v>50557418</v>
      </c>
      <c r="C3992" t="s">
        <v>3113</v>
      </c>
      <c r="D3992" s="23">
        <v>-17434.8</v>
      </c>
      <c r="E3992" t="s">
        <v>35</v>
      </c>
      <c r="F3992" s="2">
        <v>212901001</v>
      </c>
      <c r="G3992" s="2" t="s">
        <v>91</v>
      </c>
      <c r="I3992" s="95" t="s">
        <v>7231</v>
      </c>
      <c r="J3992" t="s">
        <v>61</v>
      </c>
      <c r="K3992" t="s">
        <v>62</v>
      </c>
      <c r="M3992">
        <v>96.86</v>
      </c>
      <c r="N3992" s="4">
        <f t="shared" si="62"/>
        <v>-180</v>
      </c>
      <c r="O3992" t="s">
        <v>83</v>
      </c>
    </row>
    <row r="3993" spans="1:17" x14ac:dyDescent="0.25">
      <c r="A3993" s="22">
        <v>45807</v>
      </c>
      <c r="B3993" s="1">
        <v>50557418</v>
      </c>
      <c r="C3993" t="s">
        <v>179</v>
      </c>
      <c r="D3993" s="23">
        <v>-26.15</v>
      </c>
      <c r="E3993" t="s">
        <v>35</v>
      </c>
      <c r="F3993" s="2">
        <v>610148001</v>
      </c>
      <c r="G3993" s="2" t="s">
        <v>41</v>
      </c>
      <c r="I3993" s="95" t="s">
        <v>7231</v>
      </c>
      <c r="J3993" t="s">
        <v>42</v>
      </c>
      <c r="K3993" t="s">
        <v>41</v>
      </c>
      <c r="M3993">
        <v>96.86</v>
      </c>
      <c r="N3993" s="4">
        <f t="shared" si="62"/>
        <v>-0.26997728680569894</v>
      </c>
      <c r="O3993" t="s">
        <v>83</v>
      </c>
      <c r="Q3993" s="24" t="s">
        <v>2650</v>
      </c>
    </row>
    <row r="3994" spans="1:17" x14ac:dyDescent="0.25">
      <c r="A3994" s="22">
        <v>45807</v>
      </c>
      <c r="B3994" s="1">
        <v>50557418</v>
      </c>
      <c r="C3994" t="s">
        <v>89</v>
      </c>
      <c r="D3994" s="23">
        <v>-1748.32</v>
      </c>
      <c r="E3994" t="s">
        <v>35</v>
      </c>
      <c r="F3994" s="2">
        <v>610148001</v>
      </c>
      <c r="G3994" s="2" t="s">
        <v>41</v>
      </c>
      <c r="I3994" s="95" t="s">
        <v>7231</v>
      </c>
      <c r="J3994" t="s">
        <v>42</v>
      </c>
      <c r="K3994" t="s">
        <v>41</v>
      </c>
      <c r="M3994">
        <v>96.86</v>
      </c>
      <c r="N3994" s="4">
        <f t="shared" si="62"/>
        <v>-18.049969027462318</v>
      </c>
      <c r="O3994" t="s">
        <v>83</v>
      </c>
      <c r="Q3994" s="24" t="s">
        <v>2650</v>
      </c>
    </row>
    <row r="3995" spans="1:17" x14ac:dyDescent="0.25">
      <c r="A3995" s="22">
        <v>45807</v>
      </c>
      <c r="B3995" s="1">
        <v>0</v>
      </c>
      <c r="C3995" t="s">
        <v>602</v>
      </c>
      <c r="D3995" s="23">
        <v>-0.5</v>
      </c>
      <c r="E3995" t="s">
        <v>35</v>
      </c>
      <c r="F3995" s="2">
        <v>610148001</v>
      </c>
      <c r="G3995" s="2" t="s">
        <v>41</v>
      </c>
      <c r="I3995" s="95" t="s">
        <v>7231</v>
      </c>
      <c r="J3995" t="s">
        <v>42</v>
      </c>
      <c r="K3995" t="s">
        <v>41</v>
      </c>
      <c r="M3995">
        <v>96.86</v>
      </c>
      <c r="N3995" s="4">
        <f t="shared" si="62"/>
        <v>-5.1620896138756967E-3</v>
      </c>
      <c r="O3995" t="s">
        <v>83</v>
      </c>
      <c r="Q3995" s="24" t="s">
        <v>2650</v>
      </c>
    </row>
    <row r="3996" spans="1:17" x14ac:dyDescent="0.25">
      <c r="A3996" s="22">
        <v>45807</v>
      </c>
      <c r="B3996" s="1">
        <v>0</v>
      </c>
      <c r="C3996" t="s">
        <v>603</v>
      </c>
      <c r="D3996" s="23">
        <v>-0.5</v>
      </c>
      <c r="E3996" t="s">
        <v>35</v>
      </c>
      <c r="F3996" s="2">
        <v>610148001</v>
      </c>
      <c r="G3996" s="2" t="s">
        <v>41</v>
      </c>
      <c r="I3996" s="95" t="s">
        <v>7231</v>
      </c>
      <c r="J3996" t="s">
        <v>42</v>
      </c>
      <c r="K3996" t="s">
        <v>41</v>
      </c>
      <c r="M3996">
        <v>96.86</v>
      </c>
      <c r="N3996" s="4">
        <f t="shared" si="62"/>
        <v>-5.1620896138756967E-3</v>
      </c>
      <c r="O3996" t="s">
        <v>83</v>
      </c>
      <c r="Q3996" s="24" t="s">
        <v>2650</v>
      </c>
    </row>
    <row r="3997" spans="1:17" x14ac:dyDescent="0.25">
      <c r="A3997" s="22">
        <v>45778</v>
      </c>
      <c r="B3997" s="1">
        <v>120200001246</v>
      </c>
      <c r="C3997" t="s">
        <v>3114</v>
      </c>
      <c r="D3997" s="23">
        <v>-0.5</v>
      </c>
      <c r="E3997" t="s">
        <v>35</v>
      </c>
      <c r="F3997" s="2">
        <v>610148001</v>
      </c>
      <c r="G3997" s="2" t="s">
        <v>41</v>
      </c>
      <c r="I3997" s="95" t="s">
        <v>7231</v>
      </c>
      <c r="J3997" t="s">
        <v>42</v>
      </c>
      <c r="K3997" t="s">
        <v>41</v>
      </c>
      <c r="M3997">
        <v>87.57</v>
      </c>
      <c r="N3997" s="4">
        <f t="shared" si="62"/>
        <v>-5.7097179399337675E-3</v>
      </c>
      <c r="O3997" t="s">
        <v>605</v>
      </c>
      <c r="Q3997" s="42" t="s">
        <v>2650</v>
      </c>
    </row>
    <row r="3998" spans="1:17" x14ac:dyDescent="0.25">
      <c r="A3998" s="22">
        <v>45779</v>
      </c>
      <c r="B3998" s="1" t="s">
        <v>3115</v>
      </c>
      <c r="C3998" t="s">
        <v>293</v>
      </c>
      <c r="D3998" s="23">
        <v>300000</v>
      </c>
      <c r="E3998" t="s">
        <v>45</v>
      </c>
      <c r="F3998" s="2">
        <v>210115002</v>
      </c>
      <c r="G3998" s="2" t="s">
        <v>46</v>
      </c>
      <c r="I3998" s="95" t="s">
        <v>7231</v>
      </c>
      <c r="K3998" t="s">
        <v>293</v>
      </c>
      <c r="M3998">
        <v>87.57</v>
      </c>
      <c r="N3998" s="4">
        <f t="shared" si="62"/>
        <v>3425.8307639602608</v>
      </c>
      <c r="O3998" t="s">
        <v>605</v>
      </c>
    </row>
    <row r="3999" spans="1:17" x14ac:dyDescent="0.25">
      <c r="A3999" s="22">
        <v>45779</v>
      </c>
      <c r="B3999" s="1" t="s">
        <v>3116</v>
      </c>
      <c r="C3999" t="s">
        <v>293</v>
      </c>
      <c r="D3999" s="23">
        <v>275000</v>
      </c>
      <c r="E3999" t="s">
        <v>45</v>
      </c>
      <c r="F3999" s="2">
        <v>210115002</v>
      </c>
      <c r="G3999" s="2" t="s">
        <v>46</v>
      </c>
      <c r="I3999" s="95" t="s">
        <v>7231</v>
      </c>
      <c r="K3999" t="s">
        <v>293</v>
      </c>
      <c r="M3999">
        <v>87.57</v>
      </c>
      <c r="N3999" s="4">
        <f t="shared" si="62"/>
        <v>3140.3448669635723</v>
      </c>
      <c r="O3999" t="s">
        <v>605</v>
      </c>
    </row>
    <row r="4000" spans="1:17" x14ac:dyDescent="0.25">
      <c r="A4000" s="22">
        <v>45779</v>
      </c>
      <c r="B4000" s="1" t="s">
        <v>1896</v>
      </c>
      <c r="C4000" t="s">
        <v>3117</v>
      </c>
      <c r="D4000" s="23">
        <v>290702.59000000003</v>
      </c>
      <c r="E4000" t="s">
        <v>45</v>
      </c>
      <c r="F4000" s="2">
        <v>110106001</v>
      </c>
      <c r="G4000" s="2" t="s">
        <v>1011</v>
      </c>
      <c r="I4000" s="95" t="s">
        <v>7231</v>
      </c>
      <c r="K4000" t="s">
        <v>3118</v>
      </c>
      <c r="M4000">
        <v>87.57</v>
      </c>
      <c r="N4000" s="4">
        <f t="shared" si="62"/>
        <v>3319.6595866164216</v>
      </c>
      <c r="O4000" t="s">
        <v>605</v>
      </c>
    </row>
    <row r="4001" spans="1:17" x14ac:dyDescent="0.25">
      <c r="A4001" s="22">
        <v>45779</v>
      </c>
      <c r="B4001" s="1" t="s">
        <v>1268</v>
      </c>
      <c r="C4001" t="s">
        <v>3119</v>
      </c>
      <c r="D4001" s="23">
        <v>-4378.5</v>
      </c>
      <c r="E4001" t="s">
        <v>35</v>
      </c>
      <c r="F4001" s="2">
        <v>212901001</v>
      </c>
      <c r="G4001" s="2" t="s">
        <v>91</v>
      </c>
      <c r="I4001" s="95" t="s">
        <v>7231</v>
      </c>
      <c r="J4001" t="s">
        <v>61</v>
      </c>
      <c r="K4001" t="s">
        <v>62</v>
      </c>
      <c r="M4001">
        <v>87.57</v>
      </c>
      <c r="N4001" s="4">
        <f t="shared" si="62"/>
        <v>-50.000000000000007</v>
      </c>
      <c r="O4001" t="s">
        <v>605</v>
      </c>
    </row>
    <row r="4002" spans="1:17" x14ac:dyDescent="0.25">
      <c r="A4002" s="22">
        <v>45779</v>
      </c>
      <c r="B4002" s="1" t="s">
        <v>1892</v>
      </c>
      <c r="C4002" t="s">
        <v>3120</v>
      </c>
      <c r="D4002" s="23">
        <v>-875.7</v>
      </c>
      <c r="E4002" t="s">
        <v>35</v>
      </c>
      <c r="F4002" s="2">
        <v>212901001</v>
      </c>
      <c r="G4002" s="2" t="s">
        <v>91</v>
      </c>
      <c r="I4002" s="95" t="s">
        <v>7231</v>
      </c>
      <c r="J4002" t="s">
        <v>61</v>
      </c>
      <c r="K4002" t="s">
        <v>62</v>
      </c>
      <c r="M4002">
        <v>87.57</v>
      </c>
      <c r="N4002" s="4">
        <f t="shared" si="62"/>
        <v>-10.000000000000002</v>
      </c>
      <c r="O4002" t="s">
        <v>605</v>
      </c>
    </row>
    <row r="4003" spans="1:17" x14ac:dyDescent="0.25">
      <c r="A4003" s="22">
        <v>45779</v>
      </c>
      <c r="B4003" s="1" t="s">
        <v>1898</v>
      </c>
      <c r="C4003" t="s">
        <v>3121</v>
      </c>
      <c r="D4003" s="23">
        <v>-1751.4</v>
      </c>
      <c r="E4003" t="s">
        <v>35</v>
      </c>
      <c r="F4003" s="2">
        <v>212901001</v>
      </c>
      <c r="G4003" s="2" t="s">
        <v>91</v>
      </c>
      <c r="I4003" s="95" t="s">
        <v>7231</v>
      </c>
      <c r="J4003" t="s">
        <v>61</v>
      </c>
      <c r="K4003" t="s">
        <v>62</v>
      </c>
      <c r="M4003">
        <v>87.57</v>
      </c>
      <c r="N4003" s="4">
        <f t="shared" si="62"/>
        <v>-20.000000000000004</v>
      </c>
      <c r="O4003" t="s">
        <v>605</v>
      </c>
    </row>
    <row r="4004" spans="1:17" x14ac:dyDescent="0.25">
      <c r="A4004" s="22">
        <v>45779</v>
      </c>
      <c r="B4004" s="1" t="s">
        <v>1907</v>
      </c>
      <c r="C4004" t="s">
        <v>3122</v>
      </c>
      <c r="D4004" s="23">
        <v>-9226.18</v>
      </c>
      <c r="E4004" t="s">
        <v>35</v>
      </c>
      <c r="F4004" s="2">
        <v>210101001</v>
      </c>
      <c r="G4004" s="2" t="s">
        <v>36</v>
      </c>
      <c r="I4004" s="95" t="s">
        <v>7231</v>
      </c>
      <c r="J4004" t="s">
        <v>37</v>
      </c>
      <c r="K4004" t="s">
        <v>38</v>
      </c>
      <c r="M4004">
        <v>87.57</v>
      </c>
      <c r="N4004" s="4">
        <f t="shared" si="62"/>
        <v>-105.35777092611626</v>
      </c>
      <c r="O4004" t="s">
        <v>605</v>
      </c>
    </row>
    <row r="4005" spans="1:17" x14ac:dyDescent="0.25">
      <c r="A4005" s="33">
        <v>45779</v>
      </c>
      <c r="B4005" s="27" t="s">
        <v>2006</v>
      </c>
      <c r="C4005" s="28" t="s">
        <v>3123</v>
      </c>
      <c r="D4005" s="29">
        <v>-5254.2</v>
      </c>
      <c r="E4005" s="28" t="s">
        <v>35</v>
      </c>
      <c r="F4005" s="30">
        <v>610156001</v>
      </c>
      <c r="G4005" s="30" t="s">
        <v>72</v>
      </c>
      <c r="H4005" s="30"/>
      <c r="I4005" s="95" t="s">
        <v>7231</v>
      </c>
      <c r="J4005" s="28" t="s">
        <v>73</v>
      </c>
      <c r="K4005" s="28" t="s">
        <v>74</v>
      </c>
      <c r="L4005" s="28" t="s">
        <v>56</v>
      </c>
      <c r="M4005" s="28">
        <v>87.57</v>
      </c>
      <c r="N4005" s="4">
        <f t="shared" si="62"/>
        <v>-60</v>
      </c>
      <c r="O4005" t="s">
        <v>605</v>
      </c>
      <c r="Q4005" s="24" t="s">
        <v>3124</v>
      </c>
    </row>
    <row r="4006" spans="1:17" x14ac:dyDescent="0.25">
      <c r="A4006" s="22">
        <v>45779</v>
      </c>
      <c r="B4006" s="1" t="s">
        <v>1896</v>
      </c>
      <c r="C4006" t="s">
        <v>3125</v>
      </c>
      <c r="D4006" s="23">
        <v>-875.7</v>
      </c>
      <c r="E4006" t="s">
        <v>35</v>
      </c>
      <c r="F4006" s="2">
        <v>212901001</v>
      </c>
      <c r="G4006" s="2" t="s">
        <v>91</v>
      </c>
      <c r="I4006" s="95" t="s">
        <v>7231</v>
      </c>
      <c r="J4006" t="s">
        <v>61</v>
      </c>
      <c r="K4006" t="s">
        <v>62</v>
      </c>
      <c r="M4006">
        <v>87.57</v>
      </c>
      <c r="N4006" s="4">
        <f t="shared" si="62"/>
        <v>-10.000000000000002</v>
      </c>
      <c r="O4006" t="s">
        <v>605</v>
      </c>
    </row>
    <row r="4007" spans="1:17" x14ac:dyDescent="0.25">
      <c r="A4007" s="22">
        <v>45779</v>
      </c>
      <c r="B4007" s="1" t="s">
        <v>1994</v>
      </c>
      <c r="C4007" t="s">
        <v>3126</v>
      </c>
      <c r="D4007" s="23">
        <v>-71990.39</v>
      </c>
      <c r="E4007" t="s">
        <v>35</v>
      </c>
      <c r="F4007" s="2">
        <v>210101001</v>
      </c>
      <c r="G4007" s="2" t="s">
        <v>36</v>
      </c>
      <c r="I4007" s="95" t="s">
        <v>7231</v>
      </c>
      <c r="J4007" t="s">
        <v>37</v>
      </c>
      <c r="K4007" t="s">
        <v>38</v>
      </c>
      <c r="M4007">
        <v>87.57</v>
      </c>
      <c r="N4007" s="4">
        <f t="shared" si="62"/>
        <v>-822.08964257165701</v>
      </c>
      <c r="O4007" t="s">
        <v>605</v>
      </c>
    </row>
    <row r="4008" spans="1:17" x14ac:dyDescent="0.25">
      <c r="A4008" s="33">
        <v>45779</v>
      </c>
      <c r="B4008" s="27" t="s">
        <v>613</v>
      </c>
      <c r="C4008" s="28" t="s">
        <v>52</v>
      </c>
      <c r="D4008" s="29">
        <v>-10508.4</v>
      </c>
      <c r="E4008" s="28" t="s">
        <v>35</v>
      </c>
      <c r="F4008" s="30">
        <v>610129001</v>
      </c>
      <c r="G4008" s="30" t="s">
        <v>53</v>
      </c>
      <c r="H4008" s="30"/>
      <c r="I4008" s="95" t="s">
        <v>7231</v>
      </c>
      <c r="J4008" s="28" t="s">
        <v>54</v>
      </c>
      <c r="K4008" s="28" t="s">
        <v>55</v>
      </c>
      <c r="L4008" s="28" t="s">
        <v>56</v>
      </c>
      <c r="M4008" s="28">
        <v>87.57</v>
      </c>
      <c r="N4008" s="4">
        <f t="shared" si="62"/>
        <v>-120</v>
      </c>
      <c r="O4008" t="s">
        <v>605</v>
      </c>
      <c r="Q4008" s="24" t="s">
        <v>3127</v>
      </c>
    </row>
    <row r="4009" spans="1:17" x14ac:dyDescent="0.25">
      <c r="A4009" s="22">
        <v>45779</v>
      </c>
      <c r="B4009" s="1" t="s">
        <v>1886</v>
      </c>
      <c r="C4009" t="s">
        <v>3128</v>
      </c>
      <c r="D4009" s="23">
        <v>-5254.2</v>
      </c>
      <c r="E4009" t="s">
        <v>35</v>
      </c>
      <c r="F4009" s="2">
        <v>110114001</v>
      </c>
      <c r="G4009" s="2" t="s">
        <v>181</v>
      </c>
      <c r="I4009" s="95" t="s">
        <v>7231</v>
      </c>
      <c r="K4009" t="s">
        <v>3129</v>
      </c>
      <c r="M4009">
        <v>87.57</v>
      </c>
      <c r="N4009" s="4">
        <f t="shared" si="62"/>
        <v>-60</v>
      </c>
      <c r="O4009" t="s">
        <v>605</v>
      </c>
    </row>
    <row r="4010" spans="1:17" x14ac:dyDescent="0.25">
      <c r="A4010" s="22">
        <v>45779</v>
      </c>
      <c r="B4010" s="1" t="s">
        <v>1888</v>
      </c>
      <c r="C4010" t="s">
        <v>3130</v>
      </c>
      <c r="D4010" s="23">
        <v>-10508.4</v>
      </c>
      <c r="E4010" t="s">
        <v>35</v>
      </c>
      <c r="F4010" s="2">
        <v>110101002</v>
      </c>
      <c r="G4010" s="2" t="s">
        <v>2771</v>
      </c>
      <c r="I4010" s="95" t="s">
        <v>7231</v>
      </c>
      <c r="K4010" t="s">
        <v>2772</v>
      </c>
      <c r="M4010">
        <v>87.57</v>
      </c>
      <c r="N4010" s="4">
        <f t="shared" si="62"/>
        <v>-120</v>
      </c>
      <c r="O4010" t="s">
        <v>605</v>
      </c>
    </row>
    <row r="4011" spans="1:17" x14ac:dyDescent="0.25">
      <c r="A4011" s="22">
        <v>45779</v>
      </c>
      <c r="B4011" s="1" t="s">
        <v>615</v>
      </c>
      <c r="C4011" t="s">
        <v>3131</v>
      </c>
      <c r="D4011" s="23">
        <v>-32345.1</v>
      </c>
      <c r="E4011" t="s">
        <v>35</v>
      </c>
      <c r="F4011" s="2">
        <v>210101001</v>
      </c>
      <c r="G4011" s="2" t="s">
        <v>36</v>
      </c>
      <c r="I4011" s="95" t="s">
        <v>7231</v>
      </c>
      <c r="J4011" t="s">
        <v>37</v>
      </c>
      <c r="K4011" t="s">
        <v>38</v>
      </c>
      <c r="M4011">
        <v>87.57</v>
      </c>
      <c r="N4011" s="4">
        <f t="shared" si="62"/>
        <v>-369.36279547790338</v>
      </c>
      <c r="O4011" t="s">
        <v>605</v>
      </c>
    </row>
    <row r="4012" spans="1:17" x14ac:dyDescent="0.25">
      <c r="A4012" s="22">
        <v>45779</v>
      </c>
      <c r="B4012" s="1" t="s">
        <v>619</v>
      </c>
      <c r="C4012" t="s">
        <v>3132</v>
      </c>
      <c r="D4012" s="23">
        <v>-2451.96</v>
      </c>
      <c r="E4012" t="s">
        <v>35</v>
      </c>
      <c r="F4012" s="2">
        <v>212901001</v>
      </c>
      <c r="G4012" s="2" t="s">
        <v>91</v>
      </c>
      <c r="I4012" s="95" t="s">
        <v>7231</v>
      </c>
      <c r="J4012" t="s">
        <v>61</v>
      </c>
      <c r="K4012" t="s">
        <v>62</v>
      </c>
      <c r="M4012">
        <v>87.57</v>
      </c>
      <c r="N4012" s="4">
        <f t="shared" si="62"/>
        <v>-28.000000000000004</v>
      </c>
      <c r="O4012" t="s">
        <v>605</v>
      </c>
    </row>
    <row r="4013" spans="1:17" x14ac:dyDescent="0.25">
      <c r="A4013" s="22">
        <v>45779</v>
      </c>
      <c r="B4013" s="1" t="s">
        <v>1267</v>
      </c>
      <c r="C4013" t="s">
        <v>3133</v>
      </c>
      <c r="D4013" s="23">
        <v>-6129.9</v>
      </c>
      <c r="E4013" t="s">
        <v>35</v>
      </c>
      <c r="F4013" s="2">
        <v>212901001</v>
      </c>
      <c r="G4013" s="2" t="s">
        <v>91</v>
      </c>
      <c r="I4013" s="95" t="s">
        <v>7231</v>
      </c>
      <c r="J4013" t="s">
        <v>61</v>
      </c>
      <c r="K4013" t="s">
        <v>62</v>
      </c>
      <c r="M4013">
        <v>87.57</v>
      </c>
      <c r="N4013" s="4">
        <f t="shared" si="62"/>
        <v>-70</v>
      </c>
      <c r="O4013" t="s">
        <v>605</v>
      </c>
    </row>
    <row r="4014" spans="1:17" x14ac:dyDescent="0.25">
      <c r="A4014" s="22">
        <v>45779</v>
      </c>
      <c r="B4014" s="1" t="s">
        <v>1981</v>
      </c>
      <c r="C4014" t="s">
        <v>3126</v>
      </c>
      <c r="D4014" s="23">
        <v>-200000</v>
      </c>
      <c r="E4014" t="s">
        <v>35</v>
      </c>
      <c r="F4014" s="2">
        <v>210101001</v>
      </c>
      <c r="G4014" s="2" t="s">
        <v>36</v>
      </c>
      <c r="I4014" s="95" t="s">
        <v>7231</v>
      </c>
      <c r="J4014" t="s">
        <v>37</v>
      </c>
      <c r="K4014" t="s">
        <v>38</v>
      </c>
      <c r="M4014">
        <v>87.57</v>
      </c>
      <c r="N4014" s="4">
        <f t="shared" si="62"/>
        <v>-2283.8871759735071</v>
      </c>
      <c r="O4014" t="s">
        <v>605</v>
      </c>
    </row>
    <row r="4015" spans="1:17" x14ac:dyDescent="0.25">
      <c r="A4015" s="22">
        <v>45779</v>
      </c>
      <c r="B4015" s="1" t="s">
        <v>1909</v>
      </c>
      <c r="C4015" t="s">
        <v>3134</v>
      </c>
      <c r="D4015" s="23">
        <v>-1751.4</v>
      </c>
      <c r="E4015" t="s">
        <v>35</v>
      </c>
      <c r="F4015" s="2">
        <v>212901001</v>
      </c>
      <c r="G4015" s="2" t="s">
        <v>91</v>
      </c>
      <c r="I4015" s="95" t="s">
        <v>7231</v>
      </c>
      <c r="J4015" t="s">
        <v>61</v>
      </c>
      <c r="K4015" t="s">
        <v>62</v>
      </c>
      <c r="M4015">
        <v>87.57</v>
      </c>
      <c r="N4015" s="4">
        <f t="shared" si="62"/>
        <v>-20.000000000000004</v>
      </c>
      <c r="O4015" t="s">
        <v>605</v>
      </c>
    </row>
    <row r="4016" spans="1:17" x14ac:dyDescent="0.25">
      <c r="A4016" s="22">
        <v>45779</v>
      </c>
      <c r="B4016" s="1" t="s">
        <v>1904</v>
      </c>
      <c r="C4016" t="s">
        <v>3135</v>
      </c>
      <c r="D4016" s="23">
        <v>-1751.4</v>
      </c>
      <c r="E4016" t="s">
        <v>35</v>
      </c>
      <c r="F4016" s="2">
        <v>212901001</v>
      </c>
      <c r="G4016" s="2" t="s">
        <v>91</v>
      </c>
      <c r="I4016" s="95" t="s">
        <v>7231</v>
      </c>
      <c r="J4016" t="s">
        <v>61</v>
      </c>
      <c r="K4016" t="s">
        <v>62</v>
      </c>
      <c r="M4016">
        <v>87.57</v>
      </c>
      <c r="N4016" s="4">
        <f t="shared" si="62"/>
        <v>-20.000000000000004</v>
      </c>
      <c r="O4016" t="s">
        <v>605</v>
      </c>
    </row>
    <row r="4017" spans="1:17" x14ac:dyDescent="0.25">
      <c r="A4017" s="22">
        <v>45779</v>
      </c>
      <c r="B4017" s="1" t="s">
        <v>1894</v>
      </c>
      <c r="C4017" t="s">
        <v>3136</v>
      </c>
      <c r="D4017" s="23">
        <v>-1751.4</v>
      </c>
      <c r="E4017" t="s">
        <v>35</v>
      </c>
      <c r="F4017" s="2">
        <v>212901001</v>
      </c>
      <c r="G4017" s="2" t="s">
        <v>91</v>
      </c>
      <c r="I4017" s="95" t="s">
        <v>7231</v>
      </c>
      <c r="J4017" t="s">
        <v>61</v>
      </c>
      <c r="K4017" t="s">
        <v>62</v>
      </c>
      <c r="M4017">
        <v>87.57</v>
      </c>
      <c r="N4017" s="4">
        <f t="shared" si="62"/>
        <v>-20.000000000000004</v>
      </c>
      <c r="O4017" t="s">
        <v>605</v>
      </c>
    </row>
    <row r="4018" spans="1:17" x14ac:dyDescent="0.25">
      <c r="A4018" s="22">
        <v>45779</v>
      </c>
      <c r="B4018" s="1" t="s">
        <v>1900</v>
      </c>
      <c r="C4018" t="s">
        <v>3137</v>
      </c>
      <c r="D4018" s="23">
        <v>-188.1</v>
      </c>
      <c r="E4018" t="s">
        <v>35</v>
      </c>
      <c r="F4018" s="2">
        <v>110114001</v>
      </c>
      <c r="G4018" s="2" t="s">
        <v>181</v>
      </c>
      <c r="I4018" s="95" t="s">
        <v>7231</v>
      </c>
      <c r="J4018" s="51" t="s">
        <v>631</v>
      </c>
      <c r="K4018" s="51" t="s">
        <v>632</v>
      </c>
      <c r="L4018" s="51"/>
      <c r="M4018">
        <v>87.57</v>
      </c>
      <c r="N4018" s="4">
        <f t="shared" si="62"/>
        <v>-2.1479958890030835</v>
      </c>
      <c r="O4018" t="s">
        <v>605</v>
      </c>
      <c r="P4018" s="34" t="s">
        <v>2492</v>
      </c>
    </row>
    <row r="4019" spans="1:17" x14ac:dyDescent="0.25">
      <c r="A4019" s="22">
        <v>45779</v>
      </c>
      <c r="B4019" s="1" t="s">
        <v>615</v>
      </c>
      <c r="C4019" t="s">
        <v>3131</v>
      </c>
      <c r="D4019" s="23">
        <v>-200000</v>
      </c>
      <c r="E4019" t="s">
        <v>35</v>
      </c>
      <c r="F4019" s="2">
        <v>210101001</v>
      </c>
      <c r="G4019" s="2" t="s">
        <v>36</v>
      </c>
      <c r="I4019" s="95" t="s">
        <v>7231</v>
      </c>
      <c r="J4019" t="s">
        <v>37</v>
      </c>
      <c r="K4019" t="s">
        <v>38</v>
      </c>
      <c r="M4019">
        <v>87.57</v>
      </c>
      <c r="N4019" s="4">
        <f t="shared" si="62"/>
        <v>-2283.8871759735071</v>
      </c>
      <c r="O4019" t="s">
        <v>605</v>
      </c>
    </row>
    <row r="4020" spans="1:17" x14ac:dyDescent="0.25">
      <c r="A4020" s="22">
        <v>45779</v>
      </c>
      <c r="B4020" s="1" t="s">
        <v>3138</v>
      </c>
      <c r="C4020" t="s">
        <v>3139</v>
      </c>
      <c r="D4020" s="23">
        <v>5254.2</v>
      </c>
      <c r="E4020" t="s">
        <v>45</v>
      </c>
      <c r="F4020" s="2">
        <v>110114001</v>
      </c>
      <c r="G4020" s="2" t="s">
        <v>181</v>
      </c>
      <c r="I4020" s="95" t="s">
        <v>7231</v>
      </c>
      <c r="K4020" t="s">
        <v>3129</v>
      </c>
      <c r="M4020">
        <v>87.57</v>
      </c>
      <c r="N4020" s="4">
        <f t="shared" si="62"/>
        <v>60</v>
      </c>
      <c r="O4020" t="s">
        <v>605</v>
      </c>
    </row>
    <row r="4021" spans="1:17" x14ac:dyDescent="0.25">
      <c r="A4021" s="22">
        <v>45779</v>
      </c>
      <c r="B4021" s="1" t="s">
        <v>1272</v>
      </c>
      <c r="C4021" t="s">
        <v>622</v>
      </c>
      <c r="D4021" s="23">
        <v>-15.32</v>
      </c>
      <c r="E4021" t="s">
        <v>35</v>
      </c>
      <c r="F4021" s="2">
        <v>610148001</v>
      </c>
      <c r="G4021" s="2" t="s">
        <v>41</v>
      </c>
      <c r="I4021" s="95" t="s">
        <v>7231</v>
      </c>
      <c r="J4021" t="s">
        <v>42</v>
      </c>
      <c r="K4021" t="s">
        <v>41</v>
      </c>
      <c r="M4021">
        <v>87.57</v>
      </c>
      <c r="N4021" s="4">
        <f t="shared" si="62"/>
        <v>-0.17494575767957066</v>
      </c>
      <c r="O4021" t="s">
        <v>605</v>
      </c>
      <c r="Q4021" s="42" t="s">
        <v>2650</v>
      </c>
    </row>
    <row r="4022" spans="1:17" x14ac:dyDescent="0.25">
      <c r="A4022" s="22">
        <v>45779</v>
      </c>
      <c r="B4022" s="1" t="s">
        <v>1914</v>
      </c>
      <c r="C4022" t="s">
        <v>622</v>
      </c>
      <c r="D4022" s="23">
        <v>-13.13</v>
      </c>
      <c r="E4022" t="s">
        <v>35</v>
      </c>
      <c r="F4022" s="2">
        <v>610148001</v>
      </c>
      <c r="G4022" s="2" t="s">
        <v>41</v>
      </c>
      <c r="I4022" s="95" t="s">
        <v>7231</v>
      </c>
      <c r="J4022" t="s">
        <v>42</v>
      </c>
      <c r="K4022" t="s">
        <v>41</v>
      </c>
      <c r="M4022">
        <v>87.57</v>
      </c>
      <c r="N4022" s="4">
        <f t="shared" si="62"/>
        <v>-0.14993719310266074</v>
      </c>
      <c r="O4022" t="s">
        <v>605</v>
      </c>
      <c r="Q4022" s="42" t="s">
        <v>2650</v>
      </c>
    </row>
    <row r="4023" spans="1:17" x14ac:dyDescent="0.25">
      <c r="A4023" s="22">
        <v>45779</v>
      </c>
      <c r="B4023" s="1" t="s">
        <v>625</v>
      </c>
      <c r="C4023" t="s">
        <v>622</v>
      </c>
      <c r="D4023" s="23">
        <v>-80.86</v>
      </c>
      <c r="E4023" t="s">
        <v>35</v>
      </c>
      <c r="F4023" s="2">
        <v>610148001</v>
      </c>
      <c r="G4023" s="2" t="s">
        <v>41</v>
      </c>
      <c r="I4023" s="95" t="s">
        <v>7231</v>
      </c>
      <c r="J4023" t="s">
        <v>42</v>
      </c>
      <c r="K4023" t="s">
        <v>41</v>
      </c>
      <c r="M4023">
        <v>87.57</v>
      </c>
      <c r="N4023" s="4">
        <f t="shared" si="62"/>
        <v>-0.92337558524608887</v>
      </c>
      <c r="O4023" t="s">
        <v>605</v>
      </c>
      <c r="Q4023" s="42" t="s">
        <v>2650</v>
      </c>
    </row>
    <row r="4024" spans="1:17" x14ac:dyDescent="0.25">
      <c r="A4024" s="22">
        <v>45779</v>
      </c>
      <c r="B4024" s="1" t="s">
        <v>1917</v>
      </c>
      <c r="C4024" t="s">
        <v>622</v>
      </c>
      <c r="D4024" s="23">
        <v>-2.1800000000000002</v>
      </c>
      <c r="E4024" t="s">
        <v>35</v>
      </c>
      <c r="F4024" s="2">
        <v>610148001</v>
      </c>
      <c r="G4024" s="2" t="s">
        <v>41</v>
      </c>
      <c r="I4024" s="95" t="s">
        <v>7231</v>
      </c>
      <c r="J4024" t="s">
        <v>42</v>
      </c>
      <c r="K4024" t="s">
        <v>41</v>
      </c>
      <c r="M4024">
        <v>87.57</v>
      </c>
      <c r="N4024" s="4">
        <f t="shared" si="62"/>
        <v>-2.4894370218111229E-2</v>
      </c>
      <c r="O4024" t="s">
        <v>605</v>
      </c>
      <c r="Q4024" s="42" t="s">
        <v>2650</v>
      </c>
    </row>
    <row r="4025" spans="1:17" x14ac:dyDescent="0.25">
      <c r="A4025" s="22">
        <v>45779</v>
      </c>
      <c r="B4025" s="1" t="s">
        <v>2090</v>
      </c>
      <c r="C4025" t="s">
        <v>622</v>
      </c>
      <c r="D4025" s="23">
        <v>-13.13</v>
      </c>
      <c r="E4025" t="s">
        <v>35</v>
      </c>
      <c r="F4025" s="2">
        <v>610148001</v>
      </c>
      <c r="G4025" s="2" t="s">
        <v>41</v>
      </c>
      <c r="I4025" s="95" t="s">
        <v>7231</v>
      </c>
      <c r="J4025" t="s">
        <v>42</v>
      </c>
      <c r="K4025" t="s">
        <v>41</v>
      </c>
      <c r="M4025">
        <v>87.57</v>
      </c>
      <c r="N4025" s="4">
        <f t="shared" si="62"/>
        <v>-0.14993719310266074</v>
      </c>
      <c r="O4025" t="s">
        <v>605</v>
      </c>
      <c r="Q4025" s="42" t="s">
        <v>2650</v>
      </c>
    </row>
    <row r="4026" spans="1:17" x14ac:dyDescent="0.25">
      <c r="A4026" s="22">
        <v>45779</v>
      </c>
      <c r="B4026" s="1" t="s">
        <v>2076</v>
      </c>
      <c r="C4026" t="s">
        <v>622</v>
      </c>
      <c r="D4026" s="23">
        <v>-179.97</v>
      </c>
      <c r="E4026" t="s">
        <v>35</v>
      </c>
      <c r="F4026" s="2">
        <v>610148001</v>
      </c>
      <c r="G4026" s="2" t="s">
        <v>41</v>
      </c>
      <c r="I4026" s="95" t="s">
        <v>7231</v>
      </c>
      <c r="J4026" t="s">
        <v>42</v>
      </c>
      <c r="K4026" t="s">
        <v>41</v>
      </c>
      <c r="M4026">
        <v>87.57</v>
      </c>
      <c r="N4026" s="4">
        <f t="shared" si="62"/>
        <v>-2.0551558752997603</v>
      </c>
      <c r="O4026" t="s">
        <v>605</v>
      </c>
      <c r="Q4026" s="42" t="s">
        <v>2650</v>
      </c>
    </row>
    <row r="4027" spans="1:17" x14ac:dyDescent="0.25">
      <c r="A4027" s="22">
        <v>45779</v>
      </c>
      <c r="B4027" s="1" t="s">
        <v>1920</v>
      </c>
      <c r="C4027" t="s">
        <v>622</v>
      </c>
      <c r="D4027" s="23">
        <v>-26.27</v>
      </c>
      <c r="E4027" t="s">
        <v>35</v>
      </c>
      <c r="F4027" s="2">
        <v>610148001</v>
      </c>
      <c r="G4027" s="2" t="s">
        <v>41</v>
      </c>
      <c r="I4027" s="95" t="s">
        <v>7231</v>
      </c>
      <c r="J4027" t="s">
        <v>42</v>
      </c>
      <c r="K4027" t="s">
        <v>41</v>
      </c>
      <c r="M4027">
        <v>87.57</v>
      </c>
      <c r="N4027" s="4">
        <f t="shared" si="62"/>
        <v>-0.29998858056412014</v>
      </c>
      <c r="O4027" t="s">
        <v>605</v>
      </c>
      <c r="Q4027" s="42" t="s">
        <v>2650</v>
      </c>
    </row>
    <row r="4028" spans="1:17" x14ac:dyDescent="0.25">
      <c r="A4028" s="22">
        <v>45779</v>
      </c>
      <c r="B4028" s="1" t="s">
        <v>1916</v>
      </c>
      <c r="C4028" t="s">
        <v>622</v>
      </c>
      <c r="D4028" s="23">
        <v>-4.37</v>
      </c>
      <c r="E4028" t="s">
        <v>35</v>
      </c>
      <c r="F4028" s="2">
        <v>610148001</v>
      </c>
      <c r="G4028" s="2" t="s">
        <v>41</v>
      </c>
      <c r="I4028" s="95" t="s">
        <v>7231</v>
      </c>
      <c r="J4028" t="s">
        <v>42</v>
      </c>
      <c r="K4028" t="s">
        <v>41</v>
      </c>
      <c r="M4028">
        <v>87.57</v>
      </c>
      <c r="N4028" s="4">
        <f t="shared" si="62"/>
        <v>-4.9902934795021128E-2</v>
      </c>
      <c r="O4028" t="s">
        <v>605</v>
      </c>
      <c r="Q4028" s="42" t="s">
        <v>2650</v>
      </c>
    </row>
    <row r="4029" spans="1:17" x14ac:dyDescent="0.25">
      <c r="A4029" s="22">
        <v>45779</v>
      </c>
      <c r="B4029" s="1" t="s">
        <v>623</v>
      </c>
      <c r="C4029" t="s">
        <v>622</v>
      </c>
      <c r="D4029" s="23">
        <v>-26.27</v>
      </c>
      <c r="E4029" t="s">
        <v>35</v>
      </c>
      <c r="F4029" s="2">
        <v>610148001</v>
      </c>
      <c r="G4029" s="2" t="s">
        <v>41</v>
      </c>
      <c r="I4029" s="95" t="s">
        <v>7231</v>
      </c>
      <c r="J4029" t="s">
        <v>42</v>
      </c>
      <c r="K4029" t="s">
        <v>41</v>
      </c>
      <c r="M4029">
        <v>87.57</v>
      </c>
      <c r="N4029" s="4">
        <f t="shared" si="62"/>
        <v>-0.29998858056412014</v>
      </c>
      <c r="O4029" t="s">
        <v>605</v>
      </c>
      <c r="Q4029" s="42" t="s">
        <v>2650</v>
      </c>
    </row>
    <row r="4030" spans="1:17" x14ac:dyDescent="0.25">
      <c r="A4030" s="22">
        <v>45779</v>
      </c>
      <c r="B4030" s="1" t="s">
        <v>1912</v>
      </c>
      <c r="C4030" t="s">
        <v>622</v>
      </c>
      <c r="D4030" s="23">
        <v>-4.37</v>
      </c>
      <c r="E4030" t="s">
        <v>35</v>
      </c>
      <c r="F4030" s="2">
        <v>610148001</v>
      </c>
      <c r="G4030" s="2" t="s">
        <v>41</v>
      </c>
      <c r="I4030" s="95" t="s">
        <v>7231</v>
      </c>
      <c r="J4030" t="s">
        <v>42</v>
      </c>
      <c r="K4030" t="s">
        <v>41</v>
      </c>
      <c r="M4030">
        <v>87.57</v>
      </c>
      <c r="N4030" s="4">
        <f t="shared" si="62"/>
        <v>-4.9902934795021128E-2</v>
      </c>
      <c r="O4030" t="s">
        <v>605</v>
      </c>
      <c r="Q4030" s="42" t="s">
        <v>2650</v>
      </c>
    </row>
    <row r="4031" spans="1:17" x14ac:dyDescent="0.25">
      <c r="A4031" s="22">
        <v>45779</v>
      </c>
      <c r="B4031" s="1" t="s">
        <v>1913</v>
      </c>
      <c r="C4031" t="s">
        <v>622</v>
      </c>
      <c r="D4031" s="23">
        <v>-4.37</v>
      </c>
      <c r="E4031" t="s">
        <v>35</v>
      </c>
      <c r="F4031" s="2">
        <v>610148001</v>
      </c>
      <c r="G4031" s="2" t="s">
        <v>41</v>
      </c>
      <c r="I4031" s="95" t="s">
        <v>7231</v>
      </c>
      <c r="J4031" t="s">
        <v>42</v>
      </c>
      <c r="K4031" t="s">
        <v>41</v>
      </c>
      <c r="M4031">
        <v>87.57</v>
      </c>
      <c r="N4031" s="4">
        <f t="shared" si="62"/>
        <v>-4.9902934795021128E-2</v>
      </c>
      <c r="O4031" t="s">
        <v>605</v>
      </c>
      <c r="Q4031" s="42" t="s">
        <v>2650</v>
      </c>
    </row>
    <row r="4032" spans="1:17" x14ac:dyDescent="0.25">
      <c r="A4032" s="22">
        <v>45779</v>
      </c>
      <c r="B4032" s="1" t="s">
        <v>2072</v>
      </c>
      <c r="C4032" t="s">
        <v>622</v>
      </c>
      <c r="D4032" s="23">
        <v>-500</v>
      </c>
      <c r="E4032" t="s">
        <v>35</v>
      </c>
      <c r="F4032" s="2">
        <v>610148001</v>
      </c>
      <c r="G4032" s="2" t="s">
        <v>41</v>
      </c>
      <c r="I4032" s="95" t="s">
        <v>7231</v>
      </c>
      <c r="J4032" t="s">
        <v>42</v>
      </c>
      <c r="K4032" t="s">
        <v>41</v>
      </c>
      <c r="M4032">
        <v>87.57</v>
      </c>
      <c r="N4032" s="4">
        <f t="shared" si="62"/>
        <v>-5.7097179399337676</v>
      </c>
      <c r="O4032" t="s">
        <v>605</v>
      </c>
      <c r="Q4032" s="42" t="s">
        <v>2650</v>
      </c>
    </row>
    <row r="4033" spans="1:17" x14ac:dyDescent="0.25">
      <c r="A4033" s="22">
        <v>45779</v>
      </c>
      <c r="B4033" s="1" t="s">
        <v>1271</v>
      </c>
      <c r="C4033" t="s">
        <v>622</v>
      </c>
      <c r="D4033" s="23">
        <v>-10.94</v>
      </c>
      <c r="E4033" t="s">
        <v>35</v>
      </c>
      <c r="F4033" s="2">
        <v>610148001</v>
      </c>
      <c r="G4033" s="2" t="s">
        <v>41</v>
      </c>
      <c r="I4033" s="95" t="s">
        <v>7231</v>
      </c>
      <c r="J4033" t="s">
        <v>42</v>
      </c>
      <c r="K4033" t="s">
        <v>41</v>
      </c>
      <c r="M4033">
        <v>87.57</v>
      </c>
      <c r="N4033" s="4">
        <f t="shared" si="62"/>
        <v>-0.12492862852575083</v>
      </c>
      <c r="O4033" t="s">
        <v>605</v>
      </c>
      <c r="Q4033" s="42" t="s">
        <v>2650</v>
      </c>
    </row>
    <row r="4034" spans="1:17" x14ac:dyDescent="0.25">
      <c r="A4034" s="22">
        <v>45779</v>
      </c>
      <c r="B4034" s="1" t="s">
        <v>1918</v>
      </c>
      <c r="C4034" t="s">
        <v>622</v>
      </c>
      <c r="D4034" s="23">
        <v>-0.47</v>
      </c>
      <c r="E4034" t="s">
        <v>35</v>
      </c>
      <c r="F4034" s="2">
        <v>610148001</v>
      </c>
      <c r="G4034" s="2" t="s">
        <v>41</v>
      </c>
      <c r="I4034" s="95" t="s">
        <v>7231</v>
      </c>
      <c r="J4034" t="s">
        <v>42</v>
      </c>
      <c r="K4034" t="s">
        <v>41</v>
      </c>
      <c r="M4034">
        <v>87.57</v>
      </c>
      <c r="N4034" s="4">
        <f t="shared" si="62"/>
        <v>-5.3671348635377413E-3</v>
      </c>
      <c r="O4034" t="s">
        <v>605</v>
      </c>
      <c r="Q4034" s="42" t="s">
        <v>2650</v>
      </c>
    </row>
    <row r="4035" spans="1:17" x14ac:dyDescent="0.25">
      <c r="A4035" s="22">
        <v>45779</v>
      </c>
      <c r="B4035" s="1" t="s">
        <v>1911</v>
      </c>
      <c r="C4035" t="s">
        <v>622</v>
      </c>
      <c r="D4035" s="23">
        <v>-23.06</v>
      </c>
      <c r="E4035" t="s">
        <v>35</v>
      </c>
      <c r="F4035" s="2">
        <v>610148001</v>
      </c>
      <c r="G4035" s="2" t="s">
        <v>41</v>
      </c>
      <c r="I4035" s="95" t="s">
        <v>7231</v>
      </c>
      <c r="J4035" t="s">
        <v>42</v>
      </c>
      <c r="K4035" t="s">
        <v>41</v>
      </c>
      <c r="M4035">
        <v>87.57</v>
      </c>
      <c r="N4035" s="4">
        <f t="shared" si="62"/>
        <v>-0.26333219138974534</v>
      </c>
      <c r="O4035" t="s">
        <v>605</v>
      </c>
      <c r="Q4035" s="42" t="s">
        <v>2650</v>
      </c>
    </row>
    <row r="4036" spans="1:17" x14ac:dyDescent="0.25">
      <c r="A4036" s="22">
        <v>45779</v>
      </c>
      <c r="B4036" s="1" t="s">
        <v>1919</v>
      </c>
      <c r="C4036" t="s">
        <v>622</v>
      </c>
      <c r="D4036" s="23">
        <v>-4.37</v>
      </c>
      <c r="E4036" t="s">
        <v>35</v>
      </c>
      <c r="F4036" s="2">
        <v>610148001</v>
      </c>
      <c r="G4036" s="2" t="s">
        <v>41</v>
      </c>
      <c r="I4036" s="95" t="s">
        <v>7231</v>
      </c>
      <c r="J4036" t="s">
        <v>42</v>
      </c>
      <c r="K4036" t="s">
        <v>41</v>
      </c>
      <c r="M4036">
        <v>87.57</v>
      </c>
      <c r="N4036" s="4">
        <f t="shared" si="62"/>
        <v>-4.9902934795021128E-2</v>
      </c>
      <c r="O4036" t="s">
        <v>605</v>
      </c>
      <c r="Q4036" s="42" t="s">
        <v>2650</v>
      </c>
    </row>
    <row r="4037" spans="1:17" x14ac:dyDescent="0.25">
      <c r="A4037" s="22">
        <v>45779</v>
      </c>
      <c r="B4037" s="1" t="s">
        <v>625</v>
      </c>
      <c r="C4037" t="s">
        <v>622</v>
      </c>
      <c r="D4037" s="23">
        <v>-500</v>
      </c>
      <c r="E4037" t="s">
        <v>35</v>
      </c>
      <c r="F4037" s="2">
        <v>610148001</v>
      </c>
      <c r="G4037" s="2" t="s">
        <v>41</v>
      </c>
      <c r="I4037" s="95" t="s">
        <v>7231</v>
      </c>
      <c r="J4037" t="s">
        <v>42</v>
      </c>
      <c r="K4037" t="s">
        <v>41</v>
      </c>
      <c r="M4037">
        <v>87.57</v>
      </c>
      <c r="N4037" s="4">
        <f t="shared" si="62"/>
        <v>-5.7097179399337676</v>
      </c>
      <c r="O4037" t="s">
        <v>605</v>
      </c>
      <c r="Q4037" s="42" t="s">
        <v>2650</v>
      </c>
    </row>
    <row r="4038" spans="1:17" x14ac:dyDescent="0.25">
      <c r="A4038" s="22">
        <v>45779</v>
      </c>
      <c r="B4038" s="1" t="s">
        <v>621</v>
      </c>
      <c r="C4038" t="s">
        <v>622</v>
      </c>
      <c r="D4038" s="23">
        <v>-6.12</v>
      </c>
      <c r="E4038" t="s">
        <v>35</v>
      </c>
      <c r="F4038" s="2">
        <v>610148001</v>
      </c>
      <c r="G4038" s="2" t="s">
        <v>41</v>
      </c>
      <c r="I4038" s="95" t="s">
        <v>7231</v>
      </c>
      <c r="J4038" t="s">
        <v>42</v>
      </c>
      <c r="K4038" t="s">
        <v>41</v>
      </c>
      <c r="M4038">
        <v>87.57</v>
      </c>
      <c r="N4038" s="4">
        <f t="shared" si="62"/>
        <v>-6.9886947584789319E-2</v>
      </c>
      <c r="O4038" t="s">
        <v>605</v>
      </c>
      <c r="Q4038" s="42" t="s">
        <v>2650</v>
      </c>
    </row>
    <row r="4039" spans="1:17" x14ac:dyDescent="0.25">
      <c r="A4039" s="22">
        <v>45779</v>
      </c>
      <c r="B4039" s="1" t="s">
        <v>1915</v>
      </c>
      <c r="C4039" t="s">
        <v>622</v>
      </c>
      <c r="D4039" s="23">
        <v>-2.1800000000000002</v>
      </c>
      <c r="E4039" t="s">
        <v>35</v>
      </c>
      <c r="F4039" s="2">
        <v>610148001</v>
      </c>
      <c r="G4039" s="2" t="s">
        <v>41</v>
      </c>
      <c r="I4039" s="95" t="s">
        <v>7231</v>
      </c>
      <c r="J4039" t="s">
        <v>42</v>
      </c>
      <c r="K4039" t="s">
        <v>41</v>
      </c>
      <c r="M4039">
        <v>87.57</v>
      </c>
      <c r="N4039" s="4">
        <f t="shared" si="62"/>
        <v>-2.4894370218111229E-2</v>
      </c>
      <c r="O4039" t="s">
        <v>605</v>
      </c>
      <c r="Q4039" s="42" t="s">
        <v>2650</v>
      </c>
    </row>
    <row r="4040" spans="1:17" x14ac:dyDescent="0.25">
      <c r="A4040" s="22">
        <v>45779</v>
      </c>
      <c r="B4040" s="1" t="s">
        <v>3140</v>
      </c>
      <c r="C4040" t="s">
        <v>3141</v>
      </c>
      <c r="D4040" s="23">
        <v>-66656.38</v>
      </c>
      <c r="E4040" t="s">
        <v>35</v>
      </c>
      <c r="F4040" s="2">
        <v>213401001</v>
      </c>
      <c r="G4040" s="2" t="s">
        <v>94</v>
      </c>
      <c r="I4040" s="95" t="s">
        <v>7231</v>
      </c>
      <c r="J4040" t="s">
        <v>95</v>
      </c>
      <c r="K4040" t="s">
        <v>96</v>
      </c>
      <c r="M4040">
        <v>87.57</v>
      </c>
      <c r="N4040" s="4">
        <f t="shared" si="62"/>
        <v>-761.17825739408488</v>
      </c>
      <c r="O4040" t="s">
        <v>605</v>
      </c>
      <c r="Q4040" s="24" t="s">
        <v>3142</v>
      </c>
    </row>
    <row r="4041" spans="1:17" x14ac:dyDescent="0.25">
      <c r="A4041" s="22">
        <v>45782</v>
      </c>
      <c r="B4041" s="1" t="s">
        <v>3143</v>
      </c>
      <c r="C4041" t="s">
        <v>3144</v>
      </c>
      <c r="D4041" s="23">
        <v>-181.74</v>
      </c>
      <c r="E4041" t="s">
        <v>35</v>
      </c>
      <c r="F4041" s="2">
        <v>213201001</v>
      </c>
      <c r="G4041" s="2" t="s">
        <v>636</v>
      </c>
      <c r="I4041" s="95" t="s">
        <v>7231</v>
      </c>
      <c r="J4041" t="s">
        <v>637</v>
      </c>
      <c r="K4041" t="s">
        <v>638</v>
      </c>
      <c r="M4041">
        <v>88.64</v>
      </c>
      <c r="N4041" s="4">
        <f t="shared" si="62"/>
        <v>-2.0503158844765346</v>
      </c>
      <c r="O4041" t="s">
        <v>605</v>
      </c>
      <c r="Q4041" s="42" t="s">
        <v>3145</v>
      </c>
    </row>
    <row r="4042" spans="1:17" x14ac:dyDescent="0.25">
      <c r="A4042" s="22">
        <v>45782</v>
      </c>
      <c r="B4042" s="1" t="s">
        <v>3146</v>
      </c>
      <c r="C4042" t="s">
        <v>3147</v>
      </c>
      <c r="D4042" s="23">
        <v>-1930.5</v>
      </c>
      <c r="E4042" t="s">
        <v>35</v>
      </c>
      <c r="F4042" s="2">
        <v>213101001</v>
      </c>
      <c r="G4042" s="2" t="s">
        <v>642</v>
      </c>
      <c r="I4042" s="95" t="s">
        <v>7231</v>
      </c>
      <c r="J4042" t="s">
        <v>643</v>
      </c>
      <c r="K4042" t="s">
        <v>644</v>
      </c>
      <c r="M4042">
        <v>88.64</v>
      </c>
      <c r="N4042" s="4">
        <f t="shared" si="62"/>
        <v>-21.779106498194945</v>
      </c>
      <c r="O4042" t="s">
        <v>605</v>
      </c>
    </row>
    <row r="4043" spans="1:17" x14ac:dyDescent="0.25">
      <c r="A4043" s="33">
        <v>45783</v>
      </c>
      <c r="B4043" s="27" t="s">
        <v>3148</v>
      </c>
      <c r="C4043" s="28" t="s">
        <v>3149</v>
      </c>
      <c r="D4043" s="29">
        <v>-18631.689999999999</v>
      </c>
      <c r="E4043" s="28" t="s">
        <v>35</v>
      </c>
      <c r="F4043" s="30">
        <v>610122005</v>
      </c>
      <c r="G4043" s="30" t="s">
        <v>401</v>
      </c>
      <c r="H4043" s="30"/>
      <c r="I4043" s="95" t="s">
        <v>7231</v>
      </c>
      <c r="J4043" s="28" t="s">
        <v>608</v>
      </c>
      <c r="K4043" s="28" t="s">
        <v>609</v>
      </c>
      <c r="L4043" s="28" t="s">
        <v>56</v>
      </c>
      <c r="M4043" s="28">
        <v>88.72</v>
      </c>
      <c r="N4043" s="4">
        <f t="shared" si="62"/>
        <v>-210.005522993688</v>
      </c>
      <c r="O4043" t="s">
        <v>605</v>
      </c>
      <c r="Q4043" s="24" t="s">
        <v>3150</v>
      </c>
    </row>
    <row r="4044" spans="1:17" x14ac:dyDescent="0.25">
      <c r="A4044" s="22">
        <v>45783</v>
      </c>
      <c r="B4044" s="1" t="s">
        <v>3151</v>
      </c>
      <c r="C4044" t="s">
        <v>612</v>
      </c>
      <c r="D4044" s="23">
        <v>-18.63</v>
      </c>
      <c r="E4044" t="s">
        <v>35</v>
      </c>
      <c r="F4044" s="2">
        <v>610148001</v>
      </c>
      <c r="G4044" s="2" t="s">
        <v>41</v>
      </c>
      <c r="I4044" s="95" t="s">
        <v>7231</v>
      </c>
      <c r="J4044" t="s">
        <v>42</v>
      </c>
      <c r="K4044" t="s">
        <v>41</v>
      </c>
      <c r="M4044">
        <v>88.72</v>
      </c>
      <c r="N4044" s="4">
        <f t="shared" ref="N4044:N4107" si="63">D4044/M4044</f>
        <v>-0.20998647430117223</v>
      </c>
      <c r="O4044" t="s">
        <v>605</v>
      </c>
      <c r="Q4044" s="42" t="s">
        <v>2650</v>
      </c>
    </row>
    <row r="4045" spans="1:17" x14ac:dyDescent="0.25">
      <c r="A4045" s="22">
        <v>45783</v>
      </c>
      <c r="B4045" s="1" t="s">
        <v>3152</v>
      </c>
      <c r="C4045" t="s">
        <v>3153</v>
      </c>
      <c r="D4045" s="23">
        <v>-119900</v>
      </c>
      <c r="E4045" t="s">
        <v>35</v>
      </c>
      <c r="F4045" s="2">
        <v>210101001</v>
      </c>
      <c r="G4045" s="2" t="s">
        <v>36</v>
      </c>
      <c r="I4045" s="95" t="s">
        <v>7231</v>
      </c>
      <c r="J4045" t="s">
        <v>928</v>
      </c>
      <c r="K4045" t="s">
        <v>929</v>
      </c>
      <c r="M4045">
        <v>88.72</v>
      </c>
      <c r="N4045" s="4">
        <f t="shared" si="63"/>
        <v>-1351.4427412082957</v>
      </c>
      <c r="O4045" t="s">
        <v>605</v>
      </c>
    </row>
    <row r="4046" spans="1:17" x14ac:dyDescent="0.25">
      <c r="A4046" s="22">
        <v>45783</v>
      </c>
      <c r="B4046" s="1" t="s">
        <v>3154</v>
      </c>
      <c r="C4046" t="s">
        <v>622</v>
      </c>
      <c r="D4046" s="23">
        <v>-299.75</v>
      </c>
      <c r="E4046" t="s">
        <v>35</v>
      </c>
      <c r="F4046" s="2">
        <v>610148001</v>
      </c>
      <c r="G4046" s="2" t="s">
        <v>41</v>
      </c>
      <c r="I4046" s="95" t="s">
        <v>7231</v>
      </c>
      <c r="J4046" t="s">
        <v>42</v>
      </c>
      <c r="K4046" t="s">
        <v>41</v>
      </c>
      <c r="M4046">
        <v>88.72</v>
      </c>
      <c r="N4046" s="4">
        <f t="shared" si="63"/>
        <v>-3.3786068530207394</v>
      </c>
      <c r="O4046" t="s">
        <v>605</v>
      </c>
      <c r="Q4046" s="42" t="s">
        <v>2650</v>
      </c>
    </row>
    <row r="4047" spans="1:17" x14ac:dyDescent="0.25">
      <c r="A4047" s="22">
        <v>45784</v>
      </c>
      <c r="B4047" s="1" t="s">
        <v>3155</v>
      </c>
      <c r="C4047" t="s">
        <v>293</v>
      </c>
      <c r="D4047" s="23">
        <v>900000</v>
      </c>
      <c r="E4047" t="s">
        <v>45</v>
      </c>
      <c r="F4047" s="2">
        <v>210115002</v>
      </c>
      <c r="G4047" s="2" t="s">
        <v>46</v>
      </c>
      <c r="I4047" s="95" t="s">
        <v>7231</v>
      </c>
      <c r="K4047" t="s">
        <v>293</v>
      </c>
      <c r="M4047">
        <v>91.21</v>
      </c>
      <c r="N4047" s="4">
        <f t="shared" si="63"/>
        <v>9867.3391075539967</v>
      </c>
      <c r="O4047" t="s">
        <v>605</v>
      </c>
    </row>
    <row r="4048" spans="1:17" x14ac:dyDescent="0.25">
      <c r="A4048" s="22">
        <v>45784</v>
      </c>
      <c r="B4048" s="1" t="s">
        <v>617</v>
      </c>
      <c r="C4048" t="s">
        <v>3156</v>
      </c>
      <c r="D4048" s="23">
        <v>-200000</v>
      </c>
      <c r="E4048" t="s">
        <v>35</v>
      </c>
      <c r="F4048" s="2">
        <v>210101001</v>
      </c>
      <c r="G4048" s="2" t="s">
        <v>36</v>
      </c>
      <c r="I4048" s="95" t="s">
        <v>7231</v>
      </c>
      <c r="J4048" t="s">
        <v>37</v>
      </c>
      <c r="K4048" t="s">
        <v>38</v>
      </c>
      <c r="M4048">
        <v>91.21</v>
      </c>
      <c r="N4048" s="4">
        <f t="shared" si="63"/>
        <v>-2192.7420239008884</v>
      </c>
      <c r="O4048" t="s">
        <v>605</v>
      </c>
    </row>
    <row r="4049" spans="1:17" x14ac:dyDescent="0.25">
      <c r="A4049" s="22">
        <v>45784</v>
      </c>
      <c r="B4049" s="1" t="s">
        <v>1268</v>
      </c>
      <c r="C4049" t="s">
        <v>3157</v>
      </c>
      <c r="D4049" s="23">
        <v>-44681.47</v>
      </c>
      <c r="E4049" t="s">
        <v>35</v>
      </c>
      <c r="F4049" s="2">
        <v>210101001</v>
      </c>
      <c r="G4049" s="2" t="s">
        <v>36</v>
      </c>
      <c r="I4049" s="95" t="s">
        <v>7231</v>
      </c>
      <c r="J4049" t="s">
        <v>414</v>
      </c>
      <c r="K4049" t="s">
        <v>415</v>
      </c>
      <c r="M4049">
        <v>91.21</v>
      </c>
      <c r="N4049" s="4">
        <f t="shared" si="63"/>
        <v>-489.8746847933341</v>
      </c>
      <c r="O4049" t="s">
        <v>605</v>
      </c>
    </row>
    <row r="4050" spans="1:17" x14ac:dyDescent="0.25">
      <c r="A4050" s="22">
        <v>45784</v>
      </c>
      <c r="B4050" s="1" t="s">
        <v>1892</v>
      </c>
      <c r="C4050" t="s">
        <v>3157</v>
      </c>
      <c r="D4050" s="23">
        <v>-200000</v>
      </c>
      <c r="E4050" t="s">
        <v>35</v>
      </c>
      <c r="F4050" s="2">
        <v>210101001</v>
      </c>
      <c r="G4050" s="2" t="s">
        <v>36</v>
      </c>
      <c r="I4050" s="95" t="s">
        <v>7231</v>
      </c>
      <c r="J4050" t="s">
        <v>414</v>
      </c>
      <c r="K4050" t="s">
        <v>415</v>
      </c>
      <c r="M4050">
        <v>91.21</v>
      </c>
      <c r="N4050" s="4">
        <f t="shared" si="63"/>
        <v>-2192.7420239008884</v>
      </c>
      <c r="O4050" t="s">
        <v>605</v>
      </c>
    </row>
    <row r="4051" spans="1:17" x14ac:dyDescent="0.25">
      <c r="A4051" s="22">
        <v>45784</v>
      </c>
      <c r="B4051" s="1" t="s">
        <v>1898</v>
      </c>
      <c r="C4051" t="s">
        <v>3157</v>
      </c>
      <c r="D4051" s="23">
        <v>-200000</v>
      </c>
      <c r="E4051" t="s">
        <v>35</v>
      </c>
      <c r="F4051" s="2">
        <v>210101001</v>
      </c>
      <c r="G4051" s="2" t="s">
        <v>36</v>
      </c>
      <c r="I4051" s="95" t="s">
        <v>7231</v>
      </c>
      <c r="J4051" t="s">
        <v>414</v>
      </c>
      <c r="K4051" t="s">
        <v>415</v>
      </c>
      <c r="M4051">
        <v>91.21</v>
      </c>
      <c r="N4051" s="4">
        <f t="shared" si="63"/>
        <v>-2192.7420239008884</v>
      </c>
      <c r="O4051" t="s">
        <v>605</v>
      </c>
    </row>
    <row r="4052" spans="1:17" x14ac:dyDescent="0.25">
      <c r="A4052" s="22">
        <v>45784</v>
      </c>
      <c r="B4052" s="1" t="s">
        <v>619</v>
      </c>
      <c r="C4052" t="s">
        <v>3158</v>
      </c>
      <c r="D4052" s="23">
        <v>-7380.59</v>
      </c>
      <c r="E4052" t="s">
        <v>35</v>
      </c>
      <c r="F4052" s="2">
        <v>210101001</v>
      </c>
      <c r="G4052" s="2" t="s">
        <v>36</v>
      </c>
      <c r="I4052" s="95" t="s">
        <v>7231</v>
      </c>
      <c r="J4052" t="s">
        <v>182</v>
      </c>
      <c r="K4052" t="s">
        <v>183</v>
      </c>
      <c r="M4052">
        <v>91.21</v>
      </c>
      <c r="N4052" s="4">
        <f t="shared" si="63"/>
        <v>-80.918649270913278</v>
      </c>
      <c r="O4052" t="s">
        <v>605</v>
      </c>
    </row>
    <row r="4053" spans="1:17" x14ac:dyDescent="0.25">
      <c r="A4053" s="22">
        <v>45784</v>
      </c>
      <c r="B4053" s="1" t="s">
        <v>613</v>
      </c>
      <c r="C4053" t="s">
        <v>3156</v>
      </c>
      <c r="D4053" s="23">
        <v>-13347.68</v>
      </c>
      <c r="E4053" t="s">
        <v>35</v>
      </c>
      <c r="F4053" s="2">
        <v>210101001</v>
      </c>
      <c r="G4053" s="2" t="s">
        <v>36</v>
      </c>
      <c r="I4053" s="95" t="s">
        <v>7231</v>
      </c>
      <c r="J4053" t="s">
        <v>37</v>
      </c>
      <c r="K4053" t="s">
        <v>38</v>
      </c>
      <c r="M4053">
        <v>91.21</v>
      </c>
      <c r="N4053" s="4">
        <f t="shared" si="63"/>
        <v>-146.34009428790705</v>
      </c>
      <c r="O4053" t="s">
        <v>605</v>
      </c>
    </row>
    <row r="4054" spans="1:17" x14ac:dyDescent="0.25">
      <c r="A4054" s="22">
        <v>45784</v>
      </c>
      <c r="B4054" s="1" t="s">
        <v>615</v>
      </c>
      <c r="C4054" t="s">
        <v>3159</v>
      </c>
      <c r="D4054" s="23">
        <v>-50256.71</v>
      </c>
      <c r="E4054" t="s">
        <v>35</v>
      </c>
      <c r="F4054" s="2">
        <v>210101001</v>
      </c>
      <c r="G4054" s="2" t="s">
        <v>36</v>
      </c>
      <c r="I4054" s="95" t="s">
        <v>7231</v>
      </c>
      <c r="J4054" t="s">
        <v>37</v>
      </c>
      <c r="K4054" t="s">
        <v>38</v>
      </c>
      <c r="M4054">
        <v>91.21</v>
      </c>
      <c r="N4054" s="4">
        <f t="shared" si="63"/>
        <v>-551</v>
      </c>
      <c r="O4054" t="s">
        <v>605</v>
      </c>
    </row>
    <row r="4055" spans="1:17" x14ac:dyDescent="0.25">
      <c r="A4055" s="22">
        <v>45784</v>
      </c>
      <c r="B4055" s="1" t="s">
        <v>1896</v>
      </c>
      <c r="C4055" t="s">
        <v>3160</v>
      </c>
      <c r="D4055" s="23">
        <v>-41758.550000000003</v>
      </c>
      <c r="E4055" t="s">
        <v>35</v>
      </c>
      <c r="F4055" s="2">
        <v>210101001</v>
      </c>
      <c r="G4055" s="2" t="s">
        <v>36</v>
      </c>
      <c r="I4055" s="95" t="s">
        <v>7231</v>
      </c>
      <c r="J4055" t="s">
        <v>398</v>
      </c>
      <c r="K4055" t="s">
        <v>399</v>
      </c>
      <c r="M4055">
        <v>91.21</v>
      </c>
      <c r="N4055" s="4">
        <f t="shared" si="63"/>
        <v>-457.8286372108322</v>
      </c>
      <c r="O4055" t="s">
        <v>605</v>
      </c>
    </row>
    <row r="4056" spans="1:17" x14ac:dyDescent="0.25">
      <c r="A4056" s="22">
        <v>45784</v>
      </c>
      <c r="B4056" s="1" t="s">
        <v>1909</v>
      </c>
      <c r="C4056" t="s">
        <v>3157</v>
      </c>
      <c r="D4056" s="23">
        <v>-200000</v>
      </c>
      <c r="E4056" t="s">
        <v>35</v>
      </c>
      <c r="F4056" s="2">
        <v>210101001</v>
      </c>
      <c r="G4056" s="2" t="s">
        <v>36</v>
      </c>
      <c r="I4056" s="95" t="s">
        <v>7231</v>
      </c>
      <c r="J4056" t="s">
        <v>414</v>
      </c>
      <c r="K4056" t="s">
        <v>415</v>
      </c>
      <c r="M4056">
        <v>91.21</v>
      </c>
      <c r="N4056" s="4">
        <f t="shared" si="63"/>
        <v>-2192.7420239008884</v>
      </c>
      <c r="O4056" t="s">
        <v>605</v>
      </c>
    </row>
    <row r="4057" spans="1:17" x14ac:dyDescent="0.25">
      <c r="A4057" s="22">
        <v>45784</v>
      </c>
      <c r="B4057" s="1" t="s">
        <v>1267</v>
      </c>
      <c r="C4057" t="s">
        <v>3161</v>
      </c>
      <c r="D4057" s="23">
        <v>-26821.21</v>
      </c>
      <c r="E4057" t="s">
        <v>35</v>
      </c>
      <c r="F4057" s="2">
        <v>210101001</v>
      </c>
      <c r="G4057" s="2" t="s">
        <v>36</v>
      </c>
      <c r="I4057" s="95" t="s">
        <v>7231</v>
      </c>
      <c r="J4057" t="s">
        <v>37</v>
      </c>
      <c r="K4057" t="s">
        <v>38</v>
      </c>
      <c r="M4057">
        <v>91.21</v>
      </c>
      <c r="N4057" s="4">
        <f t="shared" si="63"/>
        <v>-294.0599714943537</v>
      </c>
      <c r="O4057" t="s">
        <v>605</v>
      </c>
    </row>
    <row r="4058" spans="1:17" x14ac:dyDescent="0.25">
      <c r="A4058" s="22">
        <v>45784</v>
      </c>
      <c r="B4058" s="1" t="s">
        <v>1916</v>
      </c>
      <c r="C4058" t="s">
        <v>622</v>
      </c>
      <c r="D4058" s="23">
        <v>-500</v>
      </c>
      <c r="E4058" t="s">
        <v>35</v>
      </c>
      <c r="F4058" s="2">
        <v>610148001</v>
      </c>
      <c r="G4058" s="2" t="s">
        <v>41</v>
      </c>
      <c r="I4058" s="95" t="s">
        <v>7231</v>
      </c>
      <c r="J4058" t="s">
        <v>42</v>
      </c>
      <c r="K4058" t="s">
        <v>41</v>
      </c>
      <c r="M4058">
        <v>91.21</v>
      </c>
      <c r="N4058" s="4">
        <f t="shared" si="63"/>
        <v>-5.4818550597522204</v>
      </c>
      <c r="O4058" t="s">
        <v>605</v>
      </c>
      <c r="Q4058" s="42" t="s">
        <v>2650</v>
      </c>
    </row>
    <row r="4059" spans="1:17" x14ac:dyDescent="0.25">
      <c r="A4059" s="22">
        <v>45784</v>
      </c>
      <c r="B4059" s="1" t="s">
        <v>1915</v>
      </c>
      <c r="C4059" t="s">
        <v>622</v>
      </c>
      <c r="D4059" s="23">
        <v>-500</v>
      </c>
      <c r="E4059" t="s">
        <v>35</v>
      </c>
      <c r="F4059" s="2">
        <v>610148001</v>
      </c>
      <c r="G4059" s="2" t="s">
        <v>41</v>
      </c>
      <c r="I4059" s="95" t="s">
        <v>7231</v>
      </c>
      <c r="J4059" t="s">
        <v>42</v>
      </c>
      <c r="K4059" t="s">
        <v>41</v>
      </c>
      <c r="M4059">
        <v>91.21</v>
      </c>
      <c r="N4059" s="4">
        <f t="shared" si="63"/>
        <v>-5.4818550597522204</v>
      </c>
      <c r="O4059" t="s">
        <v>605</v>
      </c>
      <c r="Q4059" s="42" t="s">
        <v>2650</v>
      </c>
    </row>
    <row r="4060" spans="1:17" x14ac:dyDescent="0.25">
      <c r="A4060" s="22">
        <v>45784</v>
      </c>
      <c r="B4060" s="1" t="s">
        <v>625</v>
      </c>
      <c r="C4060" t="s">
        <v>622</v>
      </c>
      <c r="D4060" s="23">
        <v>-125.64</v>
      </c>
      <c r="E4060" t="s">
        <v>35</v>
      </c>
      <c r="F4060" s="2">
        <v>610148001</v>
      </c>
      <c r="G4060" s="2" t="s">
        <v>41</v>
      </c>
      <c r="I4060" s="95" t="s">
        <v>7231</v>
      </c>
      <c r="J4060" t="s">
        <v>42</v>
      </c>
      <c r="K4060" t="s">
        <v>41</v>
      </c>
      <c r="M4060">
        <v>91.21</v>
      </c>
      <c r="N4060" s="4">
        <f t="shared" si="63"/>
        <v>-1.377480539414538</v>
      </c>
      <c r="O4060" t="s">
        <v>605</v>
      </c>
      <c r="Q4060" s="42" t="s">
        <v>2650</v>
      </c>
    </row>
    <row r="4061" spans="1:17" x14ac:dyDescent="0.25">
      <c r="A4061" s="22">
        <v>45784</v>
      </c>
      <c r="B4061" s="1" t="s">
        <v>621</v>
      </c>
      <c r="C4061" t="s">
        <v>622</v>
      </c>
      <c r="D4061" s="23">
        <v>-18.45</v>
      </c>
      <c r="E4061" t="s">
        <v>35</v>
      </c>
      <c r="F4061" s="2">
        <v>610148001</v>
      </c>
      <c r="G4061" s="2" t="s">
        <v>41</v>
      </c>
      <c r="I4061" s="95" t="s">
        <v>7231</v>
      </c>
      <c r="J4061" t="s">
        <v>42</v>
      </c>
      <c r="K4061" t="s">
        <v>41</v>
      </c>
      <c r="M4061">
        <v>91.21</v>
      </c>
      <c r="N4061" s="4">
        <f t="shared" si="63"/>
        <v>-0.20228045170485692</v>
      </c>
      <c r="O4061" t="s">
        <v>605</v>
      </c>
      <c r="Q4061" s="42" t="s">
        <v>2650</v>
      </c>
    </row>
    <row r="4062" spans="1:17" x14ac:dyDescent="0.25">
      <c r="A4062" s="22">
        <v>45784</v>
      </c>
      <c r="B4062" s="1" t="s">
        <v>624</v>
      </c>
      <c r="C4062" t="s">
        <v>622</v>
      </c>
      <c r="D4062" s="23">
        <v>-500</v>
      </c>
      <c r="E4062" t="s">
        <v>35</v>
      </c>
      <c r="F4062" s="2">
        <v>610148001</v>
      </c>
      <c r="G4062" s="2" t="s">
        <v>41</v>
      </c>
      <c r="I4062" s="95" t="s">
        <v>7231</v>
      </c>
      <c r="J4062" t="s">
        <v>42</v>
      </c>
      <c r="K4062" t="s">
        <v>41</v>
      </c>
      <c r="M4062">
        <v>91.21</v>
      </c>
      <c r="N4062" s="4">
        <f t="shared" si="63"/>
        <v>-5.4818550597522204</v>
      </c>
      <c r="O4062" t="s">
        <v>605</v>
      </c>
      <c r="Q4062" s="42" t="s">
        <v>2650</v>
      </c>
    </row>
    <row r="4063" spans="1:17" x14ac:dyDescent="0.25">
      <c r="A4063" s="22">
        <v>45784</v>
      </c>
      <c r="B4063" s="1" t="s">
        <v>1271</v>
      </c>
      <c r="C4063" t="s">
        <v>622</v>
      </c>
      <c r="D4063" s="23">
        <v>-111.7</v>
      </c>
      <c r="E4063" t="s">
        <v>35</v>
      </c>
      <c r="F4063" s="2">
        <v>610148001</v>
      </c>
      <c r="G4063" s="2" t="s">
        <v>41</v>
      </c>
      <c r="I4063" s="95" t="s">
        <v>7231</v>
      </c>
      <c r="J4063" t="s">
        <v>42</v>
      </c>
      <c r="K4063" t="s">
        <v>41</v>
      </c>
      <c r="M4063">
        <v>91.21</v>
      </c>
      <c r="N4063" s="4">
        <f t="shared" si="63"/>
        <v>-1.224646420348646</v>
      </c>
      <c r="O4063" t="s">
        <v>605</v>
      </c>
      <c r="Q4063" s="42" t="s">
        <v>2650</v>
      </c>
    </row>
    <row r="4064" spans="1:17" x14ac:dyDescent="0.25">
      <c r="A4064" s="22">
        <v>45784</v>
      </c>
      <c r="B4064" s="1" t="s">
        <v>1917</v>
      </c>
      <c r="C4064" t="s">
        <v>622</v>
      </c>
      <c r="D4064" s="23">
        <v>-104.39</v>
      </c>
      <c r="E4064" t="s">
        <v>35</v>
      </c>
      <c r="F4064" s="2">
        <v>610148001</v>
      </c>
      <c r="G4064" s="2" t="s">
        <v>41</v>
      </c>
      <c r="I4064" s="95" t="s">
        <v>7231</v>
      </c>
      <c r="J4064" t="s">
        <v>42</v>
      </c>
      <c r="K4064" t="s">
        <v>41</v>
      </c>
      <c r="M4064">
        <v>91.21</v>
      </c>
      <c r="N4064" s="4">
        <f t="shared" si="63"/>
        <v>-1.1445016993750685</v>
      </c>
      <c r="O4064" t="s">
        <v>605</v>
      </c>
      <c r="Q4064" s="42" t="s">
        <v>2650</v>
      </c>
    </row>
    <row r="4065" spans="1:17" x14ac:dyDescent="0.25">
      <c r="A4065" s="22">
        <v>45784</v>
      </c>
      <c r="B4065" s="1" t="s">
        <v>1912</v>
      </c>
      <c r="C4065" t="s">
        <v>622</v>
      </c>
      <c r="D4065" s="23">
        <v>-500</v>
      </c>
      <c r="E4065" t="s">
        <v>35</v>
      </c>
      <c r="F4065" s="2">
        <v>610148001</v>
      </c>
      <c r="G4065" s="2" t="s">
        <v>41</v>
      </c>
      <c r="I4065" s="95" t="s">
        <v>7231</v>
      </c>
      <c r="J4065" t="s">
        <v>42</v>
      </c>
      <c r="K4065" t="s">
        <v>41</v>
      </c>
      <c r="M4065">
        <v>91.21</v>
      </c>
      <c r="N4065" s="4">
        <f t="shared" si="63"/>
        <v>-5.4818550597522204</v>
      </c>
      <c r="O4065" t="s">
        <v>605</v>
      </c>
      <c r="Q4065" s="42" t="s">
        <v>2650</v>
      </c>
    </row>
    <row r="4066" spans="1:17" x14ac:dyDescent="0.25">
      <c r="A4066" s="22">
        <v>45784</v>
      </c>
      <c r="B4066" s="1" t="s">
        <v>1272</v>
      </c>
      <c r="C4066" t="s">
        <v>622</v>
      </c>
      <c r="D4066" s="23">
        <v>-67.05</v>
      </c>
      <c r="E4066" t="s">
        <v>35</v>
      </c>
      <c r="F4066" s="2">
        <v>610148001</v>
      </c>
      <c r="G4066" s="2" t="s">
        <v>41</v>
      </c>
      <c r="I4066" s="95" t="s">
        <v>7231</v>
      </c>
      <c r="J4066" t="s">
        <v>42</v>
      </c>
      <c r="K4066" t="s">
        <v>41</v>
      </c>
      <c r="M4066">
        <v>91.21</v>
      </c>
      <c r="N4066" s="4">
        <f t="shared" si="63"/>
        <v>-0.73511676351277278</v>
      </c>
      <c r="O4066" t="s">
        <v>605</v>
      </c>
      <c r="Q4066" s="42" t="s">
        <v>2650</v>
      </c>
    </row>
    <row r="4067" spans="1:17" x14ac:dyDescent="0.25">
      <c r="A4067" s="22">
        <v>45784</v>
      </c>
      <c r="B4067" s="1" t="s">
        <v>623</v>
      </c>
      <c r="C4067" t="s">
        <v>622</v>
      </c>
      <c r="D4067" s="23">
        <v>-33.36</v>
      </c>
      <c r="E4067" t="s">
        <v>35</v>
      </c>
      <c r="F4067" s="2">
        <v>610148001</v>
      </c>
      <c r="G4067" s="2" t="s">
        <v>41</v>
      </c>
      <c r="I4067" s="95" t="s">
        <v>7231</v>
      </c>
      <c r="J4067" t="s">
        <v>42</v>
      </c>
      <c r="K4067" t="s">
        <v>41</v>
      </c>
      <c r="M4067">
        <v>91.21</v>
      </c>
      <c r="N4067" s="4">
        <f t="shared" si="63"/>
        <v>-0.36574936958666815</v>
      </c>
      <c r="O4067" t="s">
        <v>605</v>
      </c>
      <c r="Q4067" s="42" t="s">
        <v>2650</v>
      </c>
    </row>
    <row r="4068" spans="1:17" x14ac:dyDescent="0.25">
      <c r="A4068" s="22">
        <v>45786</v>
      </c>
      <c r="B4068" s="1" t="s">
        <v>613</v>
      </c>
      <c r="C4068" t="s">
        <v>3162</v>
      </c>
      <c r="D4068" s="23">
        <v>-7426.4</v>
      </c>
      <c r="E4068" t="s">
        <v>35</v>
      </c>
      <c r="F4068" s="2">
        <v>212901001</v>
      </c>
      <c r="G4068" s="2" t="s">
        <v>91</v>
      </c>
      <c r="I4068" s="95" t="s">
        <v>7231</v>
      </c>
      <c r="J4068" t="s">
        <v>61</v>
      </c>
      <c r="K4068" t="s">
        <v>62</v>
      </c>
      <c r="M4068">
        <v>92.83</v>
      </c>
      <c r="N4068" s="4">
        <f t="shared" si="63"/>
        <v>-80</v>
      </c>
      <c r="O4068" t="s">
        <v>605</v>
      </c>
    </row>
    <row r="4069" spans="1:17" x14ac:dyDescent="0.25">
      <c r="A4069" s="22">
        <v>45786</v>
      </c>
      <c r="B4069" s="1" t="s">
        <v>615</v>
      </c>
      <c r="C4069" t="s">
        <v>3163</v>
      </c>
      <c r="D4069" s="23">
        <v>-5569.8</v>
      </c>
      <c r="E4069" t="s">
        <v>35</v>
      </c>
      <c r="F4069" s="2">
        <v>212901001</v>
      </c>
      <c r="G4069" s="2" t="s">
        <v>91</v>
      </c>
      <c r="I4069" s="95" t="s">
        <v>7231</v>
      </c>
      <c r="J4069" t="s">
        <v>61</v>
      </c>
      <c r="K4069" t="s">
        <v>62</v>
      </c>
      <c r="M4069">
        <v>92.83</v>
      </c>
      <c r="N4069" s="4">
        <f t="shared" si="63"/>
        <v>-60</v>
      </c>
      <c r="O4069" t="s">
        <v>605</v>
      </c>
    </row>
    <row r="4070" spans="1:17" x14ac:dyDescent="0.25">
      <c r="A4070" s="22">
        <v>45786</v>
      </c>
      <c r="B4070" s="1" t="s">
        <v>617</v>
      </c>
      <c r="C4070" t="s">
        <v>3164</v>
      </c>
      <c r="D4070" s="23">
        <v>-5569.8</v>
      </c>
      <c r="E4070" t="s">
        <v>35</v>
      </c>
      <c r="F4070" s="2">
        <v>212901001</v>
      </c>
      <c r="G4070" s="2" t="s">
        <v>91</v>
      </c>
      <c r="I4070" s="95" t="s">
        <v>7231</v>
      </c>
      <c r="J4070" t="s">
        <v>61</v>
      </c>
      <c r="K4070" t="s">
        <v>62</v>
      </c>
      <c r="M4070">
        <v>92.83</v>
      </c>
      <c r="N4070" s="4">
        <f t="shared" si="63"/>
        <v>-60</v>
      </c>
      <c r="O4070" t="s">
        <v>605</v>
      </c>
    </row>
    <row r="4071" spans="1:17" x14ac:dyDescent="0.25">
      <c r="A4071" s="22">
        <v>45786</v>
      </c>
      <c r="B4071" s="1" t="s">
        <v>619</v>
      </c>
      <c r="C4071" t="s">
        <v>3165</v>
      </c>
      <c r="D4071" s="23">
        <v>-5569.8</v>
      </c>
      <c r="E4071" t="s">
        <v>35</v>
      </c>
      <c r="F4071" s="2">
        <v>212901001</v>
      </c>
      <c r="G4071" s="2" t="s">
        <v>91</v>
      </c>
      <c r="I4071" s="95" t="s">
        <v>7231</v>
      </c>
      <c r="J4071" t="s">
        <v>61</v>
      </c>
      <c r="K4071" t="s">
        <v>62</v>
      </c>
      <c r="M4071">
        <v>92.83</v>
      </c>
      <c r="N4071" s="4">
        <f t="shared" si="63"/>
        <v>-60</v>
      </c>
      <c r="O4071" t="s">
        <v>605</v>
      </c>
    </row>
    <row r="4072" spans="1:17" x14ac:dyDescent="0.25">
      <c r="A4072" s="22">
        <v>45786</v>
      </c>
      <c r="B4072" s="1" t="s">
        <v>1268</v>
      </c>
      <c r="C4072" t="s">
        <v>3166</v>
      </c>
      <c r="D4072" s="23">
        <v>-5569.8</v>
      </c>
      <c r="E4072" t="s">
        <v>35</v>
      </c>
      <c r="F4072" s="2">
        <v>212901001</v>
      </c>
      <c r="G4072" s="2" t="s">
        <v>91</v>
      </c>
      <c r="I4072" s="95" t="s">
        <v>7231</v>
      </c>
      <c r="J4072" t="s">
        <v>61</v>
      </c>
      <c r="K4072" t="s">
        <v>62</v>
      </c>
      <c r="M4072">
        <v>92.83</v>
      </c>
      <c r="N4072" s="4">
        <f t="shared" si="63"/>
        <v>-60</v>
      </c>
      <c r="O4072" t="s">
        <v>605</v>
      </c>
    </row>
    <row r="4073" spans="1:17" x14ac:dyDescent="0.25">
      <c r="A4073" s="22">
        <v>45786</v>
      </c>
      <c r="B4073" s="1" t="s">
        <v>1267</v>
      </c>
      <c r="C4073" t="s">
        <v>3167</v>
      </c>
      <c r="D4073" s="23">
        <v>-5569.8</v>
      </c>
      <c r="E4073" t="s">
        <v>35</v>
      </c>
      <c r="F4073" s="2">
        <v>212901001</v>
      </c>
      <c r="G4073" s="2" t="s">
        <v>91</v>
      </c>
      <c r="I4073" s="95" t="s">
        <v>7231</v>
      </c>
      <c r="J4073" t="s">
        <v>61</v>
      </c>
      <c r="K4073" t="s">
        <v>62</v>
      </c>
      <c r="M4073">
        <v>92.83</v>
      </c>
      <c r="N4073" s="4">
        <f t="shared" si="63"/>
        <v>-60</v>
      </c>
      <c r="O4073" t="s">
        <v>605</v>
      </c>
    </row>
    <row r="4074" spans="1:17" x14ac:dyDescent="0.25">
      <c r="A4074" s="22">
        <v>45786</v>
      </c>
      <c r="B4074" s="1" t="s">
        <v>1896</v>
      </c>
      <c r="C4074" t="s">
        <v>3168</v>
      </c>
      <c r="D4074" s="23">
        <v>-5569.8</v>
      </c>
      <c r="E4074" t="s">
        <v>35</v>
      </c>
      <c r="F4074" s="2">
        <v>212901001</v>
      </c>
      <c r="G4074" s="2" t="s">
        <v>91</v>
      </c>
      <c r="I4074" s="95" t="s">
        <v>7231</v>
      </c>
      <c r="J4074" t="s">
        <v>61</v>
      </c>
      <c r="K4074" t="s">
        <v>62</v>
      </c>
      <c r="M4074">
        <v>92.83</v>
      </c>
      <c r="N4074" s="4">
        <f t="shared" si="63"/>
        <v>-60</v>
      </c>
      <c r="O4074" t="s">
        <v>605</v>
      </c>
    </row>
    <row r="4075" spans="1:17" x14ac:dyDescent="0.25">
      <c r="A4075" s="22">
        <v>45786</v>
      </c>
      <c r="B4075" s="1" t="s">
        <v>1892</v>
      </c>
      <c r="C4075" t="s">
        <v>3169</v>
      </c>
      <c r="D4075" s="23">
        <v>-5569.8</v>
      </c>
      <c r="E4075" t="s">
        <v>35</v>
      </c>
      <c r="F4075" s="2">
        <v>212901001</v>
      </c>
      <c r="G4075" s="2" t="s">
        <v>91</v>
      </c>
      <c r="I4075" s="95" t="s">
        <v>7231</v>
      </c>
      <c r="J4075" t="s">
        <v>61</v>
      </c>
      <c r="K4075" t="s">
        <v>62</v>
      </c>
      <c r="M4075">
        <v>92.83</v>
      </c>
      <c r="N4075" s="4">
        <f t="shared" si="63"/>
        <v>-60</v>
      </c>
      <c r="O4075" t="s">
        <v>605</v>
      </c>
    </row>
    <row r="4076" spans="1:17" x14ac:dyDescent="0.25">
      <c r="A4076" s="22">
        <v>45786</v>
      </c>
      <c r="B4076" s="1" t="s">
        <v>1909</v>
      </c>
      <c r="C4076" t="s">
        <v>3170</v>
      </c>
      <c r="D4076" s="23">
        <v>-5569.8</v>
      </c>
      <c r="E4076" t="s">
        <v>35</v>
      </c>
      <c r="F4076" s="2">
        <v>212901001</v>
      </c>
      <c r="G4076" s="2" t="s">
        <v>91</v>
      </c>
      <c r="I4076" s="95" t="s">
        <v>7231</v>
      </c>
      <c r="J4076" t="s">
        <v>61</v>
      </c>
      <c r="K4076" t="s">
        <v>62</v>
      </c>
      <c r="M4076">
        <v>92.83</v>
      </c>
      <c r="N4076" s="4">
        <f t="shared" si="63"/>
        <v>-60</v>
      </c>
      <c r="O4076" t="s">
        <v>605</v>
      </c>
    </row>
    <row r="4077" spans="1:17" x14ac:dyDescent="0.25">
      <c r="A4077" s="22">
        <v>45786</v>
      </c>
      <c r="B4077" s="1" t="s">
        <v>1898</v>
      </c>
      <c r="C4077" t="s">
        <v>3171</v>
      </c>
      <c r="D4077" s="23">
        <v>-5569.8</v>
      </c>
      <c r="E4077" t="s">
        <v>35</v>
      </c>
      <c r="F4077" s="2">
        <v>212901001</v>
      </c>
      <c r="G4077" s="2" t="s">
        <v>91</v>
      </c>
      <c r="I4077" s="95" t="s">
        <v>7231</v>
      </c>
      <c r="J4077" t="s">
        <v>61</v>
      </c>
      <c r="K4077" t="s">
        <v>62</v>
      </c>
      <c r="M4077">
        <v>92.83</v>
      </c>
      <c r="N4077" s="4">
        <f t="shared" si="63"/>
        <v>-60</v>
      </c>
      <c r="O4077" t="s">
        <v>605</v>
      </c>
    </row>
    <row r="4078" spans="1:17" x14ac:dyDescent="0.25">
      <c r="A4078" s="22">
        <v>45786</v>
      </c>
      <c r="B4078" s="1" t="s">
        <v>1904</v>
      </c>
      <c r="C4078" t="s">
        <v>3172</v>
      </c>
      <c r="D4078" s="23">
        <v>-5569.8</v>
      </c>
      <c r="E4078" t="s">
        <v>35</v>
      </c>
      <c r="F4078" s="2">
        <v>212901001</v>
      </c>
      <c r="G4078" s="2" t="s">
        <v>91</v>
      </c>
      <c r="I4078" s="95" t="s">
        <v>7231</v>
      </c>
      <c r="J4078" t="s">
        <v>61</v>
      </c>
      <c r="K4078" t="s">
        <v>62</v>
      </c>
      <c r="M4078">
        <v>92.83</v>
      </c>
      <c r="N4078" s="4">
        <f t="shared" si="63"/>
        <v>-60</v>
      </c>
      <c r="O4078" t="s">
        <v>605</v>
      </c>
    </row>
    <row r="4079" spans="1:17" x14ac:dyDescent="0.25">
      <c r="A4079" s="22">
        <v>45786</v>
      </c>
      <c r="B4079" s="1" t="s">
        <v>1894</v>
      </c>
      <c r="C4079" t="s">
        <v>3173</v>
      </c>
      <c r="D4079" s="23">
        <v>-5569.8</v>
      </c>
      <c r="E4079" t="s">
        <v>35</v>
      </c>
      <c r="F4079" s="2">
        <v>212901001</v>
      </c>
      <c r="G4079" s="2" t="s">
        <v>91</v>
      </c>
      <c r="I4079" s="95" t="s">
        <v>7231</v>
      </c>
      <c r="J4079" t="s">
        <v>61</v>
      </c>
      <c r="K4079" t="s">
        <v>62</v>
      </c>
      <c r="M4079">
        <v>92.83</v>
      </c>
      <c r="N4079" s="4">
        <f t="shared" si="63"/>
        <v>-60</v>
      </c>
      <c r="O4079" t="s">
        <v>605</v>
      </c>
    </row>
    <row r="4080" spans="1:17" x14ac:dyDescent="0.25">
      <c r="A4080" s="22">
        <v>45786</v>
      </c>
      <c r="B4080" s="1" t="s">
        <v>1886</v>
      </c>
      <c r="C4080" t="s">
        <v>3174</v>
      </c>
      <c r="D4080" s="23">
        <v>-5569.8</v>
      </c>
      <c r="E4080" t="s">
        <v>35</v>
      </c>
      <c r="F4080" s="2">
        <v>212901001</v>
      </c>
      <c r="G4080" s="2" t="s">
        <v>91</v>
      </c>
      <c r="I4080" s="95" t="s">
        <v>7231</v>
      </c>
      <c r="J4080" t="s">
        <v>61</v>
      </c>
      <c r="K4080" t="s">
        <v>62</v>
      </c>
      <c r="M4080">
        <v>92.83</v>
      </c>
      <c r="N4080" s="4">
        <f t="shared" si="63"/>
        <v>-60</v>
      </c>
      <c r="O4080" t="s">
        <v>605</v>
      </c>
    </row>
    <row r="4081" spans="1:15" x14ac:dyDescent="0.25">
      <c r="A4081" s="22">
        <v>45786</v>
      </c>
      <c r="B4081" s="1" t="s">
        <v>1900</v>
      </c>
      <c r="C4081" t="s">
        <v>3175</v>
      </c>
      <c r="D4081" s="23">
        <v>-5569.8</v>
      </c>
      <c r="E4081" t="s">
        <v>35</v>
      </c>
      <c r="F4081" s="2">
        <v>212901001</v>
      </c>
      <c r="G4081" s="2" t="s">
        <v>91</v>
      </c>
      <c r="I4081" s="95" t="s">
        <v>7231</v>
      </c>
      <c r="J4081" t="s">
        <v>61</v>
      </c>
      <c r="K4081" t="s">
        <v>62</v>
      </c>
      <c r="M4081">
        <v>92.83</v>
      </c>
      <c r="N4081" s="4">
        <f t="shared" si="63"/>
        <v>-60</v>
      </c>
      <c r="O4081" t="s">
        <v>605</v>
      </c>
    </row>
    <row r="4082" spans="1:15" x14ac:dyDescent="0.25">
      <c r="A4082" s="22">
        <v>45786</v>
      </c>
      <c r="B4082" s="1" t="s">
        <v>1907</v>
      </c>
      <c r="C4082" t="s">
        <v>3176</v>
      </c>
      <c r="D4082" s="23">
        <v>-5569.8</v>
      </c>
      <c r="E4082" t="s">
        <v>35</v>
      </c>
      <c r="F4082" s="2">
        <v>212901001</v>
      </c>
      <c r="G4082" s="2" t="s">
        <v>91</v>
      </c>
      <c r="I4082" s="95" t="s">
        <v>7231</v>
      </c>
      <c r="J4082" t="s">
        <v>61</v>
      </c>
      <c r="K4082" t="s">
        <v>62</v>
      </c>
      <c r="M4082">
        <v>92.83</v>
      </c>
      <c r="N4082" s="4">
        <f t="shared" si="63"/>
        <v>-60</v>
      </c>
      <c r="O4082" t="s">
        <v>605</v>
      </c>
    </row>
    <row r="4083" spans="1:15" x14ac:dyDescent="0.25">
      <c r="A4083" s="22">
        <v>45786</v>
      </c>
      <c r="B4083" s="1" t="s">
        <v>1888</v>
      </c>
      <c r="C4083" t="s">
        <v>3177</v>
      </c>
      <c r="D4083" s="23">
        <v>-5569.8</v>
      </c>
      <c r="E4083" t="s">
        <v>35</v>
      </c>
      <c r="F4083" s="2">
        <v>212901001</v>
      </c>
      <c r="G4083" s="2" t="s">
        <v>91</v>
      </c>
      <c r="I4083" s="95" t="s">
        <v>7231</v>
      </c>
      <c r="J4083" t="s">
        <v>61</v>
      </c>
      <c r="K4083" t="s">
        <v>62</v>
      </c>
      <c r="M4083">
        <v>92.83</v>
      </c>
      <c r="N4083" s="4">
        <f t="shared" si="63"/>
        <v>-60</v>
      </c>
      <c r="O4083" t="s">
        <v>605</v>
      </c>
    </row>
    <row r="4084" spans="1:15" x14ac:dyDescent="0.25">
      <c r="A4084" s="22">
        <v>45786</v>
      </c>
      <c r="B4084" s="1" t="s">
        <v>1994</v>
      </c>
      <c r="C4084" t="s">
        <v>3178</v>
      </c>
      <c r="D4084" s="23">
        <v>-13924.5</v>
      </c>
      <c r="E4084" t="s">
        <v>35</v>
      </c>
      <c r="F4084" s="2">
        <v>212901001</v>
      </c>
      <c r="G4084" s="2" t="s">
        <v>91</v>
      </c>
      <c r="I4084" s="95" t="s">
        <v>7231</v>
      </c>
      <c r="J4084" t="s">
        <v>61</v>
      </c>
      <c r="K4084" t="s">
        <v>62</v>
      </c>
      <c r="M4084">
        <v>92.83</v>
      </c>
      <c r="N4084" s="4">
        <f t="shared" si="63"/>
        <v>-150</v>
      </c>
      <c r="O4084" t="s">
        <v>605</v>
      </c>
    </row>
    <row r="4085" spans="1:15" x14ac:dyDescent="0.25">
      <c r="A4085" s="22">
        <v>45786</v>
      </c>
      <c r="B4085" s="1" t="s">
        <v>1981</v>
      </c>
      <c r="C4085" t="s">
        <v>3179</v>
      </c>
      <c r="D4085" s="23">
        <v>-9283</v>
      </c>
      <c r="E4085" t="s">
        <v>35</v>
      </c>
      <c r="F4085" s="2">
        <v>212901001</v>
      </c>
      <c r="G4085" s="2" t="s">
        <v>91</v>
      </c>
      <c r="I4085" s="95" t="s">
        <v>7231</v>
      </c>
      <c r="J4085" t="s">
        <v>61</v>
      </c>
      <c r="K4085" t="s">
        <v>62</v>
      </c>
      <c r="M4085">
        <v>92.83</v>
      </c>
      <c r="N4085" s="4">
        <f t="shared" si="63"/>
        <v>-100</v>
      </c>
      <c r="O4085" t="s">
        <v>605</v>
      </c>
    </row>
    <row r="4086" spans="1:15" x14ac:dyDescent="0.25">
      <c r="A4086" s="22">
        <v>45786</v>
      </c>
      <c r="B4086" s="1" t="s">
        <v>2006</v>
      </c>
      <c r="C4086" t="s">
        <v>3180</v>
      </c>
      <c r="D4086" s="23">
        <v>-7426.4</v>
      </c>
      <c r="E4086" t="s">
        <v>35</v>
      </c>
      <c r="F4086" s="2">
        <v>212901001</v>
      </c>
      <c r="G4086" s="2" t="s">
        <v>91</v>
      </c>
      <c r="I4086" s="95" t="s">
        <v>7231</v>
      </c>
      <c r="J4086" t="s">
        <v>61</v>
      </c>
      <c r="K4086" t="s">
        <v>62</v>
      </c>
      <c r="M4086">
        <v>92.83</v>
      </c>
      <c r="N4086" s="4">
        <f t="shared" si="63"/>
        <v>-80</v>
      </c>
      <c r="O4086" t="s">
        <v>605</v>
      </c>
    </row>
    <row r="4087" spans="1:15" x14ac:dyDescent="0.25">
      <c r="A4087" s="22">
        <v>45786</v>
      </c>
      <c r="B4087" s="1" t="s">
        <v>2028</v>
      </c>
      <c r="C4087" t="s">
        <v>3181</v>
      </c>
      <c r="D4087" s="23">
        <v>-7426.4</v>
      </c>
      <c r="E4087" t="s">
        <v>35</v>
      </c>
      <c r="F4087" s="2">
        <v>212901001</v>
      </c>
      <c r="G4087" s="2" t="s">
        <v>91</v>
      </c>
      <c r="I4087" s="95" t="s">
        <v>7231</v>
      </c>
      <c r="J4087" t="s">
        <v>61</v>
      </c>
      <c r="K4087" t="s">
        <v>62</v>
      </c>
      <c r="M4087">
        <v>92.83</v>
      </c>
      <c r="N4087" s="4">
        <f t="shared" si="63"/>
        <v>-80</v>
      </c>
      <c r="O4087" t="s">
        <v>605</v>
      </c>
    </row>
    <row r="4088" spans="1:15" x14ac:dyDescent="0.25">
      <c r="A4088" s="22">
        <v>45786</v>
      </c>
      <c r="B4088" s="1" t="s">
        <v>1936</v>
      </c>
      <c r="C4088" t="s">
        <v>3182</v>
      </c>
      <c r="D4088" s="23">
        <v>-7426.4</v>
      </c>
      <c r="E4088" t="s">
        <v>35</v>
      </c>
      <c r="F4088" s="2">
        <v>212901001</v>
      </c>
      <c r="G4088" s="2" t="s">
        <v>91</v>
      </c>
      <c r="I4088" s="95" t="s">
        <v>7231</v>
      </c>
      <c r="J4088" t="s">
        <v>61</v>
      </c>
      <c r="K4088" t="s">
        <v>62</v>
      </c>
      <c r="M4088">
        <v>92.83</v>
      </c>
      <c r="N4088" s="4">
        <f t="shared" si="63"/>
        <v>-80</v>
      </c>
      <c r="O4088" t="s">
        <v>605</v>
      </c>
    </row>
    <row r="4089" spans="1:15" x14ac:dyDescent="0.25">
      <c r="A4089" s="22">
        <v>45786</v>
      </c>
      <c r="B4089" s="1" t="s">
        <v>1938</v>
      </c>
      <c r="C4089" t="s">
        <v>3183</v>
      </c>
      <c r="D4089" s="23">
        <v>-7426.4</v>
      </c>
      <c r="E4089" t="s">
        <v>35</v>
      </c>
      <c r="F4089" s="2">
        <v>212901001</v>
      </c>
      <c r="G4089" s="2" t="s">
        <v>91</v>
      </c>
      <c r="I4089" s="95" t="s">
        <v>7231</v>
      </c>
      <c r="J4089" t="s">
        <v>61</v>
      </c>
      <c r="K4089" t="s">
        <v>62</v>
      </c>
      <c r="M4089">
        <v>92.83</v>
      </c>
      <c r="N4089" s="4">
        <f t="shared" si="63"/>
        <v>-80</v>
      </c>
      <c r="O4089" t="s">
        <v>605</v>
      </c>
    </row>
    <row r="4090" spans="1:15" x14ac:dyDescent="0.25">
      <c r="A4090" s="22">
        <v>45786</v>
      </c>
      <c r="B4090" s="1" t="s">
        <v>1983</v>
      </c>
      <c r="C4090" t="s">
        <v>3184</v>
      </c>
      <c r="D4090" s="23">
        <v>-7426.4</v>
      </c>
      <c r="E4090" t="s">
        <v>35</v>
      </c>
      <c r="F4090" s="2">
        <v>212901001</v>
      </c>
      <c r="G4090" s="2" t="s">
        <v>91</v>
      </c>
      <c r="I4090" s="95" t="s">
        <v>7231</v>
      </c>
      <c r="J4090" t="s">
        <v>61</v>
      </c>
      <c r="K4090" t="s">
        <v>62</v>
      </c>
      <c r="M4090">
        <v>92.83</v>
      </c>
      <c r="N4090" s="4">
        <f t="shared" si="63"/>
        <v>-80</v>
      </c>
      <c r="O4090" t="s">
        <v>605</v>
      </c>
    </row>
    <row r="4091" spans="1:15" x14ac:dyDescent="0.25">
      <c r="A4091" s="22">
        <v>45786</v>
      </c>
      <c r="B4091" s="1" t="s">
        <v>1953</v>
      </c>
      <c r="C4091" t="s">
        <v>3185</v>
      </c>
      <c r="D4091" s="23">
        <v>-7426.4</v>
      </c>
      <c r="E4091" t="s">
        <v>35</v>
      </c>
      <c r="F4091" s="2">
        <v>212901001</v>
      </c>
      <c r="G4091" s="2" t="s">
        <v>91</v>
      </c>
      <c r="I4091" s="95" t="s">
        <v>7231</v>
      </c>
      <c r="J4091" t="s">
        <v>61</v>
      </c>
      <c r="K4091" t="s">
        <v>62</v>
      </c>
      <c r="M4091">
        <v>92.83</v>
      </c>
      <c r="N4091" s="4">
        <f t="shared" si="63"/>
        <v>-80</v>
      </c>
      <c r="O4091" t="s">
        <v>605</v>
      </c>
    </row>
    <row r="4092" spans="1:15" x14ac:dyDescent="0.25">
      <c r="A4092" s="22">
        <v>45786</v>
      </c>
      <c r="B4092" s="1" t="s">
        <v>1955</v>
      </c>
      <c r="C4092" t="s">
        <v>3186</v>
      </c>
      <c r="D4092" s="23">
        <v>-3156.22</v>
      </c>
      <c r="E4092" t="s">
        <v>35</v>
      </c>
      <c r="F4092" s="2">
        <v>212901001</v>
      </c>
      <c r="G4092" s="2" t="s">
        <v>91</v>
      </c>
      <c r="I4092" s="95" t="s">
        <v>7231</v>
      </c>
      <c r="J4092" t="s">
        <v>61</v>
      </c>
      <c r="K4092" t="s">
        <v>62</v>
      </c>
      <c r="M4092">
        <v>92.83</v>
      </c>
      <c r="N4092" s="4">
        <f t="shared" si="63"/>
        <v>-34</v>
      </c>
      <c r="O4092" t="s">
        <v>605</v>
      </c>
    </row>
    <row r="4093" spans="1:15" x14ac:dyDescent="0.25">
      <c r="A4093" s="22">
        <v>45786</v>
      </c>
      <c r="B4093" s="1" t="s">
        <v>1985</v>
      </c>
      <c r="C4093" t="s">
        <v>3187</v>
      </c>
      <c r="D4093" s="23">
        <v>-3898.86</v>
      </c>
      <c r="E4093" t="s">
        <v>35</v>
      </c>
      <c r="F4093" s="2">
        <v>212901001</v>
      </c>
      <c r="G4093" s="2" t="s">
        <v>91</v>
      </c>
      <c r="I4093" s="95" t="s">
        <v>7231</v>
      </c>
      <c r="J4093" t="s">
        <v>61</v>
      </c>
      <c r="K4093" t="s">
        <v>62</v>
      </c>
      <c r="M4093">
        <v>92.83</v>
      </c>
      <c r="N4093" s="4">
        <f t="shared" si="63"/>
        <v>-42</v>
      </c>
      <c r="O4093" t="s">
        <v>605</v>
      </c>
    </row>
    <row r="4094" spans="1:15" x14ac:dyDescent="0.25">
      <c r="A4094" s="22">
        <v>45786</v>
      </c>
      <c r="B4094" s="1" t="s">
        <v>1957</v>
      </c>
      <c r="C4094" t="s">
        <v>3188</v>
      </c>
      <c r="D4094" s="23">
        <v>-4641.5</v>
      </c>
      <c r="E4094" t="s">
        <v>35</v>
      </c>
      <c r="F4094" s="2">
        <v>212901001</v>
      </c>
      <c r="G4094" s="2" t="s">
        <v>91</v>
      </c>
      <c r="I4094" s="95" t="s">
        <v>7231</v>
      </c>
      <c r="J4094" t="s">
        <v>61</v>
      </c>
      <c r="K4094" t="s">
        <v>62</v>
      </c>
      <c r="M4094">
        <v>92.83</v>
      </c>
      <c r="N4094" s="4">
        <f t="shared" si="63"/>
        <v>-50</v>
      </c>
      <c r="O4094" t="s">
        <v>605</v>
      </c>
    </row>
    <row r="4095" spans="1:15" x14ac:dyDescent="0.25">
      <c r="A4095" s="22">
        <v>45786</v>
      </c>
      <c r="B4095" s="1" t="s">
        <v>1996</v>
      </c>
      <c r="C4095" t="s">
        <v>3189</v>
      </c>
      <c r="D4095" s="23">
        <v>-4641.5</v>
      </c>
      <c r="E4095" t="s">
        <v>35</v>
      </c>
      <c r="F4095" s="2">
        <v>212901001</v>
      </c>
      <c r="G4095" s="2" t="s">
        <v>91</v>
      </c>
      <c r="I4095" s="95" t="s">
        <v>7231</v>
      </c>
      <c r="J4095" t="s">
        <v>61</v>
      </c>
      <c r="K4095" t="s">
        <v>62</v>
      </c>
      <c r="M4095">
        <v>92.83</v>
      </c>
      <c r="N4095" s="4">
        <f t="shared" si="63"/>
        <v>-50</v>
      </c>
      <c r="O4095" t="s">
        <v>605</v>
      </c>
    </row>
    <row r="4096" spans="1:15" x14ac:dyDescent="0.25">
      <c r="A4096" s="22">
        <v>45786</v>
      </c>
      <c r="B4096" s="1" t="s">
        <v>1934</v>
      </c>
      <c r="C4096" t="s">
        <v>3190</v>
      </c>
      <c r="D4096" s="23">
        <v>-4641.5</v>
      </c>
      <c r="E4096" t="s">
        <v>35</v>
      </c>
      <c r="F4096" s="2">
        <v>212901001</v>
      </c>
      <c r="G4096" s="2" t="s">
        <v>91</v>
      </c>
      <c r="I4096" s="95" t="s">
        <v>7231</v>
      </c>
      <c r="J4096" t="s">
        <v>61</v>
      </c>
      <c r="K4096" t="s">
        <v>62</v>
      </c>
      <c r="M4096">
        <v>92.83</v>
      </c>
      <c r="N4096" s="4">
        <f t="shared" si="63"/>
        <v>-50</v>
      </c>
      <c r="O4096" t="s">
        <v>605</v>
      </c>
    </row>
    <row r="4097" spans="1:15" x14ac:dyDescent="0.25">
      <c r="A4097" s="22">
        <v>45786</v>
      </c>
      <c r="B4097" s="1" t="s">
        <v>1998</v>
      </c>
      <c r="C4097" t="s">
        <v>3191</v>
      </c>
      <c r="D4097" s="23">
        <v>-4641.5</v>
      </c>
      <c r="E4097" t="s">
        <v>35</v>
      </c>
      <c r="F4097" s="2">
        <v>212901001</v>
      </c>
      <c r="G4097" s="2" t="s">
        <v>91</v>
      </c>
      <c r="I4097" s="95" t="s">
        <v>7231</v>
      </c>
      <c r="J4097" t="s">
        <v>61</v>
      </c>
      <c r="K4097" t="s">
        <v>62</v>
      </c>
      <c r="M4097">
        <v>92.83</v>
      </c>
      <c r="N4097" s="4">
        <f t="shared" si="63"/>
        <v>-50</v>
      </c>
      <c r="O4097" t="s">
        <v>605</v>
      </c>
    </row>
    <row r="4098" spans="1:15" x14ac:dyDescent="0.25">
      <c r="A4098" s="22">
        <v>45786</v>
      </c>
      <c r="B4098" s="1" t="s">
        <v>1940</v>
      </c>
      <c r="C4098" t="s">
        <v>3192</v>
      </c>
      <c r="D4098" s="23">
        <v>-3713.2</v>
      </c>
      <c r="E4098" t="s">
        <v>35</v>
      </c>
      <c r="F4098" s="2">
        <v>212901001</v>
      </c>
      <c r="G4098" s="2" t="s">
        <v>91</v>
      </c>
      <c r="I4098" s="95" t="s">
        <v>7231</v>
      </c>
      <c r="J4098" t="s">
        <v>61</v>
      </c>
      <c r="K4098" t="s">
        <v>62</v>
      </c>
      <c r="M4098">
        <v>92.83</v>
      </c>
      <c r="N4098" s="4">
        <f t="shared" si="63"/>
        <v>-40</v>
      </c>
      <c r="O4098" t="s">
        <v>605</v>
      </c>
    </row>
    <row r="4099" spans="1:15" x14ac:dyDescent="0.25">
      <c r="A4099" s="22">
        <v>45786</v>
      </c>
      <c r="B4099" s="1" t="s">
        <v>1969</v>
      </c>
      <c r="C4099" t="s">
        <v>3193</v>
      </c>
      <c r="D4099" s="23">
        <v>-3713.2</v>
      </c>
      <c r="E4099" t="s">
        <v>35</v>
      </c>
      <c r="F4099" s="2">
        <v>212901001</v>
      </c>
      <c r="G4099" s="2" t="s">
        <v>91</v>
      </c>
      <c r="I4099" s="95" t="s">
        <v>7231</v>
      </c>
      <c r="J4099" t="s">
        <v>61</v>
      </c>
      <c r="K4099" t="s">
        <v>62</v>
      </c>
      <c r="M4099">
        <v>92.83</v>
      </c>
      <c r="N4099" s="4">
        <f t="shared" si="63"/>
        <v>-40</v>
      </c>
      <c r="O4099" t="s">
        <v>605</v>
      </c>
    </row>
    <row r="4100" spans="1:15" x14ac:dyDescent="0.25">
      <c r="A4100" s="22">
        <v>45786</v>
      </c>
      <c r="B4100" s="1" t="s">
        <v>1959</v>
      </c>
      <c r="C4100" t="s">
        <v>3194</v>
      </c>
      <c r="D4100" s="23">
        <v>-3713.2</v>
      </c>
      <c r="E4100" t="s">
        <v>35</v>
      </c>
      <c r="F4100" s="2">
        <v>212901001</v>
      </c>
      <c r="G4100" s="2" t="s">
        <v>91</v>
      </c>
      <c r="I4100" s="95" t="s">
        <v>7231</v>
      </c>
      <c r="J4100" t="s">
        <v>61</v>
      </c>
      <c r="K4100" t="s">
        <v>62</v>
      </c>
      <c r="M4100">
        <v>92.83</v>
      </c>
      <c r="N4100" s="4">
        <f t="shared" si="63"/>
        <v>-40</v>
      </c>
      <c r="O4100" t="s">
        <v>605</v>
      </c>
    </row>
    <row r="4101" spans="1:15" x14ac:dyDescent="0.25">
      <c r="A4101" s="22">
        <v>45786</v>
      </c>
      <c r="B4101" s="1" t="s">
        <v>1999</v>
      </c>
      <c r="C4101" t="s">
        <v>3195</v>
      </c>
      <c r="D4101" s="23">
        <v>-3713.2</v>
      </c>
      <c r="E4101" t="s">
        <v>35</v>
      </c>
      <c r="F4101" s="2">
        <v>212901001</v>
      </c>
      <c r="G4101" s="2" t="s">
        <v>91</v>
      </c>
      <c r="I4101" s="95" t="s">
        <v>7231</v>
      </c>
      <c r="J4101" t="s">
        <v>61</v>
      </c>
      <c r="K4101" t="s">
        <v>62</v>
      </c>
      <c r="M4101">
        <v>92.83</v>
      </c>
      <c r="N4101" s="4">
        <f t="shared" si="63"/>
        <v>-40</v>
      </c>
      <c r="O4101" t="s">
        <v>605</v>
      </c>
    </row>
    <row r="4102" spans="1:15" x14ac:dyDescent="0.25">
      <c r="A4102" s="22">
        <v>45786</v>
      </c>
      <c r="B4102" s="1" t="s">
        <v>1961</v>
      </c>
      <c r="C4102" t="s">
        <v>3196</v>
      </c>
      <c r="D4102" s="23">
        <v>-3713.2</v>
      </c>
      <c r="E4102" t="s">
        <v>35</v>
      </c>
      <c r="F4102" s="2">
        <v>212901001</v>
      </c>
      <c r="G4102" s="2" t="s">
        <v>91</v>
      </c>
      <c r="I4102" s="95" t="s">
        <v>7231</v>
      </c>
      <c r="J4102" t="s">
        <v>61</v>
      </c>
      <c r="K4102" t="s">
        <v>62</v>
      </c>
      <c r="M4102">
        <v>92.83</v>
      </c>
      <c r="N4102" s="4">
        <f t="shared" si="63"/>
        <v>-40</v>
      </c>
      <c r="O4102" t="s">
        <v>605</v>
      </c>
    </row>
    <row r="4103" spans="1:15" x14ac:dyDescent="0.25">
      <c r="A4103" s="22">
        <v>45786</v>
      </c>
      <c r="B4103" s="1" t="s">
        <v>2030</v>
      </c>
      <c r="C4103" t="s">
        <v>3197</v>
      </c>
      <c r="D4103" s="23">
        <v>-3713.2</v>
      </c>
      <c r="E4103" t="s">
        <v>35</v>
      </c>
      <c r="F4103" s="2">
        <v>212901001</v>
      </c>
      <c r="G4103" s="2" t="s">
        <v>91</v>
      </c>
      <c r="I4103" s="95" t="s">
        <v>7231</v>
      </c>
      <c r="J4103" t="s">
        <v>61</v>
      </c>
      <c r="K4103" t="s">
        <v>62</v>
      </c>
      <c r="M4103">
        <v>92.83</v>
      </c>
      <c r="N4103" s="4">
        <f t="shared" si="63"/>
        <v>-40</v>
      </c>
      <c r="O4103" t="s">
        <v>605</v>
      </c>
    </row>
    <row r="4104" spans="1:15" x14ac:dyDescent="0.25">
      <c r="A4104" s="22">
        <v>45786</v>
      </c>
      <c r="B4104" s="1" t="s">
        <v>2008</v>
      </c>
      <c r="C4104" t="s">
        <v>3198</v>
      </c>
      <c r="D4104" s="23">
        <v>-3713.2</v>
      </c>
      <c r="E4104" t="s">
        <v>35</v>
      </c>
      <c r="F4104" s="2">
        <v>212901001</v>
      </c>
      <c r="G4104" s="2" t="s">
        <v>91</v>
      </c>
      <c r="I4104" s="95" t="s">
        <v>7231</v>
      </c>
      <c r="J4104" t="s">
        <v>61</v>
      </c>
      <c r="K4104" t="s">
        <v>62</v>
      </c>
      <c r="M4104">
        <v>92.83</v>
      </c>
      <c r="N4104" s="4">
        <f t="shared" si="63"/>
        <v>-40</v>
      </c>
      <c r="O4104" t="s">
        <v>605</v>
      </c>
    </row>
    <row r="4105" spans="1:15" x14ac:dyDescent="0.25">
      <c r="A4105" s="22">
        <v>45786</v>
      </c>
      <c r="B4105" s="1" t="s">
        <v>2010</v>
      </c>
      <c r="C4105" t="s">
        <v>3199</v>
      </c>
      <c r="D4105" s="23">
        <v>-9283</v>
      </c>
      <c r="E4105" t="s">
        <v>35</v>
      </c>
      <c r="F4105" s="2">
        <v>212901001</v>
      </c>
      <c r="G4105" s="2" t="s">
        <v>91</v>
      </c>
      <c r="I4105" s="95" t="s">
        <v>7231</v>
      </c>
      <c r="J4105" t="s">
        <v>61</v>
      </c>
      <c r="K4105" t="s">
        <v>62</v>
      </c>
      <c r="M4105">
        <v>92.83</v>
      </c>
      <c r="N4105" s="4">
        <f t="shared" si="63"/>
        <v>-100</v>
      </c>
      <c r="O4105" t="s">
        <v>605</v>
      </c>
    </row>
    <row r="4106" spans="1:15" x14ac:dyDescent="0.25">
      <c r="A4106" s="22">
        <v>45786</v>
      </c>
      <c r="B4106" s="1" t="s">
        <v>1987</v>
      </c>
      <c r="C4106" t="s">
        <v>3200</v>
      </c>
      <c r="D4106" s="23">
        <v>-9283</v>
      </c>
      <c r="E4106" t="s">
        <v>35</v>
      </c>
      <c r="F4106" s="2">
        <v>212901001</v>
      </c>
      <c r="G4106" s="2" t="s">
        <v>91</v>
      </c>
      <c r="I4106" s="95" t="s">
        <v>7231</v>
      </c>
      <c r="J4106" t="s">
        <v>61</v>
      </c>
      <c r="K4106" t="s">
        <v>62</v>
      </c>
      <c r="M4106">
        <v>92.83</v>
      </c>
      <c r="N4106" s="4">
        <f t="shared" si="63"/>
        <v>-100</v>
      </c>
      <c r="O4106" t="s">
        <v>605</v>
      </c>
    </row>
    <row r="4107" spans="1:15" x14ac:dyDescent="0.25">
      <c r="A4107" s="22">
        <v>45786</v>
      </c>
      <c r="B4107" s="1" t="s">
        <v>1963</v>
      </c>
      <c r="C4107" t="s">
        <v>3201</v>
      </c>
      <c r="D4107" s="23">
        <v>-13924.5</v>
      </c>
      <c r="E4107" t="s">
        <v>35</v>
      </c>
      <c r="F4107" s="2">
        <v>212901001</v>
      </c>
      <c r="G4107" s="2" t="s">
        <v>91</v>
      </c>
      <c r="I4107" s="95" t="s">
        <v>7231</v>
      </c>
      <c r="J4107" t="s">
        <v>61</v>
      </c>
      <c r="K4107" t="s">
        <v>62</v>
      </c>
      <c r="M4107">
        <v>92.83</v>
      </c>
      <c r="N4107" s="4">
        <f t="shared" si="63"/>
        <v>-150</v>
      </c>
      <c r="O4107" t="s">
        <v>605</v>
      </c>
    </row>
    <row r="4108" spans="1:15" x14ac:dyDescent="0.25">
      <c r="A4108" s="22">
        <v>45786</v>
      </c>
      <c r="B4108" s="1" t="s">
        <v>2043</v>
      </c>
      <c r="C4108" t="s">
        <v>3202</v>
      </c>
      <c r="D4108" s="23">
        <v>-2784.9</v>
      </c>
      <c r="E4108" t="s">
        <v>35</v>
      </c>
      <c r="F4108" s="2">
        <v>212901001</v>
      </c>
      <c r="G4108" s="2" t="s">
        <v>91</v>
      </c>
      <c r="I4108" s="95" t="s">
        <v>7231</v>
      </c>
      <c r="J4108" t="s">
        <v>61</v>
      </c>
      <c r="K4108" t="s">
        <v>62</v>
      </c>
      <c r="M4108">
        <v>92.83</v>
      </c>
      <c r="N4108" s="4">
        <f t="shared" ref="N4108:N4171" si="64">D4108/M4108</f>
        <v>-30</v>
      </c>
      <c r="O4108" t="s">
        <v>605</v>
      </c>
    </row>
    <row r="4109" spans="1:15" x14ac:dyDescent="0.25">
      <c r="A4109" s="22">
        <v>45786</v>
      </c>
      <c r="B4109" s="1" t="s">
        <v>1971</v>
      </c>
      <c r="C4109" t="s">
        <v>3203</v>
      </c>
      <c r="D4109" s="23">
        <v>-10211.299999999999</v>
      </c>
      <c r="E4109" t="s">
        <v>35</v>
      </c>
      <c r="F4109" s="2">
        <v>212901001</v>
      </c>
      <c r="G4109" s="2" t="s">
        <v>91</v>
      </c>
      <c r="I4109" s="95" t="s">
        <v>7231</v>
      </c>
      <c r="J4109" t="s">
        <v>61</v>
      </c>
      <c r="K4109" t="s">
        <v>62</v>
      </c>
      <c r="M4109">
        <v>92.83</v>
      </c>
      <c r="N4109" s="4">
        <f t="shared" si="64"/>
        <v>-110</v>
      </c>
      <c r="O4109" t="s">
        <v>605</v>
      </c>
    </row>
    <row r="4110" spans="1:15" x14ac:dyDescent="0.25">
      <c r="A4110" s="22">
        <v>45786</v>
      </c>
      <c r="B4110" s="1" t="s">
        <v>1942</v>
      </c>
      <c r="C4110" t="s">
        <v>3204</v>
      </c>
      <c r="D4110" s="23">
        <v>-7426.4</v>
      </c>
      <c r="E4110" t="s">
        <v>35</v>
      </c>
      <c r="F4110" s="2">
        <v>212901001</v>
      </c>
      <c r="G4110" s="2" t="s">
        <v>91</v>
      </c>
      <c r="I4110" s="95" t="s">
        <v>7231</v>
      </c>
      <c r="J4110" t="s">
        <v>61</v>
      </c>
      <c r="K4110" t="s">
        <v>62</v>
      </c>
      <c r="M4110">
        <v>92.83</v>
      </c>
      <c r="N4110" s="4">
        <f t="shared" si="64"/>
        <v>-80</v>
      </c>
      <c r="O4110" t="s">
        <v>605</v>
      </c>
    </row>
    <row r="4111" spans="1:15" x14ac:dyDescent="0.25">
      <c r="A4111" s="22">
        <v>45786</v>
      </c>
      <c r="B4111" s="1" t="s">
        <v>2032</v>
      </c>
      <c r="C4111" t="s">
        <v>3205</v>
      </c>
      <c r="D4111" s="23">
        <v>-9283</v>
      </c>
      <c r="E4111" t="s">
        <v>35</v>
      </c>
      <c r="F4111" s="2">
        <v>212901001</v>
      </c>
      <c r="G4111" s="2" t="s">
        <v>91</v>
      </c>
      <c r="I4111" s="95" t="s">
        <v>7231</v>
      </c>
      <c r="J4111" t="s">
        <v>61</v>
      </c>
      <c r="K4111" t="s">
        <v>62</v>
      </c>
      <c r="M4111">
        <v>92.83</v>
      </c>
      <c r="N4111" s="4">
        <f t="shared" si="64"/>
        <v>-100</v>
      </c>
      <c r="O4111" t="s">
        <v>605</v>
      </c>
    </row>
    <row r="4112" spans="1:15" x14ac:dyDescent="0.25">
      <c r="A4112" s="22">
        <v>45786</v>
      </c>
      <c r="B4112" s="1" t="s">
        <v>1973</v>
      </c>
      <c r="C4112" t="s">
        <v>3206</v>
      </c>
      <c r="D4112" s="23">
        <v>-4270.18</v>
      </c>
      <c r="E4112" t="s">
        <v>35</v>
      </c>
      <c r="F4112" s="2">
        <v>212901001</v>
      </c>
      <c r="G4112" s="2" t="s">
        <v>91</v>
      </c>
      <c r="I4112" s="95" t="s">
        <v>7231</v>
      </c>
      <c r="J4112" t="s">
        <v>61</v>
      </c>
      <c r="K4112" t="s">
        <v>62</v>
      </c>
      <c r="M4112">
        <v>92.83</v>
      </c>
      <c r="N4112" s="4">
        <f t="shared" si="64"/>
        <v>-46.000000000000007</v>
      </c>
      <c r="O4112" t="s">
        <v>605</v>
      </c>
    </row>
    <row r="4113" spans="1:15" x14ac:dyDescent="0.25">
      <c r="A4113" s="22">
        <v>45786</v>
      </c>
      <c r="B4113" s="1" t="s">
        <v>2001</v>
      </c>
      <c r="C4113" t="s">
        <v>3207</v>
      </c>
      <c r="D4113" s="23">
        <v>-6498.1</v>
      </c>
      <c r="E4113" t="s">
        <v>35</v>
      </c>
      <c r="F4113" s="2">
        <v>212901001</v>
      </c>
      <c r="G4113" s="2" t="s">
        <v>91</v>
      </c>
      <c r="I4113" s="95" t="s">
        <v>7231</v>
      </c>
      <c r="J4113" t="s">
        <v>61</v>
      </c>
      <c r="K4113" t="s">
        <v>62</v>
      </c>
      <c r="M4113">
        <v>92.83</v>
      </c>
      <c r="N4113" s="4">
        <f t="shared" si="64"/>
        <v>-70</v>
      </c>
      <c r="O4113" t="s">
        <v>605</v>
      </c>
    </row>
    <row r="4114" spans="1:15" x14ac:dyDescent="0.25">
      <c r="A4114" s="22">
        <v>45786</v>
      </c>
      <c r="B4114" s="1" t="s">
        <v>2012</v>
      </c>
      <c r="C4114" t="s">
        <v>3208</v>
      </c>
      <c r="D4114" s="23">
        <v>-5476.97</v>
      </c>
      <c r="E4114" t="s">
        <v>35</v>
      </c>
      <c r="F4114" s="2">
        <v>212901001</v>
      </c>
      <c r="G4114" s="2" t="s">
        <v>91</v>
      </c>
      <c r="I4114" s="95" t="s">
        <v>7231</v>
      </c>
      <c r="J4114" t="s">
        <v>61</v>
      </c>
      <c r="K4114" t="s">
        <v>62</v>
      </c>
      <c r="M4114">
        <v>92.83</v>
      </c>
      <c r="N4114" s="4">
        <f t="shared" si="64"/>
        <v>-59.000000000000007</v>
      </c>
      <c r="O4114" t="s">
        <v>605</v>
      </c>
    </row>
    <row r="4115" spans="1:15" x14ac:dyDescent="0.25">
      <c r="A4115" s="22">
        <v>45786</v>
      </c>
      <c r="B4115" s="1" t="s">
        <v>2045</v>
      </c>
      <c r="C4115" t="s">
        <v>3209</v>
      </c>
      <c r="D4115" s="23">
        <v>-6498.1</v>
      </c>
      <c r="E4115" t="s">
        <v>35</v>
      </c>
      <c r="F4115" s="2">
        <v>212901001</v>
      </c>
      <c r="G4115" s="2" t="s">
        <v>91</v>
      </c>
      <c r="I4115" s="95" t="s">
        <v>7231</v>
      </c>
      <c r="J4115" t="s">
        <v>61</v>
      </c>
      <c r="K4115" t="s">
        <v>62</v>
      </c>
      <c r="M4115">
        <v>92.83</v>
      </c>
      <c r="N4115" s="4">
        <f t="shared" si="64"/>
        <v>-70</v>
      </c>
      <c r="O4115" t="s">
        <v>605</v>
      </c>
    </row>
    <row r="4116" spans="1:15" x14ac:dyDescent="0.25">
      <c r="A4116" s="22">
        <v>45786</v>
      </c>
      <c r="B4116" s="1" t="s">
        <v>2047</v>
      </c>
      <c r="C4116" t="s">
        <v>3210</v>
      </c>
      <c r="D4116" s="23">
        <v>-4641.5</v>
      </c>
      <c r="E4116" t="s">
        <v>35</v>
      </c>
      <c r="F4116" s="2">
        <v>212901001</v>
      </c>
      <c r="G4116" s="2" t="s">
        <v>91</v>
      </c>
      <c r="I4116" s="95" t="s">
        <v>7231</v>
      </c>
      <c r="J4116" t="s">
        <v>61</v>
      </c>
      <c r="K4116" t="s">
        <v>62</v>
      </c>
      <c r="M4116">
        <v>92.83</v>
      </c>
      <c r="N4116" s="4">
        <f t="shared" si="64"/>
        <v>-50</v>
      </c>
      <c r="O4116" t="s">
        <v>605</v>
      </c>
    </row>
    <row r="4117" spans="1:15" x14ac:dyDescent="0.25">
      <c r="A4117" s="22">
        <v>45786</v>
      </c>
      <c r="B4117" s="1" t="s">
        <v>2034</v>
      </c>
      <c r="C4117" t="s">
        <v>3211</v>
      </c>
      <c r="D4117" s="23">
        <v>-4641.5</v>
      </c>
      <c r="E4117" t="s">
        <v>35</v>
      </c>
      <c r="F4117" s="2">
        <v>212901001</v>
      </c>
      <c r="G4117" s="2" t="s">
        <v>91</v>
      </c>
      <c r="I4117" s="95" t="s">
        <v>7231</v>
      </c>
      <c r="J4117" t="s">
        <v>61</v>
      </c>
      <c r="K4117" t="s">
        <v>62</v>
      </c>
      <c r="M4117">
        <v>92.83</v>
      </c>
      <c r="N4117" s="4">
        <f t="shared" si="64"/>
        <v>-50</v>
      </c>
      <c r="O4117" t="s">
        <v>605</v>
      </c>
    </row>
    <row r="4118" spans="1:15" x14ac:dyDescent="0.25">
      <c r="A4118" s="22">
        <v>45786</v>
      </c>
      <c r="B4118" s="1" t="s">
        <v>2049</v>
      </c>
      <c r="C4118" t="s">
        <v>3212</v>
      </c>
      <c r="D4118" s="23">
        <v>-4641.5</v>
      </c>
      <c r="E4118" t="s">
        <v>35</v>
      </c>
      <c r="F4118" s="2">
        <v>212901001</v>
      </c>
      <c r="G4118" s="2" t="s">
        <v>91</v>
      </c>
      <c r="I4118" s="95" t="s">
        <v>7231</v>
      </c>
      <c r="J4118" t="s">
        <v>61</v>
      </c>
      <c r="K4118" t="s">
        <v>62</v>
      </c>
      <c r="M4118">
        <v>92.83</v>
      </c>
      <c r="N4118" s="4">
        <f t="shared" si="64"/>
        <v>-50</v>
      </c>
      <c r="O4118" t="s">
        <v>605</v>
      </c>
    </row>
    <row r="4119" spans="1:15" x14ac:dyDescent="0.25">
      <c r="A4119" s="22">
        <v>45786</v>
      </c>
      <c r="B4119" s="1" t="s">
        <v>2036</v>
      </c>
      <c r="C4119" t="s">
        <v>3213</v>
      </c>
      <c r="D4119" s="23">
        <v>-4641.5</v>
      </c>
      <c r="E4119" t="s">
        <v>35</v>
      </c>
      <c r="F4119" s="2">
        <v>212901001</v>
      </c>
      <c r="G4119" s="2" t="s">
        <v>91</v>
      </c>
      <c r="I4119" s="95" t="s">
        <v>7231</v>
      </c>
      <c r="J4119" t="s">
        <v>61</v>
      </c>
      <c r="K4119" t="s">
        <v>62</v>
      </c>
      <c r="M4119">
        <v>92.83</v>
      </c>
      <c r="N4119" s="4">
        <f t="shared" si="64"/>
        <v>-50</v>
      </c>
      <c r="O4119" t="s">
        <v>605</v>
      </c>
    </row>
    <row r="4120" spans="1:15" x14ac:dyDescent="0.25">
      <c r="A4120" s="22">
        <v>45786</v>
      </c>
      <c r="B4120" s="1" t="s">
        <v>2051</v>
      </c>
      <c r="C4120" t="s">
        <v>3214</v>
      </c>
      <c r="D4120" s="23">
        <v>-4641.5</v>
      </c>
      <c r="E4120" t="s">
        <v>35</v>
      </c>
      <c r="F4120" s="2">
        <v>212901001</v>
      </c>
      <c r="G4120" s="2" t="s">
        <v>91</v>
      </c>
      <c r="I4120" s="95" t="s">
        <v>7231</v>
      </c>
      <c r="J4120" t="s">
        <v>61</v>
      </c>
      <c r="K4120" t="s">
        <v>62</v>
      </c>
      <c r="M4120">
        <v>92.83</v>
      </c>
      <c r="N4120" s="4">
        <f t="shared" si="64"/>
        <v>-50</v>
      </c>
      <c r="O4120" t="s">
        <v>605</v>
      </c>
    </row>
    <row r="4121" spans="1:15" x14ac:dyDescent="0.25">
      <c r="A4121" s="22">
        <v>45786</v>
      </c>
      <c r="B4121" s="1" t="s">
        <v>2003</v>
      </c>
      <c r="C4121" t="s">
        <v>3215</v>
      </c>
      <c r="D4121" s="23">
        <v>-4641.5</v>
      </c>
      <c r="E4121" t="s">
        <v>35</v>
      </c>
      <c r="F4121" s="2">
        <v>212901001</v>
      </c>
      <c r="G4121" s="2" t="s">
        <v>91</v>
      </c>
      <c r="I4121" s="95" t="s">
        <v>7231</v>
      </c>
      <c r="J4121" t="s">
        <v>61</v>
      </c>
      <c r="K4121" t="s">
        <v>62</v>
      </c>
      <c r="M4121">
        <v>92.83</v>
      </c>
      <c r="N4121" s="4">
        <f t="shared" si="64"/>
        <v>-50</v>
      </c>
      <c r="O4121" t="s">
        <v>605</v>
      </c>
    </row>
    <row r="4122" spans="1:15" x14ac:dyDescent="0.25">
      <c r="A4122" s="22">
        <v>45786</v>
      </c>
      <c r="B4122" s="1" t="s">
        <v>1975</v>
      </c>
      <c r="C4122" t="s">
        <v>3216</v>
      </c>
      <c r="D4122" s="23">
        <v>-4641.5</v>
      </c>
      <c r="E4122" t="s">
        <v>35</v>
      </c>
      <c r="F4122" s="2">
        <v>212901001</v>
      </c>
      <c r="G4122" s="2" t="s">
        <v>91</v>
      </c>
      <c r="I4122" s="95" t="s">
        <v>7231</v>
      </c>
      <c r="J4122" t="s">
        <v>61</v>
      </c>
      <c r="K4122" t="s">
        <v>62</v>
      </c>
      <c r="M4122">
        <v>92.83</v>
      </c>
      <c r="N4122" s="4">
        <f t="shared" si="64"/>
        <v>-50</v>
      </c>
      <c r="O4122" t="s">
        <v>605</v>
      </c>
    </row>
    <row r="4123" spans="1:15" x14ac:dyDescent="0.25">
      <c r="A4123" s="22">
        <v>45786</v>
      </c>
      <c r="B4123" s="1" t="s">
        <v>2014</v>
      </c>
      <c r="C4123" t="s">
        <v>3217</v>
      </c>
      <c r="D4123" s="23">
        <v>-4641.5</v>
      </c>
      <c r="E4123" t="s">
        <v>35</v>
      </c>
      <c r="F4123" s="2">
        <v>212901001</v>
      </c>
      <c r="G4123" s="2" t="s">
        <v>91</v>
      </c>
      <c r="I4123" s="95" t="s">
        <v>7231</v>
      </c>
      <c r="J4123" t="s">
        <v>61</v>
      </c>
      <c r="K4123" t="s">
        <v>62</v>
      </c>
      <c r="M4123">
        <v>92.83</v>
      </c>
      <c r="N4123" s="4">
        <f t="shared" si="64"/>
        <v>-50</v>
      </c>
      <c r="O4123" t="s">
        <v>605</v>
      </c>
    </row>
    <row r="4124" spans="1:15" x14ac:dyDescent="0.25">
      <c r="A4124" s="22">
        <v>45786</v>
      </c>
      <c r="B4124" s="1" t="s">
        <v>1989</v>
      </c>
      <c r="C4124" t="s">
        <v>3189</v>
      </c>
      <c r="D4124" s="23">
        <v>-4641.5</v>
      </c>
      <c r="E4124" t="s">
        <v>35</v>
      </c>
      <c r="F4124" s="2">
        <v>212901001</v>
      </c>
      <c r="G4124" s="2" t="s">
        <v>91</v>
      </c>
      <c r="I4124" s="95" t="s">
        <v>7231</v>
      </c>
      <c r="J4124" t="s">
        <v>61</v>
      </c>
      <c r="K4124" t="s">
        <v>62</v>
      </c>
      <c r="M4124">
        <v>92.83</v>
      </c>
      <c r="N4124" s="4">
        <f t="shared" si="64"/>
        <v>-50</v>
      </c>
      <c r="O4124" t="s">
        <v>605</v>
      </c>
    </row>
    <row r="4125" spans="1:15" x14ac:dyDescent="0.25">
      <c r="A4125" s="22">
        <v>45786</v>
      </c>
      <c r="B4125" s="1" t="s">
        <v>1965</v>
      </c>
      <c r="C4125" t="s">
        <v>3218</v>
      </c>
      <c r="D4125" s="23">
        <v>-4641.5</v>
      </c>
      <c r="E4125" t="s">
        <v>35</v>
      </c>
      <c r="F4125" s="2">
        <v>212901001</v>
      </c>
      <c r="G4125" s="2" t="s">
        <v>91</v>
      </c>
      <c r="I4125" s="95" t="s">
        <v>7231</v>
      </c>
      <c r="J4125" t="s">
        <v>61</v>
      </c>
      <c r="K4125" t="s">
        <v>62</v>
      </c>
      <c r="M4125">
        <v>92.83</v>
      </c>
      <c r="N4125" s="4">
        <f t="shared" si="64"/>
        <v>-50</v>
      </c>
      <c r="O4125" t="s">
        <v>605</v>
      </c>
    </row>
    <row r="4126" spans="1:15" x14ac:dyDescent="0.25">
      <c r="A4126" s="22">
        <v>45786</v>
      </c>
      <c r="B4126" s="1" t="s">
        <v>2016</v>
      </c>
      <c r="C4126" t="s">
        <v>3219</v>
      </c>
      <c r="D4126" s="23">
        <v>-4641.5</v>
      </c>
      <c r="E4126" t="s">
        <v>35</v>
      </c>
      <c r="F4126" s="2">
        <v>212901001</v>
      </c>
      <c r="G4126" s="2" t="s">
        <v>91</v>
      </c>
      <c r="I4126" s="95" t="s">
        <v>7231</v>
      </c>
      <c r="J4126" t="s">
        <v>61</v>
      </c>
      <c r="K4126" t="s">
        <v>62</v>
      </c>
      <c r="M4126">
        <v>92.83</v>
      </c>
      <c r="N4126" s="4">
        <f t="shared" si="64"/>
        <v>-50</v>
      </c>
      <c r="O4126" t="s">
        <v>605</v>
      </c>
    </row>
    <row r="4127" spans="1:15" x14ac:dyDescent="0.25">
      <c r="A4127" s="22">
        <v>45786</v>
      </c>
      <c r="B4127" s="1" t="s">
        <v>1991</v>
      </c>
      <c r="C4127" t="s">
        <v>3220</v>
      </c>
      <c r="D4127" s="23">
        <v>-4641.5</v>
      </c>
      <c r="E4127" t="s">
        <v>35</v>
      </c>
      <c r="F4127" s="2">
        <v>212901001</v>
      </c>
      <c r="G4127" s="2" t="s">
        <v>91</v>
      </c>
      <c r="I4127" s="95" t="s">
        <v>7231</v>
      </c>
      <c r="J4127" t="s">
        <v>61</v>
      </c>
      <c r="K4127" t="s">
        <v>62</v>
      </c>
      <c r="M4127">
        <v>92.83</v>
      </c>
      <c r="N4127" s="4">
        <f t="shared" si="64"/>
        <v>-50</v>
      </c>
      <c r="O4127" t="s">
        <v>605</v>
      </c>
    </row>
    <row r="4128" spans="1:15" x14ac:dyDescent="0.25">
      <c r="A4128" s="22">
        <v>45786</v>
      </c>
      <c r="B4128" s="1" t="s">
        <v>2038</v>
      </c>
      <c r="C4128" t="s">
        <v>3221</v>
      </c>
      <c r="D4128" s="23">
        <v>-4641.5</v>
      </c>
      <c r="E4128" t="s">
        <v>35</v>
      </c>
      <c r="F4128" s="2">
        <v>212901001</v>
      </c>
      <c r="G4128" s="2" t="s">
        <v>91</v>
      </c>
      <c r="I4128" s="95" t="s">
        <v>7231</v>
      </c>
      <c r="J4128" t="s">
        <v>61</v>
      </c>
      <c r="K4128" t="s">
        <v>62</v>
      </c>
      <c r="M4128">
        <v>92.83</v>
      </c>
      <c r="N4128" s="4">
        <f t="shared" si="64"/>
        <v>-50</v>
      </c>
      <c r="O4128" t="s">
        <v>605</v>
      </c>
    </row>
    <row r="4129" spans="1:17" x14ac:dyDescent="0.25">
      <c r="A4129" s="22">
        <v>45786</v>
      </c>
      <c r="B4129" s="1" t="s">
        <v>1967</v>
      </c>
      <c r="C4129" t="s">
        <v>3222</v>
      </c>
      <c r="D4129" s="23">
        <v>-4641.5</v>
      </c>
      <c r="E4129" t="s">
        <v>35</v>
      </c>
      <c r="F4129" s="2">
        <v>212901001</v>
      </c>
      <c r="G4129" s="2" t="s">
        <v>91</v>
      </c>
      <c r="I4129" s="95" t="s">
        <v>7231</v>
      </c>
      <c r="J4129" t="s">
        <v>61</v>
      </c>
      <c r="K4129" t="s">
        <v>62</v>
      </c>
      <c r="M4129">
        <v>92.83</v>
      </c>
      <c r="N4129" s="4">
        <f t="shared" si="64"/>
        <v>-50</v>
      </c>
      <c r="O4129" t="s">
        <v>605</v>
      </c>
    </row>
    <row r="4130" spans="1:17" x14ac:dyDescent="0.25">
      <c r="A4130" s="22">
        <v>45786</v>
      </c>
      <c r="B4130" s="1" t="s">
        <v>2020</v>
      </c>
      <c r="C4130" t="s">
        <v>3223</v>
      </c>
      <c r="D4130" s="23">
        <v>-4641.5</v>
      </c>
      <c r="E4130" t="s">
        <v>35</v>
      </c>
      <c r="F4130" s="2">
        <v>212901001</v>
      </c>
      <c r="G4130" s="2" t="s">
        <v>91</v>
      </c>
      <c r="I4130" s="95" t="s">
        <v>7231</v>
      </c>
      <c r="J4130" t="s">
        <v>61</v>
      </c>
      <c r="K4130" t="s">
        <v>62</v>
      </c>
      <c r="M4130">
        <v>92.83</v>
      </c>
      <c r="N4130" s="4">
        <f t="shared" si="64"/>
        <v>-50</v>
      </c>
      <c r="O4130" t="s">
        <v>605</v>
      </c>
    </row>
    <row r="4131" spans="1:17" x14ac:dyDescent="0.25">
      <c r="A4131" s="22">
        <v>45786</v>
      </c>
      <c r="B4131" s="1" t="s">
        <v>1977</v>
      </c>
      <c r="C4131" t="s">
        <v>3224</v>
      </c>
      <c r="D4131" s="23">
        <v>-1856.6</v>
      </c>
      <c r="E4131" t="s">
        <v>35</v>
      </c>
      <c r="F4131" s="2">
        <v>212901001</v>
      </c>
      <c r="G4131" s="2" t="s">
        <v>91</v>
      </c>
      <c r="I4131" s="95" t="s">
        <v>7231</v>
      </c>
      <c r="J4131" t="s">
        <v>61</v>
      </c>
      <c r="K4131" t="s">
        <v>62</v>
      </c>
      <c r="M4131">
        <v>92.83</v>
      </c>
      <c r="N4131" s="4">
        <f t="shared" si="64"/>
        <v>-20</v>
      </c>
      <c r="O4131" t="s">
        <v>605</v>
      </c>
    </row>
    <row r="4132" spans="1:17" x14ac:dyDescent="0.25">
      <c r="A4132" s="22">
        <v>45786</v>
      </c>
      <c r="B4132" s="1" t="s">
        <v>1979</v>
      </c>
      <c r="C4132" t="s">
        <v>3225</v>
      </c>
      <c r="D4132" s="23">
        <v>-1856.6</v>
      </c>
      <c r="E4132" t="s">
        <v>35</v>
      </c>
      <c r="F4132" s="2">
        <v>212901001</v>
      </c>
      <c r="G4132" s="2" t="s">
        <v>91</v>
      </c>
      <c r="I4132" s="95" t="s">
        <v>7231</v>
      </c>
      <c r="J4132" t="s">
        <v>61</v>
      </c>
      <c r="K4132" t="s">
        <v>62</v>
      </c>
      <c r="M4132">
        <v>92.83</v>
      </c>
      <c r="N4132" s="4">
        <f t="shared" si="64"/>
        <v>-20</v>
      </c>
      <c r="O4132" t="s">
        <v>605</v>
      </c>
    </row>
    <row r="4133" spans="1:17" x14ac:dyDescent="0.25">
      <c r="A4133" s="22">
        <v>45786</v>
      </c>
      <c r="B4133" s="1" t="s">
        <v>2018</v>
      </c>
      <c r="C4133" t="s">
        <v>3226</v>
      </c>
      <c r="D4133" s="23">
        <v>-1856.6</v>
      </c>
      <c r="E4133" t="s">
        <v>35</v>
      </c>
      <c r="F4133" s="2">
        <v>212901001</v>
      </c>
      <c r="G4133" s="2" t="s">
        <v>91</v>
      </c>
      <c r="I4133" s="95" t="s">
        <v>7231</v>
      </c>
      <c r="J4133" t="s">
        <v>61</v>
      </c>
      <c r="K4133" t="s">
        <v>62</v>
      </c>
      <c r="M4133">
        <v>92.83</v>
      </c>
      <c r="N4133" s="4">
        <f t="shared" si="64"/>
        <v>-20</v>
      </c>
      <c r="O4133" t="s">
        <v>605</v>
      </c>
    </row>
    <row r="4134" spans="1:17" x14ac:dyDescent="0.25">
      <c r="A4134" s="22">
        <v>45786</v>
      </c>
      <c r="B4134" s="1" t="s">
        <v>2053</v>
      </c>
      <c r="C4134" t="s">
        <v>3227</v>
      </c>
      <c r="D4134" s="23">
        <v>-1856.6</v>
      </c>
      <c r="E4134" t="s">
        <v>35</v>
      </c>
      <c r="F4134" s="2">
        <v>212901001</v>
      </c>
      <c r="G4134" s="2" t="s">
        <v>91</v>
      </c>
      <c r="I4134" s="95" t="s">
        <v>7231</v>
      </c>
      <c r="J4134" t="s">
        <v>61</v>
      </c>
      <c r="K4134" t="s">
        <v>62</v>
      </c>
      <c r="M4134">
        <v>92.83</v>
      </c>
      <c r="N4134" s="4">
        <f t="shared" si="64"/>
        <v>-20</v>
      </c>
      <c r="O4134" t="s">
        <v>605</v>
      </c>
    </row>
    <row r="4135" spans="1:17" x14ac:dyDescent="0.25">
      <c r="A4135" s="22">
        <v>45786</v>
      </c>
      <c r="B4135" s="1" t="s">
        <v>2055</v>
      </c>
      <c r="C4135" t="s">
        <v>3228</v>
      </c>
      <c r="D4135" s="23">
        <v>-12996.2</v>
      </c>
      <c r="E4135" t="s">
        <v>35</v>
      </c>
      <c r="F4135" s="2">
        <v>212901001</v>
      </c>
      <c r="G4135" s="2" t="s">
        <v>91</v>
      </c>
      <c r="I4135" s="95" t="s">
        <v>7231</v>
      </c>
      <c r="J4135" t="s">
        <v>61</v>
      </c>
      <c r="K4135" t="s">
        <v>62</v>
      </c>
      <c r="M4135">
        <v>92.83</v>
      </c>
      <c r="N4135" s="4">
        <f t="shared" si="64"/>
        <v>-140</v>
      </c>
      <c r="O4135" t="s">
        <v>605</v>
      </c>
    </row>
    <row r="4136" spans="1:17" x14ac:dyDescent="0.25">
      <c r="A4136" s="22">
        <v>45786</v>
      </c>
      <c r="B4136" s="1" t="s">
        <v>2022</v>
      </c>
      <c r="C4136" t="s">
        <v>3229</v>
      </c>
      <c r="D4136" s="23">
        <v>-9283</v>
      </c>
      <c r="E4136" t="s">
        <v>35</v>
      </c>
      <c r="F4136" s="2">
        <v>212901001</v>
      </c>
      <c r="G4136" s="2" t="s">
        <v>91</v>
      </c>
      <c r="I4136" s="95" t="s">
        <v>7231</v>
      </c>
      <c r="J4136" t="s">
        <v>61</v>
      </c>
      <c r="K4136" t="s">
        <v>62</v>
      </c>
      <c r="M4136">
        <v>92.83</v>
      </c>
      <c r="N4136" s="4">
        <f t="shared" si="64"/>
        <v>-100</v>
      </c>
      <c r="O4136" t="s">
        <v>605</v>
      </c>
    </row>
    <row r="4137" spans="1:17" x14ac:dyDescent="0.25">
      <c r="A4137" s="22">
        <v>45786</v>
      </c>
      <c r="B4137" s="1" t="s">
        <v>1944</v>
      </c>
      <c r="C4137" t="s">
        <v>3230</v>
      </c>
      <c r="D4137" s="23">
        <v>-18566</v>
      </c>
      <c r="E4137" t="s">
        <v>35</v>
      </c>
      <c r="F4137" s="2">
        <v>212901001</v>
      </c>
      <c r="G4137" s="2" t="s">
        <v>91</v>
      </c>
      <c r="I4137" s="95" t="s">
        <v>7231</v>
      </c>
      <c r="J4137" t="s">
        <v>61</v>
      </c>
      <c r="K4137" t="s">
        <v>62</v>
      </c>
      <c r="M4137">
        <v>92.83</v>
      </c>
      <c r="N4137" s="4">
        <f t="shared" si="64"/>
        <v>-200</v>
      </c>
      <c r="O4137" t="s">
        <v>605</v>
      </c>
    </row>
    <row r="4138" spans="1:17" x14ac:dyDescent="0.25">
      <c r="A4138" s="22">
        <v>45786</v>
      </c>
      <c r="B4138" s="1" t="s">
        <v>2024</v>
      </c>
      <c r="C4138" t="s">
        <v>3231</v>
      </c>
      <c r="D4138" s="23">
        <v>-11325.26</v>
      </c>
      <c r="E4138" t="s">
        <v>35</v>
      </c>
      <c r="F4138" s="2">
        <v>212901001</v>
      </c>
      <c r="G4138" s="2" t="s">
        <v>91</v>
      </c>
      <c r="I4138" s="95" t="s">
        <v>7231</v>
      </c>
      <c r="J4138" t="s">
        <v>61</v>
      </c>
      <c r="K4138" t="s">
        <v>62</v>
      </c>
      <c r="M4138">
        <v>92.83</v>
      </c>
      <c r="N4138" s="4">
        <f t="shared" si="64"/>
        <v>-122</v>
      </c>
      <c r="O4138" t="s">
        <v>605</v>
      </c>
    </row>
    <row r="4139" spans="1:17" x14ac:dyDescent="0.25">
      <c r="A4139" s="22">
        <v>45786</v>
      </c>
      <c r="B4139" s="1" t="s">
        <v>1946</v>
      </c>
      <c r="C4139" t="s">
        <v>3232</v>
      </c>
      <c r="D4139" s="23">
        <v>-2784.9</v>
      </c>
      <c r="E4139" t="s">
        <v>35</v>
      </c>
      <c r="F4139" s="2">
        <v>212901001</v>
      </c>
      <c r="G4139" s="2" t="s">
        <v>91</v>
      </c>
      <c r="I4139" s="95" t="s">
        <v>7231</v>
      </c>
      <c r="J4139" t="s">
        <v>61</v>
      </c>
      <c r="K4139" t="s">
        <v>62</v>
      </c>
      <c r="M4139">
        <v>92.83</v>
      </c>
      <c r="N4139" s="4">
        <f t="shared" si="64"/>
        <v>-30</v>
      </c>
      <c r="O4139" t="s">
        <v>605</v>
      </c>
    </row>
    <row r="4140" spans="1:17" x14ac:dyDescent="0.25">
      <c r="A4140" s="22">
        <v>45786</v>
      </c>
      <c r="B4140" s="1" t="s">
        <v>1928</v>
      </c>
      <c r="C4140" t="s">
        <v>3233</v>
      </c>
      <c r="D4140" s="23">
        <v>-3713.2</v>
      </c>
      <c r="E4140" t="s">
        <v>35</v>
      </c>
      <c r="F4140" s="2">
        <v>212901001</v>
      </c>
      <c r="G4140" s="2" t="s">
        <v>91</v>
      </c>
      <c r="I4140" s="95" t="s">
        <v>7231</v>
      </c>
      <c r="J4140" t="s">
        <v>61</v>
      </c>
      <c r="K4140" t="s">
        <v>62</v>
      </c>
      <c r="M4140">
        <v>92.83</v>
      </c>
      <c r="N4140" s="4">
        <f t="shared" si="64"/>
        <v>-40</v>
      </c>
      <c r="O4140" t="s">
        <v>605</v>
      </c>
    </row>
    <row r="4141" spans="1:17" x14ac:dyDescent="0.25">
      <c r="A4141" s="22">
        <v>45786</v>
      </c>
      <c r="B4141" s="1" t="s">
        <v>3234</v>
      </c>
      <c r="C4141" t="s">
        <v>293</v>
      </c>
      <c r="D4141" s="23">
        <v>420000</v>
      </c>
      <c r="E4141" t="s">
        <v>45</v>
      </c>
      <c r="F4141" s="2">
        <v>210115002</v>
      </c>
      <c r="G4141" s="2" t="s">
        <v>46</v>
      </c>
      <c r="I4141" s="95" t="s">
        <v>7231</v>
      </c>
      <c r="K4141" t="s">
        <v>293</v>
      </c>
      <c r="M4141">
        <v>92.83</v>
      </c>
      <c r="N4141" s="4">
        <f t="shared" si="64"/>
        <v>4524.3994398362602</v>
      </c>
      <c r="O4141" t="s">
        <v>605</v>
      </c>
    </row>
    <row r="4142" spans="1:17" x14ac:dyDescent="0.25">
      <c r="A4142" s="22">
        <v>45786</v>
      </c>
      <c r="B4142" s="1">
        <v>676200000052</v>
      </c>
      <c r="C4142" t="s">
        <v>622</v>
      </c>
      <c r="D4142" s="23">
        <v>-11.6</v>
      </c>
      <c r="E4142" t="s">
        <v>35</v>
      </c>
      <c r="F4142" s="2">
        <v>610148001</v>
      </c>
      <c r="G4142" s="2" t="s">
        <v>41</v>
      </c>
      <c r="I4142" s="95" t="s">
        <v>7231</v>
      </c>
      <c r="J4142" t="s">
        <v>42</v>
      </c>
      <c r="K4142" t="s">
        <v>41</v>
      </c>
      <c r="M4142">
        <v>92.83</v>
      </c>
      <c r="N4142" s="4">
        <f t="shared" si="64"/>
        <v>-0.12495960357643003</v>
      </c>
      <c r="O4142" t="s">
        <v>605</v>
      </c>
      <c r="Q4142" s="42" t="s">
        <v>2650</v>
      </c>
    </row>
    <row r="4143" spans="1:17" x14ac:dyDescent="0.25">
      <c r="A4143" s="22">
        <v>45786</v>
      </c>
      <c r="B4143" s="1" t="s">
        <v>623</v>
      </c>
      <c r="C4143" t="s">
        <v>622</v>
      </c>
      <c r="D4143" s="23">
        <v>-18.559999999999999</v>
      </c>
      <c r="E4143" t="s">
        <v>35</v>
      </c>
      <c r="F4143" s="2">
        <v>610148001</v>
      </c>
      <c r="G4143" s="2" t="s">
        <v>41</v>
      </c>
      <c r="I4143" s="95" t="s">
        <v>7231</v>
      </c>
      <c r="J4143" t="s">
        <v>42</v>
      </c>
      <c r="K4143" t="s">
        <v>41</v>
      </c>
      <c r="M4143">
        <v>92.83</v>
      </c>
      <c r="N4143" s="4">
        <f t="shared" si="64"/>
        <v>-0.19993536572228804</v>
      </c>
      <c r="O4143" t="s">
        <v>605</v>
      </c>
      <c r="Q4143" s="42" t="s">
        <v>2650</v>
      </c>
    </row>
    <row r="4144" spans="1:17" x14ac:dyDescent="0.25">
      <c r="A4144" s="22">
        <v>45786</v>
      </c>
      <c r="B4144" s="1" t="s">
        <v>625</v>
      </c>
      <c r="C4144" t="s">
        <v>622</v>
      </c>
      <c r="D4144" s="23">
        <v>-13.92</v>
      </c>
      <c r="E4144" t="s">
        <v>35</v>
      </c>
      <c r="F4144" s="2">
        <v>610148001</v>
      </c>
      <c r="G4144" s="2" t="s">
        <v>41</v>
      </c>
      <c r="I4144" s="95" t="s">
        <v>7231</v>
      </c>
      <c r="J4144" t="s">
        <v>42</v>
      </c>
      <c r="K4144" t="s">
        <v>41</v>
      </c>
      <c r="M4144">
        <v>92.83</v>
      </c>
      <c r="N4144" s="4">
        <f t="shared" si="64"/>
        <v>-0.14995152429171604</v>
      </c>
      <c r="O4144" t="s">
        <v>605</v>
      </c>
      <c r="Q4144" s="42" t="s">
        <v>2650</v>
      </c>
    </row>
    <row r="4145" spans="1:17" x14ac:dyDescent="0.25">
      <c r="A4145" s="22">
        <v>45786</v>
      </c>
      <c r="B4145" s="1" t="s">
        <v>624</v>
      </c>
      <c r="C4145" t="s">
        <v>622</v>
      </c>
      <c r="D4145" s="23">
        <v>-13.92</v>
      </c>
      <c r="E4145" t="s">
        <v>35</v>
      </c>
      <c r="F4145" s="2">
        <v>610148001</v>
      </c>
      <c r="G4145" s="2" t="s">
        <v>41</v>
      </c>
      <c r="I4145" s="95" t="s">
        <v>7231</v>
      </c>
      <c r="J4145" t="s">
        <v>42</v>
      </c>
      <c r="K4145" t="s">
        <v>41</v>
      </c>
      <c r="M4145">
        <v>92.83</v>
      </c>
      <c r="N4145" s="4">
        <f t="shared" si="64"/>
        <v>-0.14995152429171604</v>
      </c>
      <c r="O4145" t="s">
        <v>605</v>
      </c>
      <c r="Q4145" s="42" t="s">
        <v>2650</v>
      </c>
    </row>
    <row r="4146" spans="1:17" x14ac:dyDescent="0.25">
      <c r="A4146" s="22">
        <v>45786</v>
      </c>
      <c r="B4146" s="1" t="s">
        <v>621</v>
      </c>
      <c r="C4146" t="s">
        <v>622</v>
      </c>
      <c r="D4146" s="23">
        <v>-13.92</v>
      </c>
      <c r="E4146" t="s">
        <v>35</v>
      </c>
      <c r="F4146" s="2">
        <v>610148001</v>
      </c>
      <c r="G4146" s="2" t="s">
        <v>41</v>
      </c>
      <c r="I4146" s="95" t="s">
        <v>7231</v>
      </c>
      <c r="J4146" t="s">
        <v>42</v>
      </c>
      <c r="K4146" t="s">
        <v>41</v>
      </c>
      <c r="M4146">
        <v>92.83</v>
      </c>
      <c r="N4146" s="4">
        <f t="shared" si="64"/>
        <v>-0.14995152429171604</v>
      </c>
      <c r="O4146" t="s">
        <v>605</v>
      </c>
      <c r="Q4146" s="42" t="s">
        <v>2650</v>
      </c>
    </row>
    <row r="4147" spans="1:17" x14ac:dyDescent="0.25">
      <c r="A4147" s="22">
        <v>45786</v>
      </c>
      <c r="B4147" s="1" t="s">
        <v>1271</v>
      </c>
      <c r="C4147" t="s">
        <v>622</v>
      </c>
      <c r="D4147" s="23">
        <v>-13.92</v>
      </c>
      <c r="E4147" t="s">
        <v>35</v>
      </c>
      <c r="F4147" s="2">
        <v>610148001</v>
      </c>
      <c r="G4147" s="2" t="s">
        <v>41</v>
      </c>
      <c r="I4147" s="95" t="s">
        <v>7231</v>
      </c>
      <c r="J4147" t="s">
        <v>42</v>
      </c>
      <c r="K4147" t="s">
        <v>41</v>
      </c>
      <c r="M4147">
        <v>92.83</v>
      </c>
      <c r="N4147" s="4">
        <f t="shared" si="64"/>
        <v>-0.14995152429171604</v>
      </c>
      <c r="O4147" t="s">
        <v>605</v>
      </c>
      <c r="Q4147" s="42" t="s">
        <v>2650</v>
      </c>
    </row>
    <row r="4148" spans="1:17" x14ac:dyDescent="0.25">
      <c r="A4148" s="22">
        <v>45786</v>
      </c>
      <c r="B4148" s="1" t="s">
        <v>1272</v>
      </c>
      <c r="C4148" t="s">
        <v>622</v>
      </c>
      <c r="D4148" s="23">
        <v>-13.92</v>
      </c>
      <c r="E4148" t="s">
        <v>35</v>
      </c>
      <c r="F4148" s="2">
        <v>610148001</v>
      </c>
      <c r="G4148" s="2" t="s">
        <v>41</v>
      </c>
      <c r="I4148" s="95" t="s">
        <v>7231</v>
      </c>
      <c r="J4148" t="s">
        <v>42</v>
      </c>
      <c r="K4148" t="s">
        <v>41</v>
      </c>
      <c r="M4148">
        <v>92.83</v>
      </c>
      <c r="N4148" s="4">
        <f t="shared" si="64"/>
        <v>-0.14995152429171604</v>
      </c>
      <c r="O4148" t="s">
        <v>605</v>
      </c>
      <c r="Q4148" s="42" t="s">
        <v>2650</v>
      </c>
    </row>
    <row r="4149" spans="1:17" x14ac:dyDescent="0.25">
      <c r="A4149" s="22">
        <v>45786</v>
      </c>
      <c r="B4149" s="1" t="s">
        <v>1917</v>
      </c>
      <c r="C4149" t="s">
        <v>622</v>
      </c>
      <c r="D4149" s="23">
        <v>-13.92</v>
      </c>
      <c r="E4149" t="s">
        <v>35</v>
      </c>
      <c r="F4149" s="2">
        <v>610148001</v>
      </c>
      <c r="G4149" s="2" t="s">
        <v>41</v>
      </c>
      <c r="I4149" s="95" t="s">
        <v>7231</v>
      </c>
      <c r="J4149" t="s">
        <v>42</v>
      </c>
      <c r="K4149" t="s">
        <v>41</v>
      </c>
      <c r="M4149">
        <v>92.83</v>
      </c>
      <c r="N4149" s="4">
        <f t="shared" si="64"/>
        <v>-0.14995152429171604</v>
      </c>
      <c r="O4149" t="s">
        <v>605</v>
      </c>
      <c r="Q4149" s="42" t="s">
        <v>2650</v>
      </c>
    </row>
    <row r="4150" spans="1:17" x14ac:dyDescent="0.25">
      <c r="A4150" s="22">
        <v>45786</v>
      </c>
      <c r="B4150" s="1" t="s">
        <v>1915</v>
      </c>
      <c r="C4150" t="s">
        <v>622</v>
      </c>
      <c r="D4150" s="23">
        <v>-13.92</v>
      </c>
      <c r="E4150" t="s">
        <v>35</v>
      </c>
      <c r="F4150" s="2">
        <v>610148001</v>
      </c>
      <c r="G4150" s="2" t="s">
        <v>41</v>
      </c>
      <c r="I4150" s="95" t="s">
        <v>7231</v>
      </c>
      <c r="J4150" t="s">
        <v>42</v>
      </c>
      <c r="K4150" t="s">
        <v>41</v>
      </c>
      <c r="M4150">
        <v>92.83</v>
      </c>
      <c r="N4150" s="4">
        <f t="shared" si="64"/>
        <v>-0.14995152429171604</v>
      </c>
      <c r="O4150" t="s">
        <v>605</v>
      </c>
      <c r="Q4150" s="42" t="s">
        <v>2650</v>
      </c>
    </row>
    <row r="4151" spans="1:17" x14ac:dyDescent="0.25">
      <c r="A4151" s="22">
        <v>45786</v>
      </c>
      <c r="B4151" s="1" t="s">
        <v>1912</v>
      </c>
      <c r="C4151" t="s">
        <v>622</v>
      </c>
      <c r="D4151" s="23">
        <v>-13.92</v>
      </c>
      <c r="E4151" t="s">
        <v>35</v>
      </c>
      <c r="F4151" s="2">
        <v>610148001</v>
      </c>
      <c r="G4151" s="2" t="s">
        <v>41</v>
      </c>
      <c r="I4151" s="95" t="s">
        <v>7231</v>
      </c>
      <c r="J4151" t="s">
        <v>42</v>
      </c>
      <c r="K4151" t="s">
        <v>41</v>
      </c>
      <c r="M4151">
        <v>92.83</v>
      </c>
      <c r="N4151" s="4">
        <f t="shared" si="64"/>
        <v>-0.14995152429171604</v>
      </c>
      <c r="O4151" t="s">
        <v>605</v>
      </c>
      <c r="Q4151" s="42" t="s">
        <v>2650</v>
      </c>
    </row>
    <row r="4152" spans="1:17" x14ac:dyDescent="0.25">
      <c r="A4152" s="22">
        <v>45786</v>
      </c>
      <c r="B4152" s="1" t="s">
        <v>1916</v>
      </c>
      <c r="C4152" t="s">
        <v>622</v>
      </c>
      <c r="D4152" s="23">
        <v>-13.92</v>
      </c>
      <c r="E4152" t="s">
        <v>35</v>
      </c>
      <c r="F4152" s="2">
        <v>610148001</v>
      </c>
      <c r="G4152" s="2" t="s">
        <v>41</v>
      </c>
      <c r="I4152" s="95" t="s">
        <v>7231</v>
      </c>
      <c r="J4152" t="s">
        <v>42</v>
      </c>
      <c r="K4152" t="s">
        <v>41</v>
      </c>
      <c r="M4152">
        <v>92.83</v>
      </c>
      <c r="N4152" s="4">
        <f t="shared" si="64"/>
        <v>-0.14995152429171604</v>
      </c>
      <c r="O4152" t="s">
        <v>605</v>
      </c>
      <c r="Q4152" s="42" t="s">
        <v>2650</v>
      </c>
    </row>
    <row r="4153" spans="1:17" x14ac:dyDescent="0.25">
      <c r="A4153" s="22">
        <v>45786</v>
      </c>
      <c r="B4153" s="1" t="s">
        <v>1919</v>
      </c>
      <c r="C4153" t="s">
        <v>622</v>
      </c>
      <c r="D4153" s="23">
        <v>-13.92</v>
      </c>
      <c r="E4153" t="s">
        <v>35</v>
      </c>
      <c r="F4153" s="2">
        <v>610148001</v>
      </c>
      <c r="G4153" s="2" t="s">
        <v>41</v>
      </c>
      <c r="I4153" s="95" t="s">
        <v>7231</v>
      </c>
      <c r="J4153" t="s">
        <v>42</v>
      </c>
      <c r="K4153" t="s">
        <v>41</v>
      </c>
      <c r="M4153">
        <v>92.83</v>
      </c>
      <c r="N4153" s="4">
        <f t="shared" si="64"/>
        <v>-0.14995152429171604</v>
      </c>
      <c r="O4153" t="s">
        <v>605</v>
      </c>
      <c r="Q4153" s="42" t="s">
        <v>2650</v>
      </c>
    </row>
    <row r="4154" spans="1:17" x14ac:dyDescent="0.25">
      <c r="A4154" s="22">
        <v>45786</v>
      </c>
      <c r="B4154" s="1" t="s">
        <v>1913</v>
      </c>
      <c r="C4154" t="s">
        <v>622</v>
      </c>
      <c r="D4154" s="23">
        <v>-13.92</v>
      </c>
      <c r="E4154" t="s">
        <v>35</v>
      </c>
      <c r="F4154" s="2">
        <v>610148001</v>
      </c>
      <c r="G4154" s="2" t="s">
        <v>41</v>
      </c>
      <c r="I4154" s="95" t="s">
        <v>7231</v>
      </c>
      <c r="J4154" t="s">
        <v>42</v>
      </c>
      <c r="K4154" t="s">
        <v>41</v>
      </c>
      <c r="M4154">
        <v>92.83</v>
      </c>
      <c r="N4154" s="4">
        <f t="shared" si="64"/>
        <v>-0.14995152429171604</v>
      </c>
      <c r="O4154" t="s">
        <v>605</v>
      </c>
      <c r="Q4154" s="42" t="s">
        <v>2650</v>
      </c>
    </row>
    <row r="4155" spans="1:17" x14ac:dyDescent="0.25">
      <c r="A4155" s="22">
        <v>45786</v>
      </c>
      <c r="B4155" s="1" t="s">
        <v>1914</v>
      </c>
      <c r="C4155" t="s">
        <v>622</v>
      </c>
      <c r="D4155" s="23">
        <v>-13.92</v>
      </c>
      <c r="E4155" t="s">
        <v>35</v>
      </c>
      <c r="F4155" s="2">
        <v>610148001</v>
      </c>
      <c r="G4155" s="2" t="s">
        <v>41</v>
      </c>
      <c r="I4155" s="95" t="s">
        <v>7231</v>
      </c>
      <c r="J4155" t="s">
        <v>42</v>
      </c>
      <c r="K4155" t="s">
        <v>41</v>
      </c>
      <c r="M4155">
        <v>92.83</v>
      </c>
      <c r="N4155" s="4">
        <f t="shared" si="64"/>
        <v>-0.14995152429171604</v>
      </c>
      <c r="O4155" t="s">
        <v>605</v>
      </c>
      <c r="Q4155" s="42" t="s">
        <v>2650</v>
      </c>
    </row>
    <row r="4156" spans="1:17" x14ac:dyDescent="0.25">
      <c r="A4156" s="22">
        <v>45786</v>
      </c>
      <c r="B4156" s="1" t="s">
        <v>1918</v>
      </c>
      <c r="C4156" t="s">
        <v>622</v>
      </c>
      <c r="D4156" s="23">
        <v>-13.92</v>
      </c>
      <c r="E4156" t="s">
        <v>35</v>
      </c>
      <c r="F4156" s="2">
        <v>610148001</v>
      </c>
      <c r="G4156" s="2" t="s">
        <v>41</v>
      </c>
      <c r="I4156" s="95" t="s">
        <v>7231</v>
      </c>
      <c r="J4156" t="s">
        <v>42</v>
      </c>
      <c r="K4156" t="s">
        <v>41</v>
      </c>
      <c r="M4156">
        <v>92.83</v>
      </c>
      <c r="N4156" s="4">
        <f t="shared" si="64"/>
        <v>-0.14995152429171604</v>
      </c>
      <c r="O4156" t="s">
        <v>605</v>
      </c>
      <c r="Q4156" s="42" t="s">
        <v>2650</v>
      </c>
    </row>
    <row r="4157" spans="1:17" x14ac:dyDescent="0.25">
      <c r="A4157" s="22">
        <v>45786</v>
      </c>
      <c r="B4157" s="1" t="s">
        <v>1911</v>
      </c>
      <c r="C4157" t="s">
        <v>622</v>
      </c>
      <c r="D4157" s="23">
        <v>-13.92</v>
      </c>
      <c r="E4157" t="s">
        <v>35</v>
      </c>
      <c r="F4157" s="2">
        <v>610148001</v>
      </c>
      <c r="G4157" s="2" t="s">
        <v>41</v>
      </c>
      <c r="I4157" s="95" t="s">
        <v>7231</v>
      </c>
      <c r="J4157" t="s">
        <v>42</v>
      </c>
      <c r="K4157" t="s">
        <v>41</v>
      </c>
      <c r="M4157">
        <v>92.83</v>
      </c>
      <c r="N4157" s="4">
        <f t="shared" si="64"/>
        <v>-0.14995152429171604</v>
      </c>
      <c r="O4157" t="s">
        <v>605</v>
      </c>
      <c r="Q4157" s="42" t="s">
        <v>2650</v>
      </c>
    </row>
    <row r="4158" spans="1:17" x14ac:dyDescent="0.25">
      <c r="A4158" s="22">
        <v>45786</v>
      </c>
      <c r="B4158" s="1" t="s">
        <v>1920</v>
      </c>
      <c r="C4158" t="s">
        <v>622</v>
      </c>
      <c r="D4158" s="23">
        <v>-13.92</v>
      </c>
      <c r="E4158" t="s">
        <v>35</v>
      </c>
      <c r="F4158" s="2">
        <v>610148001</v>
      </c>
      <c r="G4158" s="2" t="s">
        <v>41</v>
      </c>
      <c r="I4158" s="95" t="s">
        <v>7231</v>
      </c>
      <c r="J4158" t="s">
        <v>42</v>
      </c>
      <c r="K4158" t="s">
        <v>41</v>
      </c>
      <c r="M4158">
        <v>92.83</v>
      </c>
      <c r="N4158" s="4">
        <f t="shared" si="64"/>
        <v>-0.14995152429171604</v>
      </c>
      <c r="O4158" t="s">
        <v>605</v>
      </c>
      <c r="Q4158" s="42" t="s">
        <v>2650</v>
      </c>
    </row>
    <row r="4159" spans="1:17" x14ac:dyDescent="0.25">
      <c r="A4159" s="22">
        <v>45786</v>
      </c>
      <c r="B4159" s="1" t="s">
        <v>2076</v>
      </c>
      <c r="C4159" t="s">
        <v>622</v>
      </c>
      <c r="D4159" s="23">
        <v>-34.81</v>
      </c>
      <c r="E4159" t="s">
        <v>35</v>
      </c>
      <c r="F4159" s="2">
        <v>610148001</v>
      </c>
      <c r="G4159" s="2" t="s">
        <v>41</v>
      </c>
      <c r="I4159" s="95" t="s">
        <v>7231</v>
      </c>
      <c r="J4159" t="s">
        <v>42</v>
      </c>
      <c r="K4159" t="s">
        <v>41</v>
      </c>
      <c r="M4159">
        <v>92.83</v>
      </c>
      <c r="N4159" s="4">
        <f t="shared" si="64"/>
        <v>-0.3749865345254767</v>
      </c>
      <c r="O4159" t="s">
        <v>605</v>
      </c>
      <c r="Q4159" s="42" t="s">
        <v>2650</v>
      </c>
    </row>
    <row r="4160" spans="1:17" x14ac:dyDescent="0.25">
      <c r="A4160" s="22">
        <v>45786</v>
      </c>
      <c r="B4160" s="1" t="s">
        <v>2072</v>
      </c>
      <c r="C4160" t="s">
        <v>622</v>
      </c>
      <c r="D4160" s="23">
        <v>-23.2</v>
      </c>
      <c r="E4160" t="s">
        <v>35</v>
      </c>
      <c r="F4160" s="2">
        <v>610148001</v>
      </c>
      <c r="G4160" s="2" t="s">
        <v>41</v>
      </c>
      <c r="I4160" s="95" t="s">
        <v>7231</v>
      </c>
      <c r="J4160" t="s">
        <v>42</v>
      </c>
      <c r="K4160" t="s">
        <v>41</v>
      </c>
      <c r="M4160">
        <v>92.83</v>
      </c>
      <c r="N4160" s="4">
        <f t="shared" si="64"/>
        <v>-0.24991920715286006</v>
      </c>
      <c r="O4160" t="s">
        <v>605</v>
      </c>
      <c r="Q4160" s="42" t="s">
        <v>2650</v>
      </c>
    </row>
    <row r="4161" spans="1:17" x14ac:dyDescent="0.25">
      <c r="A4161" s="22">
        <v>45786</v>
      </c>
      <c r="B4161" s="1" t="s">
        <v>2090</v>
      </c>
      <c r="C4161" t="s">
        <v>622</v>
      </c>
      <c r="D4161" s="23">
        <v>-18.559999999999999</v>
      </c>
      <c r="E4161" t="s">
        <v>35</v>
      </c>
      <c r="F4161" s="2">
        <v>610148001</v>
      </c>
      <c r="G4161" s="2" t="s">
        <v>41</v>
      </c>
      <c r="I4161" s="95" t="s">
        <v>7231</v>
      </c>
      <c r="J4161" t="s">
        <v>42</v>
      </c>
      <c r="K4161" t="s">
        <v>41</v>
      </c>
      <c r="M4161">
        <v>92.83</v>
      </c>
      <c r="N4161" s="4">
        <f t="shared" si="64"/>
        <v>-0.19993536572228804</v>
      </c>
      <c r="O4161" t="s">
        <v>605</v>
      </c>
      <c r="Q4161" s="42" t="s">
        <v>2650</v>
      </c>
    </row>
    <row r="4162" spans="1:17" x14ac:dyDescent="0.25">
      <c r="A4162" s="22">
        <v>45786</v>
      </c>
      <c r="B4162" s="1" t="s">
        <v>2102</v>
      </c>
      <c r="C4162" t="s">
        <v>622</v>
      </c>
      <c r="D4162" s="23">
        <v>-18.559999999999999</v>
      </c>
      <c r="E4162" t="s">
        <v>35</v>
      </c>
      <c r="F4162" s="2">
        <v>610148001</v>
      </c>
      <c r="G4162" s="2" t="s">
        <v>41</v>
      </c>
      <c r="I4162" s="95" t="s">
        <v>7231</v>
      </c>
      <c r="J4162" t="s">
        <v>42</v>
      </c>
      <c r="K4162" t="s">
        <v>41</v>
      </c>
      <c r="M4162">
        <v>92.83</v>
      </c>
      <c r="N4162" s="4">
        <f t="shared" si="64"/>
        <v>-0.19993536572228804</v>
      </c>
      <c r="O4162" t="s">
        <v>605</v>
      </c>
      <c r="Q4162" s="42" t="s">
        <v>2650</v>
      </c>
    </row>
    <row r="4163" spans="1:17" x14ac:dyDescent="0.25">
      <c r="A4163" s="22">
        <v>45786</v>
      </c>
      <c r="B4163" s="1" t="s">
        <v>2073</v>
      </c>
      <c r="C4163" t="s">
        <v>622</v>
      </c>
      <c r="D4163" s="23">
        <v>-18.559999999999999</v>
      </c>
      <c r="E4163" t="s">
        <v>35</v>
      </c>
      <c r="F4163" s="2">
        <v>610148001</v>
      </c>
      <c r="G4163" s="2" t="s">
        <v>41</v>
      </c>
      <c r="I4163" s="95" t="s">
        <v>7231</v>
      </c>
      <c r="J4163" t="s">
        <v>42</v>
      </c>
      <c r="K4163" t="s">
        <v>41</v>
      </c>
      <c r="M4163">
        <v>92.83</v>
      </c>
      <c r="N4163" s="4">
        <f t="shared" si="64"/>
        <v>-0.19993536572228804</v>
      </c>
      <c r="O4163" t="s">
        <v>605</v>
      </c>
      <c r="Q4163" s="42" t="s">
        <v>2650</v>
      </c>
    </row>
    <row r="4164" spans="1:17" x14ac:dyDescent="0.25">
      <c r="A4164" s="22">
        <v>45786</v>
      </c>
      <c r="B4164" s="1" t="s">
        <v>2103</v>
      </c>
      <c r="C4164" t="s">
        <v>622</v>
      </c>
      <c r="D4164" s="23">
        <v>-18.559999999999999</v>
      </c>
      <c r="E4164" t="s">
        <v>35</v>
      </c>
      <c r="F4164" s="2">
        <v>610148001</v>
      </c>
      <c r="G4164" s="2" t="s">
        <v>41</v>
      </c>
      <c r="I4164" s="95" t="s">
        <v>7231</v>
      </c>
      <c r="J4164" t="s">
        <v>42</v>
      </c>
      <c r="K4164" t="s">
        <v>41</v>
      </c>
      <c r="M4164">
        <v>92.83</v>
      </c>
      <c r="N4164" s="4">
        <f t="shared" si="64"/>
        <v>-0.19993536572228804</v>
      </c>
      <c r="O4164" t="s">
        <v>605</v>
      </c>
      <c r="Q4164" s="42" t="s">
        <v>2650</v>
      </c>
    </row>
    <row r="4165" spans="1:17" x14ac:dyDescent="0.25">
      <c r="A4165" s="22">
        <v>45786</v>
      </c>
      <c r="B4165" s="1" t="s">
        <v>2061</v>
      </c>
      <c r="C4165" t="s">
        <v>622</v>
      </c>
      <c r="D4165" s="23">
        <v>-18.559999999999999</v>
      </c>
      <c r="E4165" t="s">
        <v>35</v>
      </c>
      <c r="F4165" s="2">
        <v>610148001</v>
      </c>
      <c r="G4165" s="2" t="s">
        <v>41</v>
      </c>
      <c r="I4165" s="95" t="s">
        <v>7231</v>
      </c>
      <c r="J4165" t="s">
        <v>42</v>
      </c>
      <c r="K4165" t="s">
        <v>41</v>
      </c>
      <c r="M4165">
        <v>92.83</v>
      </c>
      <c r="N4165" s="4">
        <f t="shared" si="64"/>
        <v>-0.19993536572228804</v>
      </c>
      <c r="O4165" t="s">
        <v>605</v>
      </c>
      <c r="Q4165" s="42" t="s">
        <v>2650</v>
      </c>
    </row>
    <row r="4166" spans="1:17" x14ac:dyDescent="0.25">
      <c r="A4166" s="22">
        <v>45786</v>
      </c>
      <c r="B4166" s="1" t="s">
        <v>2062</v>
      </c>
      <c r="C4166" t="s">
        <v>622</v>
      </c>
      <c r="D4166" s="23">
        <v>-18.559999999999999</v>
      </c>
      <c r="E4166" t="s">
        <v>35</v>
      </c>
      <c r="F4166" s="2">
        <v>610148001</v>
      </c>
      <c r="G4166" s="2" t="s">
        <v>41</v>
      </c>
      <c r="I4166" s="95" t="s">
        <v>7231</v>
      </c>
      <c r="J4166" t="s">
        <v>42</v>
      </c>
      <c r="K4166" t="s">
        <v>41</v>
      </c>
      <c r="M4166">
        <v>92.83</v>
      </c>
      <c r="N4166" s="4">
        <f t="shared" si="64"/>
        <v>-0.19993536572228804</v>
      </c>
      <c r="O4166" t="s">
        <v>605</v>
      </c>
      <c r="Q4166" s="42" t="s">
        <v>2650</v>
      </c>
    </row>
    <row r="4167" spans="1:17" x14ac:dyDescent="0.25">
      <c r="A4167" s="22">
        <v>45786</v>
      </c>
      <c r="B4167" s="1" t="s">
        <v>2112</v>
      </c>
      <c r="C4167" t="s">
        <v>622</v>
      </c>
      <c r="D4167" s="23">
        <v>-7.89</v>
      </c>
      <c r="E4167" t="s">
        <v>35</v>
      </c>
      <c r="F4167" s="2">
        <v>610148001</v>
      </c>
      <c r="G4167" s="2" t="s">
        <v>41</v>
      </c>
      <c r="I4167" s="95" t="s">
        <v>7231</v>
      </c>
      <c r="J4167" t="s">
        <v>42</v>
      </c>
      <c r="K4167" t="s">
        <v>41</v>
      </c>
      <c r="M4167">
        <v>92.83</v>
      </c>
      <c r="N4167" s="4">
        <f t="shared" si="64"/>
        <v>-8.4994075191209731E-2</v>
      </c>
      <c r="O4167" t="s">
        <v>605</v>
      </c>
      <c r="Q4167" s="42" t="s">
        <v>2650</v>
      </c>
    </row>
    <row r="4168" spans="1:17" x14ac:dyDescent="0.25">
      <c r="A4168" s="22">
        <v>45786</v>
      </c>
      <c r="B4168" s="1" t="s">
        <v>2063</v>
      </c>
      <c r="C4168" t="s">
        <v>622</v>
      </c>
      <c r="D4168" s="23">
        <v>-9.74</v>
      </c>
      <c r="E4168" t="s">
        <v>35</v>
      </c>
      <c r="F4168" s="2">
        <v>610148001</v>
      </c>
      <c r="G4168" s="2" t="s">
        <v>41</v>
      </c>
      <c r="I4168" s="95" t="s">
        <v>7231</v>
      </c>
      <c r="J4168" t="s">
        <v>42</v>
      </c>
      <c r="K4168" t="s">
        <v>41</v>
      </c>
      <c r="M4168">
        <v>92.83</v>
      </c>
      <c r="N4168" s="4">
        <f t="shared" si="64"/>
        <v>-0.1049229774857266</v>
      </c>
      <c r="O4168" t="s">
        <v>605</v>
      </c>
      <c r="Q4168" s="42" t="s">
        <v>2650</v>
      </c>
    </row>
    <row r="4169" spans="1:17" x14ac:dyDescent="0.25">
      <c r="A4169" s="22">
        <v>45786</v>
      </c>
      <c r="B4169" s="1" t="s">
        <v>2104</v>
      </c>
      <c r="C4169" t="s">
        <v>622</v>
      </c>
      <c r="D4169" s="23">
        <v>-11.6</v>
      </c>
      <c r="E4169" t="s">
        <v>35</v>
      </c>
      <c r="F4169" s="2">
        <v>610148001</v>
      </c>
      <c r="G4169" s="2" t="s">
        <v>41</v>
      </c>
      <c r="I4169" s="95" t="s">
        <v>7231</v>
      </c>
      <c r="J4169" t="s">
        <v>42</v>
      </c>
      <c r="K4169" t="s">
        <v>41</v>
      </c>
      <c r="M4169">
        <v>92.83</v>
      </c>
      <c r="N4169" s="4">
        <f t="shared" si="64"/>
        <v>-0.12495960357643003</v>
      </c>
      <c r="O4169" t="s">
        <v>605</v>
      </c>
      <c r="Q4169" s="42" t="s">
        <v>2650</v>
      </c>
    </row>
    <row r="4170" spans="1:17" x14ac:dyDescent="0.25">
      <c r="A4170" s="22">
        <v>45786</v>
      </c>
      <c r="B4170" s="1" t="s">
        <v>2074</v>
      </c>
      <c r="C4170" t="s">
        <v>622</v>
      </c>
      <c r="D4170" s="23">
        <v>-11.6</v>
      </c>
      <c r="E4170" t="s">
        <v>35</v>
      </c>
      <c r="F4170" s="2">
        <v>610148001</v>
      </c>
      <c r="G4170" s="2" t="s">
        <v>41</v>
      </c>
      <c r="I4170" s="95" t="s">
        <v>7231</v>
      </c>
      <c r="J4170" t="s">
        <v>42</v>
      </c>
      <c r="K4170" t="s">
        <v>41</v>
      </c>
      <c r="M4170">
        <v>92.83</v>
      </c>
      <c r="N4170" s="4">
        <f t="shared" si="64"/>
        <v>-0.12495960357643003</v>
      </c>
      <c r="O4170" t="s">
        <v>605</v>
      </c>
      <c r="Q4170" s="42" t="s">
        <v>2650</v>
      </c>
    </row>
    <row r="4171" spans="1:17" x14ac:dyDescent="0.25">
      <c r="A4171" s="22">
        <v>45786</v>
      </c>
      <c r="B4171" s="1" t="s">
        <v>2105</v>
      </c>
      <c r="C4171" t="s">
        <v>622</v>
      </c>
      <c r="D4171" s="23">
        <v>-11.6</v>
      </c>
      <c r="E4171" t="s">
        <v>35</v>
      </c>
      <c r="F4171" s="2">
        <v>610148001</v>
      </c>
      <c r="G4171" s="2" t="s">
        <v>41</v>
      </c>
      <c r="I4171" s="95" t="s">
        <v>7231</v>
      </c>
      <c r="J4171" t="s">
        <v>42</v>
      </c>
      <c r="K4171" t="s">
        <v>41</v>
      </c>
      <c r="M4171">
        <v>92.83</v>
      </c>
      <c r="N4171" s="4">
        <f t="shared" si="64"/>
        <v>-0.12495960357643003</v>
      </c>
      <c r="O4171" t="s">
        <v>605</v>
      </c>
      <c r="Q4171" s="42" t="s">
        <v>2650</v>
      </c>
    </row>
    <row r="4172" spans="1:17" x14ac:dyDescent="0.25">
      <c r="A4172" s="22">
        <v>45786</v>
      </c>
      <c r="B4172" s="1" t="s">
        <v>2091</v>
      </c>
      <c r="C4172" t="s">
        <v>622</v>
      </c>
      <c r="D4172" s="23">
        <v>-11.6</v>
      </c>
      <c r="E4172" t="s">
        <v>35</v>
      </c>
      <c r="F4172" s="2">
        <v>610148001</v>
      </c>
      <c r="G4172" s="2" t="s">
        <v>41</v>
      </c>
      <c r="I4172" s="95" t="s">
        <v>7231</v>
      </c>
      <c r="J4172" t="s">
        <v>42</v>
      </c>
      <c r="K4172" t="s">
        <v>41</v>
      </c>
      <c r="M4172">
        <v>92.83</v>
      </c>
      <c r="N4172" s="4">
        <f t="shared" ref="N4172:N4235" si="65">D4172/M4172</f>
        <v>-0.12495960357643003</v>
      </c>
      <c r="O4172" t="s">
        <v>605</v>
      </c>
      <c r="Q4172" s="42" t="s">
        <v>2650</v>
      </c>
    </row>
    <row r="4173" spans="1:17" x14ac:dyDescent="0.25">
      <c r="A4173" s="22">
        <v>45786</v>
      </c>
      <c r="B4173" s="1" t="s">
        <v>2113</v>
      </c>
      <c r="C4173" t="s">
        <v>622</v>
      </c>
      <c r="D4173" s="23">
        <v>-9.2799999999999994</v>
      </c>
      <c r="E4173" t="s">
        <v>35</v>
      </c>
      <c r="F4173" s="2">
        <v>610148001</v>
      </c>
      <c r="G4173" s="2" t="s">
        <v>41</v>
      </c>
      <c r="I4173" s="95" t="s">
        <v>7231</v>
      </c>
      <c r="J4173" t="s">
        <v>42</v>
      </c>
      <c r="K4173" t="s">
        <v>41</v>
      </c>
      <c r="M4173">
        <v>92.83</v>
      </c>
      <c r="N4173" s="4">
        <f t="shared" si="65"/>
        <v>-9.9967682861144019E-2</v>
      </c>
      <c r="O4173" t="s">
        <v>605</v>
      </c>
      <c r="Q4173" s="42" t="s">
        <v>2650</v>
      </c>
    </row>
    <row r="4174" spans="1:17" x14ac:dyDescent="0.25">
      <c r="A4174" s="22">
        <v>45786</v>
      </c>
      <c r="B4174" s="1" t="s">
        <v>2080</v>
      </c>
      <c r="C4174" t="s">
        <v>622</v>
      </c>
      <c r="D4174" s="23">
        <v>-9.2799999999999994</v>
      </c>
      <c r="E4174" t="s">
        <v>35</v>
      </c>
      <c r="F4174" s="2">
        <v>610148001</v>
      </c>
      <c r="G4174" s="2" t="s">
        <v>41</v>
      </c>
      <c r="I4174" s="95" t="s">
        <v>7231</v>
      </c>
      <c r="J4174" t="s">
        <v>42</v>
      </c>
      <c r="K4174" t="s">
        <v>41</v>
      </c>
      <c r="M4174">
        <v>92.83</v>
      </c>
      <c r="N4174" s="4">
        <f t="shared" si="65"/>
        <v>-9.9967682861144019E-2</v>
      </c>
      <c r="O4174" t="s">
        <v>605</v>
      </c>
      <c r="Q4174" s="42" t="s">
        <v>2650</v>
      </c>
    </row>
    <row r="4175" spans="1:17" x14ac:dyDescent="0.25">
      <c r="A4175" s="22">
        <v>45786</v>
      </c>
      <c r="B4175" s="1" t="s">
        <v>2065</v>
      </c>
      <c r="C4175" t="s">
        <v>622</v>
      </c>
      <c r="D4175" s="23">
        <v>-9.2799999999999994</v>
      </c>
      <c r="E4175" t="s">
        <v>35</v>
      </c>
      <c r="F4175" s="2">
        <v>610148001</v>
      </c>
      <c r="G4175" s="2" t="s">
        <v>41</v>
      </c>
      <c r="I4175" s="95" t="s">
        <v>7231</v>
      </c>
      <c r="J4175" t="s">
        <v>42</v>
      </c>
      <c r="K4175" t="s">
        <v>41</v>
      </c>
      <c r="M4175">
        <v>92.83</v>
      </c>
      <c r="N4175" s="4">
        <f t="shared" si="65"/>
        <v>-9.9967682861144019E-2</v>
      </c>
      <c r="O4175" t="s">
        <v>605</v>
      </c>
      <c r="Q4175" s="42" t="s">
        <v>2650</v>
      </c>
    </row>
    <row r="4176" spans="1:17" x14ac:dyDescent="0.25">
      <c r="A4176" s="22">
        <v>45786</v>
      </c>
      <c r="B4176" s="1" t="s">
        <v>2066</v>
      </c>
      <c r="C4176" t="s">
        <v>622</v>
      </c>
      <c r="D4176" s="23">
        <v>-9.2799999999999994</v>
      </c>
      <c r="E4176" t="s">
        <v>35</v>
      </c>
      <c r="F4176" s="2">
        <v>610148001</v>
      </c>
      <c r="G4176" s="2" t="s">
        <v>41</v>
      </c>
      <c r="I4176" s="95" t="s">
        <v>7231</v>
      </c>
      <c r="J4176" t="s">
        <v>42</v>
      </c>
      <c r="K4176" t="s">
        <v>41</v>
      </c>
      <c r="M4176">
        <v>92.83</v>
      </c>
      <c r="N4176" s="4">
        <f t="shared" si="65"/>
        <v>-9.9967682861144019E-2</v>
      </c>
      <c r="O4176" t="s">
        <v>605</v>
      </c>
      <c r="Q4176" s="42" t="s">
        <v>2650</v>
      </c>
    </row>
    <row r="4177" spans="1:17" x14ac:dyDescent="0.25">
      <c r="A4177" s="22">
        <v>45786</v>
      </c>
      <c r="B4177" s="1" t="s">
        <v>2081</v>
      </c>
      <c r="C4177" t="s">
        <v>622</v>
      </c>
      <c r="D4177" s="23">
        <v>-9.2799999999999994</v>
      </c>
      <c r="E4177" t="s">
        <v>35</v>
      </c>
      <c r="F4177" s="2">
        <v>610148001</v>
      </c>
      <c r="G4177" s="2" t="s">
        <v>41</v>
      </c>
      <c r="I4177" s="95" t="s">
        <v>7231</v>
      </c>
      <c r="J4177" t="s">
        <v>42</v>
      </c>
      <c r="K4177" t="s">
        <v>41</v>
      </c>
      <c r="M4177">
        <v>92.83</v>
      </c>
      <c r="N4177" s="4">
        <f t="shared" si="65"/>
        <v>-9.9967682861144019E-2</v>
      </c>
      <c r="O4177" t="s">
        <v>605</v>
      </c>
      <c r="Q4177" s="42" t="s">
        <v>2650</v>
      </c>
    </row>
    <row r="4178" spans="1:17" x14ac:dyDescent="0.25">
      <c r="A4178" s="22">
        <v>45786</v>
      </c>
      <c r="B4178" s="1" t="s">
        <v>2106</v>
      </c>
      <c r="C4178" t="s">
        <v>622</v>
      </c>
      <c r="D4178" s="23">
        <v>-9.2799999999999994</v>
      </c>
      <c r="E4178" t="s">
        <v>35</v>
      </c>
      <c r="F4178" s="2">
        <v>610148001</v>
      </c>
      <c r="G4178" s="2" t="s">
        <v>41</v>
      </c>
      <c r="I4178" s="95" t="s">
        <v>7231</v>
      </c>
      <c r="J4178" t="s">
        <v>42</v>
      </c>
      <c r="K4178" t="s">
        <v>41</v>
      </c>
      <c r="M4178">
        <v>92.83</v>
      </c>
      <c r="N4178" s="4">
        <f t="shared" si="65"/>
        <v>-9.9967682861144019E-2</v>
      </c>
      <c r="O4178" t="s">
        <v>605</v>
      </c>
      <c r="Q4178" s="42" t="s">
        <v>2650</v>
      </c>
    </row>
    <row r="4179" spans="1:17" x14ac:dyDescent="0.25">
      <c r="A4179" s="22">
        <v>45786</v>
      </c>
      <c r="B4179" s="1" t="s">
        <v>2082</v>
      </c>
      <c r="C4179" t="s">
        <v>622</v>
      </c>
      <c r="D4179" s="23">
        <v>-9.2799999999999994</v>
      </c>
      <c r="E4179" t="s">
        <v>35</v>
      </c>
      <c r="F4179" s="2">
        <v>610148001</v>
      </c>
      <c r="G4179" s="2" t="s">
        <v>41</v>
      </c>
      <c r="I4179" s="95" t="s">
        <v>7231</v>
      </c>
      <c r="J4179" t="s">
        <v>42</v>
      </c>
      <c r="K4179" t="s">
        <v>41</v>
      </c>
      <c r="M4179">
        <v>92.83</v>
      </c>
      <c r="N4179" s="4">
        <f t="shared" si="65"/>
        <v>-9.9967682861144019E-2</v>
      </c>
      <c r="O4179" t="s">
        <v>605</v>
      </c>
      <c r="Q4179" s="42" t="s">
        <v>2650</v>
      </c>
    </row>
    <row r="4180" spans="1:17" x14ac:dyDescent="0.25">
      <c r="A4180" s="22">
        <v>45786</v>
      </c>
      <c r="B4180" s="1" t="s">
        <v>2067</v>
      </c>
      <c r="C4180" t="s">
        <v>622</v>
      </c>
      <c r="D4180" s="23">
        <v>-23.2</v>
      </c>
      <c r="E4180" t="s">
        <v>35</v>
      </c>
      <c r="F4180" s="2">
        <v>610148001</v>
      </c>
      <c r="G4180" s="2" t="s">
        <v>41</v>
      </c>
      <c r="I4180" s="95" t="s">
        <v>7231</v>
      </c>
      <c r="J4180" t="s">
        <v>42</v>
      </c>
      <c r="K4180" t="s">
        <v>41</v>
      </c>
      <c r="M4180">
        <v>92.83</v>
      </c>
      <c r="N4180" s="4">
        <f t="shared" si="65"/>
        <v>-0.24991920715286006</v>
      </c>
      <c r="O4180" t="s">
        <v>605</v>
      </c>
      <c r="Q4180" s="42" t="s">
        <v>2650</v>
      </c>
    </row>
    <row r="4181" spans="1:17" x14ac:dyDescent="0.25">
      <c r="A4181" s="22">
        <v>45786</v>
      </c>
      <c r="B4181" s="1" t="s">
        <v>2107</v>
      </c>
      <c r="C4181" t="s">
        <v>622</v>
      </c>
      <c r="D4181" s="23">
        <v>-23.2</v>
      </c>
      <c r="E4181" t="s">
        <v>35</v>
      </c>
      <c r="F4181" s="2">
        <v>610148001</v>
      </c>
      <c r="G4181" s="2" t="s">
        <v>41</v>
      </c>
      <c r="I4181" s="95" t="s">
        <v>7231</v>
      </c>
      <c r="J4181" t="s">
        <v>42</v>
      </c>
      <c r="K4181" t="s">
        <v>41</v>
      </c>
      <c r="M4181">
        <v>92.83</v>
      </c>
      <c r="N4181" s="4">
        <f t="shared" si="65"/>
        <v>-0.24991920715286006</v>
      </c>
      <c r="O4181" t="s">
        <v>605</v>
      </c>
      <c r="Q4181" s="42" t="s">
        <v>2650</v>
      </c>
    </row>
    <row r="4182" spans="1:17" x14ac:dyDescent="0.25">
      <c r="A4182" s="22">
        <v>45786</v>
      </c>
      <c r="B4182" s="1" t="s">
        <v>2068</v>
      </c>
      <c r="C4182" t="s">
        <v>622</v>
      </c>
      <c r="D4182" s="23">
        <v>-34.81</v>
      </c>
      <c r="E4182" t="s">
        <v>35</v>
      </c>
      <c r="F4182" s="2">
        <v>610148001</v>
      </c>
      <c r="G4182" s="2" t="s">
        <v>41</v>
      </c>
      <c r="I4182" s="95" t="s">
        <v>7231</v>
      </c>
      <c r="J4182" t="s">
        <v>42</v>
      </c>
      <c r="K4182" t="s">
        <v>41</v>
      </c>
      <c r="M4182">
        <v>92.83</v>
      </c>
      <c r="N4182" s="4">
        <f t="shared" si="65"/>
        <v>-0.3749865345254767</v>
      </c>
      <c r="O4182" t="s">
        <v>605</v>
      </c>
      <c r="Q4182" s="42" t="s">
        <v>2650</v>
      </c>
    </row>
    <row r="4183" spans="1:17" x14ac:dyDescent="0.25">
      <c r="A4183" s="22">
        <v>45786</v>
      </c>
      <c r="B4183" s="1" t="s">
        <v>2083</v>
      </c>
      <c r="C4183" t="s">
        <v>622</v>
      </c>
      <c r="D4183" s="23">
        <v>-6.96</v>
      </c>
      <c r="E4183" t="s">
        <v>35</v>
      </c>
      <c r="F4183" s="2">
        <v>610148001</v>
      </c>
      <c r="G4183" s="2" t="s">
        <v>41</v>
      </c>
      <c r="I4183" s="95" t="s">
        <v>7231</v>
      </c>
      <c r="J4183" t="s">
        <v>42</v>
      </c>
      <c r="K4183" t="s">
        <v>41</v>
      </c>
      <c r="M4183">
        <v>92.83</v>
      </c>
      <c r="N4183" s="4">
        <f t="shared" si="65"/>
        <v>-7.4975762145858021E-2</v>
      </c>
      <c r="O4183" t="s">
        <v>605</v>
      </c>
      <c r="Q4183" s="42" t="s">
        <v>2650</v>
      </c>
    </row>
    <row r="4184" spans="1:17" x14ac:dyDescent="0.25">
      <c r="A4184" s="22">
        <v>45786</v>
      </c>
      <c r="B4184" s="1" t="s">
        <v>2064</v>
      </c>
      <c r="C4184" t="s">
        <v>622</v>
      </c>
      <c r="D4184" s="23">
        <v>-25.52</v>
      </c>
      <c r="E4184" t="s">
        <v>35</v>
      </c>
      <c r="F4184" s="2">
        <v>610148001</v>
      </c>
      <c r="G4184" s="2" t="s">
        <v>41</v>
      </c>
      <c r="I4184" s="95" t="s">
        <v>7231</v>
      </c>
      <c r="J4184" t="s">
        <v>42</v>
      </c>
      <c r="K4184" t="s">
        <v>41</v>
      </c>
      <c r="M4184">
        <v>92.83</v>
      </c>
      <c r="N4184" s="4">
        <f t="shared" si="65"/>
        <v>-0.27491112786814609</v>
      </c>
      <c r="O4184" t="s">
        <v>605</v>
      </c>
      <c r="Q4184" s="42" t="s">
        <v>2650</v>
      </c>
    </row>
    <row r="4185" spans="1:17" x14ac:dyDescent="0.25">
      <c r="A4185" s="22">
        <v>45786</v>
      </c>
      <c r="B4185" s="1" t="s">
        <v>2084</v>
      </c>
      <c r="C4185" t="s">
        <v>622</v>
      </c>
      <c r="D4185" s="23">
        <v>-18.559999999999999</v>
      </c>
      <c r="E4185" t="s">
        <v>35</v>
      </c>
      <c r="F4185" s="2">
        <v>610148001</v>
      </c>
      <c r="G4185" s="2" t="s">
        <v>41</v>
      </c>
      <c r="I4185" s="95" t="s">
        <v>7231</v>
      </c>
      <c r="J4185" t="s">
        <v>42</v>
      </c>
      <c r="K4185" t="s">
        <v>41</v>
      </c>
      <c r="M4185">
        <v>92.83</v>
      </c>
      <c r="N4185" s="4">
        <f t="shared" si="65"/>
        <v>-0.19993536572228804</v>
      </c>
      <c r="O4185" t="s">
        <v>605</v>
      </c>
      <c r="Q4185" s="42" t="s">
        <v>2650</v>
      </c>
    </row>
    <row r="4186" spans="1:17" x14ac:dyDescent="0.25">
      <c r="A4186" s="22">
        <v>45786</v>
      </c>
      <c r="B4186" s="1" t="s">
        <v>2108</v>
      </c>
      <c r="C4186" t="s">
        <v>622</v>
      </c>
      <c r="D4186" s="23">
        <v>-23.2</v>
      </c>
      <c r="E4186" t="s">
        <v>35</v>
      </c>
      <c r="F4186" s="2">
        <v>610148001</v>
      </c>
      <c r="G4186" s="2" t="s">
        <v>41</v>
      </c>
      <c r="I4186" s="95" t="s">
        <v>7231</v>
      </c>
      <c r="J4186" t="s">
        <v>42</v>
      </c>
      <c r="K4186" t="s">
        <v>41</v>
      </c>
      <c r="M4186">
        <v>92.83</v>
      </c>
      <c r="N4186" s="4">
        <f t="shared" si="65"/>
        <v>-0.24991920715286006</v>
      </c>
      <c r="O4186" t="s">
        <v>605</v>
      </c>
      <c r="Q4186" s="42" t="s">
        <v>2650</v>
      </c>
    </row>
    <row r="4187" spans="1:17" x14ac:dyDescent="0.25">
      <c r="A4187" s="22">
        <v>45786</v>
      </c>
      <c r="B4187" s="1" t="s">
        <v>2089</v>
      </c>
      <c r="C4187" t="s">
        <v>622</v>
      </c>
      <c r="D4187" s="23">
        <v>-10.67</v>
      </c>
      <c r="E4187" t="s">
        <v>35</v>
      </c>
      <c r="F4187" s="2">
        <v>610148001</v>
      </c>
      <c r="G4187" s="2" t="s">
        <v>41</v>
      </c>
      <c r="I4187" s="95" t="s">
        <v>7231</v>
      </c>
      <c r="J4187" t="s">
        <v>42</v>
      </c>
      <c r="K4187" t="s">
        <v>41</v>
      </c>
      <c r="M4187">
        <v>92.83</v>
      </c>
      <c r="N4187" s="4">
        <f t="shared" si="65"/>
        <v>-0.11494129053107832</v>
      </c>
      <c r="O4187" t="s">
        <v>605</v>
      </c>
      <c r="Q4187" s="42" t="s">
        <v>2650</v>
      </c>
    </row>
    <row r="4188" spans="1:17" x14ac:dyDescent="0.25">
      <c r="A4188" s="22">
        <v>45786</v>
      </c>
      <c r="B4188" s="1" t="s">
        <v>2075</v>
      </c>
      <c r="C4188" t="s">
        <v>622</v>
      </c>
      <c r="D4188" s="23">
        <v>-16.239999999999998</v>
      </c>
      <c r="E4188" t="s">
        <v>35</v>
      </c>
      <c r="F4188" s="2">
        <v>610148001</v>
      </c>
      <c r="G4188" s="2" t="s">
        <v>41</v>
      </c>
      <c r="I4188" s="95" t="s">
        <v>7231</v>
      </c>
      <c r="J4188" t="s">
        <v>42</v>
      </c>
      <c r="K4188" t="s">
        <v>41</v>
      </c>
      <c r="M4188">
        <v>92.83</v>
      </c>
      <c r="N4188" s="4">
        <f t="shared" si="65"/>
        <v>-0.17494344500700204</v>
      </c>
      <c r="O4188" t="s">
        <v>605</v>
      </c>
      <c r="Q4188" s="42" t="s">
        <v>2650</v>
      </c>
    </row>
    <row r="4189" spans="1:17" x14ac:dyDescent="0.25">
      <c r="A4189" s="22">
        <v>45786</v>
      </c>
      <c r="B4189" s="1" t="s">
        <v>2092</v>
      </c>
      <c r="C4189" t="s">
        <v>622</v>
      </c>
      <c r="D4189" s="23">
        <v>-13.69</v>
      </c>
      <c r="E4189" t="s">
        <v>35</v>
      </c>
      <c r="F4189" s="2">
        <v>610148001</v>
      </c>
      <c r="G4189" s="2" t="s">
        <v>41</v>
      </c>
      <c r="I4189" s="95" t="s">
        <v>7231</v>
      </c>
      <c r="J4189" t="s">
        <v>42</v>
      </c>
      <c r="K4189" t="s">
        <v>41</v>
      </c>
      <c r="M4189">
        <v>92.83</v>
      </c>
      <c r="N4189" s="4">
        <f t="shared" si="65"/>
        <v>-0.14747387697942474</v>
      </c>
      <c r="O4189" t="s">
        <v>605</v>
      </c>
      <c r="Q4189" s="42" t="s">
        <v>2650</v>
      </c>
    </row>
    <row r="4190" spans="1:17" x14ac:dyDescent="0.25">
      <c r="A4190" s="22">
        <v>45786</v>
      </c>
      <c r="B4190" s="1" t="s">
        <v>2109</v>
      </c>
      <c r="C4190" t="s">
        <v>622</v>
      </c>
      <c r="D4190" s="23">
        <v>-16.239999999999998</v>
      </c>
      <c r="E4190" t="s">
        <v>35</v>
      </c>
      <c r="F4190" s="2">
        <v>610148001</v>
      </c>
      <c r="G4190" s="2" t="s">
        <v>41</v>
      </c>
      <c r="I4190" s="95" t="s">
        <v>7231</v>
      </c>
      <c r="J4190" t="s">
        <v>42</v>
      </c>
      <c r="K4190" t="s">
        <v>41</v>
      </c>
      <c r="M4190">
        <v>92.83</v>
      </c>
      <c r="N4190" s="4">
        <f t="shared" si="65"/>
        <v>-0.17494344500700204</v>
      </c>
      <c r="O4190" t="s">
        <v>605</v>
      </c>
      <c r="Q4190" s="42" t="s">
        <v>2650</v>
      </c>
    </row>
    <row r="4191" spans="1:17" x14ac:dyDescent="0.25">
      <c r="A4191" s="22">
        <v>45786</v>
      </c>
      <c r="B4191" s="1" t="s">
        <v>2085</v>
      </c>
      <c r="C4191" t="s">
        <v>622</v>
      </c>
      <c r="D4191" s="23">
        <v>-11.6</v>
      </c>
      <c r="E4191" t="s">
        <v>35</v>
      </c>
      <c r="F4191" s="2">
        <v>610148001</v>
      </c>
      <c r="G4191" s="2" t="s">
        <v>41</v>
      </c>
      <c r="I4191" s="95" t="s">
        <v>7231</v>
      </c>
      <c r="J4191" t="s">
        <v>42</v>
      </c>
      <c r="K4191" t="s">
        <v>41</v>
      </c>
      <c r="M4191">
        <v>92.83</v>
      </c>
      <c r="N4191" s="4">
        <f t="shared" si="65"/>
        <v>-0.12495960357643003</v>
      </c>
      <c r="O4191" t="s">
        <v>605</v>
      </c>
      <c r="Q4191" s="42" t="s">
        <v>2650</v>
      </c>
    </row>
    <row r="4192" spans="1:17" x14ac:dyDescent="0.25">
      <c r="A4192" s="22">
        <v>45786</v>
      </c>
      <c r="B4192" s="1" t="s">
        <v>2096</v>
      </c>
      <c r="C4192" t="s">
        <v>622</v>
      </c>
      <c r="D4192" s="23">
        <v>-11.6</v>
      </c>
      <c r="E4192" t="s">
        <v>35</v>
      </c>
      <c r="F4192" s="2">
        <v>610148001</v>
      </c>
      <c r="G4192" s="2" t="s">
        <v>41</v>
      </c>
      <c r="I4192" s="95" t="s">
        <v>7231</v>
      </c>
      <c r="J4192" t="s">
        <v>42</v>
      </c>
      <c r="K4192" t="s">
        <v>41</v>
      </c>
      <c r="M4192">
        <v>92.83</v>
      </c>
      <c r="N4192" s="4">
        <f t="shared" si="65"/>
        <v>-0.12495960357643003</v>
      </c>
      <c r="O4192" t="s">
        <v>605</v>
      </c>
      <c r="Q4192" s="42" t="s">
        <v>2650</v>
      </c>
    </row>
    <row r="4193" spans="1:17" x14ac:dyDescent="0.25">
      <c r="A4193" s="22">
        <v>45786</v>
      </c>
      <c r="B4193" s="1" t="s">
        <v>2077</v>
      </c>
      <c r="C4193" t="s">
        <v>622</v>
      </c>
      <c r="D4193" s="23">
        <v>-11.6</v>
      </c>
      <c r="E4193" t="s">
        <v>35</v>
      </c>
      <c r="F4193" s="2">
        <v>610148001</v>
      </c>
      <c r="G4193" s="2" t="s">
        <v>41</v>
      </c>
      <c r="I4193" s="95" t="s">
        <v>7231</v>
      </c>
      <c r="J4193" t="s">
        <v>42</v>
      </c>
      <c r="K4193" t="s">
        <v>41</v>
      </c>
      <c r="M4193">
        <v>92.83</v>
      </c>
      <c r="N4193" s="4">
        <f t="shared" si="65"/>
        <v>-0.12495960357643003</v>
      </c>
      <c r="O4193" t="s">
        <v>605</v>
      </c>
      <c r="Q4193" s="42" t="s">
        <v>2650</v>
      </c>
    </row>
    <row r="4194" spans="1:17" x14ac:dyDescent="0.25">
      <c r="A4194" s="22">
        <v>45786</v>
      </c>
      <c r="B4194" s="1" t="s">
        <v>2079</v>
      </c>
      <c r="C4194" t="s">
        <v>622</v>
      </c>
      <c r="D4194" s="23">
        <v>-11.6</v>
      </c>
      <c r="E4194" t="s">
        <v>35</v>
      </c>
      <c r="F4194" s="2">
        <v>610148001</v>
      </c>
      <c r="G4194" s="2" t="s">
        <v>41</v>
      </c>
      <c r="I4194" s="95" t="s">
        <v>7231</v>
      </c>
      <c r="J4194" t="s">
        <v>42</v>
      </c>
      <c r="K4194" t="s">
        <v>41</v>
      </c>
      <c r="M4194">
        <v>92.83</v>
      </c>
      <c r="N4194" s="4">
        <f t="shared" si="65"/>
        <v>-0.12495960357643003</v>
      </c>
      <c r="O4194" t="s">
        <v>605</v>
      </c>
      <c r="Q4194" s="42" t="s">
        <v>2650</v>
      </c>
    </row>
    <row r="4195" spans="1:17" x14ac:dyDescent="0.25">
      <c r="A4195" s="22">
        <v>45786</v>
      </c>
      <c r="B4195" s="1" t="s">
        <v>2097</v>
      </c>
      <c r="C4195" t="s">
        <v>622</v>
      </c>
      <c r="D4195" s="23">
        <v>-11.6</v>
      </c>
      <c r="E4195" t="s">
        <v>35</v>
      </c>
      <c r="F4195" s="2">
        <v>610148001</v>
      </c>
      <c r="G4195" s="2" t="s">
        <v>41</v>
      </c>
      <c r="I4195" s="95" t="s">
        <v>7231</v>
      </c>
      <c r="J4195" t="s">
        <v>42</v>
      </c>
      <c r="K4195" t="s">
        <v>41</v>
      </c>
      <c r="M4195">
        <v>92.83</v>
      </c>
      <c r="N4195" s="4">
        <f t="shared" si="65"/>
        <v>-0.12495960357643003</v>
      </c>
      <c r="O4195" t="s">
        <v>605</v>
      </c>
      <c r="Q4195" s="42" t="s">
        <v>2650</v>
      </c>
    </row>
    <row r="4196" spans="1:17" x14ac:dyDescent="0.25">
      <c r="A4196" s="22">
        <v>45786</v>
      </c>
      <c r="B4196" s="1" t="s">
        <v>2069</v>
      </c>
      <c r="C4196" t="s">
        <v>622</v>
      </c>
      <c r="D4196" s="23">
        <v>-11.6</v>
      </c>
      <c r="E4196" t="s">
        <v>35</v>
      </c>
      <c r="F4196" s="2">
        <v>610148001</v>
      </c>
      <c r="G4196" s="2" t="s">
        <v>41</v>
      </c>
      <c r="I4196" s="95" t="s">
        <v>7231</v>
      </c>
      <c r="J4196" t="s">
        <v>42</v>
      </c>
      <c r="K4196" t="s">
        <v>41</v>
      </c>
      <c r="M4196">
        <v>92.83</v>
      </c>
      <c r="N4196" s="4">
        <f t="shared" si="65"/>
        <v>-0.12495960357643003</v>
      </c>
      <c r="O4196" t="s">
        <v>605</v>
      </c>
      <c r="Q4196" s="42" t="s">
        <v>2650</v>
      </c>
    </row>
    <row r="4197" spans="1:17" x14ac:dyDescent="0.25">
      <c r="A4197" s="22">
        <v>45786</v>
      </c>
      <c r="B4197" s="1" t="s">
        <v>2070</v>
      </c>
      <c r="C4197" t="s">
        <v>622</v>
      </c>
      <c r="D4197" s="23">
        <v>-11.6</v>
      </c>
      <c r="E4197" t="s">
        <v>35</v>
      </c>
      <c r="F4197" s="2">
        <v>610148001</v>
      </c>
      <c r="G4197" s="2" t="s">
        <v>41</v>
      </c>
      <c r="I4197" s="95" t="s">
        <v>7231</v>
      </c>
      <c r="J4197" t="s">
        <v>42</v>
      </c>
      <c r="K4197" t="s">
        <v>41</v>
      </c>
      <c r="M4197">
        <v>92.83</v>
      </c>
      <c r="N4197" s="4">
        <f t="shared" si="65"/>
        <v>-0.12495960357643003</v>
      </c>
      <c r="O4197" t="s">
        <v>605</v>
      </c>
      <c r="Q4197" s="42" t="s">
        <v>2650</v>
      </c>
    </row>
    <row r="4198" spans="1:17" x14ac:dyDescent="0.25">
      <c r="A4198" s="22">
        <v>45786</v>
      </c>
      <c r="B4198" s="1" t="s">
        <v>2057</v>
      </c>
      <c r="C4198" t="s">
        <v>622</v>
      </c>
      <c r="D4198" s="23">
        <v>-11.6</v>
      </c>
      <c r="E4198" t="s">
        <v>35</v>
      </c>
      <c r="F4198" s="2">
        <v>610148001</v>
      </c>
      <c r="G4198" s="2" t="s">
        <v>41</v>
      </c>
      <c r="I4198" s="95" t="s">
        <v>7231</v>
      </c>
      <c r="J4198" t="s">
        <v>42</v>
      </c>
      <c r="K4198" t="s">
        <v>41</v>
      </c>
      <c r="M4198">
        <v>92.83</v>
      </c>
      <c r="N4198" s="4">
        <f t="shared" si="65"/>
        <v>-0.12495960357643003</v>
      </c>
      <c r="O4198" t="s">
        <v>605</v>
      </c>
      <c r="Q4198" s="42" t="s">
        <v>2650</v>
      </c>
    </row>
    <row r="4199" spans="1:17" x14ac:dyDescent="0.25">
      <c r="A4199" s="22">
        <v>45786</v>
      </c>
      <c r="B4199" s="1" t="s">
        <v>2098</v>
      </c>
      <c r="C4199" t="s">
        <v>622</v>
      </c>
      <c r="D4199" s="23">
        <v>-11.6</v>
      </c>
      <c r="E4199" t="s">
        <v>35</v>
      </c>
      <c r="F4199" s="2">
        <v>610148001</v>
      </c>
      <c r="G4199" s="2" t="s">
        <v>41</v>
      </c>
      <c r="I4199" s="95" t="s">
        <v>7231</v>
      </c>
      <c r="J4199" t="s">
        <v>42</v>
      </c>
      <c r="K4199" t="s">
        <v>41</v>
      </c>
      <c r="M4199">
        <v>92.83</v>
      </c>
      <c r="N4199" s="4">
        <f t="shared" si="65"/>
        <v>-0.12495960357643003</v>
      </c>
      <c r="O4199" t="s">
        <v>605</v>
      </c>
      <c r="Q4199" s="42" t="s">
        <v>2650</v>
      </c>
    </row>
    <row r="4200" spans="1:17" x14ac:dyDescent="0.25">
      <c r="A4200" s="22">
        <v>45786</v>
      </c>
      <c r="B4200" s="1" t="s">
        <v>2093</v>
      </c>
      <c r="C4200" t="s">
        <v>622</v>
      </c>
      <c r="D4200" s="23">
        <v>-11.6</v>
      </c>
      <c r="E4200" t="s">
        <v>35</v>
      </c>
      <c r="F4200" s="2">
        <v>610148001</v>
      </c>
      <c r="G4200" s="2" t="s">
        <v>41</v>
      </c>
      <c r="I4200" s="95" t="s">
        <v>7231</v>
      </c>
      <c r="J4200" t="s">
        <v>42</v>
      </c>
      <c r="K4200" t="s">
        <v>41</v>
      </c>
      <c r="M4200">
        <v>92.83</v>
      </c>
      <c r="N4200" s="4">
        <f t="shared" si="65"/>
        <v>-0.12495960357643003</v>
      </c>
      <c r="O4200" t="s">
        <v>605</v>
      </c>
      <c r="Q4200" s="42" t="s">
        <v>2650</v>
      </c>
    </row>
    <row r="4201" spans="1:17" x14ac:dyDescent="0.25">
      <c r="A4201" s="22">
        <v>45786</v>
      </c>
      <c r="B4201" s="1" t="s">
        <v>2094</v>
      </c>
      <c r="C4201" t="s">
        <v>622</v>
      </c>
      <c r="D4201" s="23">
        <v>-11.6</v>
      </c>
      <c r="E4201" t="s">
        <v>35</v>
      </c>
      <c r="F4201" s="2">
        <v>610148001</v>
      </c>
      <c r="G4201" s="2" t="s">
        <v>41</v>
      </c>
      <c r="I4201" s="95" t="s">
        <v>7231</v>
      </c>
      <c r="J4201" t="s">
        <v>42</v>
      </c>
      <c r="K4201" t="s">
        <v>41</v>
      </c>
      <c r="M4201">
        <v>92.83</v>
      </c>
      <c r="N4201" s="4">
        <f t="shared" si="65"/>
        <v>-0.12495960357643003</v>
      </c>
      <c r="O4201" t="s">
        <v>605</v>
      </c>
      <c r="Q4201" s="42" t="s">
        <v>2650</v>
      </c>
    </row>
    <row r="4202" spans="1:17" x14ac:dyDescent="0.25">
      <c r="A4202" s="22">
        <v>45786</v>
      </c>
      <c r="B4202" s="1" t="s">
        <v>2099</v>
      </c>
      <c r="C4202" t="s">
        <v>622</v>
      </c>
      <c r="D4202" s="23">
        <v>-11.6</v>
      </c>
      <c r="E4202" t="s">
        <v>35</v>
      </c>
      <c r="F4202" s="2">
        <v>610148001</v>
      </c>
      <c r="G4202" s="2" t="s">
        <v>41</v>
      </c>
      <c r="I4202" s="95" t="s">
        <v>7231</v>
      </c>
      <c r="J4202" t="s">
        <v>42</v>
      </c>
      <c r="K4202" t="s">
        <v>41</v>
      </c>
      <c r="M4202">
        <v>92.83</v>
      </c>
      <c r="N4202" s="4">
        <f t="shared" si="65"/>
        <v>-0.12495960357643003</v>
      </c>
      <c r="O4202" t="s">
        <v>605</v>
      </c>
      <c r="Q4202" s="42" t="s">
        <v>2650</v>
      </c>
    </row>
    <row r="4203" spans="1:17" x14ac:dyDescent="0.25">
      <c r="A4203" s="22">
        <v>45786</v>
      </c>
      <c r="B4203" s="1" t="s">
        <v>2095</v>
      </c>
      <c r="C4203" t="s">
        <v>622</v>
      </c>
      <c r="D4203" s="23">
        <v>-11.6</v>
      </c>
      <c r="E4203" t="s">
        <v>35</v>
      </c>
      <c r="F4203" s="2">
        <v>610148001</v>
      </c>
      <c r="G4203" s="2" t="s">
        <v>41</v>
      </c>
      <c r="I4203" s="95" t="s">
        <v>7231</v>
      </c>
      <c r="J4203" t="s">
        <v>42</v>
      </c>
      <c r="K4203" t="s">
        <v>41</v>
      </c>
      <c r="M4203">
        <v>92.83</v>
      </c>
      <c r="N4203" s="4">
        <f t="shared" si="65"/>
        <v>-0.12495960357643003</v>
      </c>
      <c r="O4203" t="s">
        <v>605</v>
      </c>
      <c r="Q4203" s="42" t="s">
        <v>2650</v>
      </c>
    </row>
    <row r="4204" spans="1:17" x14ac:dyDescent="0.25">
      <c r="A4204" s="22">
        <v>45786</v>
      </c>
      <c r="B4204" s="1" t="s">
        <v>2110</v>
      </c>
      <c r="C4204" t="s">
        <v>622</v>
      </c>
      <c r="D4204" s="23">
        <v>-11.6</v>
      </c>
      <c r="E4204" t="s">
        <v>35</v>
      </c>
      <c r="F4204" s="2">
        <v>610148001</v>
      </c>
      <c r="G4204" s="2" t="s">
        <v>41</v>
      </c>
      <c r="I4204" s="95" t="s">
        <v>7231</v>
      </c>
      <c r="J4204" t="s">
        <v>42</v>
      </c>
      <c r="K4204" t="s">
        <v>41</v>
      </c>
      <c r="M4204">
        <v>92.83</v>
      </c>
      <c r="N4204" s="4">
        <f t="shared" si="65"/>
        <v>-0.12495960357643003</v>
      </c>
      <c r="O4204" t="s">
        <v>605</v>
      </c>
      <c r="Q4204" s="42" t="s">
        <v>2650</v>
      </c>
    </row>
    <row r="4205" spans="1:17" x14ac:dyDescent="0.25">
      <c r="A4205" s="22">
        <v>45786</v>
      </c>
      <c r="B4205" s="1" t="s">
        <v>2086</v>
      </c>
      <c r="C4205" t="s">
        <v>622</v>
      </c>
      <c r="D4205" s="23">
        <v>-4.6399999999999997</v>
      </c>
      <c r="E4205" t="s">
        <v>35</v>
      </c>
      <c r="F4205" s="2">
        <v>610148001</v>
      </c>
      <c r="G4205" s="2" t="s">
        <v>41</v>
      </c>
      <c r="I4205" s="95" t="s">
        <v>7231</v>
      </c>
      <c r="J4205" t="s">
        <v>42</v>
      </c>
      <c r="K4205" t="s">
        <v>41</v>
      </c>
      <c r="M4205">
        <v>92.83</v>
      </c>
      <c r="N4205" s="4">
        <f t="shared" si="65"/>
        <v>-4.998384143057201E-2</v>
      </c>
      <c r="O4205" t="s">
        <v>605</v>
      </c>
      <c r="Q4205" s="42" t="s">
        <v>2650</v>
      </c>
    </row>
    <row r="4206" spans="1:17" x14ac:dyDescent="0.25">
      <c r="A4206" s="22">
        <v>45786</v>
      </c>
      <c r="B4206" s="1" t="s">
        <v>2087</v>
      </c>
      <c r="C4206" t="s">
        <v>622</v>
      </c>
      <c r="D4206" s="23">
        <v>-4.6399999999999997</v>
      </c>
      <c r="E4206" t="s">
        <v>35</v>
      </c>
      <c r="F4206" s="2">
        <v>610148001</v>
      </c>
      <c r="G4206" s="2" t="s">
        <v>41</v>
      </c>
      <c r="I4206" s="95" t="s">
        <v>7231</v>
      </c>
      <c r="J4206" t="s">
        <v>42</v>
      </c>
      <c r="K4206" t="s">
        <v>41</v>
      </c>
      <c r="M4206">
        <v>92.83</v>
      </c>
      <c r="N4206" s="4">
        <f t="shared" si="65"/>
        <v>-4.998384143057201E-2</v>
      </c>
      <c r="O4206" t="s">
        <v>605</v>
      </c>
      <c r="Q4206" s="42" t="s">
        <v>2650</v>
      </c>
    </row>
    <row r="4207" spans="1:17" x14ac:dyDescent="0.25">
      <c r="A4207" s="22">
        <v>45786</v>
      </c>
      <c r="B4207" s="1" t="s">
        <v>2100</v>
      </c>
      <c r="C4207" t="s">
        <v>622</v>
      </c>
      <c r="D4207" s="23">
        <v>-4.6399999999999997</v>
      </c>
      <c r="E4207" t="s">
        <v>35</v>
      </c>
      <c r="F4207" s="2">
        <v>610148001</v>
      </c>
      <c r="G4207" s="2" t="s">
        <v>41</v>
      </c>
      <c r="I4207" s="95" t="s">
        <v>7231</v>
      </c>
      <c r="J4207" t="s">
        <v>42</v>
      </c>
      <c r="K4207" t="s">
        <v>41</v>
      </c>
      <c r="M4207">
        <v>92.83</v>
      </c>
      <c r="N4207" s="4">
        <f t="shared" si="65"/>
        <v>-4.998384143057201E-2</v>
      </c>
      <c r="O4207" t="s">
        <v>605</v>
      </c>
      <c r="Q4207" s="42" t="s">
        <v>2650</v>
      </c>
    </row>
    <row r="4208" spans="1:17" x14ac:dyDescent="0.25">
      <c r="A4208" s="22">
        <v>45786</v>
      </c>
      <c r="B4208" s="1" t="s">
        <v>2058</v>
      </c>
      <c r="C4208" t="s">
        <v>622</v>
      </c>
      <c r="D4208" s="23">
        <v>-4.6399999999999997</v>
      </c>
      <c r="E4208" t="s">
        <v>35</v>
      </c>
      <c r="F4208" s="2">
        <v>610148001</v>
      </c>
      <c r="G4208" s="2" t="s">
        <v>41</v>
      </c>
      <c r="I4208" s="95" t="s">
        <v>7231</v>
      </c>
      <c r="J4208" t="s">
        <v>42</v>
      </c>
      <c r="K4208" t="s">
        <v>41</v>
      </c>
      <c r="M4208">
        <v>92.83</v>
      </c>
      <c r="N4208" s="4">
        <f t="shared" si="65"/>
        <v>-4.998384143057201E-2</v>
      </c>
      <c r="O4208" t="s">
        <v>605</v>
      </c>
      <c r="Q4208" s="42" t="s">
        <v>2650</v>
      </c>
    </row>
    <row r="4209" spans="1:17" x14ac:dyDescent="0.25">
      <c r="A4209" s="22">
        <v>45786</v>
      </c>
      <c r="B4209" s="1" t="s">
        <v>2111</v>
      </c>
      <c r="C4209" t="s">
        <v>622</v>
      </c>
      <c r="D4209" s="23">
        <v>-32.49</v>
      </c>
      <c r="E4209" t="s">
        <v>35</v>
      </c>
      <c r="F4209" s="2">
        <v>610148001</v>
      </c>
      <c r="G4209" s="2" t="s">
        <v>41</v>
      </c>
      <c r="I4209" s="95" t="s">
        <v>7231</v>
      </c>
      <c r="J4209" t="s">
        <v>42</v>
      </c>
      <c r="K4209" t="s">
        <v>41</v>
      </c>
      <c r="M4209">
        <v>92.83</v>
      </c>
      <c r="N4209" s="4">
        <f t="shared" si="65"/>
        <v>-0.3499946138101907</v>
      </c>
      <c r="O4209" t="s">
        <v>605</v>
      </c>
      <c r="Q4209" s="42" t="s">
        <v>2650</v>
      </c>
    </row>
    <row r="4210" spans="1:17" x14ac:dyDescent="0.25">
      <c r="A4210" s="22">
        <v>45786</v>
      </c>
      <c r="B4210" s="1" t="s">
        <v>2101</v>
      </c>
      <c r="C4210" t="s">
        <v>622</v>
      </c>
      <c r="D4210" s="23">
        <v>-23.2</v>
      </c>
      <c r="E4210" t="s">
        <v>35</v>
      </c>
      <c r="F4210" s="2">
        <v>610148001</v>
      </c>
      <c r="G4210" s="2" t="s">
        <v>41</v>
      </c>
      <c r="I4210" s="95" t="s">
        <v>7231</v>
      </c>
      <c r="J4210" t="s">
        <v>42</v>
      </c>
      <c r="K4210" t="s">
        <v>41</v>
      </c>
      <c r="M4210">
        <v>92.83</v>
      </c>
      <c r="N4210" s="4">
        <f t="shared" si="65"/>
        <v>-0.24991920715286006</v>
      </c>
      <c r="O4210" t="s">
        <v>605</v>
      </c>
      <c r="Q4210" s="42" t="s">
        <v>2650</v>
      </c>
    </row>
    <row r="4211" spans="1:17" x14ac:dyDescent="0.25">
      <c r="A4211" s="22">
        <v>45786</v>
      </c>
      <c r="B4211" s="1" t="s">
        <v>2059</v>
      </c>
      <c r="C4211" t="s">
        <v>622</v>
      </c>
      <c r="D4211" s="23">
        <v>-46.41</v>
      </c>
      <c r="E4211" t="s">
        <v>35</v>
      </c>
      <c r="F4211" s="2">
        <v>610148001</v>
      </c>
      <c r="G4211" s="2" t="s">
        <v>41</v>
      </c>
      <c r="I4211" s="95" t="s">
        <v>7231</v>
      </c>
      <c r="J4211" t="s">
        <v>42</v>
      </c>
      <c r="K4211" t="s">
        <v>41</v>
      </c>
      <c r="M4211">
        <v>92.83</v>
      </c>
      <c r="N4211" s="4">
        <f t="shared" si="65"/>
        <v>-0.49994613810190669</v>
      </c>
      <c r="O4211" t="s">
        <v>605</v>
      </c>
      <c r="Q4211" s="42" t="s">
        <v>2650</v>
      </c>
    </row>
    <row r="4212" spans="1:17" x14ac:dyDescent="0.25">
      <c r="A4212" s="22">
        <v>45786</v>
      </c>
      <c r="B4212" s="1" t="s">
        <v>2088</v>
      </c>
      <c r="C4212" t="s">
        <v>622</v>
      </c>
      <c r="D4212" s="23">
        <v>-28.31</v>
      </c>
      <c r="E4212" t="s">
        <v>35</v>
      </c>
      <c r="F4212" s="2">
        <v>610148001</v>
      </c>
      <c r="G4212" s="2" t="s">
        <v>41</v>
      </c>
      <c r="I4212" s="95" t="s">
        <v>7231</v>
      </c>
      <c r="J4212" t="s">
        <v>42</v>
      </c>
      <c r="K4212" t="s">
        <v>41</v>
      </c>
      <c r="M4212">
        <v>92.83</v>
      </c>
      <c r="N4212" s="4">
        <f t="shared" si="65"/>
        <v>-0.3049660670042012</v>
      </c>
      <c r="O4212" t="s">
        <v>605</v>
      </c>
      <c r="Q4212" s="42" t="s">
        <v>2650</v>
      </c>
    </row>
    <row r="4213" spans="1:17" x14ac:dyDescent="0.25">
      <c r="A4213" s="22">
        <v>45786</v>
      </c>
      <c r="B4213" s="1" t="s">
        <v>2071</v>
      </c>
      <c r="C4213" t="s">
        <v>622</v>
      </c>
      <c r="D4213" s="23">
        <v>-6.96</v>
      </c>
      <c r="E4213" t="s">
        <v>35</v>
      </c>
      <c r="F4213" s="2">
        <v>610148001</v>
      </c>
      <c r="G4213" s="2" t="s">
        <v>41</v>
      </c>
      <c r="I4213" s="95" t="s">
        <v>7231</v>
      </c>
      <c r="J4213" t="s">
        <v>42</v>
      </c>
      <c r="K4213" t="s">
        <v>41</v>
      </c>
      <c r="M4213">
        <v>92.83</v>
      </c>
      <c r="N4213" s="4">
        <f t="shared" si="65"/>
        <v>-7.4975762145858021E-2</v>
      </c>
      <c r="O4213" t="s">
        <v>605</v>
      </c>
      <c r="Q4213" s="42" t="s">
        <v>2650</v>
      </c>
    </row>
    <row r="4214" spans="1:17" x14ac:dyDescent="0.25">
      <c r="A4214" s="22">
        <v>45786</v>
      </c>
      <c r="B4214" s="1" t="s">
        <v>2060</v>
      </c>
      <c r="C4214" t="s">
        <v>622</v>
      </c>
      <c r="D4214" s="23">
        <v>-9.2799999999999994</v>
      </c>
      <c r="E4214" t="s">
        <v>35</v>
      </c>
      <c r="F4214" s="2">
        <v>610148001</v>
      </c>
      <c r="G4214" s="2" t="s">
        <v>41</v>
      </c>
      <c r="I4214" s="95" t="s">
        <v>7231</v>
      </c>
      <c r="J4214" t="s">
        <v>42</v>
      </c>
      <c r="K4214" t="s">
        <v>41</v>
      </c>
      <c r="M4214">
        <v>92.83</v>
      </c>
      <c r="N4214" s="4">
        <f t="shared" si="65"/>
        <v>-9.9967682861144019E-2</v>
      </c>
      <c r="O4214" t="s">
        <v>605</v>
      </c>
      <c r="Q4214" s="42" t="s">
        <v>2650</v>
      </c>
    </row>
    <row r="4215" spans="1:17" x14ac:dyDescent="0.25">
      <c r="A4215" s="22">
        <v>45789</v>
      </c>
      <c r="B4215" s="1" t="s">
        <v>3235</v>
      </c>
      <c r="C4215" t="s">
        <v>293</v>
      </c>
      <c r="D4215" s="23">
        <v>920000</v>
      </c>
      <c r="E4215" t="s">
        <v>45</v>
      </c>
      <c r="F4215" s="2">
        <v>210115002</v>
      </c>
      <c r="G4215" s="2" t="s">
        <v>46</v>
      </c>
      <c r="I4215" s="95" t="s">
        <v>7231</v>
      </c>
      <c r="K4215" t="s">
        <v>293</v>
      </c>
      <c r="M4215">
        <v>93.05</v>
      </c>
      <c r="N4215" s="4">
        <f t="shared" si="65"/>
        <v>9887.1574422353569</v>
      </c>
      <c r="O4215" t="s">
        <v>605</v>
      </c>
    </row>
    <row r="4216" spans="1:17" x14ac:dyDescent="0.25">
      <c r="A4216" s="22">
        <v>45789</v>
      </c>
      <c r="B4216" s="1" t="s">
        <v>1268</v>
      </c>
      <c r="C4216" t="s">
        <v>1278</v>
      </c>
      <c r="D4216" s="23">
        <v>-74670</v>
      </c>
      <c r="E4216" t="s">
        <v>35</v>
      </c>
      <c r="F4216" s="2">
        <v>110114001</v>
      </c>
      <c r="G4216" s="2" t="s">
        <v>181</v>
      </c>
      <c r="I4216" s="95" t="s">
        <v>7231</v>
      </c>
      <c r="J4216" t="s">
        <v>37</v>
      </c>
      <c r="K4216" t="s">
        <v>38</v>
      </c>
      <c r="M4216">
        <v>93.05</v>
      </c>
      <c r="N4216" s="4">
        <f t="shared" si="65"/>
        <v>-802.47178936055889</v>
      </c>
      <c r="O4216" t="s">
        <v>605</v>
      </c>
      <c r="P4216" s="34" t="s">
        <v>1279</v>
      </c>
    </row>
    <row r="4217" spans="1:17" x14ac:dyDescent="0.25">
      <c r="A4217" s="22">
        <v>45789</v>
      </c>
      <c r="B4217" s="1" t="s">
        <v>1892</v>
      </c>
      <c r="C4217" t="s">
        <v>3236</v>
      </c>
      <c r="D4217" s="23">
        <v>-14030.43</v>
      </c>
      <c r="E4217" t="s">
        <v>35</v>
      </c>
      <c r="F4217" s="2">
        <v>210101001</v>
      </c>
      <c r="G4217" s="2" t="s">
        <v>36</v>
      </c>
      <c r="I4217" s="95" t="s">
        <v>7231</v>
      </c>
      <c r="J4217" t="s">
        <v>414</v>
      </c>
      <c r="K4217" t="s">
        <v>415</v>
      </c>
      <c r="M4217">
        <v>93.05</v>
      </c>
      <c r="N4217" s="4">
        <f t="shared" si="65"/>
        <v>-150.78377216550243</v>
      </c>
      <c r="O4217" t="s">
        <v>605</v>
      </c>
    </row>
    <row r="4218" spans="1:17" x14ac:dyDescent="0.25">
      <c r="A4218" s="22">
        <v>45789</v>
      </c>
      <c r="B4218" s="1" t="s">
        <v>1267</v>
      </c>
      <c r="C4218" t="s">
        <v>3237</v>
      </c>
      <c r="D4218" s="23">
        <v>-24561.03</v>
      </c>
      <c r="E4218" t="s">
        <v>35</v>
      </c>
      <c r="F4218" s="2">
        <v>210101001</v>
      </c>
      <c r="G4218" s="2" t="s">
        <v>36</v>
      </c>
      <c r="I4218" s="95" t="s">
        <v>7231</v>
      </c>
      <c r="J4218" t="s">
        <v>502</v>
      </c>
      <c r="K4218" t="s">
        <v>503</v>
      </c>
      <c r="M4218">
        <v>93.05</v>
      </c>
      <c r="N4218" s="4">
        <f t="shared" si="65"/>
        <v>-263.95518538420203</v>
      </c>
      <c r="O4218" t="s">
        <v>605</v>
      </c>
    </row>
    <row r="4219" spans="1:17" x14ac:dyDescent="0.25">
      <c r="A4219" s="22">
        <v>45789</v>
      </c>
      <c r="B4219" s="1" t="s">
        <v>617</v>
      </c>
      <c r="C4219" t="s">
        <v>1278</v>
      </c>
      <c r="D4219" s="23">
        <v>-200000</v>
      </c>
      <c r="E4219" t="s">
        <v>35</v>
      </c>
      <c r="F4219" s="2">
        <v>110114001</v>
      </c>
      <c r="G4219" s="2" t="s">
        <v>181</v>
      </c>
      <c r="I4219" s="95" t="s">
        <v>7231</v>
      </c>
      <c r="J4219" t="s">
        <v>37</v>
      </c>
      <c r="K4219" t="s">
        <v>38</v>
      </c>
      <c r="M4219">
        <v>93.05</v>
      </c>
      <c r="N4219" s="4">
        <f t="shared" si="65"/>
        <v>-2149.3820526598602</v>
      </c>
      <c r="O4219" t="s">
        <v>605</v>
      </c>
      <c r="P4219" s="34" t="s">
        <v>1279</v>
      </c>
    </row>
    <row r="4220" spans="1:17" x14ac:dyDescent="0.25">
      <c r="A4220" s="33">
        <v>45789</v>
      </c>
      <c r="B4220" s="27" t="s">
        <v>1896</v>
      </c>
      <c r="C4220" s="28" t="s">
        <v>3238</v>
      </c>
      <c r="D4220" s="29">
        <v>-5583</v>
      </c>
      <c r="E4220" s="28" t="s">
        <v>35</v>
      </c>
      <c r="F4220" s="30">
        <v>610122005</v>
      </c>
      <c r="G4220" s="30" t="s">
        <v>401</v>
      </c>
      <c r="H4220" s="30"/>
      <c r="I4220" s="95" t="s">
        <v>7231</v>
      </c>
      <c r="J4220" s="28" t="s">
        <v>608</v>
      </c>
      <c r="K4220" s="28" t="s">
        <v>609</v>
      </c>
      <c r="L4220" s="28" t="s">
        <v>56</v>
      </c>
      <c r="M4220" s="28">
        <v>93.05</v>
      </c>
      <c r="N4220" s="4">
        <f t="shared" si="65"/>
        <v>-60</v>
      </c>
      <c r="O4220" t="s">
        <v>605</v>
      </c>
      <c r="P4220" s="3"/>
      <c r="Q4220" s="71" t="s">
        <v>3239</v>
      </c>
    </row>
    <row r="4221" spans="1:17" x14ac:dyDescent="0.25">
      <c r="A4221" s="22">
        <v>45789</v>
      </c>
      <c r="B4221" s="1" t="s">
        <v>619</v>
      </c>
      <c r="C4221" t="s">
        <v>1278</v>
      </c>
      <c r="D4221" s="23">
        <v>-200000</v>
      </c>
      <c r="E4221" t="s">
        <v>35</v>
      </c>
      <c r="F4221" s="2">
        <v>110114001</v>
      </c>
      <c r="G4221" s="2" t="s">
        <v>181</v>
      </c>
      <c r="I4221" s="95" t="s">
        <v>7231</v>
      </c>
      <c r="J4221" t="s">
        <v>37</v>
      </c>
      <c r="K4221" t="s">
        <v>38</v>
      </c>
      <c r="M4221">
        <v>93.05</v>
      </c>
      <c r="N4221" s="4">
        <f t="shared" si="65"/>
        <v>-2149.3820526598602</v>
      </c>
      <c r="O4221" t="s">
        <v>605</v>
      </c>
      <c r="P4221" s="34" t="s">
        <v>1279</v>
      </c>
    </row>
    <row r="4222" spans="1:17" x14ac:dyDescent="0.25">
      <c r="A4222" s="22">
        <v>45789</v>
      </c>
      <c r="B4222" s="1" t="s">
        <v>615</v>
      </c>
      <c r="C4222" t="s">
        <v>1278</v>
      </c>
      <c r="D4222" s="23">
        <v>-200000</v>
      </c>
      <c r="E4222" t="s">
        <v>35</v>
      </c>
      <c r="F4222" s="2">
        <v>110114001</v>
      </c>
      <c r="G4222" s="2" t="s">
        <v>181</v>
      </c>
      <c r="I4222" s="95" t="s">
        <v>7231</v>
      </c>
      <c r="J4222" t="s">
        <v>37</v>
      </c>
      <c r="K4222" t="s">
        <v>38</v>
      </c>
      <c r="M4222">
        <v>93.05</v>
      </c>
      <c r="N4222" s="4">
        <f t="shared" si="65"/>
        <v>-2149.3820526598602</v>
      </c>
      <c r="O4222" t="s">
        <v>605</v>
      </c>
      <c r="P4222" s="34" t="s">
        <v>1279</v>
      </c>
    </row>
    <row r="4223" spans="1:17" x14ac:dyDescent="0.25">
      <c r="A4223" s="22">
        <v>45789</v>
      </c>
      <c r="B4223" s="1" t="s">
        <v>613</v>
      </c>
      <c r="C4223" t="s">
        <v>1278</v>
      </c>
      <c r="D4223" s="23">
        <v>-200000</v>
      </c>
      <c r="E4223" t="s">
        <v>35</v>
      </c>
      <c r="F4223" s="2">
        <v>110114001</v>
      </c>
      <c r="G4223" s="2" t="s">
        <v>181</v>
      </c>
      <c r="I4223" s="95" t="s">
        <v>7231</v>
      </c>
      <c r="J4223" t="s">
        <v>37</v>
      </c>
      <c r="K4223" t="s">
        <v>38</v>
      </c>
      <c r="M4223">
        <v>93.05</v>
      </c>
      <c r="N4223" s="4">
        <f t="shared" si="65"/>
        <v>-2149.3820526598602</v>
      </c>
      <c r="O4223" t="s">
        <v>605</v>
      </c>
      <c r="P4223" s="34" t="s">
        <v>1279</v>
      </c>
    </row>
    <row r="4224" spans="1:17" x14ac:dyDescent="0.25">
      <c r="A4224" s="22">
        <v>45789</v>
      </c>
      <c r="B4224" s="1" t="s">
        <v>624</v>
      </c>
      <c r="C4224" t="s">
        <v>622</v>
      </c>
      <c r="D4224" s="23">
        <v>-500</v>
      </c>
      <c r="E4224" t="s">
        <v>35</v>
      </c>
      <c r="F4224" s="2">
        <v>610148001</v>
      </c>
      <c r="G4224" s="2" t="s">
        <v>41</v>
      </c>
      <c r="I4224" s="95" t="s">
        <v>7231</v>
      </c>
      <c r="J4224" t="s">
        <v>42</v>
      </c>
      <c r="K4224" t="s">
        <v>41</v>
      </c>
      <c r="M4224">
        <v>93.05</v>
      </c>
      <c r="N4224" s="4">
        <f t="shared" si="65"/>
        <v>-5.3734551316496511</v>
      </c>
      <c r="O4224" t="s">
        <v>605</v>
      </c>
      <c r="Q4224" s="42" t="s">
        <v>2650</v>
      </c>
    </row>
    <row r="4225" spans="1:17" x14ac:dyDescent="0.25">
      <c r="A4225" s="22">
        <v>45789</v>
      </c>
      <c r="B4225" s="1" t="s">
        <v>1272</v>
      </c>
      <c r="C4225" t="s">
        <v>622</v>
      </c>
      <c r="D4225" s="23">
        <v>-61.4</v>
      </c>
      <c r="E4225" t="s">
        <v>35</v>
      </c>
      <c r="F4225" s="2">
        <v>610148001</v>
      </c>
      <c r="G4225" s="2" t="s">
        <v>41</v>
      </c>
      <c r="I4225" s="95" t="s">
        <v>7231</v>
      </c>
      <c r="J4225" t="s">
        <v>42</v>
      </c>
      <c r="K4225" t="s">
        <v>41</v>
      </c>
      <c r="M4225">
        <v>93.05</v>
      </c>
      <c r="N4225" s="4">
        <f t="shared" si="65"/>
        <v>-0.6598602901665771</v>
      </c>
      <c r="O4225" t="s">
        <v>605</v>
      </c>
      <c r="Q4225" s="42" t="s">
        <v>2650</v>
      </c>
    </row>
    <row r="4226" spans="1:17" x14ac:dyDescent="0.25">
      <c r="A4226" s="22">
        <v>45789</v>
      </c>
      <c r="B4226" s="1" t="s">
        <v>625</v>
      </c>
      <c r="C4226" t="s">
        <v>622</v>
      </c>
      <c r="D4226" s="23">
        <v>-500</v>
      </c>
      <c r="E4226" t="s">
        <v>35</v>
      </c>
      <c r="F4226" s="2">
        <v>610148001</v>
      </c>
      <c r="G4226" s="2" t="s">
        <v>41</v>
      </c>
      <c r="I4226" s="95" t="s">
        <v>7231</v>
      </c>
      <c r="J4226" t="s">
        <v>42</v>
      </c>
      <c r="K4226" t="s">
        <v>41</v>
      </c>
      <c r="M4226">
        <v>93.05</v>
      </c>
      <c r="N4226" s="4">
        <f t="shared" si="65"/>
        <v>-5.3734551316496511</v>
      </c>
      <c r="O4226" t="s">
        <v>605</v>
      </c>
      <c r="Q4226" s="42" t="s">
        <v>2650</v>
      </c>
    </row>
    <row r="4227" spans="1:17" x14ac:dyDescent="0.25">
      <c r="A4227" s="22">
        <v>45789</v>
      </c>
      <c r="B4227" s="1" t="s">
        <v>1917</v>
      </c>
      <c r="C4227" t="s">
        <v>622</v>
      </c>
      <c r="D4227" s="23">
        <v>-13.95</v>
      </c>
      <c r="E4227" t="s">
        <v>35</v>
      </c>
      <c r="F4227" s="2">
        <v>610148001</v>
      </c>
      <c r="G4227" s="2" t="s">
        <v>41</v>
      </c>
      <c r="I4227" s="95" t="s">
        <v>7231</v>
      </c>
      <c r="J4227" t="s">
        <v>42</v>
      </c>
      <c r="K4227" t="s">
        <v>41</v>
      </c>
      <c r="M4227">
        <v>93.05</v>
      </c>
      <c r="N4227" s="4">
        <f t="shared" si="65"/>
        <v>-0.14991939817302524</v>
      </c>
      <c r="O4227" t="s">
        <v>605</v>
      </c>
      <c r="Q4227" s="42" t="s">
        <v>2650</v>
      </c>
    </row>
    <row r="4228" spans="1:17" x14ac:dyDescent="0.25">
      <c r="A4228" s="22">
        <v>45789</v>
      </c>
      <c r="B4228" s="1" t="s">
        <v>621</v>
      </c>
      <c r="C4228" t="s">
        <v>622</v>
      </c>
      <c r="D4228" s="23">
        <v>-500</v>
      </c>
      <c r="E4228" t="s">
        <v>35</v>
      </c>
      <c r="F4228" s="2">
        <v>610148001</v>
      </c>
      <c r="G4228" s="2" t="s">
        <v>41</v>
      </c>
      <c r="I4228" s="95" t="s">
        <v>7231</v>
      </c>
      <c r="J4228" t="s">
        <v>42</v>
      </c>
      <c r="K4228" t="s">
        <v>41</v>
      </c>
      <c r="M4228">
        <v>93.05</v>
      </c>
      <c r="N4228" s="4">
        <f t="shared" si="65"/>
        <v>-5.3734551316496511</v>
      </c>
      <c r="O4228" t="s">
        <v>605</v>
      </c>
      <c r="Q4228" s="42" t="s">
        <v>2650</v>
      </c>
    </row>
    <row r="4229" spans="1:17" x14ac:dyDescent="0.25">
      <c r="A4229" s="22">
        <v>45789</v>
      </c>
      <c r="B4229" s="1" t="s">
        <v>623</v>
      </c>
      <c r="C4229" t="s">
        <v>622</v>
      </c>
      <c r="D4229" s="23">
        <v>-500</v>
      </c>
      <c r="E4229" t="s">
        <v>35</v>
      </c>
      <c r="F4229" s="2">
        <v>610148001</v>
      </c>
      <c r="G4229" s="2" t="s">
        <v>41</v>
      </c>
      <c r="I4229" s="95" t="s">
        <v>7231</v>
      </c>
      <c r="J4229" t="s">
        <v>42</v>
      </c>
      <c r="K4229" t="s">
        <v>41</v>
      </c>
      <c r="M4229">
        <v>93.05</v>
      </c>
      <c r="N4229" s="4">
        <f t="shared" si="65"/>
        <v>-5.3734551316496511</v>
      </c>
      <c r="O4229" t="s">
        <v>605</v>
      </c>
      <c r="Q4229" s="42" t="s">
        <v>2650</v>
      </c>
    </row>
    <row r="4230" spans="1:17" x14ac:dyDescent="0.25">
      <c r="A4230" s="22">
        <v>45789</v>
      </c>
      <c r="B4230" s="1" t="s">
        <v>1271</v>
      </c>
      <c r="C4230" t="s">
        <v>622</v>
      </c>
      <c r="D4230" s="23">
        <v>-186.67</v>
      </c>
      <c r="E4230" t="s">
        <v>35</v>
      </c>
      <c r="F4230" s="2">
        <v>610148001</v>
      </c>
      <c r="G4230" s="2" t="s">
        <v>41</v>
      </c>
      <c r="I4230" s="95" t="s">
        <v>7231</v>
      </c>
      <c r="J4230" t="s">
        <v>42</v>
      </c>
      <c r="K4230" t="s">
        <v>41</v>
      </c>
      <c r="M4230">
        <v>93.05</v>
      </c>
      <c r="N4230" s="4">
        <f t="shared" si="65"/>
        <v>-2.0061257388500806</v>
      </c>
      <c r="O4230" t="s">
        <v>605</v>
      </c>
      <c r="Q4230" s="42" t="s">
        <v>2650</v>
      </c>
    </row>
    <row r="4231" spans="1:17" x14ac:dyDescent="0.25">
      <c r="A4231" s="22">
        <v>45789</v>
      </c>
      <c r="B4231" s="1" t="s">
        <v>1915</v>
      </c>
      <c r="C4231" t="s">
        <v>622</v>
      </c>
      <c r="D4231" s="23">
        <v>-35.07</v>
      </c>
      <c r="E4231" t="s">
        <v>35</v>
      </c>
      <c r="F4231" s="2">
        <v>610148001</v>
      </c>
      <c r="G4231" s="2" t="s">
        <v>41</v>
      </c>
      <c r="I4231" s="95" t="s">
        <v>7231</v>
      </c>
      <c r="J4231" t="s">
        <v>42</v>
      </c>
      <c r="K4231" t="s">
        <v>41</v>
      </c>
      <c r="M4231">
        <v>93.05</v>
      </c>
      <c r="N4231" s="4">
        <f t="shared" si="65"/>
        <v>-0.3768941429339065</v>
      </c>
      <c r="O4231" t="s">
        <v>605</v>
      </c>
      <c r="Q4231" s="42" t="s">
        <v>2650</v>
      </c>
    </row>
    <row r="4232" spans="1:17" x14ac:dyDescent="0.25">
      <c r="A4232" s="22">
        <v>45790</v>
      </c>
      <c r="B4232" s="1" t="s">
        <v>3240</v>
      </c>
      <c r="C4232" t="s">
        <v>293</v>
      </c>
      <c r="D4232" s="23">
        <v>1285000</v>
      </c>
      <c r="E4232" t="s">
        <v>45</v>
      </c>
      <c r="F4232" s="2">
        <v>210115002</v>
      </c>
      <c r="G4232" s="2" t="s">
        <v>46</v>
      </c>
      <c r="I4232" s="95" t="s">
        <v>7231</v>
      </c>
      <c r="K4232" t="s">
        <v>293</v>
      </c>
      <c r="M4232">
        <v>93.06</v>
      </c>
      <c r="N4232" s="4">
        <f t="shared" si="65"/>
        <v>13808.29572318934</v>
      </c>
      <c r="O4232" t="s">
        <v>605</v>
      </c>
    </row>
    <row r="4233" spans="1:17" x14ac:dyDescent="0.25">
      <c r="A4233" s="22">
        <v>45790</v>
      </c>
      <c r="B4233" s="1" t="s">
        <v>1267</v>
      </c>
      <c r="C4233" t="s">
        <v>3241</v>
      </c>
      <c r="D4233" s="23">
        <v>-454359.86</v>
      </c>
      <c r="E4233" t="s">
        <v>35</v>
      </c>
      <c r="F4233" s="2">
        <v>210101001</v>
      </c>
      <c r="G4233" s="2" t="s">
        <v>36</v>
      </c>
      <c r="I4233" s="95" t="s">
        <v>7231</v>
      </c>
      <c r="J4233" t="s">
        <v>37</v>
      </c>
      <c r="K4233" t="s">
        <v>38</v>
      </c>
      <c r="M4233">
        <v>93.06</v>
      </c>
      <c r="N4233" s="4">
        <f t="shared" si="65"/>
        <v>-4882.4399312271653</v>
      </c>
      <c r="O4233" t="s">
        <v>605</v>
      </c>
    </row>
    <row r="4234" spans="1:17" x14ac:dyDescent="0.25">
      <c r="A4234" s="22">
        <v>45790</v>
      </c>
      <c r="B4234" s="1" t="s">
        <v>1896</v>
      </c>
      <c r="C4234" t="s">
        <v>3242</v>
      </c>
      <c r="D4234" s="23">
        <v>-11443.74</v>
      </c>
      <c r="E4234" t="s">
        <v>35</v>
      </c>
      <c r="F4234" s="2">
        <v>210101001</v>
      </c>
      <c r="G4234" s="2" t="s">
        <v>36</v>
      </c>
      <c r="I4234" s="95" t="s">
        <v>7231</v>
      </c>
      <c r="J4234" t="s">
        <v>380</v>
      </c>
      <c r="K4234" t="s">
        <v>381</v>
      </c>
      <c r="M4234">
        <v>93.06</v>
      </c>
      <c r="N4234" s="4">
        <f t="shared" si="65"/>
        <v>-122.97163120567376</v>
      </c>
      <c r="O4234" t="s">
        <v>605</v>
      </c>
    </row>
    <row r="4235" spans="1:17" x14ac:dyDescent="0.25">
      <c r="A4235" s="22">
        <v>45790</v>
      </c>
      <c r="B4235" s="1" t="s">
        <v>613</v>
      </c>
      <c r="C4235" t="s">
        <v>3243</v>
      </c>
      <c r="D4235" s="23">
        <v>-200000</v>
      </c>
      <c r="E4235" t="s">
        <v>35</v>
      </c>
      <c r="F4235" s="2">
        <v>210101001</v>
      </c>
      <c r="G4235" s="2" t="s">
        <v>36</v>
      </c>
      <c r="I4235" s="95" t="s">
        <v>7231</v>
      </c>
      <c r="J4235" t="s">
        <v>37</v>
      </c>
      <c r="K4235" t="s">
        <v>38</v>
      </c>
      <c r="M4235">
        <v>93.06</v>
      </c>
      <c r="N4235" s="4">
        <f t="shared" si="65"/>
        <v>-2149.1510853212981</v>
      </c>
      <c r="O4235" t="s">
        <v>605</v>
      </c>
    </row>
    <row r="4236" spans="1:17" x14ac:dyDescent="0.25">
      <c r="A4236" s="22">
        <v>45790</v>
      </c>
      <c r="B4236" s="1" t="s">
        <v>1268</v>
      </c>
      <c r="C4236" t="s">
        <v>3244</v>
      </c>
      <c r="D4236" s="23">
        <v>-172120.99</v>
      </c>
      <c r="E4236" t="s">
        <v>35</v>
      </c>
      <c r="F4236" s="2">
        <v>210101001</v>
      </c>
      <c r="G4236" s="2" t="s">
        <v>36</v>
      </c>
      <c r="I4236" s="95" t="s">
        <v>7231</v>
      </c>
      <c r="J4236" t="s">
        <v>182</v>
      </c>
      <c r="K4236" t="s">
        <v>183</v>
      </c>
      <c r="M4236">
        <v>93.06</v>
      </c>
      <c r="N4236" s="4">
        <f t="shared" ref="N4236:N4299" si="66">D4236/M4236</f>
        <v>-1849.5700623253813</v>
      </c>
      <c r="O4236" t="s">
        <v>605</v>
      </c>
    </row>
    <row r="4237" spans="1:17" x14ac:dyDescent="0.25">
      <c r="A4237" s="22">
        <v>45790</v>
      </c>
      <c r="B4237" s="1" t="s">
        <v>613</v>
      </c>
      <c r="C4237" t="s">
        <v>3243</v>
      </c>
      <c r="D4237" s="23">
        <v>-44144.78</v>
      </c>
      <c r="E4237" t="s">
        <v>35</v>
      </c>
      <c r="F4237" s="2">
        <v>210101001</v>
      </c>
      <c r="G4237" s="2" t="s">
        <v>36</v>
      </c>
      <c r="I4237" s="95" t="s">
        <v>7231</v>
      </c>
      <c r="J4237" t="s">
        <v>37</v>
      </c>
      <c r="K4237" t="s">
        <v>38</v>
      </c>
      <c r="M4237">
        <v>93.06</v>
      </c>
      <c r="N4237" s="4">
        <f t="shared" si="66"/>
        <v>-474.36900924134966</v>
      </c>
      <c r="O4237" t="s">
        <v>605</v>
      </c>
    </row>
    <row r="4238" spans="1:17" x14ac:dyDescent="0.25">
      <c r="A4238" s="22">
        <v>45790</v>
      </c>
      <c r="B4238" s="1" t="s">
        <v>613</v>
      </c>
      <c r="C4238" t="s">
        <v>3243</v>
      </c>
      <c r="D4238" s="23">
        <v>-200000</v>
      </c>
      <c r="E4238" t="s">
        <v>35</v>
      </c>
      <c r="F4238" s="2">
        <v>210101001</v>
      </c>
      <c r="G4238" s="2" t="s">
        <v>36</v>
      </c>
      <c r="I4238" s="95" t="s">
        <v>7231</v>
      </c>
      <c r="J4238" t="s">
        <v>37</v>
      </c>
      <c r="K4238" t="s">
        <v>38</v>
      </c>
      <c r="M4238">
        <v>93.06</v>
      </c>
      <c r="N4238" s="4">
        <f t="shared" si="66"/>
        <v>-2149.1510853212981</v>
      </c>
      <c r="O4238" t="s">
        <v>605</v>
      </c>
    </row>
    <row r="4239" spans="1:17" x14ac:dyDescent="0.25">
      <c r="A4239" s="22">
        <v>45790</v>
      </c>
      <c r="B4239" s="1" t="s">
        <v>613</v>
      </c>
      <c r="C4239" t="s">
        <v>3243</v>
      </c>
      <c r="D4239" s="23">
        <v>-200000</v>
      </c>
      <c r="E4239" t="s">
        <v>35</v>
      </c>
      <c r="F4239" s="2">
        <v>210101001</v>
      </c>
      <c r="G4239" s="2" t="s">
        <v>36</v>
      </c>
      <c r="I4239" s="95" t="s">
        <v>7231</v>
      </c>
      <c r="J4239" t="s">
        <v>37</v>
      </c>
      <c r="K4239" t="s">
        <v>38</v>
      </c>
      <c r="M4239">
        <v>93.06</v>
      </c>
      <c r="N4239" s="4">
        <f t="shared" si="66"/>
        <v>-2149.1510853212981</v>
      </c>
      <c r="O4239" t="s">
        <v>605</v>
      </c>
    </row>
    <row r="4240" spans="1:17" x14ac:dyDescent="0.25">
      <c r="A4240" s="22">
        <v>45790</v>
      </c>
      <c r="B4240" s="1" t="s">
        <v>1271</v>
      </c>
      <c r="C4240" t="s">
        <v>622</v>
      </c>
      <c r="D4240" s="23">
        <v>-430.3</v>
      </c>
      <c r="E4240" t="s">
        <v>35</v>
      </c>
      <c r="F4240" s="2">
        <v>610148001</v>
      </c>
      <c r="G4240" s="2" t="s">
        <v>41</v>
      </c>
      <c r="I4240" s="95" t="s">
        <v>7231</v>
      </c>
      <c r="J4240" t="s">
        <v>42</v>
      </c>
      <c r="K4240" t="s">
        <v>41</v>
      </c>
      <c r="M4240">
        <v>93.06</v>
      </c>
      <c r="N4240" s="4">
        <f t="shared" si="66"/>
        <v>-4.6238985600687732</v>
      </c>
      <c r="O4240" t="s">
        <v>605</v>
      </c>
      <c r="Q4240" s="42" t="s">
        <v>2650</v>
      </c>
    </row>
    <row r="4241" spans="1:17" x14ac:dyDescent="0.25">
      <c r="A4241" s="22">
        <v>45790</v>
      </c>
      <c r="B4241" s="1" t="s">
        <v>1272</v>
      </c>
      <c r="C4241" t="s">
        <v>622</v>
      </c>
      <c r="D4241" s="23">
        <v>-1135.8900000000001</v>
      </c>
      <c r="E4241" t="s">
        <v>35</v>
      </c>
      <c r="F4241" s="2">
        <v>610148001</v>
      </c>
      <c r="G4241" s="2" t="s">
        <v>41</v>
      </c>
      <c r="I4241" s="95" t="s">
        <v>7231</v>
      </c>
      <c r="J4241" t="s">
        <v>42</v>
      </c>
      <c r="K4241" t="s">
        <v>41</v>
      </c>
      <c r="M4241">
        <v>93.06</v>
      </c>
      <c r="N4241" s="4">
        <f t="shared" si="66"/>
        <v>-12.205996131528048</v>
      </c>
      <c r="O4241" t="s">
        <v>605</v>
      </c>
      <c r="Q4241" s="42" t="s">
        <v>2650</v>
      </c>
    </row>
    <row r="4242" spans="1:17" x14ac:dyDescent="0.25">
      <c r="A4242" s="22">
        <v>45790</v>
      </c>
      <c r="B4242" s="1" t="s">
        <v>623</v>
      </c>
      <c r="C4242" t="s">
        <v>622</v>
      </c>
      <c r="D4242" s="23">
        <v>-500</v>
      </c>
      <c r="E4242" t="s">
        <v>35</v>
      </c>
      <c r="F4242" s="2">
        <v>610148001</v>
      </c>
      <c r="G4242" s="2" t="s">
        <v>41</v>
      </c>
      <c r="I4242" s="95" t="s">
        <v>7231</v>
      </c>
      <c r="J4242" t="s">
        <v>42</v>
      </c>
      <c r="K4242" t="s">
        <v>41</v>
      </c>
      <c r="M4242">
        <v>93.06</v>
      </c>
      <c r="N4242" s="4">
        <f t="shared" si="66"/>
        <v>-5.3728777133032448</v>
      </c>
      <c r="O4242" t="s">
        <v>605</v>
      </c>
      <c r="Q4242" s="42" t="s">
        <v>2650</v>
      </c>
    </row>
    <row r="4243" spans="1:17" x14ac:dyDescent="0.25">
      <c r="A4243" s="22">
        <v>45790</v>
      </c>
      <c r="B4243" s="1" t="s">
        <v>623</v>
      </c>
      <c r="C4243" t="s">
        <v>622</v>
      </c>
      <c r="D4243" s="23">
        <v>-500</v>
      </c>
      <c r="E4243" t="s">
        <v>35</v>
      </c>
      <c r="F4243" s="2">
        <v>610148001</v>
      </c>
      <c r="G4243" s="2" t="s">
        <v>41</v>
      </c>
      <c r="I4243" s="95" t="s">
        <v>7231</v>
      </c>
      <c r="J4243" t="s">
        <v>42</v>
      </c>
      <c r="K4243" t="s">
        <v>41</v>
      </c>
      <c r="M4243">
        <v>93.06</v>
      </c>
      <c r="N4243" s="4">
        <f t="shared" si="66"/>
        <v>-5.3728777133032448</v>
      </c>
      <c r="O4243" t="s">
        <v>605</v>
      </c>
      <c r="Q4243" s="42" t="s">
        <v>2650</v>
      </c>
    </row>
    <row r="4244" spans="1:17" x14ac:dyDescent="0.25">
      <c r="A4244" s="22">
        <v>45790</v>
      </c>
      <c r="B4244" s="1" t="s">
        <v>623</v>
      </c>
      <c r="C4244" t="s">
        <v>622</v>
      </c>
      <c r="D4244" s="23">
        <v>-500</v>
      </c>
      <c r="E4244" t="s">
        <v>35</v>
      </c>
      <c r="F4244" s="2">
        <v>610148001</v>
      </c>
      <c r="G4244" s="2" t="s">
        <v>41</v>
      </c>
      <c r="I4244" s="95" t="s">
        <v>7231</v>
      </c>
      <c r="J4244" t="s">
        <v>42</v>
      </c>
      <c r="K4244" t="s">
        <v>41</v>
      </c>
      <c r="M4244">
        <v>93.06</v>
      </c>
      <c r="N4244" s="4">
        <f t="shared" si="66"/>
        <v>-5.3728777133032448</v>
      </c>
      <c r="O4244" t="s">
        <v>605</v>
      </c>
      <c r="Q4244" s="42" t="s">
        <v>2650</v>
      </c>
    </row>
    <row r="4245" spans="1:17" x14ac:dyDescent="0.25">
      <c r="A4245" s="22">
        <v>45790</v>
      </c>
      <c r="B4245" s="1" t="s">
        <v>1917</v>
      </c>
      <c r="C4245" t="s">
        <v>622</v>
      </c>
      <c r="D4245" s="23">
        <v>-28.6</v>
      </c>
      <c r="E4245" t="s">
        <v>35</v>
      </c>
      <c r="F4245" s="2">
        <v>610148001</v>
      </c>
      <c r="G4245" s="2" t="s">
        <v>41</v>
      </c>
      <c r="I4245" s="95" t="s">
        <v>7231</v>
      </c>
      <c r="J4245" t="s">
        <v>42</v>
      </c>
      <c r="K4245" t="s">
        <v>41</v>
      </c>
      <c r="M4245">
        <v>93.06</v>
      </c>
      <c r="N4245" s="4">
        <f t="shared" si="66"/>
        <v>-0.30732860520094563</v>
      </c>
      <c r="O4245" t="s">
        <v>605</v>
      </c>
      <c r="Q4245" s="42" t="s">
        <v>2650</v>
      </c>
    </row>
    <row r="4246" spans="1:17" x14ac:dyDescent="0.25">
      <c r="A4246" s="22">
        <v>45790</v>
      </c>
      <c r="B4246" s="1" t="s">
        <v>623</v>
      </c>
      <c r="C4246" t="s">
        <v>622</v>
      </c>
      <c r="D4246" s="23">
        <v>-110.36</v>
      </c>
      <c r="E4246" t="s">
        <v>35</v>
      </c>
      <c r="F4246" s="2">
        <v>610148001</v>
      </c>
      <c r="G4246" s="2" t="s">
        <v>41</v>
      </c>
      <c r="I4246" s="95" t="s">
        <v>7231</v>
      </c>
      <c r="J4246" t="s">
        <v>42</v>
      </c>
      <c r="K4246" t="s">
        <v>41</v>
      </c>
      <c r="M4246">
        <v>93.06</v>
      </c>
      <c r="N4246" s="4">
        <f t="shared" si="66"/>
        <v>-1.1859015688802923</v>
      </c>
      <c r="O4246" t="s">
        <v>605</v>
      </c>
      <c r="Q4246" s="42" t="s">
        <v>2650</v>
      </c>
    </row>
    <row r="4247" spans="1:17" x14ac:dyDescent="0.25">
      <c r="A4247" s="22">
        <v>45791</v>
      </c>
      <c r="B4247" s="1" t="s">
        <v>3245</v>
      </c>
      <c r="C4247" t="s">
        <v>293</v>
      </c>
      <c r="D4247" s="23">
        <v>320000</v>
      </c>
      <c r="E4247" t="s">
        <v>45</v>
      </c>
      <c r="F4247" s="2">
        <v>210115002</v>
      </c>
      <c r="G4247" s="2" t="s">
        <v>46</v>
      </c>
      <c r="I4247" s="95" t="s">
        <v>7231</v>
      </c>
      <c r="K4247" t="s">
        <v>293</v>
      </c>
      <c r="M4247">
        <v>93.58</v>
      </c>
      <c r="N4247" s="4">
        <f t="shared" si="66"/>
        <v>3419.5340884804446</v>
      </c>
      <c r="O4247" t="s">
        <v>605</v>
      </c>
    </row>
    <row r="4248" spans="1:17" x14ac:dyDescent="0.25">
      <c r="A4248" s="22">
        <v>45791</v>
      </c>
      <c r="B4248" s="1" t="s">
        <v>1268</v>
      </c>
      <c r="C4248" t="s">
        <v>3246</v>
      </c>
      <c r="D4248" s="23">
        <v>-96932.22</v>
      </c>
      <c r="E4248" t="s">
        <v>35</v>
      </c>
      <c r="F4248" s="2">
        <v>210101001</v>
      </c>
      <c r="G4248" s="2" t="s">
        <v>36</v>
      </c>
      <c r="I4248" s="95" t="s">
        <v>7231</v>
      </c>
      <c r="J4248" t="s">
        <v>37</v>
      </c>
      <c r="K4248" t="s">
        <v>38</v>
      </c>
      <c r="M4248">
        <v>93.58</v>
      </c>
      <c r="N4248" s="4">
        <f t="shared" si="66"/>
        <v>-1035.8219705065185</v>
      </c>
      <c r="O4248" t="s">
        <v>605</v>
      </c>
    </row>
    <row r="4249" spans="1:17" x14ac:dyDescent="0.25">
      <c r="A4249" s="22">
        <v>45791</v>
      </c>
      <c r="B4249" s="1" t="s">
        <v>619</v>
      </c>
      <c r="C4249" t="s">
        <v>3247</v>
      </c>
      <c r="D4249" s="23">
        <v>-44870.57</v>
      </c>
      <c r="E4249" t="s">
        <v>35</v>
      </c>
      <c r="F4249" s="2">
        <v>210101001</v>
      </c>
      <c r="G4249" s="2" t="s">
        <v>36</v>
      </c>
      <c r="I4249" s="95" t="s">
        <v>7231</v>
      </c>
      <c r="J4249" t="s">
        <v>283</v>
      </c>
      <c r="K4249" t="s">
        <v>1628</v>
      </c>
      <c r="M4249">
        <v>93.58</v>
      </c>
      <c r="N4249" s="4">
        <f t="shared" si="66"/>
        <v>-479.48888651421242</v>
      </c>
      <c r="O4249" t="s">
        <v>605</v>
      </c>
    </row>
    <row r="4250" spans="1:17" x14ac:dyDescent="0.25">
      <c r="A4250" s="22">
        <v>45791</v>
      </c>
      <c r="B4250" s="1" t="s">
        <v>617</v>
      </c>
      <c r="C4250" t="s">
        <v>3248</v>
      </c>
      <c r="D4250" s="23">
        <v>-60789.56</v>
      </c>
      <c r="E4250" t="s">
        <v>35</v>
      </c>
      <c r="F4250" s="2">
        <v>210101001</v>
      </c>
      <c r="G4250" s="2" t="s">
        <v>36</v>
      </c>
      <c r="I4250" s="95" t="s">
        <v>7231</v>
      </c>
      <c r="J4250" t="s">
        <v>414</v>
      </c>
      <c r="K4250" t="s">
        <v>415</v>
      </c>
      <c r="M4250">
        <v>93.58</v>
      </c>
      <c r="N4250" s="4">
        <f t="shared" si="66"/>
        <v>-649.59991451164774</v>
      </c>
      <c r="O4250" t="s">
        <v>605</v>
      </c>
    </row>
    <row r="4251" spans="1:17" x14ac:dyDescent="0.25">
      <c r="A4251" s="22">
        <v>45791</v>
      </c>
      <c r="B4251" s="1" t="s">
        <v>613</v>
      </c>
      <c r="C4251" t="s">
        <v>3249</v>
      </c>
      <c r="D4251" s="23">
        <v>-80654.73</v>
      </c>
      <c r="E4251" t="s">
        <v>35</v>
      </c>
      <c r="F4251" s="2">
        <v>210101001</v>
      </c>
      <c r="G4251" s="2" t="s">
        <v>36</v>
      </c>
      <c r="I4251" s="95" t="s">
        <v>7231</v>
      </c>
      <c r="J4251" t="s">
        <v>288</v>
      </c>
      <c r="K4251" t="s">
        <v>289</v>
      </c>
      <c r="M4251">
        <v>93.58</v>
      </c>
      <c r="N4251" s="4">
        <f t="shared" si="66"/>
        <v>-861.87999572558238</v>
      </c>
      <c r="O4251" t="s">
        <v>605</v>
      </c>
    </row>
    <row r="4252" spans="1:17" x14ac:dyDescent="0.25">
      <c r="A4252" s="22">
        <v>45791</v>
      </c>
      <c r="B4252" s="1" t="s">
        <v>615</v>
      </c>
      <c r="C4252" t="s">
        <v>3250</v>
      </c>
      <c r="D4252" s="23">
        <v>-35814.269999999997</v>
      </c>
      <c r="E4252" t="s">
        <v>35</v>
      </c>
      <c r="F4252" s="2">
        <v>210101001</v>
      </c>
      <c r="G4252" s="2" t="s">
        <v>36</v>
      </c>
      <c r="I4252" s="95" t="s">
        <v>7231</v>
      </c>
      <c r="J4252" t="s">
        <v>368</v>
      </c>
      <c r="K4252" t="s">
        <v>80</v>
      </c>
      <c r="M4252">
        <v>93.58</v>
      </c>
      <c r="N4252" s="4">
        <f t="shared" si="66"/>
        <v>-382.7128659970079</v>
      </c>
      <c r="O4252" t="s">
        <v>605</v>
      </c>
    </row>
    <row r="4253" spans="1:17" x14ac:dyDescent="0.25">
      <c r="A4253" s="22">
        <v>45791</v>
      </c>
      <c r="B4253" s="1" t="s">
        <v>621</v>
      </c>
      <c r="C4253" t="s">
        <v>622</v>
      </c>
      <c r="D4253" s="23">
        <v>-112.17</v>
      </c>
      <c r="E4253" t="s">
        <v>35</v>
      </c>
      <c r="F4253" s="2">
        <v>610148001</v>
      </c>
      <c r="G4253" s="2" t="s">
        <v>41</v>
      </c>
      <c r="I4253" s="95" t="s">
        <v>7231</v>
      </c>
      <c r="J4253" t="s">
        <v>42</v>
      </c>
      <c r="K4253" t="s">
        <v>41</v>
      </c>
      <c r="M4253">
        <v>93.58</v>
      </c>
      <c r="N4253" s="4">
        <f t="shared" si="66"/>
        <v>-1.198653558452661</v>
      </c>
      <c r="O4253" t="s">
        <v>605</v>
      </c>
      <c r="Q4253" s="42" t="s">
        <v>2650</v>
      </c>
    </row>
    <row r="4254" spans="1:17" x14ac:dyDescent="0.25">
      <c r="A4254" s="22">
        <v>45791</v>
      </c>
      <c r="B4254" s="1" t="s">
        <v>624</v>
      </c>
      <c r="C4254" t="s">
        <v>622</v>
      </c>
      <c r="D4254" s="23">
        <v>-151.97</v>
      </c>
      <c r="E4254" t="s">
        <v>35</v>
      </c>
      <c r="F4254" s="2">
        <v>610148001</v>
      </c>
      <c r="G4254" s="2" t="s">
        <v>41</v>
      </c>
      <c r="I4254" s="95" t="s">
        <v>7231</v>
      </c>
      <c r="J4254" t="s">
        <v>42</v>
      </c>
      <c r="K4254" t="s">
        <v>41</v>
      </c>
      <c r="M4254">
        <v>93.58</v>
      </c>
      <c r="N4254" s="4">
        <f t="shared" si="66"/>
        <v>-1.6239581107074161</v>
      </c>
      <c r="O4254" t="s">
        <v>605</v>
      </c>
      <c r="Q4254" s="42" t="s">
        <v>2650</v>
      </c>
    </row>
    <row r="4255" spans="1:17" x14ac:dyDescent="0.25">
      <c r="A4255" s="22">
        <v>45791</v>
      </c>
      <c r="B4255" s="1" t="s">
        <v>623</v>
      </c>
      <c r="C4255" t="s">
        <v>622</v>
      </c>
      <c r="D4255" s="23">
        <v>-201.63</v>
      </c>
      <c r="E4255" t="s">
        <v>35</v>
      </c>
      <c r="F4255" s="2">
        <v>610148001</v>
      </c>
      <c r="G4255" s="2" t="s">
        <v>41</v>
      </c>
      <c r="I4255" s="95" t="s">
        <v>7231</v>
      </c>
      <c r="J4255" t="s">
        <v>42</v>
      </c>
      <c r="K4255" t="s">
        <v>41</v>
      </c>
      <c r="M4255">
        <v>93.58</v>
      </c>
      <c r="N4255" s="4">
        <f t="shared" si="66"/>
        <v>-2.1546270570634749</v>
      </c>
      <c r="O4255" t="s">
        <v>605</v>
      </c>
      <c r="Q4255" s="42" t="s">
        <v>2650</v>
      </c>
    </row>
    <row r="4256" spans="1:17" x14ac:dyDescent="0.25">
      <c r="A4256" s="22">
        <v>45791</v>
      </c>
      <c r="B4256" s="1" t="s">
        <v>1271</v>
      </c>
      <c r="C4256" t="s">
        <v>622</v>
      </c>
      <c r="D4256" s="23">
        <v>-242.33</v>
      </c>
      <c r="E4256" t="s">
        <v>35</v>
      </c>
      <c r="F4256" s="2">
        <v>610148001</v>
      </c>
      <c r="G4256" s="2" t="s">
        <v>41</v>
      </c>
      <c r="I4256" s="95" t="s">
        <v>7231</v>
      </c>
      <c r="J4256" t="s">
        <v>42</v>
      </c>
      <c r="K4256" t="s">
        <v>41</v>
      </c>
      <c r="M4256">
        <v>93.58</v>
      </c>
      <c r="N4256" s="4">
        <f t="shared" si="66"/>
        <v>-2.5895490489420818</v>
      </c>
      <c r="O4256" t="s">
        <v>605</v>
      </c>
      <c r="Q4256" s="42" t="s">
        <v>2650</v>
      </c>
    </row>
    <row r="4257" spans="1:17" x14ac:dyDescent="0.25">
      <c r="A4257" s="22">
        <v>45791</v>
      </c>
      <c r="B4257" s="1" t="s">
        <v>625</v>
      </c>
      <c r="C4257" t="s">
        <v>622</v>
      </c>
      <c r="D4257" s="23">
        <v>-89.53</v>
      </c>
      <c r="E4257" t="s">
        <v>35</v>
      </c>
      <c r="F4257" s="2">
        <v>610148001</v>
      </c>
      <c r="G4257" s="2" t="s">
        <v>41</v>
      </c>
      <c r="I4257" s="95" t="s">
        <v>7231</v>
      </c>
      <c r="J4257" t="s">
        <v>42</v>
      </c>
      <c r="K4257" t="s">
        <v>41</v>
      </c>
      <c r="M4257">
        <v>93.58</v>
      </c>
      <c r="N4257" s="4">
        <f t="shared" si="66"/>
        <v>-0.95672152169266944</v>
      </c>
      <c r="O4257" t="s">
        <v>605</v>
      </c>
      <c r="Q4257" s="42" t="s">
        <v>2650</v>
      </c>
    </row>
    <row r="4258" spans="1:17" x14ac:dyDescent="0.25">
      <c r="A4258" s="22">
        <v>45792</v>
      </c>
      <c r="B4258" s="1" t="s">
        <v>3251</v>
      </c>
      <c r="C4258" t="s">
        <v>3252</v>
      </c>
      <c r="D4258" s="23">
        <v>250000</v>
      </c>
      <c r="E4258" t="s">
        <v>45</v>
      </c>
      <c r="F4258" s="2">
        <v>210115002</v>
      </c>
      <c r="G4258" s="2" t="s">
        <v>46</v>
      </c>
      <c r="I4258" s="95" t="s">
        <v>7231</v>
      </c>
      <c r="K4258" t="s">
        <v>293</v>
      </c>
      <c r="M4258">
        <v>94.16</v>
      </c>
      <c r="N4258" s="4">
        <f t="shared" si="66"/>
        <v>2655.0552251486833</v>
      </c>
      <c r="O4258" t="s">
        <v>605</v>
      </c>
    </row>
    <row r="4259" spans="1:17" x14ac:dyDescent="0.25">
      <c r="A4259" s="22">
        <v>45792</v>
      </c>
      <c r="B4259" s="1" t="s">
        <v>617</v>
      </c>
      <c r="C4259" t="s">
        <v>3253</v>
      </c>
      <c r="D4259" s="23">
        <v>-200000</v>
      </c>
      <c r="E4259" t="s">
        <v>35</v>
      </c>
      <c r="F4259" s="2">
        <v>210101001</v>
      </c>
      <c r="G4259" s="2" t="s">
        <v>36</v>
      </c>
      <c r="I4259" s="95" t="s">
        <v>7231</v>
      </c>
      <c r="J4259" t="s">
        <v>3254</v>
      </c>
      <c r="K4259" t="s">
        <v>3255</v>
      </c>
      <c r="M4259">
        <v>94.16</v>
      </c>
      <c r="N4259" s="4">
        <f t="shared" si="66"/>
        <v>-2124.0441801189468</v>
      </c>
      <c r="O4259" t="s">
        <v>605</v>
      </c>
    </row>
    <row r="4260" spans="1:17" x14ac:dyDescent="0.25">
      <c r="A4260" s="22">
        <v>45792</v>
      </c>
      <c r="B4260" s="1" t="s">
        <v>615</v>
      </c>
      <c r="C4260" t="s">
        <v>3253</v>
      </c>
      <c r="D4260" s="23">
        <v>-45554.21</v>
      </c>
      <c r="E4260" t="s">
        <v>35</v>
      </c>
      <c r="F4260" s="2">
        <v>210101001</v>
      </c>
      <c r="G4260" s="2" t="s">
        <v>36</v>
      </c>
      <c r="I4260" s="95" t="s">
        <v>7231</v>
      </c>
      <c r="J4260" t="s">
        <v>3254</v>
      </c>
      <c r="K4260" t="s">
        <v>3255</v>
      </c>
      <c r="M4260">
        <v>94.16</v>
      </c>
      <c r="N4260" s="4">
        <f t="shared" si="66"/>
        <v>-483.79577315208155</v>
      </c>
      <c r="O4260" t="s">
        <v>605</v>
      </c>
    </row>
    <row r="4261" spans="1:17" x14ac:dyDescent="0.25">
      <c r="A4261" s="22">
        <v>45792</v>
      </c>
      <c r="B4261" s="1" t="s">
        <v>613</v>
      </c>
      <c r="C4261" t="s">
        <v>3256</v>
      </c>
      <c r="D4261" s="23">
        <v>-1305.19</v>
      </c>
      <c r="E4261" t="s">
        <v>35</v>
      </c>
      <c r="F4261" s="2">
        <v>210101001</v>
      </c>
      <c r="G4261" s="2" t="s">
        <v>36</v>
      </c>
      <c r="I4261" s="95" t="s">
        <v>7231</v>
      </c>
      <c r="J4261" t="s">
        <v>182</v>
      </c>
      <c r="K4261" t="s">
        <v>183</v>
      </c>
      <c r="M4261">
        <v>94.16</v>
      </c>
      <c r="N4261" s="4">
        <f t="shared" si="66"/>
        <v>-13.86140611724724</v>
      </c>
      <c r="O4261" t="s">
        <v>605</v>
      </c>
    </row>
    <row r="4262" spans="1:17" x14ac:dyDescent="0.25">
      <c r="A4262" s="22">
        <v>45792</v>
      </c>
      <c r="B4262" s="1" t="s">
        <v>623</v>
      </c>
      <c r="C4262" t="s">
        <v>622</v>
      </c>
      <c r="D4262" s="23">
        <v>-3.26</v>
      </c>
      <c r="E4262" t="s">
        <v>35</v>
      </c>
      <c r="F4262" s="2">
        <v>610148001</v>
      </c>
      <c r="G4262" s="2" t="s">
        <v>41</v>
      </c>
      <c r="I4262" s="95" t="s">
        <v>7231</v>
      </c>
      <c r="J4262" t="s">
        <v>42</v>
      </c>
      <c r="K4262" t="s">
        <v>41</v>
      </c>
      <c r="M4262">
        <v>94.16</v>
      </c>
      <c r="N4262" s="4">
        <f t="shared" si="66"/>
        <v>-3.4621920135938823E-2</v>
      </c>
      <c r="O4262" t="s">
        <v>605</v>
      </c>
      <c r="Q4262" s="42" t="s">
        <v>2650</v>
      </c>
    </row>
    <row r="4263" spans="1:17" x14ac:dyDescent="0.25">
      <c r="A4263" s="22">
        <v>45792</v>
      </c>
      <c r="B4263" s="1" t="s">
        <v>624</v>
      </c>
      <c r="C4263" t="s">
        <v>622</v>
      </c>
      <c r="D4263" s="23">
        <v>-500</v>
      </c>
      <c r="E4263" t="s">
        <v>35</v>
      </c>
      <c r="F4263" s="2">
        <v>610148001</v>
      </c>
      <c r="G4263" s="2" t="s">
        <v>41</v>
      </c>
      <c r="I4263" s="95" t="s">
        <v>7231</v>
      </c>
      <c r="J4263" t="s">
        <v>42</v>
      </c>
      <c r="K4263" t="s">
        <v>41</v>
      </c>
      <c r="M4263">
        <v>94.16</v>
      </c>
      <c r="N4263" s="4">
        <f t="shared" si="66"/>
        <v>-5.3101104502973664</v>
      </c>
      <c r="O4263" t="s">
        <v>605</v>
      </c>
      <c r="Q4263" s="42" t="s">
        <v>2650</v>
      </c>
    </row>
    <row r="4264" spans="1:17" x14ac:dyDescent="0.25">
      <c r="A4264" s="22">
        <v>45792</v>
      </c>
      <c r="B4264" s="1" t="s">
        <v>625</v>
      </c>
      <c r="C4264" t="s">
        <v>622</v>
      </c>
      <c r="D4264" s="23">
        <v>-113.88</v>
      </c>
      <c r="E4264" t="s">
        <v>35</v>
      </c>
      <c r="F4264" s="2">
        <v>610148001</v>
      </c>
      <c r="G4264" s="2" t="s">
        <v>41</v>
      </c>
      <c r="I4264" s="95" t="s">
        <v>7231</v>
      </c>
      <c r="J4264" t="s">
        <v>42</v>
      </c>
      <c r="K4264" t="s">
        <v>41</v>
      </c>
      <c r="M4264">
        <v>94.16</v>
      </c>
      <c r="N4264" s="4">
        <f t="shared" si="66"/>
        <v>-1.2094307561597282</v>
      </c>
      <c r="O4264" t="s">
        <v>605</v>
      </c>
      <c r="Q4264" s="42" t="s">
        <v>2650</v>
      </c>
    </row>
    <row r="4265" spans="1:17" x14ac:dyDescent="0.25">
      <c r="A4265" s="22">
        <v>45793</v>
      </c>
      <c r="B4265" s="1" t="s">
        <v>3257</v>
      </c>
      <c r="C4265" t="s">
        <v>293</v>
      </c>
      <c r="D4265" s="23">
        <v>850000</v>
      </c>
      <c r="E4265" t="s">
        <v>45</v>
      </c>
      <c r="F4265" s="2">
        <v>210115002</v>
      </c>
      <c r="G4265" s="2" t="s">
        <v>46</v>
      </c>
      <c r="I4265" s="95" t="s">
        <v>7231</v>
      </c>
      <c r="K4265" t="s">
        <v>293</v>
      </c>
      <c r="M4265">
        <v>94.32</v>
      </c>
      <c r="N4265" s="4">
        <f t="shared" si="66"/>
        <v>9011.8744698897372</v>
      </c>
      <c r="O4265" t="s">
        <v>605</v>
      </c>
    </row>
    <row r="4266" spans="1:17" x14ac:dyDescent="0.25">
      <c r="A4266" s="22">
        <v>45793</v>
      </c>
      <c r="B4266" s="1" t="s">
        <v>3258</v>
      </c>
      <c r="C4266" t="s">
        <v>293</v>
      </c>
      <c r="D4266" s="23">
        <v>100000</v>
      </c>
      <c r="E4266" t="s">
        <v>45</v>
      </c>
      <c r="F4266" s="2">
        <v>210115002</v>
      </c>
      <c r="G4266" s="2" t="s">
        <v>46</v>
      </c>
      <c r="I4266" s="95" t="s">
        <v>7231</v>
      </c>
      <c r="K4266" t="s">
        <v>293</v>
      </c>
      <c r="M4266">
        <v>94.32</v>
      </c>
      <c r="N4266" s="4">
        <f t="shared" si="66"/>
        <v>1060.2205258693809</v>
      </c>
      <c r="O4266" t="s">
        <v>605</v>
      </c>
    </row>
    <row r="4267" spans="1:17" x14ac:dyDescent="0.25">
      <c r="A4267" s="33">
        <v>45793</v>
      </c>
      <c r="B4267" s="27" t="s">
        <v>617</v>
      </c>
      <c r="C4267" s="28" t="s">
        <v>3259</v>
      </c>
      <c r="D4267" s="29">
        <v>-3772.8</v>
      </c>
      <c r="E4267" s="28" t="s">
        <v>35</v>
      </c>
      <c r="F4267" s="30">
        <v>610156001</v>
      </c>
      <c r="G4267" s="30" t="s">
        <v>72</v>
      </c>
      <c r="H4267" s="30"/>
      <c r="I4267" s="95" t="s">
        <v>7231</v>
      </c>
      <c r="J4267" s="28" t="s">
        <v>73</v>
      </c>
      <c r="K4267" s="28" t="s">
        <v>74</v>
      </c>
      <c r="L4267" s="28" t="s">
        <v>56</v>
      </c>
      <c r="M4267" s="28">
        <v>94.32</v>
      </c>
      <c r="N4267" s="4">
        <f t="shared" si="66"/>
        <v>-40.000000000000007</v>
      </c>
      <c r="O4267" t="s">
        <v>605</v>
      </c>
      <c r="Q4267" s="24" t="s">
        <v>3260</v>
      </c>
    </row>
    <row r="4268" spans="1:17" x14ac:dyDescent="0.25">
      <c r="A4268" s="22">
        <v>45793</v>
      </c>
      <c r="B4268" s="1" t="s">
        <v>1892</v>
      </c>
      <c r="C4268" t="s">
        <v>3261</v>
      </c>
      <c r="D4268" s="23">
        <v>-1886.4</v>
      </c>
      <c r="E4268" t="s">
        <v>35</v>
      </c>
      <c r="F4268" s="2">
        <v>212901001</v>
      </c>
      <c r="G4268" s="2" t="s">
        <v>91</v>
      </c>
      <c r="I4268" s="95" t="s">
        <v>7231</v>
      </c>
      <c r="J4268" t="s">
        <v>61</v>
      </c>
      <c r="K4268" t="s">
        <v>62</v>
      </c>
      <c r="M4268">
        <v>94.32</v>
      </c>
      <c r="N4268" s="4">
        <f t="shared" si="66"/>
        <v>-20.000000000000004</v>
      </c>
      <c r="O4268" t="s">
        <v>605</v>
      </c>
    </row>
    <row r="4269" spans="1:17" x14ac:dyDescent="0.25">
      <c r="A4269" s="22">
        <v>45793</v>
      </c>
      <c r="B4269" s="1" t="s">
        <v>1936</v>
      </c>
      <c r="C4269" t="s">
        <v>3262</v>
      </c>
      <c r="D4269" s="23">
        <v>-178777.78</v>
      </c>
      <c r="E4269" t="s">
        <v>35</v>
      </c>
      <c r="F4269" s="2">
        <v>210101001</v>
      </c>
      <c r="G4269" s="2" t="s">
        <v>36</v>
      </c>
      <c r="I4269" s="95" t="s">
        <v>7231</v>
      </c>
      <c r="J4269" t="s">
        <v>182</v>
      </c>
      <c r="K4269" t="s">
        <v>183</v>
      </c>
      <c r="M4269">
        <v>94.32</v>
      </c>
      <c r="N4269" s="4">
        <f t="shared" si="66"/>
        <v>-1895.4387192536049</v>
      </c>
      <c r="O4269" t="s">
        <v>605</v>
      </c>
    </row>
    <row r="4270" spans="1:17" x14ac:dyDescent="0.25">
      <c r="A4270" s="22">
        <v>45793</v>
      </c>
      <c r="B4270" s="1" t="s">
        <v>1267</v>
      </c>
      <c r="C4270" t="s">
        <v>3263</v>
      </c>
      <c r="D4270" s="23">
        <v>-1886.4</v>
      </c>
      <c r="E4270" t="s">
        <v>35</v>
      </c>
      <c r="F4270" s="2">
        <v>212901001</v>
      </c>
      <c r="G4270" s="2" t="s">
        <v>91</v>
      </c>
      <c r="I4270" s="95" t="s">
        <v>7231</v>
      </c>
      <c r="J4270" t="s">
        <v>61</v>
      </c>
      <c r="K4270" t="s">
        <v>62</v>
      </c>
      <c r="M4270">
        <v>94.32</v>
      </c>
      <c r="N4270" s="4">
        <f t="shared" si="66"/>
        <v>-20.000000000000004</v>
      </c>
      <c r="O4270" t="s">
        <v>605</v>
      </c>
    </row>
    <row r="4271" spans="1:17" x14ac:dyDescent="0.25">
      <c r="A4271" s="22">
        <v>45793</v>
      </c>
      <c r="B4271" s="1" t="s">
        <v>1898</v>
      </c>
      <c r="C4271" t="s">
        <v>3264</v>
      </c>
      <c r="D4271" s="23">
        <v>-1886.4</v>
      </c>
      <c r="E4271" t="s">
        <v>35</v>
      </c>
      <c r="F4271" s="2">
        <v>212901001</v>
      </c>
      <c r="G4271" s="2" t="s">
        <v>91</v>
      </c>
      <c r="I4271" s="95" t="s">
        <v>7231</v>
      </c>
      <c r="J4271" t="s">
        <v>61</v>
      </c>
      <c r="K4271" t="s">
        <v>62</v>
      </c>
      <c r="M4271">
        <v>94.32</v>
      </c>
      <c r="N4271" s="4">
        <f t="shared" si="66"/>
        <v>-20.000000000000004</v>
      </c>
      <c r="O4271" t="s">
        <v>605</v>
      </c>
    </row>
    <row r="4272" spans="1:17" x14ac:dyDescent="0.25">
      <c r="A4272" s="22">
        <v>45793</v>
      </c>
      <c r="B4272" s="1" t="s">
        <v>1894</v>
      </c>
      <c r="C4272" t="s">
        <v>3265</v>
      </c>
      <c r="D4272" s="23">
        <v>-3772.8</v>
      </c>
      <c r="E4272" t="s">
        <v>35</v>
      </c>
      <c r="F4272" s="2">
        <v>212901001</v>
      </c>
      <c r="G4272" s="2" t="s">
        <v>91</v>
      </c>
      <c r="I4272" s="95" t="s">
        <v>7231</v>
      </c>
      <c r="J4272" t="s">
        <v>61</v>
      </c>
      <c r="K4272" t="s">
        <v>62</v>
      </c>
      <c r="M4272">
        <v>94.32</v>
      </c>
      <c r="N4272" s="4">
        <f t="shared" si="66"/>
        <v>-40.000000000000007</v>
      </c>
      <c r="O4272" t="s">
        <v>605</v>
      </c>
    </row>
    <row r="4273" spans="1:17" x14ac:dyDescent="0.25">
      <c r="A4273" s="33">
        <v>45793</v>
      </c>
      <c r="B4273" s="27" t="s">
        <v>613</v>
      </c>
      <c r="C4273" s="28" t="s">
        <v>52</v>
      </c>
      <c r="D4273" s="29">
        <v>-11318.4</v>
      </c>
      <c r="E4273" s="28" t="s">
        <v>35</v>
      </c>
      <c r="F4273" s="30">
        <v>610129001</v>
      </c>
      <c r="G4273" s="30" t="s">
        <v>53</v>
      </c>
      <c r="H4273" s="30"/>
      <c r="I4273" s="95" t="s">
        <v>7231</v>
      </c>
      <c r="J4273" s="28" t="s">
        <v>54</v>
      </c>
      <c r="K4273" s="28" t="s">
        <v>55</v>
      </c>
      <c r="L4273" s="28" t="s">
        <v>56</v>
      </c>
      <c r="M4273" s="28">
        <v>94.32</v>
      </c>
      <c r="N4273" s="4">
        <f t="shared" si="66"/>
        <v>-120</v>
      </c>
      <c r="O4273" t="s">
        <v>605</v>
      </c>
      <c r="Q4273" s="24" t="s">
        <v>3266</v>
      </c>
    </row>
    <row r="4274" spans="1:17" x14ac:dyDescent="0.25">
      <c r="A4274" s="22">
        <v>45793</v>
      </c>
      <c r="B4274" s="1" t="s">
        <v>1909</v>
      </c>
      <c r="C4274" t="s">
        <v>3267</v>
      </c>
      <c r="D4274" s="23">
        <v>-1886.4</v>
      </c>
      <c r="E4274" t="s">
        <v>35</v>
      </c>
      <c r="F4274" s="2">
        <v>212901001</v>
      </c>
      <c r="G4274" s="2" t="s">
        <v>91</v>
      </c>
      <c r="I4274" s="95" t="s">
        <v>7231</v>
      </c>
      <c r="J4274" t="s">
        <v>61</v>
      </c>
      <c r="K4274" t="s">
        <v>62</v>
      </c>
      <c r="M4274">
        <v>94.32</v>
      </c>
      <c r="N4274" s="4">
        <f t="shared" si="66"/>
        <v>-20.000000000000004</v>
      </c>
      <c r="O4274" t="s">
        <v>605</v>
      </c>
    </row>
    <row r="4275" spans="1:17" x14ac:dyDescent="0.25">
      <c r="A4275" s="22">
        <v>45793</v>
      </c>
      <c r="B4275" s="1" t="s">
        <v>1886</v>
      </c>
      <c r="C4275" t="s">
        <v>3268</v>
      </c>
      <c r="D4275" s="23">
        <v>-18319.8</v>
      </c>
      <c r="E4275" t="s">
        <v>35</v>
      </c>
      <c r="F4275" s="2">
        <v>210101001</v>
      </c>
      <c r="G4275" s="2" t="s">
        <v>36</v>
      </c>
      <c r="I4275" s="95" t="s">
        <v>7231</v>
      </c>
      <c r="J4275" t="s">
        <v>86</v>
      </c>
      <c r="K4275" t="s">
        <v>87</v>
      </c>
      <c r="M4275">
        <v>94.32</v>
      </c>
      <c r="N4275" s="4">
        <f t="shared" si="66"/>
        <v>-194.23027989821884</v>
      </c>
      <c r="O4275" t="s">
        <v>605</v>
      </c>
    </row>
    <row r="4276" spans="1:17" x14ac:dyDescent="0.25">
      <c r="A4276" s="22">
        <v>45793</v>
      </c>
      <c r="B4276" s="1" t="s">
        <v>2006</v>
      </c>
      <c r="C4276" t="s">
        <v>3269</v>
      </c>
      <c r="D4276" s="23">
        <v>-200000</v>
      </c>
      <c r="E4276" t="s">
        <v>35</v>
      </c>
      <c r="F4276" s="2">
        <v>110114001</v>
      </c>
      <c r="G4276" s="2" t="s">
        <v>181</v>
      </c>
      <c r="I4276" s="95" t="s">
        <v>7231</v>
      </c>
      <c r="J4276" s="72" t="s">
        <v>37</v>
      </c>
      <c r="K4276" s="72" t="s">
        <v>38</v>
      </c>
      <c r="L4276" s="72"/>
      <c r="M4276">
        <v>94.32</v>
      </c>
      <c r="N4276" s="4">
        <f t="shared" si="66"/>
        <v>-2120.4410517387619</v>
      </c>
      <c r="O4276" t="s">
        <v>605</v>
      </c>
      <c r="P4276" s="34" t="s">
        <v>2492</v>
      </c>
    </row>
    <row r="4277" spans="1:17" x14ac:dyDescent="0.25">
      <c r="A4277" s="22">
        <v>45793</v>
      </c>
      <c r="B4277" s="1" t="s">
        <v>615</v>
      </c>
      <c r="C4277" t="s">
        <v>3270</v>
      </c>
      <c r="D4277" s="23">
        <v>-5281.92</v>
      </c>
      <c r="E4277" t="s">
        <v>35</v>
      </c>
      <c r="F4277" s="2">
        <v>212901001</v>
      </c>
      <c r="G4277" s="2" t="s">
        <v>91</v>
      </c>
      <c r="I4277" s="95" t="s">
        <v>7231</v>
      </c>
      <c r="J4277" t="s">
        <v>61</v>
      </c>
      <c r="K4277" t="s">
        <v>62</v>
      </c>
      <c r="M4277">
        <v>94.32</v>
      </c>
      <c r="N4277" s="4">
        <f t="shared" si="66"/>
        <v>-56.000000000000007</v>
      </c>
      <c r="O4277" t="s">
        <v>605</v>
      </c>
    </row>
    <row r="4278" spans="1:17" x14ac:dyDescent="0.25">
      <c r="A4278" s="22">
        <v>45793</v>
      </c>
      <c r="B4278" s="1" t="s">
        <v>1981</v>
      </c>
      <c r="C4278" t="s">
        <v>3269</v>
      </c>
      <c r="D4278" s="23">
        <v>-200000</v>
      </c>
      <c r="E4278" t="s">
        <v>35</v>
      </c>
      <c r="F4278" s="2">
        <v>110114001</v>
      </c>
      <c r="G4278" s="2" t="s">
        <v>181</v>
      </c>
      <c r="I4278" s="95" t="s">
        <v>7231</v>
      </c>
      <c r="J4278" s="72" t="s">
        <v>37</v>
      </c>
      <c r="K4278" s="72" t="s">
        <v>38</v>
      </c>
      <c r="L4278" s="72"/>
      <c r="M4278">
        <v>94.32</v>
      </c>
      <c r="N4278" s="4">
        <f t="shared" si="66"/>
        <v>-2120.4410517387619</v>
      </c>
      <c r="O4278" t="s">
        <v>605</v>
      </c>
      <c r="P4278" s="34" t="s">
        <v>2492</v>
      </c>
    </row>
    <row r="4279" spans="1:17" x14ac:dyDescent="0.25">
      <c r="A4279" s="22">
        <v>45793</v>
      </c>
      <c r="B4279" s="1" t="s">
        <v>1900</v>
      </c>
      <c r="C4279" t="s">
        <v>3271</v>
      </c>
      <c r="D4279" s="23">
        <v>-8686.2000000000007</v>
      </c>
      <c r="E4279" t="s">
        <v>35</v>
      </c>
      <c r="F4279" s="2">
        <v>210101001</v>
      </c>
      <c r="G4279" s="2" t="s">
        <v>36</v>
      </c>
      <c r="I4279" s="95" t="s">
        <v>7231</v>
      </c>
      <c r="J4279" t="s">
        <v>86</v>
      </c>
      <c r="K4279" t="s">
        <v>87</v>
      </c>
      <c r="M4279">
        <v>94.32</v>
      </c>
      <c r="N4279" s="4">
        <f t="shared" si="66"/>
        <v>-92.092875318066177</v>
      </c>
      <c r="O4279" t="s">
        <v>605</v>
      </c>
    </row>
    <row r="4280" spans="1:17" x14ac:dyDescent="0.25">
      <c r="A4280" s="22">
        <v>45793</v>
      </c>
      <c r="B4280" s="1" t="s">
        <v>619</v>
      </c>
      <c r="C4280" t="s">
        <v>3272</v>
      </c>
      <c r="D4280" s="23">
        <v>-6602.4</v>
      </c>
      <c r="E4280" t="s">
        <v>35</v>
      </c>
      <c r="F4280" s="2">
        <v>212901001</v>
      </c>
      <c r="G4280" s="2" t="s">
        <v>91</v>
      </c>
      <c r="I4280" s="95" t="s">
        <v>7231</v>
      </c>
      <c r="J4280" t="s">
        <v>61</v>
      </c>
      <c r="K4280" t="s">
        <v>62</v>
      </c>
      <c r="M4280">
        <v>94.32</v>
      </c>
      <c r="N4280" s="4">
        <f t="shared" si="66"/>
        <v>-70</v>
      </c>
      <c r="O4280" t="s">
        <v>605</v>
      </c>
    </row>
    <row r="4281" spans="1:17" x14ac:dyDescent="0.25">
      <c r="A4281" s="22">
        <v>45793</v>
      </c>
      <c r="B4281" s="1" t="s">
        <v>2028</v>
      </c>
      <c r="C4281" t="s">
        <v>3273</v>
      </c>
      <c r="D4281" s="23">
        <v>-157989.76999999999</v>
      </c>
      <c r="E4281" t="s">
        <v>35</v>
      </c>
      <c r="F4281" s="2">
        <v>210101001</v>
      </c>
      <c r="G4281" s="2" t="s">
        <v>36</v>
      </c>
      <c r="I4281" s="95" t="s">
        <v>7231</v>
      </c>
      <c r="J4281" t="s">
        <v>3274</v>
      </c>
      <c r="K4281" t="s">
        <v>3275</v>
      </c>
      <c r="M4281">
        <v>94.32</v>
      </c>
      <c r="N4281" s="4">
        <f t="shared" si="66"/>
        <v>-1675.0399703138253</v>
      </c>
      <c r="O4281" t="s">
        <v>605</v>
      </c>
    </row>
    <row r="4282" spans="1:17" x14ac:dyDescent="0.25">
      <c r="A4282" s="22">
        <v>45793</v>
      </c>
      <c r="B4282" s="1" t="s">
        <v>1994</v>
      </c>
      <c r="C4282" t="s">
        <v>3276</v>
      </c>
      <c r="D4282" s="23">
        <v>-4486.08</v>
      </c>
      <c r="E4282" t="s">
        <v>35</v>
      </c>
      <c r="F4282" s="2">
        <v>210101001</v>
      </c>
      <c r="G4282" s="2" t="s">
        <v>36</v>
      </c>
      <c r="I4282" s="95" t="s">
        <v>7231</v>
      </c>
      <c r="J4282" t="s">
        <v>182</v>
      </c>
      <c r="K4282" t="s">
        <v>183</v>
      </c>
      <c r="M4282">
        <v>94.32</v>
      </c>
      <c r="N4282" s="4">
        <f t="shared" si="66"/>
        <v>-47.56234096692112</v>
      </c>
      <c r="O4282" t="s">
        <v>605</v>
      </c>
    </row>
    <row r="4283" spans="1:17" x14ac:dyDescent="0.25">
      <c r="A4283" s="22">
        <v>45793</v>
      </c>
      <c r="B4283" s="1" t="s">
        <v>1888</v>
      </c>
      <c r="C4283" t="s">
        <v>3269</v>
      </c>
      <c r="D4283" s="23">
        <v>-133926.66</v>
      </c>
      <c r="E4283" t="s">
        <v>35</v>
      </c>
      <c r="F4283" s="2">
        <v>110114001</v>
      </c>
      <c r="G4283" s="2" t="s">
        <v>181</v>
      </c>
      <c r="I4283" s="95" t="s">
        <v>7231</v>
      </c>
      <c r="J4283" s="72" t="s">
        <v>37</v>
      </c>
      <c r="K4283" s="72" t="s">
        <v>38</v>
      </c>
      <c r="L4283" s="72"/>
      <c r="M4283">
        <v>94.32</v>
      </c>
      <c r="N4283" s="4">
        <f t="shared" si="66"/>
        <v>-1419.9179389312978</v>
      </c>
      <c r="O4283" t="s">
        <v>605</v>
      </c>
      <c r="P4283" s="34" t="s">
        <v>2492</v>
      </c>
    </row>
    <row r="4284" spans="1:17" x14ac:dyDescent="0.25">
      <c r="A4284" s="22">
        <v>45793</v>
      </c>
      <c r="B4284" s="1" t="s">
        <v>1896</v>
      </c>
      <c r="C4284" t="s">
        <v>3277</v>
      </c>
      <c r="D4284" s="23">
        <v>-1886.4</v>
      </c>
      <c r="E4284" t="s">
        <v>35</v>
      </c>
      <c r="F4284" s="2">
        <v>212901001</v>
      </c>
      <c r="G4284" s="2" t="s">
        <v>91</v>
      </c>
      <c r="I4284" s="95" t="s">
        <v>7231</v>
      </c>
      <c r="J4284" t="s">
        <v>61</v>
      </c>
      <c r="K4284" t="s">
        <v>62</v>
      </c>
      <c r="M4284">
        <v>94.32</v>
      </c>
      <c r="N4284" s="4">
        <f t="shared" si="66"/>
        <v>-20.000000000000004</v>
      </c>
      <c r="O4284" t="s">
        <v>605</v>
      </c>
    </row>
    <row r="4285" spans="1:17" x14ac:dyDescent="0.25">
      <c r="A4285" s="22">
        <v>45793</v>
      </c>
      <c r="B4285" s="1" t="s">
        <v>1268</v>
      </c>
      <c r="C4285" t="s">
        <v>3278</v>
      </c>
      <c r="D4285" s="23">
        <v>-943.2</v>
      </c>
      <c r="E4285" t="s">
        <v>35</v>
      </c>
      <c r="F4285" s="2">
        <v>212901001</v>
      </c>
      <c r="G4285" s="2" t="s">
        <v>91</v>
      </c>
      <c r="I4285" s="95" t="s">
        <v>7231</v>
      </c>
      <c r="J4285" t="s">
        <v>61</v>
      </c>
      <c r="K4285" t="s">
        <v>62</v>
      </c>
      <c r="M4285">
        <v>94.32</v>
      </c>
      <c r="N4285" s="4">
        <f t="shared" si="66"/>
        <v>-10.000000000000002</v>
      </c>
      <c r="O4285" t="s">
        <v>605</v>
      </c>
    </row>
    <row r="4286" spans="1:17" x14ac:dyDescent="0.25">
      <c r="A4286" s="22">
        <v>45793</v>
      </c>
      <c r="B4286" s="1" t="s">
        <v>1938</v>
      </c>
      <c r="C4286" t="s">
        <v>3279</v>
      </c>
      <c r="D4286" s="23">
        <v>-2803.26</v>
      </c>
      <c r="E4286" t="s">
        <v>35</v>
      </c>
      <c r="F4286" s="2">
        <v>210101001</v>
      </c>
      <c r="G4286" s="2" t="s">
        <v>36</v>
      </c>
      <c r="I4286" s="95" t="s">
        <v>7231</v>
      </c>
      <c r="J4286" t="s">
        <v>3280</v>
      </c>
      <c r="K4286" t="s">
        <v>3281</v>
      </c>
      <c r="M4286">
        <v>94.32</v>
      </c>
      <c r="N4286" s="4">
        <f t="shared" si="66"/>
        <v>-29.720737913486008</v>
      </c>
      <c r="O4286" t="s">
        <v>605</v>
      </c>
    </row>
    <row r="4287" spans="1:17" x14ac:dyDescent="0.25">
      <c r="A4287" s="33">
        <v>45793</v>
      </c>
      <c r="B4287" s="27" t="s">
        <v>1904</v>
      </c>
      <c r="C4287" s="28" t="s">
        <v>3282</v>
      </c>
      <c r="D4287" s="29">
        <v>-4810.32</v>
      </c>
      <c r="E4287" s="28" t="s">
        <v>35</v>
      </c>
      <c r="F4287" s="30">
        <v>610156001</v>
      </c>
      <c r="G4287" s="30" t="s">
        <v>72</v>
      </c>
      <c r="H4287" s="30"/>
      <c r="I4287" s="95" t="s">
        <v>7231</v>
      </c>
      <c r="J4287" s="28" t="s">
        <v>631</v>
      </c>
      <c r="K4287" s="28" t="s">
        <v>632</v>
      </c>
      <c r="L4287" s="28" t="s">
        <v>56</v>
      </c>
      <c r="M4287" s="28">
        <v>94.32</v>
      </c>
      <c r="N4287" s="4">
        <f t="shared" si="66"/>
        <v>-51</v>
      </c>
      <c r="O4287" t="s">
        <v>605</v>
      </c>
      <c r="Q4287" s="24" t="s">
        <v>3283</v>
      </c>
    </row>
    <row r="4288" spans="1:17" x14ac:dyDescent="0.25">
      <c r="A4288" s="22">
        <v>45793</v>
      </c>
      <c r="B4288" s="1" t="s">
        <v>1907</v>
      </c>
      <c r="C4288" t="s">
        <v>3284</v>
      </c>
      <c r="D4288" s="23">
        <v>-3452.4</v>
      </c>
      <c r="E4288" t="s">
        <v>35</v>
      </c>
      <c r="F4288" s="2">
        <v>110101002</v>
      </c>
      <c r="G4288" s="2" t="s">
        <v>2771</v>
      </c>
      <c r="I4288" s="95" t="s">
        <v>7231</v>
      </c>
      <c r="K4288" t="s">
        <v>3285</v>
      </c>
      <c r="M4288">
        <v>94.32</v>
      </c>
      <c r="N4288" s="4">
        <f t="shared" si="66"/>
        <v>-36.603053435114511</v>
      </c>
      <c r="O4288" t="s">
        <v>605</v>
      </c>
    </row>
    <row r="4289" spans="1:17" x14ac:dyDescent="0.25">
      <c r="A4289" s="22">
        <v>45793</v>
      </c>
      <c r="B4289" s="1" t="s">
        <v>1919</v>
      </c>
      <c r="C4289" t="s">
        <v>622</v>
      </c>
      <c r="D4289" s="23">
        <v>-12.02</v>
      </c>
      <c r="E4289" t="s">
        <v>35</v>
      </c>
      <c r="F4289" s="2">
        <v>610148001</v>
      </c>
      <c r="G4289" s="2" t="s">
        <v>41</v>
      </c>
      <c r="I4289" s="95" t="s">
        <v>7231</v>
      </c>
      <c r="J4289" t="s">
        <v>42</v>
      </c>
      <c r="K4289" t="s">
        <v>41</v>
      </c>
      <c r="M4289">
        <v>94.32</v>
      </c>
      <c r="N4289" s="4">
        <f t="shared" si="66"/>
        <v>-0.12743850720949959</v>
      </c>
      <c r="O4289" t="s">
        <v>605</v>
      </c>
      <c r="Q4289" s="42" t="s">
        <v>2650</v>
      </c>
    </row>
    <row r="4290" spans="1:17" x14ac:dyDescent="0.25">
      <c r="A4290" s="22">
        <v>45793</v>
      </c>
      <c r="B4290" s="1" t="s">
        <v>623</v>
      </c>
      <c r="C4290" t="s">
        <v>622</v>
      </c>
      <c r="D4290" s="23">
        <v>-28.29</v>
      </c>
      <c r="E4290" t="s">
        <v>35</v>
      </c>
      <c r="F4290" s="2">
        <v>610148001</v>
      </c>
      <c r="G4290" s="2" t="s">
        <v>41</v>
      </c>
      <c r="I4290" s="95" t="s">
        <v>7231</v>
      </c>
      <c r="J4290" t="s">
        <v>42</v>
      </c>
      <c r="K4290" t="s">
        <v>41</v>
      </c>
      <c r="M4290">
        <v>94.32</v>
      </c>
      <c r="N4290" s="4">
        <f t="shared" si="66"/>
        <v>-0.29993638676844786</v>
      </c>
      <c r="O4290" t="s">
        <v>605</v>
      </c>
      <c r="Q4290" s="42" t="s">
        <v>2650</v>
      </c>
    </row>
    <row r="4291" spans="1:17" x14ac:dyDescent="0.25">
      <c r="A4291" s="22">
        <v>45793</v>
      </c>
      <c r="B4291" s="1" t="s">
        <v>625</v>
      </c>
      <c r="C4291" t="s">
        <v>622</v>
      </c>
      <c r="D4291" s="23">
        <v>-13.2</v>
      </c>
      <c r="E4291" t="s">
        <v>35</v>
      </c>
      <c r="F4291" s="2">
        <v>610148001</v>
      </c>
      <c r="G4291" s="2" t="s">
        <v>41</v>
      </c>
      <c r="I4291" s="95" t="s">
        <v>7231</v>
      </c>
      <c r="J4291" t="s">
        <v>42</v>
      </c>
      <c r="K4291" t="s">
        <v>41</v>
      </c>
      <c r="M4291">
        <v>94.32</v>
      </c>
      <c r="N4291" s="4">
        <f t="shared" si="66"/>
        <v>-0.13994910941475827</v>
      </c>
      <c r="O4291" t="s">
        <v>605</v>
      </c>
      <c r="Q4291" s="42" t="s">
        <v>2650</v>
      </c>
    </row>
    <row r="4292" spans="1:17" x14ac:dyDescent="0.25">
      <c r="A4292" s="22">
        <v>45793</v>
      </c>
      <c r="B4292" s="1" t="s">
        <v>1918</v>
      </c>
      <c r="C4292" t="s">
        <v>622</v>
      </c>
      <c r="D4292" s="23">
        <v>-21.71</v>
      </c>
      <c r="E4292" t="s">
        <v>35</v>
      </c>
      <c r="F4292" s="2">
        <v>610148001</v>
      </c>
      <c r="G4292" s="2" t="s">
        <v>41</v>
      </c>
      <c r="I4292" s="95" t="s">
        <v>7231</v>
      </c>
      <c r="J4292" t="s">
        <v>42</v>
      </c>
      <c r="K4292" t="s">
        <v>41</v>
      </c>
      <c r="M4292">
        <v>94.32</v>
      </c>
      <c r="N4292" s="4">
        <f t="shared" si="66"/>
        <v>-0.2301738761662426</v>
      </c>
      <c r="O4292" t="s">
        <v>605</v>
      </c>
      <c r="Q4292" s="42" t="s">
        <v>2650</v>
      </c>
    </row>
    <row r="4293" spans="1:17" x14ac:dyDescent="0.25">
      <c r="A4293" s="22">
        <v>45793</v>
      </c>
      <c r="B4293" s="1" t="s">
        <v>624</v>
      </c>
      <c r="C4293" t="s">
        <v>622</v>
      </c>
      <c r="D4293" s="23">
        <v>-9.43</v>
      </c>
      <c r="E4293" t="s">
        <v>35</v>
      </c>
      <c r="F4293" s="2">
        <v>610148001</v>
      </c>
      <c r="G4293" s="2" t="s">
        <v>41</v>
      </c>
      <c r="I4293" s="95" t="s">
        <v>7231</v>
      </c>
      <c r="J4293" t="s">
        <v>42</v>
      </c>
      <c r="K4293" t="s">
        <v>41</v>
      </c>
      <c r="M4293">
        <v>94.32</v>
      </c>
      <c r="N4293" s="4">
        <f t="shared" si="66"/>
        <v>-9.9978795589482611E-2</v>
      </c>
      <c r="O4293" t="s">
        <v>605</v>
      </c>
      <c r="Q4293" s="42" t="s">
        <v>2650</v>
      </c>
    </row>
    <row r="4294" spans="1:17" x14ac:dyDescent="0.25">
      <c r="A4294" s="22">
        <v>45793</v>
      </c>
      <c r="B4294" s="1" t="s">
        <v>1915</v>
      </c>
      <c r="C4294" t="s">
        <v>622</v>
      </c>
      <c r="D4294" s="23">
        <v>-4.71</v>
      </c>
      <c r="E4294" t="s">
        <v>35</v>
      </c>
      <c r="F4294" s="2">
        <v>610148001</v>
      </c>
      <c r="G4294" s="2" t="s">
        <v>41</v>
      </c>
      <c r="I4294" s="95" t="s">
        <v>7231</v>
      </c>
      <c r="J4294" t="s">
        <v>42</v>
      </c>
      <c r="K4294" t="s">
        <v>41</v>
      </c>
      <c r="M4294">
        <v>94.32</v>
      </c>
      <c r="N4294" s="4">
        <f t="shared" si="66"/>
        <v>-4.9936386768447839E-2</v>
      </c>
      <c r="O4294" t="s">
        <v>605</v>
      </c>
      <c r="Q4294" s="42" t="s">
        <v>2650</v>
      </c>
    </row>
    <row r="4295" spans="1:17" x14ac:dyDescent="0.25">
      <c r="A4295" s="22">
        <v>45793</v>
      </c>
      <c r="B4295" s="1" t="s">
        <v>2102</v>
      </c>
      <c r="C4295" t="s">
        <v>622</v>
      </c>
      <c r="D4295" s="23">
        <v>-394.97</v>
      </c>
      <c r="E4295" t="s">
        <v>35</v>
      </c>
      <c r="F4295" s="2">
        <v>610148001</v>
      </c>
      <c r="G4295" s="2" t="s">
        <v>41</v>
      </c>
      <c r="I4295" s="95" t="s">
        <v>7231</v>
      </c>
      <c r="J4295" t="s">
        <v>42</v>
      </c>
      <c r="K4295" t="s">
        <v>41</v>
      </c>
      <c r="M4295">
        <v>94.32</v>
      </c>
      <c r="N4295" s="4">
        <f t="shared" si="66"/>
        <v>-4.187553011026294</v>
      </c>
      <c r="O4295" t="s">
        <v>605</v>
      </c>
      <c r="Q4295" s="42" t="s">
        <v>2650</v>
      </c>
    </row>
    <row r="4296" spans="1:17" x14ac:dyDescent="0.25">
      <c r="A4296" s="22">
        <v>45793</v>
      </c>
      <c r="B4296" s="1" t="s">
        <v>2103</v>
      </c>
      <c r="C4296" t="s">
        <v>622</v>
      </c>
      <c r="D4296" s="23">
        <v>-7</v>
      </c>
      <c r="E4296" t="s">
        <v>35</v>
      </c>
      <c r="F4296" s="2">
        <v>610148001</v>
      </c>
      <c r="G4296" s="2" t="s">
        <v>41</v>
      </c>
      <c r="I4296" s="95" t="s">
        <v>7231</v>
      </c>
      <c r="J4296" t="s">
        <v>42</v>
      </c>
      <c r="K4296" t="s">
        <v>41</v>
      </c>
      <c r="M4296">
        <v>94.32</v>
      </c>
      <c r="N4296" s="4">
        <f t="shared" si="66"/>
        <v>-7.4215436810856669E-2</v>
      </c>
      <c r="O4296" t="s">
        <v>605</v>
      </c>
      <c r="Q4296" s="42" t="s">
        <v>2650</v>
      </c>
    </row>
    <row r="4297" spans="1:17" x14ac:dyDescent="0.25">
      <c r="A4297" s="22">
        <v>45793</v>
      </c>
      <c r="B4297" s="1" t="s">
        <v>1272</v>
      </c>
      <c r="C4297" t="s">
        <v>622</v>
      </c>
      <c r="D4297" s="23">
        <v>-4.71</v>
      </c>
      <c r="E4297" t="s">
        <v>35</v>
      </c>
      <c r="F4297" s="2">
        <v>610148001</v>
      </c>
      <c r="G4297" s="2" t="s">
        <v>41</v>
      </c>
      <c r="I4297" s="95" t="s">
        <v>7231</v>
      </c>
      <c r="J4297" t="s">
        <v>42</v>
      </c>
      <c r="K4297" t="s">
        <v>41</v>
      </c>
      <c r="M4297">
        <v>94.32</v>
      </c>
      <c r="N4297" s="4">
        <f t="shared" si="66"/>
        <v>-4.9936386768447839E-2</v>
      </c>
      <c r="O4297" t="s">
        <v>605</v>
      </c>
      <c r="Q4297" s="42" t="s">
        <v>2650</v>
      </c>
    </row>
    <row r="4298" spans="1:17" x14ac:dyDescent="0.25">
      <c r="A4298" s="22">
        <v>45793</v>
      </c>
      <c r="B4298" s="1" t="s">
        <v>2090</v>
      </c>
      <c r="C4298" t="s">
        <v>622</v>
      </c>
      <c r="D4298" s="23">
        <v>-500</v>
      </c>
      <c r="E4298" t="s">
        <v>35</v>
      </c>
      <c r="F4298" s="2">
        <v>610148001</v>
      </c>
      <c r="G4298" s="2" t="s">
        <v>41</v>
      </c>
      <c r="I4298" s="95" t="s">
        <v>7231</v>
      </c>
      <c r="J4298" t="s">
        <v>42</v>
      </c>
      <c r="K4298" t="s">
        <v>41</v>
      </c>
      <c r="M4298">
        <v>94.32</v>
      </c>
      <c r="N4298" s="4">
        <f t="shared" si="66"/>
        <v>-5.3011026293469046</v>
      </c>
      <c r="O4298" t="s">
        <v>605</v>
      </c>
      <c r="Q4298" s="42" t="s">
        <v>2650</v>
      </c>
    </row>
    <row r="4299" spans="1:17" x14ac:dyDescent="0.25">
      <c r="A4299" s="22">
        <v>45793</v>
      </c>
      <c r="B4299" s="1" t="s">
        <v>1916</v>
      </c>
      <c r="C4299" t="s">
        <v>622</v>
      </c>
      <c r="D4299" s="23">
        <v>-4.71</v>
      </c>
      <c r="E4299" t="s">
        <v>35</v>
      </c>
      <c r="F4299" s="2">
        <v>610148001</v>
      </c>
      <c r="G4299" s="2" t="s">
        <v>41</v>
      </c>
      <c r="I4299" s="95" t="s">
        <v>7231</v>
      </c>
      <c r="J4299" t="s">
        <v>42</v>
      </c>
      <c r="K4299" t="s">
        <v>41</v>
      </c>
      <c r="M4299">
        <v>94.32</v>
      </c>
      <c r="N4299" s="4">
        <f t="shared" si="66"/>
        <v>-4.9936386768447839E-2</v>
      </c>
      <c r="O4299" t="s">
        <v>605</v>
      </c>
      <c r="Q4299" s="42" t="s">
        <v>2650</v>
      </c>
    </row>
    <row r="4300" spans="1:17" x14ac:dyDescent="0.25">
      <c r="A4300" s="22">
        <v>45793</v>
      </c>
      <c r="B4300" s="1" t="s">
        <v>1914</v>
      </c>
      <c r="C4300" t="s">
        <v>622</v>
      </c>
      <c r="D4300" s="23">
        <v>-45.79</v>
      </c>
      <c r="E4300" t="s">
        <v>35</v>
      </c>
      <c r="F4300" s="2">
        <v>610148001</v>
      </c>
      <c r="G4300" s="2" t="s">
        <v>41</v>
      </c>
      <c r="I4300" s="95" t="s">
        <v>7231</v>
      </c>
      <c r="J4300" t="s">
        <v>42</v>
      </c>
      <c r="K4300" t="s">
        <v>41</v>
      </c>
      <c r="M4300">
        <v>94.32</v>
      </c>
      <c r="N4300" s="4">
        <f t="shared" ref="N4300:N4363" si="67">D4300/M4300</f>
        <v>-0.48547497879558948</v>
      </c>
      <c r="O4300" t="s">
        <v>605</v>
      </c>
      <c r="Q4300" s="42" t="s">
        <v>2650</v>
      </c>
    </row>
    <row r="4301" spans="1:17" x14ac:dyDescent="0.25">
      <c r="A4301" s="22">
        <v>45793</v>
      </c>
      <c r="B4301" s="1" t="s">
        <v>2073</v>
      </c>
      <c r="C4301" t="s">
        <v>622</v>
      </c>
      <c r="D4301" s="23">
        <v>-446.94</v>
      </c>
      <c r="E4301" t="s">
        <v>35</v>
      </c>
      <c r="F4301" s="2">
        <v>610148001</v>
      </c>
      <c r="G4301" s="2" t="s">
        <v>41</v>
      </c>
      <c r="I4301" s="95" t="s">
        <v>7231</v>
      </c>
      <c r="J4301" t="s">
        <v>42</v>
      </c>
      <c r="K4301" t="s">
        <v>41</v>
      </c>
      <c r="M4301">
        <v>94.32</v>
      </c>
      <c r="N4301" s="4">
        <f t="shared" si="67"/>
        <v>-4.7385496183206106</v>
      </c>
      <c r="O4301" t="s">
        <v>605</v>
      </c>
      <c r="Q4301" s="42" t="s">
        <v>2650</v>
      </c>
    </row>
    <row r="4302" spans="1:17" x14ac:dyDescent="0.25">
      <c r="A4302" s="22">
        <v>45793</v>
      </c>
      <c r="B4302" s="1" t="s">
        <v>1271</v>
      </c>
      <c r="C4302" t="s">
        <v>622</v>
      </c>
      <c r="D4302" s="23">
        <v>-2.35</v>
      </c>
      <c r="E4302" t="s">
        <v>35</v>
      </c>
      <c r="F4302" s="2">
        <v>610148001</v>
      </c>
      <c r="G4302" s="2" t="s">
        <v>41</v>
      </c>
      <c r="I4302" s="95" t="s">
        <v>7231</v>
      </c>
      <c r="J4302" t="s">
        <v>42</v>
      </c>
      <c r="K4302" t="s">
        <v>41</v>
      </c>
      <c r="M4302">
        <v>94.32</v>
      </c>
      <c r="N4302" s="4">
        <f t="shared" si="67"/>
        <v>-2.4915182357930454E-2</v>
      </c>
      <c r="O4302" t="s">
        <v>605</v>
      </c>
      <c r="Q4302" s="42" t="s">
        <v>2650</v>
      </c>
    </row>
    <row r="4303" spans="1:17" x14ac:dyDescent="0.25">
      <c r="A4303" s="22">
        <v>45793</v>
      </c>
      <c r="B4303" s="1" t="s">
        <v>1913</v>
      </c>
      <c r="C4303" t="s">
        <v>622</v>
      </c>
      <c r="D4303" s="23">
        <v>-9.43</v>
      </c>
      <c r="E4303" t="s">
        <v>35</v>
      </c>
      <c r="F4303" s="2">
        <v>610148001</v>
      </c>
      <c r="G4303" s="2" t="s">
        <v>41</v>
      </c>
      <c r="I4303" s="95" t="s">
        <v>7231</v>
      </c>
      <c r="J4303" t="s">
        <v>42</v>
      </c>
      <c r="K4303" t="s">
        <v>41</v>
      </c>
      <c r="M4303">
        <v>94.32</v>
      </c>
      <c r="N4303" s="4">
        <f t="shared" si="67"/>
        <v>-9.9978795589482611E-2</v>
      </c>
      <c r="O4303" t="s">
        <v>605</v>
      </c>
      <c r="Q4303" s="42" t="s">
        <v>2650</v>
      </c>
    </row>
    <row r="4304" spans="1:17" x14ac:dyDescent="0.25">
      <c r="A4304" s="22">
        <v>45793</v>
      </c>
      <c r="B4304" s="1" t="s">
        <v>1911</v>
      </c>
      <c r="C4304" t="s">
        <v>622</v>
      </c>
      <c r="D4304" s="23">
        <v>-8.6300000000000008</v>
      </c>
      <c r="E4304" t="s">
        <v>35</v>
      </c>
      <c r="F4304" s="2">
        <v>610148001</v>
      </c>
      <c r="G4304" s="2" t="s">
        <v>41</v>
      </c>
      <c r="I4304" s="95" t="s">
        <v>7231</v>
      </c>
      <c r="J4304" t="s">
        <v>42</v>
      </c>
      <c r="K4304" t="s">
        <v>41</v>
      </c>
      <c r="M4304">
        <v>94.32</v>
      </c>
      <c r="N4304" s="4">
        <f t="shared" si="67"/>
        <v>-9.1497031382527585E-2</v>
      </c>
      <c r="O4304" t="s">
        <v>605</v>
      </c>
      <c r="Q4304" s="42" t="s">
        <v>2650</v>
      </c>
    </row>
    <row r="4305" spans="1:17" x14ac:dyDescent="0.25">
      <c r="A4305" s="22">
        <v>45793</v>
      </c>
      <c r="B4305" s="1" t="s">
        <v>1920</v>
      </c>
      <c r="C4305" t="s">
        <v>622</v>
      </c>
      <c r="D4305" s="23">
        <v>-334.81</v>
      </c>
      <c r="E4305" t="s">
        <v>35</v>
      </c>
      <c r="F4305" s="2">
        <v>610148001</v>
      </c>
      <c r="G4305" s="2" t="s">
        <v>41</v>
      </c>
      <c r="I4305" s="95" t="s">
        <v>7231</v>
      </c>
      <c r="J4305" t="s">
        <v>42</v>
      </c>
      <c r="K4305" t="s">
        <v>41</v>
      </c>
      <c r="M4305">
        <v>94.32</v>
      </c>
      <c r="N4305" s="4">
        <f t="shared" si="67"/>
        <v>-3.5497243426632741</v>
      </c>
      <c r="O4305" t="s">
        <v>605</v>
      </c>
      <c r="Q4305" s="42" t="s">
        <v>2650</v>
      </c>
    </row>
    <row r="4306" spans="1:17" x14ac:dyDescent="0.25">
      <c r="A4306" s="22">
        <v>45793</v>
      </c>
      <c r="B4306" s="1" t="s">
        <v>2076</v>
      </c>
      <c r="C4306" t="s">
        <v>622</v>
      </c>
      <c r="D4306" s="23">
        <v>-11.21</v>
      </c>
      <c r="E4306" t="s">
        <v>35</v>
      </c>
      <c r="F4306" s="2">
        <v>610148001</v>
      </c>
      <c r="G4306" s="2" t="s">
        <v>41</v>
      </c>
      <c r="I4306" s="95" t="s">
        <v>7231</v>
      </c>
      <c r="J4306" t="s">
        <v>42</v>
      </c>
      <c r="K4306" t="s">
        <v>41</v>
      </c>
      <c r="M4306">
        <v>94.32</v>
      </c>
      <c r="N4306" s="4">
        <f t="shared" si="67"/>
        <v>-0.11885072094995761</v>
      </c>
      <c r="O4306" t="s">
        <v>605</v>
      </c>
      <c r="Q4306" s="42" t="s">
        <v>2650</v>
      </c>
    </row>
    <row r="4307" spans="1:17" x14ac:dyDescent="0.25">
      <c r="A4307" s="22">
        <v>45793</v>
      </c>
      <c r="B4307" s="1" t="s">
        <v>2072</v>
      </c>
      <c r="C4307" t="s">
        <v>622</v>
      </c>
      <c r="D4307" s="23">
        <v>-500</v>
      </c>
      <c r="E4307" t="s">
        <v>35</v>
      </c>
      <c r="F4307" s="2">
        <v>610148001</v>
      </c>
      <c r="G4307" s="2" t="s">
        <v>41</v>
      </c>
      <c r="I4307" s="95" t="s">
        <v>7231</v>
      </c>
      <c r="J4307" t="s">
        <v>42</v>
      </c>
      <c r="K4307" t="s">
        <v>41</v>
      </c>
      <c r="M4307">
        <v>94.32</v>
      </c>
      <c r="N4307" s="4">
        <f t="shared" si="67"/>
        <v>-5.3011026293469046</v>
      </c>
      <c r="O4307" t="s">
        <v>605</v>
      </c>
      <c r="Q4307" s="42" t="s">
        <v>2650</v>
      </c>
    </row>
    <row r="4308" spans="1:17" x14ac:dyDescent="0.25">
      <c r="A4308" s="22">
        <v>45793</v>
      </c>
      <c r="B4308" s="1" t="s">
        <v>1917</v>
      </c>
      <c r="C4308" t="s">
        <v>622</v>
      </c>
      <c r="D4308" s="23">
        <v>-4.71</v>
      </c>
      <c r="E4308" t="s">
        <v>35</v>
      </c>
      <c r="F4308" s="2">
        <v>610148001</v>
      </c>
      <c r="G4308" s="2" t="s">
        <v>41</v>
      </c>
      <c r="I4308" s="95" t="s">
        <v>7231</v>
      </c>
      <c r="J4308" t="s">
        <v>42</v>
      </c>
      <c r="K4308" t="s">
        <v>41</v>
      </c>
      <c r="M4308">
        <v>94.32</v>
      </c>
      <c r="N4308" s="4">
        <f t="shared" si="67"/>
        <v>-4.9936386768447839E-2</v>
      </c>
      <c r="O4308" t="s">
        <v>605</v>
      </c>
      <c r="Q4308" s="42" t="s">
        <v>2650</v>
      </c>
    </row>
    <row r="4309" spans="1:17" x14ac:dyDescent="0.25">
      <c r="A4309" s="22">
        <v>45793</v>
      </c>
      <c r="B4309" s="1" t="s">
        <v>621</v>
      </c>
      <c r="C4309" t="s">
        <v>622</v>
      </c>
      <c r="D4309" s="23">
        <v>-16.5</v>
      </c>
      <c r="E4309" t="s">
        <v>35</v>
      </c>
      <c r="F4309" s="2">
        <v>610148001</v>
      </c>
      <c r="G4309" s="2" t="s">
        <v>41</v>
      </c>
      <c r="I4309" s="95" t="s">
        <v>7231</v>
      </c>
      <c r="J4309" t="s">
        <v>42</v>
      </c>
      <c r="K4309" t="s">
        <v>41</v>
      </c>
      <c r="M4309">
        <v>94.32</v>
      </c>
      <c r="N4309" s="4">
        <f t="shared" si="67"/>
        <v>-0.17493638676844786</v>
      </c>
      <c r="O4309" t="s">
        <v>605</v>
      </c>
      <c r="Q4309" s="42" t="s">
        <v>2650</v>
      </c>
    </row>
    <row r="4310" spans="1:17" x14ac:dyDescent="0.25">
      <c r="A4310" s="22">
        <v>45793</v>
      </c>
      <c r="B4310" s="1" t="s">
        <v>1912</v>
      </c>
      <c r="C4310" t="s">
        <v>622</v>
      </c>
      <c r="D4310" s="23">
        <v>-4.71</v>
      </c>
      <c r="E4310" t="s">
        <v>35</v>
      </c>
      <c r="F4310" s="2">
        <v>610148001</v>
      </c>
      <c r="G4310" s="2" t="s">
        <v>41</v>
      </c>
      <c r="I4310" s="95" t="s">
        <v>7231</v>
      </c>
      <c r="J4310" t="s">
        <v>42</v>
      </c>
      <c r="K4310" t="s">
        <v>41</v>
      </c>
      <c r="M4310">
        <v>94.32</v>
      </c>
      <c r="N4310" s="4">
        <f t="shared" si="67"/>
        <v>-4.9936386768447839E-2</v>
      </c>
      <c r="O4310" t="s">
        <v>605</v>
      </c>
      <c r="Q4310" s="42" t="s">
        <v>2650</v>
      </c>
    </row>
    <row r="4311" spans="1:17" x14ac:dyDescent="0.25">
      <c r="A4311" s="22">
        <v>45793</v>
      </c>
      <c r="B4311" s="1" t="s">
        <v>3286</v>
      </c>
      <c r="C4311" t="s">
        <v>293</v>
      </c>
      <c r="D4311" s="23">
        <v>1205000</v>
      </c>
      <c r="E4311" t="s">
        <v>45</v>
      </c>
      <c r="F4311" s="2">
        <v>210115002</v>
      </c>
      <c r="G4311" s="2" t="s">
        <v>46</v>
      </c>
      <c r="I4311" s="95" t="s">
        <v>7231</v>
      </c>
      <c r="K4311" t="s">
        <v>293</v>
      </c>
      <c r="M4311">
        <v>94.32</v>
      </c>
      <c r="N4311" s="4">
        <f t="shared" si="67"/>
        <v>12775.657336726041</v>
      </c>
      <c r="O4311" t="s">
        <v>605</v>
      </c>
    </row>
    <row r="4312" spans="1:17" x14ac:dyDescent="0.25">
      <c r="A4312" s="22">
        <v>45793</v>
      </c>
      <c r="B4312" s="1" t="s">
        <v>617</v>
      </c>
      <c r="C4312" t="s">
        <v>3287</v>
      </c>
      <c r="D4312" s="23">
        <v>-123660.93</v>
      </c>
      <c r="E4312" t="s">
        <v>35</v>
      </c>
      <c r="F4312" s="2">
        <v>210101001</v>
      </c>
      <c r="G4312" s="2" t="s">
        <v>36</v>
      </c>
      <c r="I4312" s="95" t="s">
        <v>7231</v>
      </c>
      <c r="J4312" t="s">
        <v>502</v>
      </c>
      <c r="K4312" t="s">
        <v>503</v>
      </c>
      <c r="M4312">
        <v>94.32</v>
      </c>
      <c r="N4312" s="4">
        <f t="shared" si="67"/>
        <v>-1311.078562340967</v>
      </c>
      <c r="O4312" t="s">
        <v>605</v>
      </c>
    </row>
    <row r="4313" spans="1:17" x14ac:dyDescent="0.25">
      <c r="A4313" s="22">
        <v>45793</v>
      </c>
      <c r="B4313" s="1" t="s">
        <v>615</v>
      </c>
      <c r="C4313" t="s">
        <v>3288</v>
      </c>
      <c r="D4313" s="23">
        <v>-901273.83</v>
      </c>
      <c r="E4313" t="s">
        <v>35</v>
      </c>
      <c r="F4313" s="2">
        <v>210101001</v>
      </c>
      <c r="G4313" s="2" t="s">
        <v>36</v>
      </c>
      <c r="I4313" s="95" t="s">
        <v>7231</v>
      </c>
      <c r="J4313" t="s">
        <v>37</v>
      </c>
      <c r="K4313" t="s">
        <v>38</v>
      </c>
      <c r="M4313">
        <v>94.32</v>
      </c>
      <c r="N4313" s="4">
        <f t="shared" si="67"/>
        <v>-9555.49013994911</v>
      </c>
      <c r="O4313" t="s">
        <v>605</v>
      </c>
    </row>
    <row r="4314" spans="1:17" x14ac:dyDescent="0.25">
      <c r="A4314" s="22">
        <v>45793</v>
      </c>
      <c r="B4314" s="1" t="s">
        <v>613</v>
      </c>
      <c r="C4314" t="s">
        <v>3289</v>
      </c>
      <c r="D4314" s="23">
        <v>-179543.31</v>
      </c>
      <c r="E4314" t="s">
        <v>35</v>
      </c>
      <c r="F4314" s="2">
        <v>210101001</v>
      </c>
      <c r="G4314" s="2" t="s">
        <v>36</v>
      </c>
      <c r="I4314" s="95" t="s">
        <v>7231</v>
      </c>
      <c r="J4314" t="s">
        <v>37</v>
      </c>
      <c r="K4314" t="s">
        <v>38</v>
      </c>
      <c r="M4314">
        <v>94.32</v>
      </c>
      <c r="N4314" s="4">
        <f t="shared" si="67"/>
        <v>-1903.5550254452928</v>
      </c>
      <c r="O4314" t="s">
        <v>605</v>
      </c>
    </row>
    <row r="4315" spans="1:17" x14ac:dyDescent="0.25">
      <c r="A4315" s="22">
        <v>45793</v>
      </c>
      <c r="B4315" s="1" t="s">
        <v>624</v>
      </c>
      <c r="C4315" t="s">
        <v>622</v>
      </c>
      <c r="D4315" s="23">
        <v>-309.14999999999998</v>
      </c>
      <c r="E4315" t="s">
        <v>35</v>
      </c>
      <c r="F4315" s="2">
        <v>610148001</v>
      </c>
      <c r="G4315" s="2" t="s">
        <v>41</v>
      </c>
      <c r="I4315" s="95" t="s">
        <v>7231</v>
      </c>
      <c r="J4315" t="s">
        <v>42</v>
      </c>
      <c r="K4315" t="s">
        <v>41</v>
      </c>
      <c r="M4315">
        <v>94.32</v>
      </c>
      <c r="N4315" s="4">
        <f t="shared" si="67"/>
        <v>-3.2776717557251906</v>
      </c>
      <c r="O4315" t="s">
        <v>605</v>
      </c>
      <c r="Q4315" s="42" t="s">
        <v>2650</v>
      </c>
    </row>
    <row r="4316" spans="1:17" x14ac:dyDescent="0.25">
      <c r="A4316" s="22">
        <v>45793</v>
      </c>
      <c r="B4316" s="1" t="s">
        <v>625</v>
      </c>
      <c r="C4316" t="s">
        <v>622</v>
      </c>
      <c r="D4316" s="23">
        <v>-2253.1799999999998</v>
      </c>
      <c r="E4316" t="s">
        <v>35</v>
      </c>
      <c r="F4316" s="2">
        <v>610148001</v>
      </c>
      <c r="G4316" s="2" t="s">
        <v>41</v>
      </c>
      <c r="I4316" s="95" t="s">
        <v>7231</v>
      </c>
      <c r="J4316" t="s">
        <v>42</v>
      </c>
      <c r="K4316" t="s">
        <v>41</v>
      </c>
      <c r="M4316">
        <v>94.32</v>
      </c>
      <c r="N4316" s="4">
        <f t="shared" si="67"/>
        <v>-23.888676844783713</v>
      </c>
      <c r="O4316" t="s">
        <v>605</v>
      </c>
      <c r="Q4316" s="42" t="s">
        <v>2650</v>
      </c>
    </row>
    <row r="4317" spans="1:17" x14ac:dyDescent="0.25">
      <c r="A4317" s="22">
        <v>45793</v>
      </c>
      <c r="B4317" s="1" t="s">
        <v>623</v>
      </c>
      <c r="C4317" t="s">
        <v>622</v>
      </c>
      <c r="D4317" s="23">
        <v>-448.85</v>
      </c>
      <c r="E4317" t="s">
        <v>35</v>
      </c>
      <c r="F4317" s="2">
        <v>610148001</v>
      </c>
      <c r="G4317" s="2" t="s">
        <v>41</v>
      </c>
      <c r="I4317" s="95" t="s">
        <v>7231</v>
      </c>
      <c r="J4317" t="s">
        <v>42</v>
      </c>
      <c r="K4317" t="s">
        <v>41</v>
      </c>
      <c r="M4317">
        <v>94.32</v>
      </c>
      <c r="N4317" s="4">
        <f t="shared" si="67"/>
        <v>-4.7587998303647163</v>
      </c>
      <c r="O4317" t="s">
        <v>605</v>
      </c>
      <c r="Q4317" s="42" t="s">
        <v>2650</v>
      </c>
    </row>
    <row r="4318" spans="1:17" x14ac:dyDescent="0.25">
      <c r="A4318" s="22">
        <v>45796</v>
      </c>
      <c r="B4318" s="1" t="s">
        <v>3290</v>
      </c>
      <c r="C4318" t="s">
        <v>293</v>
      </c>
      <c r="D4318" s="23">
        <v>530000</v>
      </c>
      <c r="E4318" t="s">
        <v>45</v>
      </c>
      <c r="F4318" s="2">
        <v>210115002</v>
      </c>
      <c r="G4318" s="2" t="s">
        <v>46</v>
      </c>
      <c r="I4318" s="95" t="s">
        <v>7231</v>
      </c>
      <c r="K4318" t="s">
        <v>293</v>
      </c>
      <c r="M4318">
        <v>94.76</v>
      </c>
      <c r="N4318" s="4">
        <f t="shared" si="67"/>
        <v>5593.0772477838746</v>
      </c>
      <c r="O4318" t="s">
        <v>605</v>
      </c>
    </row>
    <row r="4319" spans="1:17" x14ac:dyDescent="0.25">
      <c r="A4319" s="22">
        <v>45796</v>
      </c>
      <c r="B4319" s="1" t="s">
        <v>617</v>
      </c>
      <c r="C4319" t="s">
        <v>3291</v>
      </c>
      <c r="D4319" s="23">
        <v>-200000</v>
      </c>
      <c r="E4319" t="s">
        <v>35</v>
      </c>
      <c r="F4319" s="2">
        <v>210101001</v>
      </c>
      <c r="G4319" s="2" t="s">
        <v>36</v>
      </c>
      <c r="I4319" s="95" t="s">
        <v>7231</v>
      </c>
      <c r="J4319" t="s">
        <v>37</v>
      </c>
      <c r="K4319" t="s">
        <v>38</v>
      </c>
      <c r="M4319">
        <v>94.76</v>
      </c>
      <c r="N4319" s="4">
        <f t="shared" si="67"/>
        <v>-2110.5951878429714</v>
      </c>
      <c r="O4319" t="s">
        <v>605</v>
      </c>
    </row>
    <row r="4320" spans="1:17" x14ac:dyDescent="0.25">
      <c r="A4320" s="22">
        <v>45796</v>
      </c>
      <c r="B4320" s="1" t="s">
        <v>619</v>
      </c>
      <c r="C4320" t="s">
        <v>3291</v>
      </c>
      <c r="D4320" s="23">
        <v>-200000</v>
      </c>
      <c r="E4320" t="s">
        <v>35</v>
      </c>
      <c r="F4320" s="2">
        <v>210101001</v>
      </c>
      <c r="G4320" s="2" t="s">
        <v>36</v>
      </c>
      <c r="I4320" s="95" t="s">
        <v>7231</v>
      </c>
      <c r="J4320" t="s">
        <v>37</v>
      </c>
      <c r="K4320" t="s">
        <v>38</v>
      </c>
      <c r="M4320">
        <v>94.76</v>
      </c>
      <c r="N4320" s="4">
        <f t="shared" si="67"/>
        <v>-2110.5951878429714</v>
      </c>
      <c r="O4320" t="s">
        <v>605</v>
      </c>
    </row>
    <row r="4321" spans="1:17" x14ac:dyDescent="0.25">
      <c r="A4321" s="22">
        <v>45796</v>
      </c>
      <c r="B4321" s="1" t="s">
        <v>615</v>
      </c>
      <c r="C4321" t="s">
        <v>3292</v>
      </c>
      <c r="D4321" s="44">
        <v>-6545.93</v>
      </c>
      <c r="E4321" t="s">
        <v>35</v>
      </c>
      <c r="F4321" s="2">
        <v>110114001</v>
      </c>
      <c r="G4321" s="2" t="s">
        <v>181</v>
      </c>
      <c r="I4321" s="95" t="s">
        <v>7231</v>
      </c>
      <c r="J4321" t="s">
        <v>599</v>
      </c>
      <c r="K4321" t="s">
        <v>600</v>
      </c>
      <c r="M4321">
        <v>94.76</v>
      </c>
      <c r="N4321" s="4">
        <f t="shared" si="67"/>
        <v>-69.079041789784725</v>
      </c>
      <c r="O4321" t="s">
        <v>605</v>
      </c>
      <c r="P4321" s="34" t="s">
        <v>1529</v>
      </c>
    </row>
    <row r="4322" spans="1:17" x14ac:dyDescent="0.25">
      <c r="A4322" s="22">
        <v>45796</v>
      </c>
      <c r="B4322" s="1" t="s">
        <v>613</v>
      </c>
      <c r="C4322" t="s">
        <v>3291</v>
      </c>
      <c r="D4322" s="23">
        <v>-122127.6</v>
      </c>
      <c r="E4322" t="s">
        <v>35</v>
      </c>
      <c r="F4322" s="2">
        <v>210101001</v>
      </c>
      <c r="G4322" s="2" t="s">
        <v>36</v>
      </c>
      <c r="I4322" s="95" t="s">
        <v>7231</v>
      </c>
      <c r="J4322" t="s">
        <v>37</v>
      </c>
      <c r="K4322" t="s">
        <v>38</v>
      </c>
      <c r="M4322">
        <v>94.76</v>
      </c>
      <c r="N4322" s="4">
        <f t="shared" si="67"/>
        <v>-1288.8096243140565</v>
      </c>
      <c r="O4322" t="s">
        <v>605</v>
      </c>
    </row>
    <row r="4323" spans="1:17" x14ac:dyDescent="0.25">
      <c r="A4323" s="22">
        <v>45796</v>
      </c>
      <c r="B4323" s="1" t="s">
        <v>623</v>
      </c>
      <c r="C4323" t="s">
        <v>622</v>
      </c>
      <c r="D4323" s="23">
        <v>-305.31</v>
      </c>
      <c r="E4323" t="s">
        <v>35</v>
      </c>
      <c r="F4323" s="2">
        <v>610148001</v>
      </c>
      <c r="G4323" s="2" t="s">
        <v>41</v>
      </c>
      <c r="I4323" s="95" t="s">
        <v>7231</v>
      </c>
      <c r="J4323" t="s">
        <v>42</v>
      </c>
      <c r="K4323" t="s">
        <v>41</v>
      </c>
      <c r="M4323">
        <v>94.76</v>
      </c>
      <c r="N4323" s="4">
        <f t="shared" si="67"/>
        <v>-3.2219290840016885</v>
      </c>
      <c r="O4323" t="s">
        <v>605</v>
      </c>
      <c r="Q4323" s="42" t="s">
        <v>2650</v>
      </c>
    </row>
    <row r="4324" spans="1:17" x14ac:dyDescent="0.25">
      <c r="A4324" s="22">
        <v>45796</v>
      </c>
      <c r="B4324" s="1" t="s">
        <v>621</v>
      </c>
      <c r="C4324" t="s">
        <v>622</v>
      </c>
      <c r="D4324" s="23">
        <v>-500</v>
      </c>
      <c r="E4324" t="s">
        <v>35</v>
      </c>
      <c r="F4324" s="2">
        <v>610148001</v>
      </c>
      <c r="G4324" s="2" t="s">
        <v>41</v>
      </c>
      <c r="I4324" s="95" t="s">
        <v>7231</v>
      </c>
      <c r="J4324" t="s">
        <v>42</v>
      </c>
      <c r="K4324" t="s">
        <v>41</v>
      </c>
      <c r="M4324">
        <v>94.76</v>
      </c>
      <c r="N4324" s="4">
        <f t="shared" si="67"/>
        <v>-5.2764879696074294</v>
      </c>
      <c r="O4324" t="s">
        <v>605</v>
      </c>
      <c r="Q4324" s="42" t="s">
        <v>2650</v>
      </c>
    </row>
    <row r="4325" spans="1:17" x14ac:dyDescent="0.25">
      <c r="A4325" s="22">
        <v>45796</v>
      </c>
      <c r="B4325" s="1" t="s">
        <v>624</v>
      </c>
      <c r="C4325" t="s">
        <v>622</v>
      </c>
      <c r="D4325" s="23">
        <v>-500</v>
      </c>
      <c r="E4325" t="s">
        <v>35</v>
      </c>
      <c r="F4325" s="2">
        <v>610148001</v>
      </c>
      <c r="G4325" s="2" t="s">
        <v>41</v>
      </c>
      <c r="I4325" s="95" t="s">
        <v>7231</v>
      </c>
      <c r="J4325" t="s">
        <v>42</v>
      </c>
      <c r="K4325" t="s">
        <v>41</v>
      </c>
      <c r="M4325">
        <v>94.76</v>
      </c>
      <c r="N4325" s="4">
        <f t="shared" si="67"/>
        <v>-5.2764879696074294</v>
      </c>
      <c r="O4325" t="s">
        <v>605</v>
      </c>
      <c r="Q4325" s="42" t="s">
        <v>2650</v>
      </c>
    </row>
    <row r="4326" spans="1:17" x14ac:dyDescent="0.25">
      <c r="A4326" s="22">
        <v>45796</v>
      </c>
      <c r="B4326" s="1" t="s">
        <v>625</v>
      </c>
      <c r="C4326" t="s">
        <v>622</v>
      </c>
      <c r="D4326" s="23">
        <v>-16.36</v>
      </c>
      <c r="E4326" t="s">
        <v>35</v>
      </c>
      <c r="F4326" s="2">
        <v>610148001</v>
      </c>
      <c r="G4326" s="2" t="s">
        <v>41</v>
      </c>
      <c r="I4326" s="95" t="s">
        <v>7231</v>
      </c>
      <c r="J4326" t="s">
        <v>42</v>
      </c>
      <c r="K4326" t="s">
        <v>41</v>
      </c>
      <c r="M4326">
        <v>94.76</v>
      </c>
      <c r="N4326" s="4">
        <f t="shared" si="67"/>
        <v>-0.17264668636555508</v>
      </c>
      <c r="O4326" t="s">
        <v>605</v>
      </c>
      <c r="Q4326" s="42" t="s">
        <v>2650</v>
      </c>
    </row>
    <row r="4327" spans="1:17" x14ac:dyDescent="0.25">
      <c r="A4327" s="22">
        <v>45796</v>
      </c>
      <c r="B4327" s="1" t="s">
        <v>3293</v>
      </c>
      <c r="C4327" t="s">
        <v>3294</v>
      </c>
      <c r="D4327" s="23">
        <v>70349.820000000007</v>
      </c>
      <c r="E4327" t="s">
        <v>45</v>
      </c>
      <c r="F4327" s="2">
        <v>110106001</v>
      </c>
      <c r="G4327" s="2" t="s">
        <v>1011</v>
      </c>
      <c r="I4327" s="95" t="s">
        <v>7231</v>
      </c>
      <c r="K4327" t="s">
        <v>1617</v>
      </c>
      <c r="M4327">
        <v>94.76</v>
      </c>
      <c r="N4327" s="4">
        <f t="shared" si="67"/>
        <v>742.39995778809623</v>
      </c>
      <c r="O4327" t="s">
        <v>605</v>
      </c>
    </row>
    <row r="4328" spans="1:17" x14ac:dyDescent="0.25">
      <c r="A4328" s="22">
        <v>45798</v>
      </c>
      <c r="B4328" s="1" t="s">
        <v>3295</v>
      </c>
      <c r="C4328" t="s">
        <v>3252</v>
      </c>
      <c r="D4328" s="23">
        <v>615000</v>
      </c>
      <c r="E4328" t="s">
        <v>45</v>
      </c>
      <c r="F4328" s="2">
        <v>210115002</v>
      </c>
      <c r="G4328" s="2" t="s">
        <v>46</v>
      </c>
      <c r="I4328" s="95" t="s">
        <v>7231</v>
      </c>
      <c r="K4328" t="s">
        <v>293</v>
      </c>
      <c r="M4328">
        <v>94.86</v>
      </c>
      <c r="N4328" s="4">
        <f t="shared" si="67"/>
        <v>6483.2384566729916</v>
      </c>
      <c r="O4328" t="s">
        <v>605</v>
      </c>
    </row>
    <row r="4329" spans="1:17" x14ac:dyDescent="0.25">
      <c r="A4329" s="22">
        <v>45798</v>
      </c>
      <c r="B4329" s="1" t="s">
        <v>615</v>
      </c>
      <c r="C4329" t="s">
        <v>3296</v>
      </c>
      <c r="D4329" s="23">
        <v>-38164.5</v>
      </c>
      <c r="E4329" t="s">
        <v>35</v>
      </c>
      <c r="F4329" s="2">
        <v>210101001</v>
      </c>
      <c r="G4329" s="2" t="s">
        <v>36</v>
      </c>
      <c r="I4329" s="95" t="s">
        <v>7231</v>
      </c>
      <c r="J4329" t="s">
        <v>394</v>
      </c>
      <c r="K4329" t="s">
        <v>395</v>
      </c>
      <c r="M4329">
        <v>94.86</v>
      </c>
      <c r="N4329" s="4">
        <f t="shared" si="67"/>
        <v>-402.32447817836811</v>
      </c>
      <c r="O4329" t="s">
        <v>605</v>
      </c>
    </row>
    <row r="4330" spans="1:17" x14ac:dyDescent="0.25">
      <c r="A4330" s="22">
        <v>45798</v>
      </c>
      <c r="B4330" s="1" t="s">
        <v>617</v>
      </c>
      <c r="C4330" t="s">
        <v>3297</v>
      </c>
      <c r="D4330" s="23">
        <v>-136429.92000000001</v>
      </c>
      <c r="E4330" t="s">
        <v>35</v>
      </c>
      <c r="F4330" s="2">
        <v>210101001</v>
      </c>
      <c r="G4330" s="2" t="s">
        <v>36</v>
      </c>
      <c r="I4330" s="95" t="s">
        <v>7231</v>
      </c>
      <c r="J4330" t="s">
        <v>37</v>
      </c>
      <c r="K4330" t="s">
        <v>38</v>
      </c>
      <c r="M4330">
        <v>94.86</v>
      </c>
      <c r="N4330" s="4">
        <f t="shared" si="67"/>
        <v>-1438.2239089184063</v>
      </c>
      <c r="O4330" t="s">
        <v>605</v>
      </c>
    </row>
    <row r="4331" spans="1:17" x14ac:dyDescent="0.25">
      <c r="A4331" s="22">
        <v>45798</v>
      </c>
      <c r="B4331" s="1" t="s">
        <v>619</v>
      </c>
      <c r="C4331" t="s">
        <v>3298</v>
      </c>
      <c r="D4331" s="23">
        <v>-398293.54</v>
      </c>
      <c r="E4331" t="s">
        <v>35</v>
      </c>
      <c r="F4331" s="2">
        <v>210101001</v>
      </c>
      <c r="G4331" s="2" t="s">
        <v>36</v>
      </c>
      <c r="I4331" s="95" t="s">
        <v>7231</v>
      </c>
      <c r="J4331" t="s">
        <v>37</v>
      </c>
      <c r="K4331" t="s">
        <v>38</v>
      </c>
      <c r="M4331">
        <v>94.86</v>
      </c>
      <c r="N4331" s="4">
        <f t="shared" si="67"/>
        <v>-4198.7512123128818</v>
      </c>
      <c r="O4331" t="s">
        <v>605</v>
      </c>
    </row>
    <row r="4332" spans="1:17" x14ac:dyDescent="0.25">
      <c r="A4332" s="22">
        <v>45798</v>
      </c>
      <c r="B4332" s="1" t="s">
        <v>613</v>
      </c>
      <c r="C4332" t="s">
        <v>3299</v>
      </c>
      <c r="D4332" s="23">
        <v>-38164.5</v>
      </c>
      <c r="E4332" t="s">
        <v>35</v>
      </c>
      <c r="F4332" s="2">
        <v>210101001</v>
      </c>
      <c r="G4332" s="2" t="s">
        <v>36</v>
      </c>
      <c r="I4332" s="95" t="s">
        <v>7231</v>
      </c>
      <c r="J4332" t="s">
        <v>394</v>
      </c>
      <c r="K4332" t="s">
        <v>395</v>
      </c>
      <c r="M4332">
        <v>94.86</v>
      </c>
      <c r="N4332" s="4">
        <f t="shared" si="67"/>
        <v>-402.32447817836811</v>
      </c>
      <c r="O4332" t="s">
        <v>605</v>
      </c>
    </row>
    <row r="4333" spans="1:17" x14ac:dyDescent="0.25">
      <c r="A4333" s="22">
        <v>45798</v>
      </c>
      <c r="B4333" s="1" t="s">
        <v>621</v>
      </c>
      <c r="C4333" t="s">
        <v>622</v>
      </c>
      <c r="D4333" s="23">
        <v>-995.73</v>
      </c>
      <c r="E4333" t="s">
        <v>35</v>
      </c>
      <c r="F4333" s="2">
        <v>610148001</v>
      </c>
      <c r="G4333" s="2" t="s">
        <v>41</v>
      </c>
      <c r="I4333" s="95" t="s">
        <v>7231</v>
      </c>
      <c r="J4333" t="s">
        <v>42</v>
      </c>
      <c r="K4333" t="s">
        <v>41</v>
      </c>
      <c r="M4333">
        <v>94.86</v>
      </c>
      <c r="N4333" s="4">
        <f t="shared" si="67"/>
        <v>-10.496837444655283</v>
      </c>
      <c r="O4333" t="s">
        <v>605</v>
      </c>
      <c r="Q4333" s="42" t="s">
        <v>2650</v>
      </c>
    </row>
    <row r="4334" spans="1:17" x14ac:dyDescent="0.25">
      <c r="A4334" s="22">
        <v>45798</v>
      </c>
      <c r="B4334" s="1" t="s">
        <v>624</v>
      </c>
      <c r="C4334" t="s">
        <v>622</v>
      </c>
      <c r="D4334" s="23">
        <v>-341.07</v>
      </c>
      <c r="E4334" t="s">
        <v>35</v>
      </c>
      <c r="F4334" s="2">
        <v>610148001</v>
      </c>
      <c r="G4334" s="2" t="s">
        <v>41</v>
      </c>
      <c r="I4334" s="95" t="s">
        <v>7231</v>
      </c>
      <c r="J4334" t="s">
        <v>42</v>
      </c>
      <c r="K4334" t="s">
        <v>41</v>
      </c>
      <c r="M4334">
        <v>94.86</v>
      </c>
      <c r="N4334" s="4">
        <f t="shared" si="67"/>
        <v>-3.5955091714104994</v>
      </c>
      <c r="O4334" t="s">
        <v>605</v>
      </c>
      <c r="Q4334" s="42" t="s">
        <v>2650</v>
      </c>
    </row>
    <row r="4335" spans="1:17" x14ac:dyDescent="0.25">
      <c r="A4335" s="22">
        <v>45798</v>
      </c>
      <c r="B4335" s="1" t="s">
        <v>623</v>
      </c>
      <c r="C4335" t="s">
        <v>622</v>
      </c>
      <c r="D4335" s="23">
        <v>-95.41</v>
      </c>
      <c r="E4335" t="s">
        <v>35</v>
      </c>
      <c r="F4335" s="2">
        <v>610148001</v>
      </c>
      <c r="G4335" s="2" t="s">
        <v>41</v>
      </c>
      <c r="I4335" s="95" t="s">
        <v>7231</v>
      </c>
      <c r="J4335" t="s">
        <v>42</v>
      </c>
      <c r="K4335" t="s">
        <v>41</v>
      </c>
      <c r="M4335">
        <v>94.86</v>
      </c>
      <c r="N4335" s="4">
        <f t="shared" si="67"/>
        <v>-1.0057980181319839</v>
      </c>
      <c r="O4335" t="s">
        <v>605</v>
      </c>
      <c r="Q4335" s="42" t="s">
        <v>2650</v>
      </c>
    </row>
    <row r="4336" spans="1:17" x14ac:dyDescent="0.25">
      <c r="A4336" s="22">
        <v>45798</v>
      </c>
      <c r="B4336" s="1" t="s">
        <v>625</v>
      </c>
      <c r="C4336" t="s">
        <v>622</v>
      </c>
      <c r="D4336" s="23">
        <v>-95.41</v>
      </c>
      <c r="E4336" t="s">
        <v>35</v>
      </c>
      <c r="F4336" s="2">
        <v>610148001</v>
      </c>
      <c r="G4336" s="2" t="s">
        <v>41</v>
      </c>
      <c r="I4336" s="95" t="s">
        <v>7231</v>
      </c>
      <c r="J4336" t="s">
        <v>42</v>
      </c>
      <c r="K4336" t="s">
        <v>41</v>
      </c>
      <c r="M4336">
        <v>94.86</v>
      </c>
      <c r="N4336" s="4">
        <f t="shared" si="67"/>
        <v>-1.0057980181319839</v>
      </c>
      <c r="O4336" t="s">
        <v>605</v>
      </c>
      <c r="Q4336" s="42" t="s">
        <v>2650</v>
      </c>
    </row>
    <row r="4337" spans="1:17" x14ac:dyDescent="0.25">
      <c r="A4337" s="22">
        <v>45799</v>
      </c>
      <c r="B4337" s="1" t="s">
        <v>3300</v>
      </c>
      <c r="C4337" t="s">
        <v>293</v>
      </c>
      <c r="D4337" s="23">
        <v>950000</v>
      </c>
      <c r="E4337" t="s">
        <v>45</v>
      </c>
      <c r="F4337" s="2">
        <v>210115002</v>
      </c>
      <c r="G4337" s="2" t="s">
        <v>46</v>
      </c>
      <c r="I4337" s="95" t="s">
        <v>7231</v>
      </c>
      <c r="K4337" t="s">
        <v>293</v>
      </c>
      <c r="M4337">
        <v>94.97</v>
      </c>
      <c r="N4337" s="4">
        <f t="shared" si="67"/>
        <v>10003.158892281774</v>
      </c>
      <c r="O4337" t="s">
        <v>605</v>
      </c>
    </row>
    <row r="4338" spans="1:17" x14ac:dyDescent="0.25">
      <c r="A4338" s="22">
        <v>45799</v>
      </c>
      <c r="B4338" s="1" t="s">
        <v>613</v>
      </c>
      <c r="C4338" t="s">
        <v>3301</v>
      </c>
      <c r="D4338" s="23">
        <v>-200000</v>
      </c>
      <c r="E4338" t="s">
        <v>35</v>
      </c>
      <c r="F4338" s="2">
        <v>110114001</v>
      </c>
      <c r="G4338" s="2" t="s">
        <v>181</v>
      </c>
      <c r="I4338" s="95" t="s">
        <v>7231</v>
      </c>
      <c r="J4338" s="51" t="s">
        <v>502</v>
      </c>
      <c r="K4338" s="51" t="s">
        <v>503</v>
      </c>
      <c r="L4338" s="51"/>
      <c r="M4338">
        <v>94.97</v>
      </c>
      <c r="N4338" s="4">
        <f t="shared" si="67"/>
        <v>-2105.9281878487946</v>
      </c>
      <c r="O4338" t="s">
        <v>605</v>
      </c>
      <c r="P4338" s="34" t="s">
        <v>2492</v>
      </c>
    </row>
    <row r="4339" spans="1:17" x14ac:dyDescent="0.25">
      <c r="A4339" s="22">
        <v>45799</v>
      </c>
      <c r="B4339" s="1" t="s">
        <v>617</v>
      </c>
      <c r="C4339" t="s">
        <v>3302</v>
      </c>
      <c r="D4339" s="23">
        <v>-200000</v>
      </c>
      <c r="E4339" t="s">
        <v>35</v>
      </c>
      <c r="F4339" s="2">
        <v>210101001</v>
      </c>
      <c r="G4339" s="2" t="s">
        <v>36</v>
      </c>
      <c r="I4339" s="95" t="s">
        <v>7231</v>
      </c>
      <c r="J4339" t="s">
        <v>37</v>
      </c>
      <c r="K4339" t="s">
        <v>38</v>
      </c>
      <c r="M4339">
        <v>94.97</v>
      </c>
      <c r="N4339" s="4">
        <f t="shared" si="67"/>
        <v>-2105.9281878487946</v>
      </c>
      <c r="O4339" t="s">
        <v>605</v>
      </c>
    </row>
    <row r="4340" spans="1:17" x14ac:dyDescent="0.25">
      <c r="A4340" s="22">
        <v>45799</v>
      </c>
      <c r="B4340" s="1" t="s">
        <v>613</v>
      </c>
      <c r="C4340" t="s">
        <v>3301</v>
      </c>
      <c r="D4340" s="23">
        <v>-200000</v>
      </c>
      <c r="E4340" t="s">
        <v>35</v>
      </c>
      <c r="F4340" s="2">
        <v>110114001</v>
      </c>
      <c r="G4340" s="2" t="s">
        <v>181</v>
      </c>
      <c r="I4340" s="95" t="s">
        <v>7231</v>
      </c>
      <c r="J4340" s="51" t="s">
        <v>502</v>
      </c>
      <c r="K4340" s="51" t="s">
        <v>503</v>
      </c>
      <c r="L4340" s="51"/>
      <c r="M4340">
        <v>94.97</v>
      </c>
      <c r="N4340" s="4">
        <f t="shared" si="67"/>
        <v>-2105.9281878487946</v>
      </c>
      <c r="O4340" t="s">
        <v>605</v>
      </c>
      <c r="P4340" s="34" t="s">
        <v>2492</v>
      </c>
    </row>
    <row r="4341" spans="1:17" x14ac:dyDescent="0.25">
      <c r="A4341" s="22">
        <v>45799</v>
      </c>
      <c r="B4341" s="1" t="s">
        <v>613</v>
      </c>
      <c r="C4341" t="s">
        <v>3301</v>
      </c>
      <c r="D4341" s="23">
        <v>-180120.98</v>
      </c>
      <c r="E4341" t="s">
        <v>35</v>
      </c>
      <c r="F4341" s="2">
        <v>110114001</v>
      </c>
      <c r="G4341" s="2" t="s">
        <v>181</v>
      </c>
      <c r="I4341" s="95" t="s">
        <v>7231</v>
      </c>
      <c r="J4341" s="51" t="s">
        <v>502</v>
      </c>
      <c r="K4341" s="51" t="s">
        <v>503</v>
      </c>
      <c r="L4341" s="51"/>
      <c r="M4341">
        <v>94.97</v>
      </c>
      <c r="N4341" s="4">
        <f t="shared" si="67"/>
        <v>-1896.6092450247447</v>
      </c>
      <c r="O4341" t="s">
        <v>605</v>
      </c>
      <c r="P4341" s="34" t="s">
        <v>2492</v>
      </c>
    </row>
    <row r="4342" spans="1:17" x14ac:dyDescent="0.25">
      <c r="A4342" s="22">
        <v>45799</v>
      </c>
      <c r="B4342" s="1" t="s">
        <v>617</v>
      </c>
      <c r="C4342" t="s">
        <v>3302</v>
      </c>
      <c r="D4342" s="23">
        <v>-9313.8799999999992</v>
      </c>
      <c r="E4342" t="s">
        <v>35</v>
      </c>
      <c r="F4342" s="2">
        <v>210101001</v>
      </c>
      <c r="G4342" s="2" t="s">
        <v>36</v>
      </c>
      <c r="I4342" s="95" t="s">
        <v>7231</v>
      </c>
      <c r="J4342" t="s">
        <v>37</v>
      </c>
      <c r="K4342" t="s">
        <v>38</v>
      </c>
      <c r="M4342">
        <v>94.97</v>
      </c>
      <c r="N4342" s="4">
        <f t="shared" si="67"/>
        <v>-98.071812151205634</v>
      </c>
      <c r="O4342" t="s">
        <v>605</v>
      </c>
    </row>
    <row r="4343" spans="1:17" x14ac:dyDescent="0.25">
      <c r="A4343" s="22">
        <v>45799</v>
      </c>
      <c r="B4343" s="1" t="s">
        <v>613</v>
      </c>
      <c r="C4343" t="s">
        <v>3301</v>
      </c>
      <c r="D4343" s="23">
        <v>-200000</v>
      </c>
      <c r="E4343" t="s">
        <v>35</v>
      </c>
      <c r="F4343" s="2">
        <v>110114001</v>
      </c>
      <c r="G4343" s="2" t="s">
        <v>181</v>
      </c>
      <c r="I4343" s="95" t="s">
        <v>7231</v>
      </c>
      <c r="J4343" s="51" t="s">
        <v>502</v>
      </c>
      <c r="K4343" s="51" t="s">
        <v>503</v>
      </c>
      <c r="L4343" s="51"/>
      <c r="M4343">
        <v>94.97</v>
      </c>
      <c r="N4343" s="4">
        <f t="shared" si="67"/>
        <v>-2105.9281878487946</v>
      </c>
      <c r="O4343" t="s">
        <v>605</v>
      </c>
      <c r="P4343" s="34" t="s">
        <v>2492</v>
      </c>
    </row>
    <row r="4344" spans="1:17" x14ac:dyDescent="0.25">
      <c r="A4344" s="22">
        <v>45799</v>
      </c>
      <c r="B4344" s="1" t="s">
        <v>615</v>
      </c>
      <c r="C4344" t="s">
        <v>3303</v>
      </c>
      <c r="D4344" s="23">
        <v>-1475.73</v>
      </c>
      <c r="E4344" t="s">
        <v>35</v>
      </c>
      <c r="F4344" s="2">
        <v>210101001</v>
      </c>
      <c r="G4344" s="2" t="s">
        <v>36</v>
      </c>
      <c r="I4344" s="95" t="s">
        <v>7231</v>
      </c>
      <c r="J4344" t="s">
        <v>380</v>
      </c>
      <c r="K4344" t="s">
        <v>381</v>
      </c>
      <c r="M4344">
        <v>94.97</v>
      </c>
      <c r="N4344" s="4">
        <f t="shared" si="67"/>
        <v>-15.538907023270507</v>
      </c>
      <c r="O4344" t="s">
        <v>605</v>
      </c>
    </row>
    <row r="4345" spans="1:17" x14ac:dyDescent="0.25">
      <c r="A4345" s="22">
        <v>45799</v>
      </c>
      <c r="B4345" s="1" t="s">
        <v>623</v>
      </c>
      <c r="C4345" t="s">
        <v>622</v>
      </c>
      <c r="D4345" s="23">
        <v>-450.3</v>
      </c>
      <c r="E4345" t="s">
        <v>35</v>
      </c>
      <c r="F4345" s="2">
        <v>610148001</v>
      </c>
      <c r="G4345" s="2" t="s">
        <v>41</v>
      </c>
      <c r="I4345" s="95" t="s">
        <v>7231</v>
      </c>
      <c r="J4345" t="s">
        <v>42</v>
      </c>
      <c r="K4345" t="s">
        <v>41</v>
      </c>
      <c r="M4345">
        <v>94.97</v>
      </c>
      <c r="N4345" s="4">
        <f t="shared" si="67"/>
        <v>-4.7414973149415607</v>
      </c>
      <c r="O4345" t="s">
        <v>605</v>
      </c>
      <c r="Q4345" s="42" t="s">
        <v>2650</v>
      </c>
    </row>
    <row r="4346" spans="1:17" x14ac:dyDescent="0.25">
      <c r="A4346" s="22">
        <v>45799</v>
      </c>
      <c r="B4346" s="1" t="s">
        <v>623</v>
      </c>
      <c r="C4346" t="s">
        <v>622</v>
      </c>
      <c r="D4346" s="23">
        <v>-500</v>
      </c>
      <c r="E4346" t="s">
        <v>35</v>
      </c>
      <c r="F4346" s="2">
        <v>610148001</v>
      </c>
      <c r="G4346" s="2" t="s">
        <v>41</v>
      </c>
      <c r="I4346" s="95" t="s">
        <v>7231</v>
      </c>
      <c r="J4346" t="s">
        <v>42</v>
      </c>
      <c r="K4346" t="s">
        <v>41</v>
      </c>
      <c r="M4346">
        <v>94.97</v>
      </c>
      <c r="N4346" s="4">
        <f t="shared" si="67"/>
        <v>-5.264820469621986</v>
      </c>
      <c r="O4346" t="s">
        <v>605</v>
      </c>
      <c r="Q4346" s="42" t="s">
        <v>2650</v>
      </c>
    </row>
    <row r="4347" spans="1:17" x14ac:dyDescent="0.25">
      <c r="A4347" s="22">
        <v>45799</v>
      </c>
      <c r="B4347" s="1" t="s">
        <v>623</v>
      </c>
      <c r="C4347" t="s">
        <v>622</v>
      </c>
      <c r="D4347" s="23">
        <v>-500</v>
      </c>
      <c r="E4347" t="s">
        <v>35</v>
      </c>
      <c r="F4347" s="2">
        <v>610148001</v>
      </c>
      <c r="G4347" s="2" t="s">
        <v>41</v>
      </c>
      <c r="I4347" s="95" t="s">
        <v>7231</v>
      </c>
      <c r="J4347" t="s">
        <v>42</v>
      </c>
      <c r="K4347" t="s">
        <v>41</v>
      </c>
      <c r="M4347">
        <v>94.97</v>
      </c>
      <c r="N4347" s="4">
        <f t="shared" si="67"/>
        <v>-5.264820469621986</v>
      </c>
      <c r="O4347" t="s">
        <v>605</v>
      </c>
      <c r="Q4347" s="42" t="s">
        <v>2650</v>
      </c>
    </row>
    <row r="4348" spans="1:17" x14ac:dyDescent="0.25">
      <c r="A4348" s="22">
        <v>45799</v>
      </c>
      <c r="B4348" s="1" t="s">
        <v>623</v>
      </c>
      <c r="C4348" t="s">
        <v>622</v>
      </c>
      <c r="D4348" s="23">
        <v>-500</v>
      </c>
      <c r="E4348" t="s">
        <v>35</v>
      </c>
      <c r="F4348" s="2">
        <v>610148001</v>
      </c>
      <c r="G4348" s="2" t="s">
        <v>41</v>
      </c>
      <c r="I4348" s="95" t="s">
        <v>7231</v>
      </c>
      <c r="J4348" t="s">
        <v>42</v>
      </c>
      <c r="K4348" t="s">
        <v>41</v>
      </c>
      <c r="M4348">
        <v>94.97</v>
      </c>
      <c r="N4348" s="4">
        <f t="shared" si="67"/>
        <v>-5.264820469621986</v>
      </c>
      <c r="O4348" t="s">
        <v>605</v>
      </c>
      <c r="Q4348" s="42" t="s">
        <v>2650</v>
      </c>
    </row>
    <row r="4349" spans="1:17" x14ac:dyDescent="0.25">
      <c r="A4349" s="22">
        <v>45799</v>
      </c>
      <c r="B4349" s="1" t="s">
        <v>624</v>
      </c>
      <c r="C4349" t="s">
        <v>622</v>
      </c>
      <c r="D4349" s="23">
        <v>-23.28</v>
      </c>
      <c r="E4349" t="s">
        <v>35</v>
      </c>
      <c r="F4349" s="2">
        <v>610148001</v>
      </c>
      <c r="G4349" s="2" t="s">
        <v>41</v>
      </c>
      <c r="I4349" s="95" t="s">
        <v>7231</v>
      </c>
      <c r="J4349" t="s">
        <v>42</v>
      </c>
      <c r="K4349" t="s">
        <v>41</v>
      </c>
      <c r="M4349">
        <v>94.97</v>
      </c>
      <c r="N4349" s="4">
        <f t="shared" si="67"/>
        <v>-0.24513004106559969</v>
      </c>
      <c r="O4349" t="s">
        <v>605</v>
      </c>
      <c r="Q4349" s="42" t="s">
        <v>2650</v>
      </c>
    </row>
    <row r="4350" spans="1:17" x14ac:dyDescent="0.25">
      <c r="A4350" s="22">
        <v>45799</v>
      </c>
      <c r="B4350" s="1" t="s">
        <v>625</v>
      </c>
      <c r="C4350" t="s">
        <v>622</v>
      </c>
      <c r="D4350" s="23">
        <v>-3.68</v>
      </c>
      <c r="E4350" t="s">
        <v>35</v>
      </c>
      <c r="F4350" s="2">
        <v>610148001</v>
      </c>
      <c r="G4350" s="2" t="s">
        <v>41</v>
      </c>
      <c r="I4350" s="95" t="s">
        <v>7231</v>
      </c>
      <c r="J4350" t="s">
        <v>42</v>
      </c>
      <c r="K4350" t="s">
        <v>41</v>
      </c>
      <c r="M4350">
        <v>94.97</v>
      </c>
      <c r="N4350" s="4">
        <f t="shared" si="67"/>
        <v>-3.8749078656417815E-2</v>
      </c>
      <c r="O4350" t="s">
        <v>605</v>
      </c>
      <c r="Q4350" s="42" t="s">
        <v>2650</v>
      </c>
    </row>
    <row r="4351" spans="1:17" x14ac:dyDescent="0.25">
      <c r="A4351" s="22">
        <v>45799</v>
      </c>
      <c r="B4351" s="1" t="s">
        <v>624</v>
      </c>
      <c r="C4351" t="s">
        <v>622</v>
      </c>
      <c r="D4351" s="23">
        <v>-500</v>
      </c>
      <c r="E4351" t="s">
        <v>35</v>
      </c>
      <c r="F4351" s="2">
        <v>610148001</v>
      </c>
      <c r="G4351" s="2" t="s">
        <v>41</v>
      </c>
      <c r="I4351" s="95" t="s">
        <v>7231</v>
      </c>
      <c r="J4351" t="s">
        <v>42</v>
      </c>
      <c r="K4351" t="s">
        <v>41</v>
      </c>
      <c r="M4351">
        <v>94.97</v>
      </c>
      <c r="N4351" s="4">
        <f t="shared" si="67"/>
        <v>-5.264820469621986</v>
      </c>
      <c r="O4351" t="s">
        <v>605</v>
      </c>
      <c r="Q4351" s="42" t="s">
        <v>2650</v>
      </c>
    </row>
    <row r="4352" spans="1:17" x14ac:dyDescent="0.25">
      <c r="A4352" s="22">
        <v>45800</v>
      </c>
      <c r="B4352" s="1" t="s">
        <v>3304</v>
      </c>
      <c r="C4352" t="s">
        <v>3305</v>
      </c>
      <c r="D4352" s="23">
        <v>-20000</v>
      </c>
      <c r="E4352" t="s">
        <v>35</v>
      </c>
      <c r="F4352" s="2">
        <v>110101003</v>
      </c>
      <c r="G4352" s="2" t="s">
        <v>2945</v>
      </c>
      <c r="I4352" s="95" t="s">
        <v>7231</v>
      </c>
      <c r="K4352" t="s">
        <v>2946</v>
      </c>
      <c r="M4352">
        <v>95.02</v>
      </c>
      <c r="N4352" s="4">
        <f t="shared" si="67"/>
        <v>-210.48200378867608</v>
      </c>
      <c r="O4352" t="s">
        <v>605</v>
      </c>
    </row>
    <row r="4353" spans="1:17" x14ac:dyDescent="0.25">
      <c r="A4353" s="22">
        <v>45800</v>
      </c>
      <c r="B4353" s="1" t="s">
        <v>3306</v>
      </c>
      <c r="C4353" t="s">
        <v>3307</v>
      </c>
      <c r="D4353" s="23">
        <v>-50</v>
      </c>
      <c r="E4353" t="s">
        <v>35</v>
      </c>
      <c r="F4353" s="2">
        <v>610148001</v>
      </c>
      <c r="G4353" s="2" t="s">
        <v>41</v>
      </c>
      <c r="I4353" s="95" t="s">
        <v>7231</v>
      </c>
      <c r="J4353" t="s">
        <v>42</v>
      </c>
      <c r="K4353" t="s">
        <v>41</v>
      </c>
      <c r="M4353">
        <v>95.02</v>
      </c>
      <c r="N4353" s="4">
        <f t="shared" si="67"/>
        <v>-0.52620500947169024</v>
      </c>
      <c r="O4353" t="s">
        <v>605</v>
      </c>
      <c r="Q4353" s="42" t="s">
        <v>2650</v>
      </c>
    </row>
    <row r="4354" spans="1:17" x14ac:dyDescent="0.25">
      <c r="A4354" s="22">
        <v>45800</v>
      </c>
      <c r="B4354" s="1" t="s">
        <v>3308</v>
      </c>
      <c r="C4354" t="s">
        <v>293</v>
      </c>
      <c r="D4354" s="23">
        <v>880000</v>
      </c>
      <c r="E4354" t="s">
        <v>45</v>
      </c>
      <c r="F4354" s="2">
        <v>210115002</v>
      </c>
      <c r="G4354" s="2" t="s">
        <v>46</v>
      </c>
      <c r="I4354" s="95" t="s">
        <v>7231</v>
      </c>
      <c r="K4354" t="s">
        <v>293</v>
      </c>
      <c r="M4354">
        <v>95.02</v>
      </c>
      <c r="N4354" s="4">
        <f t="shared" si="67"/>
        <v>9261.2081667017483</v>
      </c>
      <c r="O4354" t="s">
        <v>605</v>
      </c>
    </row>
    <row r="4355" spans="1:17" x14ac:dyDescent="0.25">
      <c r="A4355" s="22">
        <v>45800</v>
      </c>
      <c r="B4355" s="1" t="s">
        <v>1938</v>
      </c>
      <c r="C4355" t="s">
        <v>3309</v>
      </c>
      <c r="D4355" s="23">
        <v>-131834.26999999999</v>
      </c>
      <c r="E4355" t="s">
        <v>35</v>
      </c>
      <c r="F4355" s="2">
        <v>210101001</v>
      </c>
      <c r="G4355" s="2" t="s">
        <v>36</v>
      </c>
      <c r="I4355" s="95" t="s">
        <v>7231</v>
      </c>
      <c r="J4355" t="s">
        <v>37</v>
      </c>
      <c r="K4355" t="s">
        <v>38</v>
      </c>
      <c r="M4355">
        <v>95.02</v>
      </c>
      <c r="N4355" s="4">
        <f t="shared" si="67"/>
        <v>-1387.4370658808671</v>
      </c>
      <c r="O4355" t="s">
        <v>605</v>
      </c>
    </row>
    <row r="4356" spans="1:17" x14ac:dyDescent="0.25">
      <c r="A4356" s="22">
        <v>45800</v>
      </c>
      <c r="B4356" s="1" t="s">
        <v>1909</v>
      </c>
      <c r="C4356" t="s">
        <v>3310</v>
      </c>
      <c r="D4356" s="23">
        <v>-950.2</v>
      </c>
      <c r="E4356" t="s">
        <v>35</v>
      </c>
      <c r="F4356" s="2">
        <v>212901001</v>
      </c>
      <c r="G4356" s="2" t="s">
        <v>91</v>
      </c>
      <c r="I4356" s="95" t="s">
        <v>7231</v>
      </c>
      <c r="J4356" t="s">
        <v>61</v>
      </c>
      <c r="K4356" t="s">
        <v>62</v>
      </c>
      <c r="M4356">
        <v>95.02</v>
      </c>
      <c r="N4356" s="4">
        <f t="shared" si="67"/>
        <v>-10.000000000000002</v>
      </c>
      <c r="O4356" t="s">
        <v>605</v>
      </c>
    </row>
    <row r="4357" spans="1:17" x14ac:dyDescent="0.25">
      <c r="A4357" s="22">
        <v>45800</v>
      </c>
      <c r="B4357" s="1" t="s">
        <v>1892</v>
      </c>
      <c r="C4357" t="s">
        <v>3311</v>
      </c>
      <c r="D4357" s="23">
        <v>-4751</v>
      </c>
      <c r="E4357" t="s">
        <v>35</v>
      </c>
      <c r="F4357" s="2">
        <v>212901001</v>
      </c>
      <c r="G4357" s="2" t="s">
        <v>91</v>
      </c>
      <c r="I4357" s="95" t="s">
        <v>7231</v>
      </c>
      <c r="J4357" t="s">
        <v>61</v>
      </c>
      <c r="K4357" t="s">
        <v>62</v>
      </c>
      <c r="M4357">
        <v>95.02</v>
      </c>
      <c r="N4357" s="4">
        <f t="shared" si="67"/>
        <v>-50</v>
      </c>
      <c r="O4357" t="s">
        <v>605</v>
      </c>
    </row>
    <row r="4358" spans="1:17" x14ac:dyDescent="0.25">
      <c r="A4358" s="22">
        <v>45800</v>
      </c>
      <c r="B4358" s="1" t="s">
        <v>1907</v>
      </c>
      <c r="C4358" t="s">
        <v>3312</v>
      </c>
      <c r="D4358" s="23">
        <v>-1900.4</v>
      </c>
      <c r="E4358" t="s">
        <v>35</v>
      </c>
      <c r="F4358" s="2">
        <v>212901001</v>
      </c>
      <c r="G4358" s="2" t="s">
        <v>91</v>
      </c>
      <c r="I4358" s="95" t="s">
        <v>7231</v>
      </c>
      <c r="J4358" t="s">
        <v>61</v>
      </c>
      <c r="K4358" t="s">
        <v>62</v>
      </c>
      <c r="M4358">
        <v>95.02</v>
      </c>
      <c r="N4358" s="4">
        <f t="shared" si="67"/>
        <v>-20.000000000000004</v>
      </c>
      <c r="O4358" t="s">
        <v>605</v>
      </c>
    </row>
    <row r="4359" spans="1:17" x14ac:dyDescent="0.25">
      <c r="A4359" s="22">
        <v>45800</v>
      </c>
      <c r="B4359" s="1" t="s">
        <v>1886</v>
      </c>
      <c r="C4359" t="s">
        <v>3312</v>
      </c>
      <c r="D4359" s="23">
        <v>-1900.4</v>
      </c>
      <c r="E4359" t="s">
        <v>35</v>
      </c>
      <c r="F4359" s="2">
        <v>212901001</v>
      </c>
      <c r="G4359" s="2" t="s">
        <v>91</v>
      </c>
      <c r="I4359" s="95" t="s">
        <v>7231</v>
      </c>
      <c r="J4359" t="s">
        <v>61</v>
      </c>
      <c r="K4359" t="s">
        <v>62</v>
      </c>
      <c r="M4359">
        <v>95.02</v>
      </c>
      <c r="N4359" s="4">
        <f t="shared" si="67"/>
        <v>-20.000000000000004</v>
      </c>
      <c r="O4359" t="s">
        <v>605</v>
      </c>
    </row>
    <row r="4360" spans="1:17" x14ac:dyDescent="0.25">
      <c r="A4360" s="22">
        <v>45800</v>
      </c>
      <c r="B4360" s="1" t="s">
        <v>1904</v>
      </c>
      <c r="C4360" t="s">
        <v>3313</v>
      </c>
      <c r="D4360" s="23">
        <v>-2850.6</v>
      </c>
      <c r="E4360" t="s">
        <v>35</v>
      </c>
      <c r="F4360" s="2">
        <v>212901001</v>
      </c>
      <c r="G4360" s="2" t="s">
        <v>91</v>
      </c>
      <c r="I4360" s="95" t="s">
        <v>7231</v>
      </c>
      <c r="J4360" t="s">
        <v>61</v>
      </c>
      <c r="K4360" t="s">
        <v>62</v>
      </c>
      <c r="M4360">
        <v>95.02</v>
      </c>
      <c r="N4360" s="4">
        <f t="shared" si="67"/>
        <v>-30</v>
      </c>
      <c r="O4360" t="s">
        <v>605</v>
      </c>
    </row>
    <row r="4361" spans="1:17" x14ac:dyDescent="0.25">
      <c r="A4361" s="22">
        <v>45800</v>
      </c>
      <c r="B4361" s="1" t="s">
        <v>615</v>
      </c>
      <c r="C4361" t="s">
        <v>3253</v>
      </c>
      <c r="D4361" s="23">
        <v>-116687.75</v>
      </c>
      <c r="E4361" t="s">
        <v>35</v>
      </c>
      <c r="F4361" s="2">
        <v>210101001</v>
      </c>
      <c r="G4361" s="2" t="s">
        <v>36</v>
      </c>
      <c r="I4361" s="95" t="s">
        <v>7231</v>
      </c>
      <c r="J4361" t="s">
        <v>3254</v>
      </c>
      <c r="K4361" t="s">
        <v>3255</v>
      </c>
      <c r="M4361">
        <v>95.02</v>
      </c>
      <c r="N4361" s="4">
        <f t="shared" si="67"/>
        <v>-1228.0335718796043</v>
      </c>
      <c r="O4361" t="s">
        <v>605</v>
      </c>
    </row>
    <row r="4362" spans="1:17" x14ac:dyDescent="0.25">
      <c r="A4362" s="22">
        <v>45800</v>
      </c>
      <c r="B4362" s="1" t="s">
        <v>617</v>
      </c>
      <c r="C4362" t="s">
        <v>2770</v>
      </c>
      <c r="D4362" s="23">
        <v>-9293.2199999999993</v>
      </c>
      <c r="E4362" t="s">
        <v>35</v>
      </c>
      <c r="F4362" s="2">
        <v>110101002</v>
      </c>
      <c r="G4362" s="2" t="s">
        <v>2771</v>
      </c>
      <c r="I4362" s="95" t="s">
        <v>7231</v>
      </c>
      <c r="K4362" t="s">
        <v>3285</v>
      </c>
      <c r="M4362">
        <v>95.02</v>
      </c>
      <c r="N4362" s="4">
        <f t="shared" si="67"/>
        <v>-97.802778362450013</v>
      </c>
      <c r="O4362" t="s">
        <v>605</v>
      </c>
    </row>
    <row r="4363" spans="1:17" x14ac:dyDescent="0.25">
      <c r="A4363" s="22">
        <v>45800</v>
      </c>
      <c r="B4363" s="1" t="s">
        <v>2006</v>
      </c>
      <c r="C4363" t="s">
        <v>3314</v>
      </c>
      <c r="D4363" s="23">
        <v>-15070.8</v>
      </c>
      <c r="E4363" t="s">
        <v>35</v>
      </c>
      <c r="F4363" s="2">
        <v>210101001</v>
      </c>
      <c r="G4363" s="2" t="s">
        <v>36</v>
      </c>
      <c r="I4363" s="95" t="s">
        <v>7231</v>
      </c>
      <c r="J4363" s="73" t="s">
        <v>86</v>
      </c>
      <c r="K4363" s="74" t="s">
        <v>87</v>
      </c>
      <c r="L4363" s="51"/>
      <c r="M4363">
        <v>95.02</v>
      </c>
      <c r="N4363" s="4">
        <f t="shared" si="67"/>
        <v>-158.60660913491895</v>
      </c>
      <c r="O4363" t="s">
        <v>605</v>
      </c>
    </row>
    <row r="4364" spans="1:17" x14ac:dyDescent="0.25">
      <c r="A4364" s="33">
        <v>45800</v>
      </c>
      <c r="B4364" s="27" t="s">
        <v>1994</v>
      </c>
      <c r="C4364" s="28" t="s">
        <v>3315</v>
      </c>
      <c r="D4364" s="29">
        <v>-4846.0200000000004</v>
      </c>
      <c r="E4364" s="28" t="s">
        <v>35</v>
      </c>
      <c r="F4364" s="30">
        <v>610156001</v>
      </c>
      <c r="G4364" s="30" t="s">
        <v>72</v>
      </c>
      <c r="H4364" s="30"/>
      <c r="I4364" s="95" t="s">
        <v>7231</v>
      </c>
      <c r="J4364" s="28" t="s">
        <v>2398</v>
      </c>
      <c r="K4364" s="28" t="s">
        <v>632</v>
      </c>
      <c r="L4364" s="28" t="s">
        <v>56</v>
      </c>
      <c r="M4364" s="28">
        <v>95.02</v>
      </c>
      <c r="N4364" s="4">
        <f t="shared" ref="N4364:N4427" si="68">D4364/M4364</f>
        <v>-51.000000000000007</v>
      </c>
      <c r="O4364" t="s">
        <v>605</v>
      </c>
      <c r="Q4364" s="24" t="s">
        <v>3316</v>
      </c>
    </row>
    <row r="4365" spans="1:17" x14ac:dyDescent="0.25">
      <c r="A4365" s="22">
        <v>45800</v>
      </c>
      <c r="B4365" s="1" t="s">
        <v>613</v>
      </c>
      <c r="C4365" t="s">
        <v>3317</v>
      </c>
      <c r="D4365" s="23">
        <v>-6651.4</v>
      </c>
      <c r="E4365" t="s">
        <v>35</v>
      </c>
      <c r="F4365" s="2">
        <v>212901001</v>
      </c>
      <c r="G4365" s="2" t="s">
        <v>91</v>
      </c>
      <c r="I4365" s="95" t="s">
        <v>7231</v>
      </c>
      <c r="J4365" t="s">
        <v>61</v>
      </c>
      <c r="K4365" t="s">
        <v>62</v>
      </c>
      <c r="M4365">
        <v>95.02</v>
      </c>
      <c r="N4365" s="4">
        <f t="shared" si="68"/>
        <v>-70</v>
      </c>
      <c r="O4365" t="s">
        <v>605</v>
      </c>
    </row>
    <row r="4366" spans="1:17" x14ac:dyDescent="0.25">
      <c r="A4366" s="22">
        <v>45800</v>
      </c>
      <c r="B4366" s="1" t="s">
        <v>613</v>
      </c>
      <c r="C4366" t="s">
        <v>3131</v>
      </c>
      <c r="D4366" s="23">
        <v>-319935.88</v>
      </c>
      <c r="E4366" t="s">
        <v>35</v>
      </c>
      <c r="F4366" s="2">
        <v>210101001</v>
      </c>
      <c r="G4366" s="2" t="s">
        <v>36</v>
      </c>
      <c r="I4366" s="95" t="s">
        <v>7231</v>
      </c>
      <c r="J4366" t="s">
        <v>37</v>
      </c>
      <c r="K4366" t="s">
        <v>38</v>
      </c>
      <c r="M4366">
        <v>95.02</v>
      </c>
      <c r="N4366" s="4">
        <f t="shared" si="68"/>
        <v>-3367.0372553146708</v>
      </c>
      <c r="O4366" t="s">
        <v>605</v>
      </c>
    </row>
    <row r="4367" spans="1:17" x14ac:dyDescent="0.25">
      <c r="A4367" s="22">
        <v>45800</v>
      </c>
      <c r="B4367" s="1" t="s">
        <v>2028</v>
      </c>
      <c r="C4367" t="s">
        <v>3318</v>
      </c>
      <c r="D4367" s="23">
        <v>-11309.1</v>
      </c>
      <c r="E4367" t="s">
        <v>35</v>
      </c>
      <c r="F4367" s="2">
        <v>210101001</v>
      </c>
      <c r="G4367" s="2" t="s">
        <v>36</v>
      </c>
      <c r="I4367" s="95" t="s">
        <v>7231</v>
      </c>
      <c r="J4367" t="s">
        <v>86</v>
      </c>
      <c r="K4367" t="s">
        <v>87</v>
      </c>
      <c r="M4367">
        <v>95.02</v>
      </c>
      <c r="N4367" s="4">
        <f t="shared" si="68"/>
        <v>-119.01810145232584</v>
      </c>
      <c r="O4367" t="s">
        <v>605</v>
      </c>
    </row>
    <row r="4368" spans="1:17" x14ac:dyDescent="0.25">
      <c r="A4368" s="22">
        <v>45800</v>
      </c>
      <c r="B4368" s="1" t="s">
        <v>1983</v>
      </c>
      <c r="C4368" t="s">
        <v>3319</v>
      </c>
      <c r="D4368" s="23">
        <v>-5456.05</v>
      </c>
      <c r="E4368" t="s">
        <v>35</v>
      </c>
      <c r="F4368" s="2">
        <v>110114001</v>
      </c>
      <c r="G4368" s="2" t="s">
        <v>181</v>
      </c>
      <c r="I4368" s="95" t="s">
        <v>7231</v>
      </c>
      <c r="J4368" s="51" t="s">
        <v>1007</v>
      </c>
      <c r="K4368" s="51" t="s">
        <v>1008</v>
      </c>
      <c r="L4368" s="51"/>
      <c r="M4368">
        <v>95.02</v>
      </c>
      <c r="N4368" s="4">
        <f t="shared" si="68"/>
        <v>-57.420016838560308</v>
      </c>
      <c r="O4368" t="s">
        <v>605</v>
      </c>
      <c r="P4368" s="34" t="s">
        <v>2492</v>
      </c>
    </row>
    <row r="4369" spans="1:17" x14ac:dyDescent="0.25">
      <c r="A4369" s="22">
        <v>45800</v>
      </c>
      <c r="B4369" s="1" t="s">
        <v>1936</v>
      </c>
      <c r="C4369" t="s">
        <v>3320</v>
      </c>
      <c r="D4369" s="23">
        <v>-2280</v>
      </c>
      <c r="E4369" t="s">
        <v>35</v>
      </c>
      <c r="F4369" s="2">
        <v>210101001</v>
      </c>
      <c r="G4369" s="2" t="s">
        <v>36</v>
      </c>
      <c r="I4369" s="95" t="s">
        <v>7231</v>
      </c>
      <c r="J4369" t="s">
        <v>414</v>
      </c>
      <c r="K4369" t="s">
        <v>415</v>
      </c>
      <c r="M4369">
        <v>95.02</v>
      </c>
      <c r="N4369" s="4">
        <f t="shared" si="68"/>
        <v>-23.994948431909073</v>
      </c>
      <c r="O4369" t="s">
        <v>605</v>
      </c>
    </row>
    <row r="4370" spans="1:17" x14ac:dyDescent="0.25">
      <c r="A4370" s="22">
        <v>45800</v>
      </c>
      <c r="B4370" s="1" t="s">
        <v>1888</v>
      </c>
      <c r="C4370" t="s">
        <v>3321</v>
      </c>
      <c r="D4370" s="23">
        <v>-1900.4</v>
      </c>
      <c r="E4370" t="s">
        <v>35</v>
      </c>
      <c r="F4370" s="2">
        <v>212901001</v>
      </c>
      <c r="G4370" s="2" t="s">
        <v>91</v>
      </c>
      <c r="I4370" s="95" t="s">
        <v>7231</v>
      </c>
      <c r="J4370" t="s">
        <v>61</v>
      </c>
      <c r="K4370" t="s">
        <v>62</v>
      </c>
      <c r="M4370">
        <v>95.02</v>
      </c>
      <c r="N4370" s="4">
        <f t="shared" si="68"/>
        <v>-20.000000000000004</v>
      </c>
      <c r="O4370" t="s">
        <v>605</v>
      </c>
    </row>
    <row r="4371" spans="1:17" x14ac:dyDescent="0.25">
      <c r="A4371" s="22">
        <v>45800</v>
      </c>
      <c r="B4371" s="1" t="s">
        <v>1900</v>
      </c>
      <c r="C4371" t="s">
        <v>3322</v>
      </c>
      <c r="D4371" s="23">
        <v>-1900.4</v>
      </c>
      <c r="E4371" t="s">
        <v>35</v>
      </c>
      <c r="F4371" s="2">
        <v>212901001</v>
      </c>
      <c r="G4371" s="2" t="s">
        <v>91</v>
      </c>
      <c r="I4371" s="95" t="s">
        <v>7231</v>
      </c>
      <c r="J4371" t="s">
        <v>61</v>
      </c>
      <c r="K4371" t="s">
        <v>62</v>
      </c>
      <c r="M4371">
        <v>95.02</v>
      </c>
      <c r="N4371" s="4">
        <f t="shared" si="68"/>
        <v>-20.000000000000004</v>
      </c>
      <c r="O4371" t="s">
        <v>605</v>
      </c>
    </row>
    <row r="4372" spans="1:17" x14ac:dyDescent="0.25">
      <c r="A4372" s="22">
        <v>45800</v>
      </c>
      <c r="B4372" s="1" t="s">
        <v>1898</v>
      </c>
      <c r="C4372" t="s">
        <v>3323</v>
      </c>
      <c r="D4372" s="23">
        <v>-14253</v>
      </c>
      <c r="E4372" t="s">
        <v>35</v>
      </c>
      <c r="F4372" s="2">
        <v>212901001</v>
      </c>
      <c r="G4372" s="2" t="s">
        <v>91</v>
      </c>
      <c r="I4372" s="95" t="s">
        <v>7231</v>
      </c>
      <c r="J4372" t="s">
        <v>61</v>
      </c>
      <c r="K4372" t="s">
        <v>62</v>
      </c>
      <c r="M4372">
        <v>95.02</v>
      </c>
      <c r="N4372" s="4">
        <f t="shared" si="68"/>
        <v>-150</v>
      </c>
      <c r="O4372" t="s">
        <v>605</v>
      </c>
    </row>
    <row r="4373" spans="1:17" x14ac:dyDescent="0.25">
      <c r="A4373" s="22">
        <v>45800</v>
      </c>
      <c r="B4373" s="1" t="s">
        <v>1981</v>
      </c>
      <c r="C4373" t="s">
        <v>3324</v>
      </c>
      <c r="D4373" s="23">
        <v>-3800.8</v>
      </c>
      <c r="E4373" t="s">
        <v>35</v>
      </c>
      <c r="F4373" s="2">
        <v>212901001</v>
      </c>
      <c r="G4373" s="2" t="s">
        <v>91</v>
      </c>
      <c r="I4373" s="95" t="s">
        <v>7231</v>
      </c>
      <c r="J4373" t="s">
        <v>61</v>
      </c>
      <c r="K4373" t="s">
        <v>62</v>
      </c>
      <c r="M4373">
        <v>95.02</v>
      </c>
      <c r="N4373" s="4">
        <f t="shared" si="68"/>
        <v>-40.000000000000007</v>
      </c>
      <c r="O4373" t="s">
        <v>605</v>
      </c>
    </row>
    <row r="4374" spans="1:17" x14ac:dyDescent="0.25">
      <c r="A4374" s="33">
        <v>45800</v>
      </c>
      <c r="B4374" s="27" t="s">
        <v>613</v>
      </c>
      <c r="C4374" s="28" t="s">
        <v>3325</v>
      </c>
      <c r="D4374" s="29">
        <v>-3800.8</v>
      </c>
      <c r="E4374" s="28" t="s">
        <v>35</v>
      </c>
      <c r="F4374" s="30">
        <v>610156001</v>
      </c>
      <c r="G4374" s="30" t="s">
        <v>72</v>
      </c>
      <c r="H4374" s="30"/>
      <c r="I4374" s="95" t="s">
        <v>7231</v>
      </c>
      <c r="J4374" s="28" t="s">
        <v>73</v>
      </c>
      <c r="K4374" s="28" t="s">
        <v>74</v>
      </c>
      <c r="L4374" s="28" t="s">
        <v>56</v>
      </c>
      <c r="M4374" s="28">
        <v>95.02</v>
      </c>
      <c r="N4374" s="4">
        <f t="shared" si="68"/>
        <v>-40.000000000000007</v>
      </c>
      <c r="O4374" t="s">
        <v>605</v>
      </c>
      <c r="Q4374" s="24" t="s">
        <v>3326</v>
      </c>
    </row>
    <row r="4375" spans="1:17" x14ac:dyDescent="0.25">
      <c r="A4375" s="22">
        <v>45800</v>
      </c>
      <c r="B4375" s="1" t="s">
        <v>1953</v>
      </c>
      <c r="C4375" t="s">
        <v>3253</v>
      </c>
      <c r="D4375" s="23">
        <v>-200000</v>
      </c>
      <c r="E4375" t="s">
        <v>35</v>
      </c>
      <c r="F4375" s="2">
        <v>210101001</v>
      </c>
      <c r="G4375" s="2" t="s">
        <v>36</v>
      </c>
      <c r="I4375" s="95" t="s">
        <v>7231</v>
      </c>
      <c r="J4375" t="s">
        <v>37</v>
      </c>
      <c r="K4375" t="s">
        <v>38</v>
      </c>
      <c r="M4375">
        <v>95.02</v>
      </c>
      <c r="N4375" s="4">
        <f t="shared" si="68"/>
        <v>-2104.8200378867609</v>
      </c>
      <c r="O4375" t="s">
        <v>605</v>
      </c>
    </row>
    <row r="4376" spans="1:17" x14ac:dyDescent="0.25">
      <c r="A4376" s="22">
        <v>45800</v>
      </c>
      <c r="B4376" s="1" t="s">
        <v>613</v>
      </c>
      <c r="C4376" t="s">
        <v>3327</v>
      </c>
      <c r="D4376" s="23">
        <v>-5321.12</v>
      </c>
      <c r="E4376" t="s">
        <v>35</v>
      </c>
      <c r="F4376" s="2">
        <v>212901001</v>
      </c>
      <c r="G4376" s="2" t="s">
        <v>91</v>
      </c>
      <c r="I4376" s="95" t="s">
        <v>7231</v>
      </c>
      <c r="J4376" t="s">
        <v>61</v>
      </c>
      <c r="K4376" t="s">
        <v>62</v>
      </c>
      <c r="M4376">
        <v>95.02</v>
      </c>
      <c r="N4376" s="4">
        <f t="shared" si="68"/>
        <v>-56</v>
      </c>
      <c r="O4376" t="s">
        <v>605</v>
      </c>
    </row>
    <row r="4377" spans="1:17" x14ac:dyDescent="0.25">
      <c r="A4377" s="33">
        <v>45800</v>
      </c>
      <c r="B4377" s="27" t="s">
        <v>617</v>
      </c>
      <c r="C4377" s="28" t="s">
        <v>52</v>
      </c>
      <c r="D4377" s="29">
        <v>-11402.4</v>
      </c>
      <c r="E4377" s="28" t="s">
        <v>35</v>
      </c>
      <c r="F4377" s="30">
        <v>610129001</v>
      </c>
      <c r="G4377" s="30" t="s">
        <v>53</v>
      </c>
      <c r="H4377" s="30"/>
      <c r="I4377" s="95" t="s">
        <v>7231</v>
      </c>
      <c r="J4377" s="28" t="s">
        <v>54</v>
      </c>
      <c r="K4377" s="28" t="s">
        <v>55</v>
      </c>
      <c r="L4377" s="28" t="s">
        <v>56</v>
      </c>
      <c r="M4377" s="28">
        <v>95.02</v>
      </c>
      <c r="N4377" s="4">
        <f t="shared" si="68"/>
        <v>-120</v>
      </c>
      <c r="O4377" t="s">
        <v>605</v>
      </c>
      <c r="Q4377" s="24" t="s">
        <v>3328</v>
      </c>
    </row>
    <row r="4378" spans="1:17" x14ac:dyDescent="0.25">
      <c r="A4378" s="22">
        <v>45800</v>
      </c>
      <c r="B4378" s="1" t="s">
        <v>2076</v>
      </c>
      <c r="C4378" t="s">
        <v>622</v>
      </c>
      <c r="D4378" s="23">
        <v>-12.11</v>
      </c>
      <c r="E4378" t="s">
        <v>35</v>
      </c>
      <c r="F4378" s="2">
        <v>610148001</v>
      </c>
      <c r="G4378" s="2" t="s">
        <v>41</v>
      </c>
      <c r="I4378" s="95" t="s">
        <v>7231</v>
      </c>
      <c r="J4378" t="s">
        <v>42</v>
      </c>
      <c r="K4378" t="s">
        <v>41</v>
      </c>
      <c r="M4378">
        <v>95.02</v>
      </c>
      <c r="N4378" s="4">
        <f t="shared" si="68"/>
        <v>-0.12744685329404337</v>
      </c>
      <c r="O4378" t="s">
        <v>605</v>
      </c>
      <c r="Q4378" s="42" t="s">
        <v>2650</v>
      </c>
    </row>
    <row r="4379" spans="1:17" x14ac:dyDescent="0.25">
      <c r="A4379" s="22">
        <v>45800</v>
      </c>
      <c r="B4379" s="1" t="s">
        <v>1918</v>
      </c>
      <c r="C4379" t="s">
        <v>622</v>
      </c>
      <c r="D4379" s="23">
        <v>-4.75</v>
      </c>
      <c r="E4379" t="s">
        <v>35</v>
      </c>
      <c r="F4379" s="2">
        <v>610148001</v>
      </c>
      <c r="G4379" s="2" t="s">
        <v>41</v>
      </c>
      <c r="I4379" s="95" t="s">
        <v>7231</v>
      </c>
      <c r="J4379" t="s">
        <v>42</v>
      </c>
      <c r="K4379" t="s">
        <v>41</v>
      </c>
      <c r="M4379">
        <v>95.02</v>
      </c>
      <c r="N4379" s="4">
        <f t="shared" si="68"/>
        <v>-4.9989475899810565E-2</v>
      </c>
      <c r="O4379" t="s">
        <v>605</v>
      </c>
      <c r="Q4379" s="42" t="s">
        <v>2650</v>
      </c>
    </row>
    <row r="4380" spans="1:17" x14ac:dyDescent="0.25">
      <c r="A4380" s="22">
        <v>45800</v>
      </c>
      <c r="B4380" s="1" t="s">
        <v>623</v>
      </c>
      <c r="C4380" t="s">
        <v>622</v>
      </c>
      <c r="D4380" s="23">
        <v>-16.62</v>
      </c>
      <c r="E4380" t="s">
        <v>35</v>
      </c>
      <c r="F4380" s="2">
        <v>610148001</v>
      </c>
      <c r="G4380" s="2" t="s">
        <v>41</v>
      </c>
      <c r="I4380" s="95" t="s">
        <v>7231</v>
      </c>
      <c r="J4380" t="s">
        <v>42</v>
      </c>
      <c r="K4380" t="s">
        <v>41</v>
      </c>
      <c r="M4380">
        <v>95.02</v>
      </c>
      <c r="N4380" s="4">
        <f t="shared" si="68"/>
        <v>-0.17491054514838983</v>
      </c>
      <c r="O4380" t="s">
        <v>605</v>
      </c>
      <c r="Q4380" s="42" t="s">
        <v>2650</v>
      </c>
    </row>
    <row r="4381" spans="1:17" x14ac:dyDescent="0.25">
      <c r="A4381" s="22">
        <v>45800</v>
      </c>
      <c r="B4381" s="1" t="s">
        <v>2062</v>
      </c>
      <c r="C4381" t="s">
        <v>622</v>
      </c>
      <c r="D4381" s="23">
        <v>-500</v>
      </c>
      <c r="E4381" t="s">
        <v>35</v>
      </c>
      <c r="F4381" s="2">
        <v>610148001</v>
      </c>
      <c r="G4381" s="2" t="s">
        <v>41</v>
      </c>
      <c r="I4381" s="95" t="s">
        <v>7231</v>
      </c>
      <c r="J4381" t="s">
        <v>42</v>
      </c>
      <c r="K4381" t="s">
        <v>41</v>
      </c>
      <c r="M4381">
        <v>95.02</v>
      </c>
      <c r="N4381" s="4">
        <f t="shared" si="68"/>
        <v>-5.2620500947169022</v>
      </c>
      <c r="O4381" t="s">
        <v>605</v>
      </c>
      <c r="Q4381" s="42" t="s">
        <v>2650</v>
      </c>
    </row>
    <row r="4382" spans="1:17" x14ac:dyDescent="0.25">
      <c r="A4382" s="22">
        <v>45800</v>
      </c>
      <c r="B4382" s="1" t="s">
        <v>2102</v>
      </c>
      <c r="C4382" t="s">
        <v>622</v>
      </c>
      <c r="D4382" s="23">
        <v>-28.27</v>
      </c>
      <c r="E4382" t="s">
        <v>35</v>
      </c>
      <c r="F4382" s="2">
        <v>610148001</v>
      </c>
      <c r="G4382" s="2" t="s">
        <v>41</v>
      </c>
      <c r="I4382" s="95" t="s">
        <v>7231</v>
      </c>
      <c r="J4382" t="s">
        <v>42</v>
      </c>
      <c r="K4382" t="s">
        <v>41</v>
      </c>
      <c r="M4382">
        <v>95.02</v>
      </c>
      <c r="N4382" s="4">
        <f t="shared" si="68"/>
        <v>-0.29751631235529363</v>
      </c>
      <c r="O4382" t="s">
        <v>605</v>
      </c>
      <c r="Q4382" s="42" t="s">
        <v>2650</v>
      </c>
    </row>
    <row r="4383" spans="1:17" x14ac:dyDescent="0.25">
      <c r="A4383" s="22">
        <v>45800</v>
      </c>
      <c r="B4383" s="1" t="s">
        <v>1920</v>
      </c>
      <c r="C4383" t="s">
        <v>622</v>
      </c>
      <c r="D4383" s="23">
        <v>-4.75</v>
      </c>
      <c r="E4383" t="s">
        <v>35</v>
      </c>
      <c r="F4383" s="2">
        <v>610148001</v>
      </c>
      <c r="G4383" s="2" t="s">
        <v>41</v>
      </c>
      <c r="I4383" s="95" t="s">
        <v>7231</v>
      </c>
      <c r="J4383" t="s">
        <v>42</v>
      </c>
      <c r="K4383" t="s">
        <v>41</v>
      </c>
      <c r="M4383">
        <v>95.02</v>
      </c>
      <c r="N4383" s="4">
        <f t="shared" si="68"/>
        <v>-4.9989475899810565E-2</v>
      </c>
      <c r="O4383" t="s">
        <v>605</v>
      </c>
      <c r="Q4383" s="42" t="s">
        <v>2650</v>
      </c>
    </row>
    <row r="4384" spans="1:17" x14ac:dyDescent="0.25">
      <c r="A4384" s="22">
        <v>45800</v>
      </c>
      <c r="B4384" s="1" t="s">
        <v>624</v>
      </c>
      <c r="C4384" t="s">
        <v>622</v>
      </c>
      <c r="D4384" s="23">
        <v>-23.23</v>
      </c>
      <c r="E4384" t="s">
        <v>35</v>
      </c>
      <c r="F4384" s="2">
        <v>610148001</v>
      </c>
      <c r="G4384" s="2" t="s">
        <v>41</v>
      </c>
      <c r="I4384" s="95" t="s">
        <v>7231</v>
      </c>
      <c r="J4384" t="s">
        <v>42</v>
      </c>
      <c r="K4384" t="s">
        <v>41</v>
      </c>
      <c r="M4384">
        <v>95.02</v>
      </c>
      <c r="N4384" s="4">
        <f t="shared" si="68"/>
        <v>-0.24447484740054726</v>
      </c>
      <c r="O4384" t="s">
        <v>605</v>
      </c>
      <c r="Q4384" s="42" t="s">
        <v>2650</v>
      </c>
    </row>
    <row r="4385" spans="1:17" x14ac:dyDescent="0.25">
      <c r="A4385" s="22">
        <v>45800</v>
      </c>
      <c r="B4385" s="1" t="s">
        <v>1916</v>
      </c>
      <c r="C4385" t="s">
        <v>622</v>
      </c>
      <c r="D4385" s="23">
        <v>-35.630000000000003</v>
      </c>
      <c r="E4385" t="s">
        <v>35</v>
      </c>
      <c r="F4385" s="2">
        <v>610148001</v>
      </c>
      <c r="G4385" s="2" t="s">
        <v>41</v>
      </c>
      <c r="I4385" s="95" t="s">
        <v>7231</v>
      </c>
      <c r="J4385" t="s">
        <v>42</v>
      </c>
      <c r="K4385" t="s">
        <v>41</v>
      </c>
      <c r="M4385">
        <v>95.02</v>
      </c>
      <c r="N4385" s="4">
        <f t="shared" si="68"/>
        <v>-0.37497368974952644</v>
      </c>
      <c r="O4385" t="s">
        <v>605</v>
      </c>
      <c r="Q4385" s="42" t="s">
        <v>2650</v>
      </c>
    </row>
    <row r="4386" spans="1:17" x14ac:dyDescent="0.25">
      <c r="A4386" s="22">
        <v>45800</v>
      </c>
      <c r="B4386" s="1" t="s">
        <v>2061</v>
      </c>
      <c r="C4386" t="s">
        <v>622</v>
      </c>
      <c r="D4386" s="23">
        <v>-13.64</v>
      </c>
      <c r="E4386" t="s">
        <v>35</v>
      </c>
      <c r="F4386" s="2">
        <v>610148001</v>
      </c>
      <c r="G4386" s="2" t="s">
        <v>41</v>
      </c>
      <c r="I4386" s="95" t="s">
        <v>7231</v>
      </c>
      <c r="J4386" t="s">
        <v>42</v>
      </c>
      <c r="K4386" t="s">
        <v>41</v>
      </c>
      <c r="M4386">
        <v>95.02</v>
      </c>
      <c r="N4386" s="4">
        <f t="shared" si="68"/>
        <v>-0.1435487265838771</v>
      </c>
      <c r="O4386" t="s">
        <v>605</v>
      </c>
      <c r="Q4386" s="42" t="s">
        <v>2650</v>
      </c>
    </row>
    <row r="4387" spans="1:17" x14ac:dyDescent="0.25">
      <c r="A4387" s="22">
        <v>45800</v>
      </c>
      <c r="B4387" s="1" t="s">
        <v>623</v>
      </c>
      <c r="C4387" t="s">
        <v>622</v>
      </c>
      <c r="D4387" s="23">
        <v>-799.83</v>
      </c>
      <c r="E4387" t="s">
        <v>35</v>
      </c>
      <c r="F4387" s="2">
        <v>610148001</v>
      </c>
      <c r="G4387" s="2" t="s">
        <v>41</v>
      </c>
      <c r="I4387" s="95" t="s">
        <v>7231</v>
      </c>
      <c r="J4387" t="s">
        <v>42</v>
      </c>
      <c r="K4387" t="s">
        <v>41</v>
      </c>
      <c r="M4387">
        <v>95.02</v>
      </c>
      <c r="N4387" s="4">
        <f t="shared" si="68"/>
        <v>-8.4174910545148389</v>
      </c>
      <c r="O4387" t="s">
        <v>605</v>
      </c>
      <c r="Q4387" s="42" t="s">
        <v>2650</v>
      </c>
    </row>
    <row r="4388" spans="1:17" x14ac:dyDescent="0.25">
      <c r="A4388" s="22">
        <v>45800</v>
      </c>
      <c r="B4388" s="1" t="s">
        <v>625</v>
      </c>
      <c r="C4388" t="s">
        <v>622</v>
      </c>
      <c r="D4388" s="23">
        <v>-291.70999999999998</v>
      </c>
      <c r="E4388" t="s">
        <v>35</v>
      </c>
      <c r="F4388" s="2">
        <v>610148001</v>
      </c>
      <c r="G4388" s="2" t="s">
        <v>41</v>
      </c>
      <c r="I4388" s="95" t="s">
        <v>7231</v>
      </c>
      <c r="J4388" t="s">
        <v>42</v>
      </c>
      <c r="K4388" t="s">
        <v>41</v>
      </c>
      <c r="M4388">
        <v>95.02</v>
      </c>
      <c r="N4388" s="4">
        <f t="shared" si="68"/>
        <v>-3.0699852662597347</v>
      </c>
      <c r="O4388" t="s">
        <v>605</v>
      </c>
      <c r="Q4388" s="42" t="s">
        <v>2650</v>
      </c>
    </row>
    <row r="4389" spans="1:17" x14ac:dyDescent="0.25">
      <c r="A4389" s="22">
        <v>45800</v>
      </c>
      <c r="B4389" s="1" t="s">
        <v>2072</v>
      </c>
      <c r="C4389" t="s">
        <v>622</v>
      </c>
      <c r="D4389" s="23">
        <v>-9.5</v>
      </c>
      <c r="E4389" t="s">
        <v>35</v>
      </c>
      <c r="F4389" s="2">
        <v>610148001</v>
      </c>
      <c r="G4389" s="2" t="s">
        <v>41</v>
      </c>
      <c r="I4389" s="95" t="s">
        <v>7231</v>
      </c>
      <c r="J4389" t="s">
        <v>42</v>
      </c>
      <c r="K4389" t="s">
        <v>41</v>
      </c>
      <c r="M4389">
        <v>95.02</v>
      </c>
      <c r="N4389" s="4">
        <f t="shared" si="68"/>
        <v>-9.997895179962113E-2</v>
      </c>
      <c r="O4389" t="s">
        <v>605</v>
      </c>
      <c r="Q4389" s="42" t="s">
        <v>2650</v>
      </c>
    </row>
    <row r="4390" spans="1:17" x14ac:dyDescent="0.25">
      <c r="A4390" s="22">
        <v>45800</v>
      </c>
      <c r="B4390" s="1" t="s">
        <v>2073</v>
      </c>
      <c r="C4390" t="s">
        <v>622</v>
      </c>
      <c r="D4390" s="23">
        <v>-5.7</v>
      </c>
      <c r="E4390" t="s">
        <v>35</v>
      </c>
      <c r="F4390" s="2">
        <v>610148001</v>
      </c>
      <c r="G4390" s="2" t="s">
        <v>41</v>
      </c>
      <c r="I4390" s="95" t="s">
        <v>7231</v>
      </c>
      <c r="J4390" t="s">
        <v>42</v>
      </c>
      <c r="K4390" t="s">
        <v>41</v>
      </c>
      <c r="M4390">
        <v>95.02</v>
      </c>
      <c r="N4390" s="4">
        <f t="shared" si="68"/>
        <v>-5.9987371079772686E-2</v>
      </c>
      <c r="O4390" t="s">
        <v>605</v>
      </c>
      <c r="Q4390" s="42" t="s">
        <v>2650</v>
      </c>
    </row>
    <row r="4391" spans="1:17" x14ac:dyDescent="0.25">
      <c r="A4391" s="22">
        <v>45800</v>
      </c>
      <c r="B4391" s="1" t="s">
        <v>1912</v>
      </c>
      <c r="C4391" t="s">
        <v>622</v>
      </c>
      <c r="D4391" s="23">
        <v>-2.37</v>
      </c>
      <c r="E4391" t="s">
        <v>35</v>
      </c>
      <c r="F4391" s="2">
        <v>610148001</v>
      </c>
      <c r="G4391" s="2" t="s">
        <v>41</v>
      </c>
      <c r="I4391" s="95" t="s">
        <v>7231</v>
      </c>
      <c r="J4391" t="s">
        <v>42</v>
      </c>
      <c r="K4391" t="s">
        <v>41</v>
      </c>
      <c r="M4391">
        <v>95.02</v>
      </c>
      <c r="N4391" s="4">
        <f t="shared" si="68"/>
        <v>-2.4942117448958117E-2</v>
      </c>
      <c r="O4391" t="s">
        <v>605</v>
      </c>
      <c r="Q4391" s="42" t="s">
        <v>2650</v>
      </c>
    </row>
    <row r="4392" spans="1:17" x14ac:dyDescent="0.25">
      <c r="A4392" s="22">
        <v>45800</v>
      </c>
      <c r="B4392" s="1" t="s">
        <v>1911</v>
      </c>
      <c r="C4392" t="s">
        <v>622</v>
      </c>
      <c r="D4392" s="23">
        <v>-4.75</v>
      </c>
      <c r="E4392" t="s">
        <v>35</v>
      </c>
      <c r="F4392" s="2">
        <v>610148001</v>
      </c>
      <c r="G4392" s="2" t="s">
        <v>41</v>
      </c>
      <c r="I4392" s="95" t="s">
        <v>7231</v>
      </c>
      <c r="J4392" t="s">
        <v>42</v>
      </c>
      <c r="K4392" t="s">
        <v>41</v>
      </c>
      <c r="M4392">
        <v>95.02</v>
      </c>
      <c r="N4392" s="4">
        <f t="shared" si="68"/>
        <v>-4.9989475899810565E-2</v>
      </c>
      <c r="O4392" t="s">
        <v>605</v>
      </c>
      <c r="Q4392" s="42" t="s">
        <v>2650</v>
      </c>
    </row>
    <row r="4393" spans="1:17" x14ac:dyDescent="0.25">
      <c r="A4393" s="22">
        <v>45800</v>
      </c>
      <c r="B4393" s="1" t="s">
        <v>2103</v>
      </c>
      <c r="C4393" t="s">
        <v>622</v>
      </c>
      <c r="D4393" s="23">
        <v>-329.58</v>
      </c>
      <c r="E4393" t="s">
        <v>35</v>
      </c>
      <c r="F4393" s="2">
        <v>610148001</v>
      </c>
      <c r="G4393" s="2" t="s">
        <v>41</v>
      </c>
      <c r="I4393" s="95" t="s">
        <v>7231</v>
      </c>
      <c r="J4393" t="s">
        <v>42</v>
      </c>
      <c r="K4393" t="s">
        <v>41</v>
      </c>
      <c r="M4393">
        <v>95.02</v>
      </c>
      <c r="N4393" s="4">
        <f t="shared" si="68"/>
        <v>-3.4685329404335929</v>
      </c>
      <c r="O4393" t="s">
        <v>605</v>
      </c>
      <c r="Q4393" s="42" t="s">
        <v>2650</v>
      </c>
    </row>
    <row r="4394" spans="1:17" x14ac:dyDescent="0.25">
      <c r="A4394" s="22">
        <v>45800</v>
      </c>
      <c r="B4394" s="1" t="s">
        <v>623</v>
      </c>
      <c r="C4394" t="s">
        <v>622</v>
      </c>
      <c r="D4394" s="23">
        <v>-13.3</v>
      </c>
      <c r="E4394" t="s">
        <v>35</v>
      </c>
      <c r="F4394" s="2">
        <v>610148001</v>
      </c>
      <c r="G4394" s="2" t="s">
        <v>41</v>
      </c>
      <c r="I4394" s="95" t="s">
        <v>7231</v>
      </c>
      <c r="J4394" t="s">
        <v>42</v>
      </c>
      <c r="K4394" t="s">
        <v>41</v>
      </c>
      <c r="M4394">
        <v>95.02</v>
      </c>
      <c r="N4394" s="4">
        <f t="shared" si="68"/>
        <v>-0.13997053251946959</v>
      </c>
      <c r="O4394" t="s">
        <v>605</v>
      </c>
      <c r="Q4394" s="42" t="s">
        <v>2650</v>
      </c>
    </row>
    <row r="4395" spans="1:17" x14ac:dyDescent="0.25">
      <c r="A4395" s="22">
        <v>45800</v>
      </c>
      <c r="B4395" s="1" t="s">
        <v>1915</v>
      </c>
      <c r="C4395" t="s">
        <v>622</v>
      </c>
      <c r="D4395" s="23">
        <v>-11.87</v>
      </c>
      <c r="E4395" t="s">
        <v>35</v>
      </c>
      <c r="F4395" s="2">
        <v>610148001</v>
      </c>
      <c r="G4395" s="2" t="s">
        <v>41</v>
      </c>
      <c r="I4395" s="95" t="s">
        <v>7231</v>
      </c>
      <c r="J4395" t="s">
        <v>42</v>
      </c>
      <c r="K4395" t="s">
        <v>41</v>
      </c>
      <c r="M4395">
        <v>95.02</v>
      </c>
      <c r="N4395" s="4">
        <f t="shared" si="68"/>
        <v>-0.12492106924857925</v>
      </c>
      <c r="O4395" t="s">
        <v>605</v>
      </c>
      <c r="Q4395" s="42" t="s">
        <v>2650</v>
      </c>
    </row>
    <row r="4396" spans="1:17" x14ac:dyDescent="0.25">
      <c r="A4396" s="22">
        <v>45800</v>
      </c>
      <c r="B4396" s="1" t="s">
        <v>623</v>
      </c>
      <c r="C4396" t="s">
        <v>622</v>
      </c>
      <c r="D4396" s="23">
        <v>-9.5</v>
      </c>
      <c r="E4396" t="s">
        <v>35</v>
      </c>
      <c r="F4396" s="2">
        <v>610148001</v>
      </c>
      <c r="G4396" s="2" t="s">
        <v>41</v>
      </c>
      <c r="I4396" s="95" t="s">
        <v>7231</v>
      </c>
      <c r="J4396" t="s">
        <v>42</v>
      </c>
      <c r="K4396" t="s">
        <v>41</v>
      </c>
      <c r="M4396">
        <v>95.02</v>
      </c>
      <c r="N4396" s="4">
        <f t="shared" si="68"/>
        <v>-9.997895179962113E-2</v>
      </c>
      <c r="O4396" t="s">
        <v>605</v>
      </c>
      <c r="Q4396" s="42" t="s">
        <v>2650</v>
      </c>
    </row>
    <row r="4397" spans="1:17" x14ac:dyDescent="0.25">
      <c r="A4397" s="22">
        <v>45800</v>
      </c>
      <c r="B4397" s="1" t="s">
        <v>2090</v>
      </c>
      <c r="C4397" t="s">
        <v>622</v>
      </c>
      <c r="D4397" s="23">
        <v>-37.67</v>
      </c>
      <c r="E4397" t="s">
        <v>35</v>
      </c>
      <c r="F4397" s="2">
        <v>610148001</v>
      </c>
      <c r="G4397" s="2" t="s">
        <v>41</v>
      </c>
      <c r="I4397" s="95" t="s">
        <v>7231</v>
      </c>
      <c r="J4397" t="s">
        <v>42</v>
      </c>
      <c r="K4397" t="s">
        <v>41</v>
      </c>
      <c r="M4397">
        <v>95.02</v>
      </c>
      <c r="N4397" s="4">
        <f t="shared" si="68"/>
        <v>-0.39644285413597141</v>
      </c>
      <c r="O4397" t="s">
        <v>605</v>
      </c>
      <c r="Q4397" s="42" t="s">
        <v>2650</v>
      </c>
    </row>
    <row r="4398" spans="1:17" x14ac:dyDescent="0.25">
      <c r="A4398" s="22">
        <v>45800</v>
      </c>
      <c r="B4398" s="1" t="s">
        <v>624</v>
      </c>
      <c r="C4398" t="s">
        <v>622</v>
      </c>
      <c r="D4398" s="23">
        <v>-28.5</v>
      </c>
      <c r="E4398" t="s">
        <v>35</v>
      </c>
      <c r="F4398" s="2">
        <v>610148001</v>
      </c>
      <c r="G4398" s="2" t="s">
        <v>41</v>
      </c>
      <c r="I4398" s="95" t="s">
        <v>7231</v>
      </c>
      <c r="J4398" t="s">
        <v>42</v>
      </c>
      <c r="K4398" t="s">
        <v>41</v>
      </c>
      <c r="M4398">
        <v>95.02</v>
      </c>
      <c r="N4398" s="4">
        <f t="shared" si="68"/>
        <v>-0.29993685539886339</v>
      </c>
      <c r="O4398" t="s">
        <v>605</v>
      </c>
      <c r="Q4398" s="42" t="s">
        <v>2650</v>
      </c>
    </row>
    <row r="4399" spans="1:17" x14ac:dyDescent="0.25">
      <c r="A4399" s="22">
        <v>45800</v>
      </c>
      <c r="B4399" s="1" t="s">
        <v>1919</v>
      </c>
      <c r="C4399" t="s">
        <v>622</v>
      </c>
      <c r="D4399" s="23">
        <v>-7.12</v>
      </c>
      <c r="E4399" t="s">
        <v>35</v>
      </c>
      <c r="F4399" s="2">
        <v>610148001</v>
      </c>
      <c r="G4399" s="2" t="s">
        <v>41</v>
      </c>
      <c r="I4399" s="95" t="s">
        <v>7231</v>
      </c>
      <c r="J4399" t="s">
        <v>42</v>
      </c>
      <c r="K4399" t="s">
        <v>41</v>
      </c>
      <c r="M4399">
        <v>95.02</v>
      </c>
      <c r="N4399" s="4">
        <f t="shared" si="68"/>
        <v>-7.4931593348768685E-2</v>
      </c>
      <c r="O4399" t="s">
        <v>605</v>
      </c>
      <c r="Q4399" s="42" t="s">
        <v>2650</v>
      </c>
    </row>
    <row r="4400" spans="1:17" x14ac:dyDescent="0.25">
      <c r="A4400" s="22">
        <v>45800</v>
      </c>
      <c r="B4400" s="1" t="s">
        <v>1914</v>
      </c>
      <c r="C4400" t="s">
        <v>622</v>
      </c>
      <c r="D4400" s="23">
        <v>-4.75</v>
      </c>
      <c r="E4400" t="s">
        <v>35</v>
      </c>
      <c r="F4400" s="2">
        <v>610148001</v>
      </c>
      <c r="G4400" s="2" t="s">
        <v>41</v>
      </c>
      <c r="I4400" s="95" t="s">
        <v>7231</v>
      </c>
      <c r="J4400" t="s">
        <v>42</v>
      </c>
      <c r="K4400" t="s">
        <v>41</v>
      </c>
      <c r="M4400">
        <v>95.02</v>
      </c>
      <c r="N4400" s="4">
        <f t="shared" si="68"/>
        <v>-4.9989475899810565E-2</v>
      </c>
      <c r="O4400" t="s">
        <v>605</v>
      </c>
      <c r="Q4400" s="42" t="s">
        <v>2650</v>
      </c>
    </row>
    <row r="4401" spans="1:17" x14ac:dyDescent="0.25">
      <c r="A4401" s="22">
        <v>45806</v>
      </c>
      <c r="B4401" s="1" t="s">
        <v>3329</v>
      </c>
      <c r="C4401" t="s">
        <v>293</v>
      </c>
      <c r="D4401" s="23">
        <v>230000</v>
      </c>
      <c r="E4401" t="s">
        <v>45</v>
      </c>
      <c r="F4401" s="2">
        <v>210115002</v>
      </c>
      <c r="G4401" s="2" t="s">
        <v>46</v>
      </c>
      <c r="I4401" s="95" t="s">
        <v>7231</v>
      </c>
      <c r="K4401" t="s">
        <v>293</v>
      </c>
      <c r="M4401">
        <v>96.53</v>
      </c>
      <c r="N4401" s="4">
        <f t="shared" si="68"/>
        <v>2382.6789599088365</v>
      </c>
      <c r="O4401" t="s">
        <v>605</v>
      </c>
    </row>
    <row r="4402" spans="1:17" x14ac:dyDescent="0.25">
      <c r="A4402" s="22">
        <v>45806</v>
      </c>
      <c r="B4402" s="1" t="s">
        <v>615</v>
      </c>
      <c r="C4402" t="s">
        <v>3330</v>
      </c>
      <c r="D4402" s="44">
        <v>-35272.06</v>
      </c>
      <c r="E4402" t="s">
        <v>35</v>
      </c>
      <c r="F4402" s="2">
        <v>110114001</v>
      </c>
      <c r="G4402" s="2" t="s">
        <v>181</v>
      </c>
      <c r="I4402" s="95" t="s">
        <v>7231</v>
      </c>
      <c r="J4402" t="s">
        <v>182</v>
      </c>
      <c r="K4402" t="s">
        <v>2491</v>
      </c>
      <c r="M4402">
        <v>96.53</v>
      </c>
      <c r="N4402" s="4">
        <f t="shared" si="68"/>
        <v>-365.39997928105248</v>
      </c>
      <c r="O4402" t="s">
        <v>605</v>
      </c>
      <c r="P4402" s="34" t="s">
        <v>1279</v>
      </c>
    </row>
    <row r="4403" spans="1:17" ht="15.75" x14ac:dyDescent="0.25">
      <c r="A4403" s="22">
        <v>45806</v>
      </c>
      <c r="B4403" s="1" t="s">
        <v>613</v>
      </c>
      <c r="C4403" t="s">
        <v>3331</v>
      </c>
      <c r="D4403" s="31">
        <v>-193060</v>
      </c>
      <c r="E4403" t="s">
        <v>35</v>
      </c>
      <c r="F4403" s="2">
        <v>110110001</v>
      </c>
      <c r="G4403" s="2" t="s">
        <v>655</v>
      </c>
      <c r="I4403" s="95" t="s">
        <v>7231</v>
      </c>
      <c r="J4403" t="s">
        <v>3332</v>
      </c>
      <c r="K4403" t="s">
        <v>38</v>
      </c>
      <c r="M4403">
        <v>96.53</v>
      </c>
      <c r="N4403" s="4">
        <f t="shared" si="68"/>
        <v>-2000</v>
      </c>
      <c r="O4403" t="s">
        <v>605</v>
      </c>
      <c r="Q4403" s="75"/>
    </row>
    <row r="4404" spans="1:17" x14ac:dyDescent="0.25">
      <c r="A4404" s="22">
        <v>45806</v>
      </c>
      <c r="B4404" s="1" t="s">
        <v>625</v>
      </c>
      <c r="C4404" t="s">
        <v>622</v>
      </c>
      <c r="D4404" s="23">
        <v>-88.18</v>
      </c>
      <c r="E4404" t="s">
        <v>35</v>
      </c>
      <c r="F4404" s="2">
        <v>610148001</v>
      </c>
      <c r="G4404" s="2" t="s">
        <v>41</v>
      </c>
      <c r="I4404" s="95" t="s">
        <v>7231</v>
      </c>
      <c r="J4404" t="s">
        <v>42</v>
      </c>
      <c r="K4404" t="s">
        <v>41</v>
      </c>
      <c r="M4404">
        <v>96.53</v>
      </c>
      <c r="N4404" s="4">
        <f t="shared" si="68"/>
        <v>-0.91349839428157054</v>
      </c>
      <c r="O4404" t="s">
        <v>605</v>
      </c>
      <c r="Q4404" s="42" t="s">
        <v>2650</v>
      </c>
    </row>
    <row r="4405" spans="1:17" x14ac:dyDescent="0.25">
      <c r="A4405" s="22">
        <v>45806</v>
      </c>
      <c r="B4405" s="1" t="s">
        <v>623</v>
      </c>
      <c r="C4405" t="s">
        <v>622</v>
      </c>
      <c r="D4405" s="23">
        <v>-482.65</v>
      </c>
      <c r="E4405" t="s">
        <v>35</v>
      </c>
      <c r="F4405" s="2">
        <v>610148001</v>
      </c>
      <c r="G4405" s="2" t="s">
        <v>41</v>
      </c>
      <c r="I4405" s="95" t="s">
        <v>7231</v>
      </c>
      <c r="J4405" t="s">
        <v>42</v>
      </c>
      <c r="K4405" t="s">
        <v>41</v>
      </c>
      <c r="M4405">
        <v>96.53</v>
      </c>
      <c r="N4405" s="4">
        <f t="shared" si="68"/>
        <v>-5</v>
      </c>
      <c r="O4405" t="s">
        <v>605</v>
      </c>
      <c r="Q4405" s="42" t="s">
        <v>2650</v>
      </c>
    </row>
    <row r="4406" spans="1:17" x14ac:dyDescent="0.25">
      <c r="A4406" s="22">
        <v>45806</v>
      </c>
      <c r="B4406" s="1" t="s">
        <v>3333</v>
      </c>
      <c r="C4406" t="s">
        <v>293</v>
      </c>
      <c r="D4406" s="23">
        <v>200000</v>
      </c>
      <c r="E4406" t="s">
        <v>45</v>
      </c>
      <c r="F4406" s="2">
        <v>210115002</v>
      </c>
      <c r="G4406" s="2" t="s">
        <v>46</v>
      </c>
      <c r="I4406" s="95" t="s">
        <v>7231</v>
      </c>
      <c r="K4406" t="s">
        <v>293</v>
      </c>
      <c r="M4406">
        <v>96.53</v>
      </c>
      <c r="N4406" s="4">
        <f t="shared" si="68"/>
        <v>2071.8947477468146</v>
      </c>
      <c r="O4406" t="s">
        <v>605</v>
      </c>
    </row>
    <row r="4407" spans="1:17" ht="15.75" x14ac:dyDescent="0.25">
      <c r="A4407" s="22">
        <v>45806</v>
      </c>
      <c r="B4407" s="1" t="s">
        <v>613</v>
      </c>
      <c r="C4407" t="s">
        <v>3334</v>
      </c>
      <c r="D4407" s="31">
        <v>-91940</v>
      </c>
      <c r="E4407" t="s">
        <v>35</v>
      </c>
      <c r="F4407" s="2">
        <v>110110001</v>
      </c>
      <c r="G4407" s="2" t="s">
        <v>655</v>
      </c>
      <c r="I4407" s="95" t="s">
        <v>7231</v>
      </c>
      <c r="J4407" t="s">
        <v>3332</v>
      </c>
      <c r="K4407" t="s">
        <v>38</v>
      </c>
      <c r="M4407">
        <v>96.53</v>
      </c>
      <c r="N4407" s="4">
        <f t="shared" si="68"/>
        <v>-952.45001553921065</v>
      </c>
      <c r="O4407" t="s">
        <v>605</v>
      </c>
      <c r="Q4407" s="75"/>
    </row>
    <row r="4408" spans="1:17" x14ac:dyDescent="0.25">
      <c r="A4408" s="22">
        <v>45806</v>
      </c>
      <c r="B4408" s="1" t="s">
        <v>615</v>
      </c>
      <c r="C4408" t="s">
        <v>3335</v>
      </c>
      <c r="D4408" s="44">
        <v>-56470.05</v>
      </c>
      <c r="E4408" t="s">
        <v>35</v>
      </c>
      <c r="F4408" s="2">
        <v>110114001</v>
      </c>
      <c r="G4408" s="2" t="s">
        <v>181</v>
      </c>
      <c r="I4408" s="95" t="s">
        <v>7231</v>
      </c>
      <c r="K4408" t="s">
        <v>1256</v>
      </c>
      <c r="M4408">
        <v>96.53</v>
      </c>
      <c r="N4408" s="4">
        <f t="shared" si="68"/>
        <v>-585</v>
      </c>
      <c r="O4408" t="s">
        <v>605</v>
      </c>
    </row>
    <row r="4409" spans="1:17" x14ac:dyDescent="0.25">
      <c r="A4409" s="22">
        <v>45806</v>
      </c>
      <c r="B4409" s="1" t="s">
        <v>617</v>
      </c>
      <c r="C4409" t="s">
        <v>3336</v>
      </c>
      <c r="D4409" s="23">
        <v>-33592.61</v>
      </c>
      <c r="E4409" t="s">
        <v>35</v>
      </c>
      <c r="F4409" s="2">
        <v>110114001</v>
      </c>
      <c r="G4409" s="2" t="s">
        <v>181</v>
      </c>
      <c r="I4409" s="95" t="s">
        <v>7231</v>
      </c>
      <c r="J4409" s="51" t="s">
        <v>182</v>
      </c>
      <c r="K4409" t="s">
        <v>183</v>
      </c>
      <c r="M4409">
        <v>96.53</v>
      </c>
      <c r="N4409" s="4">
        <f t="shared" si="68"/>
        <v>-348.0017611105356</v>
      </c>
      <c r="O4409" t="s">
        <v>605</v>
      </c>
      <c r="P4409" s="34" t="s">
        <v>2492</v>
      </c>
    </row>
    <row r="4410" spans="1:17" x14ac:dyDescent="0.25">
      <c r="A4410" s="22">
        <v>45806</v>
      </c>
      <c r="B4410" s="1" t="s">
        <v>623</v>
      </c>
      <c r="C4410" t="s">
        <v>622</v>
      </c>
      <c r="D4410" s="23">
        <v>-229.85</v>
      </c>
      <c r="E4410" t="s">
        <v>35</v>
      </c>
      <c r="F4410" s="2">
        <v>610148001</v>
      </c>
      <c r="G4410" s="2" t="s">
        <v>41</v>
      </c>
      <c r="I4410" s="95" t="s">
        <v>7231</v>
      </c>
      <c r="J4410" t="s">
        <v>42</v>
      </c>
      <c r="K4410" t="s">
        <v>41</v>
      </c>
      <c r="M4410">
        <v>96.53</v>
      </c>
      <c r="N4410" s="4">
        <f t="shared" si="68"/>
        <v>-2.3811250388480265</v>
      </c>
      <c r="O4410" t="s">
        <v>605</v>
      </c>
      <c r="Q4410" s="42" t="s">
        <v>2650</v>
      </c>
    </row>
    <row r="4411" spans="1:17" x14ac:dyDescent="0.25">
      <c r="A4411" s="22">
        <v>45806</v>
      </c>
      <c r="B4411" s="1" t="s">
        <v>624</v>
      </c>
      <c r="C4411" t="s">
        <v>622</v>
      </c>
      <c r="D4411" s="23">
        <v>-83.98</v>
      </c>
      <c r="E4411" t="s">
        <v>35</v>
      </c>
      <c r="F4411" s="2">
        <v>610148001</v>
      </c>
      <c r="G4411" s="2" t="s">
        <v>41</v>
      </c>
      <c r="I4411" s="95" t="s">
        <v>7231</v>
      </c>
      <c r="J4411" t="s">
        <v>42</v>
      </c>
      <c r="K4411" t="s">
        <v>41</v>
      </c>
      <c r="M4411">
        <v>96.53</v>
      </c>
      <c r="N4411" s="4">
        <f t="shared" si="68"/>
        <v>-0.86998860457888738</v>
      </c>
      <c r="O4411" t="s">
        <v>605</v>
      </c>
      <c r="Q4411" s="42" t="s">
        <v>2650</v>
      </c>
    </row>
    <row r="4412" spans="1:17" x14ac:dyDescent="0.25">
      <c r="A4412" s="22">
        <v>45806</v>
      </c>
      <c r="B4412" s="1" t="s">
        <v>625</v>
      </c>
      <c r="C4412" t="s">
        <v>622</v>
      </c>
      <c r="D4412" s="23">
        <v>-141.16999999999999</v>
      </c>
      <c r="E4412" t="s">
        <v>35</v>
      </c>
      <c r="F4412" s="2">
        <v>610148001</v>
      </c>
      <c r="G4412" s="2" t="s">
        <v>41</v>
      </c>
      <c r="I4412" s="95" t="s">
        <v>7231</v>
      </c>
      <c r="J4412" t="s">
        <v>42</v>
      </c>
      <c r="K4412" t="s">
        <v>41</v>
      </c>
      <c r="M4412">
        <v>96.53</v>
      </c>
      <c r="N4412" s="4">
        <f t="shared" si="68"/>
        <v>-1.4624469076970887</v>
      </c>
      <c r="O4412" t="s">
        <v>605</v>
      </c>
      <c r="Q4412" s="42" t="s">
        <v>2650</v>
      </c>
    </row>
    <row r="4413" spans="1:17" x14ac:dyDescent="0.25">
      <c r="A4413" s="22">
        <v>45806</v>
      </c>
      <c r="B4413" s="1" t="s">
        <v>3337</v>
      </c>
      <c r="C4413" t="s">
        <v>293</v>
      </c>
      <c r="D4413" s="23">
        <v>1200000</v>
      </c>
      <c r="E4413" t="s">
        <v>45</v>
      </c>
      <c r="F4413" s="2">
        <v>210115002</v>
      </c>
      <c r="G4413" s="2" t="s">
        <v>46</v>
      </c>
      <c r="I4413" s="95" t="s">
        <v>7231</v>
      </c>
      <c r="K4413" t="s">
        <v>293</v>
      </c>
      <c r="M4413">
        <v>96.53</v>
      </c>
      <c r="N4413" s="4">
        <f t="shared" si="68"/>
        <v>12431.368486480887</v>
      </c>
      <c r="O4413" t="s">
        <v>605</v>
      </c>
    </row>
    <row r="4414" spans="1:17" x14ac:dyDescent="0.25">
      <c r="A4414" s="22">
        <v>45806</v>
      </c>
      <c r="B4414" s="1" t="s">
        <v>619</v>
      </c>
      <c r="C4414" t="s">
        <v>3338</v>
      </c>
      <c r="D4414" s="23">
        <v>-200000</v>
      </c>
      <c r="E4414" t="s">
        <v>35</v>
      </c>
      <c r="F4414" s="2">
        <v>110114001</v>
      </c>
      <c r="G4414" s="2" t="s">
        <v>181</v>
      </c>
      <c r="I4414" s="95" t="s">
        <v>7231</v>
      </c>
      <c r="J4414" s="51" t="s">
        <v>182</v>
      </c>
      <c r="K4414" t="s">
        <v>183</v>
      </c>
      <c r="M4414">
        <v>96.53</v>
      </c>
      <c r="N4414" s="4">
        <f t="shared" si="68"/>
        <v>-2071.8947477468146</v>
      </c>
      <c r="O4414" t="s">
        <v>605</v>
      </c>
      <c r="P4414" s="34" t="s">
        <v>2492</v>
      </c>
    </row>
    <row r="4415" spans="1:17" x14ac:dyDescent="0.25">
      <c r="A4415" s="22">
        <v>45806</v>
      </c>
      <c r="B4415" s="1" t="s">
        <v>1267</v>
      </c>
      <c r="C4415" t="s">
        <v>3339</v>
      </c>
      <c r="D4415" s="23">
        <v>-193466.44</v>
      </c>
      <c r="E4415" t="s">
        <v>35</v>
      </c>
      <c r="F4415" s="2">
        <v>110114001</v>
      </c>
      <c r="G4415" s="2" t="s">
        <v>181</v>
      </c>
      <c r="I4415" s="95" t="s">
        <v>7231</v>
      </c>
      <c r="J4415" s="51" t="s">
        <v>182</v>
      </c>
      <c r="K4415" t="s">
        <v>183</v>
      </c>
      <c r="M4415">
        <v>96.53</v>
      </c>
      <c r="N4415" s="4">
        <f t="shared" si="68"/>
        <v>-2004.2105045063711</v>
      </c>
      <c r="O4415" t="s">
        <v>605</v>
      </c>
      <c r="P4415" s="34" t="s">
        <v>2492</v>
      </c>
    </row>
    <row r="4416" spans="1:17" x14ac:dyDescent="0.25">
      <c r="A4416" s="22">
        <v>45806</v>
      </c>
      <c r="B4416" s="1" t="s">
        <v>613</v>
      </c>
      <c r="C4416" t="s">
        <v>3339</v>
      </c>
      <c r="D4416" s="23">
        <v>-200000</v>
      </c>
      <c r="E4416" t="s">
        <v>35</v>
      </c>
      <c r="F4416" s="2">
        <v>110114001</v>
      </c>
      <c r="G4416" s="2" t="s">
        <v>181</v>
      </c>
      <c r="I4416" s="95" t="s">
        <v>7231</v>
      </c>
      <c r="J4416" s="51" t="s">
        <v>182</v>
      </c>
      <c r="K4416" t="s">
        <v>183</v>
      </c>
      <c r="M4416">
        <v>96.53</v>
      </c>
      <c r="N4416" s="4">
        <f t="shared" si="68"/>
        <v>-2071.8947477468146</v>
      </c>
      <c r="O4416" t="s">
        <v>605</v>
      </c>
      <c r="P4416" s="34" t="s">
        <v>2492</v>
      </c>
    </row>
    <row r="4417" spans="1:17" x14ac:dyDescent="0.25">
      <c r="A4417" s="22">
        <v>45806</v>
      </c>
      <c r="B4417" s="1" t="s">
        <v>615</v>
      </c>
      <c r="C4417" t="s">
        <v>3339</v>
      </c>
      <c r="D4417" s="23">
        <v>-200000</v>
      </c>
      <c r="E4417" t="s">
        <v>35</v>
      </c>
      <c r="F4417" s="2">
        <v>110114001</v>
      </c>
      <c r="G4417" s="2" t="s">
        <v>181</v>
      </c>
      <c r="I4417" s="95" t="s">
        <v>7231</v>
      </c>
      <c r="J4417" s="51" t="s">
        <v>182</v>
      </c>
      <c r="K4417" t="s">
        <v>183</v>
      </c>
      <c r="M4417">
        <v>96.53</v>
      </c>
      <c r="N4417" s="4">
        <f t="shared" si="68"/>
        <v>-2071.8947477468146</v>
      </c>
      <c r="O4417" t="s">
        <v>605</v>
      </c>
      <c r="P4417" s="34" t="s">
        <v>2492</v>
      </c>
    </row>
    <row r="4418" spans="1:17" x14ac:dyDescent="0.25">
      <c r="A4418" s="22">
        <v>45806</v>
      </c>
      <c r="B4418" s="1" t="s">
        <v>617</v>
      </c>
      <c r="C4418" t="s">
        <v>3338</v>
      </c>
      <c r="D4418" s="23">
        <v>-193466.44</v>
      </c>
      <c r="E4418" t="s">
        <v>35</v>
      </c>
      <c r="F4418" s="2">
        <v>110114001</v>
      </c>
      <c r="G4418" s="2" t="s">
        <v>181</v>
      </c>
      <c r="I4418" s="95" t="s">
        <v>7231</v>
      </c>
      <c r="J4418" s="51" t="s">
        <v>182</v>
      </c>
      <c r="K4418" t="s">
        <v>183</v>
      </c>
      <c r="M4418">
        <v>96.53</v>
      </c>
      <c r="N4418" s="4">
        <f t="shared" si="68"/>
        <v>-2004.2105045063711</v>
      </c>
      <c r="O4418" t="s">
        <v>605</v>
      </c>
      <c r="P4418" s="34" t="s">
        <v>2492</v>
      </c>
    </row>
    <row r="4419" spans="1:17" x14ac:dyDescent="0.25">
      <c r="A4419" s="22">
        <v>45806</v>
      </c>
      <c r="B4419" s="1" t="s">
        <v>1268</v>
      </c>
      <c r="C4419" t="s">
        <v>3338</v>
      </c>
      <c r="D4419" s="23">
        <v>-200000</v>
      </c>
      <c r="E4419" t="s">
        <v>35</v>
      </c>
      <c r="F4419" s="2">
        <v>110114001</v>
      </c>
      <c r="G4419" s="2" t="s">
        <v>181</v>
      </c>
      <c r="I4419" s="95" t="s">
        <v>7231</v>
      </c>
      <c r="J4419" s="51" t="s">
        <v>182</v>
      </c>
      <c r="K4419" t="s">
        <v>183</v>
      </c>
      <c r="M4419">
        <v>96.53</v>
      </c>
      <c r="N4419" s="4">
        <f t="shared" si="68"/>
        <v>-2071.8947477468146</v>
      </c>
      <c r="O4419" t="s">
        <v>605</v>
      </c>
      <c r="P4419" s="34" t="s">
        <v>2492</v>
      </c>
    </row>
    <row r="4420" spans="1:17" x14ac:dyDescent="0.25">
      <c r="A4420" s="22">
        <v>45806</v>
      </c>
      <c r="B4420" s="1" t="s">
        <v>625</v>
      </c>
      <c r="C4420" t="s">
        <v>622</v>
      </c>
      <c r="D4420" s="23">
        <v>-500</v>
      </c>
      <c r="E4420" t="s">
        <v>35</v>
      </c>
      <c r="F4420" s="2">
        <v>610148001</v>
      </c>
      <c r="G4420" s="2" t="s">
        <v>41</v>
      </c>
      <c r="I4420" s="95" t="s">
        <v>7231</v>
      </c>
      <c r="J4420" t="s">
        <v>42</v>
      </c>
      <c r="K4420" t="s">
        <v>41</v>
      </c>
      <c r="M4420">
        <v>96.53</v>
      </c>
      <c r="N4420" s="4">
        <f t="shared" si="68"/>
        <v>-5.1797368693670363</v>
      </c>
      <c r="O4420" t="s">
        <v>605</v>
      </c>
      <c r="Q4420" s="42" t="s">
        <v>2650</v>
      </c>
    </row>
    <row r="4421" spans="1:17" x14ac:dyDescent="0.25">
      <c r="A4421" s="22">
        <v>45806</v>
      </c>
      <c r="B4421" s="1" t="s">
        <v>1271</v>
      </c>
      <c r="C4421" t="s">
        <v>622</v>
      </c>
      <c r="D4421" s="23">
        <v>-500</v>
      </c>
      <c r="E4421" t="s">
        <v>35</v>
      </c>
      <c r="F4421" s="2">
        <v>610148001</v>
      </c>
      <c r="G4421" s="2" t="s">
        <v>41</v>
      </c>
      <c r="I4421" s="95" t="s">
        <v>7231</v>
      </c>
      <c r="J4421" t="s">
        <v>42</v>
      </c>
      <c r="K4421" t="s">
        <v>41</v>
      </c>
      <c r="M4421">
        <v>96.53</v>
      </c>
      <c r="N4421" s="4">
        <f t="shared" si="68"/>
        <v>-5.1797368693670363</v>
      </c>
      <c r="O4421" t="s">
        <v>605</v>
      </c>
      <c r="Q4421" s="42" t="s">
        <v>2650</v>
      </c>
    </row>
    <row r="4422" spans="1:17" x14ac:dyDescent="0.25">
      <c r="A4422" s="22">
        <v>45806</v>
      </c>
      <c r="B4422" s="1" t="s">
        <v>1272</v>
      </c>
      <c r="C4422" t="s">
        <v>622</v>
      </c>
      <c r="D4422" s="23">
        <v>-483.66</v>
      </c>
      <c r="E4422" t="s">
        <v>35</v>
      </c>
      <c r="F4422" s="2">
        <v>610148001</v>
      </c>
      <c r="G4422" s="2" t="s">
        <v>41</v>
      </c>
      <c r="I4422" s="95" t="s">
        <v>7231</v>
      </c>
      <c r="J4422" t="s">
        <v>42</v>
      </c>
      <c r="K4422" t="s">
        <v>41</v>
      </c>
      <c r="M4422">
        <v>96.53</v>
      </c>
      <c r="N4422" s="4">
        <f t="shared" si="68"/>
        <v>-5.0104630684761213</v>
      </c>
      <c r="O4422" t="s">
        <v>605</v>
      </c>
      <c r="Q4422" s="42" t="s">
        <v>2650</v>
      </c>
    </row>
    <row r="4423" spans="1:17" x14ac:dyDescent="0.25">
      <c r="A4423" s="22">
        <v>45806</v>
      </c>
      <c r="B4423" s="1" t="s">
        <v>623</v>
      </c>
      <c r="C4423" t="s">
        <v>622</v>
      </c>
      <c r="D4423" s="23">
        <v>-500</v>
      </c>
      <c r="E4423" t="s">
        <v>35</v>
      </c>
      <c r="F4423" s="2">
        <v>610148001</v>
      </c>
      <c r="G4423" s="2" t="s">
        <v>41</v>
      </c>
      <c r="I4423" s="95" t="s">
        <v>7231</v>
      </c>
      <c r="J4423" t="s">
        <v>42</v>
      </c>
      <c r="K4423" t="s">
        <v>41</v>
      </c>
      <c r="M4423">
        <v>96.53</v>
      </c>
      <c r="N4423" s="4">
        <f t="shared" si="68"/>
        <v>-5.1797368693670363</v>
      </c>
      <c r="O4423" t="s">
        <v>605</v>
      </c>
      <c r="Q4423" s="42" t="s">
        <v>2650</v>
      </c>
    </row>
    <row r="4424" spans="1:17" x14ac:dyDescent="0.25">
      <c r="A4424" s="22">
        <v>45806</v>
      </c>
      <c r="B4424" s="1" t="s">
        <v>621</v>
      </c>
      <c r="C4424" t="s">
        <v>622</v>
      </c>
      <c r="D4424" s="23">
        <v>-500</v>
      </c>
      <c r="E4424" t="s">
        <v>35</v>
      </c>
      <c r="F4424" s="2">
        <v>610148001</v>
      </c>
      <c r="G4424" s="2" t="s">
        <v>41</v>
      </c>
      <c r="I4424" s="95" t="s">
        <v>7231</v>
      </c>
      <c r="J4424" t="s">
        <v>42</v>
      </c>
      <c r="K4424" t="s">
        <v>41</v>
      </c>
      <c r="M4424">
        <v>96.53</v>
      </c>
      <c r="N4424" s="4">
        <f t="shared" si="68"/>
        <v>-5.1797368693670363</v>
      </c>
      <c r="O4424" t="s">
        <v>605</v>
      </c>
      <c r="Q4424" s="42" t="s">
        <v>2650</v>
      </c>
    </row>
    <row r="4425" spans="1:17" x14ac:dyDescent="0.25">
      <c r="A4425" s="22">
        <v>45806</v>
      </c>
      <c r="B4425" s="1" t="s">
        <v>624</v>
      </c>
      <c r="C4425" t="s">
        <v>622</v>
      </c>
      <c r="D4425" s="23">
        <v>-483.66</v>
      </c>
      <c r="E4425" t="s">
        <v>35</v>
      </c>
      <c r="F4425" s="2">
        <v>610148001</v>
      </c>
      <c r="G4425" s="2" t="s">
        <v>41</v>
      </c>
      <c r="I4425" s="95" t="s">
        <v>7231</v>
      </c>
      <c r="J4425" t="s">
        <v>42</v>
      </c>
      <c r="K4425" t="s">
        <v>41</v>
      </c>
      <c r="M4425">
        <v>96.53</v>
      </c>
      <c r="N4425" s="4">
        <f t="shared" si="68"/>
        <v>-5.0104630684761213</v>
      </c>
      <c r="O4425" t="s">
        <v>605</v>
      </c>
      <c r="Q4425" s="42" t="s">
        <v>2650</v>
      </c>
    </row>
    <row r="4426" spans="1:17" x14ac:dyDescent="0.25">
      <c r="A4426" s="22">
        <v>45806</v>
      </c>
      <c r="B4426" s="1" t="s">
        <v>3340</v>
      </c>
      <c r="C4426" t="s">
        <v>293</v>
      </c>
      <c r="D4426" s="23">
        <v>150000</v>
      </c>
      <c r="E4426" t="s">
        <v>45</v>
      </c>
      <c r="F4426" s="2">
        <v>210115002</v>
      </c>
      <c r="G4426" s="2" t="s">
        <v>46</v>
      </c>
      <c r="I4426" s="95" t="s">
        <v>7231</v>
      </c>
      <c r="K4426" t="s">
        <v>293</v>
      </c>
      <c r="M4426">
        <v>96.53</v>
      </c>
      <c r="N4426" s="4">
        <f t="shared" si="68"/>
        <v>1553.9210608101109</v>
      </c>
      <c r="O4426" t="s">
        <v>605</v>
      </c>
    </row>
    <row r="4427" spans="1:17" x14ac:dyDescent="0.25">
      <c r="A4427" s="22">
        <v>45806</v>
      </c>
      <c r="B4427" s="1" t="s">
        <v>615</v>
      </c>
      <c r="C4427" t="s">
        <v>3341</v>
      </c>
      <c r="D4427" s="23">
        <v>-60868.74</v>
      </c>
      <c r="E4427" t="s">
        <v>35</v>
      </c>
      <c r="F4427" s="2">
        <v>110114001</v>
      </c>
      <c r="G4427" s="2" t="s">
        <v>181</v>
      </c>
      <c r="I4427" s="95" t="s">
        <v>7231</v>
      </c>
      <c r="K4427" t="s">
        <v>1862</v>
      </c>
      <c r="M4427">
        <v>96.53</v>
      </c>
      <c r="N4427" s="4">
        <f t="shared" si="68"/>
        <v>-630.5681135398321</v>
      </c>
      <c r="O4427" t="s">
        <v>605</v>
      </c>
    </row>
    <row r="4428" spans="1:17" x14ac:dyDescent="0.25">
      <c r="A4428" s="22">
        <v>45806</v>
      </c>
      <c r="B4428" s="1" t="s">
        <v>613</v>
      </c>
      <c r="C4428" t="s">
        <v>3342</v>
      </c>
      <c r="D4428" s="23">
        <v>-99657.57</v>
      </c>
      <c r="E4428" t="s">
        <v>35</v>
      </c>
      <c r="F4428" s="2">
        <v>110114001</v>
      </c>
      <c r="G4428" s="2" t="s">
        <v>181</v>
      </c>
      <c r="I4428" s="95" t="s">
        <v>7231</v>
      </c>
      <c r="J4428" s="72" t="s">
        <v>37</v>
      </c>
      <c r="K4428" s="72" t="s">
        <v>38</v>
      </c>
      <c r="L4428" s="72"/>
      <c r="M4428">
        <v>96.53</v>
      </c>
      <c r="N4428" s="4">
        <f t="shared" ref="N4428:N4491" si="69">D4428/M4428</f>
        <v>-1032.3999792810525</v>
      </c>
      <c r="O4428" t="s">
        <v>605</v>
      </c>
      <c r="P4428" s="34" t="s">
        <v>2492</v>
      </c>
    </row>
    <row r="4429" spans="1:17" x14ac:dyDescent="0.25">
      <c r="A4429" s="22">
        <v>45806</v>
      </c>
      <c r="B4429" s="1" t="s">
        <v>625</v>
      </c>
      <c r="C4429" t="s">
        <v>622</v>
      </c>
      <c r="D4429" s="23">
        <v>-152.16999999999999</v>
      </c>
      <c r="E4429" t="s">
        <v>35</v>
      </c>
      <c r="F4429" s="2">
        <v>610148001</v>
      </c>
      <c r="G4429" s="2" t="s">
        <v>41</v>
      </c>
      <c r="I4429" s="95" t="s">
        <v>7231</v>
      </c>
      <c r="J4429" t="s">
        <v>42</v>
      </c>
      <c r="K4429" t="s">
        <v>41</v>
      </c>
      <c r="M4429">
        <v>96.53</v>
      </c>
      <c r="N4429" s="4">
        <f t="shared" si="69"/>
        <v>-1.5764011188231637</v>
      </c>
      <c r="O4429" t="s">
        <v>605</v>
      </c>
      <c r="Q4429" s="42" t="s">
        <v>2650</v>
      </c>
    </row>
    <row r="4430" spans="1:17" x14ac:dyDescent="0.25">
      <c r="A4430" s="22">
        <v>45806</v>
      </c>
      <c r="B4430" s="1" t="s">
        <v>623</v>
      </c>
      <c r="C4430" t="s">
        <v>622</v>
      </c>
      <c r="D4430" s="23">
        <v>-249.14</v>
      </c>
      <c r="E4430" t="s">
        <v>35</v>
      </c>
      <c r="F4430" s="2">
        <v>610148001</v>
      </c>
      <c r="G4430" s="2" t="s">
        <v>41</v>
      </c>
      <c r="I4430" s="95" t="s">
        <v>7231</v>
      </c>
      <c r="J4430" t="s">
        <v>42</v>
      </c>
      <c r="K4430" t="s">
        <v>41</v>
      </c>
      <c r="M4430">
        <v>96.53</v>
      </c>
      <c r="N4430" s="4">
        <f t="shared" si="69"/>
        <v>-2.5809592872682066</v>
      </c>
      <c r="O4430" t="s">
        <v>605</v>
      </c>
      <c r="Q4430" s="42" t="s">
        <v>2650</v>
      </c>
    </row>
    <row r="4431" spans="1:17" x14ac:dyDescent="0.25">
      <c r="A4431" s="22">
        <v>45806</v>
      </c>
      <c r="B4431" s="1" t="s">
        <v>3343</v>
      </c>
      <c r="C4431" t="s">
        <v>3341</v>
      </c>
      <c r="D4431" s="23">
        <v>60868.74</v>
      </c>
      <c r="E4431" t="s">
        <v>45</v>
      </c>
      <c r="F4431" s="2">
        <v>110114001</v>
      </c>
      <c r="G4431" s="2" t="s">
        <v>181</v>
      </c>
      <c r="I4431" s="95" t="s">
        <v>7231</v>
      </c>
      <c r="K4431" t="s">
        <v>1862</v>
      </c>
      <c r="M4431">
        <v>96.53</v>
      </c>
      <c r="N4431" s="4">
        <f t="shared" si="69"/>
        <v>630.5681135398321</v>
      </c>
      <c r="O4431" t="s">
        <v>605</v>
      </c>
    </row>
    <row r="4432" spans="1:17" x14ac:dyDescent="0.25">
      <c r="A4432" s="22">
        <v>45806</v>
      </c>
      <c r="B4432" s="1" t="s">
        <v>3344</v>
      </c>
      <c r="C4432" t="s">
        <v>293</v>
      </c>
      <c r="D4432" s="23">
        <v>600000</v>
      </c>
      <c r="E4432" t="s">
        <v>45</v>
      </c>
      <c r="F4432" s="2">
        <v>210115002</v>
      </c>
      <c r="G4432" s="2" t="s">
        <v>46</v>
      </c>
      <c r="I4432" s="95" t="s">
        <v>7231</v>
      </c>
      <c r="K4432" t="s">
        <v>293</v>
      </c>
      <c r="M4432">
        <v>96.53</v>
      </c>
      <c r="N4432" s="4">
        <f t="shared" si="69"/>
        <v>6215.6842432404437</v>
      </c>
      <c r="O4432" t="s">
        <v>605</v>
      </c>
    </row>
    <row r="4433" spans="1:17" x14ac:dyDescent="0.25">
      <c r="A4433" s="22">
        <v>45807</v>
      </c>
      <c r="B4433" s="1" t="s">
        <v>1994</v>
      </c>
      <c r="C4433" t="s">
        <v>3345</v>
      </c>
      <c r="D4433" s="23">
        <v>-1937.2</v>
      </c>
      <c r="E4433" t="s">
        <v>35</v>
      </c>
      <c r="F4433" s="2">
        <v>212901001</v>
      </c>
      <c r="G4433" s="2" t="s">
        <v>91</v>
      </c>
      <c r="I4433" s="95" t="s">
        <v>7231</v>
      </c>
      <c r="J4433" t="s">
        <v>61</v>
      </c>
      <c r="K4433" t="s">
        <v>62</v>
      </c>
      <c r="M4433">
        <v>96.86</v>
      </c>
      <c r="N4433" s="4">
        <f t="shared" si="69"/>
        <v>-20</v>
      </c>
      <c r="O4433" t="s">
        <v>605</v>
      </c>
    </row>
    <row r="4434" spans="1:17" x14ac:dyDescent="0.25">
      <c r="A4434" s="22">
        <v>45807</v>
      </c>
      <c r="B4434" s="1" t="s">
        <v>1888</v>
      </c>
      <c r="C4434" t="s">
        <v>3346</v>
      </c>
      <c r="D4434" s="23">
        <v>-1937.2</v>
      </c>
      <c r="E4434" t="s">
        <v>35</v>
      </c>
      <c r="F4434" s="2">
        <v>212901001</v>
      </c>
      <c r="G4434" s="2" t="s">
        <v>91</v>
      </c>
      <c r="I4434" s="95" t="s">
        <v>7231</v>
      </c>
      <c r="J4434" t="s">
        <v>61</v>
      </c>
      <c r="K4434" t="s">
        <v>62</v>
      </c>
      <c r="M4434">
        <v>96.86</v>
      </c>
      <c r="N4434" s="4">
        <f t="shared" si="69"/>
        <v>-20</v>
      </c>
      <c r="O4434" t="s">
        <v>605</v>
      </c>
    </row>
    <row r="4435" spans="1:17" x14ac:dyDescent="0.25">
      <c r="A4435" s="22">
        <v>45807</v>
      </c>
      <c r="B4435" s="1" t="s">
        <v>1898</v>
      </c>
      <c r="C4435" t="s">
        <v>3347</v>
      </c>
      <c r="D4435" s="23">
        <v>-6780.2</v>
      </c>
      <c r="E4435" t="s">
        <v>35</v>
      </c>
      <c r="F4435" s="2">
        <v>212901001</v>
      </c>
      <c r="G4435" s="2" t="s">
        <v>91</v>
      </c>
      <c r="I4435" s="95" t="s">
        <v>7231</v>
      </c>
      <c r="J4435" t="s">
        <v>61</v>
      </c>
      <c r="K4435" t="s">
        <v>62</v>
      </c>
      <c r="M4435">
        <v>96.86</v>
      </c>
      <c r="N4435" s="4">
        <f t="shared" si="69"/>
        <v>-70</v>
      </c>
      <c r="O4435" t="s">
        <v>605</v>
      </c>
    </row>
    <row r="4436" spans="1:17" x14ac:dyDescent="0.25">
      <c r="A4436" s="22">
        <v>45807</v>
      </c>
      <c r="B4436" s="1" t="s">
        <v>1904</v>
      </c>
      <c r="C4436" t="s">
        <v>3348</v>
      </c>
      <c r="D4436" s="23">
        <v>-14529</v>
      </c>
      <c r="E4436" t="s">
        <v>35</v>
      </c>
      <c r="F4436" s="2">
        <v>212901001</v>
      </c>
      <c r="G4436" s="2" t="s">
        <v>91</v>
      </c>
      <c r="I4436" s="95" t="s">
        <v>7231</v>
      </c>
      <c r="J4436" t="s">
        <v>61</v>
      </c>
      <c r="K4436" t="s">
        <v>62</v>
      </c>
      <c r="M4436">
        <v>96.86</v>
      </c>
      <c r="N4436" s="4">
        <f t="shared" si="69"/>
        <v>-150</v>
      </c>
      <c r="O4436" t="s">
        <v>605</v>
      </c>
    </row>
    <row r="4437" spans="1:17" x14ac:dyDescent="0.25">
      <c r="A4437" s="22">
        <v>45807</v>
      </c>
      <c r="B4437" s="1" t="s">
        <v>1894</v>
      </c>
      <c r="C4437" t="s">
        <v>3349</v>
      </c>
      <c r="D4437" s="23">
        <v>-1937.2</v>
      </c>
      <c r="E4437" t="s">
        <v>35</v>
      </c>
      <c r="F4437" s="2">
        <v>212901001</v>
      </c>
      <c r="G4437" s="2" t="s">
        <v>91</v>
      </c>
      <c r="I4437" s="95" t="s">
        <v>7231</v>
      </c>
      <c r="J4437" t="s">
        <v>61</v>
      </c>
      <c r="K4437" t="s">
        <v>62</v>
      </c>
      <c r="M4437">
        <v>96.86</v>
      </c>
      <c r="N4437" s="4">
        <f t="shared" si="69"/>
        <v>-20</v>
      </c>
      <c r="O4437" t="s">
        <v>605</v>
      </c>
    </row>
    <row r="4438" spans="1:17" x14ac:dyDescent="0.25">
      <c r="A4438" s="22">
        <v>45807</v>
      </c>
      <c r="B4438" s="1" t="s">
        <v>2028</v>
      </c>
      <c r="C4438" t="s">
        <v>3350</v>
      </c>
      <c r="D4438" s="23">
        <v>-1937.2</v>
      </c>
      <c r="E4438" t="s">
        <v>35</v>
      </c>
      <c r="F4438" s="2">
        <v>610156001</v>
      </c>
      <c r="G4438" s="2" t="s">
        <v>72</v>
      </c>
      <c r="I4438" s="95" t="s">
        <v>7231</v>
      </c>
      <c r="K4438" t="s">
        <v>1862</v>
      </c>
      <c r="M4438">
        <v>96.86</v>
      </c>
      <c r="N4438" s="4">
        <f t="shared" si="69"/>
        <v>-20</v>
      </c>
      <c r="O4438" t="s">
        <v>605</v>
      </c>
    </row>
    <row r="4439" spans="1:17" x14ac:dyDescent="0.25">
      <c r="A4439" s="22">
        <v>45807</v>
      </c>
      <c r="B4439" s="1" t="s">
        <v>1886</v>
      </c>
      <c r="C4439" t="s">
        <v>3351</v>
      </c>
      <c r="D4439" s="23">
        <v>-3874.4</v>
      </c>
      <c r="E4439" t="s">
        <v>35</v>
      </c>
      <c r="F4439" s="2">
        <v>212901001</v>
      </c>
      <c r="G4439" s="2" t="s">
        <v>91</v>
      </c>
      <c r="I4439" s="95" t="s">
        <v>7231</v>
      </c>
      <c r="J4439" t="s">
        <v>61</v>
      </c>
      <c r="K4439" t="s">
        <v>62</v>
      </c>
      <c r="M4439">
        <v>96.86</v>
      </c>
      <c r="N4439" s="4">
        <f t="shared" si="69"/>
        <v>-40</v>
      </c>
      <c r="O4439" t="s">
        <v>605</v>
      </c>
    </row>
    <row r="4440" spans="1:17" x14ac:dyDescent="0.25">
      <c r="A4440" s="33">
        <v>45807</v>
      </c>
      <c r="B4440" s="27" t="s">
        <v>2006</v>
      </c>
      <c r="C4440" s="28" t="s">
        <v>3352</v>
      </c>
      <c r="D4440" s="29">
        <v>-5230.4399999999996</v>
      </c>
      <c r="E4440" s="28" t="s">
        <v>35</v>
      </c>
      <c r="F4440" s="30">
        <v>610156001</v>
      </c>
      <c r="G4440" s="30" t="s">
        <v>72</v>
      </c>
      <c r="H4440" s="30"/>
      <c r="I4440" s="95" t="s">
        <v>7231</v>
      </c>
      <c r="J4440" s="28" t="s">
        <v>2398</v>
      </c>
      <c r="K4440" s="28" t="s">
        <v>632</v>
      </c>
      <c r="L4440" s="28" t="s">
        <v>56</v>
      </c>
      <c r="M4440" s="28">
        <v>96.86</v>
      </c>
      <c r="N4440" s="4">
        <f t="shared" si="69"/>
        <v>-53.999999999999993</v>
      </c>
      <c r="O4440" t="s">
        <v>605</v>
      </c>
      <c r="Q4440" s="24" t="s">
        <v>3353</v>
      </c>
    </row>
    <row r="4441" spans="1:17" x14ac:dyDescent="0.25">
      <c r="A4441" s="22">
        <v>45807</v>
      </c>
      <c r="B4441" s="1" t="s">
        <v>1938</v>
      </c>
      <c r="C4441" t="s">
        <v>3354</v>
      </c>
      <c r="D4441" s="23">
        <v>-16982.900000000001</v>
      </c>
      <c r="E4441" t="s">
        <v>35</v>
      </c>
      <c r="F4441" s="2">
        <v>110114001</v>
      </c>
      <c r="G4441" s="2" t="s">
        <v>181</v>
      </c>
      <c r="I4441" s="95" t="s">
        <v>7231</v>
      </c>
      <c r="J4441" s="51" t="s">
        <v>86</v>
      </c>
      <c r="K4441" s="51" t="s">
        <v>87</v>
      </c>
      <c r="L4441" s="51"/>
      <c r="M4441">
        <v>96.86</v>
      </c>
      <c r="N4441" s="4">
        <f t="shared" si="69"/>
        <v>-175.33450340697917</v>
      </c>
      <c r="O4441" t="s">
        <v>605</v>
      </c>
      <c r="P4441" s="34" t="s">
        <v>2492</v>
      </c>
    </row>
    <row r="4442" spans="1:17" x14ac:dyDescent="0.25">
      <c r="A4442" s="22">
        <v>45807</v>
      </c>
      <c r="B4442" s="1" t="s">
        <v>1909</v>
      </c>
      <c r="C4442" t="s">
        <v>3355</v>
      </c>
      <c r="D4442" s="23">
        <v>-4843</v>
      </c>
      <c r="E4442" t="s">
        <v>35</v>
      </c>
      <c r="F4442" s="2">
        <v>212901001</v>
      </c>
      <c r="G4442" s="2" t="s">
        <v>91</v>
      </c>
      <c r="I4442" s="95" t="s">
        <v>7231</v>
      </c>
      <c r="J4442" t="s">
        <v>61</v>
      </c>
      <c r="K4442" t="s">
        <v>62</v>
      </c>
      <c r="M4442">
        <v>96.86</v>
      </c>
      <c r="N4442" s="4">
        <f t="shared" si="69"/>
        <v>-50</v>
      </c>
      <c r="O4442" t="s">
        <v>605</v>
      </c>
    </row>
    <row r="4443" spans="1:17" x14ac:dyDescent="0.25">
      <c r="A4443" s="22">
        <v>45807</v>
      </c>
      <c r="B4443" s="1" t="s">
        <v>1953</v>
      </c>
      <c r="C4443" t="s">
        <v>3356</v>
      </c>
      <c r="D4443" s="23">
        <v>-7335.4</v>
      </c>
      <c r="E4443" t="s">
        <v>35</v>
      </c>
      <c r="F4443" s="2">
        <v>110114001</v>
      </c>
      <c r="G4443" s="2" t="s">
        <v>181</v>
      </c>
      <c r="I4443" s="95" t="s">
        <v>7231</v>
      </c>
      <c r="J4443" t="s">
        <v>86</v>
      </c>
      <c r="K4443" t="s">
        <v>87</v>
      </c>
      <c r="M4443">
        <v>96.86</v>
      </c>
      <c r="N4443" s="4">
        <f t="shared" si="69"/>
        <v>-75.731984307247572</v>
      </c>
      <c r="O4443" t="s">
        <v>605</v>
      </c>
      <c r="P4443" s="34" t="s">
        <v>2492</v>
      </c>
    </row>
    <row r="4444" spans="1:17" x14ac:dyDescent="0.25">
      <c r="A4444" s="22">
        <v>45807</v>
      </c>
      <c r="B4444" s="1" t="s">
        <v>617</v>
      </c>
      <c r="C4444" t="s">
        <v>3357</v>
      </c>
      <c r="D4444" s="23">
        <v>-162894.19</v>
      </c>
      <c r="E4444" t="s">
        <v>35</v>
      </c>
      <c r="F4444" s="2">
        <v>110114001</v>
      </c>
      <c r="G4444" s="2" t="s">
        <v>181</v>
      </c>
      <c r="I4444" s="95" t="s">
        <v>7231</v>
      </c>
      <c r="J4444" s="72" t="s">
        <v>37</v>
      </c>
      <c r="K4444" s="72" t="s">
        <v>38</v>
      </c>
      <c r="L4444" s="72"/>
      <c r="M4444">
        <v>96.86</v>
      </c>
      <c r="N4444" s="4">
        <f t="shared" si="69"/>
        <v>-1681.7488127193888</v>
      </c>
      <c r="O4444" t="s">
        <v>605</v>
      </c>
      <c r="P4444" s="34" t="s">
        <v>2492</v>
      </c>
    </row>
    <row r="4445" spans="1:17" x14ac:dyDescent="0.25">
      <c r="A4445" s="22">
        <v>45807</v>
      </c>
      <c r="B4445" s="1" t="s">
        <v>1907</v>
      </c>
      <c r="C4445" t="s">
        <v>3358</v>
      </c>
      <c r="D4445" s="23">
        <v>-1937.2</v>
      </c>
      <c r="E4445" t="s">
        <v>35</v>
      </c>
      <c r="F4445" s="2">
        <v>212901001</v>
      </c>
      <c r="G4445" s="2" t="s">
        <v>91</v>
      </c>
      <c r="I4445" s="95" t="s">
        <v>7231</v>
      </c>
      <c r="J4445" t="s">
        <v>61</v>
      </c>
      <c r="K4445" t="s">
        <v>62</v>
      </c>
      <c r="M4445">
        <v>96.86</v>
      </c>
      <c r="N4445" s="4">
        <f t="shared" si="69"/>
        <v>-20</v>
      </c>
      <c r="O4445" t="s">
        <v>605</v>
      </c>
    </row>
    <row r="4446" spans="1:17" x14ac:dyDescent="0.25">
      <c r="A4446" s="33">
        <v>45807</v>
      </c>
      <c r="B4446" s="27" t="s">
        <v>1267</v>
      </c>
      <c r="C4446" s="28" t="s">
        <v>3359</v>
      </c>
      <c r="D4446" s="29">
        <v>-14529</v>
      </c>
      <c r="E4446" s="28" t="s">
        <v>35</v>
      </c>
      <c r="F4446" s="30">
        <v>610156001</v>
      </c>
      <c r="G4446" s="30" t="s">
        <v>72</v>
      </c>
      <c r="H4446" s="30"/>
      <c r="I4446" s="95" t="s">
        <v>7231</v>
      </c>
      <c r="J4446" s="28" t="s">
        <v>73</v>
      </c>
      <c r="K4446" s="28" t="s">
        <v>74</v>
      </c>
      <c r="L4446" s="28" t="s">
        <v>56</v>
      </c>
      <c r="M4446" s="28">
        <v>96.86</v>
      </c>
      <c r="N4446" s="4">
        <f t="shared" si="69"/>
        <v>-150</v>
      </c>
      <c r="O4446" t="s">
        <v>605</v>
      </c>
      <c r="Q4446" s="24" t="s">
        <v>3360</v>
      </c>
    </row>
    <row r="4447" spans="1:17" x14ac:dyDescent="0.25">
      <c r="A4447" s="22">
        <v>45807</v>
      </c>
      <c r="B4447" s="1" t="s">
        <v>1268</v>
      </c>
      <c r="C4447" t="s">
        <v>77</v>
      </c>
      <c r="D4447" s="31">
        <v>-9686</v>
      </c>
      <c r="E4447" t="s">
        <v>35</v>
      </c>
      <c r="F4447" s="2">
        <v>610124003</v>
      </c>
      <c r="G4447" s="2" t="s">
        <v>78</v>
      </c>
      <c r="I4447" s="95" t="s">
        <v>7231</v>
      </c>
      <c r="J4447" t="s">
        <v>79</v>
      </c>
      <c r="K4447" t="s">
        <v>80</v>
      </c>
      <c r="L4447" s="28" t="s">
        <v>56</v>
      </c>
      <c r="M4447">
        <v>96.86</v>
      </c>
      <c r="N4447" s="4">
        <f t="shared" si="69"/>
        <v>-100</v>
      </c>
      <c r="O4447" t="s">
        <v>605</v>
      </c>
      <c r="Q4447" s="24" t="s">
        <v>3361</v>
      </c>
    </row>
    <row r="4448" spans="1:17" x14ac:dyDescent="0.25">
      <c r="A4448" s="33">
        <v>45807</v>
      </c>
      <c r="B4448" s="27" t="s">
        <v>613</v>
      </c>
      <c r="C4448" s="28" t="s">
        <v>52</v>
      </c>
      <c r="D4448" s="29">
        <v>-11623.2</v>
      </c>
      <c r="E4448" s="28" t="s">
        <v>35</v>
      </c>
      <c r="F4448" s="30">
        <v>610129001</v>
      </c>
      <c r="G4448" s="30" t="s">
        <v>53</v>
      </c>
      <c r="H4448" s="30"/>
      <c r="I4448" s="95" t="s">
        <v>7231</v>
      </c>
      <c r="J4448" s="28" t="s">
        <v>54</v>
      </c>
      <c r="K4448" s="28" t="s">
        <v>55</v>
      </c>
      <c r="L4448" s="28" t="s">
        <v>56</v>
      </c>
      <c r="M4448" s="28">
        <v>96.86</v>
      </c>
      <c r="N4448" s="4">
        <f t="shared" si="69"/>
        <v>-120.00000000000001</v>
      </c>
      <c r="O4448" t="s">
        <v>605</v>
      </c>
      <c r="Q4448" s="24" t="s">
        <v>3362</v>
      </c>
    </row>
    <row r="4449" spans="1:17" x14ac:dyDescent="0.25">
      <c r="A4449" s="22">
        <v>45807</v>
      </c>
      <c r="B4449" s="1" t="s">
        <v>1896</v>
      </c>
      <c r="C4449" t="s">
        <v>3363</v>
      </c>
      <c r="D4449" s="23">
        <v>-60868.74</v>
      </c>
      <c r="E4449" t="s">
        <v>35</v>
      </c>
      <c r="F4449" s="2">
        <v>210101001</v>
      </c>
      <c r="G4449" s="2" t="s">
        <v>36</v>
      </c>
      <c r="I4449" s="95" t="s">
        <v>7231</v>
      </c>
      <c r="J4449" t="s">
        <v>1301</v>
      </c>
      <c r="K4449" t="s">
        <v>1302</v>
      </c>
      <c r="M4449">
        <v>96.86</v>
      </c>
      <c r="N4449" s="4">
        <f t="shared" si="69"/>
        <v>-628.41978112740037</v>
      </c>
      <c r="O4449" t="s">
        <v>605</v>
      </c>
    </row>
    <row r="4450" spans="1:17" x14ac:dyDescent="0.25">
      <c r="A4450" s="22">
        <v>45807</v>
      </c>
      <c r="B4450" s="1" t="s">
        <v>1981</v>
      </c>
      <c r="C4450" t="s">
        <v>3364</v>
      </c>
      <c r="D4450" s="23">
        <v>-1937.2</v>
      </c>
      <c r="E4450" t="s">
        <v>35</v>
      </c>
      <c r="F4450" s="2">
        <v>212901001</v>
      </c>
      <c r="G4450" s="2" t="s">
        <v>91</v>
      </c>
      <c r="I4450" s="95" t="s">
        <v>7231</v>
      </c>
      <c r="J4450" t="s">
        <v>61</v>
      </c>
      <c r="K4450" t="s">
        <v>62</v>
      </c>
      <c r="M4450">
        <v>96.86</v>
      </c>
      <c r="N4450" s="4">
        <f t="shared" si="69"/>
        <v>-20</v>
      </c>
      <c r="O4450" t="s">
        <v>605</v>
      </c>
    </row>
    <row r="4451" spans="1:17" x14ac:dyDescent="0.25">
      <c r="A4451" s="22">
        <v>45807</v>
      </c>
      <c r="B4451" s="1" t="s">
        <v>619</v>
      </c>
      <c r="C4451" t="s">
        <v>52</v>
      </c>
      <c r="D4451" s="23">
        <v>-11623.2</v>
      </c>
      <c r="E4451" t="s">
        <v>35</v>
      </c>
      <c r="F4451" s="2">
        <v>610129001</v>
      </c>
      <c r="G4451" s="2" t="s">
        <v>53</v>
      </c>
      <c r="I4451" s="95" t="s">
        <v>7231</v>
      </c>
      <c r="K4451" t="s">
        <v>3365</v>
      </c>
      <c r="M4451">
        <v>96.86</v>
      </c>
      <c r="N4451" s="4">
        <f t="shared" si="69"/>
        <v>-120.00000000000001</v>
      </c>
      <c r="O4451" t="s">
        <v>605</v>
      </c>
    </row>
    <row r="4452" spans="1:17" x14ac:dyDescent="0.25">
      <c r="A4452" s="22">
        <v>45807</v>
      </c>
      <c r="B4452" s="1" t="s">
        <v>1936</v>
      </c>
      <c r="C4452" t="s">
        <v>3366</v>
      </c>
      <c r="D4452" s="44">
        <v>-1937.2</v>
      </c>
      <c r="E4452" t="s">
        <v>35</v>
      </c>
      <c r="F4452" s="2">
        <v>212901001</v>
      </c>
      <c r="G4452" s="2" t="s">
        <v>91</v>
      </c>
      <c r="I4452" s="95" t="s">
        <v>7231</v>
      </c>
      <c r="J4452" t="s">
        <v>61</v>
      </c>
      <c r="K4452" t="s">
        <v>62</v>
      </c>
      <c r="M4452">
        <v>96.86</v>
      </c>
      <c r="N4452" s="4">
        <f t="shared" si="69"/>
        <v>-20</v>
      </c>
      <c r="O4452" t="s">
        <v>605</v>
      </c>
    </row>
    <row r="4453" spans="1:17" x14ac:dyDescent="0.25">
      <c r="A4453" s="22">
        <v>45807</v>
      </c>
      <c r="B4453" s="1" t="s">
        <v>1983</v>
      </c>
      <c r="C4453" t="s">
        <v>3367</v>
      </c>
      <c r="D4453" s="23">
        <v>-87638.93</v>
      </c>
      <c r="E4453" t="s">
        <v>35</v>
      </c>
      <c r="F4453" s="2">
        <v>110114001</v>
      </c>
      <c r="G4453" s="2" t="s">
        <v>181</v>
      </c>
      <c r="I4453" s="95" t="s">
        <v>7231</v>
      </c>
      <c r="J4453" s="72" t="s">
        <v>37</v>
      </c>
      <c r="K4453" s="72" t="s">
        <v>38</v>
      </c>
      <c r="L4453" s="72"/>
      <c r="M4453">
        <v>96.86</v>
      </c>
      <c r="N4453" s="4">
        <f t="shared" si="69"/>
        <v>-904.80002064835844</v>
      </c>
      <c r="O4453" t="s">
        <v>605</v>
      </c>
      <c r="P4453" s="34" t="s">
        <v>2492</v>
      </c>
    </row>
    <row r="4454" spans="1:17" x14ac:dyDescent="0.25">
      <c r="A4454" s="22">
        <v>45807</v>
      </c>
      <c r="B4454" s="1" t="s">
        <v>1955</v>
      </c>
      <c r="C4454" t="s">
        <v>2770</v>
      </c>
      <c r="D4454" s="23">
        <v>-8236.14</v>
      </c>
      <c r="E4454" t="s">
        <v>35</v>
      </c>
      <c r="F4454" s="2">
        <v>110101002</v>
      </c>
      <c r="G4454" s="2" t="s">
        <v>2771</v>
      </c>
      <c r="I4454" s="95" t="s">
        <v>7231</v>
      </c>
      <c r="K4454" t="s">
        <v>2772</v>
      </c>
      <c r="M4454">
        <v>96.86</v>
      </c>
      <c r="N4454" s="4">
        <f t="shared" si="69"/>
        <v>-85.031385504852352</v>
      </c>
      <c r="O4454" t="s">
        <v>605</v>
      </c>
    </row>
    <row r="4455" spans="1:17" x14ac:dyDescent="0.25">
      <c r="A4455" s="22">
        <v>45807</v>
      </c>
      <c r="B4455" s="1" t="s">
        <v>615</v>
      </c>
      <c r="C4455" t="s">
        <v>3357</v>
      </c>
      <c r="D4455" s="23">
        <v>-200000</v>
      </c>
      <c r="E4455" t="s">
        <v>35</v>
      </c>
      <c r="F4455" s="2">
        <v>110114001</v>
      </c>
      <c r="G4455" s="2" t="s">
        <v>181</v>
      </c>
      <c r="I4455" s="95" t="s">
        <v>7231</v>
      </c>
      <c r="J4455" s="72" t="s">
        <v>37</v>
      </c>
      <c r="K4455" s="72" t="s">
        <v>38</v>
      </c>
      <c r="L4455" s="72"/>
      <c r="M4455">
        <v>96.86</v>
      </c>
      <c r="N4455" s="4">
        <f t="shared" si="69"/>
        <v>-2064.8358455502789</v>
      </c>
      <c r="O4455" t="s">
        <v>605</v>
      </c>
      <c r="P4455" s="34" t="s">
        <v>2492</v>
      </c>
    </row>
    <row r="4456" spans="1:17" x14ac:dyDescent="0.25">
      <c r="A4456" s="22">
        <v>45807</v>
      </c>
      <c r="B4456" s="1" t="s">
        <v>1892</v>
      </c>
      <c r="C4456" t="s">
        <v>3368</v>
      </c>
      <c r="D4456" s="23">
        <v>-6780.2</v>
      </c>
      <c r="E4456" t="s">
        <v>35</v>
      </c>
      <c r="F4456" s="2">
        <v>212901001</v>
      </c>
      <c r="G4456" s="2" t="s">
        <v>91</v>
      </c>
      <c r="I4456" s="95" t="s">
        <v>7231</v>
      </c>
      <c r="J4456" t="s">
        <v>61</v>
      </c>
      <c r="K4456" t="s">
        <v>62</v>
      </c>
      <c r="M4456">
        <v>96.86</v>
      </c>
      <c r="N4456" s="4">
        <f t="shared" si="69"/>
        <v>-70</v>
      </c>
      <c r="O4456" t="s">
        <v>605</v>
      </c>
    </row>
    <row r="4457" spans="1:17" x14ac:dyDescent="0.25">
      <c r="A4457" s="22">
        <v>45807</v>
      </c>
      <c r="B4457" s="1" t="s">
        <v>621</v>
      </c>
      <c r="C4457" t="s">
        <v>622</v>
      </c>
      <c r="D4457" s="23">
        <v>-29.05</v>
      </c>
      <c r="E4457" t="s">
        <v>35</v>
      </c>
      <c r="F4457" s="2">
        <v>610148001</v>
      </c>
      <c r="G4457" s="2" t="s">
        <v>41</v>
      </c>
      <c r="I4457" s="95" t="s">
        <v>7231</v>
      </c>
      <c r="J4457" t="s">
        <v>42</v>
      </c>
      <c r="K4457" t="s">
        <v>41</v>
      </c>
      <c r="M4457">
        <v>96.86</v>
      </c>
      <c r="N4457" s="4">
        <f t="shared" si="69"/>
        <v>-0.29991740656617799</v>
      </c>
      <c r="O4457" t="s">
        <v>605</v>
      </c>
      <c r="Q4457" s="42" t="s">
        <v>2650</v>
      </c>
    </row>
    <row r="4458" spans="1:17" x14ac:dyDescent="0.25">
      <c r="A4458" s="22">
        <v>45807</v>
      </c>
      <c r="B4458" s="1" t="s">
        <v>1913</v>
      </c>
      <c r="C4458" t="s">
        <v>622</v>
      </c>
      <c r="D4458" s="23">
        <v>-4.84</v>
      </c>
      <c r="E4458" t="s">
        <v>35</v>
      </c>
      <c r="F4458" s="2">
        <v>610148001</v>
      </c>
      <c r="G4458" s="2" t="s">
        <v>41</v>
      </c>
      <c r="I4458" s="95" t="s">
        <v>7231</v>
      </c>
      <c r="J4458" t="s">
        <v>42</v>
      </c>
      <c r="K4458" t="s">
        <v>41</v>
      </c>
      <c r="M4458">
        <v>96.86</v>
      </c>
      <c r="N4458" s="4">
        <f t="shared" si="69"/>
        <v>-4.9969027462316747E-2</v>
      </c>
      <c r="O4458" t="s">
        <v>605</v>
      </c>
      <c r="Q4458" s="42" t="s">
        <v>2650</v>
      </c>
    </row>
    <row r="4459" spans="1:17" x14ac:dyDescent="0.25">
      <c r="A4459" s="22">
        <v>45807</v>
      </c>
      <c r="B4459" s="1" t="s">
        <v>2072</v>
      </c>
      <c r="C4459" t="s">
        <v>622</v>
      </c>
      <c r="D4459" s="23">
        <v>-4.84</v>
      </c>
      <c r="E4459" t="s">
        <v>35</v>
      </c>
      <c r="F4459" s="2">
        <v>610148001</v>
      </c>
      <c r="G4459" s="2" t="s">
        <v>41</v>
      </c>
      <c r="I4459" s="95" t="s">
        <v>7231</v>
      </c>
      <c r="J4459" t="s">
        <v>42</v>
      </c>
      <c r="K4459" t="s">
        <v>41</v>
      </c>
      <c r="M4459">
        <v>96.86</v>
      </c>
      <c r="N4459" s="4">
        <f t="shared" si="69"/>
        <v>-4.9969027462316747E-2</v>
      </c>
      <c r="O4459" t="s">
        <v>605</v>
      </c>
      <c r="Q4459" s="42" t="s">
        <v>2650</v>
      </c>
    </row>
    <row r="4460" spans="1:17" x14ac:dyDescent="0.25">
      <c r="A4460" s="22">
        <v>45807</v>
      </c>
      <c r="B4460" s="1" t="s">
        <v>625</v>
      </c>
      <c r="C4460" t="s">
        <v>622</v>
      </c>
      <c r="D4460" s="23">
        <v>-500</v>
      </c>
      <c r="E4460" t="s">
        <v>35</v>
      </c>
      <c r="F4460" s="2">
        <v>610148001</v>
      </c>
      <c r="G4460" s="2" t="s">
        <v>41</v>
      </c>
      <c r="I4460" s="95" t="s">
        <v>7231</v>
      </c>
      <c r="J4460" t="s">
        <v>42</v>
      </c>
      <c r="K4460" t="s">
        <v>41</v>
      </c>
      <c r="M4460">
        <v>96.86</v>
      </c>
      <c r="N4460" s="4">
        <f t="shared" si="69"/>
        <v>-5.1620896138756969</v>
      </c>
      <c r="O4460" t="s">
        <v>605</v>
      </c>
      <c r="Q4460" s="42" t="s">
        <v>2650</v>
      </c>
    </row>
    <row r="4461" spans="1:17" x14ac:dyDescent="0.25">
      <c r="A4461" s="22">
        <v>45807</v>
      </c>
      <c r="B4461" s="1" t="s">
        <v>1272</v>
      </c>
      <c r="C4461" t="s">
        <v>622</v>
      </c>
      <c r="D4461" s="23">
        <v>-36.32</v>
      </c>
      <c r="E4461" t="s">
        <v>35</v>
      </c>
      <c r="F4461" s="2">
        <v>610148001</v>
      </c>
      <c r="G4461" s="2" t="s">
        <v>41</v>
      </c>
      <c r="I4461" s="95" t="s">
        <v>7231</v>
      </c>
      <c r="J4461" t="s">
        <v>42</v>
      </c>
      <c r="K4461" t="s">
        <v>41</v>
      </c>
      <c r="M4461">
        <v>96.86</v>
      </c>
      <c r="N4461" s="4">
        <f t="shared" si="69"/>
        <v>-0.37497418955193063</v>
      </c>
      <c r="O4461" t="s">
        <v>605</v>
      </c>
      <c r="Q4461" s="42" t="s">
        <v>2650</v>
      </c>
    </row>
    <row r="4462" spans="1:17" x14ac:dyDescent="0.25">
      <c r="A4462" s="22">
        <v>45807</v>
      </c>
      <c r="B4462" s="1" t="s">
        <v>1917</v>
      </c>
      <c r="C4462" t="s">
        <v>622</v>
      </c>
      <c r="D4462" s="23">
        <v>-152.16999999999999</v>
      </c>
      <c r="E4462" t="s">
        <v>35</v>
      </c>
      <c r="F4462" s="2">
        <v>610148001</v>
      </c>
      <c r="G4462" s="2" t="s">
        <v>41</v>
      </c>
      <c r="I4462" s="95" t="s">
        <v>7231</v>
      </c>
      <c r="J4462" t="s">
        <v>42</v>
      </c>
      <c r="K4462" t="s">
        <v>41</v>
      </c>
      <c r="M4462">
        <v>96.86</v>
      </c>
      <c r="N4462" s="4">
        <f t="shared" si="69"/>
        <v>-1.5710303530869294</v>
      </c>
      <c r="O4462" t="s">
        <v>605</v>
      </c>
      <c r="Q4462" s="42" t="s">
        <v>2650</v>
      </c>
    </row>
    <row r="4463" spans="1:17" x14ac:dyDescent="0.25">
      <c r="A4463" s="22">
        <v>45807</v>
      </c>
      <c r="B4463" s="1" t="s">
        <v>1911</v>
      </c>
      <c r="C4463" t="s">
        <v>622</v>
      </c>
      <c r="D4463" s="23">
        <v>-4.84</v>
      </c>
      <c r="E4463" t="s">
        <v>35</v>
      </c>
      <c r="F4463" s="2">
        <v>610148001</v>
      </c>
      <c r="G4463" s="2" t="s">
        <v>41</v>
      </c>
      <c r="I4463" s="95" t="s">
        <v>7231</v>
      </c>
      <c r="J4463" t="s">
        <v>42</v>
      </c>
      <c r="K4463" t="s">
        <v>41</v>
      </c>
      <c r="M4463">
        <v>96.86</v>
      </c>
      <c r="N4463" s="4">
        <f t="shared" si="69"/>
        <v>-4.9969027462316747E-2</v>
      </c>
      <c r="O4463" t="s">
        <v>605</v>
      </c>
      <c r="Q4463" s="42" t="s">
        <v>2650</v>
      </c>
    </row>
    <row r="4464" spans="1:17" x14ac:dyDescent="0.25">
      <c r="A4464" s="22">
        <v>45807</v>
      </c>
      <c r="B4464" s="1" t="s">
        <v>2073</v>
      </c>
      <c r="C4464" t="s">
        <v>622</v>
      </c>
      <c r="D4464" s="23">
        <v>-4.84</v>
      </c>
      <c r="E4464" t="s">
        <v>35</v>
      </c>
      <c r="F4464" s="2">
        <v>610148001</v>
      </c>
      <c r="G4464" s="2" t="s">
        <v>41</v>
      </c>
      <c r="I4464" s="95" t="s">
        <v>7231</v>
      </c>
      <c r="J4464" t="s">
        <v>42</v>
      </c>
      <c r="K4464" t="s">
        <v>41</v>
      </c>
      <c r="M4464">
        <v>96.86</v>
      </c>
      <c r="N4464" s="4">
        <f t="shared" si="69"/>
        <v>-4.9969027462316747E-2</v>
      </c>
      <c r="O4464" t="s">
        <v>605</v>
      </c>
      <c r="Q4464" s="42" t="s">
        <v>2650</v>
      </c>
    </row>
    <row r="4465" spans="1:17" x14ac:dyDescent="0.25">
      <c r="A4465" s="22">
        <v>45807</v>
      </c>
      <c r="B4465" s="1" t="s">
        <v>623</v>
      </c>
      <c r="C4465" t="s">
        <v>622</v>
      </c>
      <c r="D4465" s="23">
        <v>-29.05</v>
      </c>
      <c r="E4465" t="s">
        <v>35</v>
      </c>
      <c r="F4465" s="2">
        <v>610148001</v>
      </c>
      <c r="G4465" s="2" t="s">
        <v>41</v>
      </c>
      <c r="I4465" s="95" t="s">
        <v>7231</v>
      </c>
      <c r="J4465" t="s">
        <v>42</v>
      </c>
      <c r="K4465" t="s">
        <v>41</v>
      </c>
      <c r="M4465">
        <v>96.86</v>
      </c>
      <c r="N4465" s="4">
        <f t="shared" si="69"/>
        <v>-0.29991740656617799</v>
      </c>
      <c r="O4465" t="s">
        <v>605</v>
      </c>
      <c r="Q4465" s="42" t="s">
        <v>2650</v>
      </c>
    </row>
    <row r="4466" spans="1:17" x14ac:dyDescent="0.25">
      <c r="A4466" s="22">
        <v>45807</v>
      </c>
      <c r="B4466" s="1" t="s">
        <v>2090</v>
      </c>
      <c r="C4466" t="s">
        <v>622</v>
      </c>
      <c r="D4466" s="23">
        <v>-13.07</v>
      </c>
      <c r="E4466" t="s">
        <v>35</v>
      </c>
      <c r="F4466" s="2">
        <v>610148001</v>
      </c>
      <c r="G4466" s="2" t="s">
        <v>41</v>
      </c>
      <c r="I4466" s="95" t="s">
        <v>7231</v>
      </c>
      <c r="J4466" t="s">
        <v>42</v>
      </c>
      <c r="K4466" t="s">
        <v>41</v>
      </c>
      <c r="M4466">
        <v>96.86</v>
      </c>
      <c r="N4466" s="4">
        <f t="shared" si="69"/>
        <v>-0.13493702250671072</v>
      </c>
      <c r="O4466" t="s">
        <v>605</v>
      </c>
      <c r="Q4466" s="42" t="s">
        <v>2650</v>
      </c>
    </row>
    <row r="4467" spans="1:17" x14ac:dyDescent="0.25">
      <c r="A4467" s="22">
        <v>45807</v>
      </c>
      <c r="B4467" s="1" t="s">
        <v>1920</v>
      </c>
      <c r="C4467" t="s">
        <v>622</v>
      </c>
      <c r="D4467" s="23">
        <v>-4.84</v>
      </c>
      <c r="E4467" t="s">
        <v>35</v>
      </c>
      <c r="F4467" s="2">
        <v>610148001</v>
      </c>
      <c r="G4467" s="2" t="s">
        <v>41</v>
      </c>
      <c r="I4467" s="95" t="s">
        <v>7231</v>
      </c>
      <c r="J4467" t="s">
        <v>42</v>
      </c>
      <c r="K4467" t="s">
        <v>41</v>
      </c>
      <c r="M4467">
        <v>96.86</v>
      </c>
      <c r="N4467" s="4">
        <f t="shared" si="69"/>
        <v>-4.9969027462316747E-2</v>
      </c>
      <c r="O4467" t="s">
        <v>605</v>
      </c>
      <c r="Q4467" s="42" t="s">
        <v>2650</v>
      </c>
    </row>
    <row r="4468" spans="1:17" x14ac:dyDescent="0.25">
      <c r="A4468" s="22">
        <v>45807</v>
      </c>
      <c r="B4468" s="1" t="s">
        <v>2076</v>
      </c>
      <c r="C4468" t="s">
        <v>622</v>
      </c>
      <c r="D4468" s="23">
        <v>-4.84</v>
      </c>
      <c r="E4468" t="s">
        <v>35</v>
      </c>
      <c r="F4468" s="2">
        <v>610148001</v>
      </c>
      <c r="G4468" s="2" t="s">
        <v>41</v>
      </c>
      <c r="I4468" s="95" t="s">
        <v>7231</v>
      </c>
      <c r="J4468" t="s">
        <v>42</v>
      </c>
      <c r="K4468" t="s">
        <v>41</v>
      </c>
      <c r="M4468">
        <v>96.86</v>
      </c>
      <c r="N4468" s="4">
        <f t="shared" si="69"/>
        <v>-4.9969027462316747E-2</v>
      </c>
      <c r="O4468" t="s">
        <v>605</v>
      </c>
      <c r="Q4468" s="42" t="s">
        <v>2650</v>
      </c>
    </row>
    <row r="4469" spans="1:17" x14ac:dyDescent="0.25">
      <c r="A4469" s="22">
        <v>45807</v>
      </c>
      <c r="B4469" s="1" t="s">
        <v>2112</v>
      </c>
      <c r="C4469" t="s">
        <v>622</v>
      </c>
      <c r="D4469" s="23">
        <v>-20.59</v>
      </c>
      <c r="E4469" t="s">
        <v>35</v>
      </c>
      <c r="F4469" s="2">
        <v>610148001</v>
      </c>
      <c r="G4469" s="2" t="s">
        <v>41</v>
      </c>
      <c r="I4469" s="95" t="s">
        <v>7231</v>
      </c>
      <c r="J4469" t="s">
        <v>42</v>
      </c>
      <c r="K4469" t="s">
        <v>41</v>
      </c>
      <c r="M4469">
        <v>96.86</v>
      </c>
      <c r="N4469" s="4">
        <f t="shared" si="69"/>
        <v>-0.21257485029940121</v>
      </c>
      <c r="O4469" t="s">
        <v>605</v>
      </c>
      <c r="Q4469" s="42" t="s">
        <v>2650</v>
      </c>
    </row>
    <row r="4470" spans="1:17" x14ac:dyDescent="0.25">
      <c r="A4470" s="22">
        <v>45807</v>
      </c>
      <c r="B4470" s="1" t="s">
        <v>1919</v>
      </c>
      <c r="C4470" t="s">
        <v>622</v>
      </c>
      <c r="D4470" s="23">
        <v>-36.32</v>
      </c>
      <c r="E4470" t="s">
        <v>35</v>
      </c>
      <c r="F4470" s="2">
        <v>610148001</v>
      </c>
      <c r="G4470" s="2" t="s">
        <v>41</v>
      </c>
      <c r="I4470" s="95" t="s">
        <v>7231</v>
      </c>
      <c r="J4470" t="s">
        <v>42</v>
      </c>
      <c r="K4470" t="s">
        <v>41</v>
      </c>
      <c r="M4470">
        <v>96.86</v>
      </c>
      <c r="N4470" s="4">
        <f t="shared" si="69"/>
        <v>-0.37497418955193063</v>
      </c>
      <c r="O4470" t="s">
        <v>605</v>
      </c>
      <c r="Q4470" s="42" t="s">
        <v>2650</v>
      </c>
    </row>
    <row r="4471" spans="1:17" x14ac:dyDescent="0.25">
      <c r="A4471" s="22">
        <v>45807</v>
      </c>
      <c r="B4471" s="1" t="s">
        <v>1912</v>
      </c>
      <c r="C4471" t="s">
        <v>622</v>
      </c>
      <c r="D4471" s="23">
        <v>-12.1</v>
      </c>
      <c r="E4471" t="s">
        <v>35</v>
      </c>
      <c r="F4471" s="2">
        <v>610148001</v>
      </c>
      <c r="G4471" s="2" t="s">
        <v>41</v>
      </c>
      <c r="I4471" s="95" t="s">
        <v>7231</v>
      </c>
      <c r="J4471" t="s">
        <v>42</v>
      </c>
      <c r="K4471" t="s">
        <v>41</v>
      </c>
      <c r="M4471">
        <v>96.86</v>
      </c>
      <c r="N4471" s="4">
        <f t="shared" si="69"/>
        <v>-0.12492256865579186</v>
      </c>
      <c r="O4471" t="s">
        <v>605</v>
      </c>
      <c r="Q4471" s="42" t="s">
        <v>2650</v>
      </c>
    </row>
    <row r="4472" spans="1:17" x14ac:dyDescent="0.25">
      <c r="A4472" s="22">
        <v>45807</v>
      </c>
      <c r="B4472" s="1" t="s">
        <v>1271</v>
      </c>
      <c r="C4472" t="s">
        <v>622</v>
      </c>
      <c r="D4472" s="23">
        <v>-24.21</v>
      </c>
      <c r="E4472" t="s">
        <v>35</v>
      </c>
      <c r="F4472" s="2">
        <v>610148001</v>
      </c>
      <c r="G4472" s="2" t="s">
        <v>41</v>
      </c>
      <c r="I4472" s="95" t="s">
        <v>7231</v>
      </c>
      <c r="J4472" t="s">
        <v>42</v>
      </c>
      <c r="K4472" t="s">
        <v>41</v>
      </c>
      <c r="M4472">
        <v>96.86</v>
      </c>
      <c r="N4472" s="4">
        <f t="shared" si="69"/>
        <v>-0.24994837910386125</v>
      </c>
      <c r="O4472" t="s">
        <v>605</v>
      </c>
      <c r="Q4472" s="42" t="s">
        <v>2650</v>
      </c>
    </row>
    <row r="4473" spans="1:17" x14ac:dyDescent="0.25">
      <c r="A4473" s="22">
        <v>45807</v>
      </c>
      <c r="B4473" s="1" t="s">
        <v>1915</v>
      </c>
      <c r="C4473" t="s">
        <v>622</v>
      </c>
      <c r="D4473" s="23">
        <v>-16.95</v>
      </c>
      <c r="E4473" t="s">
        <v>35</v>
      </c>
      <c r="F4473" s="2">
        <v>610148001</v>
      </c>
      <c r="G4473" s="2" t="s">
        <v>41</v>
      </c>
      <c r="I4473" s="95" t="s">
        <v>7231</v>
      </c>
      <c r="J4473" t="s">
        <v>42</v>
      </c>
      <c r="K4473" t="s">
        <v>41</v>
      </c>
      <c r="M4473">
        <v>96.86</v>
      </c>
      <c r="N4473" s="4">
        <f t="shared" si="69"/>
        <v>-0.17499483791038611</v>
      </c>
      <c r="O4473" t="s">
        <v>605</v>
      </c>
      <c r="Q4473" s="42" t="s">
        <v>2650</v>
      </c>
    </row>
    <row r="4474" spans="1:17" x14ac:dyDescent="0.25">
      <c r="A4474" s="22">
        <v>45807</v>
      </c>
      <c r="B4474" s="1" t="s">
        <v>1914</v>
      </c>
      <c r="C4474" t="s">
        <v>622</v>
      </c>
      <c r="D4474" s="23">
        <v>-9.68</v>
      </c>
      <c r="E4474" t="s">
        <v>35</v>
      </c>
      <c r="F4474" s="2">
        <v>610148001</v>
      </c>
      <c r="G4474" s="2" t="s">
        <v>41</v>
      </c>
      <c r="I4474" s="95" t="s">
        <v>7231</v>
      </c>
      <c r="J4474" t="s">
        <v>42</v>
      </c>
      <c r="K4474" t="s">
        <v>41</v>
      </c>
      <c r="M4474">
        <v>96.86</v>
      </c>
      <c r="N4474" s="4">
        <f t="shared" si="69"/>
        <v>-9.9938054924633493E-2</v>
      </c>
      <c r="O4474" t="s">
        <v>605</v>
      </c>
      <c r="Q4474" s="42" t="s">
        <v>2650</v>
      </c>
    </row>
    <row r="4475" spans="1:17" x14ac:dyDescent="0.25">
      <c r="A4475" s="22">
        <v>45807</v>
      </c>
      <c r="B4475" s="1" t="s">
        <v>2103</v>
      </c>
      <c r="C4475" t="s">
        <v>622</v>
      </c>
      <c r="D4475" s="23">
        <v>-42.45</v>
      </c>
      <c r="E4475" t="s">
        <v>35</v>
      </c>
      <c r="F4475" s="2">
        <v>610148001</v>
      </c>
      <c r="G4475" s="2" t="s">
        <v>41</v>
      </c>
      <c r="I4475" s="95" t="s">
        <v>7231</v>
      </c>
      <c r="J4475" t="s">
        <v>42</v>
      </c>
      <c r="K4475" t="s">
        <v>41</v>
      </c>
      <c r="M4475">
        <v>96.86</v>
      </c>
      <c r="N4475" s="4">
        <f t="shared" si="69"/>
        <v>-0.43826140821804671</v>
      </c>
      <c r="O4475" t="s">
        <v>605</v>
      </c>
      <c r="Q4475" s="42" t="s">
        <v>2650</v>
      </c>
    </row>
    <row r="4476" spans="1:17" x14ac:dyDescent="0.25">
      <c r="A4476" s="22">
        <v>45807</v>
      </c>
      <c r="B4476" s="1" t="s">
        <v>1916</v>
      </c>
      <c r="C4476" t="s">
        <v>622</v>
      </c>
      <c r="D4476" s="23">
        <v>-16.95</v>
      </c>
      <c r="E4476" t="s">
        <v>35</v>
      </c>
      <c r="F4476" s="2">
        <v>610148001</v>
      </c>
      <c r="G4476" s="2" t="s">
        <v>41</v>
      </c>
      <c r="I4476" s="95" t="s">
        <v>7231</v>
      </c>
      <c r="J4476" t="s">
        <v>42</v>
      </c>
      <c r="K4476" t="s">
        <v>41</v>
      </c>
      <c r="M4476">
        <v>96.86</v>
      </c>
      <c r="N4476" s="4">
        <f t="shared" si="69"/>
        <v>-0.17499483791038611</v>
      </c>
      <c r="O4476" t="s">
        <v>605</v>
      </c>
      <c r="Q4476" s="42" t="s">
        <v>2650</v>
      </c>
    </row>
    <row r="4477" spans="1:17" x14ac:dyDescent="0.25">
      <c r="A4477" s="22">
        <v>45807</v>
      </c>
      <c r="B4477" s="1" t="s">
        <v>2061</v>
      </c>
      <c r="C4477" t="s">
        <v>622</v>
      </c>
      <c r="D4477" s="23">
        <v>-219.09</v>
      </c>
      <c r="E4477" t="s">
        <v>35</v>
      </c>
      <c r="F4477" s="2">
        <v>610148001</v>
      </c>
      <c r="G4477" s="2" t="s">
        <v>41</v>
      </c>
      <c r="I4477" s="95" t="s">
        <v>7231</v>
      </c>
      <c r="J4477" t="s">
        <v>42</v>
      </c>
      <c r="K4477" t="s">
        <v>41</v>
      </c>
      <c r="M4477">
        <v>96.86</v>
      </c>
      <c r="N4477" s="4">
        <f t="shared" si="69"/>
        <v>-2.261924427008053</v>
      </c>
      <c r="O4477" t="s">
        <v>605</v>
      </c>
      <c r="Q4477" s="42" t="s">
        <v>2650</v>
      </c>
    </row>
    <row r="4478" spans="1:17" x14ac:dyDescent="0.25">
      <c r="A4478" s="22">
        <v>45807</v>
      </c>
      <c r="B4478" s="1" t="s">
        <v>624</v>
      </c>
      <c r="C4478" t="s">
        <v>622</v>
      </c>
      <c r="D4478" s="23">
        <v>-407.23</v>
      </c>
      <c r="E4478" t="s">
        <v>35</v>
      </c>
      <c r="F4478" s="2">
        <v>610148001</v>
      </c>
      <c r="G4478" s="2" t="s">
        <v>41</v>
      </c>
      <c r="I4478" s="95" t="s">
        <v>7231</v>
      </c>
      <c r="J4478" t="s">
        <v>42</v>
      </c>
      <c r="K4478" t="s">
        <v>41</v>
      </c>
      <c r="M4478">
        <v>96.86</v>
      </c>
      <c r="N4478" s="4">
        <f t="shared" si="69"/>
        <v>-4.2043155069172</v>
      </c>
      <c r="O4478" t="s">
        <v>605</v>
      </c>
      <c r="Q4478" s="42" t="s">
        <v>2650</v>
      </c>
    </row>
    <row r="4479" spans="1:17" x14ac:dyDescent="0.25">
      <c r="A4479" s="22">
        <v>45807</v>
      </c>
      <c r="B4479" s="1" t="s">
        <v>2062</v>
      </c>
      <c r="C4479" t="s">
        <v>622</v>
      </c>
      <c r="D4479" s="23">
        <v>-18.329999999999998</v>
      </c>
      <c r="E4479" t="s">
        <v>35</v>
      </c>
      <c r="F4479" s="2">
        <v>610148001</v>
      </c>
      <c r="G4479" s="2" t="s">
        <v>41</v>
      </c>
      <c r="I4479" s="95" t="s">
        <v>7231</v>
      </c>
      <c r="J4479" t="s">
        <v>42</v>
      </c>
      <c r="K4479" t="s">
        <v>41</v>
      </c>
      <c r="M4479">
        <v>96.86</v>
      </c>
      <c r="N4479" s="4">
        <f t="shared" si="69"/>
        <v>-0.18924220524468302</v>
      </c>
      <c r="O4479" t="s">
        <v>605</v>
      </c>
      <c r="Q4479" s="42" t="s">
        <v>2650</v>
      </c>
    </row>
    <row r="4480" spans="1:17" x14ac:dyDescent="0.25">
      <c r="A4480" s="22">
        <v>45807</v>
      </c>
      <c r="B4480" s="1" t="s">
        <v>2102</v>
      </c>
      <c r="C4480" t="s">
        <v>622</v>
      </c>
      <c r="D4480" s="23">
        <v>-4.84</v>
      </c>
      <c r="E4480" t="s">
        <v>35</v>
      </c>
      <c r="F4480" s="2">
        <v>610148001</v>
      </c>
      <c r="G4480" s="2" t="s">
        <v>41</v>
      </c>
      <c r="I4480" s="95" t="s">
        <v>7231</v>
      </c>
      <c r="J4480" t="s">
        <v>42</v>
      </c>
      <c r="K4480" t="s">
        <v>41</v>
      </c>
      <c r="M4480">
        <v>96.86</v>
      </c>
      <c r="N4480" s="4">
        <f t="shared" si="69"/>
        <v>-4.9969027462316747E-2</v>
      </c>
      <c r="O4480" t="s">
        <v>605</v>
      </c>
      <c r="Q4480" s="42" t="s">
        <v>2650</v>
      </c>
    </row>
    <row r="4481" spans="1:17" x14ac:dyDescent="0.25">
      <c r="A4481" s="22">
        <v>45807</v>
      </c>
      <c r="B4481" s="1" t="s">
        <v>3369</v>
      </c>
      <c r="C4481" t="s">
        <v>3370</v>
      </c>
      <c r="D4481" s="23">
        <v>1937.2</v>
      </c>
      <c r="E4481" t="s">
        <v>45</v>
      </c>
      <c r="F4481" s="2">
        <v>610156001</v>
      </c>
      <c r="G4481" s="2" t="s">
        <v>72</v>
      </c>
      <c r="I4481" s="95" t="s">
        <v>7231</v>
      </c>
      <c r="K4481" t="s">
        <v>3371</v>
      </c>
      <c r="M4481">
        <v>96.86</v>
      </c>
      <c r="N4481" s="4">
        <f t="shared" si="69"/>
        <v>20</v>
      </c>
      <c r="O4481" t="s">
        <v>605</v>
      </c>
    </row>
    <row r="4482" spans="1:17" x14ac:dyDescent="0.25">
      <c r="A4482" s="22">
        <v>45807</v>
      </c>
      <c r="B4482" s="1" t="s">
        <v>3372</v>
      </c>
      <c r="C4482" t="s">
        <v>52</v>
      </c>
      <c r="D4482" s="23">
        <v>11623.2</v>
      </c>
      <c r="E4482" t="s">
        <v>45</v>
      </c>
      <c r="F4482" s="2">
        <v>610129001</v>
      </c>
      <c r="G4482" s="2" t="s">
        <v>53</v>
      </c>
      <c r="I4482" s="95" t="s">
        <v>7231</v>
      </c>
      <c r="K4482" t="s">
        <v>1162</v>
      </c>
      <c r="M4482">
        <v>96.86</v>
      </c>
      <c r="N4482" s="4">
        <f t="shared" si="69"/>
        <v>120.00000000000001</v>
      </c>
      <c r="O4482" t="s">
        <v>605</v>
      </c>
    </row>
    <row r="4483" spans="1:17" x14ac:dyDescent="0.25">
      <c r="A4483" s="22">
        <v>45807</v>
      </c>
      <c r="B4483" s="1" t="s">
        <v>3373</v>
      </c>
      <c r="C4483" t="s">
        <v>293</v>
      </c>
      <c r="D4483" s="23">
        <v>1120000</v>
      </c>
      <c r="E4483" t="s">
        <v>45</v>
      </c>
      <c r="F4483" s="2">
        <v>210115002</v>
      </c>
      <c r="G4483" s="2" t="s">
        <v>46</v>
      </c>
      <c r="I4483" s="95" t="s">
        <v>7231</v>
      </c>
      <c r="K4483" t="s">
        <v>293</v>
      </c>
      <c r="M4483">
        <v>96.86</v>
      </c>
      <c r="N4483" s="4">
        <f t="shared" si="69"/>
        <v>11563.080735081561</v>
      </c>
      <c r="O4483" t="s">
        <v>605</v>
      </c>
    </row>
    <row r="4484" spans="1:17" x14ac:dyDescent="0.25">
      <c r="A4484" s="33">
        <v>45807</v>
      </c>
      <c r="B4484" s="27" t="s">
        <v>615</v>
      </c>
      <c r="C4484" s="28" t="s">
        <v>3350</v>
      </c>
      <c r="D4484" s="29">
        <v>-1937.2</v>
      </c>
      <c r="E4484" s="28" t="s">
        <v>35</v>
      </c>
      <c r="F4484" s="30">
        <v>610156001</v>
      </c>
      <c r="G4484" s="30" t="s">
        <v>72</v>
      </c>
      <c r="H4484" s="30"/>
      <c r="I4484" s="95" t="s">
        <v>7231</v>
      </c>
      <c r="J4484" s="28" t="s">
        <v>73</v>
      </c>
      <c r="K4484" s="28" t="s">
        <v>74</v>
      </c>
      <c r="L4484" s="28" t="s">
        <v>56</v>
      </c>
      <c r="M4484" s="28">
        <v>96.86</v>
      </c>
      <c r="N4484" s="4">
        <f t="shared" si="69"/>
        <v>-20</v>
      </c>
      <c r="O4484" t="s">
        <v>605</v>
      </c>
      <c r="Q4484" s="24" t="s">
        <v>3360</v>
      </c>
    </row>
    <row r="4485" spans="1:17" x14ac:dyDescent="0.25">
      <c r="A4485" s="22">
        <v>45807</v>
      </c>
      <c r="B4485" s="1" t="s">
        <v>619</v>
      </c>
      <c r="C4485" t="s">
        <v>3374</v>
      </c>
      <c r="D4485" s="23">
        <v>-3139.25</v>
      </c>
      <c r="E4485" t="s">
        <v>35</v>
      </c>
      <c r="F4485" s="2">
        <v>110114001</v>
      </c>
      <c r="G4485" s="2" t="s">
        <v>181</v>
      </c>
      <c r="I4485" s="95" t="s">
        <v>7231</v>
      </c>
      <c r="J4485" s="51" t="s">
        <v>182</v>
      </c>
      <c r="K4485" s="72" t="s">
        <v>183</v>
      </c>
      <c r="L4485" s="72"/>
      <c r="M4485">
        <v>96.86</v>
      </c>
      <c r="N4485" s="4">
        <f t="shared" si="69"/>
        <v>-32.41017964071856</v>
      </c>
      <c r="O4485" t="s">
        <v>605</v>
      </c>
      <c r="P4485" s="34" t="s">
        <v>2492</v>
      </c>
    </row>
    <row r="4486" spans="1:17" x14ac:dyDescent="0.25">
      <c r="A4486" s="22">
        <v>45807</v>
      </c>
      <c r="B4486" s="1" t="s">
        <v>1268</v>
      </c>
      <c r="C4486" t="s">
        <v>3375</v>
      </c>
      <c r="D4486" s="23">
        <v>-461629.19</v>
      </c>
      <c r="E4486" t="s">
        <v>35</v>
      </c>
      <c r="F4486" s="2">
        <v>110114001</v>
      </c>
      <c r="G4486" s="2" t="s">
        <v>181</v>
      </c>
      <c r="I4486" s="95" t="s">
        <v>7231</v>
      </c>
      <c r="J4486" s="51" t="s">
        <v>182</v>
      </c>
      <c r="K4486" s="72" t="s">
        <v>183</v>
      </c>
      <c r="L4486" s="72"/>
      <c r="M4486">
        <v>96.86</v>
      </c>
      <c r="N4486" s="4">
        <f t="shared" si="69"/>
        <v>-4765.9424943217018</v>
      </c>
      <c r="O4486" t="s">
        <v>605</v>
      </c>
      <c r="P4486" s="34" t="s">
        <v>2492</v>
      </c>
    </row>
    <row r="4487" spans="1:17" x14ac:dyDescent="0.25">
      <c r="A4487" s="22">
        <v>45807</v>
      </c>
      <c r="B4487" s="1" t="s">
        <v>617</v>
      </c>
      <c r="C4487" t="s">
        <v>3374</v>
      </c>
      <c r="D4487" s="23">
        <v>-200000</v>
      </c>
      <c r="E4487" t="s">
        <v>35</v>
      </c>
      <c r="F4487" s="2">
        <v>110114001</v>
      </c>
      <c r="G4487" s="2" t="s">
        <v>181</v>
      </c>
      <c r="I4487" s="95" t="s">
        <v>7231</v>
      </c>
      <c r="J4487" s="51" t="s">
        <v>182</v>
      </c>
      <c r="K4487" s="72" t="s">
        <v>183</v>
      </c>
      <c r="L4487" s="72"/>
      <c r="M4487">
        <v>96.86</v>
      </c>
      <c r="N4487" s="4">
        <f t="shared" si="69"/>
        <v>-2064.8358455502789</v>
      </c>
      <c r="O4487" t="s">
        <v>605</v>
      </c>
      <c r="P4487" s="34" t="s">
        <v>2492</v>
      </c>
    </row>
    <row r="4488" spans="1:17" x14ac:dyDescent="0.25">
      <c r="A4488" s="22">
        <v>45807</v>
      </c>
      <c r="B4488" s="1" t="s">
        <v>1267</v>
      </c>
      <c r="C4488" t="s">
        <v>3376</v>
      </c>
      <c r="D4488" s="23">
        <v>-114928.91</v>
      </c>
      <c r="E4488" t="s">
        <v>35</v>
      </c>
      <c r="F4488" s="2">
        <v>110114001</v>
      </c>
      <c r="G4488" s="2" t="s">
        <v>181</v>
      </c>
      <c r="I4488" s="95" t="s">
        <v>7231</v>
      </c>
      <c r="J4488" s="51" t="s">
        <v>182</v>
      </c>
      <c r="K4488" s="72" t="s">
        <v>183</v>
      </c>
      <c r="L4488" s="72"/>
      <c r="M4488">
        <v>96.86</v>
      </c>
      <c r="N4488" s="4">
        <f t="shared" si="69"/>
        <v>-1186.5466652901096</v>
      </c>
      <c r="O4488" t="s">
        <v>605</v>
      </c>
      <c r="P4488" s="34" t="s">
        <v>2492</v>
      </c>
    </row>
    <row r="4489" spans="1:17" x14ac:dyDescent="0.25">
      <c r="A4489" s="22">
        <v>45807</v>
      </c>
      <c r="B4489" s="1" t="s">
        <v>613</v>
      </c>
      <c r="C4489" t="s">
        <v>3377</v>
      </c>
      <c r="D4489" s="23">
        <v>-2905.8</v>
      </c>
      <c r="E4489" t="s">
        <v>35</v>
      </c>
      <c r="F4489" s="2">
        <v>212901001</v>
      </c>
      <c r="G4489" s="2" t="s">
        <v>91</v>
      </c>
      <c r="I4489" s="95" t="s">
        <v>7231</v>
      </c>
      <c r="J4489" t="s">
        <v>61</v>
      </c>
      <c r="K4489" t="s">
        <v>62</v>
      </c>
      <c r="M4489">
        <v>96.86</v>
      </c>
      <c r="N4489" s="4">
        <f t="shared" si="69"/>
        <v>-30.000000000000004</v>
      </c>
      <c r="O4489" t="s">
        <v>605</v>
      </c>
    </row>
    <row r="4490" spans="1:17" x14ac:dyDescent="0.25">
      <c r="A4490" s="22">
        <v>45807</v>
      </c>
      <c r="B4490" s="1" t="s">
        <v>1896</v>
      </c>
      <c r="C4490" t="s">
        <v>3378</v>
      </c>
      <c r="D4490" s="23">
        <v>-330296.08</v>
      </c>
      <c r="E4490" t="s">
        <v>35</v>
      </c>
      <c r="F4490" s="2">
        <v>110114001</v>
      </c>
      <c r="G4490" s="2" t="s">
        <v>181</v>
      </c>
      <c r="I4490" s="95" t="s">
        <v>7231</v>
      </c>
      <c r="J4490" s="72" t="s">
        <v>37</v>
      </c>
      <c r="K4490" s="72" t="s">
        <v>38</v>
      </c>
      <c r="L4490" s="72"/>
      <c r="M4490">
        <v>96.86</v>
      </c>
      <c r="N4490" s="4">
        <f t="shared" si="69"/>
        <v>-3410.0359281437127</v>
      </c>
      <c r="O4490" t="s">
        <v>605</v>
      </c>
      <c r="P4490" s="34" t="s">
        <v>2492</v>
      </c>
    </row>
    <row r="4491" spans="1:17" x14ac:dyDescent="0.25">
      <c r="A4491" s="22">
        <v>45807</v>
      </c>
      <c r="B4491" s="1" t="s">
        <v>623</v>
      </c>
      <c r="C4491" t="s">
        <v>622</v>
      </c>
      <c r="D4491" s="23">
        <v>-7.26</v>
      </c>
      <c r="E4491" t="s">
        <v>35</v>
      </c>
      <c r="F4491" s="2">
        <v>610148001</v>
      </c>
      <c r="G4491" s="2" t="s">
        <v>41</v>
      </c>
      <c r="I4491" s="95" t="s">
        <v>7231</v>
      </c>
      <c r="J4491" t="s">
        <v>42</v>
      </c>
      <c r="K4491" t="s">
        <v>41</v>
      </c>
      <c r="M4491">
        <v>96.86</v>
      </c>
      <c r="N4491" s="4">
        <f t="shared" si="69"/>
        <v>-7.4953541193475123E-2</v>
      </c>
      <c r="O4491" t="s">
        <v>605</v>
      </c>
      <c r="Q4491" s="42" t="s">
        <v>2650</v>
      </c>
    </row>
    <row r="4492" spans="1:17" x14ac:dyDescent="0.25">
      <c r="A4492" s="22">
        <v>45807</v>
      </c>
      <c r="B4492" s="1" t="s">
        <v>1917</v>
      </c>
      <c r="C4492" t="s">
        <v>622</v>
      </c>
      <c r="D4492" s="23">
        <v>-825.74</v>
      </c>
      <c r="E4492" t="s">
        <v>35</v>
      </c>
      <c r="F4492" s="2">
        <v>610148001</v>
      </c>
      <c r="G4492" s="2" t="s">
        <v>41</v>
      </c>
      <c r="I4492" s="95" t="s">
        <v>7231</v>
      </c>
      <c r="J4492" t="s">
        <v>42</v>
      </c>
      <c r="K4492" t="s">
        <v>41</v>
      </c>
      <c r="M4492">
        <v>96.86</v>
      </c>
      <c r="N4492" s="4">
        <f t="shared" ref="N4492:N4555" si="70">D4492/M4492</f>
        <v>-8.5250877555234368</v>
      </c>
      <c r="O4492" t="s">
        <v>605</v>
      </c>
      <c r="Q4492" s="42" t="s">
        <v>2650</v>
      </c>
    </row>
    <row r="4493" spans="1:17" x14ac:dyDescent="0.25">
      <c r="A4493" s="22">
        <v>45807</v>
      </c>
      <c r="B4493" s="1" t="s">
        <v>625</v>
      </c>
      <c r="C4493" t="s">
        <v>622</v>
      </c>
      <c r="D4493" s="23">
        <v>-4.84</v>
      </c>
      <c r="E4493" t="s">
        <v>35</v>
      </c>
      <c r="F4493" s="2">
        <v>610148001</v>
      </c>
      <c r="G4493" s="2" t="s">
        <v>41</v>
      </c>
      <c r="I4493" s="95" t="s">
        <v>7231</v>
      </c>
      <c r="J4493" t="s">
        <v>42</v>
      </c>
      <c r="K4493" t="s">
        <v>41</v>
      </c>
      <c r="M4493">
        <v>96.86</v>
      </c>
      <c r="N4493" s="4">
        <f t="shared" si="70"/>
        <v>-4.9969027462316747E-2</v>
      </c>
      <c r="O4493" t="s">
        <v>605</v>
      </c>
      <c r="Q4493" s="42" t="s">
        <v>2650</v>
      </c>
    </row>
    <row r="4494" spans="1:17" x14ac:dyDescent="0.25">
      <c r="A4494" s="22">
        <v>45807</v>
      </c>
      <c r="B4494" s="1" t="s">
        <v>1272</v>
      </c>
      <c r="C4494" t="s">
        <v>622</v>
      </c>
      <c r="D4494" s="23">
        <v>-287.32</v>
      </c>
      <c r="E4494" t="s">
        <v>35</v>
      </c>
      <c r="F4494" s="2">
        <v>610148001</v>
      </c>
      <c r="G4494" s="2" t="s">
        <v>41</v>
      </c>
      <c r="I4494" s="95" t="s">
        <v>7231</v>
      </c>
      <c r="J4494" t="s">
        <v>42</v>
      </c>
      <c r="K4494" t="s">
        <v>41</v>
      </c>
      <c r="M4494">
        <v>96.86</v>
      </c>
      <c r="N4494" s="4">
        <f t="shared" si="70"/>
        <v>-2.9663431757175305</v>
      </c>
      <c r="O4494" t="s">
        <v>605</v>
      </c>
      <c r="Q4494" s="42" t="s">
        <v>2650</v>
      </c>
    </row>
    <row r="4495" spans="1:17" x14ac:dyDescent="0.25">
      <c r="A4495" s="22">
        <v>45807</v>
      </c>
      <c r="B4495" s="1" t="s">
        <v>1271</v>
      </c>
      <c r="C4495" t="s">
        <v>622</v>
      </c>
      <c r="D4495" s="23">
        <v>-1154.07</v>
      </c>
      <c r="E4495" t="s">
        <v>35</v>
      </c>
      <c r="F4495" s="2">
        <v>610148001</v>
      </c>
      <c r="G4495" s="2" t="s">
        <v>41</v>
      </c>
      <c r="I4495" s="95" t="s">
        <v>7231</v>
      </c>
      <c r="J4495" t="s">
        <v>42</v>
      </c>
      <c r="K4495" t="s">
        <v>41</v>
      </c>
      <c r="M4495">
        <v>96.86</v>
      </c>
      <c r="N4495" s="4">
        <f t="shared" si="70"/>
        <v>-11.91482552137105</v>
      </c>
      <c r="O4495" t="s">
        <v>605</v>
      </c>
      <c r="Q4495" s="42" t="s">
        <v>2650</v>
      </c>
    </row>
    <row r="4496" spans="1:17" x14ac:dyDescent="0.25">
      <c r="A4496" s="22">
        <v>45807</v>
      </c>
      <c r="B4496" s="1" t="s">
        <v>621</v>
      </c>
      <c r="C4496" t="s">
        <v>622</v>
      </c>
      <c r="D4496" s="23">
        <v>-7.84</v>
      </c>
      <c r="E4496" t="s">
        <v>35</v>
      </c>
      <c r="F4496" s="2">
        <v>610148001</v>
      </c>
      <c r="G4496" s="2" t="s">
        <v>41</v>
      </c>
      <c r="I4496" s="95" t="s">
        <v>7231</v>
      </c>
      <c r="J4496" t="s">
        <v>42</v>
      </c>
      <c r="K4496" t="s">
        <v>41</v>
      </c>
      <c r="M4496">
        <v>96.86</v>
      </c>
      <c r="N4496" s="4">
        <f t="shared" si="70"/>
        <v>-8.0941565145570923E-2</v>
      </c>
      <c r="O4496" t="s">
        <v>605</v>
      </c>
      <c r="Q4496" s="42" t="s">
        <v>2650</v>
      </c>
    </row>
    <row r="4497" spans="1:20" x14ac:dyDescent="0.25">
      <c r="A4497" s="22">
        <v>45807</v>
      </c>
      <c r="B4497" s="1" t="s">
        <v>624</v>
      </c>
      <c r="C4497" t="s">
        <v>622</v>
      </c>
      <c r="D4497" s="23">
        <v>-500</v>
      </c>
      <c r="E4497" t="s">
        <v>35</v>
      </c>
      <c r="F4497" s="2">
        <v>610148001</v>
      </c>
      <c r="G4497" s="2" t="s">
        <v>41</v>
      </c>
      <c r="I4497" s="95" t="s">
        <v>7231</v>
      </c>
      <c r="J4497" t="s">
        <v>42</v>
      </c>
      <c r="K4497" t="s">
        <v>41</v>
      </c>
      <c r="M4497">
        <v>96.86</v>
      </c>
      <c r="N4497" s="4">
        <f t="shared" si="70"/>
        <v>-5.1620896138756969</v>
      </c>
      <c r="O4497" t="s">
        <v>605</v>
      </c>
      <c r="Q4497" s="42" t="s">
        <v>2650</v>
      </c>
    </row>
    <row r="4498" spans="1:20" x14ac:dyDescent="0.25">
      <c r="A4498" s="22">
        <v>45807</v>
      </c>
      <c r="B4498" s="1" t="s">
        <v>3379</v>
      </c>
      <c r="C4498" t="s">
        <v>293</v>
      </c>
      <c r="D4498" s="23">
        <v>650000</v>
      </c>
      <c r="E4498" t="s">
        <v>45</v>
      </c>
      <c r="F4498" s="2">
        <v>210115002</v>
      </c>
      <c r="G4498" s="2" t="s">
        <v>46</v>
      </c>
      <c r="I4498" s="95" t="s">
        <v>7231</v>
      </c>
      <c r="K4498" t="s">
        <v>293</v>
      </c>
      <c r="M4498">
        <v>96.86</v>
      </c>
      <c r="N4498" s="4">
        <f t="shared" si="70"/>
        <v>6710.7164980384059</v>
      </c>
      <c r="O4498" t="s">
        <v>605</v>
      </c>
    </row>
    <row r="4499" spans="1:20" x14ac:dyDescent="0.25">
      <c r="A4499" s="22">
        <v>45807</v>
      </c>
      <c r="B4499" s="1" t="s">
        <v>1963</v>
      </c>
      <c r="C4499" t="s">
        <v>3380</v>
      </c>
      <c r="D4499" s="23">
        <v>-28572</v>
      </c>
      <c r="E4499" t="s">
        <v>35</v>
      </c>
      <c r="F4499" s="2">
        <v>212901001</v>
      </c>
      <c r="G4499" s="2" t="s">
        <v>91</v>
      </c>
      <c r="I4499" s="95" t="s">
        <v>7231</v>
      </c>
      <c r="J4499" t="s">
        <v>61</v>
      </c>
      <c r="K4499" t="s">
        <v>62</v>
      </c>
      <c r="M4499">
        <v>96.86</v>
      </c>
      <c r="N4499" s="4">
        <f t="shared" si="70"/>
        <v>-294.98244889531281</v>
      </c>
      <c r="O4499" t="s">
        <v>605</v>
      </c>
      <c r="R4499">
        <v>2</v>
      </c>
      <c r="S4499" t="e">
        <f>VLOOKUP(Tabla3[[#This Row],[Nº]],[1]!NOMINA[#Data],4,FALSE)</f>
        <v>#REF!</v>
      </c>
      <c r="T4499" t="e">
        <f>VLOOKUP(Tabla3[[#This Row],[Nº]],[1]!NOMINA[#Data],5,FALSE)</f>
        <v>#REF!</v>
      </c>
    </row>
    <row r="4500" spans="1:20" x14ac:dyDescent="0.25">
      <c r="A4500" s="22">
        <v>45807</v>
      </c>
      <c r="B4500" s="1" t="s">
        <v>1971</v>
      </c>
      <c r="C4500" t="s">
        <v>3381</v>
      </c>
      <c r="D4500" s="23">
        <v>-5714.4</v>
      </c>
      <c r="E4500" t="s">
        <v>35</v>
      </c>
      <c r="F4500" s="2">
        <v>212901001</v>
      </c>
      <c r="G4500" s="2" t="s">
        <v>91</v>
      </c>
      <c r="I4500" s="95" t="s">
        <v>7231</v>
      </c>
      <c r="J4500" t="s">
        <v>61</v>
      </c>
      <c r="K4500" t="s">
        <v>62</v>
      </c>
      <c r="M4500">
        <v>96.86</v>
      </c>
      <c r="N4500" s="4">
        <f t="shared" si="70"/>
        <v>-58.996489779062564</v>
      </c>
      <c r="O4500" t="s">
        <v>605</v>
      </c>
      <c r="R4500">
        <v>36</v>
      </c>
      <c r="S4500" t="e">
        <f>VLOOKUP(R4500,[1]!NOMINA[#Data],4,FALSE)</f>
        <v>#REF!</v>
      </c>
      <c r="T4500" t="e">
        <f>VLOOKUP(R4500,[1]!NOMINA[#Data],5,FALSE)</f>
        <v>#REF!</v>
      </c>
    </row>
    <row r="4501" spans="1:20" x14ac:dyDescent="0.25">
      <c r="A4501" s="22">
        <v>45807</v>
      </c>
      <c r="B4501" s="1" t="s">
        <v>1942</v>
      </c>
      <c r="C4501" t="s">
        <v>3382</v>
      </c>
      <c r="D4501" s="23">
        <v>-952.4</v>
      </c>
      <c r="E4501" t="s">
        <v>35</v>
      </c>
      <c r="F4501" s="2">
        <v>212901001</v>
      </c>
      <c r="G4501" s="2" t="s">
        <v>91</v>
      </c>
      <c r="I4501" s="95" t="s">
        <v>7231</v>
      </c>
      <c r="J4501" t="s">
        <v>61</v>
      </c>
      <c r="K4501" t="s">
        <v>62</v>
      </c>
      <c r="M4501">
        <v>96.86</v>
      </c>
      <c r="N4501" s="4">
        <f t="shared" si="70"/>
        <v>-9.8327482965104274</v>
      </c>
      <c r="O4501" t="s">
        <v>605</v>
      </c>
      <c r="R4501">
        <v>28</v>
      </c>
      <c r="S4501" t="e">
        <f>VLOOKUP(R4501,[1]!NOMINA[#Data],4,FALSE)</f>
        <v>#REF!</v>
      </c>
      <c r="T4501" t="e">
        <f>VLOOKUP(R4501,[1]!NOMINA[#Data],5,FALSE)</f>
        <v>#REF!</v>
      </c>
    </row>
    <row r="4502" spans="1:20" x14ac:dyDescent="0.25">
      <c r="A4502" s="22">
        <v>45807</v>
      </c>
      <c r="B4502" s="1" t="s">
        <v>3383</v>
      </c>
      <c r="C4502" t="s">
        <v>3384</v>
      </c>
      <c r="D4502" s="23">
        <v>-8571.6</v>
      </c>
      <c r="E4502" t="s">
        <v>35</v>
      </c>
      <c r="F4502" s="2">
        <v>212901001</v>
      </c>
      <c r="G4502" s="2" t="s">
        <v>91</v>
      </c>
      <c r="I4502" s="95" t="s">
        <v>7231</v>
      </c>
      <c r="J4502" t="s">
        <v>61</v>
      </c>
      <c r="K4502" t="s">
        <v>62</v>
      </c>
      <c r="M4502">
        <v>96.86</v>
      </c>
      <c r="N4502" s="4">
        <f t="shared" si="70"/>
        <v>-88.49473466859385</v>
      </c>
      <c r="O4502" t="s">
        <v>605</v>
      </c>
    </row>
    <row r="4503" spans="1:20" x14ac:dyDescent="0.25">
      <c r="A4503" s="22">
        <v>45807</v>
      </c>
      <c r="B4503" s="1" t="s">
        <v>3385</v>
      </c>
      <c r="C4503" t="s">
        <v>3386</v>
      </c>
      <c r="D4503" s="23">
        <v>-61.65</v>
      </c>
      <c r="E4503" t="s">
        <v>35</v>
      </c>
      <c r="F4503" s="2">
        <v>212901001</v>
      </c>
      <c r="G4503" s="2" t="s">
        <v>91</v>
      </c>
      <c r="I4503" s="95" t="s">
        <v>7231</v>
      </c>
      <c r="J4503" t="s">
        <v>61</v>
      </c>
      <c r="K4503" t="s">
        <v>62</v>
      </c>
      <c r="M4503">
        <v>96.86</v>
      </c>
      <c r="N4503" s="4">
        <f t="shared" si="70"/>
        <v>-0.63648564939087338</v>
      </c>
      <c r="O4503" t="s">
        <v>605</v>
      </c>
      <c r="R4503">
        <v>9</v>
      </c>
      <c r="S4503" t="e">
        <f>VLOOKUP(R4503,[1]!NOMINA[#Data],4,FALSE)</f>
        <v>#REF!</v>
      </c>
      <c r="T4503" t="e">
        <f>VLOOKUP(R4503,[1]!NOMINA[#Data],5,FALSE)</f>
        <v>#REF!</v>
      </c>
    </row>
    <row r="4504" spans="1:20" x14ac:dyDescent="0.25">
      <c r="A4504" s="22">
        <v>45807</v>
      </c>
      <c r="B4504" s="1" t="s">
        <v>3387</v>
      </c>
      <c r="C4504" t="s">
        <v>3388</v>
      </c>
      <c r="D4504" s="23">
        <v>-61.65</v>
      </c>
      <c r="E4504" t="s">
        <v>35</v>
      </c>
      <c r="F4504" s="2">
        <v>212901001</v>
      </c>
      <c r="G4504" s="2" t="s">
        <v>91</v>
      </c>
      <c r="I4504" s="95" t="s">
        <v>7231</v>
      </c>
      <c r="J4504" t="s">
        <v>61</v>
      </c>
      <c r="K4504" t="s">
        <v>62</v>
      </c>
      <c r="M4504">
        <v>96.86</v>
      </c>
      <c r="N4504" s="4">
        <f t="shared" si="70"/>
        <v>-0.63648564939087338</v>
      </c>
      <c r="O4504" t="s">
        <v>605</v>
      </c>
      <c r="R4504">
        <v>26</v>
      </c>
      <c r="S4504" t="e">
        <f>VLOOKUP(Tabla3[[#This Row],[Nº]],[1]!NOMINA[#Data],4,FALSE)</f>
        <v>#REF!</v>
      </c>
      <c r="T4504" t="e">
        <f>VLOOKUP(Tabla3[[#This Row],[Nº]],[1]!NOMINA[#Data],5,FALSE)</f>
        <v>#REF!</v>
      </c>
    </row>
    <row r="4505" spans="1:20" x14ac:dyDescent="0.25">
      <c r="A4505" s="22">
        <v>45807</v>
      </c>
      <c r="B4505" s="1" t="s">
        <v>3389</v>
      </c>
      <c r="C4505" t="s">
        <v>3390</v>
      </c>
      <c r="D4505" s="23">
        <v>-53.07</v>
      </c>
      <c r="E4505" t="s">
        <v>35</v>
      </c>
      <c r="F4505" s="2">
        <v>212901001</v>
      </c>
      <c r="G4505" s="2" t="s">
        <v>91</v>
      </c>
      <c r="I4505" s="95" t="s">
        <v>7231</v>
      </c>
      <c r="J4505" t="s">
        <v>61</v>
      </c>
      <c r="K4505" t="s">
        <v>62</v>
      </c>
      <c r="M4505">
        <v>96.86</v>
      </c>
      <c r="N4505" s="4">
        <f t="shared" si="70"/>
        <v>-0.54790419161676651</v>
      </c>
      <c r="O4505" t="s">
        <v>605</v>
      </c>
      <c r="R4505">
        <v>42</v>
      </c>
      <c r="S4505" t="e">
        <f>VLOOKUP(R4505,[1]!NOMINA[#Data],4,FALSE)</f>
        <v>#REF!</v>
      </c>
      <c r="T4505" t="e">
        <f>VLOOKUP(R4505,[1]!NOMINA[#Data],5,FALSE)</f>
        <v>#REF!</v>
      </c>
    </row>
    <row r="4506" spans="1:20" x14ac:dyDescent="0.25">
      <c r="A4506" s="22">
        <v>45807</v>
      </c>
      <c r="B4506" s="1" t="s">
        <v>3391</v>
      </c>
      <c r="C4506" t="s">
        <v>3392</v>
      </c>
      <c r="D4506" s="23">
        <v>-3809.6</v>
      </c>
      <c r="E4506" t="s">
        <v>35</v>
      </c>
      <c r="F4506" s="2">
        <v>212901001</v>
      </c>
      <c r="G4506" s="2" t="s">
        <v>91</v>
      </c>
      <c r="I4506" s="95" t="s">
        <v>7231</v>
      </c>
      <c r="J4506" t="s">
        <v>61</v>
      </c>
      <c r="K4506" t="s">
        <v>62</v>
      </c>
      <c r="M4506">
        <v>96.86</v>
      </c>
      <c r="N4506" s="4">
        <f t="shared" si="70"/>
        <v>-39.330993186041709</v>
      </c>
      <c r="O4506" t="s">
        <v>605</v>
      </c>
      <c r="R4506">
        <v>4</v>
      </c>
      <c r="S4506" t="e">
        <f>VLOOKUP(R4506,[1]!NOMINA[#Data],4,FALSE)</f>
        <v>#REF!</v>
      </c>
      <c r="T4506" t="e">
        <f>VLOOKUP(R4506,[1]!NOMINA[#Data],5,FALSE)</f>
        <v>#REF!</v>
      </c>
    </row>
    <row r="4507" spans="1:20" x14ac:dyDescent="0.25">
      <c r="A4507" s="22">
        <v>45807</v>
      </c>
      <c r="B4507" s="1" t="s">
        <v>3393</v>
      </c>
      <c r="C4507" t="s">
        <v>3394</v>
      </c>
      <c r="D4507" s="23">
        <v>-3809.6</v>
      </c>
      <c r="E4507" t="s">
        <v>35</v>
      </c>
      <c r="F4507" s="2">
        <v>212901001</v>
      </c>
      <c r="G4507" s="2" t="s">
        <v>91</v>
      </c>
      <c r="I4507" s="95" t="s">
        <v>7231</v>
      </c>
      <c r="J4507" t="s">
        <v>61</v>
      </c>
      <c r="K4507" t="s">
        <v>62</v>
      </c>
      <c r="M4507">
        <v>96.86</v>
      </c>
      <c r="N4507" s="4">
        <f t="shared" si="70"/>
        <v>-39.330993186041709</v>
      </c>
      <c r="O4507" t="s">
        <v>605</v>
      </c>
      <c r="R4507">
        <v>2</v>
      </c>
      <c r="S4507" t="e">
        <f>VLOOKUP(Tabla3[[#This Row],[Nº]],[1]!NOMINA[#Data],4,FALSE)</f>
        <v>#REF!</v>
      </c>
      <c r="T4507" t="e">
        <f>VLOOKUP(Tabla3[[#This Row],[Nº]],[1]!NOMINA[#Data],5,FALSE)</f>
        <v>#REF!</v>
      </c>
    </row>
    <row r="4508" spans="1:20" x14ac:dyDescent="0.25">
      <c r="A4508" s="22">
        <v>45807</v>
      </c>
      <c r="B4508" s="1" t="s">
        <v>2008</v>
      </c>
      <c r="C4508" t="s">
        <v>3395</v>
      </c>
      <c r="D4508" s="23">
        <v>-3809.6</v>
      </c>
      <c r="E4508" t="s">
        <v>35</v>
      </c>
      <c r="F4508" s="2">
        <v>212901001</v>
      </c>
      <c r="G4508" s="2" t="s">
        <v>91</v>
      </c>
      <c r="I4508" s="95" t="s">
        <v>7231</v>
      </c>
      <c r="J4508" t="s">
        <v>61</v>
      </c>
      <c r="K4508" t="s">
        <v>62</v>
      </c>
      <c r="M4508">
        <v>96.86</v>
      </c>
      <c r="N4508" s="4">
        <f t="shared" si="70"/>
        <v>-39.330993186041709</v>
      </c>
      <c r="O4508" t="s">
        <v>605</v>
      </c>
      <c r="R4508">
        <v>3</v>
      </c>
      <c r="S4508" t="e">
        <f>VLOOKUP(R4508,[1]!NOMINA[#Data],4,FALSE)</f>
        <v>#REF!</v>
      </c>
      <c r="T4508" t="e">
        <f>VLOOKUP(R4508,[1]!NOMINA[#Data],5,FALSE)</f>
        <v>#REF!</v>
      </c>
    </row>
    <row r="4509" spans="1:20" x14ac:dyDescent="0.25">
      <c r="A4509" s="22">
        <v>45807</v>
      </c>
      <c r="B4509" s="1" t="s">
        <v>2024</v>
      </c>
      <c r="C4509" t="s">
        <v>3396</v>
      </c>
      <c r="D4509" s="23">
        <v>-61.65</v>
      </c>
      <c r="E4509" t="s">
        <v>35</v>
      </c>
      <c r="F4509" s="2">
        <v>212901001</v>
      </c>
      <c r="G4509" s="2" t="s">
        <v>91</v>
      </c>
      <c r="I4509" s="95" t="s">
        <v>7231</v>
      </c>
      <c r="J4509" t="s">
        <v>61</v>
      </c>
      <c r="K4509" t="s">
        <v>62</v>
      </c>
      <c r="M4509">
        <v>96.86</v>
      </c>
      <c r="N4509" s="4">
        <f t="shared" si="70"/>
        <v>-0.63648564939087338</v>
      </c>
      <c r="O4509" t="s">
        <v>605</v>
      </c>
      <c r="R4509">
        <v>29</v>
      </c>
      <c r="S4509" t="e">
        <f>VLOOKUP(R4509,[1]!NOMINA[#Data],4,FALSE)</f>
        <v>#REF!</v>
      </c>
      <c r="T4509" t="e">
        <f>VLOOKUP(R4509,[1]!NOMINA[#Data],5,FALSE)</f>
        <v>#REF!</v>
      </c>
    </row>
    <row r="4510" spans="1:20" x14ac:dyDescent="0.25">
      <c r="A4510" s="22">
        <v>45807</v>
      </c>
      <c r="B4510" s="1" t="s">
        <v>1946</v>
      </c>
      <c r="C4510" t="s">
        <v>3397</v>
      </c>
      <c r="D4510" s="23">
        <v>-61.65</v>
      </c>
      <c r="E4510" t="s">
        <v>35</v>
      </c>
      <c r="F4510" s="2">
        <v>212901001</v>
      </c>
      <c r="G4510" s="2" t="s">
        <v>91</v>
      </c>
      <c r="I4510" s="95" t="s">
        <v>7231</v>
      </c>
      <c r="J4510" t="s">
        <v>61</v>
      </c>
      <c r="K4510" t="s">
        <v>62</v>
      </c>
      <c r="M4510">
        <v>96.86</v>
      </c>
      <c r="N4510" s="4">
        <f t="shared" si="70"/>
        <v>-0.63648564939087338</v>
      </c>
      <c r="O4510" t="s">
        <v>605</v>
      </c>
      <c r="R4510">
        <v>10</v>
      </c>
      <c r="S4510" t="e">
        <f>VLOOKUP(R4510,[1]!NOMINA[#Data],4,FALSE)</f>
        <v>#REF!</v>
      </c>
      <c r="T4510" t="e">
        <f>VLOOKUP(R4510,[1]!NOMINA[#Data],5,FALSE)</f>
        <v>#REF!</v>
      </c>
    </row>
    <row r="4511" spans="1:20" x14ac:dyDescent="0.25">
      <c r="A4511" s="22">
        <v>45807</v>
      </c>
      <c r="B4511" s="1" t="s">
        <v>3398</v>
      </c>
      <c r="C4511" t="s">
        <v>3399</v>
      </c>
      <c r="D4511" s="23">
        <v>-61.65</v>
      </c>
      <c r="E4511" t="s">
        <v>35</v>
      </c>
      <c r="F4511" s="2">
        <v>212901001</v>
      </c>
      <c r="G4511" s="2" t="s">
        <v>91</v>
      </c>
      <c r="I4511" s="95" t="s">
        <v>7231</v>
      </c>
      <c r="J4511" t="s">
        <v>61</v>
      </c>
      <c r="K4511" t="s">
        <v>62</v>
      </c>
      <c r="M4511">
        <v>96.86</v>
      </c>
      <c r="N4511" s="4">
        <f t="shared" si="70"/>
        <v>-0.63648564939087338</v>
      </c>
      <c r="O4511" t="s">
        <v>605</v>
      </c>
      <c r="R4511">
        <v>18</v>
      </c>
      <c r="S4511" t="e">
        <f>VLOOKUP(Tabla3[[#This Row],[Nº]],[1]!NOMINA[#Data],4,FALSE)</f>
        <v>#REF!</v>
      </c>
      <c r="T4511" t="e">
        <f>VLOOKUP(Tabla3[[#This Row],[Nº]],[1]!NOMINA[#Data],5,FALSE)</f>
        <v>#REF!</v>
      </c>
    </row>
    <row r="4512" spans="1:20" x14ac:dyDescent="0.25">
      <c r="A4512" s="22">
        <v>45807</v>
      </c>
      <c r="B4512" s="1" t="s">
        <v>3400</v>
      </c>
      <c r="C4512" t="s">
        <v>3401</v>
      </c>
      <c r="D4512" s="23">
        <v>-61.65</v>
      </c>
      <c r="E4512" t="s">
        <v>35</v>
      </c>
      <c r="F4512" s="2">
        <v>212901001</v>
      </c>
      <c r="G4512" s="2" t="s">
        <v>91</v>
      </c>
      <c r="I4512" s="95" t="s">
        <v>7231</v>
      </c>
      <c r="J4512" t="s">
        <v>61</v>
      </c>
      <c r="K4512" t="s">
        <v>62</v>
      </c>
      <c r="M4512">
        <v>96.86</v>
      </c>
      <c r="N4512" s="4">
        <f t="shared" si="70"/>
        <v>-0.63648564939087338</v>
      </c>
      <c r="O4512" t="s">
        <v>605</v>
      </c>
      <c r="R4512">
        <v>15</v>
      </c>
      <c r="S4512" t="e">
        <f>VLOOKUP(R4512,[1]!NOMINA[#Data],4,FALSE)</f>
        <v>#REF!</v>
      </c>
      <c r="T4512" t="e">
        <f>VLOOKUP(R4512,[1]!NOMINA[#Data],5,FALSE)</f>
        <v>#REF!</v>
      </c>
    </row>
    <row r="4513" spans="1:20" x14ac:dyDescent="0.25">
      <c r="A4513" s="22">
        <v>45807</v>
      </c>
      <c r="B4513" s="1" t="s">
        <v>3402</v>
      </c>
      <c r="C4513" t="s">
        <v>3403</v>
      </c>
      <c r="D4513" s="23">
        <v>-61.65</v>
      </c>
      <c r="E4513" t="s">
        <v>35</v>
      </c>
      <c r="F4513" s="2">
        <v>212901001</v>
      </c>
      <c r="G4513" s="2" t="s">
        <v>91</v>
      </c>
      <c r="I4513" s="95" t="s">
        <v>7231</v>
      </c>
      <c r="J4513" t="s">
        <v>61</v>
      </c>
      <c r="K4513" t="s">
        <v>62</v>
      </c>
      <c r="M4513">
        <v>96.86</v>
      </c>
      <c r="N4513" s="4">
        <f t="shared" si="70"/>
        <v>-0.63648564939087338</v>
      </c>
      <c r="O4513" t="s">
        <v>605</v>
      </c>
      <c r="R4513">
        <v>40</v>
      </c>
      <c r="S4513" t="e">
        <f>VLOOKUP(R4513,[1]!NOMINA[#Data],4,FALSE)</f>
        <v>#REF!</v>
      </c>
      <c r="T4513" t="e">
        <f>VLOOKUP(R4513,[1]!NOMINA[#Data],5,FALSE)</f>
        <v>#REF!</v>
      </c>
    </row>
    <row r="4514" spans="1:20" x14ac:dyDescent="0.25">
      <c r="A4514" s="22">
        <v>45807</v>
      </c>
      <c r="B4514" s="1" t="s">
        <v>3404</v>
      </c>
      <c r="C4514" t="s">
        <v>3405</v>
      </c>
      <c r="D4514" s="23">
        <v>-3809.6</v>
      </c>
      <c r="E4514" t="s">
        <v>35</v>
      </c>
      <c r="F4514" s="2">
        <v>212901001</v>
      </c>
      <c r="G4514" s="2" t="s">
        <v>91</v>
      </c>
      <c r="I4514" s="95" t="s">
        <v>7231</v>
      </c>
      <c r="J4514" t="s">
        <v>61</v>
      </c>
      <c r="K4514" t="s">
        <v>62</v>
      </c>
      <c r="M4514">
        <v>96.86</v>
      </c>
      <c r="N4514" s="4">
        <f t="shared" si="70"/>
        <v>-39.330993186041709</v>
      </c>
      <c r="O4514" t="s">
        <v>605</v>
      </c>
      <c r="R4514">
        <v>1</v>
      </c>
      <c r="S4514" t="e">
        <f>VLOOKUP(R4514,[1]!NOMINA[#Data],4,FALSE)</f>
        <v>#REF!</v>
      </c>
      <c r="T4514" t="e">
        <f>VLOOKUP(R4514,[1]!NOMINA[#Data],5,FALSE)</f>
        <v>#REF!</v>
      </c>
    </row>
    <row r="4515" spans="1:20" x14ac:dyDescent="0.25">
      <c r="A4515" s="22">
        <v>45807</v>
      </c>
      <c r="B4515" s="1" t="s">
        <v>3406</v>
      </c>
      <c r="C4515" t="s">
        <v>3407</v>
      </c>
      <c r="D4515" s="23">
        <v>-3809.6</v>
      </c>
      <c r="E4515" t="s">
        <v>35</v>
      </c>
      <c r="F4515" s="2">
        <v>212901001</v>
      </c>
      <c r="G4515" s="2" t="s">
        <v>91</v>
      </c>
      <c r="I4515" s="95" t="s">
        <v>7231</v>
      </c>
      <c r="J4515" t="s">
        <v>61</v>
      </c>
      <c r="K4515" t="s">
        <v>62</v>
      </c>
      <c r="M4515">
        <v>96.86</v>
      </c>
      <c r="N4515" s="4">
        <f t="shared" si="70"/>
        <v>-39.330993186041709</v>
      </c>
      <c r="O4515" t="s">
        <v>605</v>
      </c>
      <c r="R4515">
        <v>9</v>
      </c>
      <c r="S4515" t="e">
        <f>VLOOKUP(R4515,[1]!NOMINA[#Data],4,FALSE)</f>
        <v>#REF!</v>
      </c>
      <c r="T4515" t="e">
        <f>VLOOKUP(R4515,[1]!NOMINA[#Data],5,FALSE)</f>
        <v>#REF!</v>
      </c>
    </row>
    <row r="4516" spans="1:20" x14ac:dyDescent="0.25">
      <c r="A4516" s="22">
        <v>45807</v>
      </c>
      <c r="B4516" s="1" t="s">
        <v>3408</v>
      </c>
      <c r="C4516" t="s">
        <v>3409</v>
      </c>
      <c r="D4516" s="23">
        <v>-3809.6</v>
      </c>
      <c r="E4516" t="s">
        <v>35</v>
      </c>
      <c r="F4516" s="2">
        <v>212901001</v>
      </c>
      <c r="G4516" s="2" t="s">
        <v>91</v>
      </c>
      <c r="I4516" s="95" t="s">
        <v>7231</v>
      </c>
      <c r="J4516" t="s">
        <v>61</v>
      </c>
      <c r="K4516" t="s">
        <v>62</v>
      </c>
      <c r="M4516">
        <v>96.86</v>
      </c>
      <c r="N4516" s="4">
        <f t="shared" si="70"/>
        <v>-39.330993186041709</v>
      </c>
      <c r="O4516" t="s">
        <v>605</v>
      </c>
      <c r="R4516">
        <v>26</v>
      </c>
      <c r="S4516" t="e">
        <f>VLOOKUP(Tabla3[[#This Row],[Nº]],[1]!NOMINA[#Data],4,FALSE)</f>
        <v>#REF!</v>
      </c>
      <c r="T4516" t="e">
        <f>VLOOKUP(Tabla3[[#This Row],[Nº]],[1]!NOMINA[#Data],5,FALSE)</f>
        <v>#REF!</v>
      </c>
    </row>
    <row r="4517" spans="1:20" x14ac:dyDescent="0.25">
      <c r="A4517" s="22">
        <v>45807</v>
      </c>
      <c r="B4517" s="1" t="s">
        <v>3410</v>
      </c>
      <c r="C4517" t="s">
        <v>3411</v>
      </c>
      <c r="D4517" s="23">
        <v>-3809.6</v>
      </c>
      <c r="E4517" t="s">
        <v>35</v>
      </c>
      <c r="F4517" s="2">
        <v>212901001</v>
      </c>
      <c r="G4517" s="2" t="s">
        <v>91</v>
      </c>
      <c r="I4517" s="95" t="s">
        <v>7231</v>
      </c>
      <c r="J4517" t="s">
        <v>61</v>
      </c>
      <c r="K4517" t="s">
        <v>62</v>
      </c>
      <c r="M4517">
        <v>96.86</v>
      </c>
      <c r="N4517" s="4">
        <f t="shared" si="70"/>
        <v>-39.330993186041709</v>
      </c>
      <c r="O4517" t="s">
        <v>605</v>
      </c>
      <c r="R4517">
        <v>29</v>
      </c>
      <c r="S4517" t="e">
        <f>VLOOKUP(R4517,[1]!NOMINA[#Data],4,FALSE)</f>
        <v>#REF!</v>
      </c>
      <c r="T4517" t="e">
        <f>VLOOKUP(R4517,[1]!NOMINA[#Data],5,FALSE)</f>
        <v>#REF!</v>
      </c>
    </row>
    <row r="4518" spans="1:20" x14ac:dyDescent="0.25">
      <c r="A4518" s="22">
        <v>45807</v>
      </c>
      <c r="B4518" s="1" t="s">
        <v>3412</v>
      </c>
      <c r="C4518" t="s">
        <v>3413</v>
      </c>
      <c r="D4518" s="23">
        <v>-3809.6</v>
      </c>
      <c r="E4518" t="s">
        <v>35</v>
      </c>
      <c r="F4518" s="2">
        <v>212901001</v>
      </c>
      <c r="G4518" s="2" t="s">
        <v>91</v>
      </c>
      <c r="I4518" s="95" t="s">
        <v>7231</v>
      </c>
      <c r="J4518" t="s">
        <v>61</v>
      </c>
      <c r="K4518" t="s">
        <v>62</v>
      </c>
      <c r="M4518">
        <v>96.86</v>
      </c>
      <c r="N4518" s="4">
        <f t="shared" si="70"/>
        <v>-39.330993186041709</v>
      </c>
      <c r="O4518" t="s">
        <v>605</v>
      </c>
      <c r="R4518">
        <v>10</v>
      </c>
      <c r="S4518" t="e">
        <f>VLOOKUP(R4518,[1]!NOMINA[#Data],4,FALSE)</f>
        <v>#REF!</v>
      </c>
      <c r="T4518" t="e">
        <f>VLOOKUP(R4518,[1]!NOMINA[#Data],5,FALSE)</f>
        <v>#REF!</v>
      </c>
    </row>
    <row r="4519" spans="1:20" x14ac:dyDescent="0.25">
      <c r="A4519" s="22">
        <v>45807</v>
      </c>
      <c r="B4519" s="1" t="s">
        <v>1907</v>
      </c>
      <c r="C4519" t="s">
        <v>3414</v>
      </c>
      <c r="D4519" s="23">
        <v>-7117.29</v>
      </c>
      <c r="E4519" t="s">
        <v>35</v>
      </c>
      <c r="F4519" s="2">
        <v>212901001</v>
      </c>
      <c r="G4519" s="2" t="s">
        <v>91</v>
      </c>
      <c r="I4519" s="95" t="s">
        <v>7231</v>
      </c>
      <c r="J4519" t="s">
        <v>61</v>
      </c>
      <c r="K4519" t="s">
        <v>62</v>
      </c>
      <c r="M4519">
        <v>96.86</v>
      </c>
      <c r="N4519" s="4">
        <f t="shared" si="70"/>
        <v>-73.48017757588272</v>
      </c>
      <c r="O4519" t="s">
        <v>605</v>
      </c>
      <c r="R4519">
        <v>18</v>
      </c>
      <c r="S4519" t="e">
        <f>VLOOKUP(Tabla3[[#This Row],[Nº]],[1]!NOMINA[#Data],4,FALSE)</f>
        <v>#REF!</v>
      </c>
      <c r="T4519" t="e">
        <f>VLOOKUP(Tabla3[[#This Row],[Nº]],[1]!NOMINA[#Data],5,FALSE)</f>
        <v>#REF!</v>
      </c>
    </row>
    <row r="4520" spans="1:20" x14ac:dyDescent="0.25">
      <c r="A4520" s="22">
        <v>45807</v>
      </c>
      <c r="B4520" s="1" t="s">
        <v>1981</v>
      </c>
      <c r="C4520" t="s">
        <v>3415</v>
      </c>
      <c r="D4520" s="23">
        <v>-7117.29</v>
      </c>
      <c r="E4520" t="s">
        <v>35</v>
      </c>
      <c r="F4520" s="2">
        <v>212901001</v>
      </c>
      <c r="G4520" s="2" t="s">
        <v>91</v>
      </c>
      <c r="I4520" s="95" t="s">
        <v>7231</v>
      </c>
      <c r="J4520" t="s">
        <v>61</v>
      </c>
      <c r="K4520" t="s">
        <v>62</v>
      </c>
      <c r="M4520">
        <v>96.86</v>
      </c>
      <c r="N4520" s="4">
        <f t="shared" si="70"/>
        <v>-73.48017757588272</v>
      </c>
      <c r="O4520" t="s">
        <v>605</v>
      </c>
      <c r="R4520">
        <v>15</v>
      </c>
      <c r="S4520" t="e">
        <f>VLOOKUP(R4520,[1]!NOMINA[#Data],4,FALSE)</f>
        <v>#REF!</v>
      </c>
      <c r="T4520" t="e">
        <f>VLOOKUP(R4520,[1]!NOMINA[#Data],5,FALSE)</f>
        <v>#REF!</v>
      </c>
    </row>
    <row r="4521" spans="1:20" x14ac:dyDescent="0.25">
      <c r="A4521" s="22">
        <v>45807</v>
      </c>
      <c r="B4521" s="1" t="s">
        <v>3416</v>
      </c>
      <c r="C4521" t="s">
        <v>3417</v>
      </c>
      <c r="D4521" s="23">
        <v>-3809.6</v>
      </c>
      <c r="E4521" t="s">
        <v>35</v>
      </c>
      <c r="F4521" s="2">
        <v>212901001</v>
      </c>
      <c r="G4521" s="2" t="s">
        <v>91</v>
      </c>
      <c r="I4521" s="95" t="s">
        <v>7231</v>
      </c>
      <c r="J4521" t="s">
        <v>61</v>
      </c>
      <c r="K4521" t="s">
        <v>62</v>
      </c>
      <c r="M4521">
        <v>96.86</v>
      </c>
      <c r="N4521" s="4">
        <f t="shared" si="70"/>
        <v>-39.330993186041709</v>
      </c>
      <c r="O4521" t="s">
        <v>605</v>
      </c>
      <c r="R4521">
        <v>18</v>
      </c>
      <c r="S4521" t="e">
        <f>VLOOKUP(Tabla3[[#This Row],[Nº]],[1]!NOMINA[#Data],4,FALSE)</f>
        <v>#REF!</v>
      </c>
      <c r="T4521" t="e">
        <f>VLOOKUP(Tabla3[[#This Row],[Nº]],[1]!NOMINA[#Data],5,FALSE)</f>
        <v>#REF!</v>
      </c>
    </row>
    <row r="4522" spans="1:20" x14ac:dyDescent="0.25">
      <c r="A4522" s="22">
        <v>45807</v>
      </c>
      <c r="B4522" s="1" t="s">
        <v>3418</v>
      </c>
      <c r="C4522" t="s">
        <v>3419</v>
      </c>
      <c r="D4522" s="23">
        <v>-3809.6</v>
      </c>
      <c r="E4522" t="s">
        <v>35</v>
      </c>
      <c r="F4522" s="2">
        <v>212901001</v>
      </c>
      <c r="G4522" s="2" t="s">
        <v>91</v>
      </c>
      <c r="I4522" s="95" t="s">
        <v>7231</v>
      </c>
      <c r="J4522" t="s">
        <v>61</v>
      </c>
      <c r="K4522" t="s">
        <v>62</v>
      </c>
      <c r="M4522">
        <v>96.86</v>
      </c>
      <c r="N4522" s="4">
        <f t="shared" si="70"/>
        <v>-39.330993186041709</v>
      </c>
      <c r="O4522" t="s">
        <v>605</v>
      </c>
      <c r="R4522">
        <v>38</v>
      </c>
      <c r="S4522" t="e">
        <f>VLOOKUP(R4522,[1]!NOMINA[#Data],4,FALSE)</f>
        <v>#REF!</v>
      </c>
      <c r="T4522" t="e">
        <f>VLOOKUP(R4522,[1]!NOMINA[#Data],5,FALSE)</f>
        <v>#REF!</v>
      </c>
    </row>
    <row r="4523" spans="1:20" x14ac:dyDescent="0.25">
      <c r="A4523" s="22">
        <v>45807</v>
      </c>
      <c r="B4523" s="1" t="s">
        <v>2016</v>
      </c>
      <c r="C4523" t="s">
        <v>3420</v>
      </c>
      <c r="D4523" s="23">
        <v>-952.4</v>
      </c>
      <c r="E4523" t="s">
        <v>35</v>
      </c>
      <c r="F4523" s="2">
        <v>212901001</v>
      </c>
      <c r="G4523" s="2" t="s">
        <v>91</v>
      </c>
      <c r="I4523" s="95" t="s">
        <v>7231</v>
      </c>
      <c r="J4523" t="s">
        <v>61</v>
      </c>
      <c r="K4523" t="s">
        <v>62</v>
      </c>
      <c r="M4523">
        <v>96.86</v>
      </c>
      <c r="N4523" s="4">
        <f t="shared" si="70"/>
        <v>-9.8327482965104274</v>
      </c>
      <c r="O4523" t="s">
        <v>605</v>
      </c>
      <c r="R4523">
        <v>39</v>
      </c>
      <c r="S4523" t="e">
        <f>VLOOKUP(R4523,[1]!NOMINA[#Data],4,FALSE)</f>
        <v>#REF!</v>
      </c>
      <c r="T4523" t="e">
        <f>VLOOKUP(R4523,[1]!NOMINA[#Data],5,FALSE)</f>
        <v>#REF!</v>
      </c>
    </row>
    <row r="4524" spans="1:20" x14ac:dyDescent="0.25">
      <c r="A4524" s="22">
        <v>45807</v>
      </c>
      <c r="B4524" s="1" t="s">
        <v>1967</v>
      </c>
      <c r="C4524" t="s">
        <v>3421</v>
      </c>
      <c r="D4524" s="23">
        <v>-952.4</v>
      </c>
      <c r="E4524" t="s">
        <v>35</v>
      </c>
      <c r="F4524" s="2">
        <v>212901001</v>
      </c>
      <c r="G4524" s="2" t="s">
        <v>91</v>
      </c>
      <c r="I4524" s="95" t="s">
        <v>7231</v>
      </c>
      <c r="J4524" t="s">
        <v>61</v>
      </c>
      <c r="K4524" t="s">
        <v>62</v>
      </c>
      <c r="M4524">
        <v>96.86</v>
      </c>
      <c r="N4524" s="4">
        <f t="shared" si="70"/>
        <v>-9.8327482965104274</v>
      </c>
      <c r="O4524" t="s">
        <v>605</v>
      </c>
      <c r="R4524">
        <v>17</v>
      </c>
      <c r="S4524" t="e">
        <f>VLOOKUP(R4524,[1]!NOMINA[#Data],4,FALSE)</f>
        <v>#REF!</v>
      </c>
      <c r="T4524" t="e">
        <f>VLOOKUP(R4524,[1]!NOMINA[#Data],5,FALSE)</f>
        <v>#REF!</v>
      </c>
    </row>
    <row r="4525" spans="1:20" x14ac:dyDescent="0.25">
      <c r="A4525" s="22">
        <v>45807</v>
      </c>
      <c r="B4525" s="1" t="s">
        <v>3422</v>
      </c>
      <c r="C4525" t="s">
        <v>3423</v>
      </c>
      <c r="D4525" s="23">
        <v>-61.65</v>
      </c>
      <c r="E4525" t="s">
        <v>35</v>
      </c>
      <c r="F4525" s="2">
        <v>212901001</v>
      </c>
      <c r="G4525" s="2" t="s">
        <v>91</v>
      </c>
      <c r="I4525" s="95" t="s">
        <v>7231</v>
      </c>
      <c r="J4525" t="s">
        <v>61</v>
      </c>
      <c r="K4525" t="s">
        <v>62</v>
      </c>
      <c r="M4525">
        <v>96.86</v>
      </c>
      <c r="N4525" s="4">
        <f t="shared" si="70"/>
        <v>-0.63648564939087338</v>
      </c>
      <c r="O4525" t="s">
        <v>605</v>
      </c>
      <c r="R4525">
        <v>20</v>
      </c>
      <c r="S4525" t="e">
        <f>VLOOKUP(Tabla3[[#This Row],[Nº]],[1]!NOMINA[#Data],4,FALSE)</f>
        <v>#REF!</v>
      </c>
      <c r="T4525" t="e">
        <f>VLOOKUP(Tabla3[[#This Row],[Nº]],[1]!NOMINA[#Data],5,FALSE)</f>
        <v>#REF!</v>
      </c>
    </row>
    <row r="4526" spans="1:20" x14ac:dyDescent="0.25">
      <c r="A4526" s="22">
        <v>45807</v>
      </c>
      <c r="B4526" s="1" t="s">
        <v>3424</v>
      </c>
      <c r="C4526" t="s">
        <v>3425</v>
      </c>
      <c r="D4526" s="23">
        <v>-3809.6</v>
      </c>
      <c r="E4526" t="s">
        <v>35</v>
      </c>
      <c r="F4526" s="2">
        <v>212901001</v>
      </c>
      <c r="G4526" s="2" t="s">
        <v>91</v>
      </c>
      <c r="I4526" s="95" t="s">
        <v>7231</v>
      </c>
      <c r="J4526" t="s">
        <v>61</v>
      </c>
      <c r="K4526" t="s">
        <v>62</v>
      </c>
      <c r="M4526">
        <v>96.86</v>
      </c>
      <c r="N4526" s="4">
        <f t="shared" si="70"/>
        <v>-39.330993186041709</v>
      </c>
      <c r="O4526" t="s">
        <v>605</v>
      </c>
      <c r="R4526">
        <v>15</v>
      </c>
      <c r="S4526" t="e">
        <f>VLOOKUP(R4526,[1]!NOMINA[#Data],4,FALSE)</f>
        <v>#REF!</v>
      </c>
      <c r="T4526" t="e">
        <f>VLOOKUP(R4526,[1]!NOMINA[#Data],5,FALSE)</f>
        <v>#REF!</v>
      </c>
    </row>
    <row r="4527" spans="1:20" x14ac:dyDescent="0.25">
      <c r="A4527" s="22">
        <v>45807</v>
      </c>
      <c r="B4527" s="1" t="s">
        <v>2034</v>
      </c>
      <c r="C4527" t="s">
        <v>3426</v>
      </c>
      <c r="D4527" s="23">
        <v>-19048</v>
      </c>
      <c r="E4527" t="s">
        <v>35</v>
      </c>
      <c r="F4527" s="2">
        <v>212901001</v>
      </c>
      <c r="G4527" s="2" t="s">
        <v>91</v>
      </c>
      <c r="I4527" s="95" t="s">
        <v>7231</v>
      </c>
      <c r="J4527" t="s">
        <v>61</v>
      </c>
      <c r="K4527" t="s">
        <v>62</v>
      </c>
      <c r="M4527">
        <v>96.86</v>
      </c>
      <c r="N4527" s="4">
        <f t="shared" si="70"/>
        <v>-196.65496593020856</v>
      </c>
      <c r="O4527" t="s">
        <v>605</v>
      </c>
      <c r="R4527">
        <v>1</v>
      </c>
      <c r="S4527" t="e">
        <f>VLOOKUP(R4527,[1]!NOMINA[#Data],4,FALSE)</f>
        <v>#REF!</v>
      </c>
      <c r="T4527" t="e">
        <f>VLOOKUP(R4527,[1]!NOMINA[#Data],5,FALSE)</f>
        <v>#REF!</v>
      </c>
    </row>
    <row r="4528" spans="1:20" x14ac:dyDescent="0.25">
      <c r="A4528" s="22">
        <v>45807</v>
      </c>
      <c r="B4528" s="1" t="s">
        <v>2051</v>
      </c>
      <c r="C4528" t="s">
        <v>3427</v>
      </c>
      <c r="D4528" s="23">
        <v>-952.4</v>
      </c>
      <c r="E4528" t="s">
        <v>35</v>
      </c>
      <c r="F4528" s="2">
        <v>212901001</v>
      </c>
      <c r="G4528" s="2" t="s">
        <v>91</v>
      </c>
      <c r="I4528" s="95" t="s">
        <v>7231</v>
      </c>
      <c r="J4528" t="s">
        <v>61</v>
      </c>
      <c r="K4528" t="s">
        <v>62</v>
      </c>
      <c r="M4528">
        <v>96.86</v>
      </c>
      <c r="N4528" s="4">
        <f t="shared" si="70"/>
        <v>-9.8327482965104274</v>
      </c>
      <c r="O4528" t="s">
        <v>605</v>
      </c>
      <c r="R4528">
        <v>15</v>
      </c>
      <c r="S4528" t="e">
        <f>VLOOKUP(R4528,[1]!NOMINA[#Data],4,FALSE)</f>
        <v>#REF!</v>
      </c>
      <c r="T4528" t="e">
        <f>VLOOKUP(R4528,[1]!NOMINA[#Data],5,FALSE)</f>
        <v>#REF!</v>
      </c>
    </row>
    <row r="4529" spans="1:20" x14ac:dyDescent="0.25">
      <c r="A4529" s="22">
        <v>45807</v>
      </c>
      <c r="B4529" s="1" t="s">
        <v>2038</v>
      </c>
      <c r="C4529" t="s">
        <v>3428</v>
      </c>
      <c r="D4529" s="23">
        <v>-952.4</v>
      </c>
      <c r="E4529" t="s">
        <v>35</v>
      </c>
      <c r="F4529" s="2">
        <v>212901001</v>
      </c>
      <c r="G4529" s="2" t="s">
        <v>91</v>
      </c>
      <c r="I4529" s="95" t="s">
        <v>7231</v>
      </c>
      <c r="J4529" t="s">
        <v>61</v>
      </c>
      <c r="K4529" t="s">
        <v>62</v>
      </c>
      <c r="M4529">
        <v>96.86</v>
      </c>
      <c r="N4529" s="4">
        <f t="shared" si="70"/>
        <v>-9.8327482965104274</v>
      </c>
      <c r="O4529" t="s">
        <v>605</v>
      </c>
      <c r="R4529">
        <v>14</v>
      </c>
      <c r="S4529" t="e">
        <f>VLOOKUP(R4529,[1]!NOMINA[#Data],4,FALSE)</f>
        <v>#REF!</v>
      </c>
      <c r="T4529" t="e">
        <f>VLOOKUP(R4529,[1]!NOMINA[#Data],5,FALSE)</f>
        <v>#REF!</v>
      </c>
    </row>
    <row r="4530" spans="1:20" x14ac:dyDescent="0.25">
      <c r="A4530" s="22">
        <v>45807</v>
      </c>
      <c r="B4530" s="1" t="s">
        <v>1977</v>
      </c>
      <c r="C4530" t="s">
        <v>3429</v>
      </c>
      <c r="D4530" s="23">
        <v>-61.65</v>
      </c>
      <c r="E4530" t="s">
        <v>35</v>
      </c>
      <c r="F4530" s="2">
        <v>212901001</v>
      </c>
      <c r="G4530" s="2" t="s">
        <v>91</v>
      </c>
      <c r="I4530" s="95" t="s">
        <v>7231</v>
      </c>
      <c r="J4530" t="s">
        <v>61</v>
      </c>
      <c r="K4530" t="s">
        <v>62</v>
      </c>
      <c r="M4530">
        <v>96.86</v>
      </c>
      <c r="N4530" s="4">
        <f t="shared" si="70"/>
        <v>-0.63648564939087338</v>
      </c>
      <c r="O4530" t="s">
        <v>605</v>
      </c>
      <c r="R4530">
        <v>13</v>
      </c>
      <c r="S4530" t="e">
        <f>VLOOKUP(R4530,[1]!NOMINA[#Data],4,FALSE)</f>
        <v>#REF!</v>
      </c>
      <c r="T4530" t="e">
        <f>VLOOKUP(R4530,[1]!NOMINA[#Data],5,FALSE)</f>
        <v>#REF!</v>
      </c>
    </row>
    <row r="4531" spans="1:20" x14ac:dyDescent="0.25">
      <c r="A4531" s="22">
        <v>45807</v>
      </c>
      <c r="B4531" s="1" t="s">
        <v>1979</v>
      </c>
      <c r="C4531" t="s">
        <v>3430</v>
      </c>
      <c r="D4531" s="23">
        <v>-61.65</v>
      </c>
      <c r="E4531" t="s">
        <v>35</v>
      </c>
      <c r="F4531" s="2">
        <v>212901001</v>
      </c>
      <c r="G4531" s="2" t="s">
        <v>91</v>
      </c>
      <c r="I4531" s="95" t="s">
        <v>7231</v>
      </c>
      <c r="J4531" t="s">
        <v>61</v>
      </c>
      <c r="K4531" t="s">
        <v>62</v>
      </c>
      <c r="M4531">
        <v>96.86</v>
      </c>
      <c r="N4531" s="4">
        <f t="shared" si="70"/>
        <v>-0.63648564939087338</v>
      </c>
      <c r="O4531" t="s">
        <v>605</v>
      </c>
      <c r="R4531">
        <v>8</v>
      </c>
      <c r="S4531" t="e">
        <f>VLOOKUP(R4531,[1]!NOMINA[#Data],4,FALSE)</f>
        <v>#REF!</v>
      </c>
      <c r="T4531" t="e">
        <f>VLOOKUP(R4531,[1]!NOMINA[#Data],5,FALSE)</f>
        <v>#REF!</v>
      </c>
    </row>
    <row r="4532" spans="1:20" x14ac:dyDescent="0.25">
      <c r="A4532" s="22">
        <v>45807</v>
      </c>
      <c r="B4532" s="1" t="s">
        <v>2018</v>
      </c>
      <c r="C4532" t="s">
        <v>3431</v>
      </c>
      <c r="D4532" s="23">
        <v>-61.65</v>
      </c>
      <c r="E4532" t="s">
        <v>35</v>
      </c>
      <c r="F4532" s="2">
        <v>212901001</v>
      </c>
      <c r="G4532" s="2" t="s">
        <v>91</v>
      </c>
      <c r="I4532" s="95" t="s">
        <v>7231</v>
      </c>
      <c r="J4532" t="s">
        <v>61</v>
      </c>
      <c r="K4532" t="s">
        <v>62</v>
      </c>
      <c r="M4532">
        <v>96.86</v>
      </c>
      <c r="N4532" s="4">
        <f t="shared" si="70"/>
        <v>-0.63648564939087338</v>
      </c>
      <c r="O4532" t="s">
        <v>605</v>
      </c>
      <c r="R4532">
        <v>11</v>
      </c>
      <c r="S4532" t="e">
        <f>VLOOKUP(R4532,[1]!NOMINA[#Data],4,FALSE)</f>
        <v>#REF!</v>
      </c>
      <c r="T4532" t="e">
        <f>VLOOKUP(R4532,[1]!NOMINA[#Data],5,FALSE)</f>
        <v>#REF!</v>
      </c>
    </row>
    <row r="4533" spans="1:20" x14ac:dyDescent="0.25">
      <c r="A4533" s="22">
        <v>45807</v>
      </c>
      <c r="B4533" s="1" t="s">
        <v>1928</v>
      </c>
      <c r="C4533" t="s">
        <v>3432</v>
      </c>
      <c r="D4533" s="23">
        <v>-61.65</v>
      </c>
      <c r="E4533" t="s">
        <v>35</v>
      </c>
      <c r="F4533" s="2">
        <v>212901001</v>
      </c>
      <c r="G4533" s="2" t="s">
        <v>91</v>
      </c>
      <c r="I4533" s="95" t="s">
        <v>7231</v>
      </c>
      <c r="J4533" t="s">
        <v>61</v>
      </c>
      <c r="K4533" t="s">
        <v>62</v>
      </c>
      <c r="M4533">
        <v>96.86</v>
      </c>
      <c r="N4533" s="4">
        <f t="shared" si="70"/>
        <v>-0.63648564939087338</v>
      </c>
      <c r="O4533" t="s">
        <v>605</v>
      </c>
      <c r="R4533">
        <v>23</v>
      </c>
      <c r="S4533" t="e">
        <f>VLOOKUP(R4533,[1]!NOMINA[#Data],4,FALSE)</f>
        <v>#REF!</v>
      </c>
      <c r="T4533" t="e">
        <f>VLOOKUP(R4533,[1]!NOMINA[#Data],5,FALSE)</f>
        <v>#REF!</v>
      </c>
    </row>
    <row r="4534" spans="1:20" x14ac:dyDescent="0.25">
      <c r="A4534" s="22">
        <v>45807</v>
      </c>
      <c r="B4534" s="1" t="s">
        <v>3433</v>
      </c>
      <c r="C4534" t="s">
        <v>3434</v>
      </c>
      <c r="D4534" s="23">
        <v>-61.65</v>
      </c>
      <c r="E4534" t="s">
        <v>35</v>
      </c>
      <c r="F4534" s="2">
        <v>212901001</v>
      </c>
      <c r="G4534" s="2" t="s">
        <v>91</v>
      </c>
      <c r="I4534" s="95" t="s">
        <v>7231</v>
      </c>
      <c r="J4534" t="s">
        <v>61</v>
      </c>
      <c r="K4534" t="s">
        <v>62</v>
      </c>
      <c r="M4534">
        <v>96.86</v>
      </c>
      <c r="N4534" s="4">
        <f t="shared" si="70"/>
        <v>-0.63648564939087338</v>
      </c>
      <c r="O4534" t="s">
        <v>605</v>
      </c>
      <c r="R4534">
        <v>43</v>
      </c>
      <c r="S4534" t="e">
        <f>VLOOKUP(R4534,[1]!NOMINA[#Data],4,FALSE)</f>
        <v>#REF!</v>
      </c>
      <c r="T4534" t="e">
        <f>VLOOKUP(R4534,[1]!NOMINA[#Data],5,FALSE)</f>
        <v>#REF!</v>
      </c>
    </row>
    <row r="4535" spans="1:20" x14ac:dyDescent="0.25">
      <c r="A4535" s="22">
        <v>45807</v>
      </c>
      <c r="B4535" s="1" t="s">
        <v>3435</v>
      </c>
      <c r="C4535" t="s">
        <v>3436</v>
      </c>
      <c r="D4535" s="23">
        <v>-61.65</v>
      </c>
      <c r="E4535" t="s">
        <v>35</v>
      </c>
      <c r="F4535" s="2">
        <v>212901001</v>
      </c>
      <c r="G4535" s="2" t="s">
        <v>91</v>
      </c>
      <c r="I4535" s="95" t="s">
        <v>7231</v>
      </c>
      <c r="J4535" t="s">
        <v>61</v>
      </c>
      <c r="K4535" t="s">
        <v>62</v>
      </c>
      <c r="M4535">
        <v>96.86</v>
      </c>
      <c r="N4535" s="4">
        <f t="shared" si="70"/>
        <v>-0.63648564939087338</v>
      </c>
      <c r="O4535" t="s">
        <v>605</v>
      </c>
      <c r="R4535">
        <v>17</v>
      </c>
      <c r="S4535" t="e">
        <f>VLOOKUP(R4535,[1]!NOMINA[#Data],4,FALSE)</f>
        <v>#REF!</v>
      </c>
      <c r="T4535" t="e">
        <f>VLOOKUP(R4535,[1]!NOMINA[#Data],5,FALSE)</f>
        <v>#REF!</v>
      </c>
    </row>
    <row r="4536" spans="1:20" x14ac:dyDescent="0.25">
      <c r="A4536" s="22">
        <v>45807</v>
      </c>
      <c r="B4536" s="1" t="s">
        <v>3437</v>
      </c>
      <c r="C4536" t="s">
        <v>3438</v>
      </c>
      <c r="D4536" s="23">
        <v>-3809.6</v>
      </c>
      <c r="E4536" t="s">
        <v>35</v>
      </c>
      <c r="F4536" s="2">
        <v>212901001</v>
      </c>
      <c r="G4536" s="2" t="s">
        <v>91</v>
      </c>
      <c r="I4536" s="95" t="s">
        <v>7231</v>
      </c>
      <c r="J4536" t="s">
        <v>61</v>
      </c>
      <c r="K4536" t="s">
        <v>62</v>
      </c>
      <c r="M4536">
        <v>96.86</v>
      </c>
      <c r="N4536" s="4">
        <f t="shared" si="70"/>
        <v>-39.330993186041709</v>
      </c>
      <c r="O4536" t="s">
        <v>605</v>
      </c>
      <c r="R4536">
        <v>40</v>
      </c>
      <c r="S4536" t="e">
        <f>VLOOKUP(R4536,[1]!NOMINA[#Data],4,FALSE)</f>
        <v>#REF!</v>
      </c>
      <c r="T4536" t="e">
        <f>VLOOKUP(R4536,[1]!NOMINA[#Data],5,FALSE)</f>
        <v>#REF!</v>
      </c>
    </row>
    <row r="4537" spans="1:20" x14ac:dyDescent="0.25">
      <c r="A4537" s="22">
        <v>45807</v>
      </c>
      <c r="B4537" s="1" t="s">
        <v>3439</v>
      </c>
      <c r="C4537" t="s">
        <v>3440</v>
      </c>
      <c r="D4537" s="23">
        <v>-3809.6</v>
      </c>
      <c r="E4537" t="s">
        <v>35</v>
      </c>
      <c r="F4537" s="2">
        <v>212901001</v>
      </c>
      <c r="G4537" s="2" t="s">
        <v>91</v>
      </c>
      <c r="I4537" s="95" t="s">
        <v>7231</v>
      </c>
      <c r="J4537" t="s">
        <v>61</v>
      </c>
      <c r="K4537" t="s">
        <v>62</v>
      </c>
      <c r="M4537">
        <v>96.86</v>
      </c>
      <c r="N4537" s="4">
        <f t="shared" si="70"/>
        <v>-39.330993186041709</v>
      </c>
      <c r="O4537" t="s">
        <v>605</v>
      </c>
      <c r="R4537">
        <v>20</v>
      </c>
      <c r="S4537" t="e">
        <f>VLOOKUP(Tabla3[[#This Row],[Nº]],[1]!NOMINA[#Data],4,FALSE)</f>
        <v>#REF!</v>
      </c>
      <c r="T4537" t="e">
        <f>VLOOKUP(Tabla3[[#This Row],[Nº]],[1]!NOMINA[#Data],5,FALSE)</f>
        <v>#REF!</v>
      </c>
    </row>
    <row r="4538" spans="1:20" x14ac:dyDescent="0.25">
      <c r="A4538" s="22">
        <v>45807</v>
      </c>
      <c r="B4538" s="1" t="s">
        <v>3441</v>
      </c>
      <c r="C4538" t="s">
        <v>3442</v>
      </c>
      <c r="D4538" s="23">
        <v>-3809.6</v>
      </c>
      <c r="E4538" t="s">
        <v>35</v>
      </c>
      <c r="F4538" s="2">
        <v>212901001</v>
      </c>
      <c r="G4538" s="2" t="s">
        <v>91</v>
      </c>
      <c r="I4538" s="95" t="s">
        <v>7231</v>
      </c>
      <c r="J4538" t="s">
        <v>61</v>
      </c>
      <c r="K4538" t="s">
        <v>62</v>
      </c>
      <c r="M4538">
        <v>96.86</v>
      </c>
      <c r="N4538" s="4">
        <f t="shared" si="70"/>
        <v>-39.330993186041709</v>
      </c>
      <c r="O4538" t="s">
        <v>605</v>
      </c>
      <c r="R4538">
        <v>13</v>
      </c>
      <c r="S4538" t="e">
        <f>VLOOKUP(R4538,[1]!NOMINA[#Data],4,FALSE)</f>
        <v>#REF!</v>
      </c>
      <c r="T4538" t="e">
        <f>VLOOKUP(R4538,[1]!NOMINA[#Data],5,FALSE)</f>
        <v>#REF!</v>
      </c>
    </row>
    <row r="4539" spans="1:20" x14ac:dyDescent="0.25">
      <c r="A4539" s="22">
        <v>45807</v>
      </c>
      <c r="B4539" s="1" t="s">
        <v>3443</v>
      </c>
      <c r="C4539" t="s">
        <v>3444</v>
      </c>
      <c r="D4539" s="23">
        <v>-3809.6</v>
      </c>
      <c r="E4539" t="s">
        <v>35</v>
      </c>
      <c r="F4539" s="2">
        <v>212901001</v>
      </c>
      <c r="G4539" s="2" t="s">
        <v>91</v>
      </c>
      <c r="I4539" s="95" t="s">
        <v>7231</v>
      </c>
      <c r="J4539" t="s">
        <v>61</v>
      </c>
      <c r="K4539" t="s">
        <v>62</v>
      </c>
      <c r="M4539">
        <v>96.86</v>
      </c>
      <c r="N4539" s="4">
        <f t="shared" si="70"/>
        <v>-39.330993186041709</v>
      </c>
      <c r="O4539" t="s">
        <v>605</v>
      </c>
      <c r="R4539">
        <v>8</v>
      </c>
      <c r="S4539" t="e">
        <f>VLOOKUP(R4539,[1]!NOMINA[#Data],4,FALSE)</f>
        <v>#REF!</v>
      </c>
      <c r="T4539" t="e">
        <f>VLOOKUP(R4539,[1]!NOMINA[#Data],5,FALSE)</f>
        <v>#REF!</v>
      </c>
    </row>
    <row r="4540" spans="1:20" x14ac:dyDescent="0.25">
      <c r="A4540" s="22">
        <v>45807</v>
      </c>
      <c r="B4540" s="1" t="s">
        <v>3445</v>
      </c>
      <c r="C4540" t="s">
        <v>3446</v>
      </c>
      <c r="D4540" s="23">
        <v>-3809.6</v>
      </c>
      <c r="E4540" t="s">
        <v>35</v>
      </c>
      <c r="F4540" s="2">
        <v>212901001</v>
      </c>
      <c r="G4540" s="2" t="s">
        <v>91</v>
      </c>
      <c r="I4540" s="95" t="s">
        <v>7231</v>
      </c>
      <c r="J4540" t="s">
        <v>61</v>
      </c>
      <c r="K4540" t="s">
        <v>62</v>
      </c>
      <c r="M4540">
        <v>96.86</v>
      </c>
      <c r="N4540" s="4">
        <f t="shared" si="70"/>
        <v>-39.330993186041709</v>
      </c>
      <c r="O4540" t="s">
        <v>605</v>
      </c>
      <c r="R4540">
        <v>11</v>
      </c>
      <c r="S4540" t="e">
        <f>VLOOKUP(R4540,[1]!NOMINA[#Data],4,FALSE)</f>
        <v>#REF!</v>
      </c>
      <c r="T4540" t="e">
        <f>VLOOKUP(R4540,[1]!NOMINA[#Data],5,FALSE)</f>
        <v>#REF!</v>
      </c>
    </row>
    <row r="4541" spans="1:20" x14ac:dyDescent="0.25">
      <c r="A4541" s="22">
        <v>45807</v>
      </c>
      <c r="B4541" s="1" t="s">
        <v>3447</v>
      </c>
      <c r="C4541" t="s">
        <v>3448</v>
      </c>
      <c r="D4541" s="23">
        <v>-3809.6</v>
      </c>
      <c r="E4541" t="s">
        <v>35</v>
      </c>
      <c r="F4541" s="2">
        <v>212901001</v>
      </c>
      <c r="G4541" s="2" t="s">
        <v>91</v>
      </c>
      <c r="I4541" s="95" t="s">
        <v>7231</v>
      </c>
      <c r="J4541" t="s">
        <v>61</v>
      </c>
      <c r="K4541" t="s">
        <v>62</v>
      </c>
      <c r="M4541">
        <v>96.86</v>
      </c>
      <c r="N4541" s="4">
        <f t="shared" si="70"/>
        <v>-39.330993186041709</v>
      </c>
      <c r="O4541" t="s">
        <v>605</v>
      </c>
      <c r="R4541">
        <v>23</v>
      </c>
      <c r="S4541" t="e">
        <f>VLOOKUP(R4541,[1]!NOMINA[#Data],4,FALSE)</f>
        <v>#REF!</v>
      </c>
      <c r="T4541" t="e">
        <f>VLOOKUP(R4541,[1]!NOMINA[#Data],5,FALSE)</f>
        <v>#REF!</v>
      </c>
    </row>
    <row r="4542" spans="1:20" x14ac:dyDescent="0.25">
      <c r="A4542" s="22">
        <v>45807</v>
      </c>
      <c r="B4542" s="1" t="s">
        <v>3449</v>
      </c>
      <c r="C4542" t="s">
        <v>3450</v>
      </c>
      <c r="D4542" s="23">
        <v>-3809.6</v>
      </c>
      <c r="E4542" t="s">
        <v>35</v>
      </c>
      <c r="F4542" s="2">
        <v>212901001</v>
      </c>
      <c r="G4542" s="2" t="s">
        <v>91</v>
      </c>
      <c r="I4542" s="95" t="s">
        <v>7231</v>
      </c>
      <c r="J4542" t="s">
        <v>61</v>
      </c>
      <c r="K4542" t="s">
        <v>62</v>
      </c>
      <c r="M4542">
        <v>96.86</v>
      </c>
      <c r="N4542" s="4">
        <f t="shared" si="70"/>
        <v>-39.330993186041709</v>
      </c>
      <c r="O4542" t="s">
        <v>605</v>
      </c>
      <c r="R4542">
        <v>43</v>
      </c>
      <c r="S4542" t="e">
        <f>VLOOKUP(R4542,[1]!NOMINA[#Data],4,FALSE)</f>
        <v>#REF!</v>
      </c>
      <c r="T4542" t="e">
        <f>VLOOKUP(R4542,[1]!NOMINA[#Data],5,FALSE)</f>
        <v>#REF!</v>
      </c>
    </row>
    <row r="4543" spans="1:20" x14ac:dyDescent="0.25">
      <c r="A4543" s="22">
        <v>45807</v>
      </c>
      <c r="B4543" s="1" t="s">
        <v>615</v>
      </c>
      <c r="C4543" t="s">
        <v>3451</v>
      </c>
      <c r="D4543" s="23">
        <v>-3281.97</v>
      </c>
      <c r="E4543" t="s">
        <v>35</v>
      </c>
      <c r="F4543" s="2">
        <v>212901001</v>
      </c>
      <c r="G4543" s="2" t="s">
        <v>91</v>
      </c>
      <c r="I4543" s="95" t="s">
        <v>7231</v>
      </c>
      <c r="J4543" t="s">
        <v>61</v>
      </c>
      <c r="K4543" t="s">
        <v>62</v>
      </c>
      <c r="M4543">
        <v>96.86</v>
      </c>
      <c r="N4543" s="4">
        <f t="shared" si="70"/>
        <v>-33.883646500103239</v>
      </c>
      <c r="O4543" t="s">
        <v>605</v>
      </c>
      <c r="R4543">
        <v>26</v>
      </c>
      <c r="S4543" t="e">
        <f>VLOOKUP(Tabla3[[#This Row],[Nº]],[1]!NOMINA[#Data],4,FALSE)</f>
        <v>#REF!</v>
      </c>
      <c r="T4543" t="e">
        <f>VLOOKUP(Tabla3[[#This Row],[Nº]],[1]!NOMINA[#Data],5,FALSE)</f>
        <v>#REF!</v>
      </c>
    </row>
    <row r="4544" spans="1:20" x14ac:dyDescent="0.25">
      <c r="A4544" s="22">
        <v>45807</v>
      </c>
      <c r="B4544" s="1" t="s">
        <v>617</v>
      </c>
      <c r="C4544" t="s">
        <v>3452</v>
      </c>
      <c r="D4544" s="23">
        <v>-8060.16</v>
      </c>
      <c r="E4544" t="s">
        <v>35</v>
      </c>
      <c r="F4544" s="2">
        <v>212901001</v>
      </c>
      <c r="G4544" s="2" t="s">
        <v>91</v>
      </c>
      <c r="I4544" s="95" t="s">
        <v>7231</v>
      </c>
      <c r="J4544" t="s">
        <v>61</v>
      </c>
      <c r="K4544" t="s">
        <v>62</v>
      </c>
      <c r="M4544">
        <v>96.86</v>
      </c>
      <c r="N4544" s="4">
        <f t="shared" si="70"/>
        <v>-83.214536444352674</v>
      </c>
      <c r="O4544" t="s">
        <v>605</v>
      </c>
      <c r="R4544">
        <v>10</v>
      </c>
      <c r="S4544" t="e">
        <f>VLOOKUP(R4544,[1]!NOMINA[#Data],4,FALSE)</f>
        <v>#REF!</v>
      </c>
      <c r="T4544" t="e">
        <f>VLOOKUP(R4544,[1]!NOMINA[#Data],5,FALSE)</f>
        <v>#REF!</v>
      </c>
    </row>
    <row r="4545" spans="1:20" x14ac:dyDescent="0.25">
      <c r="A4545" s="22">
        <v>45807</v>
      </c>
      <c r="B4545" s="1" t="s">
        <v>1892</v>
      </c>
      <c r="C4545" t="s">
        <v>3453</v>
      </c>
      <c r="D4545" s="23">
        <v>-11840.24</v>
      </c>
      <c r="E4545" t="s">
        <v>35</v>
      </c>
      <c r="F4545" s="2">
        <v>212901001</v>
      </c>
      <c r="G4545" s="2" t="s">
        <v>91</v>
      </c>
      <c r="I4545" s="95" t="s">
        <v>7231</v>
      </c>
      <c r="J4545" t="s">
        <v>61</v>
      </c>
      <c r="K4545" t="s">
        <v>62</v>
      </c>
      <c r="M4545">
        <v>96.86</v>
      </c>
      <c r="N4545" s="4">
        <f t="shared" si="70"/>
        <v>-122.24075985959117</v>
      </c>
      <c r="O4545" t="s">
        <v>605</v>
      </c>
      <c r="R4545">
        <v>40</v>
      </c>
      <c r="S4545" t="e">
        <f>VLOOKUP(R4545,[1]!NOMINA[#Data],4,FALSE)</f>
        <v>#REF!</v>
      </c>
      <c r="T4545" t="e">
        <f>VLOOKUP(R4545,[1]!NOMINA[#Data],5,FALSE)</f>
        <v>#REF!</v>
      </c>
    </row>
    <row r="4546" spans="1:20" x14ac:dyDescent="0.25">
      <c r="A4546" s="22">
        <v>45807</v>
      </c>
      <c r="B4546" s="1" t="s">
        <v>1894</v>
      </c>
      <c r="C4546" t="s">
        <v>3454</v>
      </c>
      <c r="D4546" s="23">
        <v>-7103.95</v>
      </c>
      <c r="E4546" t="s">
        <v>35</v>
      </c>
      <c r="F4546" s="2">
        <v>212901001</v>
      </c>
      <c r="G4546" s="2" t="s">
        <v>91</v>
      </c>
      <c r="I4546" s="95" t="s">
        <v>7231</v>
      </c>
      <c r="J4546" t="s">
        <v>61</v>
      </c>
      <c r="K4546" t="s">
        <v>62</v>
      </c>
      <c r="M4546">
        <v>96.86</v>
      </c>
      <c r="N4546" s="4">
        <f t="shared" si="70"/>
        <v>-73.342453024984508</v>
      </c>
      <c r="O4546" t="s">
        <v>605</v>
      </c>
      <c r="R4546">
        <v>9</v>
      </c>
      <c r="S4546" t="e">
        <f>VLOOKUP(R4546,[1]!NOMINA[#Data],4,FALSE)</f>
        <v>#REF!</v>
      </c>
      <c r="T4546" t="e">
        <f>VLOOKUP(R4546,[1]!NOMINA[#Data],5,FALSE)</f>
        <v>#REF!</v>
      </c>
    </row>
    <row r="4547" spans="1:20" x14ac:dyDescent="0.25">
      <c r="A4547" s="22">
        <v>45807</v>
      </c>
      <c r="B4547" s="1" t="s">
        <v>2006</v>
      </c>
      <c r="C4547" t="s">
        <v>3455</v>
      </c>
      <c r="D4547" s="23">
        <v>-4040.08</v>
      </c>
      <c r="E4547" t="s">
        <v>35</v>
      </c>
      <c r="F4547" s="2">
        <v>212901001</v>
      </c>
      <c r="G4547" s="2" t="s">
        <v>91</v>
      </c>
      <c r="I4547" s="95" t="s">
        <v>7231</v>
      </c>
      <c r="J4547" t="s">
        <v>61</v>
      </c>
      <c r="K4547" t="s">
        <v>62</v>
      </c>
      <c r="M4547">
        <v>96.86</v>
      </c>
      <c r="N4547" s="4">
        <f t="shared" si="70"/>
        <v>-41.710510014453853</v>
      </c>
      <c r="O4547" t="s">
        <v>605</v>
      </c>
      <c r="R4547">
        <v>42</v>
      </c>
      <c r="S4547" t="e">
        <f>VLOOKUP(R4547,[1]!NOMINA[#Data],4,FALSE)</f>
        <v>#REF!</v>
      </c>
      <c r="T4547" t="e">
        <f>VLOOKUP(R4547,[1]!NOMINA[#Data],5,FALSE)</f>
        <v>#REF!</v>
      </c>
    </row>
    <row r="4548" spans="1:20" x14ac:dyDescent="0.25">
      <c r="A4548" s="22">
        <v>45807</v>
      </c>
      <c r="B4548" s="1" t="s">
        <v>1985</v>
      </c>
      <c r="C4548" t="s">
        <v>3456</v>
      </c>
      <c r="D4548" s="23">
        <v>-11840.24</v>
      </c>
      <c r="E4548" t="s">
        <v>35</v>
      </c>
      <c r="F4548" s="2">
        <v>212901001</v>
      </c>
      <c r="G4548" s="2" t="s">
        <v>91</v>
      </c>
      <c r="I4548" s="95" t="s">
        <v>7231</v>
      </c>
      <c r="J4548" t="s">
        <v>61</v>
      </c>
      <c r="K4548" t="s">
        <v>62</v>
      </c>
      <c r="M4548">
        <v>96.86</v>
      </c>
      <c r="N4548" s="4">
        <f t="shared" si="70"/>
        <v>-122.24075985959117</v>
      </c>
      <c r="O4548" t="s">
        <v>605</v>
      </c>
      <c r="R4548">
        <v>6</v>
      </c>
      <c r="S4548" t="e">
        <f>VLOOKUP(R4548,[1]!NOMINA[#Data],4,FALSE)</f>
        <v>#REF!</v>
      </c>
      <c r="T4548" t="e">
        <f>VLOOKUP(R4548,[1]!NOMINA[#Data],5,FALSE)</f>
        <v>#REF!</v>
      </c>
    </row>
    <row r="4549" spans="1:20" x14ac:dyDescent="0.25">
      <c r="A4549" s="22">
        <v>45807</v>
      </c>
      <c r="B4549" s="1" t="s">
        <v>1940</v>
      </c>
      <c r="C4549" t="s">
        <v>3457</v>
      </c>
      <c r="D4549" s="23">
        <v>-6142.98</v>
      </c>
      <c r="E4549" t="s">
        <v>35</v>
      </c>
      <c r="F4549" s="2">
        <v>212901001</v>
      </c>
      <c r="G4549" s="2" t="s">
        <v>91</v>
      </c>
      <c r="I4549" s="95" t="s">
        <v>7231</v>
      </c>
      <c r="J4549" t="s">
        <v>61</v>
      </c>
      <c r="K4549" t="s">
        <v>62</v>
      </c>
      <c r="M4549">
        <v>96.86</v>
      </c>
      <c r="N4549" s="4">
        <f t="shared" si="70"/>
        <v>-63.421226512492254</v>
      </c>
      <c r="O4549" t="s">
        <v>605</v>
      </c>
      <c r="R4549">
        <v>5</v>
      </c>
      <c r="S4549" t="e">
        <f>VLOOKUP(R4549,[1]!NOMINA[#Data],4,FALSE)</f>
        <v>#REF!</v>
      </c>
      <c r="T4549" t="e">
        <f>VLOOKUP(R4549,[1]!NOMINA[#Data],5,FALSE)</f>
        <v>#REF!</v>
      </c>
    </row>
    <row r="4550" spans="1:20" x14ac:dyDescent="0.25">
      <c r="A4550" s="22">
        <v>45807</v>
      </c>
      <c r="B4550" s="1" t="s">
        <v>1999</v>
      </c>
      <c r="C4550" t="s">
        <v>3458</v>
      </c>
      <c r="D4550" s="23">
        <v>-38031.24</v>
      </c>
      <c r="E4550" t="s">
        <v>35</v>
      </c>
      <c r="F4550" s="2">
        <v>212901001</v>
      </c>
      <c r="G4550" s="2" t="s">
        <v>91</v>
      </c>
      <c r="I4550" s="95" t="s">
        <v>7231</v>
      </c>
      <c r="J4550" t="s">
        <v>61</v>
      </c>
      <c r="K4550" t="s">
        <v>62</v>
      </c>
      <c r="M4550">
        <v>96.86</v>
      </c>
      <c r="N4550" s="4">
        <f t="shared" si="70"/>
        <v>-392.64133801362789</v>
      </c>
      <c r="O4550" t="s">
        <v>605</v>
      </c>
      <c r="R4550">
        <v>1</v>
      </c>
      <c r="S4550" t="e">
        <f>VLOOKUP(R4550,[1]!NOMINA[#Data],4,FALSE)</f>
        <v>#REF!</v>
      </c>
      <c r="T4550" t="e">
        <f>VLOOKUP(R4550,[1]!NOMINA[#Data],5,FALSE)</f>
        <v>#REF!</v>
      </c>
    </row>
    <row r="4551" spans="1:20" x14ac:dyDescent="0.25">
      <c r="A4551" s="22">
        <v>45807</v>
      </c>
      <c r="B4551" s="1" t="s">
        <v>2010</v>
      </c>
      <c r="C4551" t="s">
        <v>3459</v>
      </c>
      <c r="D4551" s="23">
        <v>-3809.6</v>
      </c>
      <c r="E4551" t="s">
        <v>35</v>
      </c>
      <c r="F4551" s="2">
        <v>212901001</v>
      </c>
      <c r="G4551" s="2" t="s">
        <v>91</v>
      </c>
      <c r="I4551" s="95" t="s">
        <v>7231</v>
      </c>
      <c r="J4551" t="s">
        <v>61</v>
      </c>
      <c r="K4551" t="s">
        <v>62</v>
      </c>
      <c r="M4551">
        <v>96.86</v>
      </c>
      <c r="N4551" s="4">
        <f t="shared" si="70"/>
        <v>-39.330993186041709</v>
      </c>
      <c r="O4551" t="s">
        <v>605</v>
      </c>
      <c r="R4551">
        <v>17</v>
      </c>
      <c r="S4551" t="e">
        <f>VLOOKUP(R4551,[1]!NOMINA[#Data],4,FALSE)</f>
        <v>#REF!</v>
      </c>
      <c r="T4551" t="e">
        <f>VLOOKUP(R4551,[1]!NOMINA[#Data],5,FALSE)</f>
        <v>#REF!</v>
      </c>
    </row>
    <row r="4552" spans="1:20" x14ac:dyDescent="0.25">
      <c r="A4552" s="22">
        <v>45807</v>
      </c>
      <c r="B4552" s="1" t="s">
        <v>2014</v>
      </c>
      <c r="C4552" t="s">
        <v>3460</v>
      </c>
      <c r="D4552" s="23">
        <v>-5714.4</v>
      </c>
      <c r="E4552" t="s">
        <v>35</v>
      </c>
      <c r="F4552" s="2">
        <v>212901001</v>
      </c>
      <c r="G4552" s="2" t="s">
        <v>91</v>
      </c>
      <c r="I4552" s="95" t="s">
        <v>7231</v>
      </c>
      <c r="J4552" t="s">
        <v>61</v>
      </c>
      <c r="K4552" t="s">
        <v>62</v>
      </c>
      <c r="M4552">
        <v>96.86</v>
      </c>
      <c r="N4552" s="4">
        <f t="shared" si="70"/>
        <v>-58.996489779062564</v>
      </c>
      <c r="O4552" t="s">
        <v>605</v>
      </c>
      <c r="R4552">
        <v>19</v>
      </c>
      <c r="S4552" t="e">
        <f>VLOOKUP(R4552,[1]!NOMINA[#Data],4,FALSE)</f>
        <v>#REF!</v>
      </c>
      <c r="T4552" t="e">
        <f>VLOOKUP(R4552,[1]!NOMINA[#Data],5,FALSE)</f>
        <v>#REF!</v>
      </c>
    </row>
    <row r="4553" spans="1:20" x14ac:dyDescent="0.25">
      <c r="A4553" s="22">
        <v>45807</v>
      </c>
      <c r="B4553" s="1" t="s">
        <v>3461</v>
      </c>
      <c r="C4553" t="s">
        <v>3462</v>
      </c>
      <c r="D4553" s="23">
        <v>-61.65</v>
      </c>
      <c r="E4553" t="s">
        <v>35</v>
      </c>
      <c r="F4553" s="2">
        <v>212901001</v>
      </c>
      <c r="G4553" s="2" t="s">
        <v>91</v>
      </c>
      <c r="I4553" s="95" t="s">
        <v>7231</v>
      </c>
      <c r="J4553" t="s">
        <v>61</v>
      </c>
      <c r="K4553" t="s">
        <v>62</v>
      </c>
      <c r="M4553">
        <v>96.86</v>
      </c>
      <c r="N4553" s="4">
        <f t="shared" si="70"/>
        <v>-0.63648564939087338</v>
      </c>
      <c r="O4553" t="s">
        <v>605</v>
      </c>
      <c r="R4553">
        <v>4</v>
      </c>
      <c r="S4553" t="e">
        <f>VLOOKUP(R4553,[1]!NOMINA[#Data],4,FALSE)</f>
        <v>#REF!</v>
      </c>
      <c r="T4553" t="e">
        <f>VLOOKUP(R4553,[1]!NOMINA[#Data],5,FALSE)</f>
        <v>#REF!</v>
      </c>
    </row>
    <row r="4554" spans="1:20" x14ac:dyDescent="0.25">
      <c r="A4554" s="22">
        <v>45807</v>
      </c>
      <c r="B4554" s="1" t="s">
        <v>3463</v>
      </c>
      <c r="C4554" t="s">
        <v>3464</v>
      </c>
      <c r="D4554" s="23">
        <v>-61.65</v>
      </c>
      <c r="E4554" t="s">
        <v>35</v>
      </c>
      <c r="F4554" s="2">
        <v>212901001</v>
      </c>
      <c r="G4554" s="2" t="s">
        <v>91</v>
      </c>
      <c r="I4554" s="95" t="s">
        <v>7231</v>
      </c>
      <c r="J4554" t="s">
        <v>61</v>
      </c>
      <c r="K4554" t="s">
        <v>62</v>
      </c>
      <c r="M4554">
        <v>96.86</v>
      </c>
      <c r="N4554" s="4">
        <f t="shared" si="70"/>
        <v>-0.63648564939087338</v>
      </c>
      <c r="O4554" t="s">
        <v>605</v>
      </c>
      <c r="R4554">
        <v>22</v>
      </c>
      <c r="S4554" t="e">
        <f>VLOOKUP(R4554,[1]!NOMINA[#Data],4,FALSE)</f>
        <v>#REF!</v>
      </c>
      <c r="T4554" t="e">
        <f>VLOOKUP(R4554,[1]!NOMINA[#Data],5,FALSE)</f>
        <v>#REF!</v>
      </c>
    </row>
    <row r="4555" spans="1:20" x14ac:dyDescent="0.25">
      <c r="A4555" s="22">
        <v>45807</v>
      </c>
      <c r="B4555" s="1" t="s">
        <v>3465</v>
      </c>
      <c r="C4555" t="s">
        <v>3466</v>
      </c>
      <c r="D4555" s="23">
        <v>-61.65</v>
      </c>
      <c r="E4555" t="s">
        <v>35</v>
      </c>
      <c r="F4555" s="2">
        <v>212901001</v>
      </c>
      <c r="G4555" s="2" t="s">
        <v>91</v>
      </c>
      <c r="I4555" s="95" t="s">
        <v>7231</v>
      </c>
      <c r="J4555" t="s">
        <v>61</v>
      </c>
      <c r="K4555" t="s">
        <v>62</v>
      </c>
      <c r="M4555">
        <v>96.86</v>
      </c>
      <c r="N4555" s="4">
        <f t="shared" si="70"/>
        <v>-0.63648564939087338</v>
      </c>
      <c r="O4555" t="s">
        <v>605</v>
      </c>
      <c r="R4555">
        <v>14</v>
      </c>
      <c r="S4555" t="e">
        <f>VLOOKUP(R4555,[1]!NOMINA[#Data],4,FALSE)</f>
        <v>#REF!</v>
      </c>
      <c r="T4555" t="e">
        <f>VLOOKUP(R4555,[1]!NOMINA[#Data],5,FALSE)</f>
        <v>#REF!</v>
      </c>
    </row>
    <row r="4556" spans="1:20" x14ac:dyDescent="0.25">
      <c r="A4556" s="22">
        <v>45807</v>
      </c>
      <c r="B4556" s="1" t="s">
        <v>3467</v>
      </c>
      <c r="C4556" t="s">
        <v>3468</v>
      </c>
      <c r="D4556" s="23">
        <v>-3809.6</v>
      </c>
      <c r="E4556" t="s">
        <v>35</v>
      </c>
      <c r="F4556" s="2">
        <v>212901001</v>
      </c>
      <c r="G4556" s="2" t="s">
        <v>91</v>
      </c>
      <c r="I4556" s="95" t="s">
        <v>7231</v>
      </c>
      <c r="J4556" t="s">
        <v>61</v>
      </c>
      <c r="K4556" t="s">
        <v>62</v>
      </c>
      <c r="M4556">
        <v>96.86</v>
      </c>
      <c r="N4556" s="4">
        <f t="shared" ref="N4556:N4619" si="71">D4556/M4556</f>
        <v>-39.330993186041709</v>
      </c>
      <c r="O4556" t="s">
        <v>605</v>
      </c>
      <c r="R4556">
        <v>4</v>
      </c>
      <c r="S4556" t="e">
        <f>VLOOKUP(R4556,[1]!NOMINA[#Data],4,FALSE)</f>
        <v>#REF!</v>
      </c>
      <c r="T4556" t="e">
        <f>VLOOKUP(R4556,[1]!NOMINA[#Data],5,FALSE)</f>
        <v>#REF!</v>
      </c>
    </row>
    <row r="4557" spans="1:20" x14ac:dyDescent="0.25">
      <c r="A4557" s="22">
        <v>45807</v>
      </c>
      <c r="B4557" s="1" t="s">
        <v>3469</v>
      </c>
      <c r="C4557" t="s">
        <v>3470</v>
      </c>
      <c r="D4557" s="23">
        <v>-3809.6</v>
      </c>
      <c r="E4557" t="s">
        <v>35</v>
      </c>
      <c r="F4557" s="2">
        <v>212901001</v>
      </c>
      <c r="G4557" s="2" t="s">
        <v>91</v>
      </c>
      <c r="I4557" s="95" t="s">
        <v>7231</v>
      </c>
      <c r="J4557" t="s">
        <v>61</v>
      </c>
      <c r="K4557" t="s">
        <v>62</v>
      </c>
      <c r="M4557">
        <v>96.86</v>
      </c>
      <c r="N4557" s="4">
        <f t="shared" si="71"/>
        <v>-39.330993186041709</v>
      </c>
      <c r="O4557" t="s">
        <v>605</v>
      </c>
      <c r="R4557">
        <v>22</v>
      </c>
      <c r="S4557" t="e">
        <f>VLOOKUP(R4557,[1]!NOMINA[#Data],4,FALSE)</f>
        <v>#REF!</v>
      </c>
      <c r="T4557" t="e">
        <f>VLOOKUP(R4557,[1]!NOMINA[#Data],5,FALSE)</f>
        <v>#REF!</v>
      </c>
    </row>
    <row r="4558" spans="1:20" x14ac:dyDescent="0.25">
      <c r="A4558" s="22">
        <v>45807</v>
      </c>
      <c r="B4558" s="1" t="s">
        <v>3471</v>
      </c>
      <c r="C4558" t="s">
        <v>3472</v>
      </c>
      <c r="D4558" s="23">
        <v>-3809.6</v>
      </c>
      <c r="E4558" t="s">
        <v>35</v>
      </c>
      <c r="F4558" s="2">
        <v>212901001</v>
      </c>
      <c r="G4558" s="2" t="s">
        <v>91</v>
      </c>
      <c r="I4558" s="95" t="s">
        <v>7231</v>
      </c>
      <c r="J4558" t="s">
        <v>61</v>
      </c>
      <c r="K4558" t="s">
        <v>62</v>
      </c>
      <c r="M4558">
        <v>96.86</v>
      </c>
      <c r="N4558" s="4">
        <f t="shared" si="71"/>
        <v>-39.330993186041709</v>
      </c>
      <c r="O4558" t="s">
        <v>605</v>
      </c>
      <c r="R4558">
        <v>14</v>
      </c>
      <c r="S4558" t="e">
        <f>VLOOKUP(R4558,[1]!NOMINA[#Data],4,FALSE)</f>
        <v>#REF!</v>
      </c>
      <c r="T4558" t="e">
        <f>VLOOKUP(R4558,[1]!NOMINA[#Data],5,FALSE)</f>
        <v>#REF!</v>
      </c>
    </row>
    <row r="4559" spans="1:20" x14ac:dyDescent="0.25">
      <c r="A4559" s="22">
        <v>45807</v>
      </c>
      <c r="B4559" s="1" t="s">
        <v>3473</v>
      </c>
      <c r="C4559" t="s">
        <v>3474</v>
      </c>
      <c r="D4559" s="23">
        <v>-3809.6</v>
      </c>
      <c r="E4559" t="s">
        <v>35</v>
      </c>
      <c r="F4559" s="2">
        <v>212901001</v>
      </c>
      <c r="G4559" s="2" t="s">
        <v>91</v>
      </c>
      <c r="I4559" s="95" t="s">
        <v>7231</v>
      </c>
      <c r="J4559" t="s">
        <v>61</v>
      </c>
      <c r="K4559" t="s">
        <v>62</v>
      </c>
      <c r="M4559">
        <v>96.86</v>
      </c>
      <c r="N4559" s="4">
        <f t="shared" si="71"/>
        <v>-39.330993186041709</v>
      </c>
      <c r="O4559" t="s">
        <v>605</v>
      </c>
      <c r="R4559">
        <v>42</v>
      </c>
      <c r="S4559" t="e">
        <f>VLOOKUP(R4559,[1]!NOMINA[#Data],4,FALSE)</f>
        <v>#REF!</v>
      </c>
      <c r="T4559" t="e">
        <f>VLOOKUP(R4559,[1]!NOMINA[#Data],5,FALSE)</f>
        <v>#REF!</v>
      </c>
    </row>
    <row r="4560" spans="1:20" x14ac:dyDescent="0.25">
      <c r="A4560" s="22">
        <v>45807</v>
      </c>
      <c r="B4560" s="1" t="s">
        <v>3475</v>
      </c>
      <c r="C4560" t="s">
        <v>3476</v>
      </c>
      <c r="D4560" s="23">
        <v>-3809.6</v>
      </c>
      <c r="E4560" t="s">
        <v>35</v>
      </c>
      <c r="F4560" s="2">
        <v>212901001</v>
      </c>
      <c r="G4560" s="2" t="s">
        <v>91</v>
      </c>
      <c r="I4560" s="95" t="s">
        <v>7231</v>
      </c>
      <c r="J4560" t="s">
        <v>61</v>
      </c>
      <c r="K4560" t="s">
        <v>62</v>
      </c>
      <c r="M4560">
        <v>96.86</v>
      </c>
      <c r="N4560" s="4">
        <f t="shared" si="71"/>
        <v>-39.330993186041709</v>
      </c>
      <c r="O4560" t="s">
        <v>605</v>
      </c>
      <c r="R4560">
        <v>39</v>
      </c>
      <c r="S4560" t="e">
        <f>VLOOKUP(R4560,[1]!NOMINA[#Data],4,FALSE)</f>
        <v>#REF!</v>
      </c>
      <c r="T4560" t="e">
        <f>VLOOKUP(R4560,[1]!NOMINA[#Data],5,FALSE)</f>
        <v>#REF!</v>
      </c>
    </row>
    <row r="4561" spans="1:20" x14ac:dyDescent="0.25">
      <c r="A4561" s="22">
        <v>45807</v>
      </c>
      <c r="B4561" s="1" t="s">
        <v>3477</v>
      </c>
      <c r="C4561" t="s">
        <v>3478</v>
      </c>
      <c r="D4561" s="23">
        <v>-8571.6</v>
      </c>
      <c r="E4561" t="s">
        <v>35</v>
      </c>
      <c r="F4561" s="2">
        <v>212901001</v>
      </c>
      <c r="G4561" s="2" t="s">
        <v>91</v>
      </c>
      <c r="I4561" s="95" t="s">
        <v>7231</v>
      </c>
      <c r="J4561" t="s">
        <v>61</v>
      </c>
      <c r="K4561" t="s">
        <v>62</v>
      </c>
      <c r="M4561">
        <v>96.86</v>
      </c>
      <c r="N4561" s="4">
        <f t="shared" si="71"/>
        <v>-88.49473466859385</v>
      </c>
      <c r="O4561" t="s">
        <v>605</v>
      </c>
    </row>
    <row r="4562" spans="1:20" x14ac:dyDescent="0.25">
      <c r="A4562" s="22">
        <v>45807</v>
      </c>
      <c r="B4562" s="1" t="s">
        <v>1904</v>
      </c>
      <c r="C4562" t="s">
        <v>3479</v>
      </c>
      <c r="D4562" s="23">
        <v>-7103.95</v>
      </c>
      <c r="E4562" t="s">
        <v>35</v>
      </c>
      <c r="F4562" s="2">
        <v>212901001</v>
      </c>
      <c r="G4562" s="2" t="s">
        <v>91</v>
      </c>
      <c r="I4562" s="95" t="s">
        <v>7231</v>
      </c>
      <c r="J4562" t="s">
        <v>61</v>
      </c>
      <c r="K4562" t="s">
        <v>62</v>
      </c>
      <c r="M4562">
        <v>96.86</v>
      </c>
      <c r="N4562" s="4">
        <f t="shared" si="71"/>
        <v>-73.342453024984508</v>
      </c>
      <c r="O4562" t="s">
        <v>605</v>
      </c>
      <c r="R4562">
        <v>8</v>
      </c>
      <c r="S4562" t="e">
        <f>VLOOKUP(R4562,[1]!NOMINA[#Data],4,FALSE)</f>
        <v>#REF!</v>
      </c>
      <c r="T4562" t="e">
        <f>VLOOKUP(R4562,[1]!NOMINA[#Data],5,FALSE)</f>
        <v>#REF!</v>
      </c>
    </row>
    <row r="4563" spans="1:20" x14ac:dyDescent="0.25">
      <c r="A4563" s="22">
        <v>45807</v>
      </c>
      <c r="B4563" s="1" t="s">
        <v>1934</v>
      </c>
      <c r="C4563" t="s">
        <v>3480</v>
      </c>
      <c r="D4563" s="23">
        <v>-3281.97</v>
      </c>
      <c r="E4563" t="s">
        <v>35</v>
      </c>
      <c r="F4563" s="2">
        <v>212901001</v>
      </c>
      <c r="G4563" s="2" t="s">
        <v>91</v>
      </c>
      <c r="I4563" s="95" t="s">
        <v>7231</v>
      </c>
      <c r="J4563" t="s">
        <v>61</v>
      </c>
      <c r="K4563" t="s">
        <v>62</v>
      </c>
      <c r="M4563">
        <v>96.86</v>
      </c>
      <c r="N4563" s="4">
        <f t="shared" si="71"/>
        <v>-33.883646500103239</v>
      </c>
      <c r="O4563" t="s">
        <v>605</v>
      </c>
      <c r="R4563">
        <v>27</v>
      </c>
      <c r="S4563" t="e">
        <f>VLOOKUP(R4563,[1]!NOMINA[#Data],4,FALSE)</f>
        <v>#REF!</v>
      </c>
      <c r="T4563" t="e">
        <f>VLOOKUP(R4563,[1]!NOMINA[#Data],5,FALSE)</f>
        <v>#REF!</v>
      </c>
    </row>
    <row r="4564" spans="1:20" x14ac:dyDescent="0.25">
      <c r="A4564" s="22">
        <v>45807</v>
      </c>
      <c r="B4564" s="1" t="s">
        <v>1965</v>
      </c>
      <c r="C4564" t="s">
        <v>3481</v>
      </c>
      <c r="D4564" s="23">
        <v>-952.4</v>
      </c>
      <c r="E4564" t="s">
        <v>35</v>
      </c>
      <c r="F4564" s="2">
        <v>212901001</v>
      </c>
      <c r="G4564" s="2" t="s">
        <v>91</v>
      </c>
      <c r="I4564" s="95" t="s">
        <v>7231</v>
      </c>
      <c r="J4564" t="s">
        <v>61</v>
      </c>
      <c r="K4564" t="s">
        <v>62</v>
      </c>
      <c r="M4564">
        <v>96.86</v>
      </c>
      <c r="N4564" s="4">
        <f t="shared" si="71"/>
        <v>-9.8327482965104274</v>
      </c>
      <c r="O4564" t="s">
        <v>605</v>
      </c>
      <c r="R4564">
        <v>8</v>
      </c>
      <c r="S4564" t="e">
        <f>VLOOKUP(R4564,[1]!NOMINA[#Data],4,FALSE)</f>
        <v>#REF!</v>
      </c>
      <c r="T4564" t="e">
        <f>VLOOKUP(R4564,[1]!NOMINA[#Data],5,FALSE)</f>
        <v>#REF!</v>
      </c>
    </row>
    <row r="4565" spans="1:20" x14ac:dyDescent="0.25">
      <c r="A4565" s="22">
        <v>45807</v>
      </c>
      <c r="B4565" s="1" t="s">
        <v>1983</v>
      </c>
      <c r="C4565" t="s">
        <v>3482</v>
      </c>
      <c r="D4565" s="23">
        <v>-7018.24</v>
      </c>
      <c r="E4565" t="s">
        <v>35</v>
      </c>
      <c r="F4565" s="2">
        <v>212901001</v>
      </c>
      <c r="G4565" s="2" t="s">
        <v>91</v>
      </c>
      <c r="I4565" s="95" t="s">
        <v>7231</v>
      </c>
      <c r="J4565" t="s">
        <v>61</v>
      </c>
      <c r="K4565" t="s">
        <v>62</v>
      </c>
      <c r="M4565">
        <v>96.86</v>
      </c>
      <c r="N4565" s="4">
        <f t="shared" si="71"/>
        <v>-72.457567623373933</v>
      </c>
      <c r="O4565" t="s">
        <v>605</v>
      </c>
      <c r="R4565">
        <v>12</v>
      </c>
      <c r="S4565" t="e">
        <f>VLOOKUP(R4565,[1]!NOMINA[#Data],4,FALSE)</f>
        <v>#REF!</v>
      </c>
      <c r="T4565" t="e">
        <f>VLOOKUP(R4565,[1]!NOMINA[#Data],5,FALSE)</f>
        <v>#REF!</v>
      </c>
    </row>
    <row r="4566" spans="1:20" x14ac:dyDescent="0.25">
      <c r="A4566" s="22">
        <v>45807</v>
      </c>
      <c r="B4566" s="1" t="s">
        <v>1955</v>
      </c>
      <c r="C4566" t="s">
        <v>3483</v>
      </c>
      <c r="D4566" s="23">
        <v>-3759.12</v>
      </c>
      <c r="E4566" t="s">
        <v>35</v>
      </c>
      <c r="F4566" s="2">
        <v>212901001</v>
      </c>
      <c r="G4566" s="2" t="s">
        <v>91</v>
      </c>
      <c r="I4566" s="95" t="s">
        <v>7231</v>
      </c>
      <c r="J4566" t="s">
        <v>61</v>
      </c>
      <c r="K4566" t="s">
        <v>62</v>
      </c>
      <c r="M4566">
        <v>96.86</v>
      </c>
      <c r="N4566" s="4">
        <f t="shared" si="71"/>
        <v>-38.80982861862482</v>
      </c>
      <c r="O4566" t="s">
        <v>605</v>
      </c>
      <c r="R4566">
        <v>29</v>
      </c>
      <c r="S4566" t="e">
        <f>VLOOKUP(R4566,[1]!NOMINA[#Data],4,FALSE)</f>
        <v>#REF!</v>
      </c>
      <c r="T4566" t="e">
        <f>VLOOKUP(R4566,[1]!NOMINA[#Data],5,FALSE)</f>
        <v>#REF!</v>
      </c>
    </row>
    <row r="4567" spans="1:20" x14ac:dyDescent="0.25">
      <c r="A4567" s="22">
        <v>45807</v>
      </c>
      <c r="B4567" s="1" t="s">
        <v>2045</v>
      </c>
      <c r="C4567" t="s">
        <v>3484</v>
      </c>
      <c r="D4567" s="23">
        <v>-952.4</v>
      </c>
      <c r="E4567" t="s">
        <v>35</v>
      </c>
      <c r="F4567" s="2">
        <v>212901001</v>
      </c>
      <c r="G4567" s="2" t="s">
        <v>91</v>
      </c>
      <c r="I4567" s="95" t="s">
        <v>7231</v>
      </c>
      <c r="J4567" t="s">
        <v>61</v>
      </c>
      <c r="K4567" t="s">
        <v>62</v>
      </c>
      <c r="M4567">
        <v>96.86</v>
      </c>
      <c r="N4567" s="4">
        <f t="shared" si="71"/>
        <v>-9.8327482965104274</v>
      </c>
      <c r="O4567" t="s">
        <v>605</v>
      </c>
      <c r="R4567">
        <v>13</v>
      </c>
      <c r="S4567" t="e">
        <f>VLOOKUP(R4567,[1]!NOMINA[#Data],4,FALSE)</f>
        <v>#REF!</v>
      </c>
      <c r="T4567" t="e">
        <f>VLOOKUP(R4567,[1]!NOMINA[#Data],5,FALSE)</f>
        <v>#REF!</v>
      </c>
    </row>
    <row r="4568" spans="1:20" x14ac:dyDescent="0.25">
      <c r="A4568" s="22">
        <v>45807</v>
      </c>
      <c r="B4568" s="1" t="s">
        <v>2049</v>
      </c>
      <c r="C4568" t="s">
        <v>3485</v>
      </c>
      <c r="D4568" s="23">
        <v>-5714.4</v>
      </c>
      <c r="E4568" t="s">
        <v>35</v>
      </c>
      <c r="F4568" s="2">
        <v>212901001</v>
      </c>
      <c r="G4568" s="2" t="s">
        <v>91</v>
      </c>
      <c r="I4568" s="95" t="s">
        <v>7231</v>
      </c>
      <c r="J4568" t="s">
        <v>61</v>
      </c>
      <c r="K4568" t="s">
        <v>62</v>
      </c>
      <c r="M4568">
        <v>96.86</v>
      </c>
      <c r="N4568" s="4">
        <f t="shared" si="71"/>
        <v>-58.996489779062564</v>
      </c>
      <c r="O4568" t="s">
        <v>605</v>
      </c>
      <c r="R4568">
        <v>43</v>
      </c>
      <c r="S4568" t="e">
        <f>VLOOKUP(R4568,[1]!NOMINA[#Data],4,FALSE)</f>
        <v>#REF!</v>
      </c>
      <c r="T4568" t="e">
        <f>VLOOKUP(R4568,[1]!NOMINA[#Data],5,FALSE)</f>
        <v>#REF!</v>
      </c>
    </row>
    <row r="4569" spans="1:20" x14ac:dyDescent="0.25">
      <c r="A4569" s="22">
        <v>45807</v>
      </c>
      <c r="B4569" s="1" t="s">
        <v>2036</v>
      </c>
      <c r="C4569" t="s">
        <v>3486</v>
      </c>
      <c r="D4569" s="23">
        <v>-952.4</v>
      </c>
      <c r="E4569" t="s">
        <v>35</v>
      </c>
      <c r="F4569" s="2">
        <v>212901001</v>
      </c>
      <c r="G4569" s="2" t="s">
        <v>91</v>
      </c>
      <c r="I4569" s="95" t="s">
        <v>7231</v>
      </c>
      <c r="J4569" t="s">
        <v>61</v>
      </c>
      <c r="K4569" t="s">
        <v>62</v>
      </c>
      <c r="M4569">
        <v>96.86</v>
      </c>
      <c r="N4569" s="4">
        <f t="shared" si="71"/>
        <v>-9.8327482965104274</v>
      </c>
      <c r="O4569" t="s">
        <v>605</v>
      </c>
      <c r="R4569">
        <v>12</v>
      </c>
      <c r="S4569" t="e">
        <f>VLOOKUP(R4569,[1]!NOMINA[#Data],4,FALSE)</f>
        <v>#REF!</v>
      </c>
      <c r="T4569" t="e">
        <f>VLOOKUP(R4569,[1]!NOMINA[#Data],5,FALSE)</f>
        <v>#REF!</v>
      </c>
    </row>
    <row r="4570" spans="1:20" x14ac:dyDescent="0.25">
      <c r="A4570" s="22">
        <v>45807</v>
      </c>
      <c r="B4570" s="1" t="s">
        <v>2020</v>
      </c>
      <c r="C4570" t="s">
        <v>3487</v>
      </c>
      <c r="D4570" s="23">
        <v>-952.4</v>
      </c>
      <c r="E4570" t="s">
        <v>35</v>
      </c>
      <c r="F4570" s="2">
        <v>212901001</v>
      </c>
      <c r="G4570" s="2" t="s">
        <v>91</v>
      </c>
      <c r="I4570" s="95" t="s">
        <v>7231</v>
      </c>
      <c r="J4570" t="s">
        <v>61</v>
      </c>
      <c r="K4570" t="s">
        <v>62</v>
      </c>
      <c r="M4570">
        <v>96.86</v>
      </c>
      <c r="N4570" s="4">
        <f t="shared" si="71"/>
        <v>-9.8327482965104274</v>
      </c>
      <c r="O4570" t="s">
        <v>605</v>
      </c>
      <c r="R4570">
        <v>16</v>
      </c>
      <c r="S4570" t="e">
        <f>VLOOKUP(Tabla3[[#This Row],[Nº]],[1]!NOMINA[#Data],4,FALSE)</f>
        <v>#REF!</v>
      </c>
      <c r="T4570" t="e">
        <f>VLOOKUP(Tabla3[[#This Row],[Nº]],[1]!NOMINA[#Data],5,FALSE)</f>
        <v>#REF!</v>
      </c>
    </row>
    <row r="4571" spans="1:20" x14ac:dyDescent="0.25">
      <c r="A4571" s="22">
        <v>45807</v>
      </c>
      <c r="B4571" s="1" t="s">
        <v>2055</v>
      </c>
      <c r="C4571" t="s">
        <v>3488</v>
      </c>
      <c r="D4571" s="23">
        <v>-61.65</v>
      </c>
      <c r="E4571" t="s">
        <v>35</v>
      </c>
      <c r="F4571" s="2">
        <v>212901001</v>
      </c>
      <c r="G4571" s="2" t="s">
        <v>91</v>
      </c>
      <c r="I4571" s="95" t="s">
        <v>7231</v>
      </c>
      <c r="J4571" t="s">
        <v>61</v>
      </c>
      <c r="K4571" t="s">
        <v>62</v>
      </c>
      <c r="M4571">
        <v>96.86</v>
      </c>
      <c r="N4571" s="4">
        <f t="shared" si="71"/>
        <v>-0.63648564939087338</v>
      </c>
      <c r="O4571" t="s">
        <v>605</v>
      </c>
      <c r="R4571">
        <v>39</v>
      </c>
      <c r="S4571" t="e">
        <f>VLOOKUP(R4571,[1]!NOMINA[#Data],4,FALSE)</f>
        <v>#REF!</v>
      </c>
      <c r="T4571" t="e">
        <f>VLOOKUP(R4571,[1]!NOMINA[#Data],5,FALSE)</f>
        <v>#REF!</v>
      </c>
    </row>
    <row r="4572" spans="1:20" x14ac:dyDescent="0.25">
      <c r="A4572" s="22">
        <v>45807</v>
      </c>
      <c r="B4572" s="1" t="s">
        <v>1944</v>
      </c>
      <c r="C4572" t="s">
        <v>3489</v>
      </c>
      <c r="D4572" s="23">
        <v>-61.65</v>
      </c>
      <c r="E4572" t="s">
        <v>35</v>
      </c>
      <c r="F4572" s="2">
        <v>212901001</v>
      </c>
      <c r="G4572" s="2" t="s">
        <v>91</v>
      </c>
      <c r="I4572" s="95" t="s">
        <v>7231</v>
      </c>
      <c r="J4572" t="s">
        <v>61</v>
      </c>
      <c r="K4572" t="s">
        <v>62</v>
      </c>
      <c r="M4572">
        <v>96.86</v>
      </c>
      <c r="N4572" s="4">
        <f t="shared" si="71"/>
        <v>-0.63648564939087338</v>
      </c>
      <c r="O4572" t="s">
        <v>605</v>
      </c>
      <c r="R4572">
        <v>21</v>
      </c>
      <c r="S4572" t="e">
        <f>VLOOKUP(R4572,[1]!NOMINA[#Data],4,FALSE)</f>
        <v>#REF!</v>
      </c>
      <c r="T4572" t="e">
        <f>VLOOKUP(R4572,[1]!NOMINA[#Data],5,FALSE)</f>
        <v>#REF!</v>
      </c>
    </row>
    <row r="4573" spans="1:20" x14ac:dyDescent="0.25">
      <c r="A4573" s="22">
        <v>45807</v>
      </c>
      <c r="B4573" s="1" t="s">
        <v>613</v>
      </c>
      <c r="C4573" t="s">
        <v>3490</v>
      </c>
      <c r="D4573" s="23">
        <v>-7103.95</v>
      </c>
      <c r="E4573" t="s">
        <v>35</v>
      </c>
      <c r="F4573" s="2">
        <v>212901001</v>
      </c>
      <c r="G4573" s="2" t="s">
        <v>91</v>
      </c>
      <c r="I4573" s="95" t="s">
        <v>7231</v>
      </c>
      <c r="J4573" t="s">
        <v>61</v>
      </c>
      <c r="K4573" t="s">
        <v>62</v>
      </c>
      <c r="M4573">
        <v>96.86</v>
      </c>
      <c r="N4573" s="4">
        <f t="shared" si="71"/>
        <v>-73.342453024984508</v>
      </c>
      <c r="O4573" t="s">
        <v>605</v>
      </c>
      <c r="R4573">
        <v>11</v>
      </c>
      <c r="S4573" t="e">
        <f>VLOOKUP(R4573,[1]!NOMINA[#Data],4,FALSE)</f>
        <v>#REF!</v>
      </c>
      <c r="T4573" t="e">
        <f>VLOOKUP(R4573,[1]!NOMINA[#Data],5,FALSE)</f>
        <v>#REF!</v>
      </c>
    </row>
    <row r="4574" spans="1:20" x14ac:dyDescent="0.25">
      <c r="A4574" s="22">
        <v>45807</v>
      </c>
      <c r="B4574" s="1" t="s">
        <v>1938</v>
      </c>
      <c r="C4574" t="s">
        <v>3491</v>
      </c>
      <c r="D4574" s="23">
        <v>-3728.65</v>
      </c>
      <c r="E4574" t="s">
        <v>35</v>
      </c>
      <c r="F4574" s="2">
        <v>212901001</v>
      </c>
      <c r="G4574" s="2" t="s">
        <v>91</v>
      </c>
      <c r="I4574" s="95" t="s">
        <v>7231</v>
      </c>
      <c r="J4574" t="s">
        <v>61</v>
      </c>
      <c r="K4574" t="s">
        <v>62</v>
      </c>
      <c r="M4574">
        <v>96.86</v>
      </c>
      <c r="N4574" s="4">
        <f t="shared" si="71"/>
        <v>-38.495250877555236</v>
      </c>
      <c r="O4574" t="s">
        <v>605</v>
      </c>
      <c r="R4574">
        <v>25</v>
      </c>
      <c r="S4574" t="e">
        <f>VLOOKUP(R4574,[1]!NOMINA[#Data],4,FALSE)</f>
        <v>#REF!</v>
      </c>
      <c r="T4574" t="e">
        <f>VLOOKUP(R4574,[1]!NOMINA[#Data],5,FALSE)</f>
        <v>#REF!</v>
      </c>
    </row>
    <row r="4575" spans="1:20" x14ac:dyDescent="0.25">
      <c r="A4575" s="22">
        <v>45807</v>
      </c>
      <c r="B4575" s="1" t="s">
        <v>1957</v>
      </c>
      <c r="C4575" t="s">
        <v>3492</v>
      </c>
      <c r="D4575" s="23">
        <v>-4718.1899999999996</v>
      </c>
      <c r="E4575" t="s">
        <v>35</v>
      </c>
      <c r="F4575" s="2">
        <v>212901001</v>
      </c>
      <c r="G4575" s="2" t="s">
        <v>91</v>
      </c>
      <c r="I4575" s="95" t="s">
        <v>7231</v>
      </c>
      <c r="J4575" t="s">
        <v>61</v>
      </c>
      <c r="K4575" t="s">
        <v>62</v>
      </c>
      <c r="M4575">
        <v>96.86</v>
      </c>
      <c r="N4575" s="4">
        <f t="shared" si="71"/>
        <v>-48.711439190584343</v>
      </c>
      <c r="O4575" t="s">
        <v>605</v>
      </c>
      <c r="R4575">
        <v>24</v>
      </c>
      <c r="S4575" t="e">
        <f>VLOOKUP(R4575,[1]!NOMINA[#Data],4,FALSE)</f>
        <v>#REF!</v>
      </c>
      <c r="T4575" t="e">
        <f>VLOOKUP(R4575,[1]!NOMINA[#Data],5,FALSE)</f>
        <v>#REF!</v>
      </c>
    </row>
    <row r="4576" spans="1:20" x14ac:dyDescent="0.25">
      <c r="A4576" s="22">
        <v>45807</v>
      </c>
      <c r="B4576" s="1" t="s">
        <v>1996</v>
      </c>
      <c r="C4576" t="s">
        <v>3493</v>
      </c>
      <c r="D4576" s="23">
        <v>-23745.24</v>
      </c>
      <c r="E4576" t="s">
        <v>35</v>
      </c>
      <c r="F4576" s="2">
        <v>212901001</v>
      </c>
      <c r="G4576" s="2" t="s">
        <v>91</v>
      </c>
      <c r="I4576" s="95" t="s">
        <v>7231</v>
      </c>
      <c r="J4576" t="s">
        <v>61</v>
      </c>
      <c r="K4576" t="s">
        <v>62</v>
      </c>
      <c r="M4576">
        <v>96.86</v>
      </c>
      <c r="N4576" s="4">
        <f t="shared" si="71"/>
        <v>-245.15011356597154</v>
      </c>
      <c r="O4576" t="s">
        <v>605</v>
      </c>
      <c r="R4576">
        <v>3</v>
      </c>
      <c r="S4576" t="e">
        <f>VLOOKUP(R4576,[1]!NOMINA[#Data],4,FALSE)</f>
        <v>#REF!</v>
      </c>
      <c r="T4576" t="e">
        <f>VLOOKUP(R4576,[1]!NOMINA[#Data],5,FALSE)</f>
        <v>#REF!</v>
      </c>
    </row>
    <row r="4577" spans="1:20" x14ac:dyDescent="0.25">
      <c r="A4577" s="22">
        <v>45807</v>
      </c>
      <c r="B4577" s="1" t="s">
        <v>1998</v>
      </c>
      <c r="C4577" t="s">
        <v>3494</v>
      </c>
      <c r="D4577" s="23">
        <v>-4723.8999999999996</v>
      </c>
      <c r="E4577" t="s">
        <v>35</v>
      </c>
      <c r="F4577" s="2">
        <v>212901001</v>
      </c>
      <c r="G4577" s="2" t="s">
        <v>91</v>
      </c>
      <c r="I4577" s="95" t="s">
        <v>7231</v>
      </c>
      <c r="J4577" t="s">
        <v>61</v>
      </c>
      <c r="K4577" t="s">
        <v>62</v>
      </c>
      <c r="M4577">
        <v>96.86</v>
      </c>
      <c r="N4577" s="4">
        <f t="shared" si="71"/>
        <v>-48.770390253974803</v>
      </c>
      <c r="O4577" t="s">
        <v>605</v>
      </c>
      <c r="R4577">
        <v>19</v>
      </c>
      <c r="S4577" t="e">
        <f>VLOOKUP(R4577,[1]!NOMINA[#Data],4,FALSE)</f>
        <v>#REF!</v>
      </c>
      <c r="T4577" t="e">
        <f>VLOOKUP(R4577,[1]!NOMINA[#Data],5,FALSE)</f>
        <v>#REF!</v>
      </c>
    </row>
    <row r="4578" spans="1:20" x14ac:dyDescent="0.25">
      <c r="A4578" s="22">
        <v>45807</v>
      </c>
      <c r="B4578" s="1" t="s">
        <v>1961</v>
      </c>
      <c r="C4578" t="s">
        <v>3495</v>
      </c>
      <c r="D4578" s="23">
        <v>-4723.8999999999996</v>
      </c>
      <c r="E4578" t="s">
        <v>35</v>
      </c>
      <c r="F4578" s="2">
        <v>212901001</v>
      </c>
      <c r="G4578" s="2" t="s">
        <v>91</v>
      </c>
      <c r="I4578" s="95" t="s">
        <v>7231</v>
      </c>
      <c r="J4578" t="s">
        <v>61</v>
      </c>
      <c r="K4578" t="s">
        <v>62</v>
      </c>
      <c r="M4578">
        <v>96.86</v>
      </c>
      <c r="N4578" s="4">
        <f t="shared" si="71"/>
        <v>-48.770390253974803</v>
      </c>
      <c r="O4578" t="s">
        <v>605</v>
      </c>
      <c r="R4578">
        <v>36</v>
      </c>
      <c r="S4578" t="e">
        <f>VLOOKUP(R4578,[1]!NOMINA[#Data],4,FALSE)</f>
        <v>#REF!</v>
      </c>
      <c r="T4578" t="e">
        <f>VLOOKUP(R4578,[1]!NOMINA[#Data],5,FALSE)</f>
        <v>#REF!</v>
      </c>
    </row>
    <row r="4579" spans="1:20" x14ac:dyDescent="0.25">
      <c r="A4579" s="22">
        <v>45807</v>
      </c>
      <c r="B4579" s="1" t="s">
        <v>2001</v>
      </c>
      <c r="C4579" t="s">
        <v>3496</v>
      </c>
      <c r="D4579" s="23">
        <v>-952.4</v>
      </c>
      <c r="E4579" t="s">
        <v>35</v>
      </c>
      <c r="F4579" s="2">
        <v>212901001</v>
      </c>
      <c r="G4579" s="2" t="s">
        <v>91</v>
      </c>
      <c r="I4579" s="95" t="s">
        <v>7231</v>
      </c>
      <c r="J4579" t="s">
        <v>61</v>
      </c>
      <c r="K4579" t="s">
        <v>62</v>
      </c>
      <c r="M4579">
        <v>96.86</v>
      </c>
      <c r="N4579" s="4">
        <f t="shared" si="71"/>
        <v>-9.8327482965104274</v>
      </c>
      <c r="O4579" t="s">
        <v>605</v>
      </c>
      <c r="R4579">
        <v>6</v>
      </c>
      <c r="S4579" t="e">
        <f>VLOOKUP(R4579,[1]!NOMINA[#Data],4,FALSE)</f>
        <v>#REF!</v>
      </c>
      <c r="T4579" t="e">
        <f>VLOOKUP(R4579,[1]!NOMINA[#Data],5,FALSE)</f>
        <v>#REF!</v>
      </c>
    </row>
    <row r="4580" spans="1:20" x14ac:dyDescent="0.25">
      <c r="A4580" s="22">
        <v>45807</v>
      </c>
      <c r="B4580" s="1" t="s">
        <v>1989</v>
      </c>
      <c r="C4580" t="s">
        <v>3497</v>
      </c>
      <c r="D4580" s="23">
        <v>-952.4</v>
      </c>
      <c r="E4580" t="s">
        <v>35</v>
      </c>
      <c r="F4580" s="2">
        <v>212901001</v>
      </c>
      <c r="G4580" s="2" t="s">
        <v>91</v>
      </c>
      <c r="I4580" s="95" t="s">
        <v>7231</v>
      </c>
      <c r="J4580" t="s">
        <v>61</v>
      </c>
      <c r="K4580" t="s">
        <v>62</v>
      </c>
      <c r="M4580">
        <v>96.86</v>
      </c>
      <c r="N4580" s="4">
        <f t="shared" si="71"/>
        <v>-9.8327482965104274</v>
      </c>
      <c r="O4580" t="s">
        <v>605</v>
      </c>
      <c r="R4580">
        <v>7</v>
      </c>
      <c r="S4580" t="e">
        <f>VLOOKUP(R4580,[1]!NOMINA[#Data],4,FALSE)</f>
        <v>#REF!</v>
      </c>
      <c r="T4580" t="e">
        <f>VLOOKUP(R4580,[1]!NOMINA[#Data],5,FALSE)</f>
        <v>#REF!</v>
      </c>
    </row>
    <row r="4581" spans="1:20" x14ac:dyDescent="0.25">
      <c r="A4581" s="22">
        <v>45807</v>
      </c>
      <c r="B4581" s="1" t="s">
        <v>3498</v>
      </c>
      <c r="C4581" t="s">
        <v>3499</v>
      </c>
      <c r="D4581" s="23">
        <v>-61.65</v>
      </c>
      <c r="E4581" t="s">
        <v>35</v>
      </c>
      <c r="F4581" s="2">
        <v>212901001</v>
      </c>
      <c r="G4581" s="2" t="s">
        <v>91</v>
      </c>
      <c r="I4581" s="95" t="s">
        <v>7231</v>
      </c>
      <c r="J4581" t="s">
        <v>61</v>
      </c>
      <c r="K4581" t="s">
        <v>62</v>
      </c>
      <c r="M4581">
        <v>96.86</v>
      </c>
      <c r="N4581" s="4">
        <f t="shared" si="71"/>
        <v>-0.63648564939087338</v>
      </c>
      <c r="O4581" t="s">
        <v>605</v>
      </c>
      <c r="R4581">
        <v>25</v>
      </c>
      <c r="S4581" t="e">
        <f>VLOOKUP(R4581,[1]!NOMINA[#Data],4,FALSE)</f>
        <v>#REF!</v>
      </c>
      <c r="T4581" t="e">
        <f>VLOOKUP(R4581,[1]!NOMINA[#Data],5,FALSE)</f>
        <v>#REF!</v>
      </c>
    </row>
    <row r="4582" spans="1:20" x14ac:dyDescent="0.25">
      <c r="A4582" s="22">
        <v>45807</v>
      </c>
      <c r="B4582" s="1" t="s">
        <v>3500</v>
      </c>
      <c r="C4582" t="s">
        <v>3501</v>
      </c>
      <c r="D4582" s="23">
        <v>-61.65</v>
      </c>
      <c r="E4582" t="s">
        <v>35</v>
      </c>
      <c r="F4582" s="2">
        <v>212901001</v>
      </c>
      <c r="G4582" s="2" t="s">
        <v>91</v>
      </c>
      <c r="I4582" s="95" t="s">
        <v>7231</v>
      </c>
      <c r="J4582" t="s">
        <v>61</v>
      </c>
      <c r="K4582" t="s">
        <v>62</v>
      </c>
      <c r="M4582">
        <v>96.86</v>
      </c>
      <c r="N4582" s="4">
        <f t="shared" si="71"/>
        <v>-0.63648564939087338</v>
      </c>
      <c r="O4582" t="s">
        <v>605</v>
      </c>
      <c r="R4582">
        <v>12</v>
      </c>
      <c r="S4582" t="e">
        <f>VLOOKUP(R4582,[1]!NOMINA[#Data],4,FALSE)</f>
        <v>#REF!</v>
      </c>
      <c r="T4582" t="e">
        <f>VLOOKUP(R4582,[1]!NOMINA[#Data],5,FALSE)</f>
        <v>#REF!</v>
      </c>
    </row>
    <row r="4583" spans="1:20" x14ac:dyDescent="0.25">
      <c r="A4583" s="22">
        <v>45807</v>
      </c>
      <c r="B4583" s="1" t="s">
        <v>3502</v>
      </c>
      <c r="C4583" t="s">
        <v>3503</v>
      </c>
      <c r="D4583" s="23">
        <v>-61.65</v>
      </c>
      <c r="E4583" t="s">
        <v>35</v>
      </c>
      <c r="F4583" s="2">
        <v>212901001</v>
      </c>
      <c r="G4583" s="2" t="s">
        <v>91</v>
      </c>
      <c r="I4583" s="95" t="s">
        <v>7231</v>
      </c>
      <c r="J4583" t="s">
        <v>61</v>
      </c>
      <c r="K4583" t="s">
        <v>62</v>
      </c>
      <c r="M4583">
        <v>96.86</v>
      </c>
      <c r="N4583" s="4">
        <f t="shared" si="71"/>
        <v>-0.63648564939087338</v>
      </c>
      <c r="O4583" t="s">
        <v>605</v>
      </c>
      <c r="R4583">
        <v>2</v>
      </c>
      <c r="S4583" t="e">
        <f>VLOOKUP(Tabla3[[#This Row],[Nº]],[1]!NOMINA[#Data],4,FALSE)</f>
        <v>#REF!</v>
      </c>
      <c r="T4583" t="e">
        <f>VLOOKUP(Tabla3[[#This Row],[Nº]],[1]!NOMINA[#Data],5,FALSE)</f>
        <v>#REF!</v>
      </c>
    </row>
    <row r="4584" spans="1:20" x14ac:dyDescent="0.25">
      <c r="A4584" s="22">
        <v>45807</v>
      </c>
      <c r="B4584" s="1" t="s">
        <v>3504</v>
      </c>
      <c r="C4584" t="s">
        <v>3505</v>
      </c>
      <c r="D4584" s="23">
        <v>-3809.6</v>
      </c>
      <c r="E4584" t="s">
        <v>35</v>
      </c>
      <c r="F4584" s="2">
        <v>212901001</v>
      </c>
      <c r="G4584" s="2" t="s">
        <v>91</v>
      </c>
      <c r="I4584" s="95" t="s">
        <v>7231</v>
      </c>
      <c r="J4584" t="s">
        <v>61</v>
      </c>
      <c r="K4584" t="s">
        <v>62</v>
      </c>
      <c r="M4584">
        <v>96.86</v>
      </c>
      <c r="N4584" s="4">
        <f t="shared" si="71"/>
        <v>-39.330993186041709</v>
      </c>
      <c r="O4584" t="s">
        <v>605</v>
      </c>
      <c r="R4584">
        <v>21</v>
      </c>
      <c r="S4584" t="e">
        <f>VLOOKUP(R4584,[1]!NOMINA[#Data],4,FALSE)</f>
        <v>#REF!</v>
      </c>
      <c r="T4584" t="e">
        <f>VLOOKUP(R4584,[1]!NOMINA[#Data],5,FALSE)</f>
        <v>#REF!</v>
      </c>
    </row>
    <row r="4585" spans="1:20" x14ac:dyDescent="0.25">
      <c r="A4585" s="22">
        <v>45807</v>
      </c>
      <c r="B4585" s="1" t="s">
        <v>3506</v>
      </c>
      <c r="C4585" t="s">
        <v>3507</v>
      </c>
      <c r="D4585" s="23">
        <v>-3809.6</v>
      </c>
      <c r="E4585" t="s">
        <v>35</v>
      </c>
      <c r="F4585" s="2">
        <v>212901001</v>
      </c>
      <c r="G4585" s="2" t="s">
        <v>91</v>
      </c>
      <c r="I4585" s="95" t="s">
        <v>7231</v>
      </c>
      <c r="J4585" t="s">
        <v>61</v>
      </c>
      <c r="K4585" t="s">
        <v>62</v>
      </c>
      <c r="M4585">
        <v>96.86</v>
      </c>
      <c r="N4585" s="4">
        <f t="shared" si="71"/>
        <v>-39.330993186041709</v>
      </c>
      <c r="O4585" t="s">
        <v>605</v>
      </c>
      <c r="R4585">
        <v>25</v>
      </c>
      <c r="S4585" t="e">
        <f>VLOOKUP(R4585,[1]!NOMINA[#Data],4,FALSE)</f>
        <v>#REF!</v>
      </c>
      <c r="T4585" t="e">
        <f>VLOOKUP(R4585,[1]!NOMINA[#Data],5,FALSE)</f>
        <v>#REF!</v>
      </c>
    </row>
    <row r="4586" spans="1:20" x14ac:dyDescent="0.25">
      <c r="A4586" s="22">
        <v>45807</v>
      </c>
      <c r="B4586" s="1" t="s">
        <v>3508</v>
      </c>
      <c r="C4586" t="s">
        <v>3509</v>
      </c>
      <c r="D4586" s="23">
        <v>-3809.6</v>
      </c>
      <c r="E4586" t="s">
        <v>35</v>
      </c>
      <c r="F4586" s="2">
        <v>212901001</v>
      </c>
      <c r="G4586" s="2" t="s">
        <v>91</v>
      </c>
      <c r="I4586" s="95" t="s">
        <v>7231</v>
      </c>
      <c r="J4586" t="s">
        <v>61</v>
      </c>
      <c r="K4586" t="s">
        <v>62</v>
      </c>
      <c r="M4586">
        <v>96.86</v>
      </c>
      <c r="N4586" s="4">
        <f t="shared" si="71"/>
        <v>-39.330993186041709</v>
      </c>
      <c r="O4586" t="s">
        <v>605</v>
      </c>
      <c r="R4586">
        <v>12</v>
      </c>
      <c r="S4586" t="e">
        <f>VLOOKUP(R4586,[1]!NOMINA[#Data],4,FALSE)</f>
        <v>#REF!</v>
      </c>
      <c r="T4586" t="e">
        <f>VLOOKUP(R4586,[1]!NOMINA[#Data],5,FALSE)</f>
        <v>#REF!</v>
      </c>
    </row>
    <row r="4587" spans="1:20" x14ac:dyDescent="0.25">
      <c r="A4587" s="22">
        <v>45807</v>
      </c>
      <c r="B4587" s="1" t="s">
        <v>3510</v>
      </c>
      <c r="C4587" t="s">
        <v>3511</v>
      </c>
      <c r="D4587" s="23">
        <v>-3809.6</v>
      </c>
      <c r="E4587" t="s">
        <v>35</v>
      </c>
      <c r="F4587" s="2">
        <v>212901001</v>
      </c>
      <c r="G4587" s="2" t="s">
        <v>91</v>
      </c>
      <c r="I4587" s="95" t="s">
        <v>7231</v>
      </c>
      <c r="J4587" t="s">
        <v>61</v>
      </c>
      <c r="K4587" t="s">
        <v>62</v>
      </c>
      <c r="M4587">
        <v>96.86</v>
      </c>
      <c r="N4587" s="4">
        <f t="shared" si="71"/>
        <v>-39.330993186041709</v>
      </c>
      <c r="O4587" t="s">
        <v>605</v>
      </c>
      <c r="R4587">
        <v>2</v>
      </c>
      <c r="S4587" t="e">
        <f>VLOOKUP(Tabla3[[#This Row],[Nº]],[1]!NOMINA[#Data],4,FALSE)</f>
        <v>#REF!</v>
      </c>
      <c r="T4587" t="e">
        <f>VLOOKUP(Tabla3[[#This Row],[Nº]],[1]!NOMINA[#Data],5,FALSE)</f>
        <v>#REF!</v>
      </c>
    </row>
    <row r="4588" spans="1:20" x14ac:dyDescent="0.25">
      <c r="A4588" s="22">
        <v>45807</v>
      </c>
      <c r="B4588" s="1" t="s">
        <v>3512</v>
      </c>
      <c r="C4588" t="s">
        <v>3513</v>
      </c>
      <c r="D4588" s="23">
        <v>-3809.6</v>
      </c>
      <c r="E4588" t="s">
        <v>35</v>
      </c>
      <c r="F4588" s="2">
        <v>212901001</v>
      </c>
      <c r="G4588" s="2" t="s">
        <v>91</v>
      </c>
      <c r="I4588" s="95" t="s">
        <v>7231</v>
      </c>
      <c r="J4588" t="s">
        <v>61</v>
      </c>
      <c r="K4588" t="s">
        <v>62</v>
      </c>
      <c r="M4588">
        <v>96.86</v>
      </c>
      <c r="N4588" s="4">
        <f t="shared" si="71"/>
        <v>-39.330993186041709</v>
      </c>
      <c r="O4588" t="s">
        <v>605</v>
      </c>
      <c r="R4588">
        <v>28</v>
      </c>
      <c r="S4588" t="e">
        <f>VLOOKUP(R4588,[1]!NOMINA[#Data],4,FALSE)</f>
        <v>#REF!</v>
      </c>
      <c r="T4588" t="e">
        <f>VLOOKUP(R4588,[1]!NOMINA[#Data],5,FALSE)</f>
        <v>#REF!</v>
      </c>
    </row>
    <row r="4589" spans="1:20" x14ac:dyDescent="0.25">
      <c r="A4589" s="22">
        <v>45807</v>
      </c>
      <c r="B4589" s="1" t="s">
        <v>3514</v>
      </c>
      <c r="C4589" t="s">
        <v>3515</v>
      </c>
      <c r="D4589" s="23">
        <v>-3809.6</v>
      </c>
      <c r="E4589" t="s">
        <v>35</v>
      </c>
      <c r="F4589" s="2">
        <v>212901001</v>
      </c>
      <c r="G4589" s="2" t="s">
        <v>91</v>
      </c>
      <c r="I4589" s="95" t="s">
        <v>7231</v>
      </c>
      <c r="J4589" t="s">
        <v>61</v>
      </c>
      <c r="K4589" t="s">
        <v>62</v>
      </c>
      <c r="M4589">
        <v>96.86</v>
      </c>
      <c r="N4589" s="4">
        <f t="shared" si="71"/>
        <v>-39.330993186041709</v>
      </c>
      <c r="O4589" t="s">
        <v>605</v>
      </c>
      <c r="R4589">
        <v>6</v>
      </c>
      <c r="S4589" t="e">
        <f>VLOOKUP(R4589,[1]!NOMINA[#Data],4,FALSE)</f>
        <v>#REF!</v>
      </c>
      <c r="T4589" t="e">
        <f>VLOOKUP(R4589,[1]!NOMINA[#Data],5,FALSE)</f>
        <v>#REF!</v>
      </c>
    </row>
    <row r="4590" spans="1:20" x14ac:dyDescent="0.25">
      <c r="A4590" s="22">
        <v>45807</v>
      </c>
      <c r="B4590" s="1" t="s">
        <v>2022</v>
      </c>
      <c r="C4590" t="s">
        <v>3516</v>
      </c>
      <c r="D4590" s="23">
        <v>-61.65</v>
      </c>
      <c r="E4590" t="s">
        <v>35</v>
      </c>
      <c r="F4590" s="2">
        <v>212901001</v>
      </c>
      <c r="G4590" s="2" t="s">
        <v>91</v>
      </c>
      <c r="I4590" s="95" t="s">
        <v>7231</v>
      </c>
      <c r="J4590" t="s">
        <v>61</v>
      </c>
      <c r="K4590" t="s">
        <v>62</v>
      </c>
      <c r="M4590">
        <v>96.86</v>
      </c>
      <c r="N4590" s="4">
        <f t="shared" si="71"/>
        <v>-0.63648564939087338</v>
      </c>
      <c r="O4590" t="s">
        <v>605</v>
      </c>
      <c r="R4590">
        <v>28</v>
      </c>
      <c r="S4590" t="e">
        <f>VLOOKUP(R4590,[1]!NOMINA[#Data],4,FALSE)</f>
        <v>#REF!</v>
      </c>
      <c r="T4590" t="e">
        <f>VLOOKUP(R4590,[1]!NOMINA[#Data],5,FALSE)</f>
        <v>#REF!</v>
      </c>
    </row>
    <row r="4591" spans="1:20" x14ac:dyDescent="0.25">
      <c r="A4591" s="22">
        <v>45807</v>
      </c>
      <c r="B4591" s="1" t="s">
        <v>3517</v>
      </c>
      <c r="C4591" t="s">
        <v>3518</v>
      </c>
      <c r="D4591" s="23">
        <v>-61.65</v>
      </c>
      <c r="E4591" t="s">
        <v>35</v>
      </c>
      <c r="F4591" s="2">
        <v>212901001</v>
      </c>
      <c r="G4591" s="2" t="s">
        <v>91</v>
      </c>
      <c r="I4591" s="95" t="s">
        <v>7231</v>
      </c>
      <c r="J4591" t="s">
        <v>61</v>
      </c>
      <c r="K4591" t="s">
        <v>62</v>
      </c>
      <c r="M4591">
        <v>96.86</v>
      </c>
      <c r="N4591" s="4">
        <f t="shared" si="71"/>
        <v>-0.63648564939087338</v>
      </c>
      <c r="O4591" t="s">
        <v>605</v>
      </c>
      <c r="R4591">
        <v>6</v>
      </c>
      <c r="S4591" t="e">
        <f>VLOOKUP(R4591,[1]!NOMINA[#Data],4,FALSE)</f>
        <v>#REF!</v>
      </c>
      <c r="T4591" t="e">
        <f>VLOOKUP(R4591,[1]!NOMINA[#Data],5,FALSE)</f>
        <v>#REF!</v>
      </c>
    </row>
    <row r="4592" spans="1:20" x14ac:dyDescent="0.25">
      <c r="A4592" s="22">
        <v>45807</v>
      </c>
      <c r="B4592" s="1" t="s">
        <v>3519</v>
      </c>
      <c r="C4592" t="s">
        <v>3520</v>
      </c>
      <c r="D4592" s="23">
        <v>-61.65</v>
      </c>
      <c r="E4592" t="s">
        <v>35</v>
      </c>
      <c r="F4592" s="2">
        <v>212901001</v>
      </c>
      <c r="G4592" s="2" t="s">
        <v>91</v>
      </c>
      <c r="I4592" s="95" t="s">
        <v>7231</v>
      </c>
      <c r="J4592" t="s">
        <v>61</v>
      </c>
      <c r="K4592" t="s">
        <v>62</v>
      </c>
      <c r="M4592">
        <v>96.86</v>
      </c>
      <c r="N4592" s="4">
        <f t="shared" si="71"/>
        <v>-0.63648564939087338</v>
      </c>
      <c r="O4592" t="s">
        <v>605</v>
      </c>
      <c r="R4592">
        <v>24</v>
      </c>
      <c r="S4592" t="e">
        <f>VLOOKUP(R4592,[1]!NOMINA[#Data],4,FALSE)</f>
        <v>#REF!</v>
      </c>
      <c r="T4592" t="e">
        <f>VLOOKUP(R4592,[1]!NOMINA[#Data],5,FALSE)</f>
        <v>#REF!</v>
      </c>
    </row>
    <row r="4593" spans="1:20" x14ac:dyDescent="0.25">
      <c r="A4593" s="22">
        <v>45807</v>
      </c>
      <c r="B4593" s="1" t="s">
        <v>3521</v>
      </c>
      <c r="C4593" t="s">
        <v>3522</v>
      </c>
      <c r="D4593" s="23">
        <v>-61.65</v>
      </c>
      <c r="E4593" t="s">
        <v>35</v>
      </c>
      <c r="F4593" s="2">
        <v>212901001</v>
      </c>
      <c r="G4593" s="2" t="s">
        <v>91</v>
      </c>
      <c r="I4593" s="95" t="s">
        <v>7231</v>
      </c>
      <c r="J4593" t="s">
        <v>61</v>
      </c>
      <c r="K4593" t="s">
        <v>62</v>
      </c>
      <c r="M4593">
        <v>96.86</v>
      </c>
      <c r="N4593" s="4">
        <f t="shared" si="71"/>
        <v>-0.63648564939087338</v>
      </c>
      <c r="O4593" t="s">
        <v>605</v>
      </c>
      <c r="R4593">
        <v>3</v>
      </c>
      <c r="S4593" t="e">
        <f>VLOOKUP(R4593,[1]!NOMINA[#Data],4,FALSE)</f>
        <v>#REF!</v>
      </c>
      <c r="T4593" t="e">
        <f>VLOOKUP(R4593,[1]!NOMINA[#Data],5,FALSE)</f>
        <v>#REF!</v>
      </c>
    </row>
    <row r="4594" spans="1:20" x14ac:dyDescent="0.25">
      <c r="A4594" s="22">
        <v>45807</v>
      </c>
      <c r="B4594" s="1" t="s">
        <v>3523</v>
      </c>
      <c r="C4594" t="s">
        <v>3524</v>
      </c>
      <c r="D4594" s="23">
        <v>-61.65</v>
      </c>
      <c r="E4594" t="s">
        <v>35</v>
      </c>
      <c r="F4594" s="2">
        <v>212901001</v>
      </c>
      <c r="G4594" s="2" t="s">
        <v>91</v>
      </c>
      <c r="I4594" s="95" t="s">
        <v>7231</v>
      </c>
      <c r="J4594" t="s">
        <v>61</v>
      </c>
      <c r="K4594" t="s">
        <v>62</v>
      </c>
      <c r="M4594">
        <v>96.86</v>
      </c>
      <c r="N4594" s="4">
        <f t="shared" si="71"/>
        <v>-0.63648564939087338</v>
      </c>
      <c r="O4594" t="s">
        <v>605</v>
      </c>
      <c r="R4594">
        <v>27</v>
      </c>
      <c r="S4594" t="e">
        <f>VLOOKUP(R4594,[1]!NOMINA[#Data],4,FALSE)</f>
        <v>#REF!</v>
      </c>
      <c r="T4594" t="e">
        <f>VLOOKUP(R4594,[1]!NOMINA[#Data],5,FALSE)</f>
        <v>#REF!</v>
      </c>
    </row>
    <row r="4595" spans="1:20" x14ac:dyDescent="0.25">
      <c r="A4595" s="22">
        <v>45807</v>
      </c>
      <c r="B4595" s="1" t="s">
        <v>3525</v>
      </c>
      <c r="C4595" t="s">
        <v>3526</v>
      </c>
      <c r="D4595" s="23">
        <v>-3809.6</v>
      </c>
      <c r="E4595" t="s">
        <v>35</v>
      </c>
      <c r="F4595" s="2">
        <v>212901001</v>
      </c>
      <c r="G4595" s="2" t="s">
        <v>91</v>
      </c>
      <c r="I4595" s="95" t="s">
        <v>7231</v>
      </c>
      <c r="J4595" t="s">
        <v>61</v>
      </c>
      <c r="K4595" t="s">
        <v>62</v>
      </c>
      <c r="M4595">
        <v>96.86</v>
      </c>
      <c r="N4595" s="4">
        <f t="shared" si="71"/>
        <v>-39.330993186041709</v>
      </c>
      <c r="O4595" t="s">
        <v>605</v>
      </c>
      <c r="R4595">
        <v>24</v>
      </c>
      <c r="S4595" t="e">
        <f>VLOOKUP(R4595,[1]!NOMINA[#Data],4,FALSE)</f>
        <v>#REF!</v>
      </c>
      <c r="T4595" t="e">
        <f>VLOOKUP(R4595,[1]!NOMINA[#Data],5,FALSE)</f>
        <v>#REF!</v>
      </c>
    </row>
    <row r="4596" spans="1:20" x14ac:dyDescent="0.25">
      <c r="A4596" s="22">
        <v>45807</v>
      </c>
      <c r="B4596" s="1" t="s">
        <v>3527</v>
      </c>
      <c r="C4596" t="s">
        <v>3528</v>
      </c>
      <c r="D4596" s="23">
        <v>-3809.6</v>
      </c>
      <c r="E4596" t="s">
        <v>35</v>
      </c>
      <c r="F4596" s="2">
        <v>212901001</v>
      </c>
      <c r="G4596" s="2" t="s">
        <v>91</v>
      </c>
      <c r="I4596" s="95" t="s">
        <v>7231</v>
      </c>
      <c r="J4596" t="s">
        <v>61</v>
      </c>
      <c r="K4596" t="s">
        <v>62</v>
      </c>
      <c r="M4596">
        <v>96.86</v>
      </c>
      <c r="N4596" s="4">
        <f t="shared" si="71"/>
        <v>-39.330993186041709</v>
      </c>
      <c r="O4596" t="s">
        <v>605</v>
      </c>
      <c r="R4596">
        <v>3</v>
      </c>
      <c r="S4596" t="e">
        <f>VLOOKUP(R4596,[1]!NOMINA[#Data],4,FALSE)</f>
        <v>#REF!</v>
      </c>
      <c r="T4596" t="e">
        <f>VLOOKUP(R4596,[1]!NOMINA[#Data],5,FALSE)</f>
        <v>#REF!</v>
      </c>
    </row>
    <row r="4597" spans="1:20" x14ac:dyDescent="0.25">
      <c r="A4597" s="22">
        <v>45807</v>
      </c>
      <c r="B4597" s="1" t="s">
        <v>3529</v>
      </c>
      <c r="C4597" t="s">
        <v>3530</v>
      </c>
      <c r="D4597" s="23">
        <v>-3809.6</v>
      </c>
      <c r="E4597" t="s">
        <v>35</v>
      </c>
      <c r="F4597" s="2">
        <v>212901001</v>
      </c>
      <c r="G4597" s="2" t="s">
        <v>91</v>
      </c>
      <c r="I4597" s="95" t="s">
        <v>7231</v>
      </c>
      <c r="J4597" t="s">
        <v>61</v>
      </c>
      <c r="K4597" t="s">
        <v>62</v>
      </c>
      <c r="M4597">
        <v>96.86</v>
      </c>
      <c r="N4597" s="4">
        <f t="shared" si="71"/>
        <v>-39.330993186041709</v>
      </c>
      <c r="O4597" t="s">
        <v>605</v>
      </c>
      <c r="R4597">
        <v>27</v>
      </c>
      <c r="S4597" t="e">
        <f>VLOOKUP(R4597,[1]!NOMINA[#Data],4,FALSE)</f>
        <v>#REF!</v>
      </c>
      <c r="T4597" t="e">
        <f>VLOOKUP(R4597,[1]!NOMINA[#Data],5,FALSE)</f>
        <v>#REF!</v>
      </c>
    </row>
    <row r="4598" spans="1:20" x14ac:dyDescent="0.25">
      <c r="A4598" s="22">
        <v>45807</v>
      </c>
      <c r="B4598" s="1" t="s">
        <v>613</v>
      </c>
      <c r="C4598" t="s">
        <v>3531</v>
      </c>
      <c r="D4598" s="23">
        <v>-7117.29</v>
      </c>
      <c r="E4598" t="s">
        <v>35</v>
      </c>
      <c r="F4598" s="2">
        <v>212901001</v>
      </c>
      <c r="G4598" s="2" t="s">
        <v>91</v>
      </c>
      <c r="I4598" s="95" t="s">
        <v>7231</v>
      </c>
      <c r="J4598" t="s">
        <v>61</v>
      </c>
      <c r="K4598" t="s">
        <v>62</v>
      </c>
      <c r="M4598">
        <v>96.86</v>
      </c>
      <c r="N4598" s="4">
        <f t="shared" si="71"/>
        <v>-73.48017757588272</v>
      </c>
      <c r="O4598" t="s">
        <v>605</v>
      </c>
      <c r="R4598">
        <v>17</v>
      </c>
      <c r="S4598" t="e">
        <f>VLOOKUP(R4598,[1]!NOMINA[#Data],4,FALSE)</f>
        <v>#REF!</v>
      </c>
      <c r="T4598" t="e">
        <f>VLOOKUP(R4598,[1]!NOMINA[#Data],5,FALSE)</f>
        <v>#REF!</v>
      </c>
    </row>
    <row r="4599" spans="1:20" x14ac:dyDescent="0.25">
      <c r="A4599" s="22">
        <v>45807</v>
      </c>
      <c r="B4599" s="1" t="s">
        <v>1898</v>
      </c>
      <c r="C4599" t="s">
        <v>3532</v>
      </c>
      <c r="D4599" s="23">
        <v>-7078.24</v>
      </c>
      <c r="E4599" t="s">
        <v>35</v>
      </c>
      <c r="F4599" s="2">
        <v>212901001</v>
      </c>
      <c r="G4599" s="2" t="s">
        <v>91</v>
      </c>
      <c r="I4599" s="95" t="s">
        <v>7231</v>
      </c>
      <c r="J4599" t="s">
        <v>61</v>
      </c>
      <c r="K4599" t="s">
        <v>62</v>
      </c>
      <c r="M4599">
        <v>96.86</v>
      </c>
      <c r="N4599" s="4">
        <f t="shared" si="71"/>
        <v>-73.077018377039025</v>
      </c>
      <c r="O4599" t="s">
        <v>605</v>
      </c>
      <c r="R4599">
        <v>13</v>
      </c>
      <c r="S4599" t="e">
        <f>VLOOKUP(R4599,[1]!NOMINA[#Data],4,FALSE)</f>
        <v>#REF!</v>
      </c>
      <c r="T4599" t="e">
        <f>VLOOKUP(R4599,[1]!NOMINA[#Data],5,FALSE)</f>
        <v>#REF!</v>
      </c>
    </row>
    <row r="4600" spans="1:20" x14ac:dyDescent="0.25">
      <c r="A4600" s="22">
        <v>45807</v>
      </c>
      <c r="B4600" s="1" t="s">
        <v>1888</v>
      </c>
      <c r="C4600" t="s">
        <v>3533</v>
      </c>
      <c r="D4600" s="23">
        <v>-11808.81</v>
      </c>
      <c r="E4600" t="s">
        <v>35</v>
      </c>
      <c r="F4600" s="2">
        <v>212901001</v>
      </c>
      <c r="G4600" s="2" t="s">
        <v>91</v>
      </c>
      <c r="I4600" s="95" t="s">
        <v>7231</v>
      </c>
      <c r="J4600" t="s">
        <v>61</v>
      </c>
      <c r="K4600" t="s">
        <v>62</v>
      </c>
      <c r="M4600">
        <v>96.86</v>
      </c>
      <c r="N4600" s="4">
        <f t="shared" si="71"/>
        <v>-121.91627090646293</v>
      </c>
      <c r="O4600" t="s">
        <v>605</v>
      </c>
      <c r="R4600">
        <v>4</v>
      </c>
      <c r="S4600" t="e">
        <f>VLOOKUP(R4600,[1]!NOMINA[#Data],4,FALSE)</f>
        <v>#REF!</v>
      </c>
      <c r="T4600" t="e">
        <f>VLOOKUP(R4600,[1]!NOMINA[#Data],5,FALSE)</f>
        <v>#REF!</v>
      </c>
    </row>
    <row r="4601" spans="1:20" x14ac:dyDescent="0.25">
      <c r="A4601" s="22">
        <v>45807</v>
      </c>
      <c r="B4601" s="1" t="s">
        <v>1994</v>
      </c>
      <c r="C4601" t="s">
        <v>3534</v>
      </c>
      <c r="D4601" s="23">
        <v>-4712.4799999999996</v>
      </c>
      <c r="E4601" t="s">
        <v>35</v>
      </c>
      <c r="F4601" s="2">
        <v>212901001</v>
      </c>
      <c r="G4601" s="2" t="s">
        <v>91</v>
      </c>
      <c r="I4601" s="95" t="s">
        <v>7231</v>
      </c>
      <c r="J4601" t="s">
        <v>61</v>
      </c>
      <c r="K4601" t="s">
        <v>62</v>
      </c>
      <c r="M4601">
        <v>96.86</v>
      </c>
      <c r="N4601" s="4">
        <f t="shared" si="71"/>
        <v>-48.652488127193884</v>
      </c>
      <c r="O4601" t="s">
        <v>605</v>
      </c>
      <c r="R4601">
        <v>22</v>
      </c>
      <c r="S4601" t="e">
        <f>VLOOKUP(R4601,[1]!NOMINA[#Data],4,FALSE)</f>
        <v>#REF!</v>
      </c>
      <c r="T4601" t="e">
        <f>VLOOKUP(R4601,[1]!NOMINA[#Data],5,FALSE)</f>
        <v>#REF!</v>
      </c>
    </row>
    <row r="4602" spans="1:20" x14ac:dyDescent="0.25">
      <c r="A4602" s="22">
        <v>45807</v>
      </c>
      <c r="B4602" s="1" t="s">
        <v>1936</v>
      </c>
      <c r="C4602" t="s">
        <v>3535</v>
      </c>
      <c r="D4602" s="23">
        <v>-5349.63</v>
      </c>
      <c r="E4602" t="s">
        <v>35</v>
      </c>
      <c r="F4602" s="2">
        <v>212901001</v>
      </c>
      <c r="G4602" s="2" t="s">
        <v>91</v>
      </c>
      <c r="I4602" s="95" t="s">
        <v>7231</v>
      </c>
      <c r="J4602" t="s">
        <v>61</v>
      </c>
      <c r="K4602" t="s">
        <v>62</v>
      </c>
      <c r="M4602">
        <v>96.86</v>
      </c>
      <c r="N4602" s="4">
        <f t="shared" si="71"/>
        <v>-55.230538922155688</v>
      </c>
      <c r="O4602" t="s">
        <v>605</v>
      </c>
      <c r="R4602">
        <v>21</v>
      </c>
      <c r="S4602" t="e">
        <f>VLOOKUP(R4602,[1]!NOMINA[#Data],4,FALSE)</f>
        <v>#REF!</v>
      </c>
      <c r="T4602" t="e">
        <f>VLOOKUP(R4602,[1]!NOMINA[#Data],5,FALSE)</f>
        <v>#REF!</v>
      </c>
    </row>
    <row r="4603" spans="1:20" x14ac:dyDescent="0.25">
      <c r="A4603" s="22">
        <v>45807</v>
      </c>
      <c r="B4603" s="1" t="s">
        <v>1959</v>
      </c>
      <c r="C4603" t="s">
        <v>3536</v>
      </c>
      <c r="D4603" s="23">
        <v>-3729.6</v>
      </c>
      <c r="E4603" t="s">
        <v>35</v>
      </c>
      <c r="F4603" s="2">
        <v>212901001</v>
      </c>
      <c r="G4603" s="2" t="s">
        <v>91</v>
      </c>
      <c r="I4603" s="95" t="s">
        <v>7231</v>
      </c>
      <c r="J4603" t="s">
        <v>61</v>
      </c>
      <c r="K4603" t="s">
        <v>62</v>
      </c>
      <c r="M4603">
        <v>96.86</v>
      </c>
      <c r="N4603" s="4">
        <f t="shared" si="71"/>
        <v>-38.505058847821594</v>
      </c>
      <c r="O4603" t="s">
        <v>605</v>
      </c>
      <c r="R4603">
        <v>7</v>
      </c>
      <c r="S4603" t="e">
        <f>VLOOKUP(R4603,[1]!NOMINA[#Data],4,FALSE)</f>
        <v>#REF!</v>
      </c>
      <c r="T4603" t="e">
        <f>VLOOKUP(R4603,[1]!NOMINA[#Data],5,FALSE)</f>
        <v>#REF!</v>
      </c>
    </row>
    <row r="4604" spans="1:20" x14ac:dyDescent="0.25">
      <c r="A4604" s="22">
        <v>45807</v>
      </c>
      <c r="B4604" s="1" t="s">
        <v>617</v>
      </c>
      <c r="C4604" t="s">
        <v>3537</v>
      </c>
      <c r="D4604" s="23">
        <v>-3759.12</v>
      </c>
      <c r="E4604" t="s">
        <v>35</v>
      </c>
      <c r="F4604" s="2">
        <v>212901001</v>
      </c>
      <c r="G4604" s="2" t="s">
        <v>91</v>
      </c>
      <c r="I4604" s="95" t="s">
        <v>7231</v>
      </c>
      <c r="J4604" t="s">
        <v>61</v>
      </c>
      <c r="K4604" t="s">
        <v>62</v>
      </c>
      <c r="M4604">
        <v>96.86</v>
      </c>
      <c r="N4604" s="4">
        <f t="shared" si="71"/>
        <v>-38.80982861862482</v>
      </c>
      <c r="O4604" t="s">
        <v>605</v>
      </c>
      <c r="R4604">
        <v>28</v>
      </c>
      <c r="S4604" t="e">
        <f>VLOOKUP(R4604,[1]!NOMINA[#Data],4,FALSE)</f>
        <v>#REF!</v>
      </c>
      <c r="T4604" t="e">
        <f>VLOOKUP(R4604,[1]!NOMINA[#Data],5,FALSE)</f>
        <v>#REF!</v>
      </c>
    </row>
    <row r="4605" spans="1:20" x14ac:dyDescent="0.25">
      <c r="A4605" s="22">
        <v>45807</v>
      </c>
      <c r="B4605" s="1" t="s">
        <v>2043</v>
      </c>
      <c r="C4605" t="s">
        <v>3538</v>
      </c>
      <c r="D4605" s="23">
        <v>-952.4</v>
      </c>
      <c r="E4605" t="s">
        <v>35</v>
      </c>
      <c r="F4605" s="2">
        <v>212901001</v>
      </c>
      <c r="G4605" s="2" t="s">
        <v>91</v>
      </c>
      <c r="I4605" s="95" t="s">
        <v>7231</v>
      </c>
      <c r="J4605" t="s">
        <v>61</v>
      </c>
      <c r="K4605" t="s">
        <v>62</v>
      </c>
      <c r="M4605">
        <v>96.86</v>
      </c>
      <c r="N4605" s="4">
        <f t="shared" si="71"/>
        <v>-9.8327482965104274</v>
      </c>
      <c r="O4605" t="s">
        <v>605</v>
      </c>
      <c r="R4605">
        <v>40</v>
      </c>
      <c r="S4605" t="e">
        <f>VLOOKUP(R4605,[1]!NOMINA[#Data],4,FALSE)</f>
        <v>#REF!</v>
      </c>
      <c r="T4605" t="e">
        <f>VLOOKUP(R4605,[1]!NOMINA[#Data],5,FALSE)</f>
        <v>#REF!</v>
      </c>
    </row>
    <row r="4606" spans="1:20" x14ac:dyDescent="0.25">
      <c r="A4606" s="22">
        <v>45807</v>
      </c>
      <c r="B4606" s="1" t="s">
        <v>2032</v>
      </c>
      <c r="C4606" t="s">
        <v>3539</v>
      </c>
      <c r="D4606" s="23">
        <v>-5714.4</v>
      </c>
      <c r="E4606" t="s">
        <v>35</v>
      </c>
      <c r="F4606" s="2">
        <v>212901001</v>
      </c>
      <c r="G4606" s="2" t="s">
        <v>91</v>
      </c>
      <c r="I4606" s="95" t="s">
        <v>7231</v>
      </c>
      <c r="J4606" t="s">
        <v>61</v>
      </c>
      <c r="K4606" t="s">
        <v>62</v>
      </c>
      <c r="M4606">
        <v>96.86</v>
      </c>
      <c r="N4606" s="4">
        <f t="shared" si="71"/>
        <v>-58.996489779062564</v>
      </c>
      <c r="O4606" t="s">
        <v>605</v>
      </c>
      <c r="R4606">
        <v>3</v>
      </c>
      <c r="S4606" t="e">
        <f>VLOOKUP(R4606,[1]!NOMINA[#Data],4,FALSE)</f>
        <v>#REF!</v>
      </c>
      <c r="T4606" t="e">
        <f>VLOOKUP(R4606,[1]!NOMINA[#Data],5,FALSE)</f>
        <v>#REF!</v>
      </c>
    </row>
    <row r="4607" spans="1:20" x14ac:dyDescent="0.25">
      <c r="A4607" s="22">
        <v>45807</v>
      </c>
      <c r="B4607" s="1" t="s">
        <v>2012</v>
      </c>
      <c r="C4607" t="s">
        <v>3540</v>
      </c>
      <c r="D4607" s="23">
        <v>-952.4</v>
      </c>
      <c r="E4607" t="s">
        <v>35</v>
      </c>
      <c r="F4607" s="2">
        <v>212901001</v>
      </c>
      <c r="G4607" s="2" t="s">
        <v>91</v>
      </c>
      <c r="I4607" s="95" t="s">
        <v>7231</v>
      </c>
      <c r="J4607" t="s">
        <v>61</v>
      </c>
      <c r="K4607" t="s">
        <v>62</v>
      </c>
      <c r="M4607">
        <v>96.86</v>
      </c>
      <c r="N4607" s="4">
        <f t="shared" si="71"/>
        <v>-9.8327482965104274</v>
      </c>
      <c r="O4607" t="s">
        <v>605</v>
      </c>
      <c r="R4607">
        <v>11</v>
      </c>
      <c r="S4607" t="e">
        <f>VLOOKUP(R4607,[1]!NOMINA[#Data],4,FALSE)</f>
        <v>#REF!</v>
      </c>
      <c r="T4607" t="e">
        <f>VLOOKUP(R4607,[1]!NOMINA[#Data],5,FALSE)</f>
        <v>#REF!</v>
      </c>
    </row>
    <row r="4608" spans="1:20" x14ac:dyDescent="0.25">
      <c r="A4608" s="22">
        <v>45807</v>
      </c>
      <c r="B4608" s="1" t="s">
        <v>1975</v>
      </c>
      <c r="C4608" t="s">
        <v>3541</v>
      </c>
      <c r="D4608" s="23">
        <v>-952.4</v>
      </c>
      <c r="E4608" t="s">
        <v>35</v>
      </c>
      <c r="F4608" s="2">
        <v>212901001</v>
      </c>
      <c r="G4608" s="2" t="s">
        <v>91</v>
      </c>
      <c r="I4608" s="95" t="s">
        <v>7231</v>
      </c>
      <c r="J4608" t="s">
        <v>61</v>
      </c>
      <c r="K4608" t="s">
        <v>62</v>
      </c>
      <c r="M4608">
        <v>96.86</v>
      </c>
      <c r="N4608" s="4">
        <f t="shared" si="71"/>
        <v>-9.8327482965104274</v>
      </c>
      <c r="O4608" t="s">
        <v>605</v>
      </c>
      <c r="R4608">
        <v>29</v>
      </c>
      <c r="S4608" t="e">
        <f>VLOOKUP(R4608,[1]!NOMINA[#Data],4,FALSE)</f>
        <v>#REF!</v>
      </c>
      <c r="T4608" t="e">
        <f>VLOOKUP(R4608,[1]!NOMINA[#Data],5,FALSE)</f>
        <v>#REF!</v>
      </c>
    </row>
    <row r="4609" spans="1:20" x14ac:dyDescent="0.25">
      <c r="A4609" s="22">
        <v>45807</v>
      </c>
      <c r="B4609" s="1" t="s">
        <v>613</v>
      </c>
      <c r="C4609" t="s">
        <v>3542</v>
      </c>
      <c r="D4609" s="23">
        <v>-998.12</v>
      </c>
      <c r="E4609" t="s">
        <v>35</v>
      </c>
      <c r="F4609" s="2">
        <v>212901001</v>
      </c>
      <c r="G4609" s="2" t="s">
        <v>91</v>
      </c>
      <c r="I4609" s="95" t="s">
        <v>7231</v>
      </c>
      <c r="J4609" t="s">
        <v>61</v>
      </c>
      <c r="K4609" t="s">
        <v>62</v>
      </c>
      <c r="M4609">
        <v>96.86</v>
      </c>
      <c r="N4609" s="4">
        <f t="shared" si="71"/>
        <v>-10.304769770803221</v>
      </c>
      <c r="O4609" t="s">
        <v>605</v>
      </c>
      <c r="R4609">
        <v>38</v>
      </c>
      <c r="S4609" t="e">
        <f>VLOOKUP(R4609,[1]!NOMINA[#Data],4,FALSE)</f>
        <v>#REF!</v>
      </c>
      <c r="T4609" t="e">
        <f>VLOOKUP(R4609,[1]!NOMINA[#Data],5,FALSE)</f>
        <v>#REF!</v>
      </c>
    </row>
    <row r="4610" spans="1:20" x14ac:dyDescent="0.25">
      <c r="A4610" s="22">
        <v>45807</v>
      </c>
      <c r="B4610" s="1" t="s">
        <v>613</v>
      </c>
      <c r="C4610" t="s">
        <v>3543</v>
      </c>
      <c r="D4610" s="23">
        <v>-7117.29</v>
      </c>
      <c r="E4610" t="s">
        <v>35</v>
      </c>
      <c r="F4610" s="2">
        <v>212901001</v>
      </c>
      <c r="G4610" s="2" t="s">
        <v>91</v>
      </c>
      <c r="I4610" s="95" t="s">
        <v>7231</v>
      </c>
      <c r="J4610" t="s">
        <v>61</v>
      </c>
      <c r="K4610" t="s">
        <v>62</v>
      </c>
      <c r="M4610">
        <v>96.86</v>
      </c>
      <c r="N4610" s="4">
        <f t="shared" si="71"/>
        <v>-73.48017757588272</v>
      </c>
      <c r="O4610" t="s">
        <v>605</v>
      </c>
      <c r="R4610">
        <v>14</v>
      </c>
      <c r="S4610" t="e">
        <f>VLOOKUP(R4610,[1]!NOMINA[#Data],4,FALSE)</f>
        <v>#REF!</v>
      </c>
      <c r="T4610" t="e">
        <f>VLOOKUP(R4610,[1]!NOMINA[#Data],5,FALSE)</f>
        <v>#REF!</v>
      </c>
    </row>
    <row r="4611" spans="1:20" x14ac:dyDescent="0.25">
      <c r="A4611" s="22">
        <v>45807</v>
      </c>
      <c r="B4611" s="1" t="s">
        <v>1969</v>
      </c>
      <c r="C4611" t="s">
        <v>3544</v>
      </c>
      <c r="D4611" s="23">
        <v>-7117.29</v>
      </c>
      <c r="E4611" t="s">
        <v>35</v>
      </c>
      <c r="F4611" s="2">
        <v>212901001</v>
      </c>
      <c r="G4611" s="2" t="s">
        <v>91</v>
      </c>
      <c r="I4611" s="95" t="s">
        <v>7231</v>
      </c>
      <c r="J4611" t="s">
        <v>61</v>
      </c>
      <c r="K4611" t="s">
        <v>62</v>
      </c>
      <c r="M4611">
        <v>96.86</v>
      </c>
      <c r="N4611" s="4">
        <f t="shared" si="71"/>
        <v>-73.48017757588272</v>
      </c>
      <c r="O4611" t="s">
        <v>605</v>
      </c>
      <c r="R4611">
        <v>16</v>
      </c>
      <c r="S4611" t="e">
        <f>VLOOKUP(Tabla3[[#This Row],[Nº]],[1]!NOMINA[#Data],4,FALSE)</f>
        <v>#REF!</v>
      </c>
      <c r="T4611" t="e">
        <f>VLOOKUP(Tabla3[[#This Row],[Nº]],[1]!NOMINA[#Data],5,FALSE)</f>
        <v>#REF!</v>
      </c>
    </row>
    <row r="4612" spans="1:20" x14ac:dyDescent="0.25">
      <c r="A4612" s="22">
        <v>45807</v>
      </c>
      <c r="B4612" s="1" t="s">
        <v>1900</v>
      </c>
      <c r="C4612" t="s">
        <v>3545</v>
      </c>
      <c r="D4612" s="23">
        <v>-18030.84</v>
      </c>
      <c r="E4612" t="s">
        <v>35</v>
      </c>
      <c r="F4612" s="2">
        <v>212901001</v>
      </c>
      <c r="G4612" s="2" t="s">
        <v>91</v>
      </c>
      <c r="I4612" s="95" t="s">
        <v>7231</v>
      </c>
      <c r="J4612" t="s">
        <v>61</v>
      </c>
      <c r="K4612" t="s">
        <v>62</v>
      </c>
      <c r="M4612">
        <v>96.86</v>
      </c>
      <c r="N4612" s="4">
        <f t="shared" si="71"/>
        <v>-186.15362378690895</v>
      </c>
      <c r="O4612" t="s">
        <v>605</v>
      </c>
      <c r="R4612">
        <v>43</v>
      </c>
      <c r="S4612" t="e">
        <f>VLOOKUP(R4612,[1]!NOMINA[#Data],4,FALSE)</f>
        <v>#REF!</v>
      </c>
      <c r="T4612" t="e">
        <f>VLOOKUP(R4612,[1]!NOMINA[#Data],5,FALSE)</f>
        <v>#REF!</v>
      </c>
    </row>
    <row r="4613" spans="1:20" x14ac:dyDescent="0.25">
      <c r="A4613" s="22">
        <v>45807</v>
      </c>
      <c r="B4613" s="1" t="s">
        <v>2028</v>
      </c>
      <c r="C4613" t="s">
        <v>3546</v>
      </c>
      <c r="D4613" s="23">
        <v>-7104.9</v>
      </c>
      <c r="E4613" t="s">
        <v>35</v>
      </c>
      <c r="F4613" s="2">
        <v>212901001</v>
      </c>
      <c r="G4613" s="2" t="s">
        <v>91</v>
      </c>
      <c r="I4613" s="95" t="s">
        <v>7231</v>
      </c>
      <c r="J4613" t="s">
        <v>61</v>
      </c>
      <c r="K4613" t="s">
        <v>62</v>
      </c>
      <c r="M4613">
        <v>96.86</v>
      </c>
      <c r="N4613" s="4">
        <f t="shared" si="71"/>
        <v>-73.352260995250873</v>
      </c>
      <c r="O4613" t="s">
        <v>605</v>
      </c>
      <c r="R4613">
        <v>39</v>
      </c>
      <c r="S4613" t="e">
        <f>VLOOKUP(R4613,[1]!NOMINA[#Data],4,FALSE)</f>
        <v>#REF!</v>
      </c>
      <c r="T4613" t="e">
        <f>VLOOKUP(R4613,[1]!NOMINA[#Data],5,FALSE)</f>
        <v>#REF!</v>
      </c>
    </row>
    <row r="4614" spans="1:20" x14ac:dyDescent="0.25">
      <c r="A4614" s="22">
        <v>45807</v>
      </c>
      <c r="B4614" s="1" t="s">
        <v>1953</v>
      </c>
      <c r="C4614" t="s">
        <v>3547</v>
      </c>
      <c r="D4614" s="23">
        <v>-47555.24</v>
      </c>
      <c r="E4614" t="s">
        <v>35</v>
      </c>
      <c r="F4614" s="2">
        <v>212901001</v>
      </c>
      <c r="G4614" s="2" t="s">
        <v>91</v>
      </c>
      <c r="I4614" s="95" t="s">
        <v>7231</v>
      </c>
      <c r="J4614" t="s">
        <v>61</v>
      </c>
      <c r="K4614" t="s">
        <v>62</v>
      </c>
      <c r="M4614">
        <v>96.86</v>
      </c>
      <c r="N4614" s="4">
        <f t="shared" si="71"/>
        <v>-490.9688209787322</v>
      </c>
      <c r="O4614" t="s">
        <v>605</v>
      </c>
      <c r="R4614">
        <v>2</v>
      </c>
      <c r="S4614" t="e">
        <f>VLOOKUP(Tabla3[[#This Row],[Nº]],[1]!NOMINA[#Data],4,FALSE)</f>
        <v>#REF!</v>
      </c>
      <c r="T4614" t="e">
        <f>VLOOKUP(Tabla3[[#This Row],[Nº]],[1]!NOMINA[#Data],5,FALSE)</f>
        <v>#REF!</v>
      </c>
    </row>
    <row r="4615" spans="1:20" x14ac:dyDescent="0.25">
      <c r="A4615" s="22">
        <v>45807</v>
      </c>
      <c r="B4615" s="1" t="s">
        <v>2030</v>
      </c>
      <c r="C4615" t="s">
        <v>3548</v>
      </c>
      <c r="D4615" s="23">
        <v>-3809.6</v>
      </c>
      <c r="E4615" t="s">
        <v>35</v>
      </c>
      <c r="F4615" s="2">
        <v>212901001</v>
      </c>
      <c r="G4615" s="2" t="s">
        <v>91</v>
      </c>
      <c r="I4615" s="95" t="s">
        <v>7231</v>
      </c>
      <c r="J4615" t="s">
        <v>61</v>
      </c>
      <c r="K4615" t="s">
        <v>62</v>
      </c>
      <c r="M4615">
        <v>96.86</v>
      </c>
      <c r="N4615" s="4">
        <f t="shared" si="71"/>
        <v>-39.330993186041709</v>
      </c>
      <c r="O4615" t="s">
        <v>605</v>
      </c>
      <c r="R4615">
        <v>19</v>
      </c>
      <c r="S4615" t="e">
        <f>VLOOKUP(R4615,[1]!NOMINA[#Data],4,FALSE)</f>
        <v>#REF!</v>
      </c>
      <c r="T4615" t="e">
        <f>VLOOKUP(R4615,[1]!NOMINA[#Data],5,FALSE)</f>
        <v>#REF!</v>
      </c>
    </row>
    <row r="4616" spans="1:20" x14ac:dyDescent="0.25">
      <c r="A4616" s="22">
        <v>45807</v>
      </c>
      <c r="B4616" s="1" t="s">
        <v>1987</v>
      </c>
      <c r="C4616" t="s">
        <v>3549</v>
      </c>
      <c r="D4616" s="23">
        <v>-3809.6</v>
      </c>
      <c r="E4616" t="s">
        <v>35</v>
      </c>
      <c r="F4616" s="2">
        <v>212901001</v>
      </c>
      <c r="G4616" s="2" t="s">
        <v>91</v>
      </c>
      <c r="I4616" s="95" t="s">
        <v>7231</v>
      </c>
      <c r="J4616" t="s">
        <v>61</v>
      </c>
      <c r="K4616" t="s">
        <v>62</v>
      </c>
      <c r="M4616">
        <v>96.86</v>
      </c>
      <c r="N4616" s="4">
        <f t="shared" si="71"/>
        <v>-39.330993186041709</v>
      </c>
      <c r="O4616" t="s">
        <v>605</v>
      </c>
      <c r="R4616">
        <v>5</v>
      </c>
      <c r="S4616" t="e">
        <f>VLOOKUP(R4616,[1]!NOMINA[#Data],4,FALSE)</f>
        <v>#REF!</v>
      </c>
      <c r="T4616" t="e">
        <f>VLOOKUP(R4616,[1]!NOMINA[#Data],5,FALSE)</f>
        <v>#REF!</v>
      </c>
    </row>
    <row r="4617" spans="1:20" x14ac:dyDescent="0.25">
      <c r="A4617" s="22">
        <v>45807</v>
      </c>
      <c r="B4617" s="1" t="s">
        <v>1973</v>
      </c>
      <c r="C4617" t="s">
        <v>3550</v>
      </c>
      <c r="D4617" s="23">
        <v>-952.4</v>
      </c>
      <c r="E4617" t="s">
        <v>35</v>
      </c>
      <c r="F4617" s="2">
        <v>212901001</v>
      </c>
      <c r="G4617" s="2" t="s">
        <v>91</v>
      </c>
      <c r="I4617" s="95" t="s">
        <v>7231</v>
      </c>
      <c r="J4617" t="s">
        <v>61</v>
      </c>
      <c r="K4617" t="s">
        <v>62</v>
      </c>
      <c r="M4617">
        <v>96.86</v>
      </c>
      <c r="N4617" s="4">
        <f t="shared" si="71"/>
        <v>-9.8327482965104274</v>
      </c>
      <c r="O4617" t="s">
        <v>605</v>
      </c>
      <c r="R4617">
        <v>10</v>
      </c>
      <c r="S4617" t="e">
        <f>VLOOKUP(R4617,[1]!NOMINA[#Data],4,FALSE)</f>
        <v>#REF!</v>
      </c>
      <c r="T4617" t="e">
        <f>VLOOKUP(R4617,[1]!NOMINA[#Data],5,FALSE)</f>
        <v>#REF!</v>
      </c>
    </row>
    <row r="4618" spans="1:20" x14ac:dyDescent="0.25">
      <c r="A4618" s="22">
        <v>45807</v>
      </c>
      <c r="B4618" s="1" t="s">
        <v>2047</v>
      </c>
      <c r="C4618" t="s">
        <v>3551</v>
      </c>
      <c r="D4618" s="23">
        <v>-952.4</v>
      </c>
      <c r="E4618" t="s">
        <v>35</v>
      </c>
      <c r="F4618" s="2">
        <v>212901001</v>
      </c>
      <c r="G4618" s="2" t="s">
        <v>91</v>
      </c>
      <c r="I4618" s="95" t="s">
        <v>7231</v>
      </c>
      <c r="J4618" t="s">
        <v>61</v>
      </c>
      <c r="K4618" t="s">
        <v>62</v>
      </c>
      <c r="M4618">
        <v>96.86</v>
      </c>
      <c r="N4618" s="4">
        <f t="shared" si="71"/>
        <v>-9.8327482965104274</v>
      </c>
      <c r="O4618" t="s">
        <v>605</v>
      </c>
      <c r="R4618">
        <v>38</v>
      </c>
      <c r="S4618" t="e">
        <f>VLOOKUP(R4618,[1]!NOMINA[#Data],4,FALSE)</f>
        <v>#REF!</v>
      </c>
      <c r="T4618" t="e">
        <f>VLOOKUP(R4618,[1]!NOMINA[#Data],5,FALSE)</f>
        <v>#REF!</v>
      </c>
    </row>
    <row r="4619" spans="1:20" x14ac:dyDescent="0.25">
      <c r="A4619" s="22">
        <v>45807</v>
      </c>
      <c r="B4619" s="1" t="s">
        <v>2003</v>
      </c>
      <c r="C4619" t="s">
        <v>3552</v>
      </c>
      <c r="D4619" s="23">
        <v>-952.4</v>
      </c>
      <c r="E4619" t="s">
        <v>35</v>
      </c>
      <c r="F4619" s="2">
        <v>212901001</v>
      </c>
      <c r="G4619" s="2" t="s">
        <v>91</v>
      </c>
      <c r="I4619" s="95" t="s">
        <v>7231</v>
      </c>
      <c r="J4619" t="s">
        <v>61</v>
      </c>
      <c r="K4619" t="s">
        <v>62</v>
      </c>
      <c r="M4619">
        <v>96.86</v>
      </c>
      <c r="N4619" s="4">
        <f t="shared" si="71"/>
        <v>-9.8327482965104274</v>
      </c>
      <c r="O4619" t="s">
        <v>605</v>
      </c>
      <c r="R4619">
        <v>9</v>
      </c>
      <c r="S4619" t="e">
        <f>VLOOKUP(R4619,[1]!NOMINA[#Data],4,FALSE)</f>
        <v>#REF!</v>
      </c>
      <c r="T4619" t="e">
        <f>VLOOKUP(R4619,[1]!NOMINA[#Data],5,FALSE)</f>
        <v>#REF!</v>
      </c>
    </row>
    <row r="4620" spans="1:20" x14ac:dyDescent="0.25">
      <c r="A4620" s="22">
        <v>45807</v>
      </c>
      <c r="B4620" s="1" t="s">
        <v>1991</v>
      </c>
      <c r="C4620" t="s">
        <v>3553</v>
      </c>
      <c r="D4620" s="23">
        <v>-952.4</v>
      </c>
      <c r="E4620" t="s">
        <v>35</v>
      </c>
      <c r="F4620" s="2">
        <v>212901001</v>
      </c>
      <c r="G4620" s="2" t="s">
        <v>91</v>
      </c>
      <c r="I4620" s="95" t="s">
        <v>7231</v>
      </c>
      <c r="J4620" t="s">
        <v>61</v>
      </c>
      <c r="K4620" t="s">
        <v>62</v>
      </c>
      <c r="M4620">
        <v>96.86</v>
      </c>
      <c r="N4620" s="4">
        <f t="shared" ref="N4620:N4683" si="72">D4620/M4620</f>
        <v>-9.8327482965104274</v>
      </c>
      <c r="O4620" t="s">
        <v>605</v>
      </c>
      <c r="R4620">
        <v>18</v>
      </c>
      <c r="S4620" t="e">
        <f>VLOOKUP(Tabla3[[#This Row],[Nº]],[1]!NOMINA[#Data],4,FALSE)</f>
        <v>#REF!</v>
      </c>
      <c r="T4620" t="e">
        <f>VLOOKUP(Tabla3[[#This Row],[Nº]],[1]!NOMINA[#Data],5,FALSE)</f>
        <v>#REF!</v>
      </c>
    </row>
    <row r="4621" spans="1:20" x14ac:dyDescent="0.25">
      <c r="A4621" s="22">
        <v>45807</v>
      </c>
      <c r="B4621" s="1" t="s">
        <v>2053</v>
      </c>
      <c r="C4621" t="s">
        <v>3542</v>
      </c>
      <c r="D4621" s="23">
        <v>-10.17</v>
      </c>
      <c r="E4621" t="s">
        <v>35</v>
      </c>
      <c r="F4621" s="2">
        <v>212901001</v>
      </c>
      <c r="G4621" s="2" t="s">
        <v>91</v>
      </c>
      <c r="I4621" s="95" t="s">
        <v>7231</v>
      </c>
      <c r="J4621" t="s">
        <v>61</v>
      </c>
      <c r="K4621" t="s">
        <v>62</v>
      </c>
      <c r="M4621">
        <v>96.86</v>
      </c>
      <c r="N4621" s="4">
        <f t="shared" si="72"/>
        <v>-0.10499690274623168</v>
      </c>
      <c r="O4621" t="s">
        <v>605</v>
      </c>
      <c r="R4621">
        <v>38</v>
      </c>
      <c r="S4621" t="e">
        <f>VLOOKUP(R4621,[1]!NOMINA[#Data],4,FALSE)</f>
        <v>#REF!</v>
      </c>
      <c r="T4621" t="e">
        <f>VLOOKUP(R4621,[1]!NOMINA[#Data],5,FALSE)</f>
        <v>#REF!</v>
      </c>
    </row>
    <row r="4622" spans="1:20" x14ac:dyDescent="0.25">
      <c r="A4622" s="22">
        <v>45807</v>
      </c>
      <c r="B4622" s="1" t="s">
        <v>3554</v>
      </c>
      <c r="C4622" t="s">
        <v>3555</v>
      </c>
      <c r="D4622" s="23">
        <v>-61.65</v>
      </c>
      <c r="E4622" t="s">
        <v>35</v>
      </c>
      <c r="F4622" s="2">
        <v>212901001</v>
      </c>
      <c r="G4622" s="2" t="s">
        <v>91</v>
      </c>
      <c r="I4622" s="95" t="s">
        <v>7231</v>
      </c>
      <c r="J4622" t="s">
        <v>61</v>
      </c>
      <c r="K4622" t="s">
        <v>62</v>
      </c>
      <c r="M4622">
        <v>96.86</v>
      </c>
      <c r="N4622" s="4">
        <f t="shared" si="72"/>
        <v>-0.63648564939087338</v>
      </c>
      <c r="O4622" t="s">
        <v>605</v>
      </c>
      <c r="R4622">
        <v>19</v>
      </c>
      <c r="S4622" t="e">
        <f>VLOOKUP(R4622,[1]!NOMINA[#Data],4,FALSE)</f>
        <v>#REF!</v>
      </c>
      <c r="T4622" t="e">
        <f>VLOOKUP(R4622,[1]!NOMINA[#Data],5,FALSE)</f>
        <v>#REF!</v>
      </c>
    </row>
    <row r="4623" spans="1:20" x14ac:dyDescent="0.25">
      <c r="A4623" s="22">
        <v>45807</v>
      </c>
      <c r="B4623" s="1" t="s">
        <v>3556</v>
      </c>
      <c r="C4623" t="s">
        <v>3557</v>
      </c>
      <c r="D4623" s="23">
        <v>-61.65</v>
      </c>
      <c r="E4623" t="s">
        <v>35</v>
      </c>
      <c r="F4623" s="2">
        <v>212901001</v>
      </c>
      <c r="G4623" s="2" t="s">
        <v>91</v>
      </c>
      <c r="I4623" s="95" t="s">
        <v>7231</v>
      </c>
      <c r="J4623" t="s">
        <v>61</v>
      </c>
      <c r="K4623" t="s">
        <v>62</v>
      </c>
      <c r="M4623">
        <v>96.86</v>
      </c>
      <c r="N4623" s="4">
        <f t="shared" si="72"/>
        <v>-0.63648564939087338</v>
      </c>
      <c r="O4623" t="s">
        <v>605</v>
      </c>
      <c r="R4623">
        <v>5</v>
      </c>
      <c r="S4623" t="e">
        <f>VLOOKUP(R4623,[1]!NOMINA[#Data],4,FALSE)</f>
        <v>#REF!</v>
      </c>
      <c r="T4623" t="e">
        <f>VLOOKUP(R4623,[1]!NOMINA[#Data],5,FALSE)</f>
        <v>#REF!</v>
      </c>
    </row>
    <row r="4624" spans="1:20" x14ac:dyDescent="0.25">
      <c r="A4624" s="22">
        <v>45807</v>
      </c>
      <c r="B4624" s="1" t="s">
        <v>3558</v>
      </c>
      <c r="C4624" t="s">
        <v>3559</v>
      </c>
      <c r="D4624" s="23">
        <v>-61.65</v>
      </c>
      <c r="E4624" t="s">
        <v>35</v>
      </c>
      <c r="F4624" s="2">
        <v>212901001</v>
      </c>
      <c r="G4624" s="2" t="s">
        <v>91</v>
      </c>
      <c r="I4624" s="95" t="s">
        <v>7231</v>
      </c>
      <c r="J4624" t="s">
        <v>61</v>
      </c>
      <c r="K4624" t="s">
        <v>62</v>
      </c>
      <c r="M4624">
        <v>96.86</v>
      </c>
      <c r="N4624" s="4">
        <f t="shared" si="72"/>
        <v>-0.63648564939087338</v>
      </c>
      <c r="O4624" t="s">
        <v>605</v>
      </c>
      <c r="R4624">
        <v>16</v>
      </c>
      <c r="S4624" t="e">
        <f>VLOOKUP(Tabla3[[#This Row],[Nº]],[1]!NOMINA[#Data],4,FALSE)</f>
        <v>#REF!</v>
      </c>
      <c r="T4624" t="e">
        <f>VLOOKUP(Tabla3[[#This Row],[Nº]],[1]!NOMINA[#Data],5,FALSE)</f>
        <v>#REF!</v>
      </c>
    </row>
    <row r="4625" spans="1:20" x14ac:dyDescent="0.25">
      <c r="A4625" s="22">
        <v>45807</v>
      </c>
      <c r="B4625" s="1" t="s">
        <v>3560</v>
      </c>
      <c r="C4625" t="s">
        <v>3561</v>
      </c>
      <c r="D4625" s="23">
        <v>-61.65</v>
      </c>
      <c r="E4625" t="s">
        <v>35</v>
      </c>
      <c r="F4625" s="2">
        <v>212901001</v>
      </c>
      <c r="G4625" s="2" t="s">
        <v>91</v>
      </c>
      <c r="I4625" s="95" t="s">
        <v>7231</v>
      </c>
      <c r="J4625" t="s">
        <v>61</v>
      </c>
      <c r="K4625" t="s">
        <v>62</v>
      </c>
      <c r="M4625">
        <v>96.86</v>
      </c>
      <c r="N4625" s="4">
        <f t="shared" si="72"/>
        <v>-0.63648564939087338</v>
      </c>
      <c r="O4625" t="s">
        <v>605</v>
      </c>
      <c r="R4625">
        <v>7</v>
      </c>
      <c r="S4625" t="e">
        <f>VLOOKUP(R4625,[1]!NOMINA[#Data],4,FALSE)</f>
        <v>#REF!</v>
      </c>
      <c r="T4625" t="e">
        <f>VLOOKUP(R4625,[1]!NOMINA[#Data],5,FALSE)</f>
        <v>#REF!</v>
      </c>
    </row>
    <row r="4626" spans="1:20" x14ac:dyDescent="0.25">
      <c r="A4626" s="22">
        <v>45807</v>
      </c>
      <c r="B4626" s="1" t="s">
        <v>3562</v>
      </c>
      <c r="C4626" t="s">
        <v>3563</v>
      </c>
      <c r="D4626" s="23">
        <v>-61.65</v>
      </c>
      <c r="E4626" t="s">
        <v>35</v>
      </c>
      <c r="F4626" s="2">
        <v>212901001</v>
      </c>
      <c r="G4626" s="2" t="s">
        <v>91</v>
      </c>
      <c r="I4626" s="95" t="s">
        <v>7231</v>
      </c>
      <c r="J4626" t="s">
        <v>61</v>
      </c>
      <c r="K4626" t="s">
        <v>62</v>
      </c>
      <c r="M4626">
        <v>96.86</v>
      </c>
      <c r="N4626" s="4">
        <f t="shared" si="72"/>
        <v>-0.63648564939087338</v>
      </c>
      <c r="O4626" t="s">
        <v>605</v>
      </c>
      <c r="R4626">
        <v>1</v>
      </c>
      <c r="S4626" t="e">
        <f>VLOOKUP(R4626,[1]!NOMINA[#Data],4,FALSE)</f>
        <v>#REF!</v>
      </c>
      <c r="T4626" t="e">
        <f>VLOOKUP(R4626,[1]!NOMINA[#Data],5,FALSE)</f>
        <v>#REF!</v>
      </c>
    </row>
    <row r="4627" spans="1:20" x14ac:dyDescent="0.25">
      <c r="A4627" s="22">
        <v>45807</v>
      </c>
      <c r="B4627" s="1" t="s">
        <v>3564</v>
      </c>
      <c r="C4627" t="s">
        <v>3565</v>
      </c>
      <c r="D4627" s="23">
        <v>-61.65</v>
      </c>
      <c r="E4627" t="s">
        <v>35</v>
      </c>
      <c r="F4627" s="2">
        <v>212901001</v>
      </c>
      <c r="G4627" s="2" t="s">
        <v>91</v>
      </c>
      <c r="I4627" s="95" t="s">
        <v>7231</v>
      </c>
      <c r="J4627" t="s">
        <v>61</v>
      </c>
      <c r="K4627" s="2" t="s">
        <v>62</v>
      </c>
      <c r="L4627" s="2"/>
      <c r="M4627">
        <v>96.86</v>
      </c>
      <c r="N4627" s="4">
        <f t="shared" si="72"/>
        <v>-0.63648564939087338</v>
      </c>
      <c r="O4627" t="s">
        <v>605</v>
      </c>
      <c r="R4627">
        <v>36</v>
      </c>
      <c r="S4627" t="e">
        <f>VLOOKUP(R4627,[1]!NOMINA[#Data],4,FALSE)</f>
        <v>#REF!</v>
      </c>
      <c r="T4627" t="e">
        <f>VLOOKUP(R4627,[1]!NOMINA[#Data],5,FALSE)</f>
        <v>#REF!</v>
      </c>
    </row>
    <row r="4628" spans="1:20" x14ac:dyDescent="0.25">
      <c r="A4628" s="22">
        <v>45807</v>
      </c>
      <c r="B4628" s="1" t="s">
        <v>3566</v>
      </c>
      <c r="C4628" t="s">
        <v>3567</v>
      </c>
      <c r="D4628" s="23">
        <v>-3809.6</v>
      </c>
      <c r="E4628" t="s">
        <v>35</v>
      </c>
      <c r="F4628" s="2">
        <v>212901001</v>
      </c>
      <c r="G4628" s="2" t="s">
        <v>91</v>
      </c>
      <c r="I4628" s="95" t="s">
        <v>7231</v>
      </c>
      <c r="J4628" t="s">
        <v>61</v>
      </c>
      <c r="K4628" t="s">
        <v>62</v>
      </c>
      <c r="M4628">
        <v>96.86</v>
      </c>
      <c r="N4628" s="4">
        <f t="shared" si="72"/>
        <v>-39.330993186041709</v>
      </c>
      <c r="O4628" t="s">
        <v>605</v>
      </c>
      <c r="R4628">
        <v>16</v>
      </c>
      <c r="S4628" t="e">
        <f>VLOOKUP(Tabla3[[#This Row],[Nº]],[1]!NOMINA[#Data],4,FALSE)</f>
        <v>#REF!</v>
      </c>
      <c r="T4628" t="e">
        <f>VLOOKUP(Tabla3[[#This Row],[Nº]],[1]!NOMINA[#Data],5,FALSE)</f>
        <v>#REF!</v>
      </c>
    </row>
    <row r="4629" spans="1:20" x14ac:dyDescent="0.25">
      <c r="A4629" s="22">
        <v>45807</v>
      </c>
      <c r="B4629" s="1" t="s">
        <v>3568</v>
      </c>
      <c r="C4629" t="s">
        <v>3569</v>
      </c>
      <c r="D4629" s="23">
        <v>-3809.6</v>
      </c>
      <c r="E4629" t="s">
        <v>35</v>
      </c>
      <c r="F4629" s="2">
        <v>212901001</v>
      </c>
      <c r="G4629" s="2" t="s">
        <v>91</v>
      </c>
      <c r="I4629" s="95" t="s">
        <v>7231</v>
      </c>
      <c r="J4629" t="s">
        <v>61</v>
      </c>
      <c r="K4629" t="s">
        <v>62</v>
      </c>
      <c r="M4629">
        <v>96.86</v>
      </c>
      <c r="N4629" s="4">
        <f t="shared" si="72"/>
        <v>-39.330993186041709</v>
      </c>
      <c r="O4629" t="s">
        <v>605</v>
      </c>
      <c r="R4629">
        <v>7</v>
      </c>
      <c r="S4629" t="e">
        <f>VLOOKUP(R4629,[1]!NOMINA[#Data],4,FALSE)</f>
        <v>#REF!</v>
      </c>
      <c r="T4629" t="e">
        <f>VLOOKUP(R4629,[1]!NOMINA[#Data],5,FALSE)</f>
        <v>#REF!</v>
      </c>
    </row>
    <row r="4630" spans="1:20" x14ac:dyDescent="0.25">
      <c r="A4630" s="22">
        <v>45807</v>
      </c>
      <c r="B4630" s="1" t="s">
        <v>3570</v>
      </c>
      <c r="C4630" t="s">
        <v>3571</v>
      </c>
      <c r="D4630" s="23">
        <v>-3809.6</v>
      </c>
      <c r="E4630" t="s">
        <v>35</v>
      </c>
      <c r="F4630" s="2">
        <v>212901001</v>
      </c>
      <c r="G4630" s="2" t="s">
        <v>91</v>
      </c>
      <c r="I4630" s="95" t="s">
        <v>7231</v>
      </c>
      <c r="J4630" t="s">
        <v>61</v>
      </c>
      <c r="K4630" t="s">
        <v>62</v>
      </c>
      <c r="M4630">
        <v>96.86</v>
      </c>
      <c r="N4630" s="4">
        <f t="shared" si="72"/>
        <v>-39.330993186041709</v>
      </c>
      <c r="O4630" t="s">
        <v>605</v>
      </c>
      <c r="R4630">
        <v>1</v>
      </c>
      <c r="S4630" t="e">
        <f>VLOOKUP(R4630,[1]!NOMINA[#Data],4,FALSE)</f>
        <v>#REF!</v>
      </c>
      <c r="T4630" t="e">
        <f>VLOOKUP(R4630,[1]!NOMINA[#Data],5,FALSE)</f>
        <v>#REF!</v>
      </c>
    </row>
    <row r="4631" spans="1:20" x14ac:dyDescent="0.25">
      <c r="A4631" s="22">
        <v>45807</v>
      </c>
      <c r="B4631" s="1" t="s">
        <v>3572</v>
      </c>
      <c r="C4631" t="s">
        <v>3573</v>
      </c>
      <c r="D4631" s="23">
        <v>-3809.6</v>
      </c>
      <c r="E4631" t="s">
        <v>35</v>
      </c>
      <c r="F4631" s="2">
        <v>212901001</v>
      </c>
      <c r="G4631" s="2" t="s">
        <v>91</v>
      </c>
      <c r="I4631" s="95" t="s">
        <v>7231</v>
      </c>
      <c r="J4631" t="s">
        <v>61</v>
      </c>
      <c r="K4631" t="s">
        <v>62</v>
      </c>
      <c r="M4631">
        <v>96.86</v>
      </c>
      <c r="N4631" s="4">
        <f t="shared" si="72"/>
        <v>-39.330993186041709</v>
      </c>
      <c r="O4631" t="s">
        <v>605</v>
      </c>
      <c r="R4631">
        <v>36</v>
      </c>
      <c r="S4631" t="e">
        <f>VLOOKUP(R4631,[1]!NOMINA[#Data],4,FALSE)</f>
        <v>#REF!</v>
      </c>
      <c r="T4631" t="e">
        <f>VLOOKUP(R4631,[1]!NOMINA[#Data],5,FALSE)</f>
        <v>#REF!</v>
      </c>
    </row>
    <row r="4632" spans="1:20" x14ac:dyDescent="0.25">
      <c r="A4632" s="22">
        <v>45807</v>
      </c>
      <c r="B4632" s="1" t="s">
        <v>3574</v>
      </c>
      <c r="C4632" t="s">
        <v>3575</v>
      </c>
      <c r="D4632" s="23">
        <v>-8571.6</v>
      </c>
      <c r="E4632" t="s">
        <v>35</v>
      </c>
      <c r="F4632" s="2">
        <v>212901001</v>
      </c>
      <c r="G4632" s="2" t="s">
        <v>91</v>
      </c>
      <c r="I4632" s="95" t="s">
        <v>7231</v>
      </c>
      <c r="J4632" t="s">
        <v>61</v>
      </c>
      <c r="K4632" t="s">
        <v>62</v>
      </c>
      <c r="M4632">
        <v>96.86</v>
      </c>
      <c r="N4632" s="4">
        <f t="shared" si="72"/>
        <v>-88.49473466859385</v>
      </c>
      <c r="O4632" t="s">
        <v>605</v>
      </c>
    </row>
    <row r="4633" spans="1:20" x14ac:dyDescent="0.25">
      <c r="A4633" s="22">
        <v>45807</v>
      </c>
      <c r="B4633" s="1" t="s">
        <v>1909</v>
      </c>
      <c r="C4633" t="s">
        <v>3576</v>
      </c>
      <c r="D4633" s="23">
        <v>-6849.66</v>
      </c>
      <c r="E4633" t="s">
        <v>35</v>
      </c>
      <c r="F4633" s="2">
        <v>212901001</v>
      </c>
      <c r="G4633" s="2" t="s">
        <v>91</v>
      </c>
      <c r="I4633" s="95" t="s">
        <v>7231</v>
      </c>
      <c r="J4633" t="s">
        <v>61</v>
      </c>
      <c r="K4633" t="s">
        <v>62</v>
      </c>
      <c r="M4633">
        <v>96.86</v>
      </c>
      <c r="N4633" s="4">
        <f t="shared" si="72"/>
        <v>-70.717117489159605</v>
      </c>
      <c r="O4633" t="s">
        <v>605</v>
      </c>
      <c r="R4633">
        <v>20</v>
      </c>
      <c r="S4633" t="e">
        <f>VLOOKUP(Tabla3[[#This Row],[Nº]],[1]!NOMINA[#Data],4,FALSE)</f>
        <v>#REF!</v>
      </c>
      <c r="T4633" t="e">
        <f>VLOOKUP(Tabla3[[#This Row],[Nº]],[1]!NOMINA[#Data],5,FALSE)</f>
        <v>#REF!</v>
      </c>
    </row>
    <row r="4634" spans="1:20" x14ac:dyDescent="0.25">
      <c r="A4634" s="22">
        <v>45807</v>
      </c>
      <c r="B4634" s="1" t="s">
        <v>1886</v>
      </c>
      <c r="C4634" t="s">
        <v>3577</v>
      </c>
      <c r="D4634" s="23">
        <v>-3281.02</v>
      </c>
      <c r="E4634" t="s">
        <v>35</v>
      </c>
      <c r="F4634" s="2">
        <v>212901001</v>
      </c>
      <c r="G4634" s="2" t="s">
        <v>91</v>
      </c>
      <c r="I4634" s="95" t="s">
        <v>7231</v>
      </c>
      <c r="J4634" t="s">
        <v>61</v>
      </c>
      <c r="K4634" t="s">
        <v>62</v>
      </c>
      <c r="M4634">
        <v>96.86</v>
      </c>
      <c r="N4634" s="4">
        <f t="shared" si="72"/>
        <v>-33.873838529836881</v>
      </c>
      <c r="O4634" t="s">
        <v>605</v>
      </c>
      <c r="R4634">
        <v>23</v>
      </c>
      <c r="S4634" t="e">
        <f>VLOOKUP(R4634,[1]!NOMINA[#Data],4,FALSE)</f>
        <v>#REF!</v>
      </c>
      <c r="T4634" t="e">
        <f>VLOOKUP(R4634,[1]!NOMINA[#Data],5,FALSE)</f>
        <v>#REF!</v>
      </c>
    </row>
    <row r="4635" spans="1:20" x14ac:dyDescent="0.25">
      <c r="A4635" s="22">
        <v>45807</v>
      </c>
      <c r="B4635" s="1" t="s">
        <v>623</v>
      </c>
      <c r="C4635" t="s">
        <v>622</v>
      </c>
      <c r="D4635" s="23">
        <v>-17.75</v>
      </c>
      <c r="E4635" t="s">
        <v>35</v>
      </c>
      <c r="F4635" s="2">
        <v>610148001</v>
      </c>
      <c r="G4635" s="2" t="s">
        <v>41</v>
      </c>
      <c r="I4635" s="95" t="s">
        <v>7231</v>
      </c>
      <c r="J4635" t="s">
        <v>42</v>
      </c>
      <c r="K4635" t="s">
        <v>41</v>
      </c>
      <c r="M4635">
        <v>96.86</v>
      </c>
      <c r="N4635" s="4">
        <f t="shared" si="72"/>
        <v>-0.18325418129258725</v>
      </c>
      <c r="O4635" t="s">
        <v>605</v>
      </c>
      <c r="Q4635" s="42" t="s">
        <v>2650</v>
      </c>
    </row>
    <row r="4636" spans="1:20" x14ac:dyDescent="0.25">
      <c r="A4636" s="22">
        <v>45807</v>
      </c>
      <c r="B4636" s="1" t="s">
        <v>2060</v>
      </c>
      <c r="C4636" t="s">
        <v>622</v>
      </c>
      <c r="D4636" s="23">
        <v>-0.15</v>
      </c>
      <c r="E4636" t="s">
        <v>35</v>
      </c>
      <c r="F4636" s="2">
        <v>610148001</v>
      </c>
      <c r="G4636" s="2" t="s">
        <v>41</v>
      </c>
      <c r="I4636" s="95" t="s">
        <v>7231</v>
      </c>
      <c r="J4636" t="s">
        <v>42</v>
      </c>
      <c r="K4636" t="s">
        <v>41</v>
      </c>
      <c r="M4636">
        <v>96.86</v>
      </c>
      <c r="N4636" s="4">
        <f t="shared" si="72"/>
        <v>-1.548626884162709E-3</v>
      </c>
      <c r="O4636" t="s">
        <v>605</v>
      </c>
      <c r="Q4636" s="42" t="s">
        <v>2650</v>
      </c>
    </row>
    <row r="4637" spans="1:20" x14ac:dyDescent="0.25">
      <c r="A4637" s="22">
        <v>45807</v>
      </c>
      <c r="B4637" s="1" t="s">
        <v>3578</v>
      </c>
      <c r="C4637" t="s">
        <v>622</v>
      </c>
      <c r="D4637" s="23">
        <v>-0.15</v>
      </c>
      <c r="E4637" t="s">
        <v>35</v>
      </c>
      <c r="F4637" s="2">
        <v>610148001</v>
      </c>
      <c r="G4637" s="2" t="s">
        <v>41</v>
      </c>
      <c r="I4637" s="95" t="s">
        <v>7231</v>
      </c>
      <c r="J4637" t="s">
        <v>42</v>
      </c>
      <c r="K4637" t="s">
        <v>41</v>
      </c>
      <c r="M4637">
        <v>96.86</v>
      </c>
      <c r="N4637" s="4">
        <f t="shared" si="72"/>
        <v>-1.548626884162709E-3</v>
      </c>
      <c r="O4637" t="s">
        <v>605</v>
      </c>
      <c r="Q4637" s="42" t="s">
        <v>2650</v>
      </c>
    </row>
    <row r="4638" spans="1:20" x14ac:dyDescent="0.25">
      <c r="A4638" s="22">
        <v>45807</v>
      </c>
      <c r="B4638" s="1" t="s">
        <v>3579</v>
      </c>
      <c r="C4638" t="s">
        <v>622</v>
      </c>
      <c r="D4638" s="23">
        <v>-0.15</v>
      </c>
      <c r="E4638" t="s">
        <v>35</v>
      </c>
      <c r="F4638" s="2">
        <v>610148001</v>
      </c>
      <c r="G4638" s="2" t="s">
        <v>41</v>
      </c>
      <c r="I4638" s="95" t="s">
        <v>7231</v>
      </c>
      <c r="J4638" t="s">
        <v>42</v>
      </c>
      <c r="K4638" t="s">
        <v>41</v>
      </c>
      <c r="M4638">
        <v>96.86</v>
      </c>
      <c r="N4638" s="4">
        <f t="shared" si="72"/>
        <v>-1.548626884162709E-3</v>
      </c>
      <c r="O4638" t="s">
        <v>605</v>
      </c>
      <c r="Q4638" s="42" t="s">
        <v>2650</v>
      </c>
    </row>
    <row r="4639" spans="1:20" x14ac:dyDescent="0.25">
      <c r="A4639" s="22">
        <v>45807</v>
      </c>
      <c r="B4639" s="1" t="s">
        <v>3580</v>
      </c>
      <c r="C4639" t="s">
        <v>622</v>
      </c>
      <c r="D4639" s="23">
        <v>-9.52</v>
      </c>
      <c r="E4639" t="s">
        <v>35</v>
      </c>
      <c r="F4639" s="2">
        <v>610148001</v>
      </c>
      <c r="G4639" s="2" t="s">
        <v>41</v>
      </c>
      <c r="I4639" s="95" t="s">
        <v>7231</v>
      </c>
      <c r="J4639" t="s">
        <v>42</v>
      </c>
      <c r="K4639" t="s">
        <v>41</v>
      </c>
      <c r="M4639">
        <v>96.86</v>
      </c>
      <c r="N4639" s="4">
        <f t="shared" si="72"/>
        <v>-9.8286186248193269E-2</v>
      </c>
      <c r="O4639" t="s">
        <v>605</v>
      </c>
      <c r="Q4639" s="42" t="s">
        <v>2650</v>
      </c>
    </row>
    <row r="4640" spans="1:20" x14ac:dyDescent="0.25">
      <c r="A4640" s="22">
        <v>45807</v>
      </c>
      <c r="B4640" s="1" t="s">
        <v>3581</v>
      </c>
      <c r="C4640" t="s">
        <v>622</v>
      </c>
      <c r="D4640" s="23">
        <v>-9.52</v>
      </c>
      <c r="E4640" t="s">
        <v>35</v>
      </c>
      <c r="F4640" s="2">
        <v>610148001</v>
      </c>
      <c r="G4640" s="2" t="s">
        <v>41</v>
      </c>
      <c r="I4640" s="95" t="s">
        <v>7231</v>
      </c>
      <c r="J4640" t="s">
        <v>42</v>
      </c>
      <c r="K4640" t="s">
        <v>41</v>
      </c>
      <c r="M4640">
        <v>96.86</v>
      </c>
      <c r="N4640" s="4">
        <f t="shared" si="72"/>
        <v>-9.8286186248193269E-2</v>
      </c>
      <c r="O4640" t="s">
        <v>605</v>
      </c>
      <c r="Q4640" s="42" t="s">
        <v>2650</v>
      </c>
    </row>
    <row r="4641" spans="1:17" x14ac:dyDescent="0.25">
      <c r="A4641" s="22">
        <v>45807</v>
      </c>
      <c r="B4641" s="1" t="s">
        <v>3582</v>
      </c>
      <c r="C4641" t="s">
        <v>622</v>
      </c>
      <c r="D4641" s="23">
        <v>-9.52</v>
      </c>
      <c r="E4641" t="s">
        <v>35</v>
      </c>
      <c r="F4641" s="2">
        <v>610148001</v>
      </c>
      <c r="G4641" s="2" t="s">
        <v>41</v>
      </c>
      <c r="I4641" s="95" t="s">
        <v>7231</v>
      </c>
      <c r="J4641" t="s">
        <v>42</v>
      </c>
      <c r="K4641" t="s">
        <v>41</v>
      </c>
      <c r="M4641">
        <v>96.86</v>
      </c>
      <c r="N4641" s="4">
        <f t="shared" si="72"/>
        <v>-9.8286186248193269E-2</v>
      </c>
      <c r="O4641" t="s">
        <v>605</v>
      </c>
      <c r="Q4641" s="42" t="s">
        <v>2650</v>
      </c>
    </row>
    <row r="4642" spans="1:17" x14ac:dyDescent="0.25">
      <c r="A4642" s="22">
        <v>45807</v>
      </c>
      <c r="B4642" s="1" t="s">
        <v>3583</v>
      </c>
      <c r="C4642" t="s">
        <v>622</v>
      </c>
      <c r="D4642" s="23">
        <v>-9.52</v>
      </c>
      <c r="E4642" t="s">
        <v>35</v>
      </c>
      <c r="F4642" s="2">
        <v>610148001</v>
      </c>
      <c r="G4642" s="2" t="s">
        <v>41</v>
      </c>
      <c r="I4642" s="95" t="s">
        <v>7231</v>
      </c>
      <c r="J4642" t="s">
        <v>42</v>
      </c>
      <c r="K4642" t="s">
        <v>41</v>
      </c>
      <c r="M4642">
        <v>96.86</v>
      </c>
      <c r="N4642" s="4">
        <f t="shared" si="72"/>
        <v>-9.8286186248193269E-2</v>
      </c>
      <c r="O4642" t="s">
        <v>605</v>
      </c>
      <c r="Q4642" s="42" t="s">
        <v>2650</v>
      </c>
    </row>
    <row r="4643" spans="1:17" x14ac:dyDescent="0.25">
      <c r="A4643" s="22">
        <v>45807</v>
      </c>
      <c r="B4643" s="1" t="s">
        <v>3584</v>
      </c>
      <c r="C4643" t="s">
        <v>622</v>
      </c>
      <c r="D4643" s="23">
        <v>-21.42</v>
      </c>
      <c r="E4643" t="s">
        <v>35</v>
      </c>
      <c r="F4643" s="2">
        <v>610148001</v>
      </c>
      <c r="G4643" s="2" t="s">
        <v>41</v>
      </c>
      <c r="I4643" s="95" t="s">
        <v>7231</v>
      </c>
      <c r="J4643" t="s">
        <v>42</v>
      </c>
      <c r="K4643" t="s">
        <v>41</v>
      </c>
      <c r="M4643">
        <v>96.86</v>
      </c>
      <c r="N4643" s="4">
        <f t="shared" si="72"/>
        <v>-0.22114391905843486</v>
      </c>
      <c r="O4643" t="s">
        <v>605</v>
      </c>
      <c r="Q4643" s="42" t="s">
        <v>2650</v>
      </c>
    </row>
    <row r="4644" spans="1:17" x14ac:dyDescent="0.25">
      <c r="A4644" s="22">
        <v>45807</v>
      </c>
      <c r="B4644" s="1" t="s">
        <v>625</v>
      </c>
      <c r="C4644" t="s">
        <v>622</v>
      </c>
      <c r="D4644" s="23">
        <v>-8.1999999999999993</v>
      </c>
      <c r="E4644" t="s">
        <v>35</v>
      </c>
      <c r="F4644" s="2">
        <v>610148001</v>
      </c>
      <c r="G4644" s="2" t="s">
        <v>41</v>
      </c>
      <c r="I4644" s="95" t="s">
        <v>7231</v>
      </c>
      <c r="J4644" t="s">
        <v>42</v>
      </c>
      <c r="K4644" t="s">
        <v>41</v>
      </c>
      <c r="M4644">
        <v>96.86</v>
      </c>
      <c r="N4644" s="4">
        <f t="shared" si="72"/>
        <v>-8.4658269667561417E-2</v>
      </c>
      <c r="O4644" t="s">
        <v>605</v>
      </c>
      <c r="Q4644" s="42" t="s">
        <v>2650</v>
      </c>
    </row>
    <row r="4645" spans="1:17" x14ac:dyDescent="0.25">
      <c r="A4645" s="22">
        <v>45807</v>
      </c>
      <c r="B4645" s="1" t="s">
        <v>623</v>
      </c>
      <c r="C4645" t="s">
        <v>622</v>
      </c>
      <c r="D4645" s="23">
        <v>-17.79</v>
      </c>
      <c r="E4645" t="s">
        <v>35</v>
      </c>
      <c r="F4645" s="2">
        <v>610148001</v>
      </c>
      <c r="G4645" s="2" t="s">
        <v>41</v>
      </c>
      <c r="I4645" s="95" t="s">
        <v>7231</v>
      </c>
      <c r="J4645" t="s">
        <v>42</v>
      </c>
      <c r="K4645" t="s">
        <v>41</v>
      </c>
      <c r="M4645">
        <v>96.86</v>
      </c>
      <c r="N4645" s="4">
        <f t="shared" si="72"/>
        <v>-0.18366714846169729</v>
      </c>
      <c r="O4645" t="s">
        <v>605</v>
      </c>
      <c r="Q4645" s="42" t="s">
        <v>2650</v>
      </c>
    </row>
    <row r="4646" spans="1:17" x14ac:dyDescent="0.25">
      <c r="A4646" s="22">
        <v>45807</v>
      </c>
      <c r="B4646" s="1" t="s">
        <v>1916</v>
      </c>
      <c r="C4646" t="s">
        <v>622</v>
      </c>
      <c r="D4646" s="23">
        <v>-17.690000000000001</v>
      </c>
      <c r="E4646" t="s">
        <v>35</v>
      </c>
      <c r="F4646" s="2">
        <v>610148001</v>
      </c>
      <c r="G4646" s="2" t="s">
        <v>41</v>
      </c>
      <c r="I4646" s="95" t="s">
        <v>7231</v>
      </c>
      <c r="J4646" t="s">
        <v>42</v>
      </c>
      <c r="K4646" t="s">
        <v>41</v>
      </c>
      <c r="M4646">
        <v>96.86</v>
      </c>
      <c r="N4646" s="4">
        <f t="shared" si="72"/>
        <v>-0.18263473053892218</v>
      </c>
      <c r="O4646" t="s">
        <v>605</v>
      </c>
      <c r="Q4646" s="42" t="s">
        <v>2650</v>
      </c>
    </row>
    <row r="4647" spans="1:17" x14ac:dyDescent="0.25">
      <c r="A4647" s="22">
        <v>45807</v>
      </c>
      <c r="B4647" s="1" t="s">
        <v>1918</v>
      </c>
      <c r="C4647" t="s">
        <v>622</v>
      </c>
      <c r="D4647" s="23">
        <v>-45.07</v>
      </c>
      <c r="E4647" t="s">
        <v>35</v>
      </c>
      <c r="F4647" s="2">
        <v>610148001</v>
      </c>
      <c r="G4647" s="2" t="s">
        <v>41</v>
      </c>
      <c r="I4647" s="95" t="s">
        <v>7231</v>
      </c>
      <c r="J4647" t="s">
        <v>42</v>
      </c>
      <c r="K4647" t="s">
        <v>41</v>
      </c>
      <c r="M4647">
        <v>96.86</v>
      </c>
      <c r="N4647" s="4">
        <f t="shared" si="72"/>
        <v>-0.46531075779475534</v>
      </c>
      <c r="O4647" t="s">
        <v>605</v>
      </c>
      <c r="Q4647" s="42" t="s">
        <v>2650</v>
      </c>
    </row>
    <row r="4648" spans="1:17" x14ac:dyDescent="0.25">
      <c r="A4648" s="22">
        <v>45807</v>
      </c>
      <c r="B4648" s="1" t="s">
        <v>2102</v>
      </c>
      <c r="C4648" t="s">
        <v>622</v>
      </c>
      <c r="D4648" s="23">
        <v>-17.760000000000002</v>
      </c>
      <c r="E4648" t="s">
        <v>35</v>
      </c>
      <c r="F4648" s="2">
        <v>610148001</v>
      </c>
      <c r="G4648" s="2" t="s">
        <v>41</v>
      </c>
      <c r="I4648" s="95" t="s">
        <v>7231</v>
      </c>
      <c r="J4648" t="s">
        <v>42</v>
      </c>
      <c r="K4648" t="s">
        <v>41</v>
      </c>
      <c r="M4648">
        <v>96.86</v>
      </c>
      <c r="N4648" s="4">
        <f t="shared" si="72"/>
        <v>-0.18335742308486477</v>
      </c>
      <c r="O4648" t="s">
        <v>605</v>
      </c>
      <c r="Q4648" s="42" t="s">
        <v>2650</v>
      </c>
    </row>
    <row r="4649" spans="1:17" x14ac:dyDescent="0.25">
      <c r="A4649" s="22">
        <v>45807</v>
      </c>
      <c r="B4649" s="1" t="s">
        <v>2062</v>
      </c>
      <c r="C4649" t="s">
        <v>622</v>
      </c>
      <c r="D4649" s="23">
        <v>-118.88</v>
      </c>
      <c r="E4649" t="s">
        <v>35</v>
      </c>
      <c r="F4649" s="2">
        <v>610148001</v>
      </c>
      <c r="G4649" s="2" t="s">
        <v>41</v>
      </c>
      <c r="I4649" s="95" t="s">
        <v>7231</v>
      </c>
      <c r="J4649" t="s">
        <v>42</v>
      </c>
      <c r="K4649" t="s">
        <v>41</v>
      </c>
      <c r="M4649">
        <v>96.86</v>
      </c>
      <c r="N4649" s="4">
        <f t="shared" si="72"/>
        <v>-1.2273384265950857</v>
      </c>
      <c r="O4649" t="s">
        <v>605</v>
      </c>
      <c r="Q4649" s="42" t="s">
        <v>2650</v>
      </c>
    </row>
    <row r="4650" spans="1:17" x14ac:dyDescent="0.25">
      <c r="A4650" s="22">
        <v>45807</v>
      </c>
      <c r="B4650" s="1" t="s">
        <v>2104</v>
      </c>
      <c r="C4650" t="s">
        <v>622</v>
      </c>
      <c r="D4650" s="23">
        <v>-11.79</v>
      </c>
      <c r="E4650" t="s">
        <v>35</v>
      </c>
      <c r="F4650" s="2">
        <v>610148001</v>
      </c>
      <c r="G4650" s="2" t="s">
        <v>41</v>
      </c>
      <c r="I4650" s="95" t="s">
        <v>7231</v>
      </c>
      <c r="J4650" t="s">
        <v>42</v>
      </c>
      <c r="K4650" t="s">
        <v>41</v>
      </c>
      <c r="M4650">
        <v>96.86</v>
      </c>
      <c r="N4650" s="4">
        <f t="shared" si="72"/>
        <v>-0.12172207309518893</v>
      </c>
      <c r="O4650" t="s">
        <v>605</v>
      </c>
      <c r="Q4650" s="42" t="s">
        <v>2650</v>
      </c>
    </row>
    <row r="4651" spans="1:17" x14ac:dyDescent="0.25">
      <c r="A4651" s="22">
        <v>45807</v>
      </c>
      <c r="B4651" s="1" t="s">
        <v>2107</v>
      </c>
      <c r="C4651" t="s">
        <v>622</v>
      </c>
      <c r="D4651" s="23">
        <v>-9.52</v>
      </c>
      <c r="E4651" t="s">
        <v>35</v>
      </c>
      <c r="F4651" s="2">
        <v>610148001</v>
      </c>
      <c r="G4651" s="2" t="s">
        <v>41</v>
      </c>
      <c r="I4651" s="95" t="s">
        <v>7231</v>
      </c>
      <c r="J4651" t="s">
        <v>42</v>
      </c>
      <c r="K4651" t="s">
        <v>41</v>
      </c>
      <c r="M4651">
        <v>96.86</v>
      </c>
      <c r="N4651" s="4">
        <f t="shared" si="72"/>
        <v>-9.8286186248193269E-2</v>
      </c>
      <c r="O4651" t="s">
        <v>605</v>
      </c>
      <c r="Q4651" s="42" t="s">
        <v>2650</v>
      </c>
    </row>
    <row r="4652" spans="1:17" x14ac:dyDescent="0.25">
      <c r="A4652" s="22">
        <v>45807</v>
      </c>
      <c r="B4652" s="1" t="s">
        <v>2064</v>
      </c>
      <c r="C4652" t="s">
        <v>622</v>
      </c>
      <c r="D4652" s="23">
        <v>-14.28</v>
      </c>
      <c r="E4652" t="s">
        <v>35</v>
      </c>
      <c r="F4652" s="2">
        <v>610148001</v>
      </c>
      <c r="G4652" s="2" t="s">
        <v>41</v>
      </c>
      <c r="I4652" s="95" t="s">
        <v>7231</v>
      </c>
      <c r="J4652" t="s">
        <v>42</v>
      </c>
      <c r="K4652" t="s">
        <v>41</v>
      </c>
      <c r="M4652">
        <v>96.86</v>
      </c>
      <c r="N4652" s="4">
        <f t="shared" si="72"/>
        <v>-0.14742927937228989</v>
      </c>
      <c r="O4652" t="s">
        <v>605</v>
      </c>
      <c r="Q4652" s="42" t="s">
        <v>2650</v>
      </c>
    </row>
    <row r="4653" spans="1:17" x14ac:dyDescent="0.25">
      <c r="A4653" s="22">
        <v>45807</v>
      </c>
      <c r="B4653" s="1" t="s">
        <v>2069</v>
      </c>
      <c r="C4653" t="s">
        <v>622</v>
      </c>
      <c r="D4653" s="23">
        <v>-2.38</v>
      </c>
      <c r="E4653" t="s">
        <v>35</v>
      </c>
      <c r="F4653" s="2">
        <v>610148001</v>
      </c>
      <c r="G4653" s="2" t="s">
        <v>41</v>
      </c>
      <c r="I4653" s="95" t="s">
        <v>7231</v>
      </c>
      <c r="J4653" t="s">
        <v>42</v>
      </c>
      <c r="K4653" t="s">
        <v>41</v>
      </c>
      <c r="M4653">
        <v>96.86</v>
      </c>
      <c r="N4653" s="4">
        <f t="shared" si="72"/>
        <v>-2.4571546562048317E-2</v>
      </c>
      <c r="O4653" t="s">
        <v>605</v>
      </c>
      <c r="Q4653" s="42" t="s">
        <v>2650</v>
      </c>
    </row>
    <row r="4654" spans="1:17" x14ac:dyDescent="0.25">
      <c r="A4654" s="22">
        <v>45807</v>
      </c>
      <c r="B4654" s="1" t="s">
        <v>2099</v>
      </c>
      <c r="C4654" t="s">
        <v>622</v>
      </c>
      <c r="D4654" s="23">
        <v>-2.38</v>
      </c>
      <c r="E4654" t="s">
        <v>35</v>
      </c>
      <c r="F4654" s="2">
        <v>610148001</v>
      </c>
      <c r="G4654" s="2" t="s">
        <v>41</v>
      </c>
      <c r="I4654" s="95" t="s">
        <v>7231</v>
      </c>
      <c r="J4654" t="s">
        <v>42</v>
      </c>
      <c r="K4654" t="s">
        <v>41</v>
      </c>
      <c r="M4654">
        <v>96.86</v>
      </c>
      <c r="N4654" s="4">
        <f t="shared" si="72"/>
        <v>-2.4571546562048317E-2</v>
      </c>
      <c r="O4654" t="s">
        <v>605</v>
      </c>
      <c r="Q4654" s="42" t="s">
        <v>2650</v>
      </c>
    </row>
    <row r="4655" spans="1:17" x14ac:dyDescent="0.25">
      <c r="A4655" s="22">
        <v>45807</v>
      </c>
      <c r="B4655" s="1" t="s">
        <v>2110</v>
      </c>
      <c r="C4655" t="s">
        <v>622</v>
      </c>
      <c r="D4655" s="23">
        <v>-2.38</v>
      </c>
      <c r="E4655" t="s">
        <v>35</v>
      </c>
      <c r="F4655" s="2">
        <v>610148001</v>
      </c>
      <c r="G4655" s="2" t="s">
        <v>41</v>
      </c>
      <c r="I4655" s="95" t="s">
        <v>7231</v>
      </c>
      <c r="J4655" t="s">
        <v>42</v>
      </c>
      <c r="K4655" t="s">
        <v>41</v>
      </c>
      <c r="M4655">
        <v>96.86</v>
      </c>
      <c r="N4655" s="4">
        <f t="shared" si="72"/>
        <v>-2.4571546562048317E-2</v>
      </c>
      <c r="O4655" t="s">
        <v>605</v>
      </c>
      <c r="Q4655" s="42" t="s">
        <v>2650</v>
      </c>
    </row>
    <row r="4656" spans="1:17" x14ac:dyDescent="0.25">
      <c r="A4656" s="22">
        <v>45807</v>
      </c>
      <c r="B4656" s="1" t="s">
        <v>2101</v>
      </c>
      <c r="C4656" t="s">
        <v>622</v>
      </c>
      <c r="D4656" s="23">
        <v>-0.15</v>
      </c>
      <c r="E4656" t="s">
        <v>35</v>
      </c>
      <c r="F4656" s="2">
        <v>610148001</v>
      </c>
      <c r="G4656" s="2" t="s">
        <v>41</v>
      </c>
      <c r="I4656" s="95" t="s">
        <v>7231</v>
      </c>
      <c r="J4656" t="s">
        <v>42</v>
      </c>
      <c r="K4656" t="s">
        <v>41</v>
      </c>
      <c r="M4656">
        <v>96.86</v>
      </c>
      <c r="N4656" s="4">
        <f t="shared" si="72"/>
        <v>-1.548626884162709E-3</v>
      </c>
      <c r="O4656" t="s">
        <v>605</v>
      </c>
      <c r="Q4656" s="42" t="s">
        <v>2650</v>
      </c>
    </row>
    <row r="4657" spans="1:17" x14ac:dyDescent="0.25">
      <c r="A4657" s="22">
        <v>45807</v>
      </c>
      <c r="B4657" s="1" t="s">
        <v>3585</v>
      </c>
      <c r="C4657" t="s">
        <v>622</v>
      </c>
      <c r="D4657" s="23">
        <v>-0.15</v>
      </c>
      <c r="E4657" t="s">
        <v>35</v>
      </c>
      <c r="F4657" s="2">
        <v>610148001</v>
      </c>
      <c r="G4657" s="2" t="s">
        <v>41</v>
      </c>
      <c r="I4657" s="95" t="s">
        <v>7231</v>
      </c>
      <c r="J4657" t="s">
        <v>42</v>
      </c>
      <c r="K4657" t="s">
        <v>41</v>
      </c>
      <c r="M4657">
        <v>96.86</v>
      </c>
      <c r="N4657" s="4">
        <f t="shared" si="72"/>
        <v>-1.548626884162709E-3</v>
      </c>
      <c r="O4657" t="s">
        <v>605</v>
      </c>
      <c r="Q4657" s="42" t="s">
        <v>2650</v>
      </c>
    </row>
    <row r="4658" spans="1:17" x14ac:dyDescent="0.25">
      <c r="A4658" s="22">
        <v>45807</v>
      </c>
      <c r="B4658" s="1" t="s">
        <v>3586</v>
      </c>
      <c r="C4658" t="s">
        <v>622</v>
      </c>
      <c r="D4658" s="23">
        <v>-0.13</v>
      </c>
      <c r="E4658" t="s">
        <v>35</v>
      </c>
      <c r="F4658" s="2">
        <v>610148001</v>
      </c>
      <c r="G4658" s="2" t="s">
        <v>41</v>
      </c>
      <c r="I4658" s="95" t="s">
        <v>7231</v>
      </c>
      <c r="J4658" t="s">
        <v>42</v>
      </c>
      <c r="K4658" t="s">
        <v>41</v>
      </c>
      <c r="M4658">
        <v>96.86</v>
      </c>
      <c r="N4658" s="4">
        <f t="shared" si="72"/>
        <v>-1.3421432996076812E-3</v>
      </c>
      <c r="O4658" t="s">
        <v>605</v>
      </c>
      <c r="Q4658" s="42" t="s">
        <v>2650</v>
      </c>
    </row>
    <row r="4659" spans="1:17" x14ac:dyDescent="0.25">
      <c r="A4659" s="22">
        <v>45807</v>
      </c>
      <c r="B4659" s="1" t="s">
        <v>3587</v>
      </c>
      <c r="C4659" t="s">
        <v>622</v>
      </c>
      <c r="D4659" s="23">
        <v>-9.52</v>
      </c>
      <c r="E4659" t="s">
        <v>35</v>
      </c>
      <c r="F4659" s="2">
        <v>610148001</v>
      </c>
      <c r="G4659" s="2" t="s">
        <v>41</v>
      </c>
      <c r="I4659" s="95" t="s">
        <v>7231</v>
      </c>
      <c r="J4659" t="s">
        <v>42</v>
      </c>
      <c r="K4659" t="s">
        <v>41</v>
      </c>
      <c r="M4659">
        <v>96.86</v>
      </c>
      <c r="N4659" s="4">
        <f t="shared" si="72"/>
        <v>-9.8286186248193269E-2</v>
      </c>
      <c r="O4659" t="s">
        <v>605</v>
      </c>
      <c r="Q4659" s="42" t="s">
        <v>2650</v>
      </c>
    </row>
    <row r="4660" spans="1:17" x14ac:dyDescent="0.25">
      <c r="A4660" s="22">
        <v>45807</v>
      </c>
      <c r="B4660" s="1" t="s">
        <v>3588</v>
      </c>
      <c r="C4660" t="s">
        <v>622</v>
      </c>
      <c r="D4660" s="23">
        <v>-9.52</v>
      </c>
      <c r="E4660" t="s">
        <v>35</v>
      </c>
      <c r="F4660" s="2">
        <v>610148001</v>
      </c>
      <c r="G4660" s="2" t="s">
        <v>41</v>
      </c>
      <c r="I4660" s="95" t="s">
        <v>7231</v>
      </c>
      <c r="J4660" t="s">
        <v>42</v>
      </c>
      <c r="K4660" t="s">
        <v>41</v>
      </c>
      <c r="M4660">
        <v>96.86</v>
      </c>
      <c r="N4660" s="4">
        <f t="shared" si="72"/>
        <v>-9.8286186248193269E-2</v>
      </c>
      <c r="O4660" t="s">
        <v>605</v>
      </c>
      <c r="Q4660" s="42" t="s">
        <v>2650</v>
      </c>
    </row>
    <row r="4661" spans="1:17" x14ac:dyDescent="0.25">
      <c r="A4661" s="22">
        <v>45807</v>
      </c>
      <c r="B4661" s="1" t="s">
        <v>3589</v>
      </c>
      <c r="C4661" t="s">
        <v>622</v>
      </c>
      <c r="D4661" s="23">
        <v>-9.52</v>
      </c>
      <c r="E4661" t="s">
        <v>35</v>
      </c>
      <c r="F4661" s="2">
        <v>610148001</v>
      </c>
      <c r="G4661" s="2" t="s">
        <v>41</v>
      </c>
      <c r="I4661" s="95" t="s">
        <v>7231</v>
      </c>
      <c r="J4661" t="s">
        <v>42</v>
      </c>
      <c r="K4661" t="s">
        <v>41</v>
      </c>
      <c r="M4661">
        <v>96.86</v>
      </c>
      <c r="N4661" s="4">
        <f t="shared" si="72"/>
        <v>-9.8286186248193269E-2</v>
      </c>
      <c r="O4661" t="s">
        <v>605</v>
      </c>
      <c r="Q4661" s="42" t="s">
        <v>2650</v>
      </c>
    </row>
    <row r="4662" spans="1:17" x14ac:dyDescent="0.25">
      <c r="A4662" s="22">
        <v>45807</v>
      </c>
      <c r="B4662" s="1" t="s">
        <v>2097</v>
      </c>
      <c r="C4662" t="s">
        <v>622</v>
      </c>
      <c r="D4662" s="23">
        <v>-2.38</v>
      </c>
      <c r="E4662" t="s">
        <v>35</v>
      </c>
      <c r="F4662" s="2">
        <v>610148001</v>
      </c>
      <c r="G4662" s="2" t="s">
        <v>41</v>
      </c>
      <c r="I4662" s="95" t="s">
        <v>7231</v>
      </c>
      <c r="J4662" t="s">
        <v>42</v>
      </c>
      <c r="K4662" t="s">
        <v>41</v>
      </c>
      <c r="M4662">
        <v>96.86</v>
      </c>
      <c r="N4662" s="4">
        <f t="shared" si="72"/>
        <v>-2.4571546562048317E-2</v>
      </c>
      <c r="O4662" t="s">
        <v>605</v>
      </c>
      <c r="Q4662" s="42" t="s">
        <v>2650</v>
      </c>
    </row>
    <row r="4663" spans="1:17" x14ac:dyDescent="0.25">
      <c r="A4663" s="22">
        <v>45807</v>
      </c>
      <c r="B4663" s="1" t="s">
        <v>2086</v>
      </c>
      <c r="C4663" t="s">
        <v>622</v>
      </c>
      <c r="D4663" s="23">
        <v>-0.15</v>
      </c>
      <c r="E4663" t="s">
        <v>35</v>
      </c>
      <c r="F4663" s="2">
        <v>610148001</v>
      </c>
      <c r="G4663" s="2" t="s">
        <v>41</v>
      </c>
      <c r="I4663" s="95" t="s">
        <v>7231</v>
      </c>
      <c r="J4663" t="s">
        <v>42</v>
      </c>
      <c r="K4663" t="s">
        <v>41</v>
      </c>
      <c r="M4663">
        <v>96.86</v>
      </c>
      <c r="N4663" s="4">
        <f t="shared" si="72"/>
        <v>-1.548626884162709E-3</v>
      </c>
      <c r="O4663" t="s">
        <v>605</v>
      </c>
      <c r="Q4663" s="42" t="s">
        <v>2650</v>
      </c>
    </row>
    <row r="4664" spans="1:17" x14ac:dyDescent="0.25">
      <c r="A4664" s="22">
        <v>45807</v>
      </c>
      <c r="B4664" s="1" t="s">
        <v>1912</v>
      </c>
      <c r="C4664" t="s">
        <v>622</v>
      </c>
      <c r="D4664" s="23">
        <v>-17.12</v>
      </c>
      <c r="E4664" t="s">
        <v>35</v>
      </c>
      <c r="F4664" s="2">
        <v>610148001</v>
      </c>
      <c r="G4664" s="2" t="s">
        <v>41</v>
      </c>
      <c r="I4664" s="95" t="s">
        <v>7231</v>
      </c>
      <c r="J4664" t="s">
        <v>42</v>
      </c>
      <c r="K4664" t="s">
        <v>41</v>
      </c>
      <c r="M4664">
        <v>96.86</v>
      </c>
      <c r="N4664" s="4">
        <f t="shared" si="72"/>
        <v>-0.17674994837910388</v>
      </c>
      <c r="O4664" t="s">
        <v>605</v>
      </c>
      <c r="Q4664" s="42" t="s">
        <v>2650</v>
      </c>
    </row>
    <row r="4665" spans="1:17" x14ac:dyDescent="0.25">
      <c r="A4665" s="22">
        <v>45807</v>
      </c>
      <c r="B4665" s="1" t="s">
        <v>2066</v>
      </c>
      <c r="C4665" t="s">
        <v>622</v>
      </c>
      <c r="D4665" s="23">
        <v>-95.07</v>
      </c>
      <c r="E4665" t="s">
        <v>35</v>
      </c>
      <c r="F4665" s="2">
        <v>610148001</v>
      </c>
      <c r="G4665" s="2" t="s">
        <v>41</v>
      </c>
      <c r="I4665" s="95" t="s">
        <v>7231</v>
      </c>
      <c r="J4665" t="s">
        <v>42</v>
      </c>
      <c r="K4665" t="s">
        <v>41</v>
      </c>
      <c r="M4665">
        <v>96.86</v>
      </c>
      <c r="N4665" s="4">
        <f t="shared" si="72"/>
        <v>-0.98151971918232495</v>
      </c>
      <c r="O4665" t="s">
        <v>605</v>
      </c>
      <c r="Q4665" s="42" t="s">
        <v>2650</v>
      </c>
    </row>
    <row r="4666" spans="1:17" x14ac:dyDescent="0.25">
      <c r="A4666" s="22">
        <v>45807</v>
      </c>
      <c r="B4666" s="1" t="s">
        <v>2109</v>
      </c>
      <c r="C4666" t="s">
        <v>622</v>
      </c>
      <c r="D4666" s="23">
        <v>-2.38</v>
      </c>
      <c r="E4666" t="s">
        <v>35</v>
      </c>
      <c r="F4666" s="2">
        <v>610148001</v>
      </c>
      <c r="G4666" s="2" t="s">
        <v>41</v>
      </c>
      <c r="I4666" s="95" t="s">
        <v>7231</v>
      </c>
      <c r="J4666" t="s">
        <v>42</v>
      </c>
      <c r="K4666" t="s">
        <v>41</v>
      </c>
      <c r="M4666">
        <v>96.86</v>
      </c>
      <c r="N4666" s="4">
        <f t="shared" si="72"/>
        <v>-2.4571546562048317E-2</v>
      </c>
      <c r="O4666" t="s">
        <v>605</v>
      </c>
      <c r="Q4666" s="42" t="s">
        <v>2650</v>
      </c>
    </row>
    <row r="4667" spans="1:17" x14ac:dyDescent="0.25">
      <c r="A4667" s="22">
        <v>45807</v>
      </c>
      <c r="B4667" s="1" t="s">
        <v>2057</v>
      </c>
      <c r="C4667" t="s">
        <v>622</v>
      </c>
      <c r="D4667" s="23">
        <v>-2.38</v>
      </c>
      <c r="E4667" t="s">
        <v>35</v>
      </c>
      <c r="F4667" s="2">
        <v>610148001</v>
      </c>
      <c r="G4667" s="2" t="s">
        <v>41</v>
      </c>
      <c r="I4667" s="95" t="s">
        <v>7231</v>
      </c>
      <c r="J4667" t="s">
        <v>42</v>
      </c>
      <c r="K4667" t="s">
        <v>41</v>
      </c>
      <c r="M4667">
        <v>96.86</v>
      </c>
      <c r="N4667" s="4">
        <f t="shared" si="72"/>
        <v>-2.4571546562048317E-2</v>
      </c>
      <c r="O4667" t="s">
        <v>605</v>
      </c>
      <c r="Q4667" s="42" t="s">
        <v>2650</v>
      </c>
    </row>
    <row r="4668" spans="1:17" x14ac:dyDescent="0.25">
      <c r="A4668" s="22">
        <v>45807</v>
      </c>
      <c r="B4668" s="1" t="s">
        <v>2100</v>
      </c>
      <c r="C4668" t="s">
        <v>622</v>
      </c>
      <c r="D4668" s="23">
        <v>-0.15</v>
      </c>
      <c r="E4668" t="s">
        <v>35</v>
      </c>
      <c r="F4668" s="2">
        <v>610148001</v>
      </c>
      <c r="G4668" s="2" t="s">
        <v>41</v>
      </c>
      <c r="I4668" s="95" t="s">
        <v>7231</v>
      </c>
      <c r="J4668" t="s">
        <v>42</v>
      </c>
      <c r="K4668" t="s">
        <v>41</v>
      </c>
      <c r="M4668">
        <v>96.86</v>
      </c>
      <c r="N4668" s="4">
        <f t="shared" si="72"/>
        <v>-1.548626884162709E-3</v>
      </c>
      <c r="O4668" t="s">
        <v>605</v>
      </c>
      <c r="Q4668" s="42" t="s">
        <v>2650</v>
      </c>
    </row>
    <row r="4669" spans="1:17" x14ac:dyDescent="0.25">
      <c r="A4669" s="22">
        <v>45807</v>
      </c>
      <c r="B4669" s="1" t="s">
        <v>2111</v>
      </c>
      <c r="C4669" t="s">
        <v>622</v>
      </c>
      <c r="D4669" s="23">
        <v>-0.15</v>
      </c>
      <c r="E4669" t="s">
        <v>35</v>
      </c>
      <c r="F4669" s="2">
        <v>610148001</v>
      </c>
      <c r="G4669" s="2" t="s">
        <v>41</v>
      </c>
      <c r="I4669" s="95" t="s">
        <v>7231</v>
      </c>
      <c r="J4669" t="s">
        <v>42</v>
      </c>
      <c r="K4669" t="s">
        <v>41</v>
      </c>
      <c r="M4669">
        <v>96.86</v>
      </c>
      <c r="N4669" s="4">
        <f t="shared" si="72"/>
        <v>-1.548626884162709E-3</v>
      </c>
      <c r="O4669" t="s">
        <v>605</v>
      </c>
      <c r="Q4669" s="42" t="s">
        <v>2650</v>
      </c>
    </row>
    <row r="4670" spans="1:17" x14ac:dyDescent="0.25">
      <c r="A4670" s="22">
        <v>45807</v>
      </c>
      <c r="B4670" s="1" t="s">
        <v>3590</v>
      </c>
      <c r="C4670" t="s">
        <v>622</v>
      </c>
      <c r="D4670" s="23">
        <v>-0.15</v>
      </c>
      <c r="E4670" t="s">
        <v>35</v>
      </c>
      <c r="F4670" s="2">
        <v>610148001</v>
      </c>
      <c r="G4670" s="2" t="s">
        <v>41</v>
      </c>
      <c r="I4670" s="95" t="s">
        <v>7231</v>
      </c>
      <c r="J4670" t="s">
        <v>42</v>
      </c>
      <c r="K4670" t="s">
        <v>41</v>
      </c>
      <c r="M4670">
        <v>96.86</v>
      </c>
      <c r="N4670" s="4">
        <f t="shared" si="72"/>
        <v>-1.548626884162709E-3</v>
      </c>
      <c r="O4670" t="s">
        <v>605</v>
      </c>
      <c r="Q4670" s="42" t="s">
        <v>2650</v>
      </c>
    </row>
    <row r="4671" spans="1:17" x14ac:dyDescent="0.25">
      <c r="A4671" s="22">
        <v>45807</v>
      </c>
      <c r="B4671" s="1" t="s">
        <v>3591</v>
      </c>
      <c r="C4671" t="s">
        <v>622</v>
      </c>
      <c r="D4671" s="23">
        <v>-0.15</v>
      </c>
      <c r="E4671" t="s">
        <v>35</v>
      </c>
      <c r="F4671" s="2">
        <v>610148001</v>
      </c>
      <c r="G4671" s="2" t="s">
        <v>41</v>
      </c>
      <c r="I4671" s="95" t="s">
        <v>7231</v>
      </c>
      <c r="J4671" t="s">
        <v>42</v>
      </c>
      <c r="K4671" t="s">
        <v>41</v>
      </c>
      <c r="M4671">
        <v>96.86</v>
      </c>
      <c r="N4671" s="4">
        <f t="shared" si="72"/>
        <v>-1.548626884162709E-3</v>
      </c>
      <c r="O4671" t="s">
        <v>605</v>
      </c>
      <c r="Q4671" s="42" t="s">
        <v>2650</v>
      </c>
    </row>
    <row r="4672" spans="1:17" x14ac:dyDescent="0.25">
      <c r="A4672" s="22">
        <v>45807</v>
      </c>
      <c r="B4672" s="1" t="s">
        <v>3592</v>
      </c>
      <c r="C4672" t="s">
        <v>622</v>
      </c>
      <c r="D4672" s="23">
        <v>-0.15</v>
      </c>
      <c r="E4672" t="s">
        <v>35</v>
      </c>
      <c r="F4672" s="2">
        <v>610148001</v>
      </c>
      <c r="G4672" s="2" t="s">
        <v>41</v>
      </c>
      <c r="I4672" s="95" t="s">
        <v>7231</v>
      </c>
      <c r="J4672" t="s">
        <v>42</v>
      </c>
      <c r="K4672" t="s">
        <v>41</v>
      </c>
      <c r="M4672">
        <v>96.86</v>
      </c>
      <c r="N4672" s="4">
        <f t="shared" si="72"/>
        <v>-1.548626884162709E-3</v>
      </c>
      <c r="O4672" t="s">
        <v>605</v>
      </c>
      <c r="Q4672" s="42" t="s">
        <v>2650</v>
      </c>
    </row>
    <row r="4673" spans="1:17" x14ac:dyDescent="0.25">
      <c r="A4673" s="22">
        <v>45807</v>
      </c>
      <c r="B4673" s="1" t="s">
        <v>3593</v>
      </c>
      <c r="C4673" t="s">
        <v>622</v>
      </c>
      <c r="D4673" s="23">
        <v>-9.52</v>
      </c>
      <c r="E4673" t="s">
        <v>35</v>
      </c>
      <c r="F4673" s="2">
        <v>610148001</v>
      </c>
      <c r="G4673" s="2" t="s">
        <v>41</v>
      </c>
      <c r="I4673" s="95" t="s">
        <v>7231</v>
      </c>
      <c r="J4673" t="s">
        <v>42</v>
      </c>
      <c r="K4673" t="s">
        <v>41</v>
      </c>
      <c r="M4673">
        <v>96.86</v>
      </c>
      <c r="N4673" s="4">
        <f t="shared" si="72"/>
        <v>-9.8286186248193269E-2</v>
      </c>
      <c r="O4673" t="s">
        <v>605</v>
      </c>
      <c r="Q4673" s="42" t="s">
        <v>2650</v>
      </c>
    </row>
    <row r="4674" spans="1:17" x14ac:dyDescent="0.25">
      <c r="A4674" s="22">
        <v>45807</v>
      </c>
      <c r="B4674" s="1" t="s">
        <v>3594</v>
      </c>
      <c r="C4674" t="s">
        <v>622</v>
      </c>
      <c r="D4674" s="23">
        <v>-9.52</v>
      </c>
      <c r="E4674" t="s">
        <v>35</v>
      </c>
      <c r="F4674" s="2">
        <v>610148001</v>
      </c>
      <c r="G4674" s="2" t="s">
        <v>41</v>
      </c>
      <c r="I4674" s="95" t="s">
        <v>7231</v>
      </c>
      <c r="J4674" t="s">
        <v>42</v>
      </c>
      <c r="K4674" t="s">
        <v>41</v>
      </c>
      <c r="M4674">
        <v>96.86</v>
      </c>
      <c r="N4674" s="4">
        <f t="shared" si="72"/>
        <v>-9.8286186248193269E-2</v>
      </c>
      <c r="O4674" t="s">
        <v>605</v>
      </c>
      <c r="Q4674" s="42" t="s">
        <v>2650</v>
      </c>
    </row>
    <row r="4675" spans="1:17" x14ac:dyDescent="0.25">
      <c r="A4675" s="22">
        <v>45807</v>
      </c>
      <c r="B4675" s="1" t="s">
        <v>3595</v>
      </c>
      <c r="C4675" t="s">
        <v>622</v>
      </c>
      <c r="D4675" s="23">
        <v>-9.52</v>
      </c>
      <c r="E4675" t="s">
        <v>35</v>
      </c>
      <c r="F4675" s="2">
        <v>610148001</v>
      </c>
      <c r="G4675" s="2" t="s">
        <v>41</v>
      </c>
      <c r="I4675" s="95" t="s">
        <v>7231</v>
      </c>
      <c r="J4675" t="s">
        <v>42</v>
      </c>
      <c r="K4675" t="s">
        <v>41</v>
      </c>
      <c r="M4675">
        <v>96.86</v>
      </c>
      <c r="N4675" s="4">
        <f t="shared" si="72"/>
        <v>-9.8286186248193269E-2</v>
      </c>
      <c r="O4675" t="s">
        <v>605</v>
      </c>
      <c r="Q4675" s="42" t="s">
        <v>2650</v>
      </c>
    </row>
    <row r="4676" spans="1:17" x14ac:dyDescent="0.25">
      <c r="A4676" s="22">
        <v>45807</v>
      </c>
      <c r="B4676" s="1" t="s">
        <v>3596</v>
      </c>
      <c r="C4676" t="s">
        <v>622</v>
      </c>
      <c r="D4676" s="23">
        <v>-9.52</v>
      </c>
      <c r="E4676" t="s">
        <v>35</v>
      </c>
      <c r="F4676" s="2">
        <v>610148001</v>
      </c>
      <c r="G4676" s="2" t="s">
        <v>41</v>
      </c>
      <c r="I4676" s="95" t="s">
        <v>7231</v>
      </c>
      <c r="J4676" t="s">
        <v>42</v>
      </c>
      <c r="K4676" t="s">
        <v>41</v>
      </c>
      <c r="M4676">
        <v>96.86</v>
      </c>
      <c r="N4676" s="4">
        <f t="shared" si="72"/>
        <v>-9.8286186248193269E-2</v>
      </c>
      <c r="O4676" t="s">
        <v>605</v>
      </c>
      <c r="Q4676" s="42" t="s">
        <v>2650</v>
      </c>
    </row>
    <row r="4677" spans="1:17" x14ac:dyDescent="0.25">
      <c r="A4677" s="22">
        <v>45807</v>
      </c>
      <c r="B4677" s="1" t="s">
        <v>3597</v>
      </c>
      <c r="C4677" t="s">
        <v>622</v>
      </c>
      <c r="D4677" s="23">
        <v>-9.52</v>
      </c>
      <c r="E4677" t="s">
        <v>35</v>
      </c>
      <c r="F4677" s="2">
        <v>610148001</v>
      </c>
      <c r="G4677" s="2" t="s">
        <v>41</v>
      </c>
      <c r="I4677" s="95" t="s">
        <v>7231</v>
      </c>
      <c r="J4677" t="s">
        <v>42</v>
      </c>
      <c r="K4677" t="s">
        <v>41</v>
      </c>
      <c r="M4677">
        <v>96.86</v>
      </c>
      <c r="N4677" s="4">
        <f t="shared" si="72"/>
        <v>-9.8286186248193269E-2</v>
      </c>
      <c r="O4677" t="s">
        <v>605</v>
      </c>
      <c r="Q4677" s="42" t="s">
        <v>2650</v>
      </c>
    </row>
    <row r="4678" spans="1:17" x14ac:dyDescent="0.25">
      <c r="A4678" s="22">
        <v>45807</v>
      </c>
      <c r="B4678" s="1" t="s">
        <v>3598</v>
      </c>
      <c r="C4678" t="s">
        <v>622</v>
      </c>
      <c r="D4678" s="23">
        <v>-9.52</v>
      </c>
      <c r="E4678" t="s">
        <v>35</v>
      </c>
      <c r="F4678" s="2">
        <v>610148001</v>
      </c>
      <c r="G4678" s="2" t="s">
        <v>41</v>
      </c>
      <c r="I4678" s="95" t="s">
        <v>7231</v>
      </c>
      <c r="J4678" t="s">
        <v>42</v>
      </c>
      <c r="K4678" t="s">
        <v>41</v>
      </c>
      <c r="M4678">
        <v>96.86</v>
      </c>
      <c r="N4678" s="4">
        <f t="shared" si="72"/>
        <v>-9.8286186248193269E-2</v>
      </c>
      <c r="O4678" t="s">
        <v>605</v>
      </c>
      <c r="Q4678" s="42" t="s">
        <v>2650</v>
      </c>
    </row>
    <row r="4679" spans="1:17" x14ac:dyDescent="0.25">
      <c r="A4679" s="22">
        <v>45807</v>
      </c>
      <c r="B4679" s="1" t="s">
        <v>3599</v>
      </c>
      <c r="C4679" t="s">
        <v>622</v>
      </c>
      <c r="D4679" s="23">
        <v>-9.52</v>
      </c>
      <c r="E4679" t="s">
        <v>35</v>
      </c>
      <c r="F4679" s="2">
        <v>610148001</v>
      </c>
      <c r="G4679" s="2" t="s">
        <v>41</v>
      </c>
      <c r="I4679" s="95" t="s">
        <v>7231</v>
      </c>
      <c r="J4679" t="s">
        <v>42</v>
      </c>
      <c r="K4679" t="s">
        <v>41</v>
      </c>
      <c r="M4679">
        <v>96.86</v>
      </c>
      <c r="N4679" s="4">
        <f t="shared" si="72"/>
        <v>-9.8286186248193269E-2</v>
      </c>
      <c r="O4679" t="s">
        <v>605</v>
      </c>
      <c r="Q4679" s="42" t="s">
        <v>2650</v>
      </c>
    </row>
    <row r="4680" spans="1:17" x14ac:dyDescent="0.25">
      <c r="A4680" s="22">
        <v>45807</v>
      </c>
      <c r="B4680" s="1" t="s">
        <v>3600</v>
      </c>
      <c r="C4680" t="s">
        <v>622</v>
      </c>
      <c r="D4680" s="23">
        <v>-21.42</v>
      </c>
      <c r="E4680" t="s">
        <v>35</v>
      </c>
      <c r="F4680" s="2">
        <v>610148001</v>
      </c>
      <c r="G4680" s="2" t="s">
        <v>41</v>
      </c>
      <c r="I4680" s="95" t="s">
        <v>7231</v>
      </c>
      <c r="J4680" t="s">
        <v>42</v>
      </c>
      <c r="K4680" t="s">
        <v>41</v>
      </c>
      <c r="M4680">
        <v>96.86</v>
      </c>
      <c r="N4680" s="4">
        <f t="shared" si="72"/>
        <v>-0.22114391905843486</v>
      </c>
      <c r="O4680" t="s">
        <v>605</v>
      </c>
      <c r="Q4680" s="42" t="s">
        <v>2650</v>
      </c>
    </row>
    <row r="4681" spans="1:17" x14ac:dyDescent="0.25">
      <c r="A4681" s="22">
        <v>45807</v>
      </c>
      <c r="B4681" s="1" t="s">
        <v>3601</v>
      </c>
      <c r="C4681" t="s">
        <v>622</v>
      </c>
      <c r="D4681" s="23">
        <v>-9.52</v>
      </c>
      <c r="E4681" t="s">
        <v>35</v>
      </c>
      <c r="F4681" s="2">
        <v>610148001</v>
      </c>
      <c r="G4681" s="2" t="s">
        <v>41</v>
      </c>
      <c r="I4681" s="95" t="s">
        <v>7231</v>
      </c>
      <c r="J4681" t="s">
        <v>42</v>
      </c>
      <c r="K4681" t="s">
        <v>41</v>
      </c>
      <c r="M4681">
        <v>96.86</v>
      </c>
      <c r="N4681" s="4">
        <f t="shared" si="72"/>
        <v>-9.8286186248193269E-2</v>
      </c>
      <c r="O4681" t="s">
        <v>605</v>
      </c>
      <c r="Q4681" s="42" t="s">
        <v>2650</v>
      </c>
    </row>
    <row r="4682" spans="1:17" x14ac:dyDescent="0.25">
      <c r="A4682" s="22">
        <v>45807</v>
      </c>
      <c r="B4682" s="1" t="s">
        <v>3602</v>
      </c>
      <c r="C4682" t="s">
        <v>622</v>
      </c>
      <c r="D4682" s="23">
        <v>-9.52</v>
      </c>
      <c r="E4682" t="s">
        <v>35</v>
      </c>
      <c r="F4682" s="2">
        <v>610148001</v>
      </c>
      <c r="G4682" s="2" t="s">
        <v>41</v>
      </c>
      <c r="I4682" s="95" t="s">
        <v>7231</v>
      </c>
      <c r="J4682" t="s">
        <v>42</v>
      </c>
      <c r="K4682" t="s">
        <v>41</v>
      </c>
      <c r="M4682">
        <v>96.86</v>
      </c>
      <c r="N4682" s="4">
        <f t="shared" si="72"/>
        <v>-9.8286186248193269E-2</v>
      </c>
      <c r="O4682" t="s">
        <v>605</v>
      </c>
      <c r="Q4682" s="42" t="s">
        <v>2650</v>
      </c>
    </row>
    <row r="4683" spans="1:17" x14ac:dyDescent="0.25">
      <c r="A4683" s="22">
        <v>45807</v>
      </c>
      <c r="B4683" s="1" t="s">
        <v>3603</v>
      </c>
      <c r="C4683" t="s">
        <v>622</v>
      </c>
      <c r="D4683" s="23">
        <v>-9.52</v>
      </c>
      <c r="E4683" t="s">
        <v>35</v>
      </c>
      <c r="F4683" s="2">
        <v>610148001</v>
      </c>
      <c r="G4683" s="2" t="s">
        <v>41</v>
      </c>
      <c r="I4683" s="95" t="s">
        <v>7231</v>
      </c>
      <c r="J4683" t="s">
        <v>42</v>
      </c>
      <c r="K4683" t="s">
        <v>41</v>
      </c>
      <c r="M4683">
        <v>96.86</v>
      </c>
      <c r="N4683" s="4">
        <f t="shared" si="72"/>
        <v>-9.8286186248193269E-2</v>
      </c>
      <c r="O4683" t="s">
        <v>605</v>
      </c>
      <c r="Q4683" s="42" t="s">
        <v>2650</v>
      </c>
    </row>
    <row r="4684" spans="1:17" x14ac:dyDescent="0.25">
      <c r="A4684" s="22">
        <v>45807</v>
      </c>
      <c r="B4684" s="1" t="s">
        <v>1914</v>
      </c>
      <c r="C4684" t="s">
        <v>622</v>
      </c>
      <c r="D4684" s="23">
        <v>-8.1999999999999993</v>
      </c>
      <c r="E4684" t="s">
        <v>35</v>
      </c>
      <c r="F4684" s="2">
        <v>610148001</v>
      </c>
      <c r="G4684" s="2" t="s">
        <v>41</v>
      </c>
      <c r="I4684" s="95" t="s">
        <v>7231</v>
      </c>
      <c r="J4684" t="s">
        <v>42</v>
      </c>
      <c r="K4684" t="s">
        <v>41</v>
      </c>
      <c r="M4684">
        <v>96.86</v>
      </c>
      <c r="N4684" s="4">
        <f t="shared" ref="N4684:N4747" si="73">D4684/M4684</f>
        <v>-8.4658269667561417E-2</v>
      </c>
      <c r="O4684" t="s">
        <v>605</v>
      </c>
      <c r="Q4684" s="42" t="s">
        <v>2650</v>
      </c>
    </row>
    <row r="4685" spans="1:17" x14ac:dyDescent="0.25">
      <c r="A4685" s="22">
        <v>45807</v>
      </c>
      <c r="B4685" s="1" t="s">
        <v>2072</v>
      </c>
      <c r="C4685" t="s">
        <v>622</v>
      </c>
      <c r="D4685" s="23">
        <v>-17.79</v>
      </c>
      <c r="E4685" t="s">
        <v>35</v>
      </c>
      <c r="F4685" s="2">
        <v>610148001</v>
      </c>
      <c r="G4685" s="2" t="s">
        <v>41</v>
      </c>
      <c r="I4685" s="95" t="s">
        <v>7231</v>
      </c>
      <c r="J4685" t="s">
        <v>42</v>
      </c>
      <c r="K4685" t="s">
        <v>41</v>
      </c>
      <c r="M4685">
        <v>96.86</v>
      </c>
      <c r="N4685" s="4">
        <f t="shared" si="73"/>
        <v>-0.18366714846169729</v>
      </c>
      <c r="O4685" t="s">
        <v>605</v>
      </c>
      <c r="Q4685" s="42" t="s">
        <v>2650</v>
      </c>
    </row>
    <row r="4686" spans="1:17" x14ac:dyDescent="0.25">
      <c r="A4686" s="22">
        <v>45807</v>
      </c>
      <c r="B4686" s="1" t="s">
        <v>2112</v>
      </c>
      <c r="C4686" t="s">
        <v>622</v>
      </c>
      <c r="D4686" s="23">
        <v>-9.39</v>
      </c>
      <c r="E4686" t="s">
        <v>35</v>
      </c>
      <c r="F4686" s="2">
        <v>610148001</v>
      </c>
      <c r="G4686" s="2" t="s">
        <v>41</v>
      </c>
      <c r="I4686" s="95" t="s">
        <v>7231</v>
      </c>
      <c r="J4686" t="s">
        <v>42</v>
      </c>
      <c r="K4686" t="s">
        <v>41</v>
      </c>
      <c r="M4686">
        <v>96.86</v>
      </c>
      <c r="N4686" s="4">
        <f t="shared" si="73"/>
        <v>-9.6944042948585593E-2</v>
      </c>
      <c r="O4686" t="s">
        <v>605</v>
      </c>
      <c r="Q4686" s="42" t="s">
        <v>2650</v>
      </c>
    </row>
    <row r="4687" spans="1:17" x14ac:dyDescent="0.25">
      <c r="A4687" s="22">
        <v>45807</v>
      </c>
      <c r="B4687" s="1" t="s">
        <v>2113</v>
      </c>
      <c r="C4687" t="s">
        <v>622</v>
      </c>
      <c r="D4687" s="23">
        <v>-15.35</v>
      </c>
      <c r="E4687" t="s">
        <v>35</v>
      </c>
      <c r="F4687" s="2">
        <v>610148001</v>
      </c>
      <c r="G4687" s="2" t="s">
        <v>41</v>
      </c>
      <c r="I4687" s="95" t="s">
        <v>7231</v>
      </c>
      <c r="J4687" t="s">
        <v>42</v>
      </c>
      <c r="K4687" t="s">
        <v>41</v>
      </c>
      <c r="M4687">
        <v>96.86</v>
      </c>
      <c r="N4687" s="4">
        <f t="shared" si="73"/>
        <v>-0.1584761511459839</v>
      </c>
      <c r="O4687" t="s">
        <v>605</v>
      </c>
      <c r="Q4687" s="42" t="s">
        <v>2650</v>
      </c>
    </row>
    <row r="4688" spans="1:17" x14ac:dyDescent="0.25">
      <c r="A4688" s="22">
        <v>45807</v>
      </c>
      <c r="B4688" s="1" t="s">
        <v>2084</v>
      </c>
      <c r="C4688" t="s">
        <v>622</v>
      </c>
      <c r="D4688" s="23">
        <v>-2.38</v>
      </c>
      <c r="E4688" t="s">
        <v>35</v>
      </c>
      <c r="F4688" s="2">
        <v>610148001</v>
      </c>
      <c r="G4688" s="2" t="s">
        <v>41</v>
      </c>
      <c r="I4688" s="95" t="s">
        <v>7231</v>
      </c>
      <c r="J4688" t="s">
        <v>42</v>
      </c>
      <c r="K4688" t="s">
        <v>41</v>
      </c>
      <c r="M4688">
        <v>96.86</v>
      </c>
      <c r="N4688" s="4">
        <f t="shared" si="73"/>
        <v>-2.4571546562048317E-2</v>
      </c>
      <c r="O4688" t="s">
        <v>605</v>
      </c>
      <c r="Q4688" s="42" t="s">
        <v>2650</v>
      </c>
    </row>
    <row r="4689" spans="1:17" x14ac:dyDescent="0.25">
      <c r="A4689" s="22">
        <v>45807</v>
      </c>
      <c r="B4689" s="1" t="s">
        <v>2108</v>
      </c>
      <c r="C4689" t="s">
        <v>622</v>
      </c>
      <c r="D4689" s="23">
        <v>-14.28</v>
      </c>
      <c r="E4689" t="s">
        <v>35</v>
      </c>
      <c r="F4689" s="2">
        <v>610148001</v>
      </c>
      <c r="G4689" s="2" t="s">
        <v>41</v>
      </c>
      <c r="I4689" s="95" t="s">
        <v>7231</v>
      </c>
      <c r="J4689" t="s">
        <v>42</v>
      </c>
      <c r="K4689" t="s">
        <v>41</v>
      </c>
      <c r="M4689">
        <v>96.86</v>
      </c>
      <c r="N4689" s="4">
        <f t="shared" si="73"/>
        <v>-0.14742927937228989</v>
      </c>
      <c r="O4689" t="s">
        <v>605</v>
      </c>
      <c r="Q4689" s="42" t="s">
        <v>2650</v>
      </c>
    </row>
    <row r="4690" spans="1:17" x14ac:dyDescent="0.25">
      <c r="A4690" s="22">
        <v>45807</v>
      </c>
      <c r="B4690" s="1" t="s">
        <v>2075</v>
      </c>
      <c r="C4690" t="s">
        <v>622</v>
      </c>
      <c r="D4690" s="23">
        <v>-2.38</v>
      </c>
      <c r="E4690" t="s">
        <v>35</v>
      </c>
      <c r="F4690" s="2">
        <v>610148001</v>
      </c>
      <c r="G4690" s="2" t="s">
        <v>41</v>
      </c>
      <c r="I4690" s="95" t="s">
        <v>7231</v>
      </c>
      <c r="J4690" t="s">
        <v>42</v>
      </c>
      <c r="K4690" t="s">
        <v>41</v>
      </c>
      <c r="M4690">
        <v>96.86</v>
      </c>
      <c r="N4690" s="4">
        <f t="shared" si="73"/>
        <v>-2.4571546562048317E-2</v>
      </c>
      <c r="O4690" t="s">
        <v>605</v>
      </c>
      <c r="Q4690" s="42" t="s">
        <v>2650</v>
      </c>
    </row>
    <row r="4691" spans="1:17" x14ac:dyDescent="0.25">
      <c r="A4691" s="22">
        <v>45807</v>
      </c>
      <c r="B4691" s="1" t="s">
        <v>2078</v>
      </c>
      <c r="C4691" t="s">
        <v>622</v>
      </c>
      <c r="D4691" s="23">
        <v>-2.38</v>
      </c>
      <c r="E4691" t="s">
        <v>35</v>
      </c>
      <c r="F4691" s="2">
        <v>610148001</v>
      </c>
      <c r="G4691" s="2" t="s">
        <v>41</v>
      </c>
      <c r="I4691" s="95" t="s">
        <v>7231</v>
      </c>
      <c r="J4691" t="s">
        <v>42</v>
      </c>
      <c r="K4691" t="s">
        <v>41</v>
      </c>
      <c r="M4691">
        <v>96.86</v>
      </c>
      <c r="N4691" s="4">
        <f t="shared" si="73"/>
        <v>-2.4571546562048317E-2</v>
      </c>
      <c r="O4691" t="s">
        <v>605</v>
      </c>
      <c r="Q4691" s="42" t="s">
        <v>2650</v>
      </c>
    </row>
    <row r="4692" spans="1:17" x14ac:dyDescent="0.25">
      <c r="A4692" s="22">
        <v>45807</v>
      </c>
      <c r="B4692" s="1" t="s">
        <v>2094</v>
      </c>
      <c r="C4692" t="s">
        <v>622</v>
      </c>
      <c r="D4692" s="23">
        <v>-2.38</v>
      </c>
      <c r="E4692" t="s">
        <v>35</v>
      </c>
      <c r="F4692" s="2">
        <v>610148001</v>
      </c>
      <c r="G4692" s="2" t="s">
        <v>41</v>
      </c>
      <c r="I4692" s="95" t="s">
        <v>7231</v>
      </c>
      <c r="J4692" t="s">
        <v>42</v>
      </c>
      <c r="K4692" t="s">
        <v>41</v>
      </c>
      <c r="M4692">
        <v>96.86</v>
      </c>
      <c r="N4692" s="4">
        <f t="shared" si="73"/>
        <v>-2.4571546562048317E-2</v>
      </c>
      <c r="O4692" t="s">
        <v>605</v>
      </c>
      <c r="Q4692" s="42" t="s">
        <v>2650</v>
      </c>
    </row>
    <row r="4693" spans="1:17" x14ac:dyDescent="0.25">
      <c r="A4693" s="22">
        <v>45807</v>
      </c>
      <c r="B4693" s="1" t="s">
        <v>2076</v>
      </c>
      <c r="C4693" t="s">
        <v>622</v>
      </c>
      <c r="D4693" s="23">
        <v>-11.78</v>
      </c>
      <c r="E4693" t="s">
        <v>35</v>
      </c>
      <c r="F4693" s="2">
        <v>610148001</v>
      </c>
      <c r="G4693" s="2" t="s">
        <v>41</v>
      </c>
      <c r="I4693" s="95" t="s">
        <v>7231</v>
      </c>
      <c r="J4693" t="s">
        <v>42</v>
      </c>
      <c r="K4693" t="s">
        <v>41</v>
      </c>
      <c r="M4693">
        <v>96.86</v>
      </c>
      <c r="N4693" s="4">
        <f t="shared" si="73"/>
        <v>-0.12161883130291141</v>
      </c>
      <c r="O4693" t="s">
        <v>605</v>
      </c>
      <c r="Q4693" s="42" t="s">
        <v>2650</v>
      </c>
    </row>
    <row r="4694" spans="1:17" x14ac:dyDescent="0.25">
      <c r="A4694" s="22">
        <v>45807</v>
      </c>
      <c r="B4694" s="1" t="s">
        <v>3604</v>
      </c>
      <c r="C4694" t="s">
        <v>622</v>
      </c>
      <c r="D4694" s="23">
        <v>-9.52</v>
      </c>
      <c r="E4694" t="s">
        <v>35</v>
      </c>
      <c r="F4694" s="2">
        <v>610148001</v>
      </c>
      <c r="G4694" s="2" t="s">
        <v>41</v>
      </c>
      <c r="I4694" s="95" t="s">
        <v>7231</v>
      </c>
      <c r="J4694" t="s">
        <v>42</v>
      </c>
      <c r="K4694" t="s">
        <v>41</v>
      </c>
      <c r="M4694">
        <v>96.86</v>
      </c>
      <c r="N4694" s="4">
        <f t="shared" si="73"/>
        <v>-9.8286186248193269E-2</v>
      </c>
      <c r="O4694" t="s">
        <v>605</v>
      </c>
      <c r="Q4694" s="42" t="s">
        <v>2650</v>
      </c>
    </row>
    <row r="4695" spans="1:17" x14ac:dyDescent="0.25">
      <c r="A4695" s="22">
        <v>45807</v>
      </c>
      <c r="B4695" s="1" t="s">
        <v>2059</v>
      </c>
      <c r="C4695" t="s">
        <v>622</v>
      </c>
      <c r="D4695" s="23">
        <v>-0.15</v>
      </c>
      <c r="E4695" t="s">
        <v>35</v>
      </c>
      <c r="F4695" s="2">
        <v>610148001</v>
      </c>
      <c r="G4695" s="2" t="s">
        <v>41</v>
      </c>
      <c r="I4695" s="95" t="s">
        <v>7231</v>
      </c>
      <c r="J4695" t="s">
        <v>42</v>
      </c>
      <c r="K4695" t="s">
        <v>41</v>
      </c>
      <c r="M4695">
        <v>96.86</v>
      </c>
      <c r="N4695" s="4">
        <f t="shared" si="73"/>
        <v>-1.548626884162709E-3</v>
      </c>
      <c r="O4695" t="s">
        <v>605</v>
      </c>
      <c r="Q4695" s="42" t="s">
        <v>2650</v>
      </c>
    </row>
    <row r="4696" spans="1:17" x14ac:dyDescent="0.25">
      <c r="A4696" s="22">
        <v>45807</v>
      </c>
      <c r="B4696" s="1" t="s">
        <v>3605</v>
      </c>
      <c r="C4696" t="s">
        <v>622</v>
      </c>
      <c r="D4696" s="23">
        <v>-0.15</v>
      </c>
      <c r="E4696" t="s">
        <v>35</v>
      </c>
      <c r="F4696" s="2">
        <v>610148001</v>
      </c>
      <c r="G4696" s="2" t="s">
        <v>41</v>
      </c>
      <c r="I4696" s="95" t="s">
        <v>7231</v>
      </c>
      <c r="J4696" t="s">
        <v>42</v>
      </c>
      <c r="K4696" t="s">
        <v>41</v>
      </c>
      <c r="M4696">
        <v>96.86</v>
      </c>
      <c r="N4696" s="4">
        <f t="shared" si="73"/>
        <v>-1.548626884162709E-3</v>
      </c>
      <c r="O4696" t="s">
        <v>605</v>
      </c>
      <c r="Q4696" s="42" t="s">
        <v>2650</v>
      </c>
    </row>
    <row r="4697" spans="1:17" x14ac:dyDescent="0.25">
      <c r="A4697" s="22">
        <v>45807</v>
      </c>
      <c r="B4697" s="1" t="s">
        <v>3606</v>
      </c>
      <c r="C4697" t="s">
        <v>622</v>
      </c>
      <c r="D4697" s="23">
        <v>-0.15</v>
      </c>
      <c r="E4697" t="s">
        <v>35</v>
      </c>
      <c r="F4697" s="2">
        <v>610148001</v>
      </c>
      <c r="G4697" s="2" t="s">
        <v>41</v>
      </c>
      <c r="I4697" s="95" t="s">
        <v>7231</v>
      </c>
      <c r="J4697" t="s">
        <v>42</v>
      </c>
      <c r="K4697" t="s">
        <v>41</v>
      </c>
      <c r="M4697">
        <v>96.86</v>
      </c>
      <c r="N4697" s="4">
        <f t="shared" si="73"/>
        <v>-1.548626884162709E-3</v>
      </c>
      <c r="O4697" t="s">
        <v>605</v>
      </c>
      <c r="Q4697" s="42" t="s">
        <v>2650</v>
      </c>
    </row>
    <row r="4698" spans="1:17" x14ac:dyDescent="0.25">
      <c r="A4698" s="22">
        <v>45807</v>
      </c>
      <c r="B4698" s="1" t="s">
        <v>3607</v>
      </c>
      <c r="C4698" t="s">
        <v>622</v>
      </c>
      <c r="D4698" s="23">
        <v>-0.15</v>
      </c>
      <c r="E4698" t="s">
        <v>35</v>
      </c>
      <c r="F4698" s="2">
        <v>610148001</v>
      </c>
      <c r="G4698" s="2" t="s">
        <v>41</v>
      </c>
      <c r="I4698" s="95" t="s">
        <v>7231</v>
      </c>
      <c r="J4698" t="s">
        <v>42</v>
      </c>
      <c r="K4698" t="s">
        <v>41</v>
      </c>
      <c r="M4698">
        <v>96.86</v>
      </c>
      <c r="N4698" s="4">
        <f t="shared" si="73"/>
        <v>-1.548626884162709E-3</v>
      </c>
      <c r="O4698" t="s">
        <v>605</v>
      </c>
      <c r="Q4698" s="42" t="s">
        <v>2650</v>
      </c>
    </row>
    <row r="4699" spans="1:17" x14ac:dyDescent="0.25">
      <c r="A4699" s="22">
        <v>45807</v>
      </c>
      <c r="B4699" s="1" t="s">
        <v>3608</v>
      </c>
      <c r="C4699" t="s">
        <v>622</v>
      </c>
      <c r="D4699" s="23">
        <v>-0.15</v>
      </c>
      <c r="E4699" t="s">
        <v>35</v>
      </c>
      <c r="F4699" s="2">
        <v>610148001</v>
      </c>
      <c r="G4699" s="2" t="s">
        <v>41</v>
      </c>
      <c r="I4699" s="95" t="s">
        <v>7231</v>
      </c>
      <c r="J4699" t="s">
        <v>42</v>
      </c>
      <c r="K4699" t="s">
        <v>41</v>
      </c>
      <c r="M4699">
        <v>96.86</v>
      </c>
      <c r="N4699" s="4">
        <f t="shared" si="73"/>
        <v>-1.548626884162709E-3</v>
      </c>
      <c r="O4699" t="s">
        <v>605</v>
      </c>
      <c r="Q4699" s="42" t="s">
        <v>2650</v>
      </c>
    </row>
    <row r="4700" spans="1:17" x14ac:dyDescent="0.25">
      <c r="A4700" s="22">
        <v>45807</v>
      </c>
      <c r="B4700" s="1" t="s">
        <v>3609</v>
      </c>
      <c r="C4700" t="s">
        <v>622</v>
      </c>
      <c r="D4700" s="23">
        <v>-9.52</v>
      </c>
      <c r="E4700" t="s">
        <v>35</v>
      </c>
      <c r="F4700" s="2">
        <v>610148001</v>
      </c>
      <c r="G4700" s="2" t="s">
        <v>41</v>
      </c>
      <c r="I4700" s="95" t="s">
        <v>7231</v>
      </c>
      <c r="J4700" t="s">
        <v>42</v>
      </c>
      <c r="K4700" t="s">
        <v>41</v>
      </c>
      <c r="M4700">
        <v>96.86</v>
      </c>
      <c r="N4700" s="4">
        <f t="shared" si="73"/>
        <v>-9.8286186248193269E-2</v>
      </c>
      <c r="O4700" t="s">
        <v>605</v>
      </c>
      <c r="Q4700" s="42" t="s">
        <v>2650</v>
      </c>
    </row>
    <row r="4701" spans="1:17" x14ac:dyDescent="0.25">
      <c r="A4701" s="22">
        <v>45807</v>
      </c>
      <c r="B4701" s="1" t="s">
        <v>3610</v>
      </c>
      <c r="C4701" t="s">
        <v>622</v>
      </c>
      <c r="D4701" s="23">
        <v>-9.52</v>
      </c>
      <c r="E4701" t="s">
        <v>35</v>
      </c>
      <c r="F4701" s="2">
        <v>610148001</v>
      </c>
      <c r="G4701" s="2" t="s">
        <v>41</v>
      </c>
      <c r="I4701" s="95" t="s">
        <v>7231</v>
      </c>
      <c r="J4701" t="s">
        <v>42</v>
      </c>
      <c r="K4701" t="s">
        <v>41</v>
      </c>
      <c r="M4701">
        <v>96.86</v>
      </c>
      <c r="N4701" s="4">
        <f t="shared" si="73"/>
        <v>-9.8286186248193269E-2</v>
      </c>
      <c r="O4701" t="s">
        <v>605</v>
      </c>
      <c r="Q4701" s="42" t="s">
        <v>2650</v>
      </c>
    </row>
    <row r="4702" spans="1:17" x14ac:dyDescent="0.25">
      <c r="A4702" s="22">
        <v>45807</v>
      </c>
      <c r="B4702" s="1" t="s">
        <v>624</v>
      </c>
      <c r="C4702" t="s">
        <v>622</v>
      </c>
      <c r="D4702" s="23">
        <v>-9.39</v>
      </c>
      <c r="E4702" t="s">
        <v>35</v>
      </c>
      <c r="F4702" s="2">
        <v>610148001</v>
      </c>
      <c r="G4702" s="2" t="s">
        <v>41</v>
      </c>
      <c r="I4702" s="95" t="s">
        <v>7231</v>
      </c>
      <c r="J4702" t="s">
        <v>42</v>
      </c>
      <c r="K4702" t="s">
        <v>41</v>
      </c>
      <c r="M4702">
        <v>96.86</v>
      </c>
      <c r="N4702" s="4">
        <f t="shared" si="73"/>
        <v>-9.6944042948585593E-2</v>
      </c>
      <c r="O4702" t="s">
        <v>605</v>
      </c>
      <c r="Q4702" s="42" t="s">
        <v>2650</v>
      </c>
    </row>
    <row r="4703" spans="1:17" x14ac:dyDescent="0.25">
      <c r="A4703" s="22">
        <v>45807</v>
      </c>
      <c r="B4703" s="1" t="s">
        <v>623</v>
      </c>
      <c r="C4703" t="s">
        <v>622</v>
      </c>
      <c r="D4703" s="23">
        <v>-2.4900000000000002</v>
      </c>
      <c r="E4703" t="s">
        <v>35</v>
      </c>
      <c r="F4703" s="2">
        <v>610148001</v>
      </c>
      <c r="G4703" s="2" t="s">
        <v>41</v>
      </c>
      <c r="I4703" s="95" t="s">
        <v>7231</v>
      </c>
      <c r="J4703" t="s">
        <v>42</v>
      </c>
      <c r="K4703" t="s">
        <v>41</v>
      </c>
      <c r="M4703">
        <v>96.86</v>
      </c>
      <c r="N4703" s="4">
        <f t="shared" si="73"/>
        <v>-2.5707206277100974E-2</v>
      </c>
      <c r="O4703" t="s">
        <v>605</v>
      </c>
      <c r="Q4703" s="42" t="s">
        <v>2650</v>
      </c>
    </row>
    <row r="4704" spans="1:17" x14ac:dyDescent="0.25">
      <c r="A4704" s="22">
        <v>45807</v>
      </c>
      <c r="B4704" s="1" t="s">
        <v>2073</v>
      </c>
      <c r="C4704" t="s">
        <v>622</v>
      </c>
      <c r="D4704" s="23">
        <v>-13.37</v>
      </c>
      <c r="E4704" t="s">
        <v>35</v>
      </c>
      <c r="F4704" s="2">
        <v>610148001</v>
      </c>
      <c r="G4704" s="2" t="s">
        <v>41</v>
      </c>
      <c r="I4704" s="95" t="s">
        <v>7231</v>
      </c>
      <c r="J4704" t="s">
        <v>42</v>
      </c>
      <c r="K4704" t="s">
        <v>41</v>
      </c>
      <c r="M4704">
        <v>96.86</v>
      </c>
      <c r="N4704" s="4">
        <f t="shared" si="73"/>
        <v>-0.13803427627503612</v>
      </c>
      <c r="O4704" t="s">
        <v>605</v>
      </c>
      <c r="Q4704" s="42" t="s">
        <v>2650</v>
      </c>
    </row>
    <row r="4705" spans="1:17" x14ac:dyDescent="0.25">
      <c r="A4705" s="22">
        <v>45807</v>
      </c>
      <c r="B4705" s="1" t="s">
        <v>2063</v>
      </c>
      <c r="C4705" t="s">
        <v>622</v>
      </c>
      <c r="D4705" s="23">
        <v>-29.6</v>
      </c>
      <c r="E4705" t="s">
        <v>35</v>
      </c>
      <c r="F4705" s="2">
        <v>610148001</v>
      </c>
      <c r="G4705" s="2" t="s">
        <v>41</v>
      </c>
      <c r="I4705" s="95" t="s">
        <v>7231</v>
      </c>
      <c r="J4705" t="s">
        <v>42</v>
      </c>
      <c r="K4705" t="s">
        <v>41</v>
      </c>
      <c r="M4705">
        <v>96.86</v>
      </c>
      <c r="N4705" s="4">
        <f t="shared" si="73"/>
        <v>-0.3055957051414413</v>
      </c>
      <c r="O4705" t="s">
        <v>605</v>
      </c>
      <c r="Q4705" s="42" t="s">
        <v>2650</v>
      </c>
    </row>
    <row r="4706" spans="1:17" x14ac:dyDescent="0.25">
      <c r="A4706" s="22">
        <v>45807</v>
      </c>
      <c r="B4706" s="1" t="s">
        <v>2082</v>
      </c>
      <c r="C4706" t="s">
        <v>622</v>
      </c>
      <c r="D4706" s="23">
        <v>-9.52</v>
      </c>
      <c r="E4706" t="s">
        <v>35</v>
      </c>
      <c r="F4706" s="2">
        <v>610148001</v>
      </c>
      <c r="G4706" s="2" t="s">
        <v>41</v>
      </c>
      <c r="I4706" s="95" t="s">
        <v>7231</v>
      </c>
      <c r="J4706" t="s">
        <v>42</v>
      </c>
      <c r="K4706" t="s">
        <v>41</v>
      </c>
      <c r="M4706">
        <v>96.86</v>
      </c>
      <c r="N4706" s="4">
        <f t="shared" si="73"/>
        <v>-9.8286186248193269E-2</v>
      </c>
      <c r="O4706" t="s">
        <v>605</v>
      </c>
      <c r="Q4706" s="42" t="s">
        <v>2650</v>
      </c>
    </row>
    <row r="4707" spans="1:17" x14ac:dyDescent="0.25">
      <c r="A4707" s="22">
        <v>45807</v>
      </c>
      <c r="B4707" s="1" t="s">
        <v>2068</v>
      </c>
      <c r="C4707" t="s">
        <v>622</v>
      </c>
      <c r="D4707" s="23">
        <v>-71.430000000000007</v>
      </c>
      <c r="E4707" t="s">
        <v>35</v>
      </c>
      <c r="F4707" s="2">
        <v>610148001</v>
      </c>
      <c r="G4707" s="2" t="s">
        <v>41</v>
      </c>
      <c r="I4707" s="95" t="s">
        <v>7231</v>
      </c>
      <c r="J4707" t="s">
        <v>42</v>
      </c>
      <c r="K4707" t="s">
        <v>41</v>
      </c>
      <c r="M4707">
        <v>96.86</v>
      </c>
      <c r="N4707" s="4">
        <f t="shared" si="73"/>
        <v>-0.73745612223828216</v>
      </c>
      <c r="O4707" t="s">
        <v>605</v>
      </c>
      <c r="Q4707" s="42" t="s">
        <v>2650</v>
      </c>
    </row>
    <row r="4708" spans="1:17" x14ac:dyDescent="0.25">
      <c r="A4708" s="22">
        <v>45807</v>
      </c>
      <c r="B4708" s="1" t="s">
        <v>2077</v>
      </c>
      <c r="C4708" t="s">
        <v>622</v>
      </c>
      <c r="D4708" s="23">
        <v>-14.28</v>
      </c>
      <c r="E4708" t="s">
        <v>35</v>
      </c>
      <c r="F4708" s="2">
        <v>610148001</v>
      </c>
      <c r="G4708" s="2" t="s">
        <v>41</v>
      </c>
      <c r="I4708" s="95" t="s">
        <v>7231</v>
      </c>
      <c r="J4708" t="s">
        <v>42</v>
      </c>
      <c r="K4708" t="s">
        <v>41</v>
      </c>
      <c r="M4708">
        <v>96.86</v>
      </c>
      <c r="N4708" s="4">
        <f t="shared" si="73"/>
        <v>-0.14742927937228989</v>
      </c>
      <c r="O4708" t="s">
        <v>605</v>
      </c>
      <c r="Q4708" s="42" t="s">
        <v>2650</v>
      </c>
    </row>
    <row r="4709" spans="1:17" x14ac:dyDescent="0.25">
      <c r="A4709" s="22">
        <v>45807</v>
      </c>
      <c r="B4709" s="1" t="s">
        <v>2058</v>
      </c>
      <c r="C4709" t="s">
        <v>622</v>
      </c>
      <c r="D4709" s="23">
        <v>-0.02</v>
      </c>
      <c r="E4709" t="s">
        <v>35</v>
      </c>
      <c r="F4709" s="2">
        <v>610148001</v>
      </c>
      <c r="G4709" s="2" t="s">
        <v>41</v>
      </c>
      <c r="I4709" s="95" t="s">
        <v>7231</v>
      </c>
      <c r="J4709" t="s">
        <v>42</v>
      </c>
      <c r="K4709" t="s">
        <v>41</v>
      </c>
      <c r="M4709">
        <v>96.86</v>
      </c>
      <c r="N4709" s="4">
        <f t="shared" si="73"/>
        <v>-2.0648358455502787E-4</v>
      </c>
      <c r="O4709" t="s">
        <v>605</v>
      </c>
      <c r="Q4709" s="42" t="s">
        <v>2650</v>
      </c>
    </row>
    <row r="4710" spans="1:17" x14ac:dyDescent="0.25">
      <c r="A4710" s="22">
        <v>45807</v>
      </c>
      <c r="B4710" s="1" t="s">
        <v>2071</v>
      </c>
      <c r="C4710" t="s">
        <v>622</v>
      </c>
      <c r="D4710" s="23">
        <v>-0.15</v>
      </c>
      <c r="E4710" t="s">
        <v>35</v>
      </c>
      <c r="F4710" s="2">
        <v>610148001</v>
      </c>
      <c r="G4710" s="2" t="s">
        <v>41</v>
      </c>
      <c r="I4710" s="95" t="s">
        <v>7231</v>
      </c>
      <c r="J4710" t="s">
        <v>42</v>
      </c>
      <c r="K4710" t="s">
        <v>41</v>
      </c>
      <c r="M4710">
        <v>96.86</v>
      </c>
      <c r="N4710" s="4">
        <f t="shared" si="73"/>
        <v>-1.548626884162709E-3</v>
      </c>
      <c r="O4710" t="s">
        <v>605</v>
      </c>
      <c r="Q4710" s="42" t="s">
        <v>2650</v>
      </c>
    </row>
    <row r="4711" spans="1:17" x14ac:dyDescent="0.25">
      <c r="A4711" s="22">
        <v>45807</v>
      </c>
      <c r="B4711" s="1" t="s">
        <v>3611</v>
      </c>
      <c r="C4711" t="s">
        <v>622</v>
      </c>
      <c r="D4711" s="23">
        <v>-0.15</v>
      </c>
      <c r="E4711" t="s">
        <v>35</v>
      </c>
      <c r="F4711" s="2">
        <v>610148001</v>
      </c>
      <c r="G4711" s="2" t="s">
        <v>41</v>
      </c>
      <c r="I4711" s="95" t="s">
        <v>7231</v>
      </c>
      <c r="J4711" t="s">
        <v>42</v>
      </c>
      <c r="K4711" t="s">
        <v>41</v>
      </c>
      <c r="M4711">
        <v>96.86</v>
      </c>
      <c r="N4711" s="4">
        <f t="shared" si="73"/>
        <v>-1.548626884162709E-3</v>
      </c>
      <c r="O4711" t="s">
        <v>605</v>
      </c>
      <c r="Q4711" s="42" t="s">
        <v>2650</v>
      </c>
    </row>
    <row r="4712" spans="1:17" x14ac:dyDescent="0.25">
      <c r="A4712" s="22">
        <v>45807</v>
      </c>
      <c r="B4712" s="1" t="s">
        <v>3612</v>
      </c>
      <c r="C4712" t="s">
        <v>622</v>
      </c>
      <c r="D4712" s="23">
        <v>-0.15</v>
      </c>
      <c r="E4712" t="s">
        <v>35</v>
      </c>
      <c r="F4712" s="2">
        <v>610148001</v>
      </c>
      <c r="G4712" s="2" t="s">
        <v>41</v>
      </c>
      <c r="I4712" s="95" t="s">
        <v>7231</v>
      </c>
      <c r="J4712" t="s">
        <v>42</v>
      </c>
      <c r="K4712" t="s">
        <v>41</v>
      </c>
      <c r="M4712">
        <v>96.86</v>
      </c>
      <c r="N4712" s="4">
        <f t="shared" si="73"/>
        <v>-1.548626884162709E-3</v>
      </c>
      <c r="O4712" t="s">
        <v>605</v>
      </c>
      <c r="Q4712" s="42" t="s">
        <v>2650</v>
      </c>
    </row>
    <row r="4713" spans="1:17" x14ac:dyDescent="0.25">
      <c r="A4713" s="22">
        <v>45807</v>
      </c>
      <c r="B4713" s="1" t="s">
        <v>3613</v>
      </c>
      <c r="C4713" t="s">
        <v>622</v>
      </c>
      <c r="D4713" s="23">
        <v>-0.15</v>
      </c>
      <c r="E4713" t="s">
        <v>35</v>
      </c>
      <c r="F4713" s="2">
        <v>610148001</v>
      </c>
      <c r="G4713" s="2" t="s">
        <v>41</v>
      </c>
      <c r="I4713" s="95" t="s">
        <v>7231</v>
      </c>
      <c r="J4713" t="s">
        <v>42</v>
      </c>
      <c r="K4713" t="s">
        <v>41</v>
      </c>
      <c r="M4713">
        <v>96.86</v>
      </c>
      <c r="N4713" s="4">
        <f t="shared" si="73"/>
        <v>-1.548626884162709E-3</v>
      </c>
      <c r="O4713" t="s">
        <v>605</v>
      </c>
      <c r="Q4713" s="42" t="s">
        <v>2650</v>
      </c>
    </row>
    <row r="4714" spans="1:17" x14ac:dyDescent="0.25">
      <c r="A4714" s="22">
        <v>45807</v>
      </c>
      <c r="B4714" s="1" t="s">
        <v>3614</v>
      </c>
      <c r="C4714" t="s">
        <v>622</v>
      </c>
      <c r="D4714" s="23">
        <v>-0.15</v>
      </c>
      <c r="E4714" t="s">
        <v>35</v>
      </c>
      <c r="F4714" s="2">
        <v>610148001</v>
      </c>
      <c r="G4714" s="2" t="s">
        <v>41</v>
      </c>
      <c r="I4714" s="95" t="s">
        <v>7231</v>
      </c>
      <c r="J4714" t="s">
        <v>42</v>
      </c>
      <c r="K4714" t="s">
        <v>41</v>
      </c>
      <c r="M4714">
        <v>96.86</v>
      </c>
      <c r="N4714" s="4">
        <f t="shared" si="73"/>
        <v>-1.548626884162709E-3</v>
      </c>
      <c r="O4714" t="s">
        <v>605</v>
      </c>
      <c r="Q4714" s="42" t="s">
        <v>2650</v>
      </c>
    </row>
    <row r="4715" spans="1:17" x14ac:dyDescent="0.25">
      <c r="A4715" s="22">
        <v>45807</v>
      </c>
      <c r="B4715" s="1" t="s">
        <v>3615</v>
      </c>
      <c r="C4715" t="s">
        <v>622</v>
      </c>
      <c r="D4715" s="23">
        <v>-0.15</v>
      </c>
      <c r="E4715" t="s">
        <v>35</v>
      </c>
      <c r="F4715" s="2">
        <v>610148001</v>
      </c>
      <c r="G4715" s="2" t="s">
        <v>41</v>
      </c>
      <c r="I4715" s="95" t="s">
        <v>7231</v>
      </c>
      <c r="J4715" t="s">
        <v>42</v>
      </c>
      <c r="K4715" t="s">
        <v>41</v>
      </c>
      <c r="M4715">
        <v>96.86</v>
      </c>
      <c r="N4715" s="4">
        <f t="shared" si="73"/>
        <v>-1.548626884162709E-3</v>
      </c>
      <c r="O4715" t="s">
        <v>605</v>
      </c>
      <c r="Q4715" s="42" t="s">
        <v>2650</v>
      </c>
    </row>
    <row r="4716" spans="1:17" x14ac:dyDescent="0.25">
      <c r="A4716" s="22">
        <v>45807</v>
      </c>
      <c r="B4716" s="1" t="s">
        <v>3616</v>
      </c>
      <c r="C4716" t="s">
        <v>622</v>
      </c>
      <c r="D4716" s="23">
        <v>-9.52</v>
      </c>
      <c r="E4716" t="s">
        <v>35</v>
      </c>
      <c r="F4716" s="2">
        <v>610148001</v>
      </c>
      <c r="G4716" s="2" t="s">
        <v>41</v>
      </c>
      <c r="I4716" s="95" t="s">
        <v>7231</v>
      </c>
      <c r="J4716" t="s">
        <v>42</v>
      </c>
      <c r="K4716" t="s">
        <v>41</v>
      </c>
      <c r="M4716">
        <v>96.86</v>
      </c>
      <c r="N4716" s="4">
        <f t="shared" si="73"/>
        <v>-9.8286186248193269E-2</v>
      </c>
      <c r="O4716" t="s">
        <v>605</v>
      </c>
      <c r="Q4716" s="42" t="s">
        <v>2650</v>
      </c>
    </row>
    <row r="4717" spans="1:17" x14ac:dyDescent="0.25">
      <c r="A4717" s="22">
        <v>45807</v>
      </c>
      <c r="B4717" s="1" t="s">
        <v>3617</v>
      </c>
      <c r="C4717" t="s">
        <v>622</v>
      </c>
      <c r="D4717" s="23">
        <v>-9.52</v>
      </c>
      <c r="E4717" t="s">
        <v>35</v>
      </c>
      <c r="F4717" s="2">
        <v>610148001</v>
      </c>
      <c r="G4717" s="2" t="s">
        <v>41</v>
      </c>
      <c r="I4717" s="95" t="s">
        <v>7231</v>
      </c>
      <c r="J4717" t="s">
        <v>42</v>
      </c>
      <c r="K4717" t="s">
        <v>41</v>
      </c>
      <c r="M4717">
        <v>96.86</v>
      </c>
      <c r="N4717" s="4">
        <f t="shared" si="73"/>
        <v>-9.8286186248193269E-2</v>
      </c>
      <c r="O4717" t="s">
        <v>605</v>
      </c>
      <c r="Q4717" s="42" t="s">
        <v>2650</v>
      </c>
    </row>
    <row r="4718" spans="1:17" x14ac:dyDescent="0.25">
      <c r="A4718" s="22">
        <v>45807</v>
      </c>
      <c r="B4718" s="1" t="s">
        <v>3618</v>
      </c>
      <c r="C4718" t="s">
        <v>622</v>
      </c>
      <c r="D4718" s="23">
        <v>-9.52</v>
      </c>
      <c r="E4718" t="s">
        <v>35</v>
      </c>
      <c r="F4718" s="2">
        <v>610148001</v>
      </c>
      <c r="G4718" s="2" t="s">
        <v>41</v>
      </c>
      <c r="I4718" s="95" t="s">
        <v>7231</v>
      </c>
      <c r="J4718" t="s">
        <v>42</v>
      </c>
      <c r="K4718" t="s">
        <v>41</v>
      </c>
      <c r="M4718">
        <v>96.86</v>
      </c>
      <c r="N4718" s="4">
        <f t="shared" si="73"/>
        <v>-9.8286186248193269E-2</v>
      </c>
      <c r="O4718" t="s">
        <v>605</v>
      </c>
      <c r="Q4718" s="42" t="s">
        <v>2650</v>
      </c>
    </row>
    <row r="4719" spans="1:17" x14ac:dyDescent="0.25">
      <c r="A4719" s="22">
        <v>45807</v>
      </c>
      <c r="B4719" s="1" t="s">
        <v>3619</v>
      </c>
      <c r="C4719" t="s">
        <v>622</v>
      </c>
      <c r="D4719" s="23">
        <v>-9.52</v>
      </c>
      <c r="E4719" t="s">
        <v>35</v>
      </c>
      <c r="F4719" s="2">
        <v>610148001</v>
      </c>
      <c r="G4719" s="2" t="s">
        <v>41</v>
      </c>
      <c r="I4719" s="95" t="s">
        <v>7231</v>
      </c>
      <c r="J4719" t="s">
        <v>42</v>
      </c>
      <c r="K4719" t="s">
        <v>41</v>
      </c>
      <c r="M4719">
        <v>96.86</v>
      </c>
      <c r="N4719" s="4">
        <f t="shared" si="73"/>
        <v>-9.8286186248193269E-2</v>
      </c>
      <c r="O4719" t="s">
        <v>605</v>
      </c>
      <c r="Q4719" s="42" t="s">
        <v>2650</v>
      </c>
    </row>
    <row r="4720" spans="1:17" x14ac:dyDescent="0.25">
      <c r="A4720" s="22">
        <v>45807</v>
      </c>
      <c r="B4720" s="1" t="s">
        <v>3620</v>
      </c>
      <c r="C4720" t="s">
        <v>622</v>
      </c>
      <c r="D4720" s="23">
        <v>-9.52</v>
      </c>
      <c r="E4720" t="s">
        <v>35</v>
      </c>
      <c r="F4720" s="2">
        <v>610148001</v>
      </c>
      <c r="G4720" s="2" t="s">
        <v>41</v>
      </c>
      <c r="I4720" s="95" t="s">
        <v>7231</v>
      </c>
      <c r="J4720" t="s">
        <v>42</v>
      </c>
      <c r="K4720" t="s">
        <v>41</v>
      </c>
      <c r="M4720">
        <v>96.86</v>
      </c>
      <c r="N4720" s="4">
        <f t="shared" si="73"/>
        <v>-9.8286186248193269E-2</v>
      </c>
      <c r="O4720" t="s">
        <v>605</v>
      </c>
      <c r="Q4720" s="42" t="s">
        <v>2650</v>
      </c>
    </row>
    <row r="4721" spans="1:17" x14ac:dyDescent="0.25">
      <c r="A4721" s="22">
        <v>45807</v>
      </c>
      <c r="B4721" s="1" t="s">
        <v>3621</v>
      </c>
      <c r="C4721" t="s">
        <v>622</v>
      </c>
      <c r="D4721" s="23">
        <v>-9.52</v>
      </c>
      <c r="E4721" t="s">
        <v>35</v>
      </c>
      <c r="F4721" s="2">
        <v>610148001</v>
      </c>
      <c r="G4721" s="2" t="s">
        <v>41</v>
      </c>
      <c r="I4721" s="95" t="s">
        <v>7231</v>
      </c>
      <c r="J4721" t="s">
        <v>42</v>
      </c>
      <c r="K4721" t="s">
        <v>41</v>
      </c>
      <c r="M4721">
        <v>96.86</v>
      </c>
      <c r="N4721" s="4">
        <f t="shared" si="73"/>
        <v>-9.8286186248193269E-2</v>
      </c>
      <c r="O4721" t="s">
        <v>605</v>
      </c>
      <c r="Q4721" s="42" t="s">
        <v>2650</v>
      </c>
    </row>
    <row r="4722" spans="1:17" x14ac:dyDescent="0.25">
      <c r="A4722" s="22">
        <v>45807</v>
      </c>
      <c r="B4722" s="1" t="s">
        <v>3622</v>
      </c>
      <c r="C4722" t="s">
        <v>622</v>
      </c>
      <c r="D4722" s="23">
        <v>-9.52</v>
      </c>
      <c r="E4722" t="s">
        <v>35</v>
      </c>
      <c r="F4722" s="2">
        <v>610148001</v>
      </c>
      <c r="G4722" s="2" t="s">
        <v>41</v>
      </c>
      <c r="I4722" s="95" t="s">
        <v>7231</v>
      </c>
      <c r="J4722" t="s">
        <v>42</v>
      </c>
      <c r="K4722" t="s">
        <v>41</v>
      </c>
      <c r="M4722">
        <v>96.86</v>
      </c>
      <c r="N4722" s="4">
        <f t="shared" si="73"/>
        <v>-9.8286186248193269E-2</v>
      </c>
      <c r="O4722" t="s">
        <v>605</v>
      </c>
      <c r="Q4722" s="42" t="s">
        <v>2650</v>
      </c>
    </row>
    <row r="4723" spans="1:17" x14ac:dyDescent="0.25">
      <c r="A4723" s="22">
        <v>45807</v>
      </c>
      <c r="B4723" s="1" t="s">
        <v>3623</v>
      </c>
      <c r="C4723" t="s">
        <v>622</v>
      </c>
      <c r="D4723" s="23">
        <v>-9.52</v>
      </c>
      <c r="E4723" t="s">
        <v>35</v>
      </c>
      <c r="F4723" s="2">
        <v>610148001</v>
      </c>
      <c r="G4723" s="2" t="s">
        <v>41</v>
      </c>
      <c r="I4723" s="95" t="s">
        <v>7231</v>
      </c>
      <c r="J4723" t="s">
        <v>42</v>
      </c>
      <c r="K4723" t="s">
        <v>41</v>
      </c>
      <c r="M4723">
        <v>96.86</v>
      </c>
      <c r="N4723" s="4">
        <f t="shared" si="73"/>
        <v>-9.8286186248193269E-2</v>
      </c>
      <c r="O4723" t="s">
        <v>605</v>
      </c>
      <c r="Q4723" s="42" t="s">
        <v>2650</v>
      </c>
    </row>
    <row r="4724" spans="1:17" x14ac:dyDescent="0.25">
      <c r="A4724" s="22">
        <v>45807</v>
      </c>
      <c r="B4724" s="1" t="s">
        <v>1919</v>
      </c>
      <c r="C4724" t="s">
        <v>622</v>
      </c>
      <c r="D4724" s="23">
        <v>-17.75</v>
      </c>
      <c r="E4724" t="s">
        <v>35</v>
      </c>
      <c r="F4724" s="2">
        <v>610148001</v>
      </c>
      <c r="G4724" s="2" t="s">
        <v>41</v>
      </c>
      <c r="I4724" s="95" t="s">
        <v>7231</v>
      </c>
      <c r="J4724" t="s">
        <v>42</v>
      </c>
      <c r="K4724" t="s">
        <v>41</v>
      </c>
      <c r="M4724">
        <v>96.86</v>
      </c>
      <c r="N4724" s="4">
        <f t="shared" si="73"/>
        <v>-0.18325418129258725</v>
      </c>
      <c r="O4724" t="s">
        <v>605</v>
      </c>
      <c r="Q4724" s="42" t="s">
        <v>2650</v>
      </c>
    </row>
    <row r="4725" spans="1:17" x14ac:dyDescent="0.25">
      <c r="A4725" s="22">
        <v>45807</v>
      </c>
      <c r="B4725" s="1" t="s">
        <v>1913</v>
      </c>
      <c r="C4725" t="s">
        <v>622</v>
      </c>
      <c r="D4725" s="23">
        <v>-17.75</v>
      </c>
      <c r="E4725" t="s">
        <v>35</v>
      </c>
      <c r="F4725" s="2">
        <v>610148001</v>
      </c>
      <c r="G4725" s="2" t="s">
        <v>41</v>
      </c>
      <c r="I4725" s="95" t="s">
        <v>7231</v>
      </c>
      <c r="J4725" t="s">
        <v>42</v>
      </c>
      <c r="K4725" t="s">
        <v>41</v>
      </c>
      <c r="M4725">
        <v>96.86</v>
      </c>
      <c r="N4725" s="4">
        <f t="shared" si="73"/>
        <v>-0.18325418129258725</v>
      </c>
      <c r="O4725" t="s">
        <v>605</v>
      </c>
      <c r="Q4725" s="42" t="s">
        <v>2650</v>
      </c>
    </row>
    <row r="4726" spans="1:17" x14ac:dyDescent="0.25">
      <c r="A4726" s="22">
        <v>45807</v>
      </c>
      <c r="B4726" s="1" t="s">
        <v>1920</v>
      </c>
      <c r="C4726" t="s">
        <v>622</v>
      </c>
      <c r="D4726" s="23">
        <v>-29.52</v>
      </c>
      <c r="E4726" t="s">
        <v>35</v>
      </c>
      <c r="F4726" s="2">
        <v>610148001</v>
      </c>
      <c r="G4726" s="2" t="s">
        <v>41</v>
      </c>
      <c r="I4726" s="95" t="s">
        <v>7231</v>
      </c>
      <c r="J4726" t="s">
        <v>42</v>
      </c>
      <c r="K4726" t="s">
        <v>41</v>
      </c>
      <c r="M4726">
        <v>96.86</v>
      </c>
      <c r="N4726" s="4">
        <f t="shared" si="73"/>
        <v>-0.30476977080322115</v>
      </c>
      <c r="O4726" t="s">
        <v>605</v>
      </c>
      <c r="Q4726" s="42" t="s">
        <v>2650</v>
      </c>
    </row>
    <row r="4727" spans="1:17" x14ac:dyDescent="0.25">
      <c r="A4727" s="22">
        <v>45807</v>
      </c>
      <c r="B4727" s="1" t="s">
        <v>2103</v>
      </c>
      <c r="C4727" t="s">
        <v>622</v>
      </c>
      <c r="D4727" s="23">
        <v>-9.32</v>
      </c>
      <c r="E4727" t="s">
        <v>35</v>
      </c>
      <c r="F4727" s="2">
        <v>610148001</v>
      </c>
      <c r="G4727" s="2" t="s">
        <v>41</v>
      </c>
      <c r="I4727" s="95" t="s">
        <v>7231</v>
      </c>
      <c r="J4727" t="s">
        <v>42</v>
      </c>
      <c r="K4727" t="s">
        <v>41</v>
      </c>
      <c r="M4727">
        <v>96.86</v>
      </c>
      <c r="N4727" s="4">
        <f t="shared" si="73"/>
        <v>-9.6221350402642999E-2</v>
      </c>
      <c r="O4727" t="s">
        <v>605</v>
      </c>
      <c r="Q4727" s="42" t="s">
        <v>2650</v>
      </c>
    </row>
    <row r="4728" spans="1:17" x14ac:dyDescent="0.25">
      <c r="A4728" s="22">
        <v>45807</v>
      </c>
      <c r="B4728" s="1" t="s">
        <v>2105</v>
      </c>
      <c r="C4728" t="s">
        <v>622</v>
      </c>
      <c r="D4728" s="23">
        <v>-8.1999999999999993</v>
      </c>
      <c r="E4728" t="s">
        <v>35</v>
      </c>
      <c r="F4728" s="2">
        <v>610148001</v>
      </c>
      <c r="G4728" s="2" t="s">
        <v>41</v>
      </c>
      <c r="I4728" s="95" t="s">
        <v>7231</v>
      </c>
      <c r="J4728" t="s">
        <v>42</v>
      </c>
      <c r="K4728" t="s">
        <v>41</v>
      </c>
      <c r="M4728">
        <v>96.86</v>
      </c>
      <c r="N4728" s="4">
        <f t="shared" si="73"/>
        <v>-8.4658269667561417E-2</v>
      </c>
      <c r="O4728" t="s">
        <v>605</v>
      </c>
      <c r="Q4728" s="42" t="s">
        <v>2650</v>
      </c>
    </row>
    <row r="4729" spans="1:17" x14ac:dyDescent="0.25">
      <c r="A4729" s="22">
        <v>45807</v>
      </c>
      <c r="B4729" s="1" t="s">
        <v>2106</v>
      </c>
      <c r="C4729" t="s">
        <v>622</v>
      </c>
      <c r="D4729" s="23">
        <v>-9.52</v>
      </c>
      <c r="E4729" t="s">
        <v>35</v>
      </c>
      <c r="F4729" s="2">
        <v>610148001</v>
      </c>
      <c r="G4729" s="2" t="s">
        <v>41</v>
      </c>
      <c r="I4729" s="95" t="s">
        <v>7231</v>
      </c>
      <c r="J4729" t="s">
        <v>42</v>
      </c>
      <c r="K4729" t="s">
        <v>41</v>
      </c>
      <c r="M4729">
        <v>96.86</v>
      </c>
      <c r="N4729" s="4">
        <f t="shared" si="73"/>
        <v>-9.8286186248193269E-2</v>
      </c>
      <c r="O4729" t="s">
        <v>605</v>
      </c>
      <c r="Q4729" s="42" t="s">
        <v>2650</v>
      </c>
    </row>
    <row r="4730" spans="1:17" x14ac:dyDescent="0.25">
      <c r="A4730" s="22">
        <v>45807</v>
      </c>
      <c r="B4730" s="1" t="s">
        <v>2067</v>
      </c>
      <c r="C4730" t="s">
        <v>622</v>
      </c>
      <c r="D4730" s="23">
        <v>-9.52</v>
      </c>
      <c r="E4730" t="s">
        <v>35</v>
      </c>
      <c r="F4730" s="2">
        <v>610148001</v>
      </c>
      <c r="G4730" s="2" t="s">
        <v>41</v>
      </c>
      <c r="I4730" s="95" t="s">
        <v>7231</v>
      </c>
      <c r="J4730" t="s">
        <v>42</v>
      </c>
      <c r="K4730" t="s">
        <v>41</v>
      </c>
      <c r="M4730">
        <v>96.86</v>
      </c>
      <c r="N4730" s="4">
        <f t="shared" si="73"/>
        <v>-9.8286186248193269E-2</v>
      </c>
      <c r="O4730" t="s">
        <v>605</v>
      </c>
      <c r="Q4730" s="42" t="s">
        <v>2650</v>
      </c>
    </row>
    <row r="4731" spans="1:17" x14ac:dyDescent="0.25">
      <c r="A4731" s="22">
        <v>45807</v>
      </c>
      <c r="B4731" s="1" t="s">
        <v>2089</v>
      </c>
      <c r="C4731" t="s">
        <v>622</v>
      </c>
      <c r="D4731" s="23">
        <v>-2.38</v>
      </c>
      <c r="E4731" t="s">
        <v>35</v>
      </c>
      <c r="F4731" s="2">
        <v>610148001</v>
      </c>
      <c r="G4731" s="2" t="s">
        <v>41</v>
      </c>
      <c r="I4731" s="95" t="s">
        <v>7231</v>
      </c>
      <c r="J4731" t="s">
        <v>42</v>
      </c>
      <c r="K4731" t="s">
        <v>41</v>
      </c>
      <c r="M4731">
        <v>96.86</v>
      </c>
      <c r="N4731" s="4">
        <f t="shared" si="73"/>
        <v>-2.4571546562048317E-2</v>
      </c>
      <c r="O4731" t="s">
        <v>605</v>
      </c>
      <c r="Q4731" s="42" t="s">
        <v>2650</v>
      </c>
    </row>
    <row r="4732" spans="1:17" x14ac:dyDescent="0.25">
      <c r="A4732" s="22">
        <v>45807</v>
      </c>
      <c r="B4732" s="1" t="s">
        <v>2079</v>
      </c>
      <c r="C4732" t="s">
        <v>622</v>
      </c>
      <c r="D4732" s="23">
        <v>-2.38</v>
      </c>
      <c r="E4732" t="s">
        <v>35</v>
      </c>
      <c r="F4732" s="2">
        <v>610148001</v>
      </c>
      <c r="G4732" s="2" t="s">
        <v>41</v>
      </c>
      <c r="I4732" s="95" t="s">
        <v>7231</v>
      </c>
      <c r="J4732" t="s">
        <v>42</v>
      </c>
      <c r="K4732" t="s">
        <v>41</v>
      </c>
      <c r="M4732">
        <v>96.86</v>
      </c>
      <c r="N4732" s="4">
        <f t="shared" si="73"/>
        <v>-2.4571546562048317E-2</v>
      </c>
      <c r="O4732" t="s">
        <v>605</v>
      </c>
      <c r="Q4732" s="42" t="s">
        <v>2650</v>
      </c>
    </row>
    <row r="4733" spans="1:17" x14ac:dyDescent="0.25">
      <c r="A4733" s="22">
        <v>45807</v>
      </c>
      <c r="B4733" s="1" t="s">
        <v>2098</v>
      </c>
      <c r="C4733" t="s">
        <v>622</v>
      </c>
      <c r="D4733" s="23">
        <v>-2.38</v>
      </c>
      <c r="E4733" t="s">
        <v>35</v>
      </c>
      <c r="F4733" s="2">
        <v>610148001</v>
      </c>
      <c r="G4733" s="2" t="s">
        <v>41</v>
      </c>
      <c r="I4733" s="95" t="s">
        <v>7231</v>
      </c>
      <c r="J4733" t="s">
        <v>42</v>
      </c>
      <c r="K4733" t="s">
        <v>41</v>
      </c>
      <c r="M4733">
        <v>96.86</v>
      </c>
      <c r="N4733" s="4">
        <f t="shared" si="73"/>
        <v>-2.4571546562048317E-2</v>
      </c>
      <c r="O4733" t="s">
        <v>605</v>
      </c>
      <c r="Q4733" s="42" t="s">
        <v>2650</v>
      </c>
    </row>
    <row r="4734" spans="1:17" x14ac:dyDescent="0.25">
      <c r="A4734" s="22">
        <v>45807</v>
      </c>
      <c r="B4734" s="1" t="s">
        <v>3624</v>
      </c>
      <c r="C4734" t="s">
        <v>622</v>
      </c>
      <c r="D4734" s="23">
        <v>-0.15</v>
      </c>
      <c r="E4734" t="s">
        <v>35</v>
      </c>
      <c r="F4734" s="2">
        <v>610148001</v>
      </c>
      <c r="G4734" s="2" t="s">
        <v>41</v>
      </c>
      <c r="I4734" s="95" t="s">
        <v>7231</v>
      </c>
      <c r="J4734" t="s">
        <v>42</v>
      </c>
      <c r="K4734" t="s">
        <v>41</v>
      </c>
      <c r="M4734">
        <v>96.86</v>
      </c>
      <c r="N4734" s="4">
        <f t="shared" si="73"/>
        <v>-1.548626884162709E-3</v>
      </c>
      <c r="O4734" t="s">
        <v>605</v>
      </c>
      <c r="Q4734" s="42" t="s">
        <v>2650</v>
      </c>
    </row>
    <row r="4735" spans="1:17" x14ac:dyDescent="0.25">
      <c r="A4735" s="22">
        <v>45807</v>
      </c>
      <c r="B4735" s="1" t="s">
        <v>3625</v>
      </c>
      <c r="C4735" t="s">
        <v>622</v>
      </c>
      <c r="D4735" s="23">
        <v>-0.15</v>
      </c>
      <c r="E4735" t="s">
        <v>35</v>
      </c>
      <c r="F4735" s="2">
        <v>610148001</v>
      </c>
      <c r="G4735" s="2" t="s">
        <v>41</v>
      </c>
      <c r="I4735" s="95" t="s">
        <v>7231</v>
      </c>
      <c r="J4735" t="s">
        <v>42</v>
      </c>
      <c r="K4735" t="s">
        <v>41</v>
      </c>
      <c r="M4735">
        <v>96.86</v>
      </c>
      <c r="N4735" s="4">
        <f t="shared" si="73"/>
        <v>-1.548626884162709E-3</v>
      </c>
      <c r="O4735" t="s">
        <v>605</v>
      </c>
      <c r="Q4735" s="42" t="s">
        <v>2650</v>
      </c>
    </row>
    <row r="4736" spans="1:17" x14ac:dyDescent="0.25">
      <c r="A4736" s="22">
        <v>45807</v>
      </c>
      <c r="B4736" s="1" t="s">
        <v>3626</v>
      </c>
      <c r="C4736" t="s">
        <v>622</v>
      </c>
      <c r="D4736" s="23">
        <v>-0.15</v>
      </c>
      <c r="E4736" t="s">
        <v>35</v>
      </c>
      <c r="F4736" s="2">
        <v>610148001</v>
      </c>
      <c r="G4736" s="2" t="s">
        <v>41</v>
      </c>
      <c r="I4736" s="95" t="s">
        <v>7231</v>
      </c>
      <c r="J4736" t="s">
        <v>42</v>
      </c>
      <c r="K4736" t="s">
        <v>41</v>
      </c>
      <c r="M4736">
        <v>96.86</v>
      </c>
      <c r="N4736" s="4">
        <f t="shared" si="73"/>
        <v>-1.548626884162709E-3</v>
      </c>
      <c r="O4736" t="s">
        <v>605</v>
      </c>
      <c r="Q4736" s="42" t="s">
        <v>2650</v>
      </c>
    </row>
    <row r="4737" spans="1:17" x14ac:dyDescent="0.25">
      <c r="A4737" s="22">
        <v>45807</v>
      </c>
      <c r="B4737" s="1" t="s">
        <v>3627</v>
      </c>
      <c r="C4737" t="s">
        <v>622</v>
      </c>
      <c r="D4737" s="23">
        <v>-9.52</v>
      </c>
      <c r="E4737" t="s">
        <v>35</v>
      </c>
      <c r="F4737" s="2">
        <v>610148001</v>
      </c>
      <c r="G4737" s="2" t="s">
        <v>41</v>
      </c>
      <c r="I4737" s="95" t="s">
        <v>7231</v>
      </c>
      <c r="J4737" t="s">
        <v>42</v>
      </c>
      <c r="K4737" t="s">
        <v>41</v>
      </c>
      <c r="M4737">
        <v>96.86</v>
      </c>
      <c r="N4737" s="4">
        <f t="shared" si="73"/>
        <v>-9.8286186248193269E-2</v>
      </c>
      <c r="O4737" t="s">
        <v>605</v>
      </c>
      <c r="Q4737" s="42" t="s">
        <v>2650</v>
      </c>
    </row>
    <row r="4738" spans="1:17" x14ac:dyDescent="0.25">
      <c r="A4738" s="22">
        <v>45807</v>
      </c>
      <c r="B4738" s="1" t="s">
        <v>3628</v>
      </c>
      <c r="C4738" t="s">
        <v>622</v>
      </c>
      <c r="D4738" s="23">
        <v>-9.52</v>
      </c>
      <c r="E4738" t="s">
        <v>35</v>
      </c>
      <c r="F4738" s="2">
        <v>610148001</v>
      </c>
      <c r="G4738" s="2" t="s">
        <v>41</v>
      </c>
      <c r="I4738" s="95" t="s">
        <v>7231</v>
      </c>
      <c r="J4738" t="s">
        <v>42</v>
      </c>
      <c r="K4738" t="s">
        <v>41</v>
      </c>
      <c r="M4738">
        <v>96.86</v>
      </c>
      <c r="N4738" s="4">
        <f t="shared" si="73"/>
        <v>-9.8286186248193269E-2</v>
      </c>
      <c r="O4738" t="s">
        <v>605</v>
      </c>
      <c r="Q4738" s="42" t="s">
        <v>2650</v>
      </c>
    </row>
    <row r="4739" spans="1:17" x14ac:dyDescent="0.25">
      <c r="A4739" s="22">
        <v>45807</v>
      </c>
      <c r="B4739" s="1" t="s">
        <v>3629</v>
      </c>
      <c r="C4739" t="s">
        <v>622</v>
      </c>
      <c r="D4739" s="23">
        <v>-9.52</v>
      </c>
      <c r="E4739" t="s">
        <v>35</v>
      </c>
      <c r="F4739" s="2">
        <v>610148001</v>
      </c>
      <c r="G4739" s="2" t="s">
        <v>41</v>
      </c>
      <c r="I4739" s="95" t="s">
        <v>7231</v>
      </c>
      <c r="J4739" t="s">
        <v>42</v>
      </c>
      <c r="K4739" t="s">
        <v>41</v>
      </c>
      <c r="M4739">
        <v>96.86</v>
      </c>
      <c r="N4739" s="4">
        <f t="shared" si="73"/>
        <v>-9.8286186248193269E-2</v>
      </c>
      <c r="O4739" t="s">
        <v>605</v>
      </c>
      <c r="Q4739" s="42" t="s">
        <v>2650</v>
      </c>
    </row>
    <row r="4740" spans="1:17" x14ac:dyDescent="0.25">
      <c r="A4740" s="22">
        <v>45807</v>
      </c>
      <c r="B4740" s="1" t="s">
        <v>3630</v>
      </c>
      <c r="C4740" t="s">
        <v>622</v>
      </c>
      <c r="D4740" s="23">
        <v>-9.52</v>
      </c>
      <c r="E4740" t="s">
        <v>35</v>
      </c>
      <c r="F4740" s="2">
        <v>610148001</v>
      </c>
      <c r="G4740" s="2" t="s">
        <v>41</v>
      </c>
      <c r="I4740" s="95" t="s">
        <v>7231</v>
      </c>
      <c r="J4740" t="s">
        <v>42</v>
      </c>
      <c r="K4740" t="s">
        <v>41</v>
      </c>
      <c r="M4740">
        <v>96.86</v>
      </c>
      <c r="N4740" s="4">
        <f t="shared" si="73"/>
        <v>-9.8286186248193269E-2</v>
      </c>
      <c r="O4740" t="s">
        <v>605</v>
      </c>
      <c r="Q4740" s="42" t="s">
        <v>2650</v>
      </c>
    </row>
    <row r="4741" spans="1:17" x14ac:dyDescent="0.25">
      <c r="A4741" s="22">
        <v>45807</v>
      </c>
      <c r="B4741" s="1" t="s">
        <v>1915</v>
      </c>
      <c r="C4741" t="s">
        <v>622</v>
      </c>
      <c r="D4741" s="23">
        <v>-29.6</v>
      </c>
      <c r="E4741" t="s">
        <v>35</v>
      </c>
      <c r="F4741" s="2">
        <v>610148001</v>
      </c>
      <c r="G4741" s="2" t="s">
        <v>41</v>
      </c>
      <c r="I4741" s="95" t="s">
        <v>7231</v>
      </c>
      <c r="J4741" t="s">
        <v>42</v>
      </c>
      <c r="K4741" t="s">
        <v>41</v>
      </c>
      <c r="M4741">
        <v>96.86</v>
      </c>
      <c r="N4741" s="4">
        <f t="shared" si="73"/>
        <v>-0.3055957051414413</v>
      </c>
      <c r="O4741" t="s">
        <v>605</v>
      </c>
      <c r="Q4741" s="42" t="s">
        <v>2650</v>
      </c>
    </row>
    <row r="4742" spans="1:17" x14ac:dyDescent="0.25">
      <c r="A4742" s="22">
        <v>45807</v>
      </c>
      <c r="B4742" s="1" t="s">
        <v>2080</v>
      </c>
      <c r="C4742" t="s">
        <v>622</v>
      </c>
      <c r="D4742" s="23">
        <v>-17.79</v>
      </c>
      <c r="E4742" t="s">
        <v>35</v>
      </c>
      <c r="F4742" s="2">
        <v>610148001</v>
      </c>
      <c r="G4742" s="2" t="s">
        <v>41</v>
      </c>
      <c r="I4742" s="95" t="s">
        <v>7231</v>
      </c>
      <c r="J4742" t="s">
        <v>42</v>
      </c>
      <c r="K4742" t="s">
        <v>41</v>
      </c>
      <c r="M4742">
        <v>96.86</v>
      </c>
      <c r="N4742" s="4">
        <f t="shared" si="73"/>
        <v>-0.18366714846169729</v>
      </c>
      <c r="O4742" t="s">
        <v>605</v>
      </c>
      <c r="Q4742" s="42" t="s">
        <v>2650</v>
      </c>
    </row>
    <row r="4743" spans="1:17" x14ac:dyDescent="0.25">
      <c r="A4743" s="22">
        <v>45807</v>
      </c>
      <c r="B4743" s="1" t="s">
        <v>2061</v>
      </c>
      <c r="C4743" t="s">
        <v>622</v>
      </c>
      <c r="D4743" s="23">
        <v>-17.54</v>
      </c>
      <c r="E4743" t="s">
        <v>35</v>
      </c>
      <c r="F4743" s="2">
        <v>610148001</v>
      </c>
      <c r="G4743" s="2" t="s">
        <v>41</v>
      </c>
      <c r="I4743" s="95" t="s">
        <v>7231</v>
      </c>
      <c r="J4743" t="s">
        <v>42</v>
      </c>
      <c r="K4743" t="s">
        <v>41</v>
      </c>
      <c r="M4743">
        <v>96.86</v>
      </c>
      <c r="N4743" s="4">
        <f t="shared" si="73"/>
        <v>-0.18108610365475944</v>
      </c>
      <c r="O4743" t="s">
        <v>605</v>
      </c>
      <c r="Q4743" s="42" t="s">
        <v>2650</v>
      </c>
    </row>
    <row r="4744" spans="1:17" x14ac:dyDescent="0.25">
      <c r="A4744" s="22">
        <v>45807</v>
      </c>
      <c r="B4744" s="1" t="s">
        <v>2091</v>
      </c>
      <c r="C4744" t="s">
        <v>622</v>
      </c>
      <c r="D4744" s="23">
        <v>-11.8</v>
      </c>
      <c r="E4744" t="s">
        <v>35</v>
      </c>
      <c r="F4744" s="2">
        <v>610148001</v>
      </c>
      <c r="G4744" s="2" t="s">
        <v>41</v>
      </c>
      <c r="I4744" s="95" t="s">
        <v>7231</v>
      </c>
      <c r="J4744" t="s">
        <v>42</v>
      </c>
      <c r="K4744" t="s">
        <v>41</v>
      </c>
      <c r="M4744">
        <v>96.86</v>
      </c>
      <c r="N4744" s="4">
        <f t="shared" si="73"/>
        <v>-0.12182531488746645</v>
      </c>
      <c r="O4744" t="s">
        <v>605</v>
      </c>
      <c r="Q4744" s="42" t="s">
        <v>2650</v>
      </c>
    </row>
    <row r="4745" spans="1:17" x14ac:dyDescent="0.25">
      <c r="A4745" s="22">
        <v>45807</v>
      </c>
      <c r="B4745" s="1" t="s">
        <v>2065</v>
      </c>
      <c r="C4745" t="s">
        <v>622</v>
      </c>
      <c r="D4745" s="23">
        <v>-9.32</v>
      </c>
      <c r="E4745" t="s">
        <v>35</v>
      </c>
      <c r="F4745" s="2">
        <v>610148001</v>
      </c>
      <c r="G4745" s="2" t="s">
        <v>41</v>
      </c>
      <c r="I4745" s="95" t="s">
        <v>7231</v>
      </c>
      <c r="J4745" t="s">
        <v>42</v>
      </c>
      <c r="K4745" t="s">
        <v>41</v>
      </c>
      <c r="M4745">
        <v>96.86</v>
      </c>
      <c r="N4745" s="4">
        <f t="shared" si="73"/>
        <v>-9.6221350402642999E-2</v>
      </c>
      <c r="O4745" t="s">
        <v>605</v>
      </c>
      <c r="Q4745" s="42" t="s">
        <v>2650</v>
      </c>
    </row>
    <row r="4746" spans="1:17" x14ac:dyDescent="0.25">
      <c r="A4746" s="22">
        <v>45807</v>
      </c>
      <c r="B4746" s="1" t="s">
        <v>2083</v>
      </c>
      <c r="C4746" t="s">
        <v>622</v>
      </c>
      <c r="D4746" s="23">
        <v>-2.38</v>
      </c>
      <c r="E4746" t="s">
        <v>35</v>
      </c>
      <c r="F4746" s="2">
        <v>610148001</v>
      </c>
      <c r="G4746" s="2" t="s">
        <v>41</v>
      </c>
      <c r="I4746" s="95" t="s">
        <v>7231</v>
      </c>
      <c r="J4746" t="s">
        <v>42</v>
      </c>
      <c r="K4746" t="s">
        <v>41</v>
      </c>
      <c r="M4746">
        <v>96.86</v>
      </c>
      <c r="N4746" s="4">
        <f t="shared" si="73"/>
        <v>-2.4571546562048317E-2</v>
      </c>
      <c r="O4746" t="s">
        <v>605</v>
      </c>
      <c r="Q4746" s="42" t="s">
        <v>2650</v>
      </c>
    </row>
    <row r="4747" spans="1:17" x14ac:dyDescent="0.25">
      <c r="A4747" s="22">
        <v>45807</v>
      </c>
      <c r="B4747" s="1" t="s">
        <v>2096</v>
      </c>
      <c r="C4747" t="s">
        <v>622</v>
      </c>
      <c r="D4747" s="23">
        <v>-47.62</v>
      </c>
      <c r="E4747" t="s">
        <v>35</v>
      </c>
      <c r="F4747" s="2">
        <v>610148001</v>
      </c>
      <c r="G4747" s="2" t="s">
        <v>41</v>
      </c>
      <c r="I4747" s="95" t="s">
        <v>7231</v>
      </c>
      <c r="J4747" t="s">
        <v>42</v>
      </c>
      <c r="K4747" t="s">
        <v>41</v>
      </c>
      <c r="M4747">
        <v>96.86</v>
      </c>
      <c r="N4747" s="4">
        <f t="shared" si="73"/>
        <v>-0.49163741482552137</v>
      </c>
      <c r="O4747" t="s">
        <v>605</v>
      </c>
      <c r="Q4747" s="42" t="s">
        <v>2650</v>
      </c>
    </row>
    <row r="4748" spans="1:17" x14ac:dyDescent="0.25">
      <c r="A4748" s="22">
        <v>45807</v>
      </c>
      <c r="B4748" s="1" t="s">
        <v>2070</v>
      </c>
      <c r="C4748" t="s">
        <v>622</v>
      </c>
      <c r="D4748" s="23">
        <v>-14.28</v>
      </c>
      <c r="E4748" t="s">
        <v>35</v>
      </c>
      <c r="F4748" s="2">
        <v>610148001</v>
      </c>
      <c r="G4748" s="2" t="s">
        <v>41</v>
      </c>
      <c r="I4748" s="95" t="s">
        <v>7231</v>
      </c>
      <c r="J4748" t="s">
        <v>42</v>
      </c>
      <c r="K4748" t="s">
        <v>41</v>
      </c>
      <c r="M4748">
        <v>96.86</v>
      </c>
      <c r="N4748" s="4">
        <f t="shared" ref="N4748:N4811" si="74">D4748/M4748</f>
        <v>-0.14742927937228989</v>
      </c>
      <c r="O4748" t="s">
        <v>605</v>
      </c>
      <c r="Q4748" s="42" t="s">
        <v>2650</v>
      </c>
    </row>
    <row r="4749" spans="1:17" x14ac:dyDescent="0.25">
      <c r="A4749" s="22">
        <v>45807</v>
      </c>
      <c r="B4749" s="1" t="s">
        <v>2093</v>
      </c>
      <c r="C4749" t="s">
        <v>622</v>
      </c>
      <c r="D4749" s="23">
        <v>-2.38</v>
      </c>
      <c r="E4749" t="s">
        <v>35</v>
      </c>
      <c r="F4749" s="2">
        <v>610148001</v>
      </c>
      <c r="G4749" s="2" t="s">
        <v>41</v>
      </c>
      <c r="I4749" s="95" t="s">
        <v>7231</v>
      </c>
      <c r="J4749" t="s">
        <v>42</v>
      </c>
      <c r="K4749" t="s">
        <v>41</v>
      </c>
      <c r="M4749">
        <v>96.86</v>
      </c>
      <c r="N4749" s="4">
        <f t="shared" si="74"/>
        <v>-2.4571546562048317E-2</v>
      </c>
      <c r="O4749" t="s">
        <v>605</v>
      </c>
      <c r="Q4749" s="42" t="s">
        <v>2650</v>
      </c>
    </row>
    <row r="4750" spans="1:17" x14ac:dyDescent="0.25">
      <c r="A4750" s="22">
        <v>45807</v>
      </c>
      <c r="B4750" s="1" t="s">
        <v>2095</v>
      </c>
      <c r="C4750" t="s">
        <v>622</v>
      </c>
      <c r="D4750" s="23">
        <v>-2.38</v>
      </c>
      <c r="E4750" t="s">
        <v>35</v>
      </c>
      <c r="F4750" s="2">
        <v>610148001</v>
      </c>
      <c r="G4750" s="2" t="s">
        <v>41</v>
      </c>
      <c r="I4750" s="95" t="s">
        <v>7231</v>
      </c>
      <c r="J4750" t="s">
        <v>42</v>
      </c>
      <c r="K4750" t="s">
        <v>41</v>
      </c>
      <c r="M4750">
        <v>96.86</v>
      </c>
      <c r="N4750" s="4">
        <f t="shared" si="74"/>
        <v>-2.4571546562048317E-2</v>
      </c>
      <c r="O4750" t="s">
        <v>605</v>
      </c>
      <c r="Q4750" s="42" t="s">
        <v>2650</v>
      </c>
    </row>
    <row r="4751" spans="1:17" x14ac:dyDescent="0.25">
      <c r="A4751" s="22">
        <v>45807</v>
      </c>
      <c r="B4751" s="1" t="s">
        <v>2087</v>
      </c>
      <c r="C4751" t="s">
        <v>622</v>
      </c>
      <c r="D4751" s="23">
        <v>-0.15</v>
      </c>
      <c r="E4751" t="s">
        <v>35</v>
      </c>
      <c r="F4751" s="2">
        <v>610148001</v>
      </c>
      <c r="G4751" s="2" t="s">
        <v>41</v>
      </c>
      <c r="I4751" s="95" t="s">
        <v>7231</v>
      </c>
      <c r="J4751" t="s">
        <v>42</v>
      </c>
      <c r="K4751" t="s">
        <v>41</v>
      </c>
      <c r="M4751">
        <v>96.86</v>
      </c>
      <c r="N4751" s="4">
        <f t="shared" si="74"/>
        <v>-1.548626884162709E-3</v>
      </c>
      <c r="O4751" t="s">
        <v>605</v>
      </c>
      <c r="Q4751" s="42" t="s">
        <v>2650</v>
      </c>
    </row>
    <row r="4752" spans="1:17" x14ac:dyDescent="0.25">
      <c r="A4752" s="22">
        <v>45807</v>
      </c>
      <c r="B4752" s="1" t="s">
        <v>2088</v>
      </c>
      <c r="C4752" t="s">
        <v>622</v>
      </c>
      <c r="D4752" s="23">
        <v>-0.15</v>
      </c>
      <c r="E4752" t="s">
        <v>35</v>
      </c>
      <c r="F4752" s="2">
        <v>610148001</v>
      </c>
      <c r="G4752" s="2" t="s">
        <v>41</v>
      </c>
      <c r="I4752" s="95" t="s">
        <v>7231</v>
      </c>
      <c r="J4752" t="s">
        <v>42</v>
      </c>
      <c r="K4752" t="s">
        <v>41</v>
      </c>
      <c r="M4752">
        <v>96.86</v>
      </c>
      <c r="N4752" s="4">
        <f t="shared" si="74"/>
        <v>-1.548626884162709E-3</v>
      </c>
      <c r="O4752" t="s">
        <v>605</v>
      </c>
      <c r="Q4752" s="42" t="s">
        <v>2650</v>
      </c>
    </row>
    <row r="4753" spans="1:17" x14ac:dyDescent="0.25">
      <c r="A4753" s="22">
        <v>45807</v>
      </c>
      <c r="B4753" s="1" t="s">
        <v>3631</v>
      </c>
      <c r="C4753" t="s">
        <v>622</v>
      </c>
      <c r="D4753" s="23">
        <v>-0.15</v>
      </c>
      <c r="E4753" t="s">
        <v>35</v>
      </c>
      <c r="F4753" s="2">
        <v>610148001</v>
      </c>
      <c r="G4753" s="2" t="s">
        <v>41</v>
      </c>
      <c r="I4753" s="95" t="s">
        <v>7231</v>
      </c>
      <c r="J4753" t="s">
        <v>42</v>
      </c>
      <c r="K4753" t="s">
        <v>41</v>
      </c>
      <c r="M4753">
        <v>96.86</v>
      </c>
      <c r="N4753" s="4">
        <f t="shared" si="74"/>
        <v>-1.548626884162709E-3</v>
      </c>
      <c r="O4753" t="s">
        <v>605</v>
      </c>
      <c r="Q4753" s="42" t="s">
        <v>2650</v>
      </c>
    </row>
    <row r="4754" spans="1:17" x14ac:dyDescent="0.25">
      <c r="A4754" s="22">
        <v>45807</v>
      </c>
      <c r="B4754" s="1" t="s">
        <v>3632</v>
      </c>
      <c r="C4754" t="s">
        <v>622</v>
      </c>
      <c r="D4754" s="23">
        <v>-0.15</v>
      </c>
      <c r="E4754" t="s">
        <v>35</v>
      </c>
      <c r="F4754" s="2">
        <v>610148001</v>
      </c>
      <c r="G4754" s="2" t="s">
        <v>41</v>
      </c>
      <c r="I4754" s="95" t="s">
        <v>7231</v>
      </c>
      <c r="J4754" t="s">
        <v>42</v>
      </c>
      <c r="K4754" t="s">
        <v>41</v>
      </c>
      <c r="M4754">
        <v>96.86</v>
      </c>
      <c r="N4754" s="4">
        <f t="shared" si="74"/>
        <v>-1.548626884162709E-3</v>
      </c>
      <c r="O4754" t="s">
        <v>605</v>
      </c>
      <c r="Q4754" s="42" t="s">
        <v>2650</v>
      </c>
    </row>
    <row r="4755" spans="1:17" x14ac:dyDescent="0.25">
      <c r="A4755" s="22">
        <v>45807</v>
      </c>
      <c r="B4755" s="1" t="s">
        <v>3633</v>
      </c>
      <c r="C4755" t="s">
        <v>622</v>
      </c>
      <c r="D4755" s="23">
        <v>-0.15</v>
      </c>
      <c r="E4755" t="s">
        <v>35</v>
      </c>
      <c r="F4755" s="2">
        <v>610148001</v>
      </c>
      <c r="G4755" s="2" t="s">
        <v>41</v>
      </c>
      <c r="I4755" s="95" t="s">
        <v>7231</v>
      </c>
      <c r="J4755" t="s">
        <v>42</v>
      </c>
      <c r="K4755" t="s">
        <v>41</v>
      </c>
      <c r="M4755">
        <v>96.86</v>
      </c>
      <c r="N4755" s="4">
        <f t="shared" si="74"/>
        <v>-1.548626884162709E-3</v>
      </c>
      <c r="O4755" t="s">
        <v>605</v>
      </c>
      <c r="Q4755" s="42" t="s">
        <v>2650</v>
      </c>
    </row>
    <row r="4756" spans="1:17" x14ac:dyDescent="0.25">
      <c r="A4756" s="22">
        <v>45807</v>
      </c>
      <c r="B4756" s="1" t="s">
        <v>3634</v>
      </c>
      <c r="C4756" t="s">
        <v>622</v>
      </c>
      <c r="D4756" s="23">
        <v>-0.15</v>
      </c>
      <c r="E4756" t="s">
        <v>35</v>
      </c>
      <c r="F4756" s="2">
        <v>610148001</v>
      </c>
      <c r="G4756" s="2" t="s">
        <v>41</v>
      </c>
      <c r="I4756" s="95" t="s">
        <v>7231</v>
      </c>
      <c r="J4756" t="s">
        <v>42</v>
      </c>
      <c r="K4756" t="s">
        <v>41</v>
      </c>
      <c r="M4756">
        <v>96.86</v>
      </c>
      <c r="N4756" s="4">
        <f t="shared" si="74"/>
        <v>-1.548626884162709E-3</v>
      </c>
      <c r="O4756" t="s">
        <v>605</v>
      </c>
      <c r="Q4756" s="42" t="s">
        <v>2650</v>
      </c>
    </row>
    <row r="4757" spans="1:17" x14ac:dyDescent="0.25">
      <c r="A4757" s="22">
        <v>45807</v>
      </c>
      <c r="B4757" s="1" t="s">
        <v>3635</v>
      </c>
      <c r="C4757" t="s">
        <v>622</v>
      </c>
      <c r="D4757" s="23">
        <v>-9.52</v>
      </c>
      <c r="E4757" t="s">
        <v>35</v>
      </c>
      <c r="F4757" s="2">
        <v>610148001</v>
      </c>
      <c r="G4757" s="2" t="s">
        <v>41</v>
      </c>
      <c r="I4757" s="95" t="s">
        <v>7231</v>
      </c>
      <c r="J4757" t="s">
        <v>42</v>
      </c>
      <c r="K4757" t="s">
        <v>41</v>
      </c>
      <c r="M4757">
        <v>96.86</v>
      </c>
      <c r="N4757" s="4">
        <f t="shared" si="74"/>
        <v>-9.8286186248193269E-2</v>
      </c>
      <c r="O4757" t="s">
        <v>605</v>
      </c>
      <c r="Q4757" s="42" t="s">
        <v>2650</v>
      </c>
    </row>
    <row r="4758" spans="1:17" x14ac:dyDescent="0.25">
      <c r="A4758" s="22">
        <v>45807</v>
      </c>
      <c r="B4758" s="1" t="s">
        <v>3636</v>
      </c>
      <c r="C4758" t="s">
        <v>622</v>
      </c>
      <c r="D4758" s="23">
        <v>-9.52</v>
      </c>
      <c r="E4758" t="s">
        <v>35</v>
      </c>
      <c r="F4758" s="2">
        <v>610148001</v>
      </c>
      <c r="G4758" s="2" t="s">
        <v>41</v>
      </c>
      <c r="I4758" s="95" t="s">
        <v>7231</v>
      </c>
      <c r="J4758" t="s">
        <v>42</v>
      </c>
      <c r="K4758" t="s">
        <v>41</v>
      </c>
      <c r="M4758">
        <v>96.86</v>
      </c>
      <c r="N4758" s="4">
        <f t="shared" si="74"/>
        <v>-9.8286186248193269E-2</v>
      </c>
      <c r="O4758" t="s">
        <v>605</v>
      </c>
      <c r="Q4758" s="42" t="s">
        <v>2650</v>
      </c>
    </row>
    <row r="4759" spans="1:17" x14ac:dyDescent="0.25">
      <c r="A4759" s="22">
        <v>45807</v>
      </c>
      <c r="B4759" s="1" t="s">
        <v>3637</v>
      </c>
      <c r="C4759" t="s">
        <v>622</v>
      </c>
      <c r="D4759" s="23">
        <v>-9.52</v>
      </c>
      <c r="E4759" t="s">
        <v>35</v>
      </c>
      <c r="F4759" s="2">
        <v>610148001</v>
      </c>
      <c r="G4759" s="2" t="s">
        <v>41</v>
      </c>
      <c r="I4759" s="95" t="s">
        <v>7231</v>
      </c>
      <c r="J4759" t="s">
        <v>42</v>
      </c>
      <c r="K4759" t="s">
        <v>41</v>
      </c>
      <c r="M4759">
        <v>96.86</v>
      </c>
      <c r="N4759" s="4">
        <f t="shared" si="74"/>
        <v>-9.8286186248193269E-2</v>
      </c>
      <c r="O4759" t="s">
        <v>605</v>
      </c>
      <c r="Q4759" s="42" t="s">
        <v>2650</v>
      </c>
    </row>
    <row r="4760" spans="1:17" x14ac:dyDescent="0.25">
      <c r="A4760" s="22">
        <v>45807</v>
      </c>
      <c r="B4760" s="1" t="s">
        <v>3638</v>
      </c>
      <c r="C4760" t="s">
        <v>622</v>
      </c>
      <c r="D4760" s="23">
        <v>-21.42</v>
      </c>
      <c r="E4760" t="s">
        <v>35</v>
      </c>
      <c r="F4760" s="2">
        <v>610148001</v>
      </c>
      <c r="G4760" s="2" t="s">
        <v>41</v>
      </c>
      <c r="I4760" s="95" t="s">
        <v>7231</v>
      </c>
      <c r="J4760" t="s">
        <v>42</v>
      </c>
      <c r="K4760" t="s">
        <v>41</v>
      </c>
      <c r="M4760">
        <v>96.86</v>
      </c>
      <c r="N4760" s="4">
        <f t="shared" si="74"/>
        <v>-0.22114391905843486</v>
      </c>
      <c r="O4760" t="s">
        <v>605</v>
      </c>
      <c r="Q4760" s="42" t="s">
        <v>2650</v>
      </c>
    </row>
    <row r="4761" spans="1:17" x14ac:dyDescent="0.25">
      <c r="A4761" s="22">
        <v>45807</v>
      </c>
      <c r="B4761" s="1" t="s">
        <v>624</v>
      </c>
      <c r="C4761" t="s">
        <v>622</v>
      </c>
      <c r="D4761" s="23">
        <v>-20.149999999999999</v>
      </c>
      <c r="E4761" t="s">
        <v>35</v>
      </c>
      <c r="F4761" s="2">
        <v>610148001</v>
      </c>
      <c r="G4761" s="2" t="s">
        <v>41</v>
      </c>
      <c r="I4761" s="95" t="s">
        <v>7231</v>
      </c>
      <c r="J4761" t="s">
        <v>42</v>
      </c>
      <c r="K4761" t="s">
        <v>41</v>
      </c>
      <c r="M4761">
        <v>96.86</v>
      </c>
      <c r="N4761" s="4">
        <f t="shared" si="74"/>
        <v>-0.20803221143919057</v>
      </c>
      <c r="O4761" t="s">
        <v>605</v>
      </c>
      <c r="Q4761" s="42" t="s">
        <v>2650</v>
      </c>
    </row>
    <row r="4762" spans="1:17" x14ac:dyDescent="0.25">
      <c r="A4762" s="22">
        <v>45807</v>
      </c>
      <c r="B4762" s="1" t="s">
        <v>623</v>
      </c>
      <c r="C4762" t="s">
        <v>622</v>
      </c>
      <c r="D4762" s="23">
        <v>-17.79</v>
      </c>
      <c r="E4762" t="s">
        <v>35</v>
      </c>
      <c r="F4762" s="2">
        <v>610148001</v>
      </c>
      <c r="G4762" s="2" t="s">
        <v>41</v>
      </c>
      <c r="I4762" s="95" t="s">
        <v>7231</v>
      </c>
      <c r="J4762" t="s">
        <v>42</v>
      </c>
      <c r="K4762" t="s">
        <v>41</v>
      </c>
      <c r="M4762">
        <v>96.86</v>
      </c>
      <c r="N4762" s="4">
        <f t="shared" si="74"/>
        <v>-0.18366714846169729</v>
      </c>
      <c r="O4762" t="s">
        <v>605</v>
      </c>
      <c r="Q4762" s="42" t="s">
        <v>2650</v>
      </c>
    </row>
    <row r="4763" spans="1:17" x14ac:dyDescent="0.25">
      <c r="A4763" s="22">
        <v>45807</v>
      </c>
      <c r="B4763" s="1" t="s">
        <v>1911</v>
      </c>
      <c r="C4763" t="s">
        <v>622</v>
      </c>
      <c r="D4763" s="23">
        <v>-17.79</v>
      </c>
      <c r="E4763" t="s">
        <v>35</v>
      </c>
      <c r="F4763" s="2">
        <v>610148001</v>
      </c>
      <c r="G4763" s="2" t="s">
        <v>41</v>
      </c>
      <c r="I4763" s="95" t="s">
        <v>7231</v>
      </c>
      <c r="J4763" t="s">
        <v>42</v>
      </c>
      <c r="K4763" t="s">
        <v>41</v>
      </c>
      <c r="M4763">
        <v>96.86</v>
      </c>
      <c r="N4763" s="4">
        <f t="shared" si="74"/>
        <v>-0.18366714846169729</v>
      </c>
      <c r="O4763" t="s">
        <v>605</v>
      </c>
      <c r="Q4763" s="42" t="s">
        <v>2650</v>
      </c>
    </row>
    <row r="4764" spans="1:17" x14ac:dyDescent="0.25">
      <c r="A4764" s="22">
        <v>45807</v>
      </c>
      <c r="B4764" s="1" t="s">
        <v>2090</v>
      </c>
      <c r="C4764" t="s">
        <v>622</v>
      </c>
      <c r="D4764" s="23">
        <v>-10.1</v>
      </c>
      <c r="E4764" t="s">
        <v>35</v>
      </c>
      <c r="F4764" s="2">
        <v>610148001</v>
      </c>
      <c r="G4764" s="2" t="s">
        <v>41</v>
      </c>
      <c r="I4764" s="95" t="s">
        <v>7231</v>
      </c>
      <c r="J4764" t="s">
        <v>42</v>
      </c>
      <c r="K4764" t="s">
        <v>41</v>
      </c>
      <c r="M4764">
        <v>96.86</v>
      </c>
      <c r="N4764" s="4">
        <f t="shared" si="74"/>
        <v>-0.10427421020028907</v>
      </c>
      <c r="O4764" t="s">
        <v>605</v>
      </c>
      <c r="Q4764" s="42" t="s">
        <v>2650</v>
      </c>
    </row>
    <row r="4765" spans="1:17" x14ac:dyDescent="0.25">
      <c r="A4765" s="22">
        <v>45807</v>
      </c>
      <c r="B4765" s="1" t="s">
        <v>2074</v>
      </c>
      <c r="C4765" t="s">
        <v>622</v>
      </c>
      <c r="D4765" s="23">
        <v>-59.36</v>
      </c>
      <c r="E4765" t="s">
        <v>35</v>
      </c>
      <c r="F4765" s="2">
        <v>610148001</v>
      </c>
      <c r="G4765" s="2" t="s">
        <v>41</v>
      </c>
      <c r="I4765" s="95" t="s">
        <v>7231</v>
      </c>
      <c r="J4765" t="s">
        <v>42</v>
      </c>
      <c r="K4765" t="s">
        <v>41</v>
      </c>
      <c r="M4765">
        <v>96.86</v>
      </c>
      <c r="N4765" s="4">
        <f t="shared" si="74"/>
        <v>-0.61284327895932278</v>
      </c>
      <c r="O4765" t="s">
        <v>605</v>
      </c>
      <c r="Q4765" s="42" t="s">
        <v>2650</v>
      </c>
    </row>
    <row r="4766" spans="1:17" x14ac:dyDescent="0.25">
      <c r="A4766" s="22">
        <v>45807</v>
      </c>
      <c r="B4766" s="1" t="s">
        <v>2081</v>
      </c>
      <c r="C4766" t="s">
        <v>622</v>
      </c>
      <c r="D4766" s="23">
        <v>-11.8</v>
      </c>
      <c r="E4766" t="s">
        <v>35</v>
      </c>
      <c r="F4766" s="2">
        <v>610148001</v>
      </c>
      <c r="G4766" s="2" t="s">
        <v>41</v>
      </c>
      <c r="I4766" s="95" t="s">
        <v>7231</v>
      </c>
      <c r="J4766" t="s">
        <v>42</v>
      </c>
      <c r="K4766" t="s">
        <v>41</v>
      </c>
      <c r="M4766">
        <v>96.86</v>
      </c>
      <c r="N4766" s="4">
        <f t="shared" si="74"/>
        <v>-0.12182531488746645</v>
      </c>
      <c r="O4766" t="s">
        <v>605</v>
      </c>
      <c r="Q4766" s="42" t="s">
        <v>2650</v>
      </c>
    </row>
    <row r="4767" spans="1:17" x14ac:dyDescent="0.25">
      <c r="A4767" s="22">
        <v>45807</v>
      </c>
      <c r="B4767" s="1" t="s">
        <v>2092</v>
      </c>
      <c r="C4767" t="s">
        <v>622</v>
      </c>
      <c r="D4767" s="23">
        <v>-2.38</v>
      </c>
      <c r="E4767" t="s">
        <v>35</v>
      </c>
      <c r="F4767" s="2">
        <v>610148001</v>
      </c>
      <c r="G4767" s="2" t="s">
        <v>41</v>
      </c>
      <c r="I4767" s="95" t="s">
        <v>7231</v>
      </c>
      <c r="J4767" t="s">
        <v>42</v>
      </c>
      <c r="K4767" t="s">
        <v>41</v>
      </c>
      <c r="M4767">
        <v>96.86</v>
      </c>
      <c r="N4767" s="4">
        <f t="shared" si="74"/>
        <v>-2.4571546562048317E-2</v>
      </c>
      <c r="O4767" t="s">
        <v>605</v>
      </c>
      <c r="Q4767" s="42" t="s">
        <v>2650</v>
      </c>
    </row>
    <row r="4768" spans="1:17" x14ac:dyDescent="0.25">
      <c r="A4768" s="22">
        <v>45807</v>
      </c>
      <c r="B4768" s="1" t="s">
        <v>2085</v>
      </c>
      <c r="C4768" t="s">
        <v>622</v>
      </c>
      <c r="D4768" s="23">
        <v>-2.38</v>
      </c>
      <c r="E4768" t="s">
        <v>35</v>
      </c>
      <c r="F4768" s="2">
        <v>610148001</v>
      </c>
      <c r="G4768" s="2" t="s">
        <v>41</v>
      </c>
      <c r="I4768" s="95" t="s">
        <v>7231</v>
      </c>
      <c r="J4768" t="s">
        <v>42</v>
      </c>
      <c r="K4768" t="s">
        <v>41</v>
      </c>
      <c r="M4768">
        <v>96.86</v>
      </c>
      <c r="N4768" s="4">
        <f t="shared" si="74"/>
        <v>-2.4571546562048317E-2</v>
      </c>
      <c r="O4768" t="s">
        <v>605</v>
      </c>
      <c r="Q4768" s="42" t="s">
        <v>2650</v>
      </c>
    </row>
    <row r="4769" spans="1:17" x14ac:dyDescent="0.25">
      <c r="A4769" s="22">
        <v>45807</v>
      </c>
      <c r="B4769" s="1" t="s">
        <v>3639</v>
      </c>
      <c r="C4769" t="s">
        <v>622</v>
      </c>
      <c r="D4769" s="23">
        <v>-0.15</v>
      </c>
      <c r="E4769" t="s">
        <v>35</v>
      </c>
      <c r="F4769" s="2">
        <v>610148001</v>
      </c>
      <c r="G4769" s="2" t="s">
        <v>41</v>
      </c>
      <c r="I4769" s="95" t="s">
        <v>7231</v>
      </c>
      <c r="J4769" t="s">
        <v>42</v>
      </c>
      <c r="K4769" t="s">
        <v>41</v>
      </c>
      <c r="M4769">
        <v>96.86</v>
      </c>
      <c r="N4769" s="4">
        <f t="shared" si="74"/>
        <v>-1.548626884162709E-3</v>
      </c>
      <c r="O4769" t="s">
        <v>605</v>
      </c>
      <c r="Q4769" s="42" t="s">
        <v>2650</v>
      </c>
    </row>
    <row r="4770" spans="1:17" x14ac:dyDescent="0.25">
      <c r="A4770" s="22">
        <v>45807</v>
      </c>
      <c r="B4770" s="1" t="s">
        <v>3640</v>
      </c>
      <c r="C4770" t="s">
        <v>622</v>
      </c>
      <c r="D4770" s="23">
        <v>-0.15</v>
      </c>
      <c r="E4770" t="s">
        <v>35</v>
      </c>
      <c r="F4770" s="2">
        <v>610148001</v>
      </c>
      <c r="G4770" s="2" t="s">
        <v>41</v>
      </c>
      <c r="I4770" s="95" t="s">
        <v>7231</v>
      </c>
      <c r="J4770" t="s">
        <v>42</v>
      </c>
      <c r="K4770" t="s">
        <v>41</v>
      </c>
      <c r="M4770">
        <v>96.86</v>
      </c>
      <c r="N4770" s="4">
        <f t="shared" si="74"/>
        <v>-1.548626884162709E-3</v>
      </c>
      <c r="O4770" t="s">
        <v>605</v>
      </c>
      <c r="Q4770" s="42" t="s">
        <v>2650</v>
      </c>
    </row>
    <row r="4771" spans="1:17" x14ac:dyDescent="0.25">
      <c r="A4771" s="22">
        <v>45800</v>
      </c>
      <c r="B4771" s="1">
        <v>10712551826</v>
      </c>
      <c r="C4771" t="s">
        <v>3641</v>
      </c>
      <c r="D4771" s="23">
        <v>-120</v>
      </c>
      <c r="E4771" t="s">
        <v>35</v>
      </c>
      <c r="F4771" s="2">
        <v>610148001</v>
      </c>
      <c r="G4771" s="2" t="s">
        <v>41</v>
      </c>
      <c r="I4771" s="95" t="s">
        <v>7231</v>
      </c>
      <c r="J4771" t="s">
        <v>42</v>
      </c>
      <c r="K4771" t="s">
        <v>41</v>
      </c>
      <c r="M4771">
        <v>95.02</v>
      </c>
      <c r="N4771" s="4">
        <f t="shared" si="74"/>
        <v>-1.2628920227320564</v>
      </c>
      <c r="O4771" t="s">
        <v>39</v>
      </c>
      <c r="Q4771" s="24" t="s">
        <v>2650</v>
      </c>
    </row>
    <row r="4772" spans="1:17" x14ac:dyDescent="0.25">
      <c r="A4772" s="22">
        <v>45800</v>
      </c>
      <c r="B4772" s="1">
        <v>2712551826</v>
      </c>
      <c r="C4772" t="s">
        <v>3305</v>
      </c>
      <c r="D4772" s="23">
        <v>-40000</v>
      </c>
      <c r="E4772" t="s">
        <v>35</v>
      </c>
      <c r="F4772" s="2">
        <v>110101003</v>
      </c>
      <c r="G4772" s="2" t="s">
        <v>2945</v>
      </c>
      <c r="I4772" s="95" t="s">
        <v>7231</v>
      </c>
      <c r="K4772" t="s">
        <v>3305</v>
      </c>
      <c r="M4772">
        <v>95.02</v>
      </c>
      <c r="N4772" s="4">
        <f t="shared" si="74"/>
        <v>-420.96400757735216</v>
      </c>
      <c r="O4772" t="s">
        <v>39</v>
      </c>
    </row>
    <row r="4773" spans="1:17" x14ac:dyDescent="0.25">
      <c r="A4773" s="22">
        <v>45803</v>
      </c>
      <c r="B4773" s="1">
        <v>25522396325</v>
      </c>
      <c r="C4773" t="s">
        <v>3642</v>
      </c>
      <c r="D4773" s="23">
        <v>522127.6</v>
      </c>
      <c r="E4773" t="s">
        <v>45</v>
      </c>
      <c r="F4773" s="2">
        <v>210101001</v>
      </c>
      <c r="G4773" s="2" t="s">
        <v>36</v>
      </c>
      <c r="I4773" s="95" t="s">
        <v>7231</v>
      </c>
      <c r="K4773" t="s">
        <v>1162</v>
      </c>
      <c r="M4773">
        <v>95.08</v>
      </c>
      <c r="N4773" s="4">
        <f t="shared" si="74"/>
        <v>5491.4556163230964</v>
      </c>
      <c r="O4773" t="s">
        <v>39</v>
      </c>
    </row>
    <row r="4774" spans="1:17" x14ac:dyDescent="0.25">
      <c r="A4774" s="22">
        <v>45807</v>
      </c>
      <c r="B4774" s="1">
        <v>71600000000</v>
      </c>
      <c r="C4774" t="s">
        <v>48</v>
      </c>
      <c r="D4774" s="23">
        <v>-0.5</v>
      </c>
      <c r="E4774" t="s">
        <v>35</v>
      </c>
      <c r="F4774" s="2">
        <v>610148001</v>
      </c>
      <c r="G4774" s="2" t="s">
        <v>41</v>
      </c>
      <c r="I4774" s="95" t="s">
        <v>7231</v>
      </c>
      <c r="J4774" t="s">
        <v>42</v>
      </c>
      <c r="K4774" t="s">
        <v>41</v>
      </c>
      <c r="M4774">
        <v>96.86</v>
      </c>
      <c r="N4774" s="4">
        <f t="shared" si="74"/>
        <v>-5.1620896138756967E-3</v>
      </c>
      <c r="O4774" t="s">
        <v>39</v>
      </c>
      <c r="Q4774" s="24" t="s">
        <v>2650</v>
      </c>
    </row>
    <row r="4775" spans="1:17" x14ac:dyDescent="0.25">
      <c r="A4775" s="22">
        <v>45807</v>
      </c>
      <c r="B4775" s="1">
        <v>91577700000</v>
      </c>
      <c r="C4775" t="s">
        <v>49</v>
      </c>
      <c r="D4775" s="23">
        <v>-0.5</v>
      </c>
      <c r="E4775" t="s">
        <v>35</v>
      </c>
      <c r="F4775" s="2">
        <v>610148001</v>
      </c>
      <c r="G4775" s="2" t="s">
        <v>41</v>
      </c>
      <c r="I4775" s="95" t="s">
        <v>7231</v>
      </c>
      <c r="J4775" t="s">
        <v>42</v>
      </c>
      <c r="K4775" t="s">
        <v>41</v>
      </c>
      <c r="M4775">
        <v>96.86</v>
      </c>
      <c r="N4775" s="4">
        <f t="shared" si="74"/>
        <v>-5.1620896138756967E-3</v>
      </c>
      <c r="O4775" t="s">
        <v>39</v>
      </c>
      <c r="Q4775" s="24" t="s">
        <v>2650</v>
      </c>
    </row>
    <row r="4776" spans="1:17" x14ac:dyDescent="0.25">
      <c r="A4776" s="22">
        <v>45820</v>
      </c>
      <c r="B4776" s="1">
        <v>101</v>
      </c>
      <c r="C4776" t="s">
        <v>82</v>
      </c>
      <c r="D4776" s="23">
        <v>25000</v>
      </c>
      <c r="E4776" t="s">
        <v>45</v>
      </c>
      <c r="F4776" s="2">
        <v>210115002</v>
      </c>
      <c r="G4776" s="2" t="s">
        <v>46</v>
      </c>
      <c r="I4776" s="95" t="s">
        <v>7231</v>
      </c>
      <c r="K4776" t="s">
        <v>3643</v>
      </c>
      <c r="M4776">
        <v>100.34</v>
      </c>
      <c r="N4776" s="4">
        <f t="shared" si="74"/>
        <v>249.1528802072952</v>
      </c>
      <c r="O4776" t="s">
        <v>51</v>
      </c>
    </row>
    <row r="4777" spans="1:17" x14ac:dyDescent="0.25">
      <c r="A4777" s="22">
        <v>45820</v>
      </c>
      <c r="B4777" s="1">
        <v>102</v>
      </c>
      <c r="C4777" t="s">
        <v>3644</v>
      </c>
      <c r="D4777" s="23">
        <v>-24925</v>
      </c>
      <c r="E4777" t="s">
        <v>35</v>
      </c>
      <c r="F4777" s="2">
        <v>840101001</v>
      </c>
      <c r="G4777" s="2" t="s">
        <v>60</v>
      </c>
      <c r="I4777" s="95" t="s">
        <v>7231</v>
      </c>
      <c r="J4777" t="s">
        <v>61</v>
      </c>
      <c r="K4777" t="s">
        <v>62</v>
      </c>
      <c r="M4777">
        <v>100.34</v>
      </c>
      <c r="N4777" s="4">
        <f t="shared" si="74"/>
        <v>-248.40542156667331</v>
      </c>
      <c r="O4777" t="s">
        <v>51</v>
      </c>
    </row>
    <row r="4778" spans="1:17" x14ac:dyDescent="0.25">
      <c r="A4778" s="22">
        <v>45820</v>
      </c>
      <c r="B4778" s="1">
        <v>103</v>
      </c>
      <c r="C4778" t="s">
        <v>50</v>
      </c>
      <c r="D4778" s="23">
        <v>-74.77</v>
      </c>
      <c r="E4778" t="s">
        <v>35</v>
      </c>
      <c r="F4778" s="2">
        <v>610148001</v>
      </c>
      <c r="G4778" s="2" t="s">
        <v>41</v>
      </c>
      <c r="I4778" s="95" t="s">
        <v>7231</v>
      </c>
      <c r="J4778" t="s">
        <v>42</v>
      </c>
      <c r="K4778" t="s">
        <v>41</v>
      </c>
      <c r="M4778">
        <v>100.34</v>
      </c>
      <c r="N4778" s="4">
        <f t="shared" si="74"/>
        <v>-0.74516643412397843</v>
      </c>
      <c r="O4778" t="s">
        <v>51</v>
      </c>
    </row>
    <row r="4779" spans="1:17" x14ac:dyDescent="0.25">
      <c r="A4779" s="22">
        <v>45831</v>
      </c>
      <c r="B4779" s="1">
        <v>104</v>
      </c>
      <c r="C4779" t="s">
        <v>3643</v>
      </c>
      <c r="D4779" s="23">
        <v>27000</v>
      </c>
      <c r="E4779" t="s">
        <v>45</v>
      </c>
      <c r="F4779" s="2">
        <v>210115002</v>
      </c>
      <c r="G4779" s="2" t="s">
        <v>46</v>
      </c>
      <c r="I4779" s="95" t="s">
        <v>7231</v>
      </c>
      <c r="K4779" t="s">
        <v>3643</v>
      </c>
      <c r="M4779">
        <v>105.45</v>
      </c>
      <c r="N4779" s="4">
        <f t="shared" si="74"/>
        <v>256.04551920341396</v>
      </c>
      <c r="O4779" t="s">
        <v>51</v>
      </c>
    </row>
    <row r="4780" spans="1:17" x14ac:dyDescent="0.25">
      <c r="A4780" s="22">
        <v>45831</v>
      </c>
      <c r="B4780" s="1">
        <v>105</v>
      </c>
      <c r="C4780" t="s">
        <v>3645</v>
      </c>
      <c r="D4780" s="23">
        <v>-26135</v>
      </c>
      <c r="E4780" t="s">
        <v>35</v>
      </c>
      <c r="F4780" s="2">
        <v>840101001</v>
      </c>
      <c r="G4780" s="2" t="s">
        <v>60</v>
      </c>
      <c r="I4780" s="95" t="s">
        <v>7231</v>
      </c>
      <c r="J4780" t="s">
        <v>61</v>
      </c>
      <c r="K4780" t="s">
        <v>62</v>
      </c>
      <c r="M4780">
        <v>105.45</v>
      </c>
      <c r="N4780" s="4">
        <f t="shared" si="74"/>
        <v>-247.84257942152678</v>
      </c>
      <c r="O4780" t="s">
        <v>51</v>
      </c>
    </row>
    <row r="4781" spans="1:17" x14ac:dyDescent="0.25">
      <c r="A4781" s="22">
        <v>45831</v>
      </c>
      <c r="B4781" s="1">
        <v>106</v>
      </c>
      <c r="C4781" t="s">
        <v>50</v>
      </c>
      <c r="D4781" s="23">
        <v>-78.400000000000006</v>
      </c>
      <c r="E4781" t="s">
        <v>35</v>
      </c>
      <c r="F4781" s="2">
        <v>610148001</v>
      </c>
      <c r="G4781" s="2" t="s">
        <v>41</v>
      </c>
      <c r="I4781" s="95" t="s">
        <v>7231</v>
      </c>
      <c r="J4781" t="s">
        <v>42</v>
      </c>
      <c r="K4781" t="s">
        <v>41</v>
      </c>
      <c r="M4781">
        <v>105.45</v>
      </c>
      <c r="N4781" s="4">
        <f t="shared" si="74"/>
        <v>-0.74348032242769091</v>
      </c>
      <c r="O4781" t="s">
        <v>51</v>
      </c>
    </row>
    <row r="4782" spans="1:17" x14ac:dyDescent="0.25">
      <c r="A4782" s="22">
        <v>45836</v>
      </c>
      <c r="B4782" s="1">
        <v>107</v>
      </c>
      <c r="C4782" t="s">
        <v>3646</v>
      </c>
      <c r="D4782" s="23">
        <v>60000</v>
      </c>
      <c r="E4782" t="s">
        <v>45</v>
      </c>
      <c r="F4782" s="2">
        <v>210115002</v>
      </c>
      <c r="G4782" s="2" t="s">
        <v>46</v>
      </c>
      <c r="I4782" s="95" t="s">
        <v>7231</v>
      </c>
      <c r="K4782" t="s">
        <v>3646</v>
      </c>
      <c r="M4782">
        <v>107.62</v>
      </c>
      <c r="N4782" s="4">
        <f t="shared" si="74"/>
        <v>557.51719011336183</v>
      </c>
      <c r="O4782" t="s">
        <v>51</v>
      </c>
    </row>
    <row r="4783" spans="1:17" x14ac:dyDescent="0.25">
      <c r="A4783" s="22">
        <v>45836</v>
      </c>
      <c r="B4783" s="1">
        <v>108</v>
      </c>
      <c r="C4783" t="s">
        <v>3645</v>
      </c>
      <c r="D4783" s="23">
        <v>-26542.5</v>
      </c>
      <c r="E4783" t="s">
        <v>35</v>
      </c>
      <c r="F4783" s="2">
        <v>840101001</v>
      </c>
      <c r="G4783" s="2" t="s">
        <v>60</v>
      </c>
      <c r="I4783" s="95" t="s">
        <v>7231</v>
      </c>
      <c r="J4783" t="s">
        <v>61</v>
      </c>
      <c r="K4783" t="s">
        <v>62</v>
      </c>
      <c r="M4783">
        <v>107.62</v>
      </c>
      <c r="N4783" s="4">
        <f t="shared" si="74"/>
        <v>-246.63166697639844</v>
      </c>
      <c r="O4783" t="s">
        <v>51</v>
      </c>
    </row>
    <row r="4784" spans="1:17" x14ac:dyDescent="0.25">
      <c r="A4784" s="22">
        <v>45836</v>
      </c>
      <c r="B4784" s="1">
        <v>109</v>
      </c>
      <c r="C4784" t="s">
        <v>50</v>
      </c>
      <c r="D4784" s="23">
        <v>-79.62</v>
      </c>
      <c r="E4784" t="s">
        <v>35</v>
      </c>
      <c r="F4784" s="2">
        <v>610148001</v>
      </c>
      <c r="G4784" s="2" t="s">
        <v>41</v>
      </c>
      <c r="I4784" s="95" t="s">
        <v>7231</v>
      </c>
      <c r="J4784" t="s">
        <v>42</v>
      </c>
      <c r="K4784" t="s">
        <v>41</v>
      </c>
      <c r="M4784">
        <v>107.62</v>
      </c>
      <c r="N4784" s="4">
        <f t="shared" si="74"/>
        <v>-0.73982531128043116</v>
      </c>
      <c r="O4784" t="s">
        <v>51</v>
      </c>
    </row>
    <row r="4785" spans="1:17" x14ac:dyDescent="0.25">
      <c r="A4785" s="22">
        <v>45836</v>
      </c>
      <c r="B4785" s="1">
        <v>110</v>
      </c>
      <c r="C4785" t="s">
        <v>3647</v>
      </c>
      <c r="D4785" s="23">
        <v>-26542.5</v>
      </c>
      <c r="E4785" t="s">
        <v>35</v>
      </c>
      <c r="F4785" s="2">
        <v>840101001</v>
      </c>
      <c r="G4785" s="2" t="s">
        <v>60</v>
      </c>
      <c r="I4785" s="95" t="s">
        <v>7231</v>
      </c>
      <c r="J4785" t="s">
        <v>61</v>
      </c>
      <c r="K4785" t="s">
        <v>62</v>
      </c>
      <c r="M4785">
        <v>107.62</v>
      </c>
      <c r="N4785" s="4">
        <f t="shared" si="74"/>
        <v>-246.63166697639844</v>
      </c>
      <c r="O4785" t="s">
        <v>51</v>
      </c>
    </row>
    <row r="4786" spans="1:17" x14ac:dyDescent="0.25">
      <c r="A4786" s="22">
        <v>45836</v>
      </c>
      <c r="B4786" s="1">
        <v>111</v>
      </c>
      <c r="C4786" t="s">
        <v>50</v>
      </c>
      <c r="D4786" s="23">
        <v>-79.62</v>
      </c>
      <c r="E4786" t="s">
        <v>35</v>
      </c>
      <c r="F4786" s="2">
        <v>610148001</v>
      </c>
      <c r="G4786" s="2" t="s">
        <v>41</v>
      </c>
      <c r="I4786" s="95" t="s">
        <v>7231</v>
      </c>
      <c r="J4786" t="s">
        <v>42</v>
      </c>
      <c r="K4786" t="s">
        <v>41</v>
      </c>
      <c r="M4786">
        <v>107.62</v>
      </c>
      <c r="N4786" s="4">
        <f t="shared" si="74"/>
        <v>-0.73982531128043116</v>
      </c>
      <c r="O4786" t="s">
        <v>51</v>
      </c>
    </row>
    <row r="4787" spans="1:17" x14ac:dyDescent="0.25">
      <c r="A4787" s="22">
        <v>45838</v>
      </c>
      <c r="B4787" s="1">
        <v>112</v>
      </c>
      <c r="C4787" t="s">
        <v>69</v>
      </c>
      <c r="D4787" s="23">
        <v>-0.5</v>
      </c>
      <c r="E4787" t="s">
        <v>35</v>
      </c>
      <c r="F4787" s="2">
        <v>610148001</v>
      </c>
      <c r="G4787" s="2" t="s">
        <v>41</v>
      </c>
      <c r="I4787" s="95" t="s">
        <v>7231</v>
      </c>
      <c r="J4787" t="s">
        <v>42</v>
      </c>
      <c r="K4787" t="s">
        <v>41</v>
      </c>
      <c r="M4787">
        <v>107.62</v>
      </c>
      <c r="N4787" s="4">
        <f t="shared" si="74"/>
        <v>-4.6459765842780153E-3</v>
      </c>
      <c r="O4787" t="s">
        <v>51</v>
      </c>
    </row>
    <row r="4788" spans="1:17" x14ac:dyDescent="0.25">
      <c r="A4788" s="22">
        <v>45838</v>
      </c>
      <c r="B4788" s="1">
        <v>113</v>
      </c>
      <c r="C4788" t="s">
        <v>68</v>
      </c>
      <c r="D4788" s="23">
        <v>-0.5</v>
      </c>
      <c r="E4788" t="s">
        <v>35</v>
      </c>
      <c r="F4788" s="2">
        <v>610148001</v>
      </c>
      <c r="G4788" s="2" t="s">
        <v>41</v>
      </c>
      <c r="I4788" s="95" t="s">
        <v>7231</v>
      </c>
      <c r="J4788" t="s">
        <v>42</v>
      </c>
      <c r="K4788" t="s">
        <v>41</v>
      </c>
      <c r="M4788">
        <v>107.62</v>
      </c>
      <c r="N4788" s="4">
        <f t="shared" si="74"/>
        <v>-4.6459765842780153E-3</v>
      </c>
      <c r="O4788" t="s">
        <v>51</v>
      </c>
    </row>
    <row r="4789" spans="1:17" x14ac:dyDescent="0.25">
      <c r="A4789" s="22">
        <v>45812</v>
      </c>
      <c r="B4789" s="1">
        <v>47900018908</v>
      </c>
      <c r="C4789" t="s">
        <v>3648</v>
      </c>
      <c r="D4789" s="23">
        <v>-4422875.79</v>
      </c>
      <c r="E4789" t="s">
        <v>35</v>
      </c>
      <c r="F4789" s="2">
        <v>210101001</v>
      </c>
      <c r="G4789" s="2" t="s">
        <v>36</v>
      </c>
      <c r="I4789" s="95" t="s">
        <v>7231</v>
      </c>
      <c r="J4789" t="s">
        <v>1007</v>
      </c>
      <c r="K4789" t="s">
        <v>1008</v>
      </c>
      <c r="M4789">
        <v>97.42</v>
      </c>
      <c r="N4789" s="4">
        <f t="shared" si="74"/>
        <v>-45400.079963046599</v>
      </c>
      <c r="O4789" t="s">
        <v>39</v>
      </c>
    </row>
    <row r="4790" spans="1:17" x14ac:dyDescent="0.25">
      <c r="A4790" s="22">
        <v>45812</v>
      </c>
      <c r="B4790" s="1">
        <v>43700018908</v>
      </c>
      <c r="C4790" t="s">
        <v>40</v>
      </c>
      <c r="D4790" s="23">
        <v>-0.67</v>
      </c>
      <c r="E4790" t="s">
        <v>35</v>
      </c>
      <c r="F4790" s="2">
        <v>610148001</v>
      </c>
      <c r="G4790" s="2" t="s">
        <v>41</v>
      </c>
      <c r="I4790" s="95" t="s">
        <v>7231</v>
      </c>
      <c r="J4790" t="s">
        <v>42</v>
      </c>
      <c r="K4790" t="s">
        <v>41</v>
      </c>
      <c r="M4790">
        <v>97.42</v>
      </c>
      <c r="N4790" s="4">
        <f t="shared" si="74"/>
        <v>-6.8774378977622666E-3</v>
      </c>
      <c r="O4790" t="s">
        <v>39</v>
      </c>
      <c r="Q4790" s="24" t="s">
        <v>3649</v>
      </c>
    </row>
    <row r="4791" spans="1:17" x14ac:dyDescent="0.25">
      <c r="A4791" s="22">
        <v>45812</v>
      </c>
      <c r="B4791" s="1">
        <v>47900072767</v>
      </c>
      <c r="C4791" t="s">
        <v>44</v>
      </c>
      <c r="D4791" s="23">
        <v>3900000</v>
      </c>
      <c r="E4791" t="s">
        <v>45</v>
      </c>
      <c r="F4791" s="2">
        <v>210115002</v>
      </c>
      <c r="G4791" s="2" t="s">
        <v>46</v>
      </c>
      <c r="I4791" s="95" t="s">
        <v>7231</v>
      </c>
      <c r="K4791" t="s">
        <v>44</v>
      </c>
      <c r="M4791">
        <v>97.42</v>
      </c>
      <c r="N4791" s="4">
        <f t="shared" si="74"/>
        <v>40032.847464586324</v>
      </c>
      <c r="O4791" t="s">
        <v>39</v>
      </c>
    </row>
    <row r="4792" spans="1:17" x14ac:dyDescent="0.25">
      <c r="A4792" s="22">
        <v>45814</v>
      </c>
      <c r="B4792" s="1">
        <v>10715993968</v>
      </c>
      <c r="C4792" t="s">
        <v>3641</v>
      </c>
      <c r="D4792" s="23">
        <v>-150</v>
      </c>
      <c r="E4792" t="s">
        <v>35</v>
      </c>
      <c r="F4792" s="2">
        <v>610148001</v>
      </c>
      <c r="G4792" s="2" t="s">
        <v>41</v>
      </c>
      <c r="I4792" s="95" t="s">
        <v>7231</v>
      </c>
      <c r="J4792" t="s">
        <v>42</v>
      </c>
      <c r="K4792" t="s">
        <v>41</v>
      </c>
      <c r="M4792">
        <v>98.51</v>
      </c>
      <c r="N4792" s="4">
        <f t="shared" si="74"/>
        <v>-1.5226880519744188</v>
      </c>
      <c r="O4792" t="s">
        <v>39</v>
      </c>
      <c r="Q4792" s="24" t="s">
        <v>3649</v>
      </c>
    </row>
    <row r="4793" spans="1:17" x14ac:dyDescent="0.25">
      <c r="A4793" s="22">
        <v>45814</v>
      </c>
      <c r="B4793" s="1">
        <v>2715993968</v>
      </c>
      <c r="C4793" t="s">
        <v>3305</v>
      </c>
      <c r="D4793" s="23">
        <v>-50000</v>
      </c>
      <c r="E4793" t="s">
        <v>35</v>
      </c>
      <c r="F4793" s="2">
        <v>110101003</v>
      </c>
      <c r="G4793" s="2" t="s">
        <v>2945</v>
      </c>
      <c r="I4793" s="95" t="s">
        <v>7231</v>
      </c>
      <c r="K4793" t="s">
        <v>3305</v>
      </c>
      <c r="M4793">
        <v>98.51</v>
      </c>
      <c r="N4793" s="4">
        <f t="shared" si="74"/>
        <v>-507.56268399147291</v>
      </c>
      <c r="O4793" t="s">
        <v>39</v>
      </c>
    </row>
    <row r="4794" spans="1:17" x14ac:dyDescent="0.25">
      <c r="A4794" s="22">
        <v>45814</v>
      </c>
      <c r="B4794" s="1">
        <v>10715993699</v>
      </c>
      <c r="C4794" t="s">
        <v>3641</v>
      </c>
      <c r="D4794" s="23">
        <v>-600</v>
      </c>
      <c r="E4794" t="s">
        <v>35</v>
      </c>
      <c r="F4794" s="2">
        <v>610148001</v>
      </c>
      <c r="G4794" s="2" t="s">
        <v>41</v>
      </c>
      <c r="I4794" s="95" t="s">
        <v>7231</v>
      </c>
      <c r="J4794" t="s">
        <v>42</v>
      </c>
      <c r="K4794" t="s">
        <v>41</v>
      </c>
      <c r="M4794">
        <v>98.51</v>
      </c>
      <c r="N4794" s="4">
        <f t="shared" si="74"/>
        <v>-6.0907522078976752</v>
      </c>
      <c r="O4794" t="s">
        <v>39</v>
      </c>
      <c r="Q4794" s="24" t="s">
        <v>3649</v>
      </c>
    </row>
    <row r="4795" spans="1:17" x14ac:dyDescent="0.25">
      <c r="A4795" s="22">
        <v>45814</v>
      </c>
      <c r="B4795" s="1">
        <v>2715993699</v>
      </c>
      <c r="C4795" t="s">
        <v>3305</v>
      </c>
      <c r="D4795" s="23">
        <v>-200000</v>
      </c>
      <c r="E4795" t="s">
        <v>35</v>
      </c>
      <c r="F4795" s="2">
        <v>110101003</v>
      </c>
      <c r="G4795" s="2" t="s">
        <v>2945</v>
      </c>
      <c r="I4795" s="95" t="s">
        <v>7231</v>
      </c>
      <c r="K4795" t="s">
        <v>3305</v>
      </c>
      <c r="M4795">
        <v>98.51</v>
      </c>
      <c r="N4795" s="4">
        <f t="shared" si="74"/>
        <v>-2030.2507359658916</v>
      </c>
      <c r="O4795" t="s">
        <v>39</v>
      </c>
    </row>
    <row r="4796" spans="1:17" x14ac:dyDescent="0.25">
      <c r="A4796" s="22">
        <v>45814</v>
      </c>
      <c r="B4796" s="1">
        <v>10715993438</v>
      </c>
      <c r="C4796" t="s">
        <v>3641</v>
      </c>
      <c r="D4796" s="23">
        <v>-600</v>
      </c>
      <c r="E4796" t="s">
        <v>35</v>
      </c>
      <c r="F4796" s="2">
        <v>610148001</v>
      </c>
      <c r="G4796" s="2" t="s">
        <v>41</v>
      </c>
      <c r="I4796" s="95" t="s">
        <v>7231</v>
      </c>
      <c r="J4796" t="s">
        <v>42</v>
      </c>
      <c r="K4796" t="s">
        <v>41</v>
      </c>
      <c r="M4796">
        <v>98.51</v>
      </c>
      <c r="N4796" s="4">
        <f t="shared" si="74"/>
        <v>-6.0907522078976752</v>
      </c>
      <c r="O4796" t="s">
        <v>39</v>
      </c>
      <c r="Q4796" s="24" t="s">
        <v>3649</v>
      </c>
    </row>
    <row r="4797" spans="1:17" x14ac:dyDescent="0.25">
      <c r="A4797" s="22">
        <v>45814</v>
      </c>
      <c r="B4797" s="1">
        <v>2715993438</v>
      </c>
      <c r="C4797" t="s">
        <v>3305</v>
      </c>
      <c r="D4797" s="23">
        <v>-200000</v>
      </c>
      <c r="E4797" t="s">
        <v>35</v>
      </c>
      <c r="F4797" s="2">
        <v>110101003</v>
      </c>
      <c r="G4797" s="2" t="s">
        <v>2945</v>
      </c>
      <c r="I4797" s="95" t="s">
        <v>7231</v>
      </c>
      <c r="K4797" t="s">
        <v>3305</v>
      </c>
      <c r="M4797">
        <v>98.51</v>
      </c>
      <c r="N4797" s="4">
        <f t="shared" si="74"/>
        <v>-2030.2507359658916</v>
      </c>
      <c r="O4797" t="s">
        <v>39</v>
      </c>
    </row>
    <row r="4798" spans="1:17" x14ac:dyDescent="0.25">
      <c r="A4798" s="22">
        <v>45814</v>
      </c>
      <c r="B4798" s="1">
        <v>47900071716</v>
      </c>
      <c r="C4798" t="s">
        <v>44</v>
      </c>
      <c r="D4798" s="23">
        <v>455000</v>
      </c>
      <c r="E4798" t="s">
        <v>45</v>
      </c>
      <c r="F4798" s="2">
        <v>210115002</v>
      </c>
      <c r="G4798" s="2" t="s">
        <v>46</v>
      </c>
      <c r="I4798" s="95" t="s">
        <v>7231</v>
      </c>
      <c r="K4798" t="s">
        <v>44</v>
      </c>
      <c r="M4798">
        <v>98.51</v>
      </c>
      <c r="N4798" s="4">
        <f t="shared" si="74"/>
        <v>4618.8204243224036</v>
      </c>
      <c r="O4798" t="s">
        <v>39</v>
      </c>
    </row>
    <row r="4799" spans="1:17" x14ac:dyDescent="0.25">
      <c r="A4799" s="22">
        <v>45838</v>
      </c>
      <c r="B4799" s="1">
        <v>71600000000</v>
      </c>
      <c r="C4799" t="s">
        <v>48</v>
      </c>
      <c r="D4799" s="23">
        <v>-0.5</v>
      </c>
      <c r="E4799" t="s">
        <v>35</v>
      </c>
      <c r="F4799" s="2">
        <v>610148001</v>
      </c>
      <c r="G4799" s="2" t="s">
        <v>41</v>
      </c>
      <c r="I4799" s="95" t="s">
        <v>7231</v>
      </c>
      <c r="J4799" t="s">
        <v>42</v>
      </c>
      <c r="K4799" t="s">
        <v>41</v>
      </c>
      <c r="M4799">
        <v>107.62</v>
      </c>
      <c r="N4799" s="4">
        <f t="shared" si="74"/>
        <v>-4.6459765842780153E-3</v>
      </c>
      <c r="O4799" t="s">
        <v>39</v>
      </c>
      <c r="Q4799" s="24" t="s">
        <v>3649</v>
      </c>
    </row>
    <row r="4800" spans="1:17" x14ac:dyDescent="0.25">
      <c r="A4800" s="22">
        <v>45838</v>
      </c>
      <c r="B4800" s="1">
        <v>91577700000</v>
      </c>
      <c r="C4800" t="s">
        <v>49</v>
      </c>
      <c r="D4800" s="23">
        <v>-0.5</v>
      </c>
      <c r="E4800" t="s">
        <v>35</v>
      </c>
      <c r="F4800" s="2">
        <v>610148001</v>
      </c>
      <c r="G4800" s="2" t="s">
        <v>41</v>
      </c>
      <c r="I4800" s="95" t="s">
        <v>7231</v>
      </c>
      <c r="J4800" t="s">
        <v>42</v>
      </c>
      <c r="K4800" t="s">
        <v>41</v>
      </c>
      <c r="M4800">
        <v>107.62</v>
      </c>
      <c r="N4800" s="4">
        <f t="shared" si="74"/>
        <v>-4.6459765842780153E-3</v>
      </c>
      <c r="O4800" t="s">
        <v>39</v>
      </c>
      <c r="Q4800" s="24" t="s">
        <v>3649</v>
      </c>
    </row>
    <row r="4801" spans="1:17" x14ac:dyDescent="0.25">
      <c r="A4801" s="22">
        <v>45812</v>
      </c>
      <c r="B4801" s="1">
        <v>113972301</v>
      </c>
      <c r="C4801" t="s">
        <v>3650</v>
      </c>
      <c r="D4801" s="23">
        <v>-19289.16</v>
      </c>
      <c r="E4801" s="76" t="s">
        <v>35</v>
      </c>
      <c r="F4801" s="2">
        <v>210101001</v>
      </c>
      <c r="G4801" s="2" t="s">
        <v>36</v>
      </c>
      <c r="I4801" s="95" t="s">
        <v>7231</v>
      </c>
      <c r="J4801" t="s">
        <v>182</v>
      </c>
      <c r="K4801" t="s">
        <v>183</v>
      </c>
      <c r="M4801">
        <v>97.42</v>
      </c>
      <c r="N4801" s="4">
        <f t="shared" si="74"/>
        <v>-198</v>
      </c>
      <c r="O4801" t="s">
        <v>83</v>
      </c>
    </row>
    <row r="4802" spans="1:17" x14ac:dyDescent="0.25">
      <c r="A4802" s="22">
        <v>45812</v>
      </c>
      <c r="B4802" s="1">
        <v>113972301</v>
      </c>
      <c r="C4802" t="s">
        <v>185</v>
      </c>
      <c r="D4802" s="23">
        <v>-57.87</v>
      </c>
      <c r="E4802" s="76" t="s">
        <v>35</v>
      </c>
      <c r="F4802" s="2">
        <v>610148001</v>
      </c>
      <c r="G4802" s="2" t="s">
        <v>41</v>
      </c>
      <c r="I4802" s="95" t="s">
        <v>7231</v>
      </c>
      <c r="J4802" t="s">
        <v>42</v>
      </c>
      <c r="K4802" t="s">
        <v>41</v>
      </c>
      <c r="M4802">
        <v>97.42</v>
      </c>
      <c r="N4802" s="4">
        <f t="shared" si="74"/>
        <v>-0.59402586737836172</v>
      </c>
      <c r="O4802" t="s">
        <v>83</v>
      </c>
      <c r="Q4802" s="24" t="s">
        <v>3649</v>
      </c>
    </row>
    <row r="4803" spans="1:17" x14ac:dyDescent="0.25">
      <c r="A4803" s="22">
        <v>45814</v>
      </c>
      <c r="B4803" s="1">
        <v>415993438</v>
      </c>
      <c r="C4803" t="s">
        <v>2944</v>
      </c>
      <c r="D4803" s="23">
        <v>200000</v>
      </c>
      <c r="E4803" s="76" t="s">
        <v>45</v>
      </c>
      <c r="F4803" s="2">
        <v>110101003</v>
      </c>
      <c r="G4803" s="2" t="s">
        <v>2945</v>
      </c>
      <c r="I4803" s="95" t="s">
        <v>7231</v>
      </c>
      <c r="K4803" t="s">
        <v>2944</v>
      </c>
      <c r="M4803">
        <v>98.51</v>
      </c>
      <c r="N4803" s="4">
        <f t="shared" si="74"/>
        <v>2030.2507359658916</v>
      </c>
      <c r="O4803" t="s">
        <v>83</v>
      </c>
    </row>
    <row r="4804" spans="1:17" x14ac:dyDescent="0.25">
      <c r="A4804" s="22">
        <v>45814</v>
      </c>
      <c r="B4804" s="1">
        <v>215993699</v>
      </c>
      <c r="C4804" t="s">
        <v>2944</v>
      </c>
      <c r="D4804" s="23">
        <v>200000</v>
      </c>
      <c r="E4804" s="76" t="s">
        <v>45</v>
      </c>
      <c r="F4804" s="2">
        <v>110101003</v>
      </c>
      <c r="G4804" s="2" t="s">
        <v>2945</v>
      </c>
      <c r="I4804" s="95" t="s">
        <v>7231</v>
      </c>
      <c r="K4804" t="s">
        <v>2944</v>
      </c>
      <c r="M4804">
        <v>98.51</v>
      </c>
      <c r="N4804" s="4">
        <f t="shared" si="74"/>
        <v>2030.2507359658916</v>
      </c>
      <c r="O4804" t="s">
        <v>83</v>
      </c>
    </row>
    <row r="4805" spans="1:17" x14ac:dyDescent="0.25">
      <c r="A4805" s="22">
        <v>45814</v>
      </c>
      <c r="B4805" s="1">
        <v>15993968</v>
      </c>
      <c r="C4805" t="s">
        <v>2944</v>
      </c>
      <c r="D4805" s="23">
        <v>50000</v>
      </c>
      <c r="E4805" s="76" t="s">
        <v>45</v>
      </c>
      <c r="F4805" s="2">
        <v>110101003</v>
      </c>
      <c r="G4805" s="2" t="s">
        <v>2945</v>
      </c>
      <c r="I4805" s="95" t="s">
        <v>7231</v>
      </c>
      <c r="K4805" t="s">
        <v>2944</v>
      </c>
      <c r="M4805">
        <v>98.51</v>
      </c>
      <c r="N4805" s="4">
        <f t="shared" si="74"/>
        <v>507.56268399147291</v>
      </c>
      <c r="O4805" t="s">
        <v>83</v>
      </c>
    </row>
    <row r="4806" spans="1:17" x14ac:dyDescent="0.25">
      <c r="A4806" s="22">
        <v>45814</v>
      </c>
      <c r="B4806" s="1">
        <v>914062943</v>
      </c>
      <c r="C4806" t="s">
        <v>3651</v>
      </c>
      <c r="D4806" s="23">
        <v>-200000</v>
      </c>
      <c r="E4806" s="76" t="s">
        <v>35</v>
      </c>
      <c r="F4806" s="2">
        <v>210101001</v>
      </c>
      <c r="G4806" s="2" t="s">
        <v>36</v>
      </c>
      <c r="I4806" s="95" t="s">
        <v>7231</v>
      </c>
      <c r="J4806" t="s">
        <v>376</v>
      </c>
      <c r="K4806" t="s">
        <v>377</v>
      </c>
      <c r="M4806">
        <v>98.51</v>
      </c>
      <c r="N4806" s="4">
        <f t="shared" si="74"/>
        <v>-2030.2507359658916</v>
      </c>
      <c r="O4806" t="s">
        <v>83</v>
      </c>
    </row>
    <row r="4807" spans="1:17" x14ac:dyDescent="0.25">
      <c r="A4807" s="22">
        <v>45814</v>
      </c>
      <c r="B4807" s="1">
        <v>914062943</v>
      </c>
      <c r="C4807" t="s">
        <v>185</v>
      </c>
      <c r="D4807" s="23">
        <v>-600</v>
      </c>
      <c r="E4807" s="76" t="s">
        <v>35</v>
      </c>
      <c r="F4807" s="2">
        <v>610148001</v>
      </c>
      <c r="G4807" s="2" t="s">
        <v>41</v>
      </c>
      <c r="I4807" s="95" t="s">
        <v>7231</v>
      </c>
      <c r="J4807" t="s">
        <v>42</v>
      </c>
      <c r="K4807" t="s">
        <v>41</v>
      </c>
      <c r="M4807">
        <v>98.51</v>
      </c>
      <c r="N4807" s="4">
        <f t="shared" si="74"/>
        <v>-6.0907522078976752</v>
      </c>
      <c r="O4807" t="s">
        <v>83</v>
      </c>
      <c r="Q4807" s="24" t="s">
        <v>3649</v>
      </c>
    </row>
    <row r="4808" spans="1:17" x14ac:dyDescent="0.25">
      <c r="A4808" s="22">
        <v>45814</v>
      </c>
      <c r="B4808" s="1">
        <v>514063002</v>
      </c>
      <c r="C4808" t="s">
        <v>3651</v>
      </c>
      <c r="D4808" s="23">
        <v>-200000</v>
      </c>
      <c r="E4808" s="76" t="s">
        <v>35</v>
      </c>
      <c r="F4808" s="2">
        <v>210101001</v>
      </c>
      <c r="G4808" s="2" t="s">
        <v>36</v>
      </c>
      <c r="I4808" s="95" t="s">
        <v>7231</v>
      </c>
      <c r="J4808" t="s">
        <v>376</v>
      </c>
      <c r="K4808" t="s">
        <v>377</v>
      </c>
      <c r="M4808">
        <v>98.51</v>
      </c>
      <c r="N4808" s="4">
        <f t="shared" si="74"/>
        <v>-2030.2507359658916</v>
      </c>
      <c r="O4808" t="s">
        <v>83</v>
      </c>
    </row>
    <row r="4809" spans="1:17" x14ac:dyDescent="0.25">
      <c r="A4809" s="22">
        <v>45814</v>
      </c>
      <c r="B4809" s="1">
        <v>514063002</v>
      </c>
      <c r="C4809" t="s">
        <v>185</v>
      </c>
      <c r="D4809" s="23">
        <v>-600</v>
      </c>
      <c r="E4809" s="76" t="s">
        <v>35</v>
      </c>
      <c r="F4809" s="2">
        <v>610148001</v>
      </c>
      <c r="G4809" s="2" t="s">
        <v>41</v>
      </c>
      <c r="I4809" s="95" t="s">
        <v>7231</v>
      </c>
      <c r="J4809" t="s">
        <v>42</v>
      </c>
      <c r="K4809" t="s">
        <v>41</v>
      </c>
      <c r="M4809">
        <v>98.51</v>
      </c>
      <c r="N4809" s="4">
        <f t="shared" si="74"/>
        <v>-6.0907522078976752</v>
      </c>
      <c r="O4809" t="s">
        <v>83</v>
      </c>
      <c r="Q4809" s="24" t="s">
        <v>3649</v>
      </c>
    </row>
    <row r="4810" spans="1:17" x14ac:dyDescent="0.25">
      <c r="A4810" s="22">
        <v>45814</v>
      </c>
      <c r="B4810" s="1">
        <v>414063060</v>
      </c>
      <c r="C4810" t="s">
        <v>3651</v>
      </c>
      <c r="D4810" s="23">
        <v>-50347.5</v>
      </c>
      <c r="E4810" s="76" t="s">
        <v>35</v>
      </c>
      <c r="F4810" s="2">
        <v>210101001</v>
      </c>
      <c r="G4810" s="2" t="s">
        <v>36</v>
      </c>
      <c r="I4810" s="95" t="s">
        <v>7231</v>
      </c>
      <c r="J4810" t="s">
        <v>376</v>
      </c>
      <c r="K4810" t="s">
        <v>377</v>
      </c>
      <c r="M4810">
        <v>98.51</v>
      </c>
      <c r="N4810" s="4">
        <f t="shared" si="74"/>
        <v>-511.09024464521366</v>
      </c>
      <c r="O4810" t="s">
        <v>83</v>
      </c>
    </row>
    <row r="4811" spans="1:17" x14ac:dyDescent="0.25">
      <c r="A4811" s="22">
        <v>45814</v>
      </c>
      <c r="B4811" s="1">
        <v>414063060</v>
      </c>
      <c r="C4811" t="s">
        <v>185</v>
      </c>
      <c r="D4811" s="23">
        <v>-151.04</v>
      </c>
      <c r="E4811" s="76" t="s">
        <v>35</v>
      </c>
      <c r="F4811" s="2">
        <v>610148001</v>
      </c>
      <c r="G4811" s="2" t="s">
        <v>41</v>
      </c>
      <c r="I4811" s="95" t="s">
        <v>7231</v>
      </c>
      <c r="J4811" t="s">
        <v>42</v>
      </c>
      <c r="K4811" t="s">
        <v>41</v>
      </c>
      <c r="M4811">
        <v>98.51</v>
      </c>
      <c r="N4811" s="4">
        <f t="shared" si="74"/>
        <v>-1.5332453558014414</v>
      </c>
      <c r="O4811" t="s">
        <v>83</v>
      </c>
      <c r="Q4811" s="24" t="s">
        <v>3649</v>
      </c>
    </row>
    <row r="4812" spans="1:17" x14ac:dyDescent="0.25">
      <c r="A4812" s="22">
        <v>45814</v>
      </c>
      <c r="B4812" s="1">
        <v>150833027</v>
      </c>
      <c r="C4812" t="s">
        <v>82</v>
      </c>
      <c r="D4812" s="23">
        <v>110000</v>
      </c>
      <c r="E4812" s="76" t="s">
        <v>45</v>
      </c>
      <c r="F4812" s="2">
        <v>210115002</v>
      </c>
      <c r="G4812" s="2" t="s">
        <v>46</v>
      </c>
      <c r="I4812" s="95" t="s">
        <v>7231</v>
      </c>
      <c r="K4812" t="s">
        <v>82</v>
      </c>
      <c r="M4812">
        <v>98.51</v>
      </c>
      <c r="N4812" s="4">
        <f t="shared" ref="N4812:N4875" si="75">D4812/M4812</f>
        <v>1116.6379047812404</v>
      </c>
      <c r="O4812" t="s">
        <v>83</v>
      </c>
    </row>
    <row r="4813" spans="1:17" x14ac:dyDescent="0.25">
      <c r="A4813" s="22">
        <v>45814</v>
      </c>
      <c r="B4813" s="1">
        <v>814084846</v>
      </c>
      <c r="C4813" t="s">
        <v>3652</v>
      </c>
      <c r="D4813" s="23">
        <v>-89544.51</v>
      </c>
      <c r="E4813" s="76" t="s">
        <v>35</v>
      </c>
      <c r="F4813" s="2">
        <v>210101001</v>
      </c>
      <c r="G4813" s="2" t="s">
        <v>36</v>
      </c>
      <c r="I4813" s="95" t="s">
        <v>7231</v>
      </c>
      <c r="J4813" t="s">
        <v>37</v>
      </c>
      <c r="K4813" t="s">
        <v>38</v>
      </c>
      <c r="M4813">
        <v>98.51</v>
      </c>
      <c r="N4813" s="4">
        <f t="shared" si="75"/>
        <v>-908.98903664602574</v>
      </c>
      <c r="O4813" t="s">
        <v>83</v>
      </c>
    </row>
    <row r="4814" spans="1:17" x14ac:dyDescent="0.25">
      <c r="A4814" s="22">
        <v>45814</v>
      </c>
      <c r="B4814" s="1">
        <v>814084847</v>
      </c>
      <c r="C4814" t="s">
        <v>3653</v>
      </c>
      <c r="D4814" s="23">
        <v>-15606.44</v>
      </c>
      <c r="E4814" s="76" t="s">
        <v>35</v>
      </c>
      <c r="F4814" s="2">
        <v>210101001</v>
      </c>
      <c r="G4814" s="2" t="s">
        <v>36</v>
      </c>
      <c r="I4814" s="95" t="s">
        <v>7231</v>
      </c>
      <c r="J4814" t="s">
        <v>2774</v>
      </c>
      <c r="K4814" t="s">
        <v>3654</v>
      </c>
      <c r="M4814">
        <v>98.51</v>
      </c>
      <c r="N4814" s="4">
        <f t="shared" si="75"/>
        <v>-158.42493147903767</v>
      </c>
      <c r="O4814" t="s">
        <v>83</v>
      </c>
    </row>
    <row r="4815" spans="1:17" x14ac:dyDescent="0.25">
      <c r="A4815" s="22">
        <v>45814</v>
      </c>
      <c r="B4815" s="1">
        <v>50637547</v>
      </c>
      <c r="C4815" t="s">
        <v>89</v>
      </c>
      <c r="D4815" s="23">
        <v>-262.87</v>
      </c>
      <c r="E4815" s="76" t="s">
        <v>35</v>
      </c>
      <c r="F4815" s="2">
        <v>610148001</v>
      </c>
      <c r="G4815" s="2" t="s">
        <v>41</v>
      </c>
      <c r="I4815" s="95" t="s">
        <v>7231</v>
      </c>
      <c r="J4815" t="s">
        <v>42</v>
      </c>
      <c r="K4815" t="s">
        <v>41</v>
      </c>
      <c r="M4815">
        <v>98.51</v>
      </c>
      <c r="N4815" s="4">
        <f t="shared" si="75"/>
        <v>-2.6684600548167698</v>
      </c>
      <c r="O4815" t="s">
        <v>83</v>
      </c>
      <c r="Q4815" s="24" t="s">
        <v>3649</v>
      </c>
    </row>
    <row r="4816" spans="1:17" x14ac:dyDescent="0.25">
      <c r="A4816" s="22">
        <v>45814</v>
      </c>
      <c r="B4816" s="1">
        <v>163633728</v>
      </c>
      <c r="C4816" t="s">
        <v>82</v>
      </c>
      <c r="D4816" s="23">
        <v>460000</v>
      </c>
      <c r="E4816" s="76" t="s">
        <v>45</v>
      </c>
      <c r="F4816" s="2">
        <v>210115002</v>
      </c>
      <c r="G4816" s="2" t="s">
        <v>46</v>
      </c>
      <c r="I4816" s="95" t="s">
        <v>7231</v>
      </c>
      <c r="K4816" t="s">
        <v>82</v>
      </c>
      <c r="M4816">
        <v>98.51</v>
      </c>
      <c r="N4816" s="4">
        <f t="shared" si="75"/>
        <v>4669.5766927215509</v>
      </c>
      <c r="O4816" t="s">
        <v>83</v>
      </c>
    </row>
    <row r="4817" spans="1:15" x14ac:dyDescent="0.25">
      <c r="A4817" s="22">
        <v>45814</v>
      </c>
      <c r="B4817" s="1">
        <v>114090738</v>
      </c>
      <c r="C4817" t="s">
        <v>3655</v>
      </c>
      <c r="D4817" s="23">
        <v>-7880.8</v>
      </c>
      <c r="E4817" s="76" t="s">
        <v>35</v>
      </c>
      <c r="F4817" s="2">
        <v>212901001</v>
      </c>
      <c r="G4817" s="2" t="s">
        <v>91</v>
      </c>
      <c r="I4817" s="95" t="s">
        <v>7231</v>
      </c>
      <c r="J4817" t="s">
        <v>61</v>
      </c>
      <c r="K4817" t="s">
        <v>62</v>
      </c>
      <c r="M4817">
        <v>98.51</v>
      </c>
      <c r="N4817" s="4">
        <f t="shared" si="75"/>
        <v>-80</v>
      </c>
      <c r="O4817" t="s">
        <v>83</v>
      </c>
    </row>
    <row r="4818" spans="1:15" x14ac:dyDescent="0.25">
      <c r="A4818" s="22">
        <v>45814</v>
      </c>
      <c r="B4818" s="1">
        <v>214090742</v>
      </c>
      <c r="C4818" t="s">
        <v>3656</v>
      </c>
      <c r="D4818" s="23">
        <v>-5910.6</v>
      </c>
      <c r="E4818" s="76" t="s">
        <v>35</v>
      </c>
      <c r="F4818" s="2">
        <v>212901001</v>
      </c>
      <c r="G4818" s="2" t="s">
        <v>91</v>
      </c>
      <c r="I4818" s="95" t="s">
        <v>7231</v>
      </c>
      <c r="J4818" t="s">
        <v>61</v>
      </c>
      <c r="K4818" t="s">
        <v>62</v>
      </c>
      <c r="M4818">
        <v>98.51</v>
      </c>
      <c r="N4818" s="4">
        <f t="shared" si="75"/>
        <v>-60</v>
      </c>
      <c r="O4818" t="s">
        <v>83</v>
      </c>
    </row>
    <row r="4819" spans="1:15" x14ac:dyDescent="0.25">
      <c r="A4819" s="22">
        <v>45814</v>
      </c>
      <c r="B4819" s="1">
        <v>214090741</v>
      </c>
      <c r="C4819" t="s">
        <v>3657</v>
      </c>
      <c r="D4819" s="23">
        <v>-5910.6</v>
      </c>
      <c r="E4819" s="76" t="s">
        <v>35</v>
      </c>
      <c r="F4819" s="2">
        <v>212901001</v>
      </c>
      <c r="G4819" s="2" t="s">
        <v>91</v>
      </c>
      <c r="I4819" s="95" t="s">
        <v>7231</v>
      </c>
      <c r="J4819" t="s">
        <v>61</v>
      </c>
      <c r="K4819" t="s">
        <v>62</v>
      </c>
      <c r="M4819">
        <v>98.51</v>
      </c>
      <c r="N4819" s="4">
        <f t="shared" si="75"/>
        <v>-60</v>
      </c>
      <c r="O4819" t="s">
        <v>83</v>
      </c>
    </row>
    <row r="4820" spans="1:15" x14ac:dyDescent="0.25">
      <c r="A4820" s="22">
        <v>45814</v>
      </c>
      <c r="B4820" s="1">
        <v>114090739</v>
      </c>
      <c r="C4820" t="s">
        <v>3658</v>
      </c>
      <c r="D4820" s="23">
        <v>-5910.6</v>
      </c>
      <c r="E4820" s="76" t="s">
        <v>35</v>
      </c>
      <c r="F4820" s="2">
        <v>212901001</v>
      </c>
      <c r="G4820" s="2" t="s">
        <v>91</v>
      </c>
      <c r="I4820" s="95" t="s">
        <v>7231</v>
      </c>
      <c r="J4820" t="s">
        <v>61</v>
      </c>
      <c r="K4820" t="s">
        <v>62</v>
      </c>
      <c r="M4820">
        <v>98.51</v>
      </c>
      <c r="N4820" s="4">
        <f t="shared" si="75"/>
        <v>-60</v>
      </c>
      <c r="O4820" t="s">
        <v>83</v>
      </c>
    </row>
    <row r="4821" spans="1:15" x14ac:dyDescent="0.25">
      <c r="A4821" s="22">
        <v>45814</v>
      </c>
      <c r="B4821" s="1">
        <v>214090743</v>
      </c>
      <c r="C4821" t="s">
        <v>3659</v>
      </c>
      <c r="D4821" s="23">
        <v>-5910.6</v>
      </c>
      <c r="E4821" s="76" t="s">
        <v>35</v>
      </c>
      <c r="F4821" s="2">
        <v>212901001</v>
      </c>
      <c r="G4821" s="2" t="s">
        <v>91</v>
      </c>
      <c r="I4821" s="95" t="s">
        <v>7231</v>
      </c>
      <c r="J4821" t="s">
        <v>61</v>
      </c>
      <c r="K4821" t="s">
        <v>62</v>
      </c>
      <c r="M4821">
        <v>98.51</v>
      </c>
      <c r="N4821" s="4">
        <f t="shared" si="75"/>
        <v>-60</v>
      </c>
      <c r="O4821" t="s">
        <v>83</v>
      </c>
    </row>
    <row r="4822" spans="1:15" x14ac:dyDescent="0.25">
      <c r="A4822" s="22">
        <v>45814</v>
      </c>
      <c r="B4822" s="1">
        <v>214090744</v>
      </c>
      <c r="C4822" t="s">
        <v>3660</v>
      </c>
      <c r="D4822" s="23">
        <v>-5910.6</v>
      </c>
      <c r="E4822" s="76" t="s">
        <v>35</v>
      </c>
      <c r="F4822" s="2">
        <v>212901001</v>
      </c>
      <c r="G4822" s="2" t="s">
        <v>91</v>
      </c>
      <c r="I4822" s="95" t="s">
        <v>7231</v>
      </c>
      <c r="J4822" t="s">
        <v>61</v>
      </c>
      <c r="K4822" t="s">
        <v>62</v>
      </c>
      <c r="M4822">
        <v>98.51</v>
      </c>
      <c r="N4822" s="4">
        <f t="shared" si="75"/>
        <v>-60</v>
      </c>
      <c r="O4822" t="s">
        <v>83</v>
      </c>
    </row>
    <row r="4823" spans="1:15" x14ac:dyDescent="0.25">
      <c r="A4823" s="22">
        <v>45814</v>
      </c>
      <c r="B4823" s="1">
        <v>214090745</v>
      </c>
      <c r="C4823" t="s">
        <v>3661</v>
      </c>
      <c r="D4823" s="23">
        <v>-5910.6</v>
      </c>
      <c r="E4823" s="76" t="s">
        <v>35</v>
      </c>
      <c r="F4823" s="2">
        <v>212901001</v>
      </c>
      <c r="G4823" s="2" t="s">
        <v>91</v>
      </c>
      <c r="I4823" s="95" t="s">
        <v>7231</v>
      </c>
      <c r="J4823" t="s">
        <v>61</v>
      </c>
      <c r="K4823" t="s">
        <v>62</v>
      </c>
      <c r="M4823">
        <v>98.51</v>
      </c>
      <c r="N4823" s="4">
        <f t="shared" si="75"/>
        <v>-60</v>
      </c>
      <c r="O4823" t="s">
        <v>83</v>
      </c>
    </row>
    <row r="4824" spans="1:15" x14ac:dyDescent="0.25">
      <c r="A4824" s="22">
        <v>45814</v>
      </c>
      <c r="B4824" s="1">
        <v>214090746</v>
      </c>
      <c r="C4824" t="s">
        <v>3662</v>
      </c>
      <c r="D4824" s="23">
        <v>-5910.6</v>
      </c>
      <c r="E4824" s="76" t="s">
        <v>35</v>
      </c>
      <c r="F4824" s="2">
        <v>212901001</v>
      </c>
      <c r="G4824" s="2" t="s">
        <v>91</v>
      </c>
      <c r="I4824" s="95" t="s">
        <v>7231</v>
      </c>
      <c r="J4824" t="s">
        <v>61</v>
      </c>
      <c r="K4824" t="s">
        <v>62</v>
      </c>
      <c r="M4824">
        <v>98.51</v>
      </c>
      <c r="N4824" s="4">
        <f t="shared" si="75"/>
        <v>-60</v>
      </c>
      <c r="O4824" t="s">
        <v>83</v>
      </c>
    </row>
    <row r="4825" spans="1:15" x14ac:dyDescent="0.25">
      <c r="A4825" s="22">
        <v>45814</v>
      </c>
      <c r="B4825" s="1">
        <v>214090747</v>
      </c>
      <c r="C4825" t="s">
        <v>3663</v>
      </c>
      <c r="D4825" s="23">
        <v>-5910.6</v>
      </c>
      <c r="E4825" s="76" t="s">
        <v>35</v>
      </c>
      <c r="F4825" s="2">
        <v>212901001</v>
      </c>
      <c r="G4825" s="2" t="s">
        <v>91</v>
      </c>
      <c r="I4825" s="95" t="s">
        <v>7231</v>
      </c>
      <c r="J4825" t="s">
        <v>61</v>
      </c>
      <c r="K4825" t="s">
        <v>62</v>
      </c>
      <c r="M4825">
        <v>98.51</v>
      </c>
      <c r="N4825" s="4">
        <f t="shared" si="75"/>
        <v>-60</v>
      </c>
      <c r="O4825" t="s">
        <v>83</v>
      </c>
    </row>
    <row r="4826" spans="1:15" x14ac:dyDescent="0.25">
      <c r="A4826" s="22">
        <v>45814</v>
      </c>
      <c r="B4826" s="1">
        <v>214090748</v>
      </c>
      <c r="C4826" t="s">
        <v>3664</v>
      </c>
      <c r="D4826" s="23">
        <v>-5910.6</v>
      </c>
      <c r="E4826" s="76" t="s">
        <v>35</v>
      </c>
      <c r="F4826" s="2">
        <v>212901001</v>
      </c>
      <c r="G4826" s="2" t="s">
        <v>91</v>
      </c>
      <c r="I4826" s="95" t="s">
        <v>7231</v>
      </c>
      <c r="J4826" t="s">
        <v>61</v>
      </c>
      <c r="K4826" t="s">
        <v>62</v>
      </c>
      <c r="M4826">
        <v>98.51</v>
      </c>
      <c r="N4826" s="4">
        <f t="shared" si="75"/>
        <v>-60</v>
      </c>
      <c r="O4826" t="s">
        <v>83</v>
      </c>
    </row>
    <row r="4827" spans="1:15" x14ac:dyDescent="0.25">
      <c r="A4827" s="22">
        <v>45814</v>
      </c>
      <c r="B4827" s="1">
        <v>214090750</v>
      </c>
      <c r="C4827" t="s">
        <v>3665</v>
      </c>
      <c r="D4827" s="23">
        <v>-5910.6</v>
      </c>
      <c r="E4827" s="76" t="s">
        <v>35</v>
      </c>
      <c r="F4827" s="2">
        <v>212901001</v>
      </c>
      <c r="G4827" s="2" t="s">
        <v>91</v>
      </c>
      <c r="I4827" s="95" t="s">
        <v>7231</v>
      </c>
      <c r="J4827" t="s">
        <v>61</v>
      </c>
      <c r="K4827" t="s">
        <v>62</v>
      </c>
      <c r="M4827">
        <v>98.51</v>
      </c>
      <c r="N4827" s="4">
        <f t="shared" si="75"/>
        <v>-60</v>
      </c>
      <c r="O4827" t="s">
        <v>83</v>
      </c>
    </row>
    <row r="4828" spans="1:15" x14ac:dyDescent="0.25">
      <c r="A4828" s="22">
        <v>45814</v>
      </c>
      <c r="B4828" s="1">
        <v>214090751</v>
      </c>
      <c r="C4828" t="s">
        <v>3666</v>
      </c>
      <c r="D4828" s="23">
        <v>-5910.6</v>
      </c>
      <c r="E4828" s="76" t="s">
        <v>35</v>
      </c>
      <c r="F4828" s="2">
        <v>212901001</v>
      </c>
      <c r="G4828" s="2" t="s">
        <v>91</v>
      </c>
      <c r="I4828" s="95" t="s">
        <v>7231</v>
      </c>
      <c r="J4828" t="s">
        <v>61</v>
      </c>
      <c r="K4828" t="s">
        <v>62</v>
      </c>
      <c r="M4828">
        <v>98.51</v>
      </c>
      <c r="N4828" s="4">
        <f t="shared" si="75"/>
        <v>-60</v>
      </c>
      <c r="O4828" t="s">
        <v>83</v>
      </c>
    </row>
    <row r="4829" spans="1:15" x14ac:dyDescent="0.25">
      <c r="A4829" s="22">
        <v>45814</v>
      </c>
      <c r="B4829" s="1">
        <v>314090753</v>
      </c>
      <c r="C4829" t="s">
        <v>3667</v>
      </c>
      <c r="D4829" s="23">
        <v>-5910.6</v>
      </c>
      <c r="E4829" s="76" t="s">
        <v>35</v>
      </c>
      <c r="F4829" s="2">
        <v>212901001</v>
      </c>
      <c r="G4829" s="2" t="s">
        <v>91</v>
      </c>
      <c r="I4829" s="95" t="s">
        <v>7231</v>
      </c>
      <c r="J4829" t="s">
        <v>61</v>
      </c>
      <c r="K4829" t="s">
        <v>62</v>
      </c>
      <c r="M4829">
        <v>98.51</v>
      </c>
      <c r="N4829" s="4">
        <f t="shared" si="75"/>
        <v>-60</v>
      </c>
      <c r="O4829" t="s">
        <v>83</v>
      </c>
    </row>
    <row r="4830" spans="1:15" x14ac:dyDescent="0.25">
      <c r="A4830" s="22">
        <v>45814</v>
      </c>
      <c r="B4830" s="1">
        <v>314090754</v>
      </c>
      <c r="C4830" t="s">
        <v>3668</v>
      </c>
      <c r="D4830" s="23">
        <v>-5910.6</v>
      </c>
      <c r="E4830" s="76" t="s">
        <v>35</v>
      </c>
      <c r="F4830" s="2">
        <v>212901001</v>
      </c>
      <c r="G4830" s="2" t="s">
        <v>91</v>
      </c>
      <c r="I4830" s="95" t="s">
        <v>7231</v>
      </c>
      <c r="J4830" t="s">
        <v>61</v>
      </c>
      <c r="K4830" t="s">
        <v>62</v>
      </c>
      <c r="M4830">
        <v>98.51</v>
      </c>
      <c r="N4830" s="4">
        <f t="shared" si="75"/>
        <v>-60</v>
      </c>
      <c r="O4830" t="s">
        <v>83</v>
      </c>
    </row>
    <row r="4831" spans="1:15" x14ac:dyDescent="0.25">
      <c r="A4831" s="22">
        <v>45814</v>
      </c>
      <c r="B4831" s="1">
        <v>314090752</v>
      </c>
      <c r="C4831" t="s">
        <v>3669</v>
      </c>
      <c r="D4831" s="23">
        <v>-5910.6</v>
      </c>
      <c r="E4831" s="76" t="s">
        <v>35</v>
      </c>
      <c r="F4831" s="2">
        <v>212901001</v>
      </c>
      <c r="G4831" s="2" t="s">
        <v>91</v>
      </c>
      <c r="I4831" s="95" t="s">
        <v>7231</v>
      </c>
      <c r="J4831" t="s">
        <v>61</v>
      </c>
      <c r="K4831" t="s">
        <v>62</v>
      </c>
      <c r="M4831">
        <v>98.51</v>
      </c>
      <c r="N4831" s="4">
        <f t="shared" si="75"/>
        <v>-60</v>
      </c>
      <c r="O4831" t="s">
        <v>83</v>
      </c>
    </row>
    <row r="4832" spans="1:15" x14ac:dyDescent="0.25">
      <c r="A4832" s="22">
        <v>45814</v>
      </c>
      <c r="B4832" s="1">
        <v>314090755</v>
      </c>
      <c r="C4832" t="s">
        <v>3670</v>
      </c>
      <c r="D4832" s="23">
        <v>-5910.6</v>
      </c>
      <c r="E4832" s="76" t="s">
        <v>35</v>
      </c>
      <c r="F4832" s="2">
        <v>212901001</v>
      </c>
      <c r="G4832" s="2" t="s">
        <v>91</v>
      </c>
      <c r="I4832" s="95" t="s">
        <v>7231</v>
      </c>
      <c r="J4832" t="s">
        <v>61</v>
      </c>
      <c r="K4832" t="s">
        <v>62</v>
      </c>
      <c r="M4832">
        <v>98.51</v>
      </c>
      <c r="N4832" s="4">
        <f t="shared" si="75"/>
        <v>-60</v>
      </c>
      <c r="O4832" t="s">
        <v>83</v>
      </c>
    </row>
    <row r="4833" spans="1:15" x14ac:dyDescent="0.25">
      <c r="A4833" s="22">
        <v>45814</v>
      </c>
      <c r="B4833" s="1">
        <v>314090756</v>
      </c>
      <c r="C4833" t="s">
        <v>3671</v>
      </c>
      <c r="D4833" s="23">
        <v>-14776.5</v>
      </c>
      <c r="E4833" s="76" t="s">
        <v>35</v>
      </c>
      <c r="F4833" s="2">
        <v>212901001</v>
      </c>
      <c r="G4833" s="2" t="s">
        <v>91</v>
      </c>
      <c r="I4833" s="95" t="s">
        <v>7231</v>
      </c>
      <c r="J4833" t="s">
        <v>61</v>
      </c>
      <c r="K4833" t="s">
        <v>62</v>
      </c>
      <c r="M4833">
        <v>98.51</v>
      </c>
      <c r="N4833" s="4">
        <f t="shared" si="75"/>
        <v>-150</v>
      </c>
      <c r="O4833" t="s">
        <v>83</v>
      </c>
    </row>
    <row r="4834" spans="1:15" x14ac:dyDescent="0.25">
      <c r="A4834" s="22">
        <v>45814</v>
      </c>
      <c r="B4834" s="1">
        <v>314090758</v>
      </c>
      <c r="C4834" t="s">
        <v>3672</v>
      </c>
      <c r="D4834" s="23">
        <v>-9851</v>
      </c>
      <c r="E4834" s="76" t="s">
        <v>35</v>
      </c>
      <c r="F4834" s="2">
        <v>212901001</v>
      </c>
      <c r="G4834" s="2" t="s">
        <v>91</v>
      </c>
      <c r="I4834" s="95" t="s">
        <v>7231</v>
      </c>
      <c r="J4834" t="s">
        <v>61</v>
      </c>
      <c r="K4834" t="s">
        <v>62</v>
      </c>
      <c r="M4834">
        <v>98.51</v>
      </c>
      <c r="N4834" s="4">
        <f t="shared" si="75"/>
        <v>-100</v>
      </c>
      <c r="O4834" t="s">
        <v>83</v>
      </c>
    </row>
    <row r="4835" spans="1:15" x14ac:dyDescent="0.25">
      <c r="A4835" s="22">
        <v>45814</v>
      </c>
      <c r="B4835" s="1">
        <v>314090760</v>
      </c>
      <c r="C4835" t="s">
        <v>3673</v>
      </c>
      <c r="D4835" s="23">
        <v>-7880.8</v>
      </c>
      <c r="E4835" s="76" t="s">
        <v>35</v>
      </c>
      <c r="F4835" s="2">
        <v>212901001</v>
      </c>
      <c r="G4835" s="2" t="s">
        <v>91</v>
      </c>
      <c r="I4835" s="95" t="s">
        <v>7231</v>
      </c>
      <c r="J4835" t="s">
        <v>61</v>
      </c>
      <c r="K4835" t="s">
        <v>62</v>
      </c>
      <c r="M4835">
        <v>98.51</v>
      </c>
      <c r="N4835" s="4">
        <f t="shared" si="75"/>
        <v>-80</v>
      </c>
      <c r="O4835" t="s">
        <v>83</v>
      </c>
    </row>
    <row r="4836" spans="1:15" x14ac:dyDescent="0.25">
      <c r="A4836" s="22">
        <v>45814</v>
      </c>
      <c r="B4836" s="1">
        <v>314090761</v>
      </c>
      <c r="C4836" t="s">
        <v>3674</v>
      </c>
      <c r="D4836" s="23">
        <v>-7880.8</v>
      </c>
      <c r="E4836" s="76" t="s">
        <v>35</v>
      </c>
      <c r="F4836" s="2">
        <v>212901001</v>
      </c>
      <c r="G4836" s="2" t="s">
        <v>91</v>
      </c>
      <c r="I4836" s="95" t="s">
        <v>7231</v>
      </c>
      <c r="J4836" t="s">
        <v>61</v>
      </c>
      <c r="K4836" t="s">
        <v>62</v>
      </c>
      <c r="M4836">
        <v>98.51</v>
      </c>
      <c r="N4836" s="4">
        <f t="shared" si="75"/>
        <v>-80</v>
      </c>
      <c r="O4836" t="s">
        <v>83</v>
      </c>
    </row>
    <row r="4837" spans="1:15" x14ac:dyDescent="0.25">
      <c r="A4837" s="22">
        <v>45814</v>
      </c>
      <c r="B4837" s="1">
        <v>314090759</v>
      </c>
      <c r="C4837" t="s">
        <v>3675</v>
      </c>
      <c r="D4837" s="23">
        <v>-7880.8</v>
      </c>
      <c r="E4837" s="76" t="s">
        <v>35</v>
      </c>
      <c r="F4837" s="2">
        <v>212901001</v>
      </c>
      <c r="G4837" s="2" t="s">
        <v>91</v>
      </c>
      <c r="I4837" s="95" t="s">
        <v>7231</v>
      </c>
      <c r="J4837" t="s">
        <v>61</v>
      </c>
      <c r="K4837" t="s">
        <v>62</v>
      </c>
      <c r="M4837">
        <v>98.51</v>
      </c>
      <c r="N4837" s="4">
        <f t="shared" si="75"/>
        <v>-80</v>
      </c>
      <c r="O4837" t="s">
        <v>83</v>
      </c>
    </row>
    <row r="4838" spans="1:15" x14ac:dyDescent="0.25">
      <c r="A4838" s="22">
        <v>45814</v>
      </c>
      <c r="B4838" s="1">
        <v>414090763</v>
      </c>
      <c r="C4838" t="s">
        <v>3676</v>
      </c>
      <c r="D4838" s="23">
        <v>-7880.8</v>
      </c>
      <c r="E4838" s="76" t="s">
        <v>35</v>
      </c>
      <c r="F4838" s="2">
        <v>212901001</v>
      </c>
      <c r="G4838" s="2" t="s">
        <v>91</v>
      </c>
      <c r="I4838" s="95" t="s">
        <v>7231</v>
      </c>
      <c r="J4838" t="s">
        <v>61</v>
      </c>
      <c r="K4838" t="s">
        <v>62</v>
      </c>
      <c r="M4838">
        <v>98.51</v>
      </c>
      <c r="N4838" s="4">
        <f t="shared" si="75"/>
        <v>-80</v>
      </c>
      <c r="O4838" t="s">
        <v>83</v>
      </c>
    </row>
    <row r="4839" spans="1:15" x14ac:dyDescent="0.25">
      <c r="A4839" s="22">
        <v>45814</v>
      </c>
      <c r="B4839" s="1">
        <v>314090762</v>
      </c>
      <c r="C4839" t="s">
        <v>3677</v>
      </c>
      <c r="D4839" s="23">
        <v>-7880.8</v>
      </c>
      <c r="E4839" s="76" t="s">
        <v>35</v>
      </c>
      <c r="F4839" s="2">
        <v>212901001</v>
      </c>
      <c r="G4839" s="2" t="s">
        <v>91</v>
      </c>
      <c r="I4839" s="95" t="s">
        <v>7231</v>
      </c>
      <c r="J4839" t="s">
        <v>61</v>
      </c>
      <c r="K4839" t="s">
        <v>62</v>
      </c>
      <c r="M4839">
        <v>98.51</v>
      </c>
      <c r="N4839" s="4">
        <f t="shared" si="75"/>
        <v>-80</v>
      </c>
      <c r="O4839" t="s">
        <v>83</v>
      </c>
    </row>
    <row r="4840" spans="1:15" x14ac:dyDescent="0.25">
      <c r="A4840" s="22">
        <v>45814</v>
      </c>
      <c r="B4840" s="1">
        <v>414090767</v>
      </c>
      <c r="C4840" t="s">
        <v>3678</v>
      </c>
      <c r="D4840" s="23">
        <v>-4925.5</v>
      </c>
      <c r="E4840" s="76" t="s">
        <v>35</v>
      </c>
      <c r="F4840" s="2">
        <v>212901001</v>
      </c>
      <c r="G4840" s="2" t="s">
        <v>91</v>
      </c>
      <c r="I4840" s="95" t="s">
        <v>7231</v>
      </c>
      <c r="J4840" t="s">
        <v>61</v>
      </c>
      <c r="K4840" t="s">
        <v>62</v>
      </c>
      <c r="M4840">
        <v>98.51</v>
      </c>
      <c r="N4840" s="4">
        <f t="shared" si="75"/>
        <v>-50</v>
      </c>
      <c r="O4840" t="s">
        <v>83</v>
      </c>
    </row>
    <row r="4841" spans="1:15" x14ac:dyDescent="0.25">
      <c r="A4841" s="22">
        <v>45814</v>
      </c>
      <c r="B4841" s="1">
        <v>414090765</v>
      </c>
      <c r="C4841" t="s">
        <v>3679</v>
      </c>
      <c r="D4841" s="23">
        <v>-4925.5</v>
      </c>
      <c r="E4841" s="76" t="s">
        <v>35</v>
      </c>
      <c r="F4841" s="2">
        <v>212901001</v>
      </c>
      <c r="G4841" s="2" t="s">
        <v>91</v>
      </c>
      <c r="I4841" s="95" t="s">
        <v>7231</v>
      </c>
      <c r="J4841" t="s">
        <v>61</v>
      </c>
      <c r="K4841" t="s">
        <v>62</v>
      </c>
      <c r="M4841">
        <v>98.51</v>
      </c>
      <c r="N4841" s="4">
        <f t="shared" si="75"/>
        <v>-50</v>
      </c>
      <c r="O4841" t="s">
        <v>83</v>
      </c>
    </row>
    <row r="4842" spans="1:15" x14ac:dyDescent="0.25">
      <c r="A4842" s="22">
        <v>45814</v>
      </c>
      <c r="B4842" s="1">
        <v>414090766</v>
      </c>
      <c r="C4842" t="s">
        <v>3680</v>
      </c>
      <c r="D4842" s="23">
        <v>-4925.5</v>
      </c>
      <c r="E4842" s="76" t="s">
        <v>35</v>
      </c>
      <c r="F4842" s="2">
        <v>212901001</v>
      </c>
      <c r="G4842" s="2" t="s">
        <v>91</v>
      </c>
      <c r="I4842" s="95" t="s">
        <v>7231</v>
      </c>
      <c r="J4842" t="s">
        <v>61</v>
      </c>
      <c r="K4842" t="s">
        <v>62</v>
      </c>
      <c r="M4842">
        <v>98.51</v>
      </c>
      <c r="N4842" s="4">
        <f t="shared" si="75"/>
        <v>-50</v>
      </c>
      <c r="O4842" t="s">
        <v>83</v>
      </c>
    </row>
    <row r="4843" spans="1:15" x14ac:dyDescent="0.25">
      <c r="A4843" s="22">
        <v>45814</v>
      </c>
      <c r="B4843" s="1">
        <v>414090764</v>
      </c>
      <c r="C4843" t="s">
        <v>3681</v>
      </c>
      <c r="D4843" s="23">
        <v>-7880.8</v>
      </c>
      <c r="E4843" s="76" t="s">
        <v>35</v>
      </c>
      <c r="F4843" s="2">
        <v>212901001</v>
      </c>
      <c r="G4843" s="2" t="s">
        <v>91</v>
      </c>
      <c r="I4843" s="95" t="s">
        <v>7231</v>
      </c>
      <c r="J4843" t="s">
        <v>61</v>
      </c>
      <c r="K4843" t="s">
        <v>62</v>
      </c>
      <c r="M4843">
        <v>98.51</v>
      </c>
      <c r="N4843" s="4">
        <f t="shared" si="75"/>
        <v>-80</v>
      </c>
      <c r="O4843" t="s">
        <v>83</v>
      </c>
    </row>
    <row r="4844" spans="1:15" x14ac:dyDescent="0.25">
      <c r="A4844" s="22">
        <v>45814</v>
      </c>
      <c r="B4844" s="1">
        <v>414090769</v>
      </c>
      <c r="C4844" t="s">
        <v>3682</v>
      </c>
      <c r="D4844" s="23">
        <v>-4925.5</v>
      </c>
      <c r="E4844" s="76" t="s">
        <v>35</v>
      </c>
      <c r="F4844" s="2">
        <v>212901001</v>
      </c>
      <c r="G4844" s="2" t="s">
        <v>91</v>
      </c>
      <c r="I4844" s="95" t="s">
        <v>7231</v>
      </c>
      <c r="J4844" t="s">
        <v>61</v>
      </c>
      <c r="K4844" t="s">
        <v>62</v>
      </c>
      <c r="M4844">
        <v>98.51</v>
      </c>
      <c r="N4844" s="4">
        <f t="shared" si="75"/>
        <v>-50</v>
      </c>
      <c r="O4844" t="s">
        <v>83</v>
      </c>
    </row>
    <row r="4845" spans="1:15" x14ac:dyDescent="0.25">
      <c r="A4845" s="22">
        <v>45814</v>
      </c>
      <c r="B4845" s="1">
        <v>414090770</v>
      </c>
      <c r="C4845" t="s">
        <v>3683</v>
      </c>
      <c r="D4845" s="23">
        <v>-4925.5</v>
      </c>
      <c r="E4845" s="76" t="s">
        <v>35</v>
      </c>
      <c r="F4845" s="2">
        <v>212901001</v>
      </c>
      <c r="G4845" s="2" t="s">
        <v>91</v>
      </c>
      <c r="I4845" s="95" t="s">
        <v>7231</v>
      </c>
      <c r="J4845" t="s">
        <v>61</v>
      </c>
      <c r="K4845" t="s">
        <v>62</v>
      </c>
      <c r="M4845">
        <v>98.51</v>
      </c>
      <c r="N4845" s="4">
        <f t="shared" si="75"/>
        <v>-50</v>
      </c>
      <c r="O4845" t="s">
        <v>83</v>
      </c>
    </row>
    <row r="4846" spans="1:15" x14ac:dyDescent="0.25">
      <c r="A4846" s="22">
        <v>45814</v>
      </c>
      <c r="B4846" s="1">
        <v>414090771</v>
      </c>
      <c r="C4846" t="s">
        <v>3684</v>
      </c>
      <c r="D4846" s="23">
        <v>-4925.5</v>
      </c>
      <c r="E4846" s="76" t="s">
        <v>35</v>
      </c>
      <c r="F4846" s="2">
        <v>212901001</v>
      </c>
      <c r="G4846" s="2" t="s">
        <v>91</v>
      </c>
      <c r="I4846" s="95" t="s">
        <v>7231</v>
      </c>
      <c r="J4846" t="s">
        <v>61</v>
      </c>
      <c r="K4846" t="s">
        <v>62</v>
      </c>
      <c r="M4846">
        <v>98.51</v>
      </c>
      <c r="N4846" s="4">
        <f t="shared" si="75"/>
        <v>-50</v>
      </c>
      <c r="O4846" t="s">
        <v>83</v>
      </c>
    </row>
    <row r="4847" spans="1:15" x14ac:dyDescent="0.25">
      <c r="A4847" s="22">
        <v>45814</v>
      </c>
      <c r="B4847" s="1">
        <v>514090774</v>
      </c>
      <c r="C4847" t="s">
        <v>3685</v>
      </c>
      <c r="D4847" s="23">
        <v>-3940.4</v>
      </c>
      <c r="E4847" s="76" t="s">
        <v>35</v>
      </c>
      <c r="F4847" s="2">
        <v>212901001</v>
      </c>
      <c r="G4847" s="2" t="s">
        <v>91</v>
      </c>
      <c r="I4847" s="95" t="s">
        <v>7231</v>
      </c>
      <c r="J4847" t="s">
        <v>61</v>
      </c>
      <c r="K4847" t="s">
        <v>62</v>
      </c>
      <c r="M4847">
        <v>98.51</v>
      </c>
      <c r="N4847" s="4">
        <f t="shared" si="75"/>
        <v>-40</v>
      </c>
      <c r="O4847" t="s">
        <v>83</v>
      </c>
    </row>
    <row r="4848" spans="1:15" x14ac:dyDescent="0.25">
      <c r="A4848" s="22">
        <v>45814</v>
      </c>
      <c r="B4848" s="1">
        <v>514090776</v>
      </c>
      <c r="C4848" t="s">
        <v>3686</v>
      </c>
      <c r="D4848" s="23">
        <v>-3940.4</v>
      </c>
      <c r="E4848" s="76" t="s">
        <v>35</v>
      </c>
      <c r="F4848" s="2">
        <v>212901001</v>
      </c>
      <c r="G4848" s="2" t="s">
        <v>91</v>
      </c>
      <c r="I4848" s="95" t="s">
        <v>7231</v>
      </c>
      <c r="J4848" t="s">
        <v>61</v>
      </c>
      <c r="K4848" t="s">
        <v>62</v>
      </c>
      <c r="M4848">
        <v>98.51</v>
      </c>
      <c r="N4848" s="4">
        <f t="shared" si="75"/>
        <v>-40</v>
      </c>
      <c r="O4848" t="s">
        <v>83</v>
      </c>
    </row>
    <row r="4849" spans="1:15" x14ac:dyDescent="0.25">
      <c r="A4849" s="22">
        <v>45814</v>
      </c>
      <c r="B4849" s="1">
        <v>514090775</v>
      </c>
      <c r="C4849" t="s">
        <v>3687</v>
      </c>
      <c r="D4849" s="23">
        <v>-3940.4</v>
      </c>
      <c r="E4849" s="76" t="s">
        <v>35</v>
      </c>
      <c r="F4849" s="2">
        <v>212901001</v>
      </c>
      <c r="G4849" s="2" t="s">
        <v>91</v>
      </c>
      <c r="I4849" s="95" t="s">
        <v>7231</v>
      </c>
      <c r="J4849" t="s">
        <v>61</v>
      </c>
      <c r="K4849" t="s">
        <v>62</v>
      </c>
      <c r="M4849">
        <v>98.51</v>
      </c>
      <c r="N4849" s="4">
        <f t="shared" si="75"/>
        <v>-40</v>
      </c>
      <c r="O4849" t="s">
        <v>83</v>
      </c>
    </row>
    <row r="4850" spans="1:15" x14ac:dyDescent="0.25">
      <c r="A4850" s="22">
        <v>45814</v>
      </c>
      <c r="B4850" s="1">
        <v>414090772</v>
      </c>
      <c r="C4850" t="s">
        <v>3688</v>
      </c>
      <c r="D4850" s="23">
        <v>-3940.4</v>
      </c>
      <c r="E4850" s="76" t="s">
        <v>35</v>
      </c>
      <c r="F4850" s="2">
        <v>212901001</v>
      </c>
      <c r="G4850" s="2" t="s">
        <v>91</v>
      </c>
      <c r="I4850" s="95" t="s">
        <v>7231</v>
      </c>
      <c r="J4850" t="s">
        <v>61</v>
      </c>
      <c r="K4850" t="s">
        <v>62</v>
      </c>
      <c r="M4850">
        <v>98.51</v>
      </c>
      <c r="N4850" s="4">
        <f t="shared" si="75"/>
        <v>-40</v>
      </c>
      <c r="O4850" t="s">
        <v>83</v>
      </c>
    </row>
    <row r="4851" spans="1:15" x14ac:dyDescent="0.25">
      <c r="A4851" s="22">
        <v>45814</v>
      </c>
      <c r="B4851" s="1">
        <v>514090773</v>
      </c>
      <c r="C4851" t="s">
        <v>3689</v>
      </c>
      <c r="D4851" s="23">
        <v>-3940.4</v>
      </c>
      <c r="E4851" s="76" t="s">
        <v>35</v>
      </c>
      <c r="F4851" s="2">
        <v>212901001</v>
      </c>
      <c r="G4851" s="2" t="s">
        <v>91</v>
      </c>
      <c r="I4851" s="95" t="s">
        <v>7231</v>
      </c>
      <c r="J4851" t="s">
        <v>61</v>
      </c>
      <c r="K4851" t="s">
        <v>62</v>
      </c>
      <c r="M4851">
        <v>98.51</v>
      </c>
      <c r="N4851" s="4">
        <f t="shared" si="75"/>
        <v>-40</v>
      </c>
      <c r="O4851" t="s">
        <v>83</v>
      </c>
    </row>
    <row r="4852" spans="1:15" x14ac:dyDescent="0.25">
      <c r="A4852" s="22">
        <v>45814</v>
      </c>
      <c r="B4852" s="1">
        <v>514090778</v>
      </c>
      <c r="C4852" t="s">
        <v>3690</v>
      </c>
      <c r="D4852" s="23">
        <v>-3940.4</v>
      </c>
      <c r="E4852" s="76" t="s">
        <v>35</v>
      </c>
      <c r="F4852" s="2">
        <v>212901001</v>
      </c>
      <c r="G4852" s="2" t="s">
        <v>91</v>
      </c>
      <c r="I4852" s="95" t="s">
        <v>7231</v>
      </c>
      <c r="J4852" t="s">
        <v>61</v>
      </c>
      <c r="K4852" t="s">
        <v>62</v>
      </c>
      <c r="M4852">
        <v>98.51</v>
      </c>
      <c r="N4852" s="4">
        <f t="shared" si="75"/>
        <v>-40</v>
      </c>
      <c r="O4852" t="s">
        <v>83</v>
      </c>
    </row>
    <row r="4853" spans="1:15" x14ac:dyDescent="0.25">
      <c r="A4853" s="22">
        <v>45814</v>
      </c>
      <c r="B4853" s="1">
        <v>514090779</v>
      </c>
      <c r="C4853" t="s">
        <v>3691</v>
      </c>
      <c r="D4853" s="23">
        <v>-3940.4</v>
      </c>
      <c r="E4853" s="76" t="s">
        <v>35</v>
      </c>
      <c r="F4853" s="2">
        <v>212901001</v>
      </c>
      <c r="G4853" s="2" t="s">
        <v>91</v>
      </c>
      <c r="I4853" s="95" t="s">
        <v>7231</v>
      </c>
      <c r="J4853" t="s">
        <v>61</v>
      </c>
      <c r="K4853" t="s">
        <v>62</v>
      </c>
      <c r="M4853">
        <v>98.51</v>
      </c>
      <c r="N4853" s="4">
        <f t="shared" si="75"/>
        <v>-40</v>
      </c>
      <c r="O4853" t="s">
        <v>83</v>
      </c>
    </row>
    <row r="4854" spans="1:15" x14ac:dyDescent="0.25">
      <c r="A4854" s="22">
        <v>45814</v>
      </c>
      <c r="B4854" s="1">
        <v>514090780</v>
      </c>
      <c r="C4854" t="s">
        <v>3692</v>
      </c>
      <c r="D4854" s="23">
        <v>-9851</v>
      </c>
      <c r="E4854" s="76" t="s">
        <v>35</v>
      </c>
      <c r="F4854" s="2">
        <v>212901001</v>
      </c>
      <c r="G4854" s="2" t="s">
        <v>91</v>
      </c>
      <c r="I4854" s="95" t="s">
        <v>7231</v>
      </c>
      <c r="J4854" t="s">
        <v>61</v>
      </c>
      <c r="K4854" t="s">
        <v>62</v>
      </c>
      <c r="M4854">
        <v>98.51</v>
      </c>
      <c r="N4854" s="4">
        <f t="shared" si="75"/>
        <v>-100</v>
      </c>
      <c r="O4854" t="s">
        <v>83</v>
      </c>
    </row>
    <row r="4855" spans="1:15" x14ac:dyDescent="0.25">
      <c r="A4855" s="22">
        <v>45814</v>
      </c>
      <c r="B4855" s="1">
        <v>514090783</v>
      </c>
      <c r="C4855" t="s">
        <v>3693</v>
      </c>
      <c r="D4855" s="23">
        <v>-14776.5</v>
      </c>
      <c r="E4855" s="76" t="s">
        <v>35</v>
      </c>
      <c r="F4855" s="2">
        <v>212901001</v>
      </c>
      <c r="G4855" s="2" t="s">
        <v>91</v>
      </c>
      <c r="I4855" s="95" t="s">
        <v>7231</v>
      </c>
      <c r="J4855" t="s">
        <v>61</v>
      </c>
      <c r="K4855" t="s">
        <v>62</v>
      </c>
      <c r="M4855">
        <v>98.51</v>
      </c>
      <c r="N4855" s="4">
        <f t="shared" si="75"/>
        <v>-150</v>
      </c>
      <c r="O4855" t="s">
        <v>83</v>
      </c>
    </row>
    <row r="4856" spans="1:15" x14ac:dyDescent="0.25">
      <c r="A4856" s="22">
        <v>45814</v>
      </c>
      <c r="B4856" s="1">
        <v>514090781</v>
      </c>
      <c r="C4856" t="s">
        <v>3694</v>
      </c>
      <c r="D4856" s="23">
        <v>-9851</v>
      </c>
      <c r="E4856" s="76" t="s">
        <v>35</v>
      </c>
      <c r="F4856" s="2">
        <v>212901001</v>
      </c>
      <c r="G4856" s="2" t="s">
        <v>91</v>
      </c>
      <c r="I4856" s="95" t="s">
        <v>7231</v>
      </c>
      <c r="J4856" t="s">
        <v>61</v>
      </c>
      <c r="K4856" t="s">
        <v>62</v>
      </c>
      <c r="M4856">
        <v>98.51</v>
      </c>
      <c r="N4856" s="4">
        <f t="shared" si="75"/>
        <v>-100</v>
      </c>
      <c r="O4856" t="s">
        <v>83</v>
      </c>
    </row>
    <row r="4857" spans="1:15" x14ac:dyDescent="0.25">
      <c r="A4857" s="22">
        <v>45814</v>
      </c>
      <c r="B4857" s="1">
        <v>614090784</v>
      </c>
      <c r="C4857" t="s">
        <v>3695</v>
      </c>
      <c r="D4857" s="23">
        <v>-2955.3</v>
      </c>
      <c r="E4857" s="76" t="s">
        <v>35</v>
      </c>
      <c r="F4857" s="2">
        <v>212901001</v>
      </c>
      <c r="G4857" s="2" t="s">
        <v>91</v>
      </c>
      <c r="I4857" s="95" t="s">
        <v>7231</v>
      </c>
      <c r="J4857" t="s">
        <v>61</v>
      </c>
      <c r="K4857" t="s">
        <v>62</v>
      </c>
      <c r="M4857">
        <v>98.51</v>
      </c>
      <c r="N4857" s="4">
        <f t="shared" si="75"/>
        <v>-30</v>
      </c>
      <c r="O4857" t="s">
        <v>83</v>
      </c>
    </row>
    <row r="4858" spans="1:15" x14ac:dyDescent="0.25">
      <c r="A4858" s="22">
        <v>45814</v>
      </c>
      <c r="B4858" s="1">
        <v>614090786</v>
      </c>
      <c r="C4858" t="s">
        <v>3696</v>
      </c>
      <c r="D4858" s="23">
        <v>-10836.1</v>
      </c>
      <c r="E4858" s="76" t="s">
        <v>35</v>
      </c>
      <c r="F4858" s="2">
        <v>212901001</v>
      </c>
      <c r="G4858" s="2" t="s">
        <v>91</v>
      </c>
      <c r="I4858" s="95" t="s">
        <v>7231</v>
      </c>
      <c r="J4858" t="s">
        <v>61</v>
      </c>
      <c r="K4858" t="s">
        <v>62</v>
      </c>
      <c r="M4858">
        <v>98.51</v>
      </c>
      <c r="N4858" s="4">
        <f t="shared" si="75"/>
        <v>-110</v>
      </c>
      <c r="O4858" t="s">
        <v>83</v>
      </c>
    </row>
    <row r="4859" spans="1:15" x14ac:dyDescent="0.25">
      <c r="A4859" s="22">
        <v>45814</v>
      </c>
      <c r="B4859" s="1">
        <v>614090788</v>
      </c>
      <c r="C4859" t="s">
        <v>3697</v>
      </c>
      <c r="D4859" s="23">
        <v>-9851</v>
      </c>
      <c r="E4859" s="76" t="s">
        <v>35</v>
      </c>
      <c r="F4859" s="2">
        <v>212901001</v>
      </c>
      <c r="G4859" s="2" t="s">
        <v>91</v>
      </c>
      <c r="I4859" s="95" t="s">
        <v>7231</v>
      </c>
      <c r="J4859" t="s">
        <v>61</v>
      </c>
      <c r="K4859" t="s">
        <v>62</v>
      </c>
      <c r="M4859">
        <v>98.51</v>
      </c>
      <c r="N4859" s="4">
        <f t="shared" si="75"/>
        <v>-100</v>
      </c>
      <c r="O4859" t="s">
        <v>83</v>
      </c>
    </row>
    <row r="4860" spans="1:15" x14ac:dyDescent="0.25">
      <c r="A4860" s="22">
        <v>45814</v>
      </c>
      <c r="B4860" s="1">
        <v>614090787</v>
      </c>
      <c r="C4860" t="s">
        <v>3698</v>
      </c>
      <c r="D4860" s="23">
        <v>-7880.8</v>
      </c>
      <c r="E4860" s="76" t="s">
        <v>35</v>
      </c>
      <c r="F4860" s="2">
        <v>212901001</v>
      </c>
      <c r="G4860" s="2" t="s">
        <v>91</v>
      </c>
      <c r="I4860" s="95" t="s">
        <v>7231</v>
      </c>
      <c r="J4860" t="s">
        <v>61</v>
      </c>
      <c r="K4860" t="s">
        <v>62</v>
      </c>
      <c r="M4860">
        <v>98.51</v>
      </c>
      <c r="N4860" s="4">
        <f t="shared" si="75"/>
        <v>-80</v>
      </c>
      <c r="O4860" t="s">
        <v>83</v>
      </c>
    </row>
    <row r="4861" spans="1:15" x14ac:dyDescent="0.25">
      <c r="A4861" s="22">
        <v>45814</v>
      </c>
      <c r="B4861" s="1">
        <v>614090791</v>
      </c>
      <c r="C4861" t="s">
        <v>3699</v>
      </c>
      <c r="D4861" s="23">
        <v>-6895.7</v>
      </c>
      <c r="E4861" s="76" t="s">
        <v>35</v>
      </c>
      <c r="F4861" s="2">
        <v>212901001</v>
      </c>
      <c r="G4861" s="2" t="s">
        <v>91</v>
      </c>
      <c r="I4861" s="95" t="s">
        <v>7231</v>
      </c>
      <c r="J4861" t="s">
        <v>61</v>
      </c>
      <c r="K4861" t="s">
        <v>62</v>
      </c>
      <c r="M4861">
        <v>98.51</v>
      </c>
      <c r="N4861" s="4">
        <f t="shared" si="75"/>
        <v>-70</v>
      </c>
      <c r="O4861" t="s">
        <v>83</v>
      </c>
    </row>
    <row r="4862" spans="1:15" x14ac:dyDescent="0.25">
      <c r="A4862" s="22">
        <v>45814</v>
      </c>
      <c r="B4862" s="1">
        <v>614090790</v>
      </c>
      <c r="C4862" t="s">
        <v>3700</v>
      </c>
      <c r="D4862" s="23">
        <v>-6895.7</v>
      </c>
      <c r="E4862" s="76" t="s">
        <v>35</v>
      </c>
      <c r="F4862" s="2">
        <v>212901001</v>
      </c>
      <c r="G4862" s="2" t="s">
        <v>91</v>
      </c>
      <c r="I4862" s="95" t="s">
        <v>7231</v>
      </c>
      <c r="J4862" t="s">
        <v>61</v>
      </c>
      <c r="K4862" t="s">
        <v>62</v>
      </c>
      <c r="M4862">
        <v>98.51</v>
      </c>
      <c r="N4862" s="4">
        <f t="shared" si="75"/>
        <v>-70</v>
      </c>
      <c r="O4862" t="s">
        <v>83</v>
      </c>
    </row>
    <row r="4863" spans="1:15" x14ac:dyDescent="0.25">
      <c r="A4863" s="22">
        <v>45814</v>
      </c>
      <c r="B4863" s="1">
        <v>614090789</v>
      </c>
      <c r="C4863" t="s">
        <v>3701</v>
      </c>
      <c r="D4863" s="23">
        <v>-1477.65</v>
      </c>
      <c r="E4863" s="76" t="s">
        <v>35</v>
      </c>
      <c r="F4863" s="2">
        <v>212901001</v>
      </c>
      <c r="G4863" s="2" t="s">
        <v>91</v>
      </c>
      <c r="I4863" s="95" t="s">
        <v>7231</v>
      </c>
      <c r="J4863" t="s">
        <v>61</v>
      </c>
      <c r="K4863" t="s">
        <v>62</v>
      </c>
      <c r="M4863">
        <v>98.51</v>
      </c>
      <c r="N4863" s="4">
        <f t="shared" si="75"/>
        <v>-15</v>
      </c>
      <c r="O4863" t="s">
        <v>83</v>
      </c>
    </row>
    <row r="4864" spans="1:15" x14ac:dyDescent="0.25">
      <c r="A4864" s="22">
        <v>45814</v>
      </c>
      <c r="B4864" s="1">
        <v>614090794</v>
      </c>
      <c r="C4864" t="s">
        <v>3702</v>
      </c>
      <c r="D4864" s="23">
        <v>-4925.5</v>
      </c>
      <c r="E4864" s="76" t="s">
        <v>35</v>
      </c>
      <c r="F4864" s="2">
        <v>212901001</v>
      </c>
      <c r="G4864" s="2" t="s">
        <v>91</v>
      </c>
      <c r="I4864" s="95" t="s">
        <v>7231</v>
      </c>
      <c r="J4864" t="s">
        <v>61</v>
      </c>
      <c r="K4864" t="s">
        <v>62</v>
      </c>
      <c r="M4864">
        <v>98.51</v>
      </c>
      <c r="N4864" s="4">
        <f t="shared" si="75"/>
        <v>-50</v>
      </c>
      <c r="O4864" t="s">
        <v>83</v>
      </c>
    </row>
    <row r="4865" spans="1:15" x14ac:dyDescent="0.25">
      <c r="A4865" s="22">
        <v>45814</v>
      </c>
      <c r="B4865" s="1">
        <v>614090793</v>
      </c>
      <c r="C4865" t="s">
        <v>3703</v>
      </c>
      <c r="D4865" s="23">
        <v>-6895.7</v>
      </c>
      <c r="E4865" s="76" t="s">
        <v>35</v>
      </c>
      <c r="F4865" s="2">
        <v>212901001</v>
      </c>
      <c r="G4865" s="2" t="s">
        <v>91</v>
      </c>
      <c r="I4865" s="95" t="s">
        <v>7231</v>
      </c>
      <c r="J4865" t="s">
        <v>61</v>
      </c>
      <c r="K4865" t="s">
        <v>62</v>
      </c>
      <c r="M4865">
        <v>98.51</v>
      </c>
      <c r="N4865" s="4">
        <f t="shared" si="75"/>
        <v>-70</v>
      </c>
      <c r="O4865" t="s">
        <v>83</v>
      </c>
    </row>
    <row r="4866" spans="1:15" x14ac:dyDescent="0.25">
      <c r="A4866" s="22">
        <v>45814</v>
      </c>
      <c r="B4866" s="1">
        <v>714090796</v>
      </c>
      <c r="C4866" t="s">
        <v>3704</v>
      </c>
      <c r="D4866" s="23">
        <v>-4925.5</v>
      </c>
      <c r="E4866" s="76" t="s">
        <v>35</v>
      </c>
      <c r="F4866" s="2">
        <v>212901001</v>
      </c>
      <c r="G4866" s="2" t="s">
        <v>91</v>
      </c>
      <c r="I4866" s="95" t="s">
        <v>7231</v>
      </c>
      <c r="J4866" t="s">
        <v>61</v>
      </c>
      <c r="K4866" t="s">
        <v>62</v>
      </c>
      <c r="M4866">
        <v>98.51</v>
      </c>
      <c r="N4866" s="4">
        <f t="shared" si="75"/>
        <v>-50</v>
      </c>
      <c r="O4866" t="s">
        <v>83</v>
      </c>
    </row>
    <row r="4867" spans="1:15" x14ac:dyDescent="0.25">
      <c r="A4867" s="22">
        <v>45814</v>
      </c>
      <c r="B4867" s="1">
        <v>714090797</v>
      </c>
      <c r="C4867" t="s">
        <v>3705</v>
      </c>
      <c r="D4867" s="23">
        <v>-4925.5</v>
      </c>
      <c r="E4867" s="76" t="s">
        <v>35</v>
      </c>
      <c r="F4867" s="2">
        <v>212901001</v>
      </c>
      <c r="G4867" s="2" t="s">
        <v>91</v>
      </c>
      <c r="I4867" s="95" t="s">
        <v>7231</v>
      </c>
      <c r="J4867" t="s">
        <v>61</v>
      </c>
      <c r="K4867" t="s">
        <v>62</v>
      </c>
      <c r="M4867">
        <v>98.51</v>
      </c>
      <c r="N4867" s="4">
        <f t="shared" si="75"/>
        <v>-50</v>
      </c>
      <c r="O4867" t="s">
        <v>83</v>
      </c>
    </row>
    <row r="4868" spans="1:15" x14ac:dyDescent="0.25">
      <c r="A4868" s="22">
        <v>45814</v>
      </c>
      <c r="B4868" s="1">
        <v>614090795</v>
      </c>
      <c r="C4868" t="s">
        <v>3706</v>
      </c>
      <c r="D4868" s="23">
        <v>-6895.7</v>
      </c>
      <c r="E4868" s="76" t="s">
        <v>35</v>
      </c>
      <c r="F4868" s="2">
        <v>212901001</v>
      </c>
      <c r="G4868" s="2" t="s">
        <v>91</v>
      </c>
      <c r="I4868" s="95" t="s">
        <v>7231</v>
      </c>
      <c r="J4868" t="s">
        <v>61</v>
      </c>
      <c r="K4868" t="s">
        <v>62</v>
      </c>
      <c r="M4868">
        <v>98.51</v>
      </c>
      <c r="N4868" s="4">
        <f t="shared" si="75"/>
        <v>-70</v>
      </c>
      <c r="O4868" t="s">
        <v>83</v>
      </c>
    </row>
    <row r="4869" spans="1:15" x14ac:dyDescent="0.25">
      <c r="A4869" s="22">
        <v>45814</v>
      </c>
      <c r="B4869" s="1">
        <v>714090798</v>
      </c>
      <c r="C4869" t="s">
        <v>3707</v>
      </c>
      <c r="D4869" s="23">
        <v>-4925.5</v>
      </c>
      <c r="E4869" s="76" t="s">
        <v>35</v>
      </c>
      <c r="F4869" s="2">
        <v>212901001</v>
      </c>
      <c r="G4869" s="2" t="s">
        <v>91</v>
      </c>
      <c r="I4869" s="95" t="s">
        <v>7231</v>
      </c>
      <c r="J4869" t="s">
        <v>61</v>
      </c>
      <c r="K4869" t="s">
        <v>62</v>
      </c>
      <c r="M4869">
        <v>98.51</v>
      </c>
      <c r="N4869" s="4">
        <f t="shared" si="75"/>
        <v>-50</v>
      </c>
      <c r="O4869" t="s">
        <v>83</v>
      </c>
    </row>
    <row r="4870" spans="1:15" x14ac:dyDescent="0.25">
      <c r="A4870" s="22">
        <v>45814</v>
      </c>
      <c r="B4870" s="1">
        <v>714090801</v>
      </c>
      <c r="C4870" t="s">
        <v>3708</v>
      </c>
      <c r="D4870" s="23">
        <v>-4925.5</v>
      </c>
      <c r="E4870" s="76" t="s">
        <v>35</v>
      </c>
      <c r="F4870" s="2">
        <v>212901001</v>
      </c>
      <c r="G4870" s="2" t="s">
        <v>91</v>
      </c>
      <c r="I4870" s="95" t="s">
        <v>7231</v>
      </c>
      <c r="J4870" t="s">
        <v>61</v>
      </c>
      <c r="K4870" t="s">
        <v>62</v>
      </c>
      <c r="M4870">
        <v>98.51</v>
      </c>
      <c r="N4870" s="4">
        <f t="shared" si="75"/>
        <v>-50</v>
      </c>
      <c r="O4870" t="s">
        <v>83</v>
      </c>
    </row>
    <row r="4871" spans="1:15" x14ac:dyDescent="0.25">
      <c r="A4871" s="22">
        <v>45814</v>
      </c>
      <c r="B4871" s="1">
        <v>714090803</v>
      </c>
      <c r="C4871" t="s">
        <v>3706</v>
      </c>
      <c r="D4871" s="23">
        <v>-4925.5</v>
      </c>
      <c r="E4871" s="76" t="s">
        <v>35</v>
      </c>
      <c r="F4871" s="2">
        <v>212901001</v>
      </c>
      <c r="G4871" s="2" t="s">
        <v>91</v>
      </c>
      <c r="I4871" s="95" t="s">
        <v>7231</v>
      </c>
      <c r="J4871" t="s">
        <v>61</v>
      </c>
      <c r="K4871" t="s">
        <v>62</v>
      </c>
      <c r="M4871">
        <v>98.51</v>
      </c>
      <c r="N4871" s="4">
        <f t="shared" si="75"/>
        <v>-50</v>
      </c>
      <c r="O4871" t="s">
        <v>83</v>
      </c>
    </row>
    <row r="4872" spans="1:15" x14ac:dyDescent="0.25">
      <c r="A4872" s="22">
        <v>45814</v>
      </c>
      <c r="B4872" s="1">
        <v>714090804</v>
      </c>
      <c r="C4872" t="s">
        <v>3709</v>
      </c>
      <c r="D4872" s="23">
        <v>-4925.5</v>
      </c>
      <c r="E4872" s="76" t="s">
        <v>35</v>
      </c>
      <c r="F4872" s="2">
        <v>212901001</v>
      </c>
      <c r="G4872" s="2" t="s">
        <v>91</v>
      </c>
      <c r="I4872" s="95" t="s">
        <v>7231</v>
      </c>
      <c r="J4872" t="s">
        <v>61</v>
      </c>
      <c r="K4872" t="s">
        <v>62</v>
      </c>
      <c r="M4872">
        <v>98.51</v>
      </c>
      <c r="N4872" s="4">
        <f t="shared" si="75"/>
        <v>-50</v>
      </c>
      <c r="O4872" t="s">
        <v>83</v>
      </c>
    </row>
    <row r="4873" spans="1:15" x14ac:dyDescent="0.25">
      <c r="A4873" s="22">
        <v>45814</v>
      </c>
      <c r="B4873" s="1">
        <v>714090805</v>
      </c>
      <c r="C4873" t="s">
        <v>3710</v>
      </c>
      <c r="D4873" s="23">
        <v>-4925.5</v>
      </c>
      <c r="E4873" s="76" t="s">
        <v>35</v>
      </c>
      <c r="F4873" s="2">
        <v>212901001</v>
      </c>
      <c r="G4873" s="2" t="s">
        <v>91</v>
      </c>
      <c r="I4873" s="95" t="s">
        <v>7231</v>
      </c>
      <c r="J4873" t="s">
        <v>61</v>
      </c>
      <c r="K4873" t="s">
        <v>62</v>
      </c>
      <c r="M4873">
        <v>98.51</v>
      </c>
      <c r="N4873" s="4">
        <f t="shared" si="75"/>
        <v>-50</v>
      </c>
      <c r="O4873" t="s">
        <v>83</v>
      </c>
    </row>
    <row r="4874" spans="1:15" x14ac:dyDescent="0.25">
      <c r="A4874" s="22">
        <v>45814</v>
      </c>
      <c r="B4874" s="1">
        <v>714090806</v>
      </c>
      <c r="C4874" t="s">
        <v>3711</v>
      </c>
      <c r="D4874" s="23">
        <v>-4925.5</v>
      </c>
      <c r="E4874" s="76" t="s">
        <v>35</v>
      </c>
      <c r="F4874" s="2">
        <v>212901001</v>
      </c>
      <c r="G4874" s="2" t="s">
        <v>91</v>
      </c>
      <c r="I4874" s="95" t="s">
        <v>7231</v>
      </c>
      <c r="J4874" t="s">
        <v>61</v>
      </c>
      <c r="K4874" t="s">
        <v>62</v>
      </c>
      <c r="M4874">
        <v>98.51</v>
      </c>
      <c r="N4874" s="4">
        <f t="shared" si="75"/>
        <v>-50</v>
      </c>
      <c r="O4874" t="s">
        <v>83</v>
      </c>
    </row>
    <row r="4875" spans="1:15" x14ac:dyDescent="0.25">
      <c r="A4875" s="22">
        <v>45814</v>
      </c>
      <c r="B4875" s="1">
        <v>714090802</v>
      </c>
      <c r="C4875" t="s">
        <v>3712</v>
      </c>
      <c r="D4875" s="23">
        <v>-4925.5</v>
      </c>
      <c r="E4875" s="76" t="s">
        <v>35</v>
      </c>
      <c r="F4875" s="2">
        <v>212901001</v>
      </c>
      <c r="G4875" s="2" t="s">
        <v>91</v>
      </c>
      <c r="I4875" s="95" t="s">
        <v>7231</v>
      </c>
      <c r="J4875" t="s">
        <v>61</v>
      </c>
      <c r="K4875" t="s">
        <v>62</v>
      </c>
      <c r="M4875">
        <v>98.51</v>
      </c>
      <c r="N4875" s="4">
        <f t="shared" si="75"/>
        <v>-50</v>
      </c>
      <c r="O4875" t="s">
        <v>83</v>
      </c>
    </row>
    <row r="4876" spans="1:15" x14ac:dyDescent="0.25">
      <c r="A4876" s="22">
        <v>45814</v>
      </c>
      <c r="B4876" s="1">
        <v>814090808</v>
      </c>
      <c r="C4876" t="s">
        <v>3713</v>
      </c>
      <c r="D4876" s="23">
        <v>-4925.5</v>
      </c>
      <c r="E4876" s="76" t="s">
        <v>35</v>
      </c>
      <c r="F4876" s="2">
        <v>212901001</v>
      </c>
      <c r="G4876" s="2" t="s">
        <v>91</v>
      </c>
      <c r="I4876" s="95" t="s">
        <v>7231</v>
      </c>
      <c r="J4876" t="s">
        <v>61</v>
      </c>
      <c r="K4876" t="s">
        <v>62</v>
      </c>
      <c r="M4876">
        <v>98.51</v>
      </c>
      <c r="N4876" s="4">
        <f t="shared" ref="N4876:N4939" si="76">D4876/M4876</f>
        <v>-50</v>
      </c>
      <c r="O4876" t="s">
        <v>83</v>
      </c>
    </row>
    <row r="4877" spans="1:15" x14ac:dyDescent="0.25">
      <c r="A4877" s="22">
        <v>45814</v>
      </c>
      <c r="B4877" s="1">
        <v>814090809</v>
      </c>
      <c r="C4877" t="s">
        <v>3714</v>
      </c>
      <c r="D4877" s="23">
        <v>-4925.5</v>
      </c>
      <c r="E4877" s="76" t="s">
        <v>35</v>
      </c>
      <c r="F4877" s="2">
        <v>212901001</v>
      </c>
      <c r="G4877" s="2" t="s">
        <v>91</v>
      </c>
      <c r="I4877" s="95" t="s">
        <v>7231</v>
      </c>
      <c r="J4877" t="s">
        <v>61</v>
      </c>
      <c r="K4877" t="s">
        <v>62</v>
      </c>
      <c r="M4877">
        <v>98.51</v>
      </c>
      <c r="N4877" s="4">
        <f t="shared" si="76"/>
        <v>-50</v>
      </c>
      <c r="O4877" t="s">
        <v>83</v>
      </c>
    </row>
    <row r="4878" spans="1:15" x14ac:dyDescent="0.25">
      <c r="A4878" s="22">
        <v>45814</v>
      </c>
      <c r="B4878" s="1">
        <v>714090807</v>
      </c>
      <c r="C4878" t="s">
        <v>3715</v>
      </c>
      <c r="D4878" s="23">
        <v>-4925.5</v>
      </c>
      <c r="E4878" s="76" t="s">
        <v>35</v>
      </c>
      <c r="F4878" s="2">
        <v>212901001</v>
      </c>
      <c r="G4878" s="2" t="s">
        <v>91</v>
      </c>
      <c r="I4878" s="95" t="s">
        <v>7231</v>
      </c>
      <c r="J4878" t="s">
        <v>61</v>
      </c>
      <c r="K4878" t="s">
        <v>62</v>
      </c>
      <c r="M4878">
        <v>98.51</v>
      </c>
      <c r="N4878" s="4">
        <f t="shared" si="76"/>
        <v>-50</v>
      </c>
      <c r="O4878" t="s">
        <v>83</v>
      </c>
    </row>
    <row r="4879" spans="1:15" x14ac:dyDescent="0.25">
      <c r="A4879" s="22">
        <v>45814</v>
      </c>
      <c r="B4879" s="1">
        <v>814090813</v>
      </c>
      <c r="C4879" t="s">
        <v>3716</v>
      </c>
      <c r="D4879" s="23">
        <v>-1970.2</v>
      </c>
      <c r="E4879" s="76" t="s">
        <v>35</v>
      </c>
      <c r="F4879" s="2">
        <v>212901001</v>
      </c>
      <c r="G4879" s="2" t="s">
        <v>91</v>
      </c>
      <c r="I4879" s="95" t="s">
        <v>7231</v>
      </c>
      <c r="J4879" t="s">
        <v>61</v>
      </c>
      <c r="K4879" t="s">
        <v>62</v>
      </c>
      <c r="M4879">
        <v>98.51</v>
      </c>
      <c r="N4879" s="4">
        <f t="shared" si="76"/>
        <v>-20</v>
      </c>
      <c r="O4879" t="s">
        <v>83</v>
      </c>
    </row>
    <row r="4880" spans="1:15" x14ac:dyDescent="0.25">
      <c r="A4880" s="22">
        <v>45814</v>
      </c>
      <c r="B4880" s="1">
        <v>814090815</v>
      </c>
      <c r="C4880" t="s">
        <v>3717</v>
      </c>
      <c r="D4880" s="23">
        <v>-1970.2</v>
      </c>
      <c r="E4880" s="76" t="s">
        <v>35</v>
      </c>
      <c r="F4880" s="2">
        <v>212901001</v>
      </c>
      <c r="G4880" s="2" t="s">
        <v>91</v>
      </c>
      <c r="I4880" s="95" t="s">
        <v>7231</v>
      </c>
      <c r="J4880" t="s">
        <v>61</v>
      </c>
      <c r="K4880" t="s">
        <v>62</v>
      </c>
      <c r="M4880">
        <v>98.51</v>
      </c>
      <c r="N4880" s="4">
        <f t="shared" si="76"/>
        <v>-20</v>
      </c>
      <c r="O4880" t="s">
        <v>83</v>
      </c>
    </row>
    <row r="4881" spans="1:17" x14ac:dyDescent="0.25">
      <c r="A4881" s="22">
        <v>45814</v>
      </c>
      <c r="B4881" s="1">
        <v>814090812</v>
      </c>
      <c r="C4881" t="s">
        <v>3718</v>
      </c>
      <c r="D4881" s="23">
        <v>-1970.2</v>
      </c>
      <c r="E4881" s="76" t="s">
        <v>35</v>
      </c>
      <c r="F4881" s="2">
        <v>212901001</v>
      </c>
      <c r="G4881" s="2" t="s">
        <v>91</v>
      </c>
      <c r="I4881" s="95" t="s">
        <v>7231</v>
      </c>
      <c r="J4881" t="s">
        <v>61</v>
      </c>
      <c r="K4881" t="s">
        <v>62</v>
      </c>
      <c r="M4881">
        <v>98.51</v>
      </c>
      <c r="N4881" s="4">
        <f t="shared" si="76"/>
        <v>-20</v>
      </c>
      <c r="O4881" t="s">
        <v>83</v>
      </c>
    </row>
    <row r="4882" spans="1:17" x14ac:dyDescent="0.25">
      <c r="A4882" s="22">
        <v>45814</v>
      </c>
      <c r="B4882" s="1">
        <v>814090810</v>
      </c>
      <c r="C4882" t="s">
        <v>3719</v>
      </c>
      <c r="D4882" s="23">
        <v>-4925.5</v>
      </c>
      <c r="E4882" s="76" t="s">
        <v>35</v>
      </c>
      <c r="F4882" s="2">
        <v>212901001</v>
      </c>
      <c r="G4882" s="2" t="s">
        <v>91</v>
      </c>
      <c r="I4882" s="95" t="s">
        <v>7231</v>
      </c>
      <c r="J4882" t="s">
        <v>61</v>
      </c>
      <c r="K4882" t="s">
        <v>62</v>
      </c>
      <c r="M4882">
        <v>98.51</v>
      </c>
      <c r="N4882" s="4">
        <f t="shared" si="76"/>
        <v>-50</v>
      </c>
      <c r="O4882" t="s">
        <v>83</v>
      </c>
    </row>
    <row r="4883" spans="1:17" x14ac:dyDescent="0.25">
      <c r="A4883" s="22">
        <v>45814</v>
      </c>
      <c r="B4883" s="1">
        <v>814090817</v>
      </c>
      <c r="C4883" t="s">
        <v>3720</v>
      </c>
      <c r="D4883" s="23">
        <v>-9851</v>
      </c>
      <c r="E4883" s="76" t="s">
        <v>35</v>
      </c>
      <c r="F4883" s="2">
        <v>212901001</v>
      </c>
      <c r="G4883" s="2" t="s">
        <v>91</v>
      </c>
      <c r="I4883" s="95" t="s">
        <v>7231</v>
      </c>
      <c r="J4883" t="s">
        <v>61</v>
      </c>
      <c r="K4883" t="s">
        <v>62</v>
      </c>
      <c r="M4883">
        <v>98.51</v>
      </c>
      <c r="N4883" s="4">
        <f t="shared" si="76"/>
        <v>-100</v>
      </c>
      <c r="O4883" t="s">
        <v>83</v>
      </c>
    </row>
    <row r="4884" spans="1:17" x14ac:dyDescent="0.25">
      <c r="A4884" s="22">
        <v>45814</v>
      </c>
      <c r="B4884" s="1">
        <v>814090816</v>
      </c>
      <c r="C4884" t="s">
        <v>3721</v>
      </c>
      <c r="D4884" s="23">
        <v>-1970.2</v>
      </c>
      <c r="E4884" s="76" t="s">
        <v>35</v>
      </c>
      <c r="F4884" s="2">
        <v>212901001</v>
      </c>
      <c r="G4884" s="2" t="s">
        <v>91</v>
      </c>
      <c r="I4884" s="95" t="s">
        <v>7231</v>
      </c>
      <c r="J4884" t="s">
        <v>61</v>
      </c>
      <c r="K4884" t="s">
        <v>62</v>
      </c>
      <c r="M4884">
        <v>98.51</v>
      </c>
      <c r="N4884" s="4">
        <f t="shared" si="76"/>
        <v>-20</v>
      </c>
      <c r="O4884" t="s">
        <v>83</v>
      </c>
    </row>
    <row r="4885" spans="1:17" x14ac:dyDescent="0.25">
      <c r="A4885" s="22">
        <v>45814</v>
      </c>
      <c r="B4885" s="1">
        <v>914090819</v>
      </c>
      <c r="C4885" t="s">
        <v>3722</v>
      </c>
      <c r="D4885" s="23">
        <v>-12018.22</v>
      </c>
      <c r="E4885" s="76" t="s">
        <v>35</v>
      </c>
      <c r="F4885" s="2">
        <v>212901001</v>
      </c>
      <c r="G4885" s="2" t="s">
        <v>91</v>
      </c>
      <c r="I4885" s="95" t="s">
        <v>7231</v>
      </c>
      <c r="J4885" t="s">
        <v>61</v>
      </c>
      <c r="K4885" t="s">
        <v>62</v>
      </c>
      <c r="M4885">
        <v>98.51</v>
      </c>
      <c r="N4885" s="4">
        <f t="shared" si="76"/>
        <v>-121.99999999999999</v>
      </c>
      <c r="O4885" t="s">
        <v>83</v>
      </c>
    </row>
    <row r="4886" spans="1:17" x14ac:dyDescent="0.25">
      <c r="A4886" s="22">
        <v>45814</v>
      </c>
      <c r="B4886" s="1">
        <v>814090818</v>
      </c>
      <c r="C4886" t="s">
        <v>3723</v>
      </c>
      <c r="D4886" s="23">
        <v>-19702</v>
      </c>
      <c r="E4886" s="76" t="s">
        <v>35</v>
      </c>
      <c r="F4886" s="2">
        <v>212901001</v>
      </c>
      <c r="G4886" s="2" t="s">
        <v>91</v>
      </c>
      <c r="I4886" s="95" t="s">
        <v>7231</v>
      </c>
      <c r="J4886" t="s">
        <v>61</v>
      </c>
      <c r="K4886" t="s">
        <v>62</v>
      </c>
      <c r="M4886">
        <v>98.51</v>
      </c>
      <c r="N4886" s="4">
        <f t="shared" si="76"/>
        <v>-200</v>
      </c>
      <c r="O4886" t="s">
        <v>83</v>
      </c>
    </row>
    <row r="4887" spans="1:17" x14ac:dyDescent="0.25">
      <c r="A4887" s="22">
        <v>45814</v>
      </c>
      <c r="B4887" s="1">
        <v>914090820</v>
      </c>
      <c r="C4887" t="s">
        <v>3724</v>
      </c>
      <c r="D4887" s="23">
        <v>-2955.3</v>
      </c>
      <c r="E4887" s="76" t="s">
        <v>35</v>
      </c>
      <c r="F4887" s="2">
        <v>212901001</v>
      </c>
      <c r="G4887" s="2" t="s">
        <v>91</v>
      </c>
      <c r="I4887" s="95" t="s">
        <v>7231</v>
      </c>
      <c r="J4887" t="s">
        <v>61</v>
      </c>
      <c r="K4887" t="s">
        <v>62</v>
      </c>
      <c r="M4887">
        <v>98.51</v>
      </c>
      <c r="N4887" s="4">
        <f t="shared" si="76"/>
        <v>-30</v>
      </c>
      <c r="O4887" t="s">
        <v>83</v>
      </c>
    </row>
    <row r="4888" spans="1:17" x14ac:dyDescent="0.25">
      <c r="A4888" s="22">
        <v>45814</v>
      </c>
      <c r="B4888" s="1">
        <v>914090821</v>
      </c>
      <c r="C4888" t="s">
        <v>3725</v>
      </c>
      <c r="D4888" s="23">
        <v>-3940.4</v>
      </c>
      <c r="E4888" s="76" t="s">
        <v>35</v>
      </c>
      <c r="F4888" s="2">
        <v>212901001</v>
      </c>
      <c r="G4888" s="2" t="s">
        <v>91</v>
      </c>
      <c r="I4888" s="95" t="s">
        <v>7231</v>
      </c>
      <c r="J4888" t="s">
        <v>61</v>
      </c>
      <c r="K4888" t="s">
        <v>62</v>
      </c>
      <c r="M4888">
        <v>98.51</v>
      </c>
      <c r="N4888" s="4">
        <f t="shared" si="76"/>
        <v>-40</v>
      </c>
      <c r="O4888" t="s">
        <v>83</v>
      </c>
    </row>
    <row r="4889" spans="1:17" x14ac:dyDescent="0.25">
      <c r="A4889" s="22">
        <v>45814</v>
      </c>
      <c r="B4889" s="1">
        <v>50699881</v>
      </c>
      <c r="C4889" t="s">
        <v>3726</v>
      </c>
      <c r="D4889" s="23">
        <v>-13791.4</v>
      </c>
      <c r="E4889" s="76" t="s">
        <v>35</v>
      </c>
      <c r="F4889" s="2">
        <v>212901001</v>
      </c>
      <c r="G4889" s="2" t="s">
        <v>91</v>
      </c>
      <c r="I4889" s="95" t="s">
        <v>7231</v>
      </c>
      <c r="J4889" t="s">
        <v>61</v>
      </c>
      <c r="K4889" t="s">
        <v>62</v>
      </c>
      <c r="M4889">
        <v>98.51</v>
      </c>
      <c r="N4889" s="4">
        <f t="shared" si="76"/>
        <v>-140</v>
      </c>
      <c r="O4889" t="s">
        <v>83</v>
      </c>
    </row>
    <row r="4890" spans="1:17" x14ac:dyDescent="0.25">
      <c r="A4890" s="22">
        <v>45814</v>
      </c>
      <c r="B4890" s="1">
        <v>50699881</v>
      </c>
      <c r="C4890" t="s">
        <v>179</v>
      </c>
      <c r="D4890" s="23">
        <v>-20.68</v>
      </c>
      <c r="E4890" s="76" t="s">
        <v>35</v>
      </c>
      <c r="F4890" s="2">
        <v>610148001</v>
      </c>
      <c r="G4890" s="2" t="s">
        <v>41</v>
      </c>
      <c r="I4890" s="95" t="s">
        <v>7231</v>
      </c>
      <c r="J4890" t="s">
        <v>42</v>
      </c>
      <c r="K4890" t="s">
        <v>41</v>
      </c>
      <c r="M4890">
        <v>98.51</v>
      </c>
      <c r="N4890" s="4">
        <f t="shared" si="76"/>
        <v>-0.2099279260988732</v>
      </c>
      <c r="O4890" t="s">
        <v>83</v>
      </c>
      <c r="Q4890" s="24" t="s">
        <v>3649</v>
      </c>
    </row>
    <row r="4891" spans="1:17" x14ac:dyDescent="0.25">
      <c r="A4891" s="22">
        <v>45814</v>
      </c>
      <c r="B4891" s="1">
        <v>50699881</v>
      </c>
      <c r="C4891" t="s">
        <v>89</v>
      </c>
      <c r="D4891" s="23">
        <v>-1114.8800000000001</v>
      </c>
      <c r="E4891" s="76" t="s">
        <v>35</v>
      </c>
      <c r="F4891" s="2">
        <v>610148001</v>
      </c>
      <c r="G4891" s="2" t="s">
        <v>41</v>
      </c>
      <c r="I4891" s="95" t="s">
        <v>7231</v>
      </c>
      <c r="J4891" t="s">
        <v>42</v>
      </c>
      <c r="K4891" t="s">
        <v>41</v>
      </c>
      <c r="M4891">
        <v>98.51</v>
      </c>
      <c r="N4891" s="4">
        <f t="shared" si="76"/>
        <v>-11.317429702568267</v>
      </c>
      <c r="O4891" t="s">
        <v>83</v>
      </c>
      <c r="Q4891" s="24" t="s">
        <v>3649</v>
      </c>
    </row>
    <row r="4892" spans="1:17" x14ac:dyDescent="0.25">
      <c r="A4892" s="22">
        <v>45817</v>
      </c>
      <c r="B4892" s="1">
        <v>151513193</v>
      </c>
      <c r="C4892" t="s">
        <v>82</v>
      </c>
      <c r="D4892" s="23">
        <v>25000</v>
      </c>
      <c r="E4892" s="76" t="s">
        <v>45</v>
      </c>
      <c r="F4892" s="2">
        <v>210115002</v>
      </c>
      <c r="G4892" s="2" t="s">
        <v>46</v>
      </c>
      <c r="I4892" s="95" t="s">
        <v>7231</v>
      </c>
      <c r="K4892" t="s">
        <v>82</v>
      </c>
      <c r="M4892">
        <v>99.09</v>
      </c>
      <c r="N4892" s="4">
        <f t="shared" si="76"/>
        <v>252.29589262286808</v>
      </c>
      <c r="O4892" t="s">
        <v>83</v>
      </c>
    </row>
    <row r="4893" spans="1:17" x14ac:dyDescent="0.25">
      <c r="A4893" s="22">
        <v>45817</v>
      </c>
      <c r="B4893" s="1">
        <v>714210364</v>
      </c>
      <c r="C4893" t="s">
        <v>3727</v>
      </c>
      <c r="D4893" s="23">
        <v>-23333.71</v>
      </c>
      <c r="E4893" s="76" t="s">
        <v>35</v>
      </c>
      <c r="F4893" s="2">
        <v>210101001</v>
      </c>
      <c r="G4893" s="2" t="s">
        <v>36</v>
      </c>
      <c r="I4893" s="95" t="s">
        <v>7231</v>
      </c>
      <c r="J4893" t="s">
        <v>182</v>
      </c>
      <c r="K4893" t="s">
        <v>183</v>
      </c>
      <c r="M4893">
        <v>99.09</v>
      </c>
      <c r="N4893" s="4">
        <f t="shared" si="76"/>
        <v>-235.47996770612573</v>
      </c>
      <c r="O4893" t="s">
        <v>83</v>
      </c>
    </row>
    <row r="4894" spans="1:17" x14ac:dyDescent="0.25">
      <c r="A4894" s="22">
        <v>45817</v>
      </c>
      <c r="B4894" s="1">
        <v>714210364</v>
      </c>
      <c r="C4894" t="s">
        <v>185</v>
      </c>
      <c r="D4894" s="23">
        <v>-70</v>
      </c>
      <c r="E4894" s="76" t="s">
        <v>35</v>
      </c>
      <c r="F4894" s="2">
        <v>610148001</v>
      </c>
      <c r="G4894" s="2" t="s">
        <v>41</v>
      </c>
      <c r="I4894" s="95" t="s">
        <v>7231</v>
      </c>
      <c r="J4894" t="s">
        <v>42</v>
      </c>
      <c r="K4894" t="s">
        <v>41</v>
      </c>
      <c r="M4894">
        <v>99.09</v>
      </c>
      <c r="N4894" s="4">
        <f t="shared" si="76"/>
        <v>-0.70642849934403062</v>
      </c>
      <c r="O4894" t="s">
        <v>83</v>
      </c>
      <c r="Q4894" s="24" t="s">
        <v>3649</v>
      </c>
    </row>
    <row r="4895" spans="1:17" x14ac:dyDescent="0.25">
      <c r="A4895" s="22">
        <v>45818</v>
      </c>
      <c r="B4895" s="1">
        <v>125817532</v>
      </c>
      <c r="C4895" t="s">
        <v>82</v>
      </c>
      <c r="D4895" s="23">
        <v>530000</v>
      </c>
      <c r="E4895" s="76" t="s">
        <v>45</v>
      </c>
      <c r="F4895" s="2">
        <v>210115002</v>
      </c>
      <c r="G4895" s="2" t="s">
        <v>46</v>
      </c>
      <c r="I4895" s="95" t="s">
        <v>7231</v>
      </c>
      <c r="K4895" t="s">
        <v>82</v>
      </c>
      <c r="M4895">
        <v>99.12</v>
      </c>
      <c r="N4895" s="4">
        <f t="shared" si="76"/>
        <v>5347.0540758676352</v>
      </c>
      <c r="O4895" t="s">
        <v>83</v>
      </c>
    </row>
    <row r="4896" spans="1:17" x14ac:dyDescent="0.25">
      <c r="A4896" s="22">
        <v>45818</v>
      </c>
      <c r="B4896" s="1">
        <v>514245591</v>
      </c>
      <c r="C4896" t="s">
        <v>3728</v>
      </c>
      <c r="D4896" s="23">
        <v>-28427.24</v>
      </c>
      <c r="E4896" s="76" t="s">
        <v>35</v>
      </c>
      <c r="F4896" s="2">
        <v>210101001</v>
      </c>
      <c r="G4896" s="2" t="s">
        <v>36</v>
      </c>
      <c r="I4896" s="95" t="s">
        <v>7231</v>
      </c>
      <c r="J4896" t="s">
        <v>288</v>
      </c>
      <c r="K4896" t="s">
        <v>289</v>
      </c>
      <c r="M4896">
        <v>99.12</v>
      </c>
      <c r="N4896" s="4">
        <f t="shared" si="76"/>
        <v>-286.79620661824055</v>
      </c>
      <c r="O4896" t="s">
        <v>83</v>
      </c>
    </row>
    <row r="4897" spans="1:17" x14ac:dyDescent="0.25">
      <c r="A4897" s="22">
        <v>45818</v>
      </c>
      <c r="B4897" s="1">
        <v>514245593</v>
      </c>
      <c r="C4897" t="s">
        <v>3729</v>
      </c>
      <c r="D4897" s="23">
        <v>-146253.54</v>
      </c>
      <c r="E4897" s="76" t="s">
        <v>35</v>
      </c>
      <c r="F4897" s="2">
        <v>210101001</v>
      </c>
      <c r="G4897" s="2" t="s">
        <v>36</v>
      </c>
      <c r="I4897" s="95" t="s">
        <v>7231</v>
      </c>
      <c r="J4897" t="s">
        <v>37</v>
      </c>
      <c r="K4897" t="s">
        <v>38</v>
      </c>
      <c r="M4897">
        <v>99.12</v>
      </c>
      <c r="N4897" s="4">
        <f t="shared" si="76"/>
        <v>-1475.519975786925</v>
      </c>
      <c r="O4897" t="s">
        <v>83</v>
      </c>
    </row>
    <row r="4898" spans="1:17" x14ac:dyDescent="0.25">
      <c r="A4898" s="22">
        <v>45818</v>
      </c>
      <c r="B4898" s="1">
        <v>514245594</v>
      </c>
      <c r="C4898" t="s">
        <v>3730</v>
      </c>
      <c r="D4898" s="23">
        <v>-96646.33</v>
      </c>
      <c r="E4898" s="76" t="s">
        <v>35</v>
      </c>
      <c r="F4898" s="2">
        <v>210101001</v>
      </c>
      <c r="G4898" s="2" t="s">
        <v>36</v>
      </c>
      <c r="I4898" s="95" t="s">
        <v>7231</v>
      </c>
      <c r="J4898" t="s">
        <v>37</v>
      </c>
      <c r="K4898" t="s">
        <v>38</v>
      </c>
      <c r="M4898">
        <v>99.12</v>
      </c>
      <c r="N4898" s="4">
        <f t="shared" si="76"/>
        <v>-975.04368442292173</v>
      </c>
      <c r="O4898" t="s">
        <v>83</v>
      </c>
    </row>
    <row r="4899" spans="1:17" x14ac:dyDescent="0.25">
      <c r="A4899" s="22">
        <v>45818</v>
      </c>
      <c r="B4899" s="1">
        <v>614245598</v>
      </c>
      <c r="C4899" t="s">
        <v>3731</v>
      </c>
      <c r="D4899" s="23">
        <v>-4913.9399999999996</v>
      </c>
      <c r="E4899" s="76" t="s">
        <v>35</v>
      </c>
      <c r="F4899" s="2">
        <v>210101001</v>
      </c>
      <c r="G4899" s="2" t="s">
        <v>36</v>
      </c>
      <c r="I4899" s="95" t="s">
        <v>7231</v>
      </c>
      <c r="J4899" t="s">
        <v>3280</v>
      </c>
      <c r="K4899" t="s">
        <v>3281</v>
      </c>
      <c r="M4899">
        <v>99.12</v>
      </c>
      <c r="N4899" s="4">
        <f t="shared" si="76"/>
        <v>-49.575665859564161</v>
      </c>
      <c r="O4899" t="s">
        <v>83</v>
      </c>
    </row>
    <row r="4900" spans="1:17" x14ac:dyDescent="0.25">
      <c r="A4900" s="22">
        <v>45818</v>
      </c>
      <c r="B4900" s="1">
        <v>514245592</v>
      </c>
      <c r="C4900" t="s">
        <v>3732</v>
      </c>
      <c r="D4900" s="23">
        <v>-6738.08</v>
      </c>
      <c r="E4900" s="76" t="s">
        <v>35</v>
      </c>
      <c r="F4900" s="2">
        <v>210101001</v>
      </c>
      <c r="G4900" s="2" t="s">
        <v>36</v>
      </c>
      <c r="I4900" s="95" t="s">
        <v>7231</v>
      </c>
      <c r="J4900" t="s">
        <v>1301</v>
      </c>
      <c r="K4900" t="s">
        <v>1302</v>
      </c>
      <c r="M4900">
        <v>99.12</v>
      </c>
      <c r="N4900" s="4">
        <f t="shared" si="76"/>
        <v>-67.979015334947533</v>
      </c>
      <c r="O4900" t="s">
        <v>83</v>
      </c>
    </row>
    <row r="4901" spans="1:17" x14ac:dyDescent="0.25">
      <c r="A4901" s="22">
        <v>45818</v>
      </c>
      <c r="B4901" s="1">
        <v>514245597</v>
      </c>
      <c r="C4901" t="s">
        <v>3733</v>
      </c>
      <c r="D4901" s="23">
        <v>-42197.18</v>
      </c>
      <c r="E4901" s="76" t="s">
        <v>35</v>
      </c>
      <c r="F4901" s="2">
        <v>210101001</v>
      </c>
      <c r="G4901" s="2" t="s">
        <v>36</v>
      </c>
      <c r="I4901" s="95" t="s">
        <v>7231</v>
      </c>
      <c r="J4901" t="s">
        <v>928</v>
      </c>
      <c r="K4901" t="s">
        <v>929</v>
      </c>
      <c r="M4901">
        <v>99.12</v>
      </c>
      <c r="N4901" s="4">
        <f t="shared" si="76"/>
        <v>-425.71811945117031</v>
      </c>
      <c r="O4901" t="s">
        <v>83</v>
      </c>
    </row>
    <row r="4902" spans="1:17" x14ac:dyDescent="0.25">
      <c r="A4902" s="22">
        <v>45818</v>
      </c>
      <c r="B4902" s="1">
        <v>514245595</v>
      </c>
      <c r="C4902" t="s">
        <v>3730</v>
      </c>
      <c r="D4902" s="23">
        <v>-200000</v>
      </c>
      <c r="E4902" s="76" t="s">
        <v>35</v>
      </c>
      <c r="F4902" s="2">
        <v>210101001</v>
      </c>
      <c r="G4902" s="2" t="s">
        <v>36</v>
      </c>
      <c r="I4902" s="95" t="s">
        <v>7231</v>
      </c>
      <c r="J4902" t="s">
        <v>37</v>
      </c>
      <c r="K4902" t="s">
        <v>38</v>
      </c>
      <c r="M4902">
        <v>99.12</v>
      </c>
      <c r="N4902" s="4">
        <f t="shared" si="76"/>
        <v>-2017.7562550443906</v>
      </c>
      <c r="O4902" t="s">
        <v>83</v>
      </c>
    </row>
    <row r="4903" spans="1:17" x14ac:dyDescent="0.25">
      <c r="A4903" s="22">
        <v>45818</v>
      </c>
      <c r="B4903" s="1">
        <v>614245599</v>
      </c>
      <c r="C4903" t="s">
        <v>3734</v>
      </c>
      <c r="D4903" s="23">
        <v>-2827.2</v>
      </c>
      <c r="E4903" s="76" t="s">
        <v>35</v>
      </c>
      <c r="F4903" s="2">
        <v>210101001</v>
      </c>
      <c r="G4903" s="2" t="s">
        <v>36</v>
      </c>
      <c r="I4903" s="95" t="s">
        <v>7231</v>
      </c>
      <c r="J4903" t="s">
        <v>380</v>
      </c>
      <c r="K4903" t="s">
        <v>381</v>
      </c>
      <c r="M4903">
        <v>99.12</v>
      </c>
      <c r="N4903" s="4">
        <f t="shared" si="76"/>
        <v>-28.523002421307503</v>
      </c>
      <c r="O4903" t="s">
        <v>83</v>
      </c>
    </row>
    <row r="4904" spans="1:17" x14ac:dyDescent="0.25">
      <c r="A4904" s="22">
        <v>45818</v>
      </c>
      <c r="B4904" s="1">
        <v>50642250</v>
      </c>
      <c r="C4904" t="s">
        <v>89</v>
      </c>
      <c r="D4904" s="23">
        <v>-1320</v>
      </c>
      <c r="E4904" s="76" t="s">
        <v>35</v>
      </c>
      <c r="F4904" s="2">
        <v>610148001</v>
      </c>
      <c r="G4904" s="2" t="s">
        <v>41</v>
      </c>
      <c r="I4904" s="95" t="s">
        <v>7231</v>
      </c>
      <c r="J4904" t="s">
        <v>42</v>
      </c>
      <c r="K4904" t="s">
        <v>41</v>
      </c>
      <c r="M4904">
        <v>99.12</v>
      </c>
      <c r="N4904" s="4">
        <f t="shared" si="76"/>
        <v>-13.317191283292978</v>
      </c>
      <c r="O4904" t="s">
        <v>83</v>
      </c>
      <c r="Q4904" s="24" t="s">
        <v>3649</v>
      </c>
    </row>
    <row r="4905" spans="1:17" x14ac:dyDescent="0.25">
      <c r="A4905" s="22">
        <v>45818</v>
      </c>
      <c r="B4905" s="1">
        <v>133815874</v>
      </c>
      <c r="C4905" t="s">
        <v>82</v>
      </c>
      <c r="D4905" s="23">
        <v>800000</v>
      </c>
      <c r="E4905" s="76" t="s">
        <v>45</v>
      </c>
      <c r="F4905" s="2">
        <v>210115002</v>
      </c>
      <c r="G4905" s="2" t="s">
        <v>46</v>
      </c>
      <c r="I4905" s="95" t="s">
        <v>7231</v>
      </c>
      <c r="K4905" t="s">
        <v>82</v>
      </c>
      <c r="M4905">
        <v>99.12</v>
      </c>
      <c r="N4905" s="4">
        <f t="shared" si="76"/>
        <v>8071.0250201775625</v>
      </c>
      <c r="O4905" t="s">
        <v>83</v>
      </c>
    </row>
    <row r="4906" spans="1:17" x14ac:dyDescent="0.25">
      <c r="A4906" s="22">
        <v>45818</v>
      </c>
      <c r="B4906" s="1">
        <v>114248166</v>
      </c>
      <c r="C4906" t="s">
        <v>3735</v>
      </c>
      <c r="D4906" s="23">
        <v>-200000</v>
      </c>
      <c r="E4906" s="76" t="s">
        <v>35</v>
      </c>
      <c r="F4906" s="2">
        <v>110114001</v>
      </c>
      <c r="G4906" s="2" t="s">
        <v>181</v>
      </c>
      <c r="I4906" s="95" t="s">
        <v>7231</v>
      </c>
      <c r="J4906" t="s">
        <v>37</v>
      </c>
      <c r="K4906" t="s">
        <v>38</v>
      </c>
      <c r="M4906">
        <v>99.12</v>
      </c>
      <c r="N4906" s="4">
        <f t="shared" si="76"/>
        <v>-2017.7562550443906</v>
      </c>
      <c r="O4906" t="s">
        <v>83</v>
      </c>
      <c r="P4906" s="34" t="s">
        <v>1279</v>
      </c>
    </row>
    <row r="4907" spans="1:17" x14ac:dyDescent="0.25">
      <c r="A4907" s="22">
        <v>45818</v>
      </c>
      <c r="B4907" s="1">
        <v>114248169</v>
      </c>
      <c r="C4907" t="s">
        <v>3735</v>
      </c>
      <c r="D4907" s="23">
        <v>-200000</v>
      </c>
      <c r="E4907" s="76" t="s">
        <v>35</v>
      </c>
      <c r="F4907" s="2">
        <v>110114001</v>
      </c>
      <c r="G4907" s="2" t="s">
        <v>181</v>
      </c>
      <c r="I4907" s="95" t="s">
        <v>7231</v>
      </c>
      <c r="J4907" t="s">
        <v>37</v>
      </c>
      <c r="K4907" t="s">
        <v>38</v>
      </c>
      <c r="M4907">
        <v>99.12</v>
      </c>
      <c r="N4907" s="4">
        <f t="shared" si="76"/>
        <v>-2017.7562550443906</v>
      </c>
      <c r="O4907" t="s">
        <v>83</v>
      </c>
      <c r="P4907" s="34" t="s">
        <v>1279</v>
      </c>
    </row>
    <row r="4908" spans="1:17" x14ac:dyDescent="0.25">
      <c r="A4908" s="22">
        <v>45818</v>
      </c>
      <c r="B4908" s="1">
        <v>114248168</v>
      </c>
      <c r="C4908" t="s">
        <v>3735</v>
      </c>
      <c r="D4908" s="23">
        <v>-200000</v>
      </c>
      <c r="E4908" s="76" t="s">
        <v>35</v>
      </c>
      <c r="F4908" s="2">
        <v>110114001</v>
      </c>
      <c r="G4908" s="2" t="s">
        <v>181</v>
      </c>
      <c r="I4908" s="95" t="s">
        <v>7231</v>
      </c>
      <c r="J4908" t="s">
        <v>37</v>
      </c>
      <c r="K4908" t="s">
        <v>38</v>
      </c>
      <c r="M4908">
        <v>99.12</v>
      </c>
      <c r="N4908" s="4">
        <f t="shared" si="76"/>
        <v>-2017.7562550443906</v>
      </c>
      <c r="O4908" t="s">
        <v>83</v>
      </c>
      <c r="P4908" s="34" t="s">
        <v>1279</v>
      </c>
    </row>
    <row r="4909" spans="1:17" x14ac:dyDescent="0.25">
      <c r="A4909" s="22">
        <v>45818</v>
      </c>
      <c r="B4909" s="1">
        <v>114248171</v>
      </c>
      <c r="C4909" t="s">
        <v>3735</v>
      </c>
      <c r="D4909" s="23">
        <v>-192385.1</v>
      </c>
      <c r="E4909" s="76" t="s">
        <v>35</v>
      </c>
      <c r="F4909" s="2">
        <v>110114001</v>
      </c>
      <c r="G4909" s="2" t="s">
        <v>181</v>
      </c>
      <c r="I4909" s="95" t="s">
        <v>7231</v>
      </c>
      <c r="J4909" t="s">
        <v>37</v>
      </c>
      <c r="K4909" t="s">
        <v>38</v>
      </c>
      <c r="M4909">
        <v>99.12</v>
      </c>
      <c r="N4909" s="4">
        <f t="shared" si="76"/>
        <v>-1940.9311945117029</v>
      </c>
      <c r="O4909" t="s">
        <v>83</v>
      </c>
      <c r="P4909" s="34" t="s">
        <v>1279</v>
      </c>
    </row>
    <row r="4910" spans="1:17" x14ac:dyDescent="0.25">
      <c r="A4910" s="22">
        <v>45818</v>
      </c>
      <c r="B4910" s="1">
        <v>50682493</v>
      </c>
      <c r="C4910" t="s">
        <v>89</v>
      </c>
      <c r="D4910" s="23">
        <v>-1980.96</v>
      </c>
      <c r="E4910" s="76" t="s">
        <v>35</v>
      </c>
      <c r="F4910" s="2">
        <v>610148001</v>
      </c>
      <c r="G4910" s="2" t="s">
        <v>41</v>
      </c>
      <c r="I4910" s="95" t="s">
        <v>7231</v>
      </c>
      <c r="J4910" t="s">
        <v>42</v>
      </c>
      <c r="K4910" t="s">
        <v>41</v>
      </c>
      <c r="M4910">
        <v>99.12</v>
      </c>
      <c r="N4910" s="4">
        <f t="shared" si="76"/>
        <v>-19.985472154963681</v>
      </c>
      <c r="O4910" t="s">
        <v>83</v>
      </c>
      <c r="Q4910" s="24" t="s">
        <v>3649</v>
      </c>
    </row>
    <row r="4911" spans="1:17" x14ac:dyDescent="0.25">
      <c r="A4911" s="22">
        <v>45818</v>
      </c>
      <c r="B4911" s="1">
        <v>714248241</v>
      </c>
      <c r="C4911" t="s">
        <v>3736</v>
      </c>
      <c r="D4911" s="23">
        <v>-6442.8</v>
      </c>
      <c r="E4911" s="76" t="s">
        <v>35</v>
      </c>
      <c r="F4911" s="2">
        <v>110114001</v>
      </c>
      <c r="G4911" s="2" t="s">
        <v>181</v>
      </c>
      <c r="I4911" s="95" t="s">
        <v>7231</v>
      </c>
      <c r="J4911" t="s">
        <v>182</v>
      </c>
      <c r="K4911" t="s">
        <v>2491</v>
      </c>
      <c r="M4911">
        <v>99.12</v>
      </c>
      <c r="N4911" s="4">
        <f t="shared" si="76"/>
        <v>-65</v>
      </c>
      <c r="O4911" t="s">
        <v>83</v>
      </c>
      <c r="P4911" s="34" t="s">
        <v>1279</v>
      </c>
    </row>
    <row r="4912" spans="1:17" x14ac:dyDescent="0.25">
      <c r="A4912" s="22">
        <v>45818</v>
      </c>
      <c r="B4912" s="1">
        <v>714248241</v>
      </c>
      <c r="C4912" t="s">
        <v>185</v>
      </c>
      <c r="D4912" s="23">
        <v>-19.329999999999998</v>
      </c>
      <c r="E4912" s="76" t="s">
        <v>35</v>
      </c>
      <c r="F4912" s="2">
        <v>610148001</v>
      </c>
      <c r="G4912" s="2" t="s">
        <v>41</v>
      </c>
      <c r="I4912" s="95" t="s">
        <v>7231</v>
      </c>
      <c r="J4912" t="s">
        <v>42</v>
      </c>
      <c r="K4912" t="s">
        <v>41</v>
      </c>
      <c r="M4912">
        <v>99.12</v>
      </c>
      <c r="N4912" s="4">
        <f t="shared" si="76"/>
        <v>-0.19501614205004034</v>
      </c>
      <c r="O4912" t="s">
        <v>83</v>
      </c>
      <c r="Q4912" s="24" t="s">
        <v>3649</v>
      </c>
    </row>
    <row r="4913" spans="1:17" x14ac:dyDescent="0.25">
      <c r="A4913" s="22">
        <v>45818</v>
      </c>
      <c r="B4913" s="1">
        <v>134200216</v>
      </c>
      <c r="C4913" t="s">
        <v>82</v>
      </c>
      <c r="D4913" s="23">
        <v>25000</v>
      </c>
      <c r="E4913" s="76" t="s">
        <v>45</v>
      </c>
      <c r="F4913" s="2">
        <v>210115002</v>
      </c>
      <c r="G4913" s="2" t="s">
        <v>46</v>
      </c>
      <c r="I4913" s="95" t="s">
        <v>7231</v>
      </c>
      <c r="K4913" t="s">
        <v>82</v>
      </c>
      <c r="M4913">
        <v>99.12</v>
      </c>
      <c r="N4913" s="4">
        <f t="shared" si="76"/>
        <v>252.21953188054883</v>
      </c>
      <c r="O4913" t="s">
        <v>83</v>
      </c>
    </row>
    <row r="4914" spans="1:17" x14ac:dyDescent="0.25">
      <c r="A4914" s="22">
        <v>45818</v>
      </c>
      <c r="B4914" s="1">
        <v>214248416</v>
      </c>
      <c r="C4914" t="s">
        <v>3737</v>
      </c>
      <c r="D4914" s="23">
        <v>-1846</v>
      </c>
      <c r="E4914" s="76" t="s">
        <v>35</v>
      </c>
      <c r="F4914" s="2">
        <v>210101001</v>
      </c>
      <c r="G4914" s="2" t="s">
        <v>36</v>
      </c>
      <c r="I4914" s="95" t="s">
        <v>7231</v>
      </c>
      <c r="J4914" t="s">
        <v>380</v>
      </c>
      <c r="K4914" t="s">
        <v>381</v>
      </c>
      <c r="M4914">
        <v>99.12</v>
      </c>
      <c r="N4914" s="4">
        <f t="shared" si="76"/>
        <v>-18.623890234059726</v>
      </c>
      <c r="O4914" t="s">
        <v>83</v>
      </c>
    </row>
    <row r="4915" spans="1:17" x14ac:dyDescent="0.25">
      <c r="A4915" s="22">
        <v>45818</v>
      </c>
      <c r="B4915" s="1">
        <v>214248416</v>
      </c>
      <c r="C4915" t="s">
        <v>185</v>
      </c>
      <c r="D4915" s="23">
        <v>-5.54</v>
      </c>
      <c r="E4915" s="76" t="s">
        <v>35</v>
      </c>
      <c r="F4915" s="2">
        <v>610148001</v>
      </c>
      <c r="G4915" s="2" t="s">
        <v>41</v>
      </c>
      <c r="I4915" s="95" t="s">
        <v>7231</v>
      </c>
      <c r="J4915" t="s">
        <v>42</v>
      </c>
      <c r="K4915" t="s">
        <v>41</v>
      </c>
      <c r="M4915">
        <v>99.12</v>
      </c>
      <c r="N4915" s="4">
        <f t="shared" si="76"/>
        <v>-5.5891848264729621E-2</v>
      </c>
      <c r="O4915" t="s">
        <v>83</v>
      </c>
      <c r="Q4915" s="24" t="s">
        <v>3649</v>
      </c>
    </row>
    <row r="4916" spans="1:17" x14ac:dyDescent="0.25">
      <c r="A4916" s="22">
        <v>45818</v>
      </c>
      <c r="B4916" s="1">
        <v>714248466</v>
      </c>
      <c r="C4916" t="s">
        <v>3738</v>
      </c>
      <c r="D4916" s="23">
        <v>-21081.83</v>
      </c>
      <c r="E4916" s="76" t="s">
        <v>35</v>
      </c>
      <c r="F4916" s="2">
        <v>210101001</v>
      </c>
      <c r="G4916" s="2" t="s">
        <v>36</v>
      </c>
      <c r="I4916" s="95" t="s">
        <v>7231</v>
      </c>
      <c r="J4916" t="s">
        <v>380</v>
      </c>
      <c r="K4916" t="s">
        <v>381</v>
      </c>
      <c r="M4916">
        <v>99.12</v>
      </c>
      <c r="N4916" s="4">
        <f t="shared" si="76"/>
        <v>-212.68997175141243</v>
      </c>
      <c r="O4916" t="s">
        <v>83</v>
      </c>
    </row>
    <row r="4917" spans="1:17" x14ac:dyDescent="0.25">
      <c r="A4917" s="22">
        <v>45818</v>
      </c>
      <c r="B4917" s="1">
        <v>714248466</v>
      </c>
      <c r="C4917" t="s">
        <v>185</v>
      </c>
      <c r="D4917" s="23">
        <v>-63.25</v>
      </c>
      <c r="E4917" s="76" t="s">
        <v>35</v>
      </c>
      <c r="F4917" s="2">
        <v>610148001</v>
      </c>
      <c r="G4917" s="2" t="s">
        <v>41</v>
      </c>
      <c r="I4917" s="95" t="s">
        <v>7231</v>
      </c>
      <c r="J4917" t="s">
        <v>42</v>
      </c>
      <c r="K4917" t="s">
        <v>41</v>
      </c>
      <c r="M4917">
        <v>99.12</v>
      </c>
      <c r="N4917" s="4">
        <f t="shared" si="76"/>
        <v>-0.63811541565778851</v>
      </c>
      <c r="O4917" t="s">
        <v>83</v>
      </c>
      <c r="Q4917" s="24" t="s">
        <v>3649</v>
      </c>
    </row>
    <row r="4918" spans="1:17" x14ac:dyDescent="0.25">
      <c r="A4918" s="22">
        <v>45818</v>
      </c>
      <c r="B4918" s="1">
        <v>161219466</v>
      </c>
      <c r="C4918" t="s">
        <v>82</v>
      </c>
      <c r="D4918" s="23">
        <v>95000</v>
      </c>
      <c r="E4918" s="76" t="s">
        <v>45</v>
      </c>
      <c r="F4918" s="2">
        <v>210115002</v>
      </c>
      <c r="G4918" s="2" t="s">
        <v>46</v>
      </c>
      <c r="I4918" s="95" t="s">
        <v>7231</v>
      </c>
      <c r="K4918" t="s">
        <v>82</v>
      </c>
      <c r="M4918">
        <v>99.12</v>
      </c>
      <c r="N4918" s="4">
        <f t="shared" si="76"/>
        <v>958.43422114608552</v>
      </c>
      <c r="O4918" t="s">
        <v>83</v>
      </c>
    </row>
    <row r="4919" spans="1:17" x14ac:dyDescent="0.25">
      <c r="A4919" s="22">
        <v>45818</v>
      </c>
      <c r="B4919" s="1">
        <v>0</v>
      </c>
      <c r="C4919" t="s">
        <v>3739</v>
      </c>
      <c r="D4919" s="23">
        <v>-99.12</v>
      </c>
      <c r="E4919" s="76" t="s">
        <v>35</v>
      </c>
      <c r="F4919" s="2">
        <v>610148001</v>
      </c>
      <c r="G4919" s="2" t="s">
        <v>41</v>
      </c>
      <c r="I4919" s="95" t="s">
        <v>7231</v>
      </c>
      <c r="J4919" t="s">
        <v>42</v>
      </c>
      <c r="K4919" t="s">
        <v>41</v>
      </c>
      <c r="M4919">
        <v>99.12</v>
      </c>
      <c r="N4919" s="4">
        <f t="shared" si="76"/>
        <v>-1</v>
      </c>
      <c r="O4919" t="s">
        <v>83</v>
      </c>
      <c r="Q4919" s="24" t="s">
        <v>3649</v>
      </c>
    </row>
    <row r="4920" spans="1:17" x14ac:dyDescent="0.25">
      <c r="A4920" s="22">
        <v>45818</v>
      </c>
      <c r="B4920" s="1">
        <v>347510</v>
      </c>
      <c r="C4920" t="s">
        <v>3740</v>
      </c>
      <c r="D4920" s="23">
        <v>-94172.78</v>
      </c>
      <c r="E4920" s="76" t="s">
        <v>35</v>
      </c>
      <c r="F4920" s="2">
        <v>210601001</v>
      </c>
      <c r="G4920" s="2" t="s">
        <v>272</v>
      </c>
      <c r="I4920" s="95" t="s">
        <v>7231</v>
      </c>
      <c r="J4920" t="s">
        <v>273</v>
      </c>
      <c r="K4920" t="s">
        <v>274</v>
      </c>
      <c r="M4920">
        <v>99.12</v>
      </c>
      <c r="N4920" s="4">
        <f t="shared" si="76"/>
        <v>-950.08857949959645</v>
      </c>
      <c r="O4920" t="s">
        <v>83</v>
      </c>
      <c r="Q4920" s="24" t="s">
        <v>3741</v>
      </c>
    </row>
    <row r="4921" spans="1:17" x14ac:dyDescent="0.25">
      <c r="A4921" s="22">
        <v>45819</v>
      </c>
      <c r="B4921" s="1">
        <v>140532831</v>
      </c>
      <c r="C4921" t="s">
        <v>82</v>
      </c>
      <c r="D4921" s="23">
        <v>95000</v>
      </c>
      <c r="E4921" s="76" t="s">
        <v>45</v>
      </c>
      <c r="F4921" s="2">
        <v>210115002</v>
      </c>
      <c r="G4921" s="2" t="s">
        <v>46</v>
      </c>
      <c r="I4921" s="95" t="s">
        <v>7231</v>
      </c>
      <c r="K4921" t="s">
        <v>82</v>
      </c>
      <c r="M4921">
        <v>99.7</v>
      </c>
      <c r="N4921" s="4">
        <f t="shared" si="76"/>
        <v>952.85857572718157</v>
      </c>
      <c r="O4921" t="s">
        <v>83</v>
      </c>
    </row>
    <row r="4922" spans="1:17" x14ac:dyDescent="0.25">
      <c r="A4922" s="22">
        <v>45819</v>
      </c>
      <c r="B4922" s="1">
        <v>514293109</v>
      </c>
      <c r="C4922" t="s">
        <v>3742</v>
      </c>
      <c r="D4922" s="23">
        <v>-91367.63</v>
      </c>
      <c r="E4922" s="76" t="s">
        <v>35</v>
      </c>
      <c r="F4922" s="2">
        <v>110114001</v>
      </c>
      <c r="G4922" s="2" t="s">
        <v>181</v>
      </c>
      <c r="I4922" s="95" t="s">
        <v>7231</v>
      </c>
      <c r="J4922" t="s">
        <v>37</v>
      </c>
      <c r="K4922" t="s">
        <v>38</v>
      </c>
      <c r="M4922">
        <v>99.7</v>
      </c>
      <c r="N4922" s="4">
        <f t="shared" si="76"/>
        <v>-916.42557673019064</v>
      </c>
      <c r="O4922" t="s">
        <v>83</v>
      </c>
      <c r="P4922" s="34" t="s">
        <v>1279</v>
      </c>
    </row>
    <row r="4923" spans="1:17" x14ac:dyDescent="0.25">
      <c r="A4923" s="22">
        <v>45819</v>
      </c>
      <c r="B4923" s="1">
        <v>514293110</v>
      </c>
      <c r="C4923" t="s">
        <v>3743</v>
      </c>
      <c r="D4923" s="23">
        <v>-3111.05</v>
      </c>
      <c r="E4923" s="76" t="s">
        <v>35</v>
      </c>
      <c r="F4923" s="2">
        <v>210101001</v>
      </c>
      <c r="G4923" s="2" t="s">
        <v>36</v>
      </c>
      <c r="I4923" s="95" t="s">
        <v>7231</v>
      </c>
      <c r="J4923" t="s">
        <v>680</v>
      </c>
      <c r="K4923" t="s">
        <v>681</v>
      </c>
      <c r="M4923">
        <v>99.7</v>
      </c>
      <c r="N4923" s="4">
        <f t="shared" si="76"/>
        <v>-31.204112337011033</v>
      </c>
      <c r="O4923" t="s">
        <v>83</v>
      </c>
    </row>
    <row r="4924" spans="1:17" x14ac:dyDescent="0.25">
      <c r="A4924" s="22">
        <v>45819</v>
      </c>
      <c r="B4924" s="1">
        <v>50689001</v>
      </c>
      <c r="C4924" t="s">
        <v>89</v>
      </c>
      <c r="D4924" s="23">
        <v>-236.19</v>
      </c>
      <c r="E4924" s="76" t="s">
        <v>35</v>
      </c>
      <c r="F4924" s="2">
        <v>610148001</v>
      </c>
      <c r="G4924" s="2" t="s">
        <v>41</v>
      </c>
      <c r="I4924" s="95" t="s">
        <v>7231</v>
      </c>
      <c r="J4924" t="s">
        <v>42</v>
      </c>
      <c r="K4924" t="s">
        <v>41</v>
      </c>
      <c r="M4924">
        <v>99.7</v>
      </c>
      <c r="N4924" s="4">
        <f t="shared" si="76"/>
        <v>-2.3690070210631893</v>
      </c>
      <c r="O4924" t="s">
        <v>83</v>
      </c>
      <c r="Q4924" s="24" t="s">
        <v>3649</v>
      </c>
    </row>
    <row r="4925" spans="1:17" x14ac:dyDescent="0.25">
      <c r="A4925" s="22">
        <v>45819</v>
      </c>
      <c r="B4925" s="1">
        <v>155550008</v>
      </c>
      <c r="C4925" t="s">
        <v>82</v>
      </c>
      <c r="D4925" s="23">
        <v>72000</v>
      </c>
      <c r="E4925" s="76" t="s">
        <v>45</v>
      </c>
      <c r="F4925" s="2">
        <v>210115002</v>
      </c>
      <c r="G4925" s="2" t="s">
        <v>46</v>
      </c>
      <c r="I4925" s="95" t="s">
        <v>7231</v>
      </c>
      <c r="K4925" t="s">
        <v>82</v>
      </c>
      <c r="M4925">
        <v>99.7</v>
      </c>
      <c r="N4925" s="4">
        <f t="shared" si="76"/>
        <v>722.16649949849545</v>
      </c>
      <c r="O4925" t="s">
        <v>83</v>
      </c>
    </row>
    <row r="4926" spans="1:17" x14ac:dyDescent="0.25">
      <c r="A4926" s="22">
        <v>45819</v>
      </c>
      <c r="B4926" s="1">
        <v>0</v>
      </c>
      <c r="C4926" t="s">
        <v>3739</v>
      </c>
      <c r="D4926" s="23">
        <v>-99.12</v>
      </c>
      <c r="E4926" s="76" t="s">
        <v>35</v>
      </c>
      <c r="F4926" s="2">
        <v>610148001</v>
      </c>
      <c r="G4926" s="2" t="s">
        <v>41</v>
      </c>
      <c r="I4926" s="95" t="s">
        <v>7231</v>
      </c>
      <c r="J4926" t="s">
        <v>42</v>
      </c>
      <c r="K4926" t="s">
        <v>41</v>
      </c>
      <c r="M4926">
        <v>99.7</v>
      </c>
      <c r="N4926" s="4">
        <f t="shared" si="76"/>
        <v>-0.99418254764292879</v>
      </c>
      <c r="O4926" t="s">
        <v>83</v>
      </c>
      <c r="Q4926" s="24" t="s">
        <v>3649</v>
      </c>
    </row>
    <row r="4927" spans="1:17" x14ac:dyDescent="0.25">
      <c r="A4927" s="22">
        <v>45819</v>
      </c>
      <c r="B4927" s="1">
        <v>35907</v>
      </c>
      <c r="C4927" t="s">
        <v>3744</v>
      </c>
      <c r="D4927" s="23">
        <v>-71185.48</v>
      </c>
      <c r="E4927" s="76" t="s">
        <v>35</v>
      </c>
      <c r="F4927" s="2">
        <v>213401001</v>
      </c>
      <c r="G4927" s="2" t="s">
        <v>94</v>
      </c>
      <c r="I4927" s="95" t="s">
        <v>7231</v>
      </c>
      <c r="J4927" t="s">
        <v>95</v>
      </c>
      <c r="K4927" t="s">
        <v>96</v>
      </c>
      <c r="M4927">
        <v>99.7</v>
      </c>
      <c r="N4927" s="4">
        <f t="shared" si="76"/>
        <v>-713.99679037111332</v>
      </c>
      <c r="O4927" t="s">
        <v>83</v>
      </c>
      <c r="Q4927" s="24" t="s">
        <v>3745</v>
      </c>
    </row>
    <row r="4928" spans="1:17" x14ac:dyDescent="0.25">
      <c r="A4928" s="22">
        <v>45820</v>
      </c>
      <c r="B4928" s="1">
        <v>160918209</v>
      </c>
      <c r="C4928" t="s">
        <v>82</v>
      </c>
      <c r="D4928" s="23">
        <v>275000</v>
      </c>
      <c r="E4928" s="76" t="s">
        <v>45</v>
      </c>
      <c r="F4928" s="2">
        <v>210115002</v>
      </c>
      <c r="G4928" s="2" t="s">
        <v>46</v>
      </c>
      <c r="I4928" s="95" t="s">
        <v>7231</v>
      </c>
      <c r="K4928" t="s">
        <v>82</v>
      </c>
      <c r="M4928">
        <v>100.34</v>
      </c>
      <c r="N4928" s="4">
        <f t="shared" si="76"/>
        <v>2740.6816822802471</v>
      </c>
      <c r="O4928" t="s">
        <v>83</v>
      </c>
    </row>
    <row r="4929" spans="1:20" x14ac:dyDescent="0.25">
      <c r="A4929" s="22">
        <v>45820</v>
      </c>
      <c r="B4929" s="1">
        <v>163731184</v>
      </c>
      <c r="C4929" t="s">
        <v>3746</v>
      </c>
      <c r="D4929" s="23">
        <v>-8737.5499999999993</v>
      </c>
      <c r="E4929" s="76" t="s">
        <v>35</v>
      </c>
      <c r="F4929" s="2">
        <v>210101001</v>
      </c>
      <c r="G4929" s="2" t="s">
        <v>36</v>
      </c>
      <c r="I4929" s="95" t="s">
        <v>7231</v>
      </c>
      <c r="J4929" t="s">
        <v>1306</v>
      </c>
      <c r="K4929" t="s">
        <v>600</v>
      </c>
      <c r="M4929">
        <v>100.34</v>
      </c>
      <c r="N4929" s="4">
        <f t="shared" si="76"/>
        <v>-87.079429938210069</v>
      </c>
      <c r="O4929" t="s">
        <v>83</v>
      </c>
    </row>
    <row r="4930" spans="1:20" x14ac:dyDescent="0.25">
      <c r="A4930" s="22">
        <v>45820</v>
      </c>
      <c r="B4930" s="1">
        <v>114348191</v>
      </c>
      <c r="C4930" t="s">
        <v>3747</v>
      </c>
      <c r="D4930" s="23">
        <v>-61.65</v>
      </c>
      <c r="E4930" s="76" t="s">
        <v>35</v>
      </c>
      <c r="F4930" s="2">
        <v>212901001</v>
      </c>
      <c r="G4930" s="2" t="s">
        <v>91</v>
      </c>
      <c r="I4930" s="95" t="s">
        <v>7231</v>
      </c>
      <c r="J4930" t="s">
        <v>61</v>
      </c>
      <c r="K4930" t="s">
        <v>62</v>
      </c>
      <c r="M4930">
        <v>100.34</v>
      </c>
      <c r="N4930" s="4">
        <f t="shared" si="76"/>
        <v>-0.61441100259118997</v>
      </c>
      <c r="O4930" t="s">
        <v>83</v>
      </c>
      <c r="R4930">
        <v>9</v>
      </c>
      <c r="S4930" t="e">
        <f>VLOOKUP(R4930,[1]!NOMINA[#Data],4,FALSE)</f>
        <v>#REF!</v>
      </c>
      <c r="T4930" t="e">
        <f>VLOOKUP(R4930,[1]!NOMINA[#Data],5,FALSE)</f>
        <v>#REF!</v>
      </c>
    </row>
    <row r="4931" spans="1:20" x14ac:dyDescent="0.25">
      <c r="A4931" s="22">
        <v>45820</v>
      </c>
      <c r="B4931" s="1">
        <v>214348192</v>
      </c>
      <c r="C4931" t="s">
        <v>3748</v>
      </c>
      <c r="D4931" s="23">
        <v>-61.65</v>
      </c>
      <c r="E4931" s="76" t="s">
        <v>35</v>
      </c>
      <c r="F4931" s="2">
        <v>212901001</v>
      </c>
      <c r="G4931" s="2" t="s">
        <v>91</v>
      </c>
      <c r="I4931" s="95" t="s">
        <v>7231</v>
      </c>
      <c r="J4931" t="s">
        <v>61</v>
      </c>
      <c r="K4931" t="s">
        <v>62</v>
      </c>
      <c r="M4931">
        <v>100.34</v>
      </c>
      <c r="N4931" s="4">
        <f t="shared" si="76"/>
        <v>-0.61441100259118997</v>
      </c>
      <c r="O4931" t="s">
        <v>83</v>
      </c>
      <c r="R4931">
        <v>26</v>
      </c>
      <c r="S4931" t="e">
        <f>VLOOKUP(Tabla3[[#This Row],[Nº]],[1]!NOMINA[#Data],4,FALSE)</f>
        <v>#REF!</v>
      </c>
      <c r="T4931" t="e">
        <f>VLOOKUP(Tabla3[[#This Row],[Nº]],[1]!NOMINA[#Data],5,FALSE)</f>
        <v>#REF!</v>
      </c>
    </row>
    <row r="4932" spans="1:20" x14ac:dyDescent="0.25">
      <c r="A4932" s="22">
        <v>45820</v>
      </c>
      <c r="B4932" s="1">
        <v>214348194</v>
      </c>
      <c r="C4932" t="s">
        <v>3749</v>
      </c>
      <c r="D4932" s="23">
        <v>-61.65</v>
      </c>
      <c r="E4932" s="76" t="s">
        <v>35</v>
      </c>
      <c r="F4932" s="2">
        <v>212901001</v>
      </c>
      <c r="G4932" s="2" t="s">
        <v>91</v>
      </c>
      <c r="I4932" s="95" t="s">
        <v>7231</v>
      </c>
      <c r="J4932" t="s">
        <v>61</v>
      </c>
      <c r="K4932" t="s">
        <v>62</v>
      </c>
      <c r="M4932">
        <v>100.34</v>
      </c>
      <c r="N4932" s="4">
        <f t="shared" si="76"/>
        <v>-0.61441100259118997</v>
      </c>
      <c r="O4932" t="s">
        <v>83</v>
      </c>
      <c r="R4932">
        <v>29</v>
      </c>
      <c r="S4932" t="e">
        <f>VLOOKUP(R4932,[1]!NOMINA[#Data],4,FALSE)</f>
        <v>#REF!</v>
      </c>
      <c r="T4932" t="e">
        <f>VLOOKUP(R4932,[1]!NOMINA[#Data],5,FALSE)</f>
        <v>#REF!</v>
      </c>
    </row>
    <row r="4933" spans="1:20" x14ac:dyDescent="0.25">
      <c r="A4933" s="22">
        <v>45820</v>
      </c>
      <c r="B4933" s="1">
        <v>214348197</v>
      </c>
      <c r="C4933" t="s">
        <v>3750</v>
      </c>
      <c r="D4933" s="23">
        <v>-57.36</v>
      </c>
      <c r="E4933" s="76" t="s">
        <v>35</v>
      </c>
      <c r="F4933" s="2">
        <v>212901001</v>
      </c>
      <c r="G4933" s="2" t="s">
        <v>91</v>
      </c>
      <c r="I4933" s="95" t="s">
        <v>7231</v>
      </c>
      <c r="J4933" t="s">
        <v>61</v>
      </c>
      <c r="K4933" t="s">
        <v>62</v>
      </c>
      <c r="M4933">
        <v>100.34</v>
      </c>
      <c r="N4933" s="4">
        <f t="shared" si="76"/>
        <v>-0.57165636834761813</v>
      </c>
      <c r="O4933" t="s">
        <v>83</v>
      </c>
      <c r="R4933">
        <v>20</v>
      </c>
      <c r="S4933" t="e">
        <f>VLOOKUP(Tabla3[[#This Row],[Nº]],[1]!NOMINA[#Data],4,FALSE)</f>
        <v>#REF!</v>
      </c>
      <c r="T4933" t="e">
        <f>VLOOKUP(Tabla3[[#This Row],[Nº]],[1]!NOMINA[#Data],5,FALSE)</f>
        <v>#REF!</v>
      </c>
    </row>
    <row r="4934" spans="1:20" x14ac:dyDescent="0.25">
      <c r="A4934" s="22">
        <v>45820</v>
      </c>
      <c r="B4934" s="1">
        <v>214348196</v>
      </c>
      <c r="C4934" t="s">
        <v>3751</v>
      </c>
      <c r="D4934" s="23">
        <v>-61.65</v>
      </c>
      <c r="E4934" s="76" t="s">
        <v>35</v>
      </c>
      <c r="F4934" s="2">
        <v>212901001</v>
      </c>
      <c r="G4934" s="2" t="s">
        <v>91</v>
      </c>
      <c r="I4934" s="95" t="s">
        <v>7231</v>
      </c>
      <c r="J4934" t="s">
        <v>61</v>
      </c>
      <c r="K4934" t="s">
        <v>62</v>
      </c>
      <c r="M4934">
        <v>100.34</v>
      </c>
      <c r="N4934" s="4">
        <f t="shared" si="76"/>
        <v>-0.61441100259118997</v>
      </c>
      <c r="O4934" t="s">
        <v>83</v>
      </c>
      <c r="R4934">
        <v>10</v>
      </c>
      <c r="S4934" t="e">
        <f>VLOOKUP(R4934,[1]!NOMINA[#Data],4,FALSE)</f>
        <v>#REF!</v>
      </c>
      <c r="T4934" t="e">
        <f>VLOOKUP(R4934,[1]!NOMINA[#Data],5,FALSE)</f>
        <v>#REF!</v>
      </c>
    </row>
    <row r="4935" spans="1:20" x14ac:dyDescent="0.25">
      <c r="A4935" s="22">
        <v>45820</v>
      </c>
      <c r="B4935" s="1">
        <v>214348193</v>
      </c>
      <c r="C4935" t="s">
        <v>3752</v>
      </c>
      <c r="D4935" s="23">
        <v>-61.65</v>
      </c>
      <c r="E4935" s="76" t="s">
        <v>35</v>
      </c>
      <c r="F4935" s="2">
        <v>212901001</v>
      </c>
      <c r="G4935" s="2" t="s">
        <v>91</v>
      </c>
      <c r="I4935" s="95" t="s">
        <v>7231</v>
      </c>
      <c r="J4935" t="s">
        <v>61</v>
      </c>
      <c r="K4935" t="s">
        <v>62</v>
      </c>
      <c r="M4935">
        <v>100.34</v>
      </c>
      <c r="N4935" s="4">
        <f t="shared" si="76"/>
        <v>-0.61441100259118997</v>
      </c>
      <c r="O4935" t="s">
        <v>83</v>
      </c>
      <c r="R4935">
        <v>18</v>
      </c>
      <c r="S4935" t="e">
        <f>VLOOKUP(Tabla3[[#This Row],[Nº]],[1]!NOMINA[#Data],4,FALSE)</f>
        <v>#REF!</v>
      </c>
      <c r="T4935" t="e">
        <f>VLOOKUP(Tabla3[[#This Row],[Nº]],[1]!NOMINA[#Data],5,FALSE)</f>
        <v>#REF!</v>
      </c>
    </row>
    <row r="4936" spans="1:20" x14ac:dyDescent="0.25">
      <c r="A4936" s="22">
        <v>45820</v>
      </c>
      <c r="B4936" s="1">
        <v>214348195</v>
      </c>
      <c r="C4936" t="s">
        <v>3753</v>
      </c>
      <c r="D4936" s="23">
        <v>-61.65</v>
      </c>
      <c r="E4936" s="76" t="s">
        <v>35</v>
      </c>
      <c r="F4936" s="2">
        <v>212901001</v>
      </c>
      <c r="G4936" s="2" t="s">
        <v>91</v>
      </c>
      <c r="I4936" s="95" t="s">
        <v>7231</v>
      </c>
      <c r="J4936" t="s">
        <v>61</v>
      </c>
      <c r="K4936" t="s">
        <v>62</v>
      </c>
      <c r="M4936">
        <v>100.34</v>
      </c>
      <c r="N4936" s="4">
        <f t="shared" si="76"/>
        <v>-0.61441100259118997</v>
      </c>
      <c r="O4936" t="s">
        <v>83</v>
      </c>
      <c r="R4936">
        <v>15</v>
      </c>
      <c r="S4936" t="e">
        <f>VLOOKUP(R4936,[1]!NOMINA[#Data],4,FALSE)</f>
        <v>#REF!</v>
      </c>
      <c r="T4936" t="e">
        <f>VLOOKUP(R4936,[1]!NOMINA[#Data],5,FALSE)</f>
        <v>#REF!</v>
      </c>
    </row>
    <row r="4937" spans="1:20" x14ac:dyDescent="0.25">
      <c r="A4937" s="22">
        <v>45820</v>
      </c>
      <c r="B4937" s="1">
        <v>214348198</v>
      </c>
      <c r="C4937" t="s">
        <v>3754</v>
      </c>
      <c r="D4937" s="23">
        <v>-61.65</v>
      </c>
      <c r="E4937" s="76" t="s">
        <v>35</v>
      </c>
      <c r="F4937" s="2">
        <v>212901001</v>
      </c>
      <c r="G4937" s="2" t="s">
        <v>91</v>
      </c>
      <c r="I4937" s="95" t="s">
        <v>7231</v>
      </c>
      <c r="J4937" t="s">
        <v>61</v>
      </c>
      <c r="K4937" s="2" t="s">
        <v>62</v>
      </c>
      <c r="L4937" s="2"/>
      <c r="M4937">
        <v>100.34</v>
      </c>
      <c r="N4937" s="4">
        <f t="shared" si="76"/>
        <v>-0.61441100259118997</v>
      </c>
      <c r="O4937" t="s">
        <v>83</v>
      </c>
      <c r="R4937">
        <v>36</v>
      </c>
      <c r="S4937" t="e">
        <f>VLOOKUP(R4937,[1]!NOMINA[#Data],4,FALSE)</f>
        <v>#REF!</v>
      </c>
      <c r="T4937" t="e">
        <f>VLOOKUP(R4937,[1]!NOMINA[#Data],5,FALSE)</f>
        <v>#REF!</v>
      </c>
    </row>
    <row r="4938" spans="1:20" x14ac:dyDescent="0.25">
      <c r="A4938" s="22">
        <v>45820</v>
      </c>
      <c r="B4938" s="1">
        <v>214348199</v>
      </c>
      <c r="C4938" t="s">
        <v>3755</v>
      </c>
      <c r="D4938" s="23">
        <v>-57.36</v>
      </c>
      <c r="E4938" s="76" t="s">
        <v>35</v>
      </c>
      <c r="F4938" s="2">
        <v>212901001</v>
      </c>
      <c r="G4938" s="2" t="s">
        <v>91</v>
      </c>
      <c r="I4938" s="95" t="s">
        <v>7231</v>
      </c>
      <c r="J4938" t="s">
        <v>61</v>
      </c>
      <c r="K4938" t="s">
        <v>62</v>
      </c>
      <c r="M4938">
        <v>100.34</v>
      </c>
      <c r="N4938" s="4">
        <f t="shared" si="76"/>
        <v>-0.57165636834761813</v>
      </c>
      <c r="O4938" t="s">
        <v>83</v>
      </c>
      <c r="R4938">
        <v>8</v>
      </c>
      <c r="S4938" t="e">
        <f>VLOOKUP(R4938,[1]!NOMINA[#Data],4,FALSE)</f>
        <v>#REF!</v>
      </c>
      <c r="T4938" t="e">
        <f>VLOOKUP(R4938,[1]!NOMINA[#Data],5,FALSE)</f>
        <v>#REF!</v>
      </c>
    </row>
    <row r="4939" spans="1:20" x14ac:dyDescent="0.25">
      <c r="A4939" s="22">
        <v>45820</v>
      </c>
      <c r="B4939" s="1">
        <v>214348201</v>
      </c>
      <c r="C4939" t="s">
        <v>3756</v>
      </c>
      <c r="D4939" s="23">
        <v>-61.65</v>
      </c>
      <c r="E4939" s="76" t="s">
        <v>35</v>
      </c>
      <c r="F4939" s="2">
        <v>212901001</v>
      </c>
      <c r="G4939" s="2" t="s">
        <v>91</v>
      </c>
      <c r="I4939" s="95" t="s">
        <v>7231</v>
      </c>
      <c r="J4939" t="s">
        <v>61</v>
      </c>
      <c r="K4939" t="s">
        <v>62</v>
      </c>
      <c r="M4939">
        <v>100.34</v>
      </c>
      <c r="N4939" s="4">
        <f t="shared" si="76"/>
        <v>-0.61441100259118997</v>
      </c>
      <c r="O4939" t="s">
        <v>83</v>
      </c>
      <c r="R4939">
        <v>13</v>
      </c>
      <c r="S4939" t="e">
        <f>VLOOKUP(R4939,[1]!NOMINA[#Data],4,FALSE)</f>
        <v>#REF!</v>
      </c>
      <c r="T4939" t="e">
        <f>VLOOKUP(R4939,[1]!NOMINA[#Data],5,FALSE)</f>
        <v>#REF!</v>
      </c>
    </row>
    <row r="4940" spans="1:20" x14ac:dyDescent="0.25">
      <c r="A4940" s="22">
        <v>45820</v>
      </c>
      <c r="B4940" s="1">
        <v>314348202</v>
      </c>
      <c r="C4940" t="s">
        <v>3757</v>
      </c>
      <c r="D4940" s="23">
        <v>-61.65</v>
      </c>
      <c r="E4940" s="76" t="s">
        <v>35</v>
      </c>
      <c r="F4940" s="2">
        <v>212901001</v>
      </c>
      <c r="G4940" s="2" t="s">
        <v>91</v>
      </c>
      <c r="I4940" s="95" t="s">
        <v>7231</v>
      </c>
      <c r="J4940" t="s">
        <v>61</v>
      </c>
      <c r="K4940" t="s">
        <v>62</v>
      </c>
      <c r="M4940">
        <v>100.34</v>
      </c>
      <c r="N4940" s="4">
        <f t="shared" ref="N4940:N5003" si="77">D4940/M4940</f>
        <v>-0.61441100259118997</v>
      </c>
      <c r="O4940" t="s">
        <v>83</v>
      </c>
      <c r="R4940">
        <v>11</v>
      </c>
      <c r="S4940" t="e">
        <f>VLOOKUP(R4940,[1]!NOMINA[#Data],4,FALSE)</f>
        <v>#REF!</v>
      </c>
      <c r="T4940" t="e">
        <f>VLOOKUP(R4940,[1]!NOMINA[#Data],5,FALSE)</f>
        <v>#REF!</v>
      </c>
    </row>
    <row r="4941" spans="1:20" x14ac:dyDescent="0.25">
      <c r="A4941" s="22">
        <v>45820</v>
      </c>
      <c r="B4941" s="1">
        <v>214348200</v>
      </c>
      <c r="C4941" t="s">
        <v>3758</v>
      </c>
      <c r="D4941" s="23">
        <v>-61.65</v>
      </c>
      <c r="E4941" s="76" t="s">
        <v>35</v>
      </c>
      <c r="F4941" s="2">
        <v>212901001</v>
      </c>
      <c r="G4941" s="2" t="s">
        <v>91</v>
      </c>
      <c r="I4941" s="95" t="s">
        <v>7231</v>
      </c>
      <c r="J4941" t="s">
        <v>61</v>
      </c>
      <c r="K4941" t="s">
        <v>62</v>
      </c>
      <c r="M4941">
        <v>100.34</v>
      </c>
      <c r="N4941" s="4">
        <f t="shared" si="77"/>
        <v>-0.61441100259118997</v>
      </c>
      <c r="O4941" t="s">
        <v>83</v>
      </c>
      <c r="R4941">
        <v>23</v>
      </c>
      <c r="S4941" t="e">
        <f>VLOOKUP(R4941,[1]!NOMINA[#Data],4,FALSE)</f>
        <v>#REF!</v>
      </c>
      <c r="T4941" t="e">
        <f>VLOOKUP(R4941,[1]!NOMINA[#Data],5,FALSE)</f>
        <v>#REF!</v>
      </c>
    </row>
    <row r="4942" spans="1:20" x14ac:dyDescent="0.25">
      <c r="A4942" s="22">
        <v>45820</v>
      </c>
      <c r="B4942" s="1">
        <v>314348206</v>
      </c>
      <c r="C4942" t="s">
        <v>3759</v>
      </c>
      <c r="D4942" s="23">
        <v>-61.65</v>
      </c>
      <c r="E4942" s="76" t="s">
        <v>35</v>
      </c>
      <c r="F4942" s="2">
        <v>212901001</v>
      </c>
      <c r="G4942" s="2" t="s">
        <v>91</v>
      </c>
      <c r="I4942" s="95" t="s">
        <v>7231</v>
      </c>
      <c r="J4942" t="s">
        <v>61</v>
      </c>
      <c r="K4942" t="s">
        <v>62</v>
      </c>
      <c r="M4942">
        <v>100.34</v>
      </c>
      <c r="N4942" s="4">
        <f t="shared" si="77"/>
        <v>-0.61441100259118997</v>
      </c>
      <c r="O4942" t="s">
        <v>83</v>
      </c>
      <c r="R4942">
        <v>43</v>
      </c>
      <c r="S4942" t="e">
        <f>VLOOKUP(R4942,[1]!NOMINA[#Data],4,FALSE)</f>
        <v>#REF!</v>
      </c>
      <c r="T4942" t="e">
        <f>VLOOKUP(R4942,[1]!NOMINA[#Data],5,FALSE)</f>
        <v>#REF!</v>
      </c>
    </row>
    <row r="4943" spans="1:20" x14ac:dyDescent="0.25">
      <c r="A4943" s="22">
        <v>45820</v>
      </c>
      <c r="B4943" s="1">
        <v>314348208</v>
      </c>
      <c r="C4943" t="s">
        <v>3760</v>
      </c>
      <c r="D4943" s="23">
        <v>-44.49</v>
      </c>
      <c r="E4943" s="76" t="s">
        <v>35</v>
      </c>
      <c r="F4943" s="2">
        <v>212901001</v>
      </c>
      <c r="G4943" s="2" t="s">
        <v>91</v>
      </c>
      <c r="I4943" s="95" t="s">
        <v>7231</v>
      </c>
      <c r="J4943" t="s">
        <v>61</v>
      </c>
      <c r="K4943" t="s">
        <v>62</v>
      </c>
      <c r="M4943">
        <v>100.34</v>
      </c>
      <c r="N4943" s="4">
        <f t="shared" si="77"/>
        <v>-0.44339246561690254</v>
      </c>
      <c r="O4943" t="s">
        <v>83</v>
      </c>
      <c r="R4943">
        <v>42</v>
      </c>
      <c r="S4943" t="e">
        <f>VLOOKUP(R4943,[1]!NOMINA[#Data],4,FALSE)</f>
        <v>#REF!</v>
      </c>
      <c r="T4943" t="e">
        <f>VLOOKUP(R4943,[1]!NOMINA[#Data],5,FALSE)</f>
        <v>#REF!</v>
      </c>
    </row>
    <row r="4944" spans="1:20" x14ac:dyDescent="0.25">
      <c r="A4944" s="22">
        <v>45820</v>
      </c>
      <c r="B4944" s="1">
        <v>314348204</v>
      </c>
      <c r="C4944" t="s">
        <v>3761</v>
      </c>
      <c r="D4944" s="23">
        <v>-61.65</v>
      </c>
      <c r="E4944" s="76" t="s">
        <v>35</v>
      </c>
      <c r="F4944" s="2">
        <v>212901001</v>
      </c>
      <c r="G4944" s="2" t="s">
        <v>91</v>
      </c>
      <c r="I4944" s="95" t="s">
        <v>7231</v>
      </c>
      <c r="J4944" t="s">
        <v>61</v>
      </c>
      <c r="K4944" t="s">
        <v>62</v>
      </c>
      <c r="M4944">
        <v>100.34</v>
      </c>
      <c r="N4944" s="4">
        <f t="shared" si="77"/>
        <v>-0.61441100259118997</v>
      </c>
      <c r="O4944" t="s">
        <v>83</v>
      </c>
      <c r="R4944">
        <v>17</v>
      </c>
      <c r="S4944" t="e">
        <f>VLOOKUP(R4944,[1]!NOMINA[#Data],4,FALSE)</f>
        <v>#REF!</v>
      </c>
      <c r="T4944" t="e">
        <f>VLOOKUP(R4944,[1]!NOMINA[#Data],5,FALSE)</f>
        <v>#REF!</v>
      </c>
    </row>
    <row r="4945" spans="1:20" x14ac:dyDescent="0.25">
      <c r="A4945" s="22">
        <v>45820</v>
      </c>
      <c r="B4945" s="1">
        <v>314348205</v>
      </c>
      <c r="C4945" t="s">
        <v>3762</v>
      </c>
      <c r="D4945" s="23">
        <v>-61.65</v>
      </c>
      <c r="E4945" s="76" t="s">
        <v>35</v>
      </c>
      <c r="F4945" s="2">
        <v>212901001</v>
      </c>
      <c r="G4945" s="2" t="s">
        <v>91</v>
      </c>
      <c r="I4945" s="95" t="s">
        <v>7231</v>
      </c>
      <c r="J4945" t="s">
        <v>61</v>
      </c>
      <c r="K4945" t="s">
        <v>62</v>
      </c>
      <c r="M4945">
        <v>100.34</v>
      </c>
      <c r="N4945" s="4">
        <f t="shared" si="77"/>
        <v>-0.61441100259118997</v>
      </c>
      <c r="O4945" t="s">
        <v>83</v>
      </c>
      <c r="R4945">
        <v>4</v>
      </c>
      <c r="S4945" t="e">
        <f>VLOOKUP(R4945,[1]!NOMINA[#Data],4,FALSE)</f>
        <v>#REF!</v>
      </c>
      <c r="T4945" t="e">
        <f>VLOOKUP(R4945,[1]!NOMINA[#Data],5,FALSE)</f>
        <v>#REF!</v>
      </c>
    </row>
    <row r="4946" spans="1:20" x14ac:dyDescent="0.25">
      <c r="A4946" s="22">
        <v>45820</v>
      </c>
      <c r="B4946" s="1">
        <v>314348207</v>
      </c>
      <c r="C4946" t="s">
        <v>3763</v>
      </c>
      <c r="D4946" s="23">
        <v>-53.07</v>
      </c>
      <c r="E4946" s="76" t="s">
        <v>35</v>
      </c>
      <c r="F4946" s="2">
        <v>212901001</v>
      </c>
      <c r="G4946" s="2" t="s">
        <v>91</v>
      </c>
      <c r="I4946" s="95" t="s">
        <v>7231</v>
      </c>
      <c r="J4946" t="s">
        <v>61</v>
      </c>
      <c r="K4946" t="s">
        <v>62</v>
      </c>
      <c r="M4946">
        <v>100.34</v>
      </c>
      <c r="N4946" s="4">
        <f t="shared" si="77"/>
        <v>-0.52890173410404617</v>
      </c>
      <c r="O4946" t="s">
        <v>83</v>
      </c>
      <c r="R4946">
        <v>14</v>
      </c>
      <c r="S4946" t="e">
        <f>VLOOKUP(R4946,[1]!NOMINA[#Data],4,FALSE)</f>
        <v>#REF!</v>
      </c>
      <c r="T4946" t="e">
        <f>VLOOKUP(R4946,[1]!NOMINA[#Data],5,FALSE)</f>
        <v>#REF!</v>
      </c>
    </row>
    <row r="4947" spans="1:20" x14ac:dyDescent="0.25">
      <c r="A4947" s="22">
        <v>45820</v>
      </c>
      <c r="B4947" s="1">
        <v>314348210</v>
      </c>
      <c r="C4947" t="s">
        <v>3764</v>
      </c>
      <c r="D4947" s="23">
        <v>-61.65</v>
      </c>
      <c r="E4947" s="76" t="s">
        <v>35</v>
      </c>
      <c r="F4947" s="2">
        <v>212901001</v>
      </c>
      <c r="G4947" s="2" t="s">
        <v>91</v>
      </c>
      <c r="I4947" s="95" t="s">
        <v>7231</v>
      </c>
      <c r="J4947" t="s">
        <v>61</v>
      </c>
      <c r="K4947" t="s">
        <v>62</v>
      </c>
      <c r="M4947">
        <v>100.34</v>
      </c>
      <c r="N4947" s="4">
        <f t="shared" si="77"/>
        <v>-0.61441100259118997</v>
      </c>
      <c r="O4947" t="s">
        <v>83</v>
      </c>
      <c r="R4947">
        <v>22</v>
      </c>
      <c r="S4947" t="e">
        <f>VLOOKUP(R4947,[1]!NOMINA[#Data],4,FALSE)</f>
        <v>#REF!</v>
      </c>
      <c r="T4947" t="e">
        <f>VLOOKUP(R4947,[1]!NOMINA[#Data],5,FALSE)</f>
        <v>#REF!</v>
      </c>
    </row>
    <row r="4948" spans="1:20" x14ac:dyDescent="0.25">
      <c r="A4948" s="22">
        <v>45820</v>
      </c>
      <c r="B4948" s="1">
        <v>314348209</v>
      </c>
      <c r="C4948" t="s">
        <v>3765</v>
      </c>
      <c r="D4948" s="23">
        <v>-61.65</v>
      </c>
      <c r="E4948" s="76" t="s">
        <v>35</v>
      </c>
      <c r="F4948" s="2">
        <v>212901001</v>
      </c>
      <c r="G4948" s="2" t="s">
        <v>91</v>
      </c>
      <c r="I4948" s="95" t="s">
        <v>7231</v>
      </c>
      <c r="J4948" t="s">
        <v>61</v>
      </c>
      <c r="K4948" t="s">
        <v>62</v>
      </c>
      <c r="M4948">
        <v>100.34</v>
      </c>
      <c r="N4948" s="4">
        <f t="shared" si="77"/>
        <v>-0.61441100259118997</v>
      </c>
      <c r="O4948" t="s">
        <v>83</v>
      </c>
      <c r="R4948">
        <v>39</v>
      </c>
      <c r="S4948" t="e">
        <f>VLOOKUP(R4948,[1]!NOMINA[#Data],4,FALSE)</f>
        <v>#REF!</v>
      </c>
      <c r="T4948" t="e">
        <f>VLOOKUP(R4948,[1]!NOMINA[#Data],5,FALSE)</f>
        <v>#REF!</v>
      </c>
    </row>
    <row r="4949" spans="1:20" x14ac:dyDescent="0.25">
      <c r="A4949" s="22">
        <v>45820</v>
      </c>
      <c r="B4949" s="1">
        <v>414348212</v>
      </c>
      <c r="C4949" t="s">
        <v>3766</v>
      </c>
      <c r="D4949" s="23">
        <v>-61.65</v>
      </c>
      <c r="E4949" s="76" t="s">
        <v>35</v>
      </c>
      <c r="F4949" s="2">
        <v>212901001</v>
      </c>
      <c r="G4949" s="2" t="s">
        <v>91</v>
      </c>
      <c r="I4949" s="95" t="s">
        <v>7231</v>
      </c>
      <c r="J4949" t="s">
        <v>61</v>
      </c>
      <c r="K4949" t="s">
        <v>62</v>
      </c>
      <c r="M4949">
        <v>100.34</v>
      </c>
      <c r="N4949" s="4">
        <f t="shared" si="77"/>
        <v>-0.61441100259118997</v>
      </c>
      <c r="O4949" t="s">
        <v>83</v>
      </c>
      <c r="R4949">
        <v>21</v>
      </c>
      <c r="S4949" t="e">
        <f>VLOOKUP(R4949,[1]!NOMINA[#Data],4,FALSE)</f>
        <v>#REF!</v>
      </c>
      <c r="T4949" t="e">
        <f>VLOOKUP(R4949,[1]!NOMINA[#Data],5,FALSE)</f>
        <v>#REF!</v>
      </c>
    </row>
    <row r="4950" spans="1:20" x14ac:dyDescent="0.25">
      <c r="A4950" s="22">
        <v>45820</v>
      </c>
      <c r="B4950" s="1">
        <v>314348211</v>
      </c>
      <c r="C4950" t="s">
        <v>3767</v>
      </c>
      <c r="D4950" s="23">
        <v>-61.65</v>
      </c>
      <c r="E4950" s="76" t="s">
        <v>35</v>
      </c>
      <c r="F4950" s="2">
        <v>212901001</v>
      </c>
      <c r="G4950" s="2" t="s">
        <v>91</v>
      </c>
      <c r="I4950" s="95" t="s">
        <v>7231</v>
      </c>
      <c r="J4950" t="s">
        <v>61</v>
      </c>
      <c r="K4950" t="s">
        <v>62</v>
      </c>
      <c r="M4950">
        <v>100.34</v>
      </c>
      <c r="N4950" s="4">
        <f t="shared" si="77"/>
        <v>-0.61441100259118997</v>
      </c>
      <c r="O4950" t="s">
        <v>83</v>
      </c>
      <c r="R4950">
        <v>25</v>
      </c>
      <c r="S4950" t="e">
        <f>VLOOKUP(R4950,[1]!NOMINA[#Data],4,FALSE)</f>
        <v>#REF!</v>
      </c>
      <c r="T4950" t="e">
        <f>VLOOKUP(R4950,[1]!NOMINA[#Data],5,FALSE)</f>
        <v>#REF!</v>
      </c>
    </row>
    <row r="4951" spans="1:20" x14ac:dyDescent="0.25">
      <c r="A4951" s="22">
        <v>45820</v>
      </c>
      <c r="B4951" s="1">
        <v>414348214</v>
      </c>
      <c r="C4951" t="s">
        <v>3768</v>
      </c>
      <c r="D4951" s="23">
        <v>-57.36</v>
      </c>
      <c r="E4951" s="76" t="s">
        <v>35</v>
      </c>
      <c r="F4951" s="2">
        <v>212901001</v>
      </c>
      <c r="G4951" s="2" t="s">
        <v>91</v>
      </c>
      <c r="I4951" s="95" t="s">
        <v>7231</v>
      </c>
      <c r="J4951" t="s">
        <v>61</v>
      </c>
      <c r="K4951" t="s">
        <v>62</v>
      </c>
      <c r="M4951">
        <v>100.34</v>
      </c>
      <c r="N4951" s="4">
        <f t="shared" si="77"/>
        <v>-0.57165636834761813</v>
      </c>
      <c r="O4951" t="s">
        <v>83</v>
      </c>
      <c r="R4951">
        <v>28</v>
      </c>
      <c r="S4951" t="e">
        <f>VLOOKUP(R4951,[1]!NOMINA[#Data],4,FALSE)</f>
        <v>#REF!</v>
      </c>
      <c r="T4951" t="e">
        <f>VLOOKUP(R4951,[1]!NOMINA[#Data],5,FALSE)</f>
        <v>#REF!</v>
      </c>
    </row>
    <row r="4952" spans="1:20" x14ac:dyDescent="0.25">
      <c r="A4952" s="22">
        <v>45820</v>
      </c>
      <c r="B4952" s="1">
        <v>414348213</v>
      </c>
      <c r="C4952" t="s">
        <v>3769</v>
      </c>
      <c r="D4952" s="23">
        <v>-61.65</v>
      </c>
      <c r="E4952" s="76" t="s">
        <v>35</v>
      </c>
      <c r="F4952" s="2">
        <v>212901001</v>
      </c>
      <c r="G4952" s="2" t="s">
        <v>91</v>
      </c>
      <c r="I4952" s="95" t="s">
        <v>7231</v>
      </c>
      <c r="J4952" t="s">
        <v>61</v>
      </c>
      <c r="K4952" t="s">
        <v>62</v>
      </c>
      <c r="M4952">
        <v>100.34</v>
      </c>
      <c r="N4952" s="4">
        <f t="shared" si="77"/>
        <v>-0.61441100259118997</v>
      </c>
      <c r="O4952" t="s">
        <v>83</v>
      </c>
      <c r="R4952">
        <v>12</v>
      </c>
      <c r="S4952" t="e">
        <f>VLOOKUP(R4952,[1]!NOMINA[#Data],4,FALSE)</f>
        <v>#REF!</v>
      </c>
      <c r="T4952" t="e">
        <f>VLOOKUP(R4952,[1]!NOMINA[#Data],5,FALSE)</f>
        <v>#REF!</v>
      </c>
    </row>
    <row r="4953" spans="1:20" x14ac:dyDescent="0.25">
      <c r="A4953" s="22">
        <v>45820</v>
      </c>
      <c r="B4953" s="1">
        <v>414348219</v>
      </c>
      <c r="C4953" t="s">
        <v>3770</v>
      </c>
      <c r="D4953" s="23">
        <v>-61.65</v>
      </c>
      <c r="E4953" s="76" t="s">
        <v>35</v>
      </c>
      <c r="F4953" s="2">
        <v>212901001</v>
      </c>
      <c r="G4953" s="2" t="s">
        <v>91</v>
      </c>
      <c r="I4953" s="95" t="s">
        <v>7231</v>
      </c>
      <c r="J4953" t="s">
        <v>61</v>
      </c>
      <c r="K4953" t="s">
        <v>62</v>
      </c>
      <c r="M4953">
        <v>100.34</v>
      </c>
      <c r="N4953" s="4">
        <f t="shared" si="77"/>
        <v>-0.61441100259118997</v>
      </c>
      <c r="O4953" t="s">
        <v>83</v>
      </c>
      <c r="R4953">
        <v>2</v>
      </c>
      <c r="S4953" t="e">
        <f>VLOOKUP(Tabla3[[#This Row],[Nº]],[1]!NOMINA[#Data],4,FALSE)</f>
        <v>#REF!</v>
      </c>
      <c r="T4953" t="e">
        <f>VLOOKUP(Tabla3[[#This Row],[Nº]],[1]!NOMINA[#Data],5,FALSE)</f>
        <v>#REF!</v>
      </c>
    </row>
    <row r="4954" spans="1:20" x14ac:dyDescent="0.25">
      <c r="A4954" s="22">
        <v>45820</v>
      </c>
      <c r="B4954" s="1">
        <v>414348217</v>
      </c>
      <c r="C4954" t="s">
        <v>3771</v>
      </c>
      <c r="D4954" s="23">
        <v>-61.65</v>
      </c>
      <c r="E4954" s="76" t="s">
        <v>35</v>
      </c>
      <c r="F4954" s="2">
        <v>212901001</v>
      </c>
      <c r="G4954" s="2" t="s">
        <v>91</v>
      </c>
      <c r="I4954" s="95" t="s">
        <v>7231</v>
      </c>
      <c r="J4954" t="s">
        <v>61</v>
      </c>
      <c r="K4954" t="s">
        <v>62</v>
      </c>
      <c r="M4954">
        <v>100.34</v>
      </c>
      <c r="N4954" s="4">
        <f t="shared" si="77"/>
        <v>-0.61441100259118997</v>
      </c>
      <c r="O4954" t="s">
        <v>83</v>
      </c>
      <c r="R4954">
        <v>24</v>
      </c>
      <c r="S4954" t="e">
        <f>VLOOKUP(R4954,[1]!NOMINA[#Data],4,FALSE)</f>
        <v>#REF!</v>
      </c>
      <c r="T4954" t="e">
        <f>VLOOKUP(R4954,[1]!NOMINA[#Data],5,FALSE)</f>
        <v>#REF!</v>
      </c>
    </row>
    <row r="4955" spans="1:20" x14ac:dyDescent="0.25">
      <c r="A4955" s="22">
        <v>45820</v>
      </c>
      <c r="B4955" s="1">
        <v>414348215</v>
      </c>
      <c r="C4955" t="s">
        <v>3772</v>
      </c>
      <c r="D4955" s="23">
        <v>-53.07</v>
      </c>
      <c r="E4955" s="76" t="s">
        <v>35</v>
      </c>
      <c r="F4955" s="2">
        <v>212901001</v>
      </c>
      <c r="G4955" s="2" t="s">
        <v>91</v>
      </c>
      <c r="I4955" s="95" t="s">
        <v>7231</v>
      </c>
      <c r="J4955" t="s">
        <v>61</v>
      </c>
      <c r="K4955" t="s">
        <v>62</v>
      </c>
      <c r="M4955">
        <v>100.34</v>
      </c>
      <c r="N4955" s="4">
        <f t="shared" si="77"/>
        <v>-0.52890173410404617</v>
      </c>
      <c r="O4955" t="s">
        <v>83</v>
      </c>
      <c r="R4955">
        <v>6</v>
      </c>
      <c r="S4955" t="e">
        <f>VLOOKUP(R4955,[1]!NOMINA[#Data],4,FALSE)</f>
        <v>#REF!</v>
      </c>
      <c r="T4955" t="e">
        <f>VLOOKUP(R4955,[1]!NOMINA[#Data],5,FALSE)</f>
        <v>#REF!</v>
      </c>
    </row>
    <row r="4956" spans="1:20" x14ac:dyDescent="0.25">
      <c r="A4956" s="22">
        <v>45820</v>
      </c>
      <c r="B4956" s="1">
        <v>414348218</v>
      </c>
      <c r="C4956" t="s">
        <v>3773</v>
      </c>
      <c r="D4956" s="23">
        <v>-61.65</v>
      </c>
      <c r="E4956" s="76" t="s">
        <v>35</v>
      </c>
      <c r="F4956" s="2">
        <v>212901001</v>
      </c>
      <c r="G4956" s="2" t="s">
        <v>91</v>
      </c>
      <c r="I4956" s="95" t="s">
        <v>7231</v>
      </c>
      <c r="J4956" t="s">
        <v>61</v>
      </c>
      <c r="K4956" t="s">
        <v>62</v>
      </c>
      <c r="M4956">
        <v>100.34</v>
      </c>
      <c r="N4956" s="4">
        <f t="shared" si="77"/>
        <v>-0.61441100259118997</v>
      </c>
      <c r="O4956" t="s">
        <v>83</v>
      </c>
      <c r="R4956">
        <v>3</v>
      </c>
      <c r="S4956" t="e">
        <f>VLOOKUP(R4956,[1]!NOMINA[#Data],4,FALSE)</f>
        <v>#REF!</v>
      </c>
      <c r="T4956" t="e">
        <f>VLOOKUP(R4956,[1]!NOMINA[#Data],5,FALSE)</f>
        <v>#REF!</v>
      </c>
    </row>
    <row r="4957" spans="1:20" x14ac:dyDescent="0.25">
      <c r="A4957" s="22">
        <v>45820</v>
      </c>
      <c r="B4957" s="1">
        <v>414348216</v>
      </c>
      <c r="C4957" t="s">
        <v>3774</v>
      </c>
      <c r="D4957" s="23">
        <v>-61.65</v>
      </c>
      <c r="E4957" s="76" t="s">
        <v>35</v>
      </c>
      <c r="F4957" s="2">
        <v>212901001</v>
      </c>
      <c r="G4957" s="2" t="s">
        <v>91</v>
      </c>
      <c r="I4957" s="95" t="s">
        <v>7231</v>
      </c>
      <c r="J4957" t="s">
        <v>61</v>
      </c>
      <c r="K4957" t="s">
        <v>62</v>
      </c>
      <c r="M4957">
        <v>100.34</v>
      </c>
      <c r="N4957" s="4">
        <f t="shared" si="77"/>
        <v>-0.61441100259118997</v>
      </c>
      <c r="O4957" t="s">
        <v>83</v>
      </c>
      <c r="R4957">
        <v>27</v>
      </c>
      <c r="S4957" t="e">
        <f>VLOOKUP(R4957,[1]!NOMINA[#Data],4,FALSE)</f>
        <v>#REF!</v>
      </c>
      <c r="T4957" t="e">
        <f>VLOOKUP(R4957,[1]!NOMINA[#Data],5,FALSE)</f>
        <v>#REF!</v>
      </c>
    </row>
    <row r="4958" spans="1:20" x14ac:dyDescent="0.25">
      <c r="A4958" s="22">
        <v>45820</v>
      </c>
      <c r="B4958" s="1">
        <v>514348222</v>
      </c>
      <c r="C4958" t="s">
        <v>3775</v>
      </c>
      <c r="D4958" s="23">
        <v>-61.65</v>
      </c>
      <c r="E4958" s="76" t="s">
        <v>35</v>
      </c>
      <c r="F4958" s="2">
        <v>212901001</v>
      </c>
      <c r="G4958" s="2" t="s">
        <v>91</v>
      </c>
      <c r="I4958" s="95" t="s">
        <v>7231</v>
      </c>
      <c r="J4958" t="s">
        <v>61</v>
      </c>
      <c r="K4958" t="s">
        <v>62</v>
      </c>
      <c r="M4958">
        <v>100.34</v>
      </c>
      <c r="N4958" s="4">
        <f t="shared" si="77"/>
        <v>-0.61441100259118997</v>
      </c>
      <c r="O4958" t="s">
        <v>83</v>
      </c>
      <c r="R4958">
        <v>19</v>
      </c>
      <c r="S4958" t="e">
        <f>VLOOKUP(R4958,[1]!NOMINA[#Data],4,FALSE)</f>
        <v>#REF!</v>
      </c>
      <c r="T4958" t="e">
        <f>VLOOKUP(R4958,[1]!NOMINA[#Data],5,FALSE)</f>
        <v>#REF!</v>
      </c>
    </row>
    <row r="4959" spans="1:20" x14ac:dyDescent="0.25">
      <c r="A4959" s="22">
        <v>45820</v>
      </c>
      <c r="B4959" s="1">
        <v>414348221</v>
      </c>
      <c r="C4959" t="s">
        <v>3776</v>
      </c>
      <c r="D4959" s="23">
        <v>-61.65</v>
      </c>
      <c r="E4959" s="76" t="s">
        <v>35</v>
      </c>
      <c r="F4959" s="2">
        <v>212901001</v>
      </c>
      <c r="G4959" s="2" t="s">
        <v>91</v>
      </c>
      <c r="I4959" s="95" t="s">
        <v>7231</v>
      </c>
      <c r="J4959" t="s">
        <v>61</v>
      </c>
      <c r="K4959" t="s">
        <v>62</v>
      </c>
      <c r="M4959">
        <v>100.34</v>
      </c>
      <c r="N4959" s="4">
        <f t="shared" si="77"/>
        <v>-0.61441100259118997</v>
      </c>
      <c r="O4959" t="s">
        <v>83</v>
      </c>
      <c r="R4959">
        <v>16</v>
      </c>
      <c r="S4959" t="e">
        <f>VLOOKUP(Tabla3[[#This Row],[Nº]],[1]!NOMINA[#Data],4,FALSE)</f>
        <v>#REF!</v>
      </c>
      <c r="T4959" t="e">
        <f>VLOOKUP(Tabla3[[#This Row],[Nº]],[1]!NOMINA[#Data],5,FALSE)</f>
        <v>#REF!</v>
      </c>
    </row>
    <row r="4960" spans="1:20" x14ac:dyDescent="0.25">
      <c r="A4960" s="22">
        <v>45820</v>
      </c>
      <c r="B4960" s="1">
        <v>414348220</v>
      </c>
      <c r="C4960" t="s">
        <v>3777</v>
      </c>
      <c r="D4960" s="23">
        <v>-57.36</v>
      </c>
      <c r="E4960" s="76" t="s">
        <v>35</v>
      </c>
      <c r="F4960" s="2">
        <v>212901001</v>
      </c>
      <c r="G4960" s="2" t="s">
        <v>91</v>
      </c>
      <c r="I4960" s="95" t="s">
        <v>7231</v>
      </c>
      <c r="J4960" t="s">
        <v>61</v>
      </c>
      <c r="K4960" t="s">
        <v>62</v>
      </c>
      <c r="M4960">
        <v>100.34</v>
      </c>
      <c r="N4960" s="4">
        <f t="shared" si="77"/>
        <v>-0.57165636834761813</v>
      </c>
      <c r="O4960" t="s">
        <v>83</v>
      </c>
      <c r="R4960">
        <v>5</v>
      </c>
      <c r="S4960" t="e">
        <f>VLOOKUP(R4960,[1]!NOMINA[#Data],4,FALSE)</f>
        <v>#REF!</v>
      </c>
      <c r="T4960" t="e">
        <f>VLOOKUP(R4960,[1]!NOMINA[#Data],5,FALSE)</f>
        <v>#REF!</v>
      </c>
    </row>
    <row r="4961" spans="1:20" x14ac:dyDescent="0.25">
      <c r="A4961" s="22">
        <v>45820</v>
      </c>
      <c r="B4961" s="1">
        <v>514348223</v>
      </c>
      <c r="C4961" t="s">
        <v>3778</v>
      </c>
      <c r="D4961" s="23">
        <v>-61.65</v>
      </c>
      <c r="E4961" s="76" t="s">
        <v>35</v>
      </c>
      <c r="F4961" s="2">
        <v>212901001</v>
      </c>
      <c r="G4961" s="2" t="s">
        <v>91</v>
      </c>
      <c r="I4961" s="95" t="s">
        <v>7231</v>
      </c>
      <c r="J4961" t="s">
        <v>61</v>
      </c>
      <c r="K4961" t="s">
        <v>62</v>
      </c>
      <c r="M4961">
        <v>100.34</v>
      </c>
      <c r="N4961" s="4">
        <f t="shared" si="77"/>
        <v>-0.61441100259118997</v>
      </c>
      <c r="O4961" t="s">
        <v>83</v>
      </c>
      <c r="R4961">
        <v>7</v>
      </c>
      <c r="S4961" t="e">
        <f>VLOOKUP(R4961,[1]!NOMINA[#Data],4,FALSE)</f>
        <v>#REF!</v>
      </c>
      <c r="T4961" t="e">
        <f>VLOOKUP(R4961,[1]!NOMINA[#Data],5,FALSE)</f>
        <v>#REF!</v>
      </c>
    </row>
    <row r="4962" spans="1:20" x14ac:dyDescent="0.25">
      <c r="A4962" s="22">
        <v>45820</v>
      </c>
      <c r="B4962" s="1">
        <v>514348224</v>
      </c>
      <c r="C4962" t="s">
        <v>3779</v>
      </c>
      <c r="D4962" s="23">
        <v>-61.65</v>
      </c>
      <c r="E4962" s="76" t="s">
        <v>35</v>
      </c>
      <c r="F4962" s="2">
        <v>212901001</v>
      </c>
      <c r="G4962" s="2" t="s">
        <v>91</v>
      </c>
      <c r="I4962" s="95" t="s">
        <v>7231</v>
      </c>
      <c r="J4962" t="s">
        <v>61</v>
      </c>
      <c r="K4962" t="s">
        <v>62</v>
      </c>
      <c r="M4962">
        <v>100.34</v>
      </c>
      <c r="N4962" s="4">
        <f t="shared" si="77"/>
        <v>-0.61441100259118997</v>
      </c>
      <c r="O4962" t="s">
        <v>83</v>
      </c>
      <c r="R4962">
        <v>1</v>
      </c>
      <c r="S4962" t="e">
        <f>VLOOKUP(R4962,[1]!NOMINA[#Data],4,FALSE)</f>
        <v>#REF!</v>
      </c>
      <c r="T4962" t="e">
        <f>VLOOKUP(R4962,[1]!NOMINA[#Data],5,FALSE)</f>
        <v>#REF!</v>
      </c>
    </row>
    <row r="4963" spans="1:20" x14ac:dyDescent="0.25">
      <c r="A4963" s="22">
        <v>45820</v>
      </c>
      <c r="B4963" s="1">
        <v>514348225</v>
      </c>
      <c r="C4963" t="s">
        <v>3780</v>
      </c>
      <c r="D4963" s="23">
        <v>-4881.3100000000004</v>
      </c>
      <c r="E4963" s="76" t="s">
        <v>35</v>
      </c>
      <c r="F4963" s="2">
        <v>212901001</v>
      </c>
      <c r="G4963" s="2" t="s">
        <v>91</v>
      </c>
      <c r="I4963" s="95" t="s">
        <v>7231</v>
      </c>
      <c r="J4963" t="s">
        <v>61</v>
      </c>
      <c r="K4963" t="s">
        <v>62</v>
      </c>
      <c r="M4963">
        <v>100.34</v>
      </c>
      <c r="N4963" s="4">
        <f t="shared" si="77"/>
        <v>-48.647697827386885</v>
      </c>
      <c r="O4963" t="s">
        <v>83</v>
      </c>
      <c r="R4963">
        <v>9</v>
      </c>
      <c r="S4963" t="e">
        <f>VLOOKUP(R4963,[1]!NOMINA[#Data],4,FALSE)</f>
        <v>#REF!</v>
      </c>
      <c r="T4963" t="e">
        <f>VLOOKUP(R4963,[1]!NOMINA[#Data],5,FALSE)</f>
        <v>#REF!</v>
      </c>
    </row>
    <row r="4964" spans="1:20" x14ac:dyDescent="0.25">
      <c r="A4964" s="22">
        <v>45820</v>
      </c>
      <c r="B4964" s="1">
        <v>514348227</v>
      </c>
      <c r="C4964" t="s">
        <v>3781</v>
      </c>
      <c r="D4964" s="23">
        <v>-3938.15</v>
      </c>
      <c r="E4964" s="76" t="s">
        <v>35</v>
      </c>
      <c r="F4964" s="2">
        <v>212901001</v>
      </c>
      <c r="G4964" s="2" t="s">
        <v>91</v>
      </c>
      <c r="I4964" s="95" t="s">
        <v>7231</v>
      </c>
      <c r="J4964" t="s">
        <v>61</v>
      </c>
      <c r="K4964" t="s">
        <v>62</v>
      </c>
      <c r="M4964">
        <v>100.34</v>
      </c>
      <c r="N4964" s="4">
        <f t="shared" si="77"/>
        <v>-39.24805660753438</v>
      </c>
      <c r="O4964" t="s">
        <v>83</v>
      </c>
      <c r="R4964">
        <v>29</v>
      </c>
      <c r="S4964" t="e">
        <f>VLOOKUP(R4964,[1]!NOMINA[#Data],4,FALSE)</f>
        <v>#REF!</v>
      </c>
      <c r="T4964" t="e">
        <f>VLOOKUP(R4964,[1]!NOMINA[#Data],5,FALSE)</f>
        <v>#REF!</v>
      </c>
    </row>
    <row r="4965" spans="1:20" x14ac:dyDescent="0.25">
      <c r="A4965" s="22">
        <v>45820</v>
      </c>
      <c r="B4965" s="1">
        <v>514348226</v>
      </c>
      <c r="C4965" t="s">
        <v>3782</v>
      </c>
      <c r="D4965" s="23">
        <v>-2740.75</v>
      </c>
      <c r="E4965" s="76" t="s">
        <v>35</v>
      </c>
      <c r="F4965" s="2">
        <v>212901001</v>
      </c>
      <c r="G4965" s="2" t="s">
        <v>91</v>
      </c>
      <c r="I4965" s="95" t="s">
        <v>7231</v>
      </c>
      <c r="J4965" t="s">
        <v>61</v>
      </c>
      <c r="K4965" t="s">
        <v>62</v>
      </c>
      <c r="M4965">
        <v>100.34</v>
      </c>
      <c r="N4965" s="4">
        <f t="shared" si="77"/>
        <v>-27.314630257125771</v>
      </c>
      <c r="O4965" t="s">
        <v>83</v>
      </c>
      <c r="R4965">
        <v>26</v>
      </c>
      <c r="S4965" t="e">
        <f>VLOOKUP(Tabla3[[#This Row],[Nº]],[1]!NOMINA[#Data],4,FALSE)</f>
        <v>#REF!</v>
      </c>
      <c r="T4965" t="e">
        <f>VLOOKUP(Tabla3[[#This Row],[Nº]],[1]!NOMINA[#Data],5,FALSE)</f>
        <v>#REF!</v>
      </c>
    </row>
    <row r="4966" spans="1:20" x14ac:dyDescent="0.25">
      <c r="A4966" s="22">
        <v>45820</v>
      </c>
      <c r="B4966" s="1">
        <v>514348228</v>
      </c>
      <c r="C4966" t="s">
        <v>3783</v>
      </c>
      <c r="D4966" s="23">
        <v>-6043.81</v>
      </c>
      <c r="E4966" s="76" t="s">
        <v>35</v>
      </c>
      <c r="F4966" s="2">
        <v>212901001</v>
      </c>
      <c r="G4966" s="2" t="s">
        <v>91</v>
      </c>
      <c r="I4966" s="95" t="s">
        <v>7231</v>
      </c>
      <c r="J4966" t="s">
        <v>61</v>
      </c>
      <c r="K4966" t="s">
        <v>62</v>
      </c>
      <c r="M4966">
        <v>100.34</v>
      </c>
      <c r="N4966" s="4">
        <f t="shared" si="77"/>
        <v>-60.233306757026114</v>
      </c>
      <c r="O4966" t="s">
        <v>83</v>
      </c>
      <c r="R4966">
        <v>10</v>
      </c>
      <c r="S4966" t="e">
        <f>VLOOKUP(R4966,[1]!NOMINA[#Data],4,FALSE)</f>
        <v>#REF!</v>
      </c>
      <c r="T4966" t="e">
        <f>VLOOKUP(R4966,[1]!NOMINA[#Data],5,FALSE)</f>
        <v>#REF!</v>
      </c>
    </row>
    <row r="4967" spans="1:20" x14ac:dyDescent="0.25">
      <c r="A4967" s="22">
        <v>45820</v>
      </c>
      <c r="B4967" s="1">
        <v>514348229</v>
      </c>
      <c r="C4967" t="s">
        <v>3784</v>
      </c>
      <c r="D4967" s="23">
        <v>-5035.8500000000004</v>
      </c>
      <c r="E4967" s="76" t="s">
        <v>35</v>
      </c>
      <c r="F4967" s="2">
        <v>212901001</v>
      </c>
      <c r="G4967" s="2" t="s">
        <v>91</v>
      </c>
      <c r="I4967" s="95" t="s">
        <v>7231</v>
      </c>
      <c r="J4967" t="s">
        <v>61</v>
      </c>
      <c r="K4967" t="s">
        <v>62</v>
      </c>
      <c r="M4967">
        <v>100.34</v>
      </c>
      <c r="N4967" s="4">
        <f t="shared" si="77"/>
        <v>-50.187861271676304</v>
      </c>
      <c r="O4967" t="s">
        <v>83</v>
      </c>
      <c r="R4967">
        <v>18</v>
      </c>
      <c r="S4967" t="e">
        <f>VLOOKUP(Tabla3[[#This Row],[Nº]],[1]!NOMINA[#Data],4,FALSE)</f>
        <v>#REF!</v>
      </c>
      <c r="T4967" t="e">
        <f>VLOOKUP(Tabla3[[#This Row],[Nº]],[1]!NOMINA[#Data],5,FALSE)</f>
        <v>#REF!</v>
      </c>
    </row>
    <row r="4968" spans="1:20" x14ac:dyDescent="0.25">
      <c r="A4968" s="22">
        <v>45820</v>
      </c>
      <c r="B4968" s="1">
        <v>514348230</v>
      </c>
      <c r="C4968" t="s">
        <v>3785</v>
      </c>
      <c r="D4968" s="23">
        <v>-4582.21</v>
      </c>
      <c r="E4968" s="76" t="s">
        <v>35</v>
      </c>
      <c r="F4968" s="2">
        <v>212901001</v>
      </c>
      <c r="G4968" s="2" t="s">
        <v>91</v>
      </c>
      <c r="I4968" s="95" t="s">
        <v>7231</v>
      </c>
      <c r="J4968" t="s">
        <v>61</v>
      </c>
      <c r="K4968" t="s">
        <v>62</v>
      </c>
      <c r="M4968">
        <v>100.34</v>
      </c>
      <c r="N4968" s="4">
        <f t="shared" si="77"/>
        <v>-45.666832768586801</v>
      </c>
      <c r="O4968" t="s">
        <v>83</v>
      </c>
      <c r="R4968">
        <v>15</v>
      </c>
      <c r="S4968" t="e">
        <f>VLOOKUP(R4968,[1]!NOMINA[#Data],4,FALSE)</f>
        <v>#REF!</v>
      </c>
      <c r="T4968" t="e">
        <f>VLOOKUP(R4968,[1]!NOMINA[#Data],5,FALSE)</f>
        <v>#REF!</v>
      </c>
    </row>
    <row r="4969" spans="1:20" x14ac:dyDescent="0.25">
      <c r="A4969" s="22">
        <v>45820</v>
      </c>
      <c r="B4969" s="1">
        <v>614348233</v>
      </c>
      <c r="C4969" t="s">
        <v>3786</v>
      </c>
      <c r="D4969" s="23">
        <v>-6245.21</v>
      </c>
      <c r="E4969" s="76" t="s">
        <v>35</v>
      </c>
      <c r="F4969" s="2">
        <v>212901001</v>
      </c>
      <c r="G4969" s="2" t="s">
        <v>91</v>
      </c>
      <c r="I4969" s="95" t="s">
        <v>7231</v>
      </c>
      <c r="J4969" t="s">
        <v>61</v>
      </c>
      <c r="K4969" t="s">
        <v>62</v>
      </c>
      <c r="M4969">
        <v>100.34</v>
      </c>
      <c r="N4969" s="4">
        <f t="shared" si="77"/>
        <v>-62.240482359976077</v>
      </c>
      <c r="O4969" t="s">
        <v>83</v>
      </c>
      <c r="R4969">
        <v>8</v>
      </c>
      <c r="S4969" t="e">
        <f>VLOOKUP(R4969,[1]!NOMINA[#Data],4,FALSE)</f>
        <v>#REF!</v>
      </c>
      <c r="T4969" t="e">
        <f>VLOOKUP(R4969,[1]!NOMINA[#Data],5,FALSE)</f>
        <v>#REF!</v>
      </c>
    </row>
    <row r="4970" spans="1:20" x14ac:dyDescent="0.25">
      <c r="A4970" s="22">
        <v>45820</v>
      </c>
      <c r="B4970" s="1">
        <v>614348234</v>
      </c>
      <c r="C4970" t="s">
        <v>3787</v>
      </c>
      <c r="D4970" s="23">
        <v>-6277.11</v>
      </c>
      <c r="E4970" s="76" t="s">
        <v>35</v>
      </c>
      <c r="F4970" s="2">
        <v>212901001</v>
      </c>
      <c r="G4970" s="2" t="s">
        <v>91</v>
      </c>
      <c r="I4970" s="95" t="s">
        <v>7231</v>
      </c>
      <c r="J4970" t="s">
        <v>61</v>
      </c>
      <c r="K4970" t="s">
        <v>62</v>
      </c>
      <c r="M4970">
        <v>100.34</v>
      </c>
      <c r="N4970" s="4">
        <f t="shared" si="77"/>
        <v>-62.558401435120587</v>
      </c>
      <c r="O4970" t="s">
        <v>83</v>
      </c>
      <c r="R4970">
        <v>11</v>
      </c>
      <c r="S4970" t="e">
        <f>VLOOKUP(R4970,[1]!NOMINA[#Data],4,FALSE)</f>
        <v>#REF!</v>
      </c>
      <c r="T4970" t="e">
        <f>VLOOKUP(R4970,[1]!NOMINA[#Data],5,FALSE)</f>
        <v>#REF!</v>
      </c>
    </row>
    <row r="4971" spans="1:20" x14ac:dyDescent="0.25">
      <c r="A4971" s="22">
        <v>45820</v>
      </c>
      <c r="B4971" s="1">
        <v>614348231</v>
      </c>
      <c r="C4971" t="s">
        <v>3788</v>
      </c>
      <c r="D4971" s="23">
        <v>-4136.5600000000004</v>
      </c>
      <c r="E4971" s="76" t="s">
        <v>35</v>
      </c>
      <c r="F4971" s="2">
        <v>212901001</v>
      </c>
      <c r="G4971" s="2" t="s">
        <v>91</v>
      </c>
      <c r="I4971" s="95" t="s">
        <v>7231</v>
      </c>
      <c r="J4971" t="s">
        <v>61</v>
      </c>
      <c r="K4971" t="s">
        <v>62</v>
      </c>
      <c r="M4971">
        <v>100.34</v>
      </c>
      <c r="N4971" s="4">
        <f t="shared" si="77"/>
        <v>-41.225433526011564</v>
      </c>
      <c r="O4971" t="s">
        <v>83</v>
      </c>
      <c r="R4971">
        <v>20</v>
      </c>
      <c r="S4971" t="e">
        <f>VLOOKUP(Tabla3[[#This Row],[Nº]],[1]!NOMINA[#Data],4,FALSE)</f>
        <v>#REF!</v>
      </c>
      <c r="T4971" t="e">
        <f>VLOOKUP(Tabla3[[#This Row],[Nº]],[1]!NOMINA[#Data],5,FALSE)</f>
        <v>#REF!</v>
      </c>
    </row>
    <row r="4972" spans="1:20" x14ac:dyDescent="0.25">
      <c r="A4972" s="22">
        <v>45820</v>
      </c>
      <c r="B4972" s="1">
        <v>614348235</v>
      </c>
      <c r="C4972" t="s">
        <v>3789</v>
      </c>
      <c r="D4972" s="23">
        <v>-1577.26</v>
      </c>
      <c r="E4972" s="76" t="s">
        <v>35</v>
      </c>
      <c r="F4972" s="2">
        <v>212901001</v>
      </c>
      <c r="G4972" s="2" t="s">
        <v>91</v>
      </c>
      <c r="I4972" s="95" t="s">
        <v>7231</v>
      </c>
      <c r="J4972" t="s">
        <v>61</v>
      </c>
      <c r="K4972" t="s">
        <v>62</v>
      </c>
      <c r="M4972">
        <v>100.34</v>
      </c>
      <c r="N4972" s="4">
        <f t="shared" si="77"/>
        <v>-15.719154873430336</v>
      </c>
      <c r="O4972" t="s">
        <v>83</v>
      </c>
      <c r="R4972">
        <v>23</v>
      </c>
      <c r="S4972" t="e">
        <f>VLOOKUP(R4972,[1]!NOMINA[#Data],4,FALSE)</f>
        <v>#REF!</v>
      </c>
      <c r="T4972" t="e">
        <f>VLOOKUP(R4972,[1]!NOMINA[#Data],5,FALSE)</f>
        <v>#REF!</v>
      </c>
    </row>
    <row r="4973" spans="1:20" x14ac:dyDescent="0.25">
      <c r="A4973" s="22">
        <v>45820</v>
      </c>
      <c r="B4973" s="1">
        <v>614348232</v>
      </c>
      <c r="C4973" t="s">
        <v>3790</v>
      </c>
      <c r="D4973" s="23">
        <v>-4791.58</v>
      </c>
      <c r="E4973" s="76" t="s">
        <v>35</v>
      </c>
      <c r="F4973" s="2">
        <v>212901001</v>
      </c>
      <c r="G4973" s="2" t="s">
        <v>91</v>
      </c>
      <c r="I4973" s="95" t="s">
        <v>7231</v>
      </c>
      <c r="J4973" t="s">
        <v>61</v>
      </c>
      <c r="K4973" t="s">
        <v>62</v>
      </c>
      <c r="M4973">
        <v>100.34</v>
      </c>
      <c r="N4973" s="4">
        <f t="shared" si="77"/>
        <v>-47.753438309746855</v>
      </c>
      <c r="O4973" t="s">
        <v>83</v>
      </c>
      <c r="R4973">
        <v>13</v>
      </c>
      <c r="S4973" t="e">
        <f>VLOOKUP(R4973,[1]!NOMINA[#Data],4,FALSE)</f>
        <v>#REF!</v>
      </c>
      <c r="T4973" t="e">
        <f>VLOOKUP(R4973,[1]!NOMINA[#Data],5,FALSE)</f>
        <v>#REF!</v>
      </c>
    </row>
    <row r="4974" spans="1:20" x14ac:dyDescent="0.25">
      <c r="A4974" s="22">
        <v>45820</v>
      </c>
      <c r="B4974" s="1">
        <v>614348236</v>
      </c>
      <c r="C4974" t="s">
        <v>3791</v>
      </c>
      <c r="D4974" s="23">
        <v>-17839.32</v>
      </c>
      <c r="E4974" s="76" t="s">
        <v>35</v>
      </c>
      <c r="F4974" s="2">
        <v>212901001</v>
      </c>
      <c r="G4974" s="2" t="s">
        <v>91</v>
      </c>
      <c r="I4974" s="95" t="s">
        <v>7231</v>
      </c>
      <c r="J4974" t="s">
        <v>61</v>
      </c>
      <c r="K4974" t="s">
        <v>62</v>
      </c>
      <c r="M4974">
        <v>100.34</v>
      </c>
      <c r="N4974" s="4">
        <f t="shared" si="77"/>
        <v>-177.7887183575842</v>
      </c>
      <c r="O4974" t="s">
        <v>83</v>
      </c>
      <c r="R4974">
        <v>43</v>
      </c>
      <c r="S4974" t="e">
        <f>VLOOKUP(R4974,[1]!NOMINA[#Data],4,FALSE)</f>
        <v>#REF!</v>
      </c>
      <c r="T4974" t="e">
        <f>VLOOKUP(R4974,[1]!NOMINA[#Data],5,FALSE)</f>
        <v>#REF!</v>
      </c>
    </row>
    <row r="4975" spans="1:20" x14ac:dyDescent="0.25">
      <c r="A4975" s="22">
        <v>45820</v>
      </c>
      <c r="B4975" s="1">
        <v>614348237</v>
      </c>
      <c r="C4975" t="s">
        <v>3792</v>
      </c>
      <c r="D4975" s="23">
        <v>-4895.2700000000004</v>
      </c>
      <c r="E4975" s="76" t="s">
        <v>35</v>
      </c>
      <c r="F4975" s="2">
        <v>212901001</v>
      </c>
      <c r="G4975" s="2" t="s">
        <v>91</v>
      </c>
      <c r="I4975" s="95" t="s">
        <v>7231</v>
      </c>
      <c r="J4975" t="s">
        <v>61</v>
      </c>
      <c r="K4975" t="s">
        <v>62</v>
      </c>
      <c r="M4975">
        <v>100.34</v>
      </c>
      <c r="N4975" s="4">
        <f t="shared" si="77"/>
        <v>-48.786824795694642</v>
      </c>
      <c r="O4975" t="s">
        <v>83</v>
      </c>
      <c r="R4975">
        <v>17</v>
      </c>
      <c r="S4975" t="e">
        <f>VLOOKUP(R4975,[1]!NOMINA[#Data],4,FALSE)</f>
        <v>#REF!</v>
      </c>
      <c r="T4975" t="e">
        <f>VLOOKUP(R4975,[1]!NOMINA[#Data],5,FALSE)</f>
        <v>#REF!</v>
      </c>
    </row>
    <row r="4976" spans="1:20" x14ac:dyDescent="0.25">
      <c r="A4976" s="22">
        <v>45820</v>
      </c>
      <c r="B4976" s="1">
        <v>614348238</v>
      </c>
      <c r="C4976" t="s">
        <v>3793</v>
      </c>
      <c r="D4976" s="23">
        <v>-10902.2</v>
      </c>
      <c r="E4976" s="76" t="s">
        <v>35</v>
      </c>
      <c r="F4976" s="2">
        <v>212901001</v>
      </c>
      <c r="G4976" s="2" t="s">
        <v>91</v>
      </c>
      <c r="I4976" s="95" t="s">
        <v>7231</v>
      </c>
      <c r="J4976" t="s">
        <v>61</v>
      </c>
      <c r="K4976" t="s">
        <v>62</v>
      </c>
      <c r="M4976">
        <v>100.34</v>
      </c>
      <c r="N4976" s="4">
        <f t="shared" si="77"/>
        <v>-108.65258122383895</v>
      </c>
      <c r="O4976" t="s">
        <v>83</v>
      </c>
      <c r="R4976">
        <v>4</v>
      </c>
      <c r="S4976" t="e">
        <f>VLOOKUP(R4976,[1]!NOMINA[#Data],4,FALSE)</f>
        <v>#REF!</v>
      </c>
      <c r="T4976" t="e">
        <f>VLOOKUP(R4976,[1]!NOMINA[#Data],5,FALSE)</f>
        <v>#REF!</v>
      </c>
    </row>
    <row r="4977" spans="1:20" x14ac:dyDescent="0.25">
      <c r="A4977" s="22">
        <v>45820</v>
      </c>
      <c r="B4977" s="1">
        <v>714348242</v>
      </c>
      <c r="C4977" t="s">
        <v>3794</v>
      </c>
      <c r="D4977" s="23">
        <v>-2220.3200000000002</v>
      </c>
      <c r="E4977" s="76" t="s">
        <v>35</v>
      </c>
      <c r="F4977" s="2">
        <v>212901001</v>
      </c>
      <c r="G4977" s="2" t="s">
        <v>91</v>
      </c>
      <c r="I4977" s="95" t="s">
        <v>7231</v>
      </c>
      <c r="J4977" t="s">
        <v>61</v>
      </c>
      <c r="K4977" t="s">
        <v>62</v>
      </c>
      <c r="M4977">
        <v>100.34</v>
      </c>
      <c r="N4977" s="4">
        <f t="shared" si="77"/>
        <v>-22.127964919274469</v>
      </c>
      <c r="O4977" t="s">
        <v>83</v>
      </c>
      <c r="R4977">
        <v>42</v>
      </c>
      <c r="S4977" t="e">
        <f>VLOOKUP(R4977,[1]!NOMINA[#Data],4,FALSE)</f>
        <v>#REF!</v>
      </c>
      <c r="T4977" t="e">
        <f>VLOOKUP(R4977,[1]!NOMINA[#Data],5,FALSE)</f>
        <v>#REF!</v>
      </c>
    </row>
    <row r="4978" spans="1:20" x14ac:dyDescent="0.25">
      <c r="A4978" s="22">
        <v>45820</v>
      </c>
      <c r="B4978" s="1">
        <v>614348241</v>
      </c>
      <c r="C4978" t="s">
        <v>3795</v>
      </c>
      <c r="D4978" s="23">
        <v>-6270.13</v>
      </c>
      <c r="E4978" s="76" t="s">
        <v>35</v>
      </c>
      <c r="F4978" s="2">
        <v>212901001</v>
      </c>
      <c r="G4978" s="2" t="s">
        <v>91</v>
      </c>
      <c r="I4978" s="95" t="s">
        <v>7231</v>
      </c>
      <c r="J4978" t="s">
        <v>61</v>
      </c>
      <c r="K4978" t="s">
        <v>62</v>
      </c>
      <c r="M4978">
        <v>100.34</v>
      </c>
      <c r="N4978" s="4">
        <f t="shared" si="77"/>
        <v>-62.488837950966712</v>
      </c>
      <c r="O4978" t="s">
        <v>83</v>
      </c>
      <c r="R4978">
        <v>14</v>
      </c>
      <c r="S4978" t="e">
        <f>VLOOKUP(R4978,[1]!NOMINA[#Data],4,FALSE)</f>
        <v>#REF!</v>
      </c>
      <c r="T4978" t="e">
        <f>VLOOKUP(R4978,[1]!NOMINA[#Data],5,FALSE)</f>
        <v>#REF!</v>
      </c>
    </row>
    <row r="4979" spans="1:20" x14ac:dyDescent="0.25">
      <c r="A4979" s="22">
        <v>45820</v>
      </c>
      <c r="B4979" s="1">
        <v>614348240</v>
      </c>
      <c r="C4979" t="s">
        <v>3796</v>
      </c>
      <c r="D4979" s="23">
        <v>-3540.35</v>
      </c>
      <c r="E4979" s="76" t="s">
        <v>35</v>
      </c>
      <c r="F4979" s="2">
        <v>212901001</v>
      </c>
      <c r="G4979" s="2" t="s">
        <v>91</v>
      </c>
      <c r="I4979" s="95" t="s">
        <v>7231</v>
      </c>
      <c r="J4979" t="s">
        <v>61</v>
      </c>
      <c r="K4979" t="s">
        <v>62</v>
      </c>
      <c r="M4979">
        <v>100.34</v>
      </c>
      <c r="N4979" s="4">
        <f t="shared" si="77"/>
        <v>-35.283535977675896</v>
      </c>
      <c r="O4979" t="s">
        <v>83</v>
      </c>
      <c r="R4979">
        <v>22</v>
      </c>
      <c r="S4979" t="e">
        <f>VLOOKUP(R4979,[1]!NOMINA[#Data],4,FALSE)</f>
        <v>#REF!</v>
      </c>
      <c r="T4979" t="e">
        <f>VLOOKUP(R4979,[1]!NOMINA[#Data],5,FALSE)</f>
        <v>#REF!</v>
      </c>
    </row>
    <row r="4980" spans="1:20" x14ac:dyDescent="0.25">
      <c r="A4980" s="22">
        <v>45820</v>
      </c>
      <c r="B4980" s="1">
        <v>714348243</v>
      </c>
      <c r="C4980" t="s">
        <v>3797</v>
      </c>
      <c r="D4980" s="23">
        <v>-5580.21</v>
      </c>
      <c r="E4980" s="76" t="s">
        <v>35</v>
      </c>
      <c r="F4980" s="2">
        <v>212901001</v>
      </c>
      <c r="G4980" s="2" t="s">
        <v>91</v>
      </c>
      <c r="I4980" s="95" t="s">
        <v>7231</v>
      </c>
      <c r="J4980" t="s">
        <v>61</v>
      </c>
      <c r="K4980" t="s">
        <v>62</v>
      </c>
      <c r="M4980">
        <v>100.34</v>
      </c>
      <c r="N4980" s="4">
        <f t="shared" si="77"/>
        <v>-55.613015746462025</v>
      </c>
      <c r="O4980" t="s">
        <v>83</v>
      </c>
      <c r="R4980">
        <v>39</v>
      </c>
      <c r="S4980" t="e">
        <f>VLOOKUP(R4980,[1]!NOMINA[#Data],4,FALSE)</f>
        <v>#REF!</v>
      </c>
      <c r="T4980" t="e">
        <f>VLOOKUP(R4980,[1]!NOMINA[#Data],5,FALSE)</f>
        <v>#REF!</v>
      </c>
    </row>
    <row r="4981" spans="1:20" x14ac:dyDescent="0.25">
      <c r="A4981" s="22">
        <v>45820</v>
      </c>
      <c r="B4981" s="1">
        <v>714348246</v>
      </c>
      <c r="C4981" t="s">
        <v>3798</v>
      </c>
      <c r="D4981" s="23">
        <v>-4854.3999999999996</v>
      </c>
      <c r="E4981" s="76" t="s">
        <v>35</v>
      </c>
      <c r="F4981" s="2">
        <v>212901001</v>
      </c>
      <c r="G4981" s="2" t="s">
        <v>91</v>
      </c>
      <c r="I4981" s="95" t="s">
        <v>7231</v>
      </c>
      <c r="J4981" t="s">
        <v>61</v>
      </c>
      <c r="K4981" t="s">
        <v>62</v>
      </c>
      <c r="M4981">
        <v>100.34</v>
      </c>
      <c r="N4981" s="4">
        <f t="shared" si="77"/>
        <v>-48.379509667131749</v>
      </c>
      <c r="O4981" t="s">
        <v>83</v>
      </c>
      <c r="R4981">
        <v>12</v>
      </c>
      <c r="S4981" t="e">
        <f>VLOOKUP(R4981,[1]!NOMINA[#Data],4,FALSE)</f>
        <v>#REF!</v>
      </c>
      <c r="T4981" t="e">
        <f>VLOOKUP(R4981,[1]!NOMINA[#Data],5,FALSE)</f>
        <v>#REF!</v>
      </c>
    </row>
    <row r="4982" spans="1:20" x14ac:dyDescent="0.25">
      <c r="A4982" s="22">
        <v>45820</v>
      </c>
      <c r="B4982" s="1">
        <v>714348244</v>
      </c>
      <c r="C4982" t="s">
        <v>3799</v>
      </c>
      <c r="D4982" s="23">
        <v>-3540.35</v>
      </c>
      <c r="E4982" s="76" t="s">
        <v>35</v>
      </c>
      <c r="F4982" s="2">
        <v>212901001</v>
      </c>
      <c r="G4982" s="2" t="s">
        <v>91</v>
      </c>
      <c r="I4982" s="95" t="s">
        <v>7231</v>
      </c>
      <c r="J4982" t="s">
        <v>61</v>
      </c>
      <c r="K4982" t="s">
        <v>62</v>
      </c>
      <c r="M4982">
        <v>100.34</v>
      </c>
      <c r="N4982" s="4">
        <f t="shared" si="77"/>
        <v>-35.283535977675896</v>
      </c>
      <c r="O4982" t="s">
        <v>83</v>
      </c>
      <c r="R4982">
        <v>21</v>
      </c>
      <c r="S4982" t="e">
        <f>VLOOKUP(R4982,[1]!NOMINA[#Data],4,FALSE)</f>
        <v>#REF!</v>
      </c>
      <c r="T4982" t="e">
        <f>VLOOKUP(R4982,[1]!NOMINA[#Data],5,FALSE)</f>
        <v>#REF!</v>
      </c>
    </row>
    <row r="4983" spans="1:20" x14ac:dyDescent="0.25">
      <c r="A4983" s="22">
        <v>45820</v>
      </c>
      <c r="B4983" s="1">
        <v>714348245</v>
      </c>
      <c r="C4983" t="s">
        <v>3800</v>
      </c>
      <c r="D4983" s="23">
        <v>-880.35</v>
      </c>
      <c r="E4983" s="76" t="s">
        <v>35</v>
      </c>
      <c r="F4983" s="2">
        <v>212901001</v>
      </c>
      <c r="G4983" s="2" t="s">
        <v>91</v>
      </c>
      <c r="I4983" s="95" t="s">
        <v>7231</v>
      </c>
      <c r="J4983" t="s">
        <v>61</v>
      </c>
      <c r="K4983" t="s">
        <v>62</v>
      </c>
      <c r="M4983">
        <v>100.34</v>
      </c>
      <c r="N4983" s="4">
        <f t="shared" si="77"/>
        <v>-8.7736695236196933</v>
      </c>
      <c r="O4983" t="s">
        <v>83</v>
      </c>
      <c r="R4983">
        <v>25</v>
      </c>
      <c r="S4983" t="e">
        <f>VLOOKUP(R4983,[1]!NOMINA[#Data],4,FALSE)</f>
        <v>#REF!</v>
      </c>
      <c r="T4983" t="e">
        <f>VLOOKUP(R4983,[1]!NOMINA[#Data],5,FALSE)</f>
        <v>#REF!</v>
      </c>
    </row>
    <row r="4984" spans="1:20" x14ac:dyDescent="0.25">
      <c r="A4984" s="22">
        <v>45820</v>
      </c>
      <c r="B4984" s="1">
        <v>714348248</v>
      </c>
      <c r="C4984" t="s">
        <v>3801</v>
      </c>
      <c r="D4984" s="23">
        <v>-1116.6400000000001</v>
      </c>
      <c r="E4984" s="76" t="s">
        <v>35</v>
      </c>
      <c r="F4984" s="2">
        <v>212901001</v>
      </c>
      <c r="G4984" s="2" t="s">
        <v>91</v>
      </c>
      <c r="I4984" s="95" t="s">
        <v>7231</v>
      </c>
      <c r="J4984" t="s">
        <v>61</v>
      </c>
      <c r="K4984" t="s">
        <v>62</v>
      </c>
      <c r="M4984">
        <v>100.34</v>
      </c>
      <c r="N4984" s="4">
        <f t="shared" si="77"/>
        <v>-11.128562886186964</v>
      </c>
      <c r="O4984" t="s">
        <v>83</v>
      </c>
      <c r="R4984">
        <v>28</v>
      </c>
      <c r="S4984" t="e">
        <f>VLOOKUP(R4984,[1]!NOMINA[#Data],4,FALSE)</f>
        <v>#REF!</v>
      </c>
      <c r="T4984" t="e">
        <f>VLOOKUP(R4984,[1]!NOMINA[#Data],5,FALSE)</f>
        <v>#REF!</v>
      </c>
    </row>
    <row r="4985" spans="1:20" x14ac:dyDescent="0.25">
      <c r="A4985" s="22">
        <v>45820</v>
      </c>
      <c r="B4985" s="1">
        <v>714348247</v>
      </c>
      <c r="C4985" t="s">
        <v>3802</v>
      </c>
      <c r="D4985" s="23">
        <v>-49785.2</v>
      </c>
      <c r="E4985" s="76" t="s">
        <v>35</v>
      </c>
      <c r="F4985" s="2">
        <v>212901001</v>
      </c>
      <c r="G4985" s="2" t="s">
        <v>91</v>
      </c>
      <c r="I4985" s="95" t="s">
        <v>7231</v>
      </c>
      <c r="J4985" t="s">
        <v>61</v>
      </c>
      <c r="K4985" t="s">
        <v>62</v>
      </c>
      <c r="M4985">
        <v>100.34</v>
      </c>
      <c r="N4985" s="4">
        <f t="shared" si="77"/>
        <v>-496.16503886784926</v>
      </c>
      <c r="O4985" t="s">
        <v>83</v>
      </c>
      <c r="R4985">
        <v>2</v>
      </c>
      <c r="S4985" t="e">
        <f>VLOOKUP(Tabla3[[#This Row],[Nº]],[1]!NOMINA[#Data],4,FALSE)</f>
        <v>#REF!</v>
      </c>
      <c r="T4985" t="e">
        <f>VLOOKUP(Tabla3[[#This Row],[Nº]],[1]!NOMINA[#Data],5,FALSE)</f>
        <v>#REF!</v>
      </c>
    </row>
    <row r="4986" spans="1:20" x14ac:dyDescent="0.25">
      <c r="A4986" s="22">
        <v>45820</v>
      </c>
      <c r="B4986" s="1">
        <v>714348249</v>
      </c>
      <c r="C4986" t="s">
        <v>3803</v>
      </c>
      <c r="D4986" s="23">
        <v>-9348.8700000000008</v>
      </c>
      <c r="E4986" s="76" t="s">
        <v>35</v>
      </c>
      <c r="F4986" s="2">
        <v>212901001</v>
      </c>
      <c r="G4986" s="2" t="s">
        <v>91</v>
      </c>
      <c r="I4986" s="95" t="s">
        <v>7231</v>
      </c>
      <c r="J4986" t="s">
        <v>61</v>
      </c>
      <c r="K4986" t="s">
        <v>62</v>
      </c>
      <c r="M4986">
        <v>100.34</v>
      </c>
      <c r="N4986" s="4">
        <f t="shared" si="77"/>
        <v>-93.171915487343043</v>
      </c>
      <c r="O4986" t="s">
        <v>83</v>
      </c>
      <c r="R4986">
        <v>6</v>
      </c>
      <c r="S4986" t="e">
        <f>VLOOKUP(R4986,[1]!NOMINA[#Data],4,FALSE)</f>
        <v>#REF!</v>
      </c>
      <c r="T4986" t="e">
        <f>VLOOKUP(R4986,[1]!NOMINA[#Data],5,FALSE)</f>
        <v>#REF!</v>
      </c>
    </row>
    <row r="4987" spans="1:20" x14ac:dyDescent="0.25">
      <c r="A4987" s="22">
        <v>45820</v>
      </c>
      <c r="B4987" s="1">
        <v>814348253</v>
      </c>
      <c r="C4987" t="s">
        <v>3804</v>
      </c>
      <c r="D4987" s="23">
        <v>-2389.81</v>
      </c>
      <c r="E4987" s="76" t="s">
        <v>35</v>
      </c>
      <c r="F4987" s="2">
        <v>212901001</v>
      </c>
      <c r="G4987" s="2" t="s">
        <v>91</v>
      </c>
      <c r="I4987" s="95" t="s">
        <v>7231</v>
      </c>
      <c r="J4987" t="s">
        <v>61</v>
      </c>
      <c r="K4987" t="s">
        <v>62</v>
      </c>
      <c r="M4987">
        <v>100.34</v>
      </c>
      <c r="N4987" s="4">
        <f t="shared" si="77"/>
        <v>-23.817121785927846</v>
      </c>
      <c r="O4987" t="s">
        <v>83</v>
      </c>
      <c r="R4987">
        <v>19</v>
      </c>
      <c r="S4987" t="e">
        <f>VLOOKUP(R4987,[1]!NOMINA[#Data],4,FALSE)</f>
        <v>#REF!</v>
      </c>
      <c r="T4987" t="e">
        <f>VLOOKUP(R4987,[1]!NOMINA[#Data],5,FALSE)</f>
        <v>#REF!</v>
      </c>
    </row>
    <row r="4988" spans="1:20" x14ac:dyDescent="0.25">
      <c r="A4988" s="22">
        <v>45820</v>
      </c>
      <c r="B4988" s="1">
        <v>814348252</v>
      </c>
      <c r="C4988" t="s">
        <v>3805</v>
      </c>
      <c r="D4988" s="23">
        <v>-2042.85</v>
      </c>
      <c r="E4988" s="76" t="s">
        <v>35</v>
      </c>
      <c r="F4988" s="2">
        <v>212901001</v>
      </c>
      <c r="G4988" s="2" t="s">
        <v>91</v>
      </c>
      <c r="I4988" s="95" t="s">
        <v>7231</v>
      </c>
      <c r="J4988" t="s">
        <v>61</v>
      </c>
      <c r="K4988" t="s">
        <v>62</v>
      </c>
      <c r="M4988">
        <v>100.34</v>
      </c>
      <c r="N4988" s="4">
        <f t="shared" si="77"/>
        <v>-20.359278453258916</v>
      </c>
      <c r="O4988" t="s">
        <v>83</v>
      </c>
      <c r="R4988">
        <v>27</v>
      </c>
      <c r="S4988" t="e">
        <f>VLOOKUP(R4988,[1]!NOMINA[#Data],4,FALSE)</f>
        <v>#REF!</v>
      </c>
      <c r="T4988" t="e">
        <f>VLOOKUP(R4988,[1]!NOMINA[#Data],5,FALSE)</f>
        <v>#REF!</v>
      </c>
    </row>
    <row r="4989" spans="1:20" x14ac:dyDescent="0.25">
      <c r="A4989" s="22">
        <v>45820</v>
      </c>
      <c r="B4989" s="1">
        <v>714348250</v>
      </c>
      <c r="C4989" t="s">
        <v>3806</v>
      </c>
      <c r="D4989" s="23">
        <v>-4244.2299999999996</v>
      </c>
      <c r="E4989" s="76" t="s">
        <v>35</v>
      </c>
      <c r="F4989" s="2">
        <v>212901001</v>
      </c>
      <c r="G4989" s="2" t="s">
        <v>91</v>
      </c>
      <c r="I4989" s="95" t="s">
        <v>7231</v>
      </c>
      <c r="J4989" t="s">
        <v>61</v>
      </c>
      <c r="K4989" t="s">
        <v>62</v>
      </c>
      <c r="M4989">
        <v>100.34</v>
      </c>
      <c r="N4989" s="4">
        <f t="shared" si="77"/>
        <v>-42.298485150488332</v>
      </c>
      <c r="O4989" t="s">
        <v>83</v>
      </c>
      <c r="R4989">
        <v>24</v>
      </c>
      <c r="S4989" t="e">
        <f>VLOOKUP(R4989,[1]!NOMINA[#Data],4,FALSE)</f>
        <v>#REF!</v>
      </c>
      <c r="T4989" t="e">
        <f>VLOOKUP(R4989,[1]!NOMINA[#Data],5,FALSE)</f>
        <v>#REF!</v>
      </c>
    </row>
    <row r="4990" spans="1:20" x14ac:dyDescent="0.25">
      <c r="A4990" s="22">
        <v>45820</v>
      </c>
      <c r="B4990" s="1">
        <v>814348251</v>
      </c>
      <c r="C4990" t="s">
        <v>3807</v>
      </c>
      <c r="D4990" s="23">
        <v>-24860.2</v>
      </c>
      <c r="E4990" s="76" t="s">
        <v>35</v>
      </c>
      <c r="F4990" s="2">
        <v>212901001</v>
      </c>
      <c r="G4990" s="2" t="s">
        <v>91</v>
      </c>
      <c r="I4990" s="95" t="s">
        <v>7231</v>
      </c>
      <c r="J4990" t="s">
        <v>61</v>
      </c>
      <c r="K4990" t="s">
        <v>62</v>
      </c>
      <c r="M4990">
        <v>100.34</v>
      </c>
      <c r="N4990" s="4">
        <f t="shared" si="77"/>
        <v>-247.75961730117601</v>
      </c>
      <c r="O4990" t="s">
        <v>83</v>
      </c>
      <c r="R4990">
        <v>3</v>
      </c>
      <c r="S4990" t="e">
        <f>VLOOKUP(R4990,[1]!NOMINA[#Data],4,FALSE)</f>
        <v>#REF!</v>
      </c>
      <c r="T4990" t="e">
        <f>VLOOKUP(R4990,[1]!NOMINA[#Data],5,FALSE)</f>
        <v>#REF!</v>
      </c>
    </row>
    <row r="4991" spans="1:20" x14ac:dyDescent="0.25">
      <c r="A4991" s="22">
        <v>45820</v>
      </c>
      <c r="B4991" s="1">
        <v>814348254</v>
      </c>
      <c r="C4991" t="s">
        <v>3808</v>
      </c>
      <c r="D4991" s="23">
        <v>-3445.63</v>
      </c>
      <c r="E4991" s="76" t="s">
        <v>35</v>
      </c>
      <c r="F4991" s="2">
        <v>212901001</v>
      </c>
      <c r="G4991" s="2" t="s">
        <v>91</v>
      </c>
      <c r="I4991" s="95" t="s">
        <v>7231</v>
      </c>
      <c r="J4991" t="s">
        <v>61</v>
      </c>
      <c r="K4991" t="s">
        <v>62</v>
      </c>
      <c r="M4991">
        <v>100.34</v>
      </c>
      <c r="N4991" s="4">
        <f t="shared" si="77"/>
        <v>-34.3395455451465</v>
      </c>
      <c r="O4991" t="s">
        <v>83</v>
      </c>
      <c r="R4991">
        <v>5</v>
      </c>
      <c r="S4991" t="e">
        <f>VLOOKUP(R4991,[1]!NOMINA[#Data],4,FALSE)</f>
        <v>#REF!</v>
      </c>
      <c r="T4991" t="e">
        <f>VLOOKUP(R4991,[1]!NOMINA[#Data],5,FALSE)</f>
        <v>#REF!</v>
      </c>
    </row>
    <row r="4992" spans="1:20" x14ac:dyDescent="0.25">
      <c r="A4992" s="22">
        <v>45820</v>
      </c>
      <c r="B4992" s="1">
        <v>814348258</v>
      </c>
      <c r="C4992" t="s">
        <v>3809</v>
      </c>
      <c r="D4992" s="23">
        <v>-2389.81</v>
      </c>
      <c r="E4992" s="76" t="s">
        <v>35</v>
      </c>
      <c r="F4992" s="2">
        <v>212901001</v>
      </c>
      <c r="G4992" s="2" t="s">
        <v>91</v>
      </c>
      <c r="I4992" s="95" t="s">
        <v>7231</v>
      </c>
      <c r="J4992" t="s">
        <v>61</v>
      </c>
      <c r="K4992" t="s">
        <v>62</v>
      </c>
      <c r="M4992">
        <v>100.34</v>
      </c>
      <c r="N4992" s="4">
        <f t="shared" si="77"/>
        <v>-23.817121785927846</v>
      </c>
      <c r="O4992" t="s">
        <v>83</v>
      </c>
      <c r="R4992">
        <v>36</v>
      </c>
      <c r="S4992" t="e">
        <f>VLOOKUP(R4992,[1]!NOMINA[#Data],4,FALSE)</f>
        <v>#REF!</v>
      </c>
      <c r="T4992" t="e">
        <f>VLOOKUP(R4992,[1]!NOMINA[#Data],5,FALSE)</f>
        <v>#REF!</v>
      </c>
    </row>
    <row r="4993" spans="1:20" x14ac:dyDescent="0.25">
      <c r="A4993" s="22">
        <v>45820</v>
      </c>
      <c r="B4993" s="1">
        <v>814348256</v>
      </c>
      <c r="C4993" t="s">
        <v>3810</v>
      </c>
      <c r="D4993" s="23">
        <v>-2043.85</v>
      </c>
      <c r="E4993" s="76" t="s">
        <v>35</v>
      </c>
      <c r="F4993" s="2">
        <v>212901001</v>
      </c>
      <c r="G4993" s="2" t="s">
        <v>91</v>
      </c>
      <c r="I4993" s="95" t="s">
        <v>7231</v>
      </c>
      <c r="J4993" t="s">
        <v>61</v>
      </c>
      <c r="K4993" t="s">
        <v>62</v>
      </c>
      <c r="M4993">
        <v>100.34</v>
      </c>
      <c r="N4993" s="4">
        <f t="shared" si="77"/>
        <v>-20.369244568467209</v>
      </c>
      <c r="O4993" t="s">
        <v>83</v>
      </c>
      <c r="R4993">
        <v>7</v>
      </c>
      <c r="S4993" t="e">
        <f>VLOOKUP(R4993,[1]!NOMINA[#Data],4,FALSE)</f>
        <v>#REF!</v>
      </c>
      <c r="T4993" t="e">
        <f>VLOOKUP(R4993,[1]!NOMINA[#Data],5,FALSE)</f>
        <v>#REF!</v>
      </c>
    </row>
    <row r="4994" spans="1:20" x14ac:dyDescent="0.25">
      <c r="A4994" s="22">
        <v>45820</v>
      </c>
      <c r="B4994" s="1">
        <v>814348255</v>
      </c>
      <c r="C4994" t="s">
        <v>3811</v>
      </c>
      <c r="D4994" s="23">
        <v>-5035.8500000000004</v>
      </c>
      <c r="E4994" s="76" t="s">
        <v>35</v>
      </c>
      <c r="F4994" s="2">
        <v>212901001</v>
      </c>
      <c r="G4994" s="2" t="s">
        <v>91</v>
      </c>
      <c r="I4994" s="95" t="s">
        <v>7231</v>
      </c>
      <c r="J4994" t="s">
        <v>61</v>
      </c>
      <c r="K4994" t="s">
        <v>62</v>
      </c>
      <c r="M4994">
        <v>100.34</v>
      </c>
      <c r="N4994" s="4">
        <f t="shared" si="77"/>
        <v>-50.187861271676304</v>
      </c>
      <c r="O4994" t="s">
        <v>83</v>
      </c>
      <c r="R4994">
        <v>16</v>
      </c>
      <c r="S4994" t="e">
        <f>VLOOKUP(Tabla3[[#This Row],[Nº]],[1]!NOMINA[#Data],4,FALSE)</f>
        <v>#REF!</v>
      </c>
      <c r="T4994" t="e">
        <f>VLOOKUP(Tabla3[[#This Row],[Nº]],[1]!NOMINA[#Data],5,FALSE)</f>
        <v>#REF!</v>
      </c>
    </row>
    <row r="4995" spans="1:20" x14ac:dyDescent="0.25">
      <c r="A4995" s="22">
        <v>45820</v>
      </c>
      <c r="B4995" s="1">
        <v>814348257</v>
      </c>
      <c r="C4995" t="s">
        <v>3812</v>
      </c>
      <c r="D4995" s="23">
        <v>-39815.199999999997</v>
      </c>
      <c r="E4995" s="76" t="s">
        <v>35</v>
      </c>
      <c r="F4995" s="2">
        <v>212901001</v>
      </c>
      <c r="G4995" s="2" t="s">
        <v>91</v>
      </c>
      <c r="I4995" s="95" t="s">
        <v>7231</v>
      </c>
      <c r="J4995" t="s">
        <v>61</v>
      </c>
      <c r="K4995" t="s">
        <v>62</v>
      </c>
      <c r="M4995">
        <v>100.34</v>
      </c>
      <c r="N4995" s="4">
        <f t="shared" si="77"/>
        <v>-396.80287024117996</v>
      </c>
      <c r="O4995" t="s">
        <v>83</v>
      </c>
      <c r="R4995">
        <v>1</v>
      </c>
      <c r="S4995" t="e">
        <f>VLOOKUP(R4995,[1]!NOMINA[#Data],4,FALSE)</f>
        <v>#REF!</v>
      </c>
      <c r="T4995" t="e">
        <f>VLOOKUP(R4995,[1]!NOMINA[#Data],5,FALSE)</f>
        <v>#REF!</v>
      </c>
    </row>
    <row r="4996" spans="1:20" x14ac:dyDescent="0.25">
      <c r="A4996" s="22">
        <v>45820</v>
      </c>
      <c r="B4996" s="1">
        <v>50694181</v>
      </c>
      <c r="C4996" t="s">
        <v>3813</v>
      </c>
      <c r="D4996" s="23">
        <v>-9901.0499999999993</v>
      </c>
      <c r="E4996" s="76" t="s">
        <v>35</v>
      </c>
      <c r="F4996" s="2">
        <v>212901001</v>
      </c>
      <c r="G4996" s="2" t="s">
        <v>91</v>
      </c>
      <c r="I4996" s="95" t="s">
        <v>7231</v>
      </c>
      <c r="J4996" t="s">
        <v>61</v>
      </c>
      <c r="K4996" t="s">
        <v>62</v>
      </c>
      <c r="M4996">
        <v>100.34</v>
      </c>
      <c r="N4996" s="4">
        <f t="shared" si="77"/>
        <v>-98.67500498305759</v>
      </c>
      <c r="O4996" t="s">
        <v>83</v>
      </c>
      <c r="R4996">
        <v>40</v>
      </c>
      <c r="S4996" t="e">
        <f>VLOOKUP(R4996,[1]!NOMINA[#Data],4,FALSE)</f>
        <v>#REF!</v>
      </c>
      <c r="T4996" t="e">
        <f>VLOOKUP(R4996,[1]!NOMINA[#Data],5,FALSE)</f>
        <v>#REF!</v>
      </c>
    </row>
    <row r="4997" spans="1:20" x14ac:dyDescent="0.25">
      <c r="A4997" s="22">
        <v>45820</v>
      </c>
      <c r="B4997" s="1">
        <v>50694181</v>
      </c>
      <c r="C4997" t="s">
        <v>179</v>
      </c>
      <c r="D4997" s="23">
        <v>-14.85</v>
      </c>
      <c r="E4997" s="76" t="s">
        <v>35</v>
      </c>
      <c r="F4997" s="2">
        <v>610148001</v>
      </c>
      <c r="G4997" s="2" t="s">
        <v>41</v>
      </c>
      <c r="I4997" s="95" t="s">
        <v>7231</v>
      </c>
      <c r="J4997" t="s">
        <v>42</v>
      </c>
      <c r="K4997" t="s">
        <v>41</v>
      </c>
      <c r="M4997">
        <v>100.34</v>
      </c>
      <c r="N4997" s="4">
        <f t="shared" si="77"/>
        <v>-0.14799681084313335</v>
      </c>
      <c r="O4997" t="s">
        <v>83</v>
      </c>
      <c r="Q4997" s="24" t="s">
        <v>3649</v>
      </c>
    </row>
    <row r="4998" spans="1:20" x14ac:dyDescent="0.25">
      <c r="A4998" s="22">
        <v>45820</v>
      </c>
      <c r="B4998" s="1">
        <v>50694181</v>
      </c>
      <c r="C4998" t="s">
        <v>89</v>
      </c>
      <c r="D4998" s="23">
        <v>-648.17999999999995</v>
      </c>
      <c r="E4998" s="76" t="s">
        <v>35</v>
      </c>
      <c r="F4998" s="2">
        <v>610148001</v>
      </c>
      <c r="G4998" s="2" t="s">
        <v>41</v>
      </c>
      <c r="I4998" s="95" t="s">
        <v>7231</v>
      </c>
      <c r="J4998" t="s">
        <v>42</v>
      </c>
      <c r="K4998" t="s">
        <v>41</v>
      </c>
      <c r="M4998">
        <v>100.34</v>
      </c>
      <c r="N4998" s="4">
        <f t="shared" si="77"/>
        <v>-6.4598365557105835</v>
      </c>
      <c r="O4998" t="s">
        <v>83</v>
      </c>
      <c r="Q4998" s="24" t="s">
        <v>3649</v>
      </c>
    </row>
    <row r="4999" spans="1:20" x14ac:dyDescent="0.25">
      <c r="A4999" s="22">
        <v>45821</v>
      </c>
      <c r="B4999" s="1">
        <v>172208938</v>
      </c>
      <c r="C4999" t="s">
        <v>3646</v>
      </c>
      <c r="D4999" s="23">
        <v>470000</v>
      </c>
      <c r="E4999" s="76" t="s">
        <v>45</v>
      </c>
      <c r="F4999" s="2">
        <v>210115002</v>
      </c>
      <c r="G4999" s="2" t="s">
        <v>46</v>
      </c>
      <c r="I4999" s="95" t="s">
        <v>7231</v>
      </c>
      <c r="K4999" t="s">
        <v>3646</v>
      </c>
      <c r="M4999">
        <v>101.08</v>
      </c>
      <c r="N4999" s="4">
        <f t="shared" si="77"/>
        <v>4649.7823506133755</v>
      </c>
      <c r="O4999" t="s">
        <v>83</v>
      </c>
    </row>
    <row r="5000" spans="1:20" x14ac:dyDescent="0.25">
      <c r="A5000" s="22">
        <v>45821</v>
      </c>
      <c r="B5000" s="1">
        <v>314409686</v>
      </c>
      <c r="C5000" t="s">
        <v>3814</v>
      </c>
      <c r="D5000" s="23">
        <v>-8086.4</v>
      </c>
      <c r="E5000" s="76" t="s">
        <v>35</v>
      </c>
      <c r="F5000" s="2">
        <v>212901001</v>
      </c>
      <c r="G5000" s="2" t="s">
        <v>91</v>
      </c>
      <c r="I5000" s="95" t="s">
        <v>7231</v>
      </c>
      <c r="J5000" t="s">
        <v>61</v>
      </c>
      <c r="K5000" t="s">
        <v>62</v>
      </c>
      <c r="M5000">
        <v>101.08</v>
      </c>
      <c r="N5000" s="4">
        <f t="shared" si="77"/>
        <v>-80</v>
      </c>
      <c r="O5000" t="s">
        <v>83</v>
      </c>
    </row>
    <row r="5001" spans="1:20" x14ac:dyDescent="0.25">
      <c r="A5001" s="22">
        <v>45821</v>
      </c>
      <c r="B5001" s="1">
        <v>414409688</v>
      </c>
      <c r="C5001" t="s">
        <v>3815</v>
      </c>
      <c r="D5001" s="23">
        <v>-6064.8</v>
      </c>
      <c r="E5001" s="76" t="s">
        <v>35</v>
      </c>
      <c r="F5001" s="2">
        <v>212901001</v>
      </c>
      <c r="G5001" s="2" t="s">
        <v>91</v>
      </c>
      <c r="I5001" s="95" t="s">
        <v>7231</v>
      </c>
      <c r="J5001" t="s">
        <v>61</v>
      </c>
      <c r="K5001" t="s">
        <v>62</v>
      </c>
      <c r="M5001">
        <v>101.08</v>
      </c>
      <c r="N5001" s="4">
        <f t="shared" si="77"/>
        <v>-60</v>
      </c>
      <c r="O5001" t="s">
        <v>83</v>
      </c>
    </row>
    <row r="5002" spans="1:20" x14ac:dyDescent="0.25">
      <c r="A5002" s="22">
        <v>45821</v>
      </c>
      <c r="B5002" s="1">
        <v>414409693</v>
      </c>
      <c r="C5002" t="s">
        <v>3816</v>
      </c>
      <c r="D5002" s="23">
        <v>-6064.8</v>
      </c>
      <c r="E5002" s="76" t="s">
        <v>35</v>
      </c>
      <c r="F5002" s="2">
        <v>212901001</v>
      </c>
      <c r="G5002" s="2" t="s">
        <v>91</v>
      </c>
      <c r="I5002" s="95" t="s">
        <v>7231</v>
      </c>
      <c r="J5002" t="s">
        <v>61</v>
      </c>
      <c r="K5002" t="s">
        <v>62</v>
      </c>
      <c r="M5002">
        <v>101.08</v>
      </c>
      <c r="N5002" s="4">
        <f t="shared" si="77"/>
        <v>-60</v>
      </c>
      <c r="O5002" t="s">
        <v>83</v>
      </c>
    </row>
    <row r="5003" spans="1:20" x14ac:dyDescent="0.25">
      <c r="A5003" s="22">
        <v>45821</v>
      </c>
      <c r="B5003" s="1">
        <v>414409690</v>
      </c>
      <c r="C5003" t="s">
        <v>3817</v>
      </c>
      <c r="D5003" s="23">
        <v>-6064.8</v>
      </c>
      <c r="E5003" s="76" t="s">
        <v>35</v>
      </c>
      <c r="F5003" s="2">
        <v>212901001</v>
      </c>
      <c r="G5003" s="2" t="s">
        <v>91</v>
      </c>
      <c r="I5003" s="95" t="s">
        <v>7231</v>
      </c>
      <c r="J5003" t="s">
        <v>61</v>
      </c>
      <c r="K5003" t="s">
        <v>62</v>
      </c>
      <c r="M5003">
        <v>101.08</v>
      </c>
      <c r="N5003" s="4">
        <f t="shared" si="77"/>
        <v>-60</v>
      </c>
      <c r="O5003" t="s">
        <v>83</v>
      </c>
    </row>
    <row r="5004" spans="1:20" x14ac:dyDescent="0.25">
      <c r="A5004" s="22">
        <v>45821</v>
      </c>
      <c r="B5004" s="1">
        <v>414409691</v>
      </c>
      <c r="C5004" t="s">
        <v>3818</v>
      </c>
      <c r="D5004" s="23">
        <v>-6064.8</v>
      </c>
      <c r="E5004" s="76" t="s">
        <v>35</v>
      </c>
      <c r="F5004" s="2">
        <v>212901001</v>
      </c>
      <c r="G5004" s="2" t="s">
        <v>91</v>
      </c>
      <c r="I5004" s="95" t="s">
        <v>7231</v>
      </c>
      <c r="J5004" t="s">
        <v>61</v>
      </c>
      <c r="K5004" t="s">
        <v>62</v>
      </c>
      <c r="M5004">
        <v>101.08</v>
      </c>
      <c r="N5004" s="4">
        <f t="shared" ref="N5004:N5067" si="78">D5004/M5004</f>
        <v>-60</v>
      </c>
      <c r="O5004" t="s">
        <v>83</v>
      </c>
    </row>
    <row r="5005" spans="1:20" x14ac:dyDescent="0.25">
      <c r="A5005" s="22">
        <v>45821</v>
      </c>
      <c r="B5005" s="1">
        <v>514409701</v>
      </c>
      <c r="C5005" t="s">
        <v>3819</v>
      </c>
      <c r="D5005" s="23">
        <v>-6064.8</v>
      </c>
      <c r="E5005" s="76" t="s">
        <v>35</v>
      </c>
      <c r="F5005" s="2">
        <v>212901001</v>
      </c>
      <c r="G5005" s="2" t="s">
        <v>91</v>
      </c>
      <c r="I5005" s="95" t="s">
        <v>7231</v>
      </c>
      <c r="J5005" t="s">
        <v>61</v>
      </c>
      <c r="K5005" t="s">
        <v>62</v>
      </c>
      <c r="M5005">
        <v>101.08</v>
      </c>
      <c r="N5005" s="4">
        <f t="shared" si="78"/>
        <v>-60</v>
      </c>
      <c r="O5005" t="s">
        <v>83</v>
      </c>
    </row>
    <row r="5006" spans="1:20" x14ac:dyDescent="0.25">
      <c r="A5006" s="22">
        <v>45821</v>
      </c>
      <c r="B5006" s="1">
        <v>514409702</v>
      </c>
      <c r="C5006" t="s">
        <v>3820</v>
      </c>
      <c r="D5006" s="23">
        <v>-6064.8</v>
      </c>
      <c r="E5006" s="76" t="s">
        <v>35</v>
      </c>
      <c r="F5006" s="2">
        <v>212901001</v>
      </c>
      <c r="G5006" s="2" t="s">
        <v>91</v>
      </c>
      <c r="I5006" s="95" t="s">
        <v>7231</v>
      </c>
      <c r="J5006" t="s">
        <v>61</v>
      </c>
      <c r="K5006" t="s">
        <v>62</v>
      </c>
      <c r="M5006">
        <v>101.08</v>
      </c>
      <c r="N5006" s="4">
        <f t="shared" si="78"/>
        <v>-60</v>
      </c>
      <c r="O5006" t="s">
        <v>83</v>
      </c>
    </row>
    <row r="5007" spans="1:20" x14ac:dyDescent="0.25">
      <c r="A5007" s="22">
        <v>45821</v>
      </c>
      <c r="B5007" s="1">
        <v>514409705</v>
      </c>
      <c r="C5007" t="s">
        <v>3821</v>
      </c>
      <c r="D5007" s="23">
        <v>-15162</v>
      </c>
      <c r="E5007" s="76" t="s">
        <v>35</v>
      </c>
      <c r="F5007" s="2">
        <v>212901001</v>
      </c>
      <c r="G5007" s="2" t="s">
        <v>91</v>
      </c>
      <c r="I5007" s="95" t="s">
        <v>7231</v>
      </c>
      <c r="J5007" t="s">
        <v>61</v>
      </c>
      <c r="K5007" t="s">
        <v>62</v>
      </c>
      <c r="M5007">
        <v>101.08</v>
      </c>
      <c r="N5007" s="4">
        <f t="shared" si="78"/>
        <v>-150</v>
      </c>
      <c r="O5007" t="s">
        <v>83</v>
      </c>
    </row>
    <row r="5008" spans="1:20" x14ac:dyDescent="0.25">
      <c r="A5008" s="22">
        <v>45821</v>
      </c>
      <c r="B5008" s="1">
        <v>414409689</v>
      </c>
      <c r="C5008" t="s">
        <v>3822</v>
      </c>
      <c r="D5008" s="23">
        <v>-6064.8</v>
      </c>
      <c r="E5008" s="76" t="s">
        <v>35</v>
      </c>
      <c r="F5008" s="2">
        <v>212901001</v>
      </c>
      <c r="G5008" s="2" t="s">
        <v>91</v>
      </c>
      <c r="I5008" s="95" t="s">
        <v>7231</v>
      </c>
      <c r="J5008" t="s">
        <v>61</v>
      </c>
      <c r="K5008" t="s">
        <v>62</v>
      </c>
      <c r="M5008">
        <v>101.08</v>
      </c>
      <c r="N5008" s="4">
        <f t="shared" si="78"/>
        <v>-60</v>
      </c>
      <c r="O5008" t="s">
        <v>83</v>
      </c>
    </row>
    <row r="5009" spans="1:15" x14ac:dyDescent="0.25">
      <c r="A5009" s="22">
        <v>45821</v>
      </c>
      <c r="B5009" s="1">
        <v>514409700</v>
      </c>
      <c r="C5009" t="s">
        <v>3823</v>
      </c>
      <c r="D5009" s="23">
        <v>-6064.8</v>
      </c>
      <c r="E5009" s="76" t="s">
        <v>35</v>
      </c>
      <c r="F5009" s="2">
        <v>212901001</v>
      </c>
      <c r="G5009" s="2" t="s">
        <v>91</v>
      </c>
      <c r="I5009" s="95" t="s">
        <v>7231</v>
      </c>
      <c r="J5009" t="s">
        <v>61</v>
      </c>
      <c r="K5009" t="s">
        <v>62</v>
      </c>
      <c r="M5009">
        <v>101.08</v>
      </c>
      <c r="N5009" s="4">
        <f t="shared" si="78"/>
        <v>-60</v>
      </c>
      <c r="O5009" t="s">
        <v>83</v>
      </c>
    </row>
    <row r="5010" spans="1:15" x14ac:dyDescent="0.25">
      <c r="A5010" s="22">
        <v>45821</v>
      </c>
      <c r="B5010" s="1">
        <v>514409706</v>
      </c>
      <c r="C5010" t="s">
        <v>3824</v>
      </c>
      <c r="D5010" s="23">
        <v>-10108</v>
      </c>
      <c r="E5010" s="76" t="s">
        <v>35</v>
      </c>
      <c r="F5010" s="2">
        <v>212901001</v>
      </c>
      <c r="G5010" s="2" t="s">
        <v>91</v>
      </c>
      <c r="I5010" s="95" t="s">
        <v>7231</v>
      </c>
      <c r="J5010" t="s">
        <v>61</v>
      </c>
      <c r="K5010" t="s">
        <v>62</v>
      </c>
      <c r="M5010">
        <v>101.08</v>
      </c>
      <c r="N5010" s="4">
        <f t="shared" si="78"/>
        <v>-100</v>
      </c>
      <c r="O5010" t="s">
        <v>83</v>
      </c>
    </row>
    <row r="5011" spans="1:15" x14ac:dyDescent="0.25">
      <c r="A5011" s="22">
        <v>45821</v>
      </c>
      <c r="B5011" s="1">
        <v>514409703</v>
      </c>
      <c r="C5011" t="s">
        <v>3825</v>
      </c>
      <c r="D5011" s="23">
        <v>-6064.8</v>
      </c>
      <c r="E5011" s="76" t="s">
        <v>35</v>
      </c>
      <c r="F5011" s="2">
        <v>212901001</v>
      </c>
      <c r="G5011" s="2" t="s">
        <v>91</v>
      </c>
      <c r="I5011" s="95" t="s">
        <v>7231</v>
      </c>
      <c r="J5011" t="s">
        <v>61</v>
      </c>
      <c r="K5011" t="s">
        <v>62</v>
      </c>
      <c r="M5011">
        <v>101.08</v>
      </c>
      <c r="N5011" s="4">
        <f t="shared" si="78"/>
        <v>-60</v>
      </c>
      <c r="O5011" t="s">
        <v>83</v>
      </c>
    </row>
    <row r="5012" spans="1:15" x14ac:dyDescent="0.25">
      <c r="A5012" s="22">
        <v>45821</v>
      </c>
      <c r="B5012" s="1">
        <v>614409708</v>
      </c>
      <c r="C5012" t="s">
        <v>3826</v>
      </c>
      <c r="D5012" s="23">
        <v>-8086.4</v>
      </c>
      <c r="E5012" s="76" t="s">
        <v>35</v>
      </c>
      <c r="F5012" s="2">
        <v>212901001</v>
      </c>
      <c r="G5012" s="2" t="s">
        <v>91</v>
      </c>
      <c r="I5012" s="95" t="s">
        <v>7231</v>
      </c>
      <c r="J5012" t="s">
        <v>61</v>
      </c>
      <c r="K5012" t="s">
        <v>62</v>
      </c>
      <c r="M5012">
        <v>101.08</v>
      </c>
      <c r="N5012" s="4">
        <f t="shared" si="78"/>
        <v>-80</v>
      </c>
      <c r="O5012" t="s">
        <v>83</v>
      </c>
    </row>
    <row r="5013" spans="1:15" x14ac:dyDescent="0.25">
      <c r="A5013" s="22">
        <v>45821</v>
      </c>
      <c r="B5013" s="1">
        <v>614409709</v>
      </c>
      <c r="C5013" t="s">
        <v>3827</v>
      </c>
      <c r="D5013" s="23">
        <v>-8086.4</v>
      </c>
      <c r="E5013" s="76" t="s">
        <v>35</v>
      </c>
      <c r="F5013" s="2">
        <v>212901001</v>
      </c>
      <c r="G5013" s="2" t="s">
        <v>91</v>
      </c>
      <c r="I5013" s="95" t="s">
        <v>7231</v>
      </c>
      <c r="J5013" t="s">
        <v>61</v>
      </c>
      <c r="K5013" t="s">
        <v>62</v>
      </c>
      <c r="M5013">
        <v>101.08</v>
      </c>
      <c r="N5013" s="4">
        <f t="shared" si="78"/>
        <v>-80</v>
      </c>
      <c r="O5013" t="s">
        <v>83</v>
      </c>
    </row>
    <row r="5014" spans="1:15" x14ac:dyDescent="0.25">
      <c r="A5014" s="22">
        <v>45821</v>
      </c>
      <c r="B5014" s="1">
        <v>514409699</v>
      </c>
      <c r="C5014" t="s">
        <v>3828</v>
      </c>
      <c r="D5014" s="23">
        <v>-6064.8</v>
      </c>
      <c r="E5014" s="76" t="s">
        <v>35</v>
      </c>
      <c r="F5014" s="2">
        <v>212901001</v>
      </c>
      <c r="G5014" s="2" t="s">
        <v>91</v>
      </c>
      <c r="I5014" s="95" t="s">
        <v>7231</v>
      </c>
      <c r="J5014" t="s">
        <v>61</v>
      </c>
      <c r="K5014" t="s">
        <v>62</v>
      </c>
      <c r="M5014">
        <v>101.08</v>
      </c>
      <c r="N5014" s="4">
        <f t="shared" si="78"/>
        <v>-60</v>
      </c>
      <c r="O5014" t="s">
        <v>83</v>
      </c>
    </row>
    <row r="5015" spans="1:15" x14ac:dyDescent="0.25">
      <c r="A5015" s="22">
        <v>45821</v>
      </c>
      <c r="B5015" s="1">
        <v>614409707</v>
      </c>
      <c r="C5015" t="s">
        <v>3829</v>
      </c>
      <c r="D5015" s="23">
        <v>-8086.4</v>
      </c>
      <c r="E5015" s="76" t="s">
        <v>35</v>
      </c>
      <c r="F5015" s="2">
        <v>212901001</v>
      </c>
      <c r="G5015" s="2" t="s">
        <v>91</v>
      </c>
      <c r="I5015" s="95" t="s">
        <v>7231</v>
      </c>
      <c r="J5015" t="s">
        <v>61</v>
      </c>
      <c r="K5015" t="s">
        <v>62</v>
      </c>
      <c r="M5015">
        <v>101.08</v>
      </c>
      <c r="N5015" s="4">
        <f t="shared" si="78"/>
        <v>-80</v>
      </c>
      <c r="O5015" t="s">
        <v>83</v>
      </c>
    </row>
    <row r="5016" spans="1:15" x14ac:dyDescent="0.25">
      <c r="A5016" s="22">
        <v>45821</v>
      </c>
      <c r="B5016" s="1">
        <v>514409697</v>
      </c>
      <c r="C5016" t="s">
        <v>3830</v>
      </c>
      <c r="D5016" s="23">
        <v>-6064.8</v>
      </c>
      <c r="E5016" s="76" t="s">
        <v>35</v>
      </c>
      <c r="F5016" s="2">
        <v>212901001</v>
      </c>
      <c r="G5016" s="2" t="s">
        <v>91</v>
      </c>
      <c r="I5016" s="95" t="s">
        <v>7231</v>
      </c>
      <c r="J5016" t="s">
        <v>61</v>
      </c>
      <c r="K5016" t="s">
        <v>62</v>
      </c>
      <c r="M5016">
        <v>101.08</v>
      </c>
      <c r="N5016" s="4">
        <f t="shared" si="78"/>
        <v>-60</v>
      </c>
      <c r="O5016" t="s">
        <v>83</v>
      </c>
    </row>
    <row r="5017" spans="1:15" x14ac:dyDescent="0.25">
      <c r="A5017" s="22">
        <v>45821</v>
      </c>
      <c r="B5017" s="1">
        <v>414409695</v>
      </c>
      <c r="C5017" t="s">
        <v>3831</v>
      </c>
      <c r="D5017" s="23">
        <v>-6064.8</v>
      </c>
      <c r="E5017" s="76" t="s">
        <v>35</v>
      </c>
      <c r="F5017" s="2">
        <v>212901001</v>
      </c>
      <c r="G5017" s="2" t="s">
        <v>91</v>
      </c>
      <c r="I5017" s="95" t="s">
        <v>7231</v>
      </c>
      <c r="J5017" t="s">
        <v>61</v>
      </c>
      <c r="K5017" t="s">
        <v>62</v>
      </c>
      <c r="M5017">
        <v>101.08</v>
      </c>
      <c r="N5017" s="4">
        <f t="shared" si="78"/>
        <v>-60</v>
      </c>
      <c r="O5017" t="s">
        <v>83</v>
      </c>
    </row>
    <row r="5018" spans="1:15" x14ac:dyDescent="0.25">
      <c r="A5018" s="22">
        <v>45821</v>
      </c>
      <c r="B5018" s="1">
        <v>614409711</v>
      </c>
      <c r="C5018" t="s">
        <v>3832</v>
      </c>
      <c r="D5018" s="23">
        <v>-8086.4</v>
      </c>
      <c r="E5018" s="76" t="s">
        <v>35</v>
      </c>
      <c r="F5018" s="2">
        <v>212901001</v>
      </c>
      <c r="G5018" s="2" t="s">
        <v>91</v>
      </c>
      <c r="I5018" s="95" t="s">
        <v>7231</v>
      </c>
      <c r="J5018" t="s">
        <v>61</v>
      </c>
      <c r="K5018" t="s">
        <v>62</v>
      </c>
      <c r="M5018">
        <v>101.08</v>
      </c>
      <c r="N5018" s="4">
        <f t="shared" si="78"/>
        <v>-80</v>
      </c>
      <c r="O5018" t="s">
        <v>83</v>
      </c>
    </row>
    <row r="5019" spans="1:15" x14ac:dyDescent="0.25">
      <c r="A5019" s="22">
        <v>45821</v>
      </c>
      <c r="B5019" s="1">
        <v>414409687</v>
      </c>
      <c r="C5019" t="s">
        <v>3833</v>
      </c>
      <c r="D5019" s="23">
        <v>-6064.8</v>
      </c>
      <c r="E5019" s="76" t="s">
        <v>35</v>
      </c>
      <c r="F5019" s="2">
        <v>212901001</v>
      </c>
      <c r="G5019" s="2" t="s">
        <v>91</v>
      </c>
      <c r="I5019" s="95" t="s">
        <v>7231</v>
      </c>
      <c r="J5019" t="s">
        <v>61</v>
      </c>
      <c r="K5019" t="s">
        <v>62</v>
      </c>
      <c r="M5019">
        <v>101.08</v>
      </c>
      <c r="N5019" s="4">
        <f t="shared" si="78"/>
        <v>-60</v>
      </c>
      <c r="O5019" t="s">
        <v>83</v>
      </c>
    </row>
    <row r="5020" spans="1:15" x14ac:dyDescent="0.25">
      <c r="A5020" s="22">
        <v>45821</v>
      </c>
      <c r="B5020" s="1">
        <v>514409696</v>
      </c>
      <c r="C5020" t="s">
        <v>3834</v>
      </c>
      <c r="D5020" s="23">
        <v>-6064.8</v>
      </c>
      <c r="E5020" s="76" t="s">
        <v>35</v>
      </c>
      <c r="F5020" s="2">
        <v>212901001</v>
      </c>
      <c r="G5020" s="2" t="s">
        <v>91</v>
      </c>
      <c r="I5020" s="95" t="s">
        <v>7231</v>
      </c>
      <c r="J5020" t="s">
        <v>61</v>
      </c>
      <c r="K5020" t="s">
        <v>62</v>
      </c>
      <c r="M5020">
        <v>101.08</v>
      </c>
      <c r="N5020" s="4">
        <f t="shared" si="78"/>
        <v>-60</v>
      </c>
      <c r="O5020" t="s">
        <v>83</v>
      </c>
    </row>
    <row r="5021" spans="1:15" x14ac:dyDescent="0.25">
      <c r="A5021" s="22">
        <v>45821</v>
      </c>
      <c r="B5021" s="1">
        <v>614409710</v>
      </c>
      <c r="C5021" t="s">
        <v>3835</v>
      </c>
      <c r="D5021" s="23">
        <v>-8086.4</v>
      </c>
      <c r="E5021" s="76" t="s">
        <v>35</v>
      </c>
      <c r="F5021" s="2">
        <v>212901001</v>
      </c>
      <c r="G5021" s="2" t="s">
        <v>91</v>
      </c>
      <c r="I5021" s="95" t="s">
        <v>7231</v>
      </c>
      <c r="J5021" t="s">
        <v>61</v>
      </c>
      <c r="K5021" t="s">
        <v>62</v>
      </c>
      <c r="M5021">
        <v>101.08</v>
      </c>
      <c r="N5021" s="4">
        <f t="shared" si="78"/>
        <v>-80</v>
      </c>
      <c r="O5021" t="s">
        <v>83</v>
      </c>
    </row>
    <row r="5022" spans="1:15" x14ac:dyDescent="0.25">
      <c r="A5022" s="22">
        <v>45821</v>
      </c>
      <c r="B5022" s="1">
        <v>414409692</v>
      </c>
      <c r="C5022" t="s">
        <v>3836</v>
      </c>
      <c r="D5022" s="23">
        <v>-6064.8</v>
      </c>
      <c r="E5022" s="76" t="s">
        <v>35</v>
      </c>
      <c r="F5022" s="2">
        <v>212901001</v>
      </c>
      <c r="G5022" s="2" t="s">
        <v>91</v>
      </c>
      <c r="I5022" s="95" t="s">
        <v>7231</v>
      </c>
      <c r="J5022" t="s">
        <v>61</v>
      </c>
      <c r="K5022" t="s">
        <v>62</v>
      </c>
      <c r="M5022">
        <v>101.08</v>
      </c>
      <c r="N5022" s="4">
        <f t="shared" si="78"/>
        <v>-60</v>
      </c>
      <c r="O5022" t="s">
        <v>83</v>
      </c>
    </row>
    <row r="5023" spans="1:15" x14ac:dyDescent="0.25">
      <c r="A5023" s="22">
        <v>45821</v>
      </c>
      <c r="B5023" s="1">
        <v>614409712</v>
      </c>
      <c r="C5023" t="s">
        <v>3837</v>
      </c>
      <c r="D5023" s="23">
        <v>-8086.4</v>
      </c>
      <c r="E5023" s="76" t="s">
        <v>35</v>
      </c>
      <c r="F5023" s="2">
        <v>212901001</v>
      </c>
      <c r="G5023" s="2" t="s">
        <v>91</v>
      </c>
      <c r="I5023" s="95" t="s">
        <v>7231</v>
      </c>
      <c r="J5023" t="s">
        <v>61</v>
      </c>
      <c r="K5023" t="s">
        <v>62</v>
      </c>
      <c r="M5023">
        <v>101.08</v>
      </c>
      <c r="N5023" s="4">
        <f t="shared" si="78"/>
        <v>-80</v>
      </c>
      <c r="O5023" t="s">
        <v>83</v>
      </c>
    </row>
    <row r="5024" spans="1:15" x14ac:dyDescent="0.25">
      <c r="A5024" s="22">
        <v>45821</v>
      </c>
      <c r="B5024" s="1">
        <v>614409714</v>
      </c>
      <c r="C5024" t="s">
        <v>3838</v>
      </c>
      <c r="D5024" s="23">
        <v>-4245.3599999999997</v>
      </c>
      <c r="E5024" s="76" t="s">
        <v>35</v>
      </c>
      <c r="F5024" s="2">
        <v>212901001</v>
      </c>
      <c r="G5024" s="2" t="s">
        <v>91</v>
      </c>
      <c r="I5024" s="95" t="s">
        <v>7231</v>
      </c>
      <c r="J5024" t="s">
        <v>61</v>
      </c>
      <c r="K5024" t="s">
        <v>62</v>
      </c>
      <c r="M5024">
        <v>101.08</v>
      </c>
      <c r="N5024" s="4">
        <f t="shared" si="78"/>
        <v>-42</v>
      </c>
      <c r="O5024" t="s">
        <v>83</v>
      </c>
    </row>
    <row r="5025" spans="1:15" x14ac:dyDescent="0.25">
      <c r="A5025" s="22">
        <v>45821</v>
      </c>
      <c r="B5025" s="1">
        <v>614409715</v>
      </c>
      <c r="C5025" t="s">
        <v>3839</v>
      </c>
      <c r="D5025" s="23">
        <v>-5054</v>
      </c>
      <c r="E5025" s="76" t="s">
        <v>35</v>
      </c>
      <c r="F5025" s="2">
        <v>212901001</v>
      </c>
      <c r="G5025" s="2" t="s">
        <v>91</v>
      </c>
      <c r="I5025" s="95" t="s">
        <v>7231</v>
      </c>
      <c r="J5025" t="s">
        <v>61</v>
      </c>
      <c r="K5025" t="s">
        <v>62</v>
      </c>
      <c r="M5025">
        <v>101.08</v>
      </c>
      <c r="N5025" s="4">
        <f t="shared" si="78"/>
        <v>-50</v>
      </c>
      <c r="O5025" t="s">
        <v>83</v>
      </c>
    </row>
    <row r="5026" spans="1:15" x14ac:dyDescent="0.25">
      <c r="A5026" s="22">
        <v>45821</v>
      </c>
      <c r="B5026" s="1">
        <v>714409716</v>
      </c>
      <c r="C5026" t="s">
        <v>3840</v>
      </c>
      <c r="D5026" s="23">
        <v>-5054</v>
      </c>
      <c r="E5026" s="76" t="s">
        <v>35</v>
      </c>
      <c r="F5026" s="2">
        <v>212901001</v>
      </c>
      <c r="G5026" s="2" t="s">
        <v>91</v>
      </c>
      <c r="I5026" s="95" t="s">
        <v>7231</v>
      </c>
      <c r="J5026" t="s">
        <v>61</v>
      </c>
      <c r="K5026" t="s">
        <v>62</v>
      </c>
      <c r="M5026">
        <v>101.08</v>
      </c>
      <c r="N5026" s="4">
        <f t="shared" si="78"/>
        <v>-50</v>
      </c>
      <c r="O5026" t="s">
        <v>83</v>
      </c>
    </row>
    <row r="5027" spans="1:15" x14ac:dyDescent="0.25">
      <c r="A5027" s="22">
        <v>45821</v>
      </c>
      <c r="B5027" s="1">
        <v>714409717</v>
      </c>
      <c r="C5027" t="s">
        <v>3841</v>
      </c>
      <c r="D5027" s="23">
        <v>-5054</v>
      </c>
      <c r="E5027" s="76" t="s">
        <v>35</v>
      </c>
      <c r="F5027" s="2">
        <v>212901001</v>
      </c>
      <c r="G5027" s="2" t="s">
        <v>91</v>
      </c>
      <c r="I5027" s="95" t="s">
        <v>7231</v>
      </c>
      <c r="J5027" t="s">
        <v>61</v>
      </c>
      <c r="K5027" t="s">
        <v>62</v>
      </c>
      <c r="M5027">
        <v>101.08</v>
      </c>
      <c r="N5027" s="4">
        <f t="shared" si="78"/>
        <v>-50</v>
      </c>
      <c r="O5027" t="s">
        <v>83</v>
      </c>
    </row>
    <row r="5028" spans="1:15" x14ac:dyDescent="0.25">
      <c r="A5028" s="22">
        <v>45821</v>
      </c>
      <c r="B5028" s="1">
        <v>714409721</v>
      </c>
      <c r="C5028" t="s">
        <v>3842</v>
      </c>
      <c r="D5028" s="23">
        <v>-4043.2</v>
      </c>
      <c r="E5028" s="76" t="s">
        <v>35</v>
      </c>
      <c r="F5028" s="2">
        <v>212901001</v>
      </c>
      <c r="G5028" s="2" t="s">
        <v>91</v>
      </c>
      <c r="I5028" s="95" t="s">
        <v>7231</v>
      </c>
      <c r="J5028" t="s">
        <v>61</v>
      </c>
      <c r="K5028" t="s">
        <v>62</v>
      </c>
      <c r="M5028">
        <v>101.08</v>
      </c>
      <c r="N5028" s="4">
        <f t="shared" si="78"/>
        <v>-40</v>
      </c>
      <c r="O5028" t="s">
        <v>83</v>
      </c>
    </row>
    <row r="5029" spans="1:15" x14ac:dyDescent="0.25">
      <c r="A5029" s="22">
        <v>45821</v>
      </c>
      <c r="B5029" s="1">
        <v>714409720</v>
      </c>
      <c r="C5029" t="s">
        <v>3843</v>
      </c>
      <c r="D5029" s="23">
        <v>-5054</v>
      </c>
      <c r="E5029" s="76" t="s">
        <v>35</v>
      </c>
      <c r="F5029" s="2">
        <v>212901001</v>
      </c>
      <c r="G5029" s="2" t="s">
        <v>91</v>
      </c>
      <c r="I5029" s="95" t="s">
        <v>7231</v>
      </c>
      <c r="J5029" t="s">
        <v>61</v>
      </c>
      <c r="K5029" t="s">
        <v>62</v>
      </c>
      <c r="M5029">
        <v>101.08</v>
      </c>
      <c r="N5029" s="4">
        <f t="shared" si="78"/>
        <v>-50</v>
      </c>
      <c r="O5029" t="s">
        <v>83</v>
      </c>
    </row>
    <row r="5030" spans="1:15" x14ac:dyDescent="0.25">
      <c r="A5030" s="22">
        <v>45821</v>
      </c>
      <c r="B5030" s="1">
        <v>714409719</v>
      </c>
      <c r="C5030" t="s">
        <v>3844</v>
      </c>
      <c r="D5030" s="23">
        <v>-5054</v>
      </c>
      <c r="E5030" s="76" t="s">
        <v>35</v>
      </c>
      <c r="F5030" s="2">
        <v>212901001</v>
      </c>
      <c r="G5030" s="2" t="s">
        <v>91</v>
      </c>
      <c r="I5030" s="95" t="s">
        <v>7231</v>
      </c>
      <c r="J5030" t="s">
        <v>61</v>
      </c>
      <c r="K5030" t="s">
        <v>62</v>
      </c>
      <c r="M5030">
        <v>101.08</v>
      </c>
      <c r="N5030" s="4">
        <f t="shared" si="78"/>
        <v>-50</v>
      </c>
      <c r="O5030" t="s">
        <v>83</v>
      </c>
    </row>
    <row r="5031" spans="1:15" x14ac:dyDescent="0.25">
      <c r="A5031" s="22">
        <v>45821</v>
      </c>
      <c r="B5031" s="1">
        <v>714409723</v>
      </c>
      <c r="C5031" t="s">
        <v>3845</v>
      </c>
      <c r="D5031" s="23">
        <v>-4043.2</v>
      </c>
      <c r="E5031" s="76" t="s">
        <v>35</v>
      </c>
      <c r="F5031" s="2">
        <v>212901001</v>
      </c>
      <c r="G5031" s="2" t="s">
        <v>91</v>
      </c>
      <c r="I5031" s="95" t="s">
        <v>7231</v>
      </c>
      <c r="J5031" t="s">
        <v>61</v>
      </c>
      <c r="K5031" t="s">
        <v>62</v>
      </c>
      <c r="M5031">
        <v>101.08</v>
      </c>
      <c r="N5031" s="4">
        <f t="shared" si="78"/>
        <v>-40</v>
      </c>
      <c r="O5031" t="s">
        <v>83</v>
      </c>
    </row>
    <row r="5032" spans="1:15" x14ac:dyDescent="0.25">
      <c r="A5032" s="22">
        <v>45821</v>
      </c>
      <c r="B5032" s="1">
        <v>714409722</v>
      </c>
      <c r="C5032" t="s">
        <v>3846</v>
      </c>
      <c r="D5032" s="23">
        <v>-4043.2</v>
      </c>
      <c r="E5032" s="76" t="s">
        <v>35</v>
      </c>
      <c r="F5032" s="2">
        <v>212901001</v>
      </c>
      <c r="G5032" s="2" t="s">
        <v>91</v>
      </c>
      <c r="I5032" s="95" t="s">
        <v>7231</v>
      </c>
      <c r="J5032" t="s">
        <v>61</v>
      </c>
      <c r="K5032" t="s">
        <v>62</v>
      </c>
      <c r="M5032">
        <v>101.08</v>
      </c>
      <c r="N5032" s="4">
        <f t="shared" si="78"/>
        <v>-40</v>
      </c>
      <c r="O5032" t="s">
        <v>83</v>
      </c>
    </row>
    <row r="5033" spans="1:15" x14ac:dyDescent="0.25">
      <c r="A5033" s="22">
        <v>45821</v>
      </c>
      <c r="B5033" s="1">
        <v>714409725</v>
      </c>
      <c r="C5033" t="s">
        <v>3847</v>
      </c>
      <c r="D5033" s="23">
        <v>-4043.2</v>
      </c>
      <c r="E5033" s="76" t="s">
        <v>35</v>
      </c>
      <c r="F5033" s="2">
        <v>212901001</v>
      </c>
      <c r="G5033" s="2" t="s">
        <v>91</v>
      </c>
      <c r="I5033" s="95" t="s">
        <v>7231</v>
      </c>
      <c r="J5033" t="s">
        <v>61</v>
      </c>
      <c r="K5033" t="s">
        <v>62</v>
      </c>
      <c r="M5033">
        <v>101.08</v>
      </c>
      <c r="N5033" s="4">
        <f t="shared" si="78"/>
        <v>-40</v>
      </c>
      <c r="O5033" t="s">
        <v>83</v>
      </c>
    </row>
    <row r="5034" spans="1:15" x14ac:dyDescent="0.25">
      <c r="A5034" s="22">
        <v>45821</v>
      </c>
      <c r="B5034" s="1">
        <v>714409726</v>
      </c>
      <c r="C5034" t="s">
        <v>3848</v>
      </c>
      <c r="D5034" s="23">
        <v>-4043.2</v>
      </c>
      <c r="E5034" s="76" t="s">
        <v>35</v>
      </c>
      <c r="F5034" s="2">
        <v>212901001</v>
      </c>
      <c r="G5034" s="2" t="s">
        <v>91</v>
      </c>
      <c r="I5034" s="95" t="s">
        <v>7231</v>
      </c>
      <c r="J5034" t="s">
        <v>61</v>
      </c>
      <c r="K5034" t="s">
        <v>62</v>
      </c>
      <c r="M5034">
        <v>101.08</v>
      </c>
      <c r="N5034" s="4">
        <f t="shared" si="78"/>
        <v>-40</v>
      </c>
      <c r="O5034" t="s">
        <v>83</v>
      </c>
    </row>
    <row r="5035" spans="1:15" x14ac:dyDescent="0.25">
      <c r="A5035" s="22">
        <v>45821</v>
      </c>
      <c r="B5035" s="1">
        <v>814409729</v>
      </c>
      <c r="C5035" t="s">
        <v>3849</v>
      </c>
      <c r="D5035" s="23">
        <v>-10108</v>
      </c>
      <c r="E5035" s="76" t="s">
        <v>35</v>
      </c>
      <c r="F5035" s="2">
        <v>212901001</v>
      </c>
      <c r="G5035" s="2" t="s">
        <v>91</v>
      </c>
      <c r="I5035" s="95" t="s">
        <v>7231</v>
      </c>
      <c r="J5035" t="s">
        <v>61</v>
      </c>
      <c r="K5035" t="s">
        <v>62</v>
      </c>
      <c r="M5035">
        <v>101.08</v>
      </c>
      <c r="N5035" s="4">
        <f t="shared" si="78"/>
        <v>-100</v>
      </c>
      <c r="O5035" t="s">
        <v>83</v>
      </c>
    </row>
    <row r="5036" spans="1:15" x14ac:dyDescent="0.25">
      <c r="A5036" s="22">
        <v>45821</v>
      </c>
      <c r="B5036" s="1">
        <v>814409727</v>
      </c>
      <c r="C5036" t="s">
        <v>3850</v>
      </c>
      <c r="D5036" s="23">
        <v>-4043.2</v>
      </c>
      <c r="E5036" s="76" t="s">
        <v>35</v>
      </c>
      <c r="F5036" s="2">
        <v>212901001</v>
      </c>
      <c r="G5036" s="2" t="s">
        <v>91</v>
      </c>
      <c r="I5036" s="95" t="s">
        <v>7231</v>
      </c>
      <c r="J5036" t="s">
        <v>61</v>
      </c>
      <c r="K5036" t="s">
        <v>62</v>
      </c>
      <c r="M5036">
        <v>101.08</v>
      </c>
      <c r="N5036" s="4">
        <f t="shared" si="78"/>
        <v>-40</v>
      </c>
      <c r="O5036" t="s">
        <v>83</v>
      </c>
    </row>
    <row r="5037" spans="1:15" x14ac:dyDescent="0.25">
      <c r="A5037" s="22">
        <v>45821</v>
      </c>
      <c r="B5037" s="1">
        <v>814409733</v>
      </c>
      <c r="C5037" t="s">
        <v>3851</v>
      </c>
      <c r="D5037" s="23">
        <v>-3032.4</v>
      </c>
      <c r="E5037" s="76" t="s">
        <v>35</v>
      </c>
      <c r="F5037" s="2">
        <v>212901001</v>
      </c>
      <c r="G5037" s="2" t="s">
        <v>91</v>
      </c>
      <c r="I5037" s="95" t="s">
        <v>7231</v>
      </c>
      <c r="J5037" t="s">
        <v>61</v>
      </c>
      <c r="K5037" t="s">
        <v>62</v>
      </c>
      <c r="M5037">
        <v>101.08</v>
      </c>
      <c r="N5037" s="4">
        <f t="shared" si="78"/>
        <v>-30</v>
      </c>
      <c r="O5037" t="s">
        <v>83</v>
      </c>
    </row>
    <row r="5038" spans="1:15" x14ac:dyDescent="0.25">
      <c r="A5038" s="22">
        <v>45821</v>
      </c>
      <c r="B5038" s="1">
        <v>814409728</v>
      </c>
      <c r="C5038" t="s">
        <v>3852</v>
      </c>
      <c r="D5038" s="23">
        <v>-4043.2</v>
      </c>
      <c r="E5038" s="76" t="s">
        <v>35</v>
      </c>
      <c r="F5038" s="2">
        <v>212901001</v>
      </c>
      <c r="G5038" s="2" t="s">
        <v>91</v>
      </c>
      <c r="I5038" s="95" t="s">
        <v>7231</v>
      </c>
      <c r="J5038" t="s">
        <v>61</v>
      </c>
      <c r="K5038" t="s">
        <v>62</v>
      </c>
      <c r="M5038">
        <v>101.08</v>
      </c>
      <c r="N5038" s="4">
        <f t="shared" si="78"/>
        <v>-40</v>
      </c>
      <c r="O5038" t="s">
        <v>83</v>
      </c>
    </row>
    <row r="5039" spans="1:15" x14ac:dyDescent="0.25">
      <c r="A5039" s="22">
        <v>45821</v>
      </c>
      <c r="B5039" s="1">
        <v>814409732</v>
      </c>
      <c r="C5039" t="s">
        <v>3853</v>
      </c>
      <c r="D5039" s="23">
        <v>-15162</v>
      </c>
      <c r="E5039" s="76" t="s">
        <v>35</v>
      </c>
      <c r="F5039" s="2">
        <v>212901001</v>
      </c>
      <c r="G5039" s="2" t="s">
        <v>91</v>
      </c>
      <c r="I5039" s="95" t="s">
        <v>7231</v>
      </c>
      <c r="J5039" t="s">
        <v>61</v>
      </c>
      <c r="K5039" t="s">
        <v>62</v>
      </c>
      <c r="M5039">
        <v>101.08</v>
      </c>
      <c r="N5039" s="4">
        <f t="shared" si="78"/>
        <v>-150</v>
      </c>
      <c r="O5039" t="s">
        <v>83</v>
      </c>
    </row>
    <row r="5040" spans="1:15" x14ac:dyDescent="0.25">
      <c r="A5040" s="22">
        <v>45821</v>
      </c>
      <c r="B5040" s="1">
        <v>814409730</v>
      </c>
      <c r="C5040" t="s">
        <v>3854</v>
      </c>
      <c r="D5040" s="23">
        <v>-10108</v>
      </c>
      <c r="E5040" s="76" t="s">
        <v>35</v>
      </c>
      <c r="F5040" s="2">
        <v>212901001</v>
      </c>
      <c r="G5040" s="2" t="s">
        <v>91</v>
      </c>
      <c r="I5040" s="95" t="s">
        <v>7231</v>
      </c>
      <c r="J5040" t="s">
        <v>61</v>
      </c>
      <c r="K5040" t="s">
        <v>62</v>
      </c>
      <c r="M5040">
        <v>101.08</v>
      </c>
      <c r="N5040" s="4">
        <f t="shared" si="78"/>
        <v>-100</v>
      </c>
      <c r="O5040" t="s">
        <v>83</v>
      </c>
    </row>
    <row r="5041" spans="1:15" x14ac:dyDescent="0.25">
      <c r="A5041" s="22">
        <v>45821</v>
      </c>
      <c r="B5041" s="1">
        <v>914409740</v>
      </c>
      <c r="C5041" t="s">
        <v>3855</v>
      </c>
      <c r="D5041" s="23">
        <v>-606.48</v>
      </c>
      <c r="E5041" s="76" t="s">
        <v>35</v>
      </c>
      <c r="F5041" s="2">
        <v>212901001</v>
      </c>
      <c r="G5041" s="2" t="s">
        <v>91</v>
      </c>
      <c r="I5041" s="95" t="s">
        <v>7231</v>
      </c>
      <c r="J5041" t="s">
        <v>61</v>
      </c>
      <c r="K5041" t="s">
        <v>62</v>
      </c>
      <c r="M5041">
        <v>101.08</v>
      </c>
      <c r="N5041" s="4">
        <f t="shared" si="78"/>
        <v>-6</v>
      </c>
      <c r="O5041" t="s">
        <v>83</v>
      </c>
    </row>
    <row r="5042" spans="1:15" x14ac:dyDescent="0.25">
      <c r="A5042" s="22">
        <v>45821</v>
      </c>
      <c r="B5042" s="1">
        <v>914409742</v>
      </c>
      <c r="C5042" t="s">
        <v>3856</v>
      </c>
      <c r="D5042" s="23">
        <v>-6064.8</v>
      </c>
      <c r="E5042" s="76" t="s">
        <v>35</v>
      </c>
      <c r="F5042" s="2">
        <v>212901001</v>
      </c>
      <c r="G5042" s="2" t="s">
        <v>91</v>
      </c>
      <c r="I5042" s="95" t="s">
        <v>7231</v>
      </c>
      <c r="J5042" t="s">
        <v>61</v>
      </c>
      <c r="K5042" t="s">
        <v>62</v>
      </c>
      <c r="M5042">
        <v>101.08</v>
      </c>
      <c r="N5042" s="4">
        <f t="shared" si="78"/>
        <v>-60</v>
      </c>
      <c r="O5042" t="s">
        <v>83</v>
      </c>
    </row>
    <row r="5043" spans="1:15" x14ac:dyDescent="0.25">
      <c r="A5043" s="22">
        <v>45821</v>
      </c>
      <c r="B5043" s="1">
        <v>814409738</v>
      </c>
      <c r="C5043" t="s">
        <v>3857</v>
      </c>
      <c r="D5043" s="23">
        <v>-8086.4</v>
      </c>
      <c r="E5043" s="76" t="s">
        <v>35</v>
      </c>
      <c r="F5043" s="2">
        <v>212901001</v>
      </c>
      <c r="G5043" s="2" t="s">
        <v>91</v>
      </c>
      <c r="I5043" s="95" t="s">
        <v>7231</v>
      </c>
      <c r="J5043" t="s">
        <v>61</v>
      </c>
      <c r="K5043" t="s">
        <v>62</v>
      </c>
      <c r="M5043">
        <v>101.08</v>
      </c>
      <c r="N5043" s="4">
        <f t="shared" si="78"/>
        <v>-80</v>
      </c>
      <c r="O5043" t="s">
        <v>83</v>
      </c>
    </row>
    <row r="5044" spans="1:15" x14ac:dyDescent="0.25">
      <c r="A5044" s="22">
        <v>45821</v>
      </c>
      <c r="B5044" s="1">
        <v>914409743</v>
      </c>
      <c r="C5044" t="s">
        <v>3858</v>
      </c>
      <c r="D5044" s="23">
        <v>-7075.6</v>
      </c>
      <c r="E5044" s="76" t="s">
        <v>35</v>
      </c>
      <c r="F5044" s="2">
        <v>212901001</v>
      </c>
      <c r="G5044" s="2" t="s">
        <v>91</v>
      </c>
      <c r="I5044" s="95" t="s">
        <v>7231</v>
      </c>
      <c r="J5044" t="s">
        <v>61</v>
      </c>
      <c r="K5044" t="s">
        <v>62</v>
      </c>
      <c r="M5044">
        <v>101.08</v>
      </c>
      <c r="N5044" s="4">
        <f t="shared" si="78"/>
        <v>-70</v>
      </c>
      <c r="O5044" t="s">
        <v>83</v>
      </c>
    </row>
    <row r="5045" spans="1:15" x14ac:dyDescent="0.25">
      <c r="A5045" s="22">
        <v>45821</v>
      </c>
      <c r="B5045" s="1">
        <v>914409741</v>
      </c>
      <c r="C5045" t="s">
        <v>3859</v>
      </c>
      <c r="D5045" s="23">
        <v>-7075.6</v>
      </c>
      <c r="E5045" s="76" t="s">
        <v>35</v>
      </c>
      <c r="F5045" s="2">
        <v>212901001</v>
      </c>
      <c r="G5045" s="2" t="s">
        <v>91</v>
      </c>
      <c r="I5045" s="95" t="s">
        <v>7231</v>
      </c>
      <c r="J5045" t="s">
        <v>61</v>
      </c>
      <c r="K5045" t="s">
        <v>62</v>
      </c>
      <c r="M5045">
        <v>101.08</v>
      </c>
      <c r="N5045" s="4">
        <f t="shared" si="78"/>
        <v>-70</v>
      </c>
      <c r="O5045" t="s">
        <v>83</v>
      </c>
    </row>
    <row r="5046" spans="1:15" x14ac:dyDescent="0.25">
      <c r="A5046" s="22">
        <v>45821</v>
      </c>
      <c r="B5046" s="1">
        <v>914409744</v>
      </c>
      <c r="C5046" t="s">
        <v>3860</v>
      </c>
      <c r="D5046" s="23">
        <v>-5054</v>
      </c>
      <c r="E5046" s="76" t="s">
        <v>35</v>
      </c>
      <c r="F5046" s="2">
        <v>212901001</v>
      </c>
      <c r="G5046" s="2" t="s">
        <v>91</v>
      </c>
      <c r="I5046" s="95" t="s">
        <v>7231</v>
      </c>
      <c r="J5046" t="s">
        <v>61</v>
      </c>
      <c r="K5046" t="s">
        <v>62</v>
      </c>
      <c r="M5046">
        <v>101.08</v>
      </c>
      <c r="N5046" s="4">
        <f t="shared" si="78"/>
        <v>-50</v>
      </c>
      <c r="O5046" t="s">
        <v>83</v>
      </c>
    </row>
    <row r="5047" spans="1:15" x14ac:dyDescent="0.25">
      <c r="A5047" s="22">
        <v>45821</v>
      </c>
      <c r="B5047" s="1">
        <v>914409745</v>
      </c>
      <c r="C5047" t="s">
        <v>3861</v>
      </c>
      <c r="D5047" s="23">
        <v>-7075.6</v>
      </c>
      <c r="E5047" s="76" t="s">
        <v>35</v>
      </c>
      <c r="F5047" s="2">
        <v>212901001</v>
      </c>
      <c r="G5047" s="2" t="s">
        <v>91</v>
      </c>
      <c r="I5047" s="95" t="s">
        <v>7231</v>
      </c>
      <c r="J5047" t="s">
        <v>61</v>
      </c>
      <c r="K5047" t="s">
        <v>62</v>
      </c>
      <c r="M5047">
        <v>101.08</v>
      </c>
      <c r="N5047" s="4">
        <f t="shared" si="78"/>
        <v>-70</v>
      </c>
      <c r="O5047" t="s">
        <v>83</v>
      </c>
    </row>
    <row r="5048" spans="1:15" x14ac:dyDescent="0.25">
      <c r="A5048" s="22">
        <v>45821</v>
      </c>
      <c r="B5048" s="1">
        <v>814409734</v>
      </c>
      <c r="C5048" t="s">
        <v>3862</v>
      </c>
      <c r="D5048" s="23">
        <v>-11118.8</v>
      </c>
      <c r="E5048" s="76" t="s">
        <v>35</v>
      </c>
      <c r="F5048" s="2">
        <v>212901001</v>
      </c>
      <c r="G5048" s="2" t="s">
        <v>91</v>
      </c>
      <c r="I5048" s="95" t="s">
        <v>7231</v>
      </c>
      <c r="J5048" t="s">
        <v>61</v>
      </c>
      <c r="K5048" t="s">
        <v>62</v>
      </c>
      <c r="M5048">
        <v>101.08</v>
      </c>
      <c r="N5048" s="4">
        <f t="shared" si="78"/>
        <v>-110</v>
      </c>
      <c r="O5048" t="s">
        <v>83</v>
      </c>
    </row>
    <row r="5049" spans="1:15" x14ac:dyDescent="0.25">
      <c r="A5049" s="22">
        <v>45821</v>
      </c>
      <c r="B5049" s="1">
        <v>914409739</v>
      </c>
      <c r="C5049" t="s">
        <v>3863</v>
      </c>
      <c r="D5049" s="23">
        <v>-10108</v>
      </c>
      <c r="E5049" s="76" t="s">
        <v>35</v>
      </c>
      <c r="F5049" s="2">
        <v>212901001</v>
      </c>
      <c r="G5049" s="2" t="s">
        <v>91</v>
      </c>
      <c r="I5049" s="95" t="s">
        <v>7231</v>
      </c>
      <c r="J5049" t="s">
        <v>61</v>
      </c>
      <c r="K5049" t="s">
        <v>62</v>
      </c>
      <c r="M5049">
        <v>101.08</v>
      </c>
      <c r="N5049" s="4">
        <f t="shared" si="78"/>
        <v>-100</v>
      </c>
      <c r="O5049" t="s">
        <v>83</v>
      </c>
    </row>
    <row r="5050" spans="1:15" x14ac:dyDescent="0.25">
      <c r="A5050" s="22">
        <v>45821</v>
      </c>
      <c r="B5050" s="1">
        <v>914409746</v>
      </c>
      <c r="C5050" t="s">
        <v>3864</v>
      </c>
      <c r="D5050" s="23">
        <v>-5054</v>
      </c>
      <c r="E5050" s="76" t="s">
        <v>35</v>
      </c>
      <c r="F5050" s="2">
        <v>212901001</v>
      </c>
      <c r="G5050" s="2" t="s">
        <v>91</v>
      </c>
      <c r="I5050" s="95" t="s">
        <v>7231</v>
      </c>
      <c r="J5050" t="s">
        <v>61</v>
      </c>
      <c r="K5050" t="s">
        <v>62</v>
      </c>
      <c r="M5050">
        <v>101.08</v>
      </c>
      <c r="N5050" s="4">
        <f t="shared" si="78"/>
        <v>-50</v>
      </c>
      <c r="O5050" t="s">
        <v>83</v>
      </c>
    </row>
    <row r="5051" spans="1:15" x14ac:dyDescent="0.25">
      <c r="A5051" s="22">
        <v>45821</v>
      </c>
      <c r="B5051" s="1">
        <v>14409747</v>
      </c>
      <c r="C5051" t="s">
        <v>3865</v>
      </c>
      <c r="D5051" s="23">
        <v>-5054</v>
      </c>
      <c r="E5051" s="76" t="s">
        <v>35</v>
      </c>
      <c r="F5051" s="2">
        <v>212901001</v>
      </c>
      <c r="G5051" s="2" t="s">
        <v>91</v>
      </c>
      <c r="I5051" s="95" t="s">
        <v>7231</v>
      </c>
      <c r="J5051" t="s">
        <v>61</v>
      </c>
      <c r="K5051" t="s">
        <v>62</v>
      </c>
      <c r="M5051">
        <v>101.08</v>
      </c>
      <c r="N5051" s="4">
        <f t="shared" si="78"/>
        <v>-50</v>
      </c>
      <c r="O5051" t="s">
        <v>83</v>
      </c>
    </row>
    <row r="5052" spans="1:15" x14ac:dyDescent="0.25">
      <c r="A5052" s="22">
        <v>45821</v>
      </c>
      <c r="B5052" s="1">
        <v>14409748</v>
      </c>
      <c r="C5052" t="s">
        <v>3866</v>
      </c>
      <c r="D5052" s="23">
        <v>-5054</v>
      </c>
      <c r="E5052" s="76" t="s">
        <v>35</v>
      </c>
      <c r="F5052" s="2">
        <v>212901001</v>
      </c>
      <c r="G5052" s="2" t="s">
        <v>91</v>
      </c>
      <c r="I5052" s="95" t="s">
        <v>7231</v>
      </c>
      <c r="J5052" t="s">
        <v>61</v>
      </c>
      <c r="K5052" t="s">
        <v>62</v>
      </c>
      <c r="M5052">
        <v>101.08</v>
      </c>
      <c r="N5052" s="4">
        <f t="shared" si="78"/>
        <v>-50</v>
      </c>
      <c r="O5052" t="s">
        <v>83</v>
      </c>
    </row>
    <row r="5053" spans="1:15" x14ac:dyDescent="0.25">
      <c r="A5053" s="22">
        <v>45821</v>
      </c>
      <c r="B5053" s="1">
        <v>14409752</v>
      </c>
      <c r="C5053" t="s">
        <v>3867</v>
      </c>
      <c r="D5053" s="23">
        <v>-5054</v>
      </c>
      <c r="E5053" s="76" t="s">
        <v>35</v>
      </c>
      <c r="F5053" s="2">
        <v>212901001</v>
      </c>
      <c r="G5053" s="2" t="s">
        <v>91</v>
      </c>
      <c r="I5053" s="95" t="s">
        <v>7231</v>
      </c>
      <c r="J5053" t="s">
        <v>61</v>
      </c>
      <c r="K5053" t="s">
        <v>62</v>
      </c>
      <c r="M5053">
        <v>101.08</v>
      </c>
      <c r="N5053" s="4">
        <f t="shared" si="78"/>
        <v>-50</v>
      </c>
      <c r="O5053" t="s">
        <v>83</v>
      </c>
    </row>
    <row r="5054" spans="1:15" x14ac:dyDescent="0.25">
      <c r="A5054" s="22">
        <v>45821</v>
      </c>
      <c r="B5054" s="1">
        <v>14409757</v>
      </c>
      <c r="C5054" t="s">
        <v>3868</v>
      </c>
      <c r="D5054" s="23">
        <v>-4245.3599999999997</v>
      </c>
      <c r="E5054" s="76" t="s">
        <v>35</v>
      </c>
      <c r="F5054" s="2">
        <v>212901001</v>
      </c>
      <c r="G5054" s="2" t="s">
        <v>91</v>
      </c>
      <c r="I5054" s="95" t="s">
        <v>7231</v>
      </c>
      <c r="J5054" t="s">
        <v>61</v>
      </c>
      <c r="K5054" t="s">
        <v>62</v>
      </c>
      <c r="M5054">
        <v>101.08</v>
      </c>
      <c r="N5054" s="4">
        <f t="shared" si="78"/>
        <v>-42</v>
      </c>
      <c r="O5054" t="s">
        <v>83</v>
      </c>
    </row>
    <row r="5055" spans="1:15" x14ac:dyDescent="0.25">
      <c r="A5055" s="22">
        <v>45821</v>
      </c>
      <c r="B5055" s="1">
        <v>14409758</v>
      </c>
      <c r="C5055" t="s">
        <v>3861</v>
      </c>
      <c r="D5055" s="23">
        <v>-5054</v>
      </c>
      <c r="E5055" s="76" t="s">
        <v>35</v>
      </c>
      <c r="F5055" s="2">
        <v>212901001</v>
      </c>
      <c r="G5055" s="2" t="s">
        <v>91</v>
      </c>
      <c r="I5055" s="95" t="s">
        <v>7231</v>
      </c>
      <c r="J5055" t="s">
        <v>61</v>
      </c>
      <c r="K5055" t="s">
        <v>62</v>
      </c>
      <c r="M5055">
        <v>101.08</v>
      </c>
      <c r="N5055" s="4">
        <f t="shared" si="78"/>
        <v>-50</v>
      </c>
      <c r="O5055" t="s">
        <v>83</v>
      </c>
    </row>
    <row r="5056" spans="1:15" x14ac:dyDescent="0.25">
      <c r="A5056" s="22">
        <v>45821</v>
      </c>
      <c r="B5056" s="1">
        <v>14409749</v>
      </c>
      <c r="C5056" t="s">
        <v>3869</v>
      </c>
      <c r="D5056" s="23">
        <v>-5054</v>
      </c>
      <c r="E5056" s="76" t="s">
        <v>35</v>
      </c>
      <c r="F5056" s="2">
        <v>212901001</v>
      </c>
      <c r="G5056" s="2" t="s">
        <v>91</v>
      </c>
      <c r="I5056" s="95" t="s">
        <v>7231</v>
      </c>
      <c r="J5056" t="s">
        <v>61</v>
      </c>
      <c r="K5056" t="s">
        <v>62</v>
      </c>
      <c r="M5056">
        <v>101.08</v>
      </c>
      <c r="N5056" s="4">
        <f t="shared" si="78"/>
        <v>-50</v>
      </c>
      <c r="O5056" t="s">
        <v>83</v>
      </c>
    </row>
    <row r="5057" spans="1:15" x14ac:dyDescent="0.25">
      <c r="A5057" s="22">
        <v>45821</v>
      </c>
      <c r="B5057" s="1">
        <v>14409750</v>
      </c>
      <c r="C5057" t="s">
        <v>3870</v>
      </c>
      <c r="D5057" s="23">
        <v>-5054</v>
      </c>
      <c r="E5057" s="76" t="s">
        <v>35</v>
      </c>
      <c r="F5057" s="2">
        <v>212901001</v>
      </c>
      <c r="G5057" s="2" t="s">
        <v>91</v>
      </c>
      <c r="I5057" s="95" t="s">
        <v>7231</v>
      </c>
      <c r="J5057" t="s">
        <v>61</v>
      </c>
      <c r="K5057" t="s">
        <v>62</v>
      </c>
      <c r="M5057">
        <v>101.08</v>
      </c>
      <c r="N5057" s="4">
        <f t="shared" si="78"/>
        <v>-50</v>
      </c>
      <c r="O5057" t="s">
        <v>83</v>
      </c>
    </row>
    <row r="5058" spans="1:15" x14ac:dyDescent="0.25">
      <c r="A5058" s="22">
        <v>45821</v>
      </c>
      <c r="B5058" s="1">
        <v>14409756</v>
      </c>
      <c r="C5058" t="s">
        <v>3871</v>
      </c>
      <c r="D5058" s="23">
        <v>-5054</v>
      </c>
      <c r="E5058" s="76" t="s">
        <v>35</v>
      </c>
      <c r="F5058" s="2">
        <v>212901001</v>
      </c>
      <c r="G5058" s="2" t="s">
        <v>91</v>
      </c>
      <c r="I5058" s="95" t="s">
        <v>7231</v>
      </c>
      <c r="J5058" t="s">
        <v>61</v>
      </c>
      <c r="K5058" t="s">
        <v>62</v>
      </c>
      <c r="M5058">
        <v>101.08</v>
      </c>
      <c r="N5058" s="4">
        <f t="shared" si="78"/>
        <v>-50</v>
      </c>
      <c r="O5058" t="s">
        <v>83</v>
      </c>
    </row>
    <row r="5059" spans="1:15" x14ac:dyDescent="0.25">
      <c r="A5059" s="22">
        <v>45821</v>
      </c>
      <c r="B5059" s="1">
        <v>14409759</v>
      </c>
      <c r="C5059" t="s">
        <v>3872</v>
      </c>
      <c r="D5059" s="23">
        <v>-5054</v>
      </c>
      <c r="E5059" s="76" t="s">
        <v>35</v>
      </c>
      <c r="F5059" s="2">
        <v>212901001</v>
      </c>
      <c r="G5059" s="2" t="s">
        <v>91</v>
      </c>
      <c r="I5059" s="95" t="s">
        <v>7231</v>
      </c>
      <c r="J5059" t="s">
        <v>61</v>
      </c>
      <c r="K5059" t="s">
        <v>62</v>
      </c>
      <c r="M5059">
        <v>101.08</v>
      </c>
      <c r="N5059" s="4">
        <f t="shared" si="78"/>
        <v>-50</v>
      </c>
      <c r="O5059" t="s">
        <v>83</v>
      </c>
    </row>
    <row r="5060" spans="1:15" x14ac:dyDescent="0.25">
      <c r="A5060" s="22">
        <v>45821</v>
      </c>
      <c r="B5060" s="1">
        <v>114409761</v>
      </c>
      <c r="C5060" t="s">
        <v>3873</v>
      </c>
      <c r="D5060" s="23">
        <v>-5054</v>
      </c>
      <c r="E5060" s="76" t="s">
        <v>35</v>
      </c>
      <c r="F5060" s="2">
        <v>212901001</v>
      </c>
      <c r="G5060" s="2" t="s">
        <v>91</v>
      </c>
      <c r="I5060" s="95" t="s">
        <v>7231</v>
      </c>
      <c r="J5060" t="s">
        <v>61</v>
      </c>
      <c r="K5060" t="s">
        <v>62</v>
      </c>
      <c r="M5060">
        <v>101.08</v>
      </c>
      <c r="N5060" s="4">
        <f t="shared" si="78"/>
        <v>-50</v>
      </c>
      <c r="O5060" t="s">
        <v>83</v>
      </c>
    </row>
    <row r="5061" spans="1:15" x14ac:dyDescent="0.25">
      <c r="A5061" s="22">
        <v>45821</v>
      </c>
      <c r="B5061" s="1">
        <v>114409765</v>
      </c>
      <c r="C5061" t="s">
        <v>3874</v>
      </c>
      <c r="D5061" s="23">
        <v>-2021.6</v>
      </c>
      <c r="E5061" s="76" t="s">
        <v>35</v>
      </c>
      <c r="F5061" s="2">
        <v>212901001</v>
      </c>
      <c r="G5061" s="2" t="s">
        <v>91</v>
      </c>
      <c r="I5061" s="95" t="s">
        <v>7231</v>
      </c>
      <c r="J5061" t="s">
        <v>61</v>
      </c>
      <c r="K5061" t="s">
        <v>62</v>
      </c>
      <c r="M5061">
        <v>101.08</v>
      </c>
      <c r="N5061" s="4">
        <f t="shared" si="78"/>
        <v>-20</v>
      </c>
      <c r="O5061" t="s">
        <v>83</v>
      </c>
    </row>
    <row r="5062" spans="1:15" x14ac:dyDescent="0.25">
      <c r="A5062" s="22">
        <v>45821</v>
      </c>
      <c r="B5062" s="1">
        <v>114409762</v>
      </c>
      <c r="C5062" t="s">
        <v>3875</v>
      </c>
      <c r="D5062" s="23">
        <v>-5862.64</v>
      </c>
      <c r="E5062" s="76" t="s">
        <v>35</v>
      </c>
      <c r="F5062" s="2">
        <v>212901001</v>
      </c>
      <c r="G5062" s="2" t="s">
        <v>91</v>
      </c>
      <c r="I5062" s="95" t="s">
        <v>7231</v>
      </c>
      <c r="J5062" t="s">
        <v>61</v>
      </c>
      <c r="K5062" t="s">
        <v>62</v>
      </c>
      <c r="M5062">
        <v>101.08</v>
      </c>
      <c r="N5062" s="4">
        <f t="shared" si="78"/>
        <v>-58.000000000000007</v>
      </c>
      <c r="O5062" t="s">
        <v>83</v>
      </c>
    </row>
    <row r="5063" spans="1:15" x14ac:dyDescent="0.25">
      <c r="A5063" s="22">
        <v>45821</v>
      </c>
      <c r="B5063" s="1">
        <v>114409760</v>
      </c>
      <c r="C5063" t="s">
        <v>3876</v>
      </c>
      <c r="D5063" s="23">
        <v>-5054</v>
      </c>
      <c r="E5063" s="76" t="s">
        <v>35</v>
      </c>
      <c r="F5063" s="2">
        <v>212901001</v>
      </c>
      <c r="G5063" s="2" t="s">
        <v>91</v>
      </c>
      <c r="I5063" s="95" t="s">
        <v>7231</v>
      </c>
      <c r="J5063" t="s">
        <v>61</v>
      </c>
      <c r="K5063" t="s">
        <v>62</v>
      </c>
      <c r="M5063">
        <v>101.08</v>
      </c>
      <c r="N5063" s="4">
        <f t="shared" si="78"/>
        <v>-50</v>
      </c>
      <c r="O5063" t="s">
        <v>83</v>
      </c>
    </row>
    <row r="5064" spans="1:15" x14ac:dyDescent="0.25">
      <c r="A5064" s="22">
        <v>45821</v>
      </c>
      <c r="B5064" s="1">
        <v>114409764</v>
      </c>
      <c r="C5064" t="s">
        <v>3877</v>
      </c>
      <c r="D5064" s="23">
        <v>-2021.6</v>
      </c>
      <c r="E5064" s="76" t="s">
        <v>35</v>
      </c>
      <c r="F5064" s="2">
        <v>212901001</v>
      </c>
      <c r="G5064" s="2" t="s">
        <v>91</v>
      </c>
      <c r="I5064" s="95" t="s">
        <v>7231</v>
      </c>
      <c r="J5064" t="s">
        <v>61</v>
      </c>
      <c r="K5064" t="s">
        <v>62</v>
      </c>
      <c r="M5064">
        <v>101.08</v>
      </c>
      <c r="N5064" s="4">
        <f t="shared" si="78"/>
        <v>-20</v>
      </c>
      <c r="O5064" t="s">
        <v>83</v>
      </c>
    </row>
    <row r="5065" spans="1:15" x14ac:dyDescent="0.25">
      <c r="A5065" s="22">
        <v>45821</v>
      </c>
      <c r="B5065" s="1">
        <v>114409768</v>
      </c>
      <c r="C5065" t="s">
        <v>3878</v>
      </c>
      <c r="D5065" s="23">
        <v>-10108</v>
      </c>
      <c r="E5065" s="76" t="s">
        <v>35</v>
      </c>
      <c r="F5065" s="2">
        <v>212901001</v>
      </c>
      <c r="G5065" s="2" t="s">
        <v>91</v>
      </c>
      <c r="I5065" s="95" t="s">
        <v>7231</v>
      </c>
      <c r="J5065" t="s">
        <v>61</v>
      </c>
      <c r="K5065" t="s">
        <v>62</v>
      </c>
      <c r="M5065">
        <v>101.08</v>
      </c>
      <c r="N5065" s="4">
        <f t="shared" si="78"/>
        <v>-100</v>
      </c>
      <c r="O5065" t="s">
        <v>83</v>
      </c>
    </row>
    <row r="5066" spans="1:15" x14ac:dyDescent="0.25">
      <c r="A5066" s="22">
        <v>45821</v>
      </c>
      <c r="B5066" s="1">
        <v>114409766</v>
      </c>
      <c r="C5066" t="s">
        <v>3879</v>
      </c>
      <c r="D5066" s="23">
        <v>-2021.6</v>
      </c>
      <c r="E5066" s="76" t="s">
        <v>35</v>
      </c>
      <c r="F5066" s="2">
        <v>212901001</v>
      </c>
      <c r="G5066" s="2" t="s">
        <v>91</v>
      </c>
      <c r="I5066" s="95" t="s">
        <v>7231</v>
      </c>
      <c r="J5066" t="s">
        <v>61</v>
      </c>
      <c r="K5066" t="s">
        <v>62</v>
      </c>
      <c r="M5066">
        <v>101.08</v>
      </c>
      <c r="N5066" s="4">
        <f t="shared" si="78"/>
        <v>-20</v>
      </c>
      <c r="O5066" t="s">
        <v>83</v>
      </c>
    </row>
    <row r="5067" spans="1:15" x14ac:dyDescent="0.25">
      <c r="A5067" s="22">
        <v>45821</v>
      </c>
      <c r="B5067" s="1">
        <v>114409767</v>
      </c>
      <c r="C5067" t="s">
        <v>3880</v>
      </c>
      <c r="D5067" s="23">
        <v>-2021.6</v>
      </c>
      <c r="E5067" s="76" t="s">
        <v>35</v>
      </c>
      <c r="F5067" s="2">
        <v>212901001</v>
      </c>
      <c r="G5067" s="2" t="s">
        <v>91</v>
      </c>
      <c r="I5067" s="95" t="s">
        <v>7231</v>
      </c>
      <c r="J5067" t="s">
        <v>61</v>
      </c>
      <c r="K5067" t="s">
        <v>62</v>
      </c>
      <c r="M5067">
        <v>101.08</v>
      </c>
      <c r="N5067" s="4">
        <f t="shared" si="78"/>
        <v>-20</v>
      </c>
      <c r="O5067" t="s">
        <v>83</v>
      </c>
    </row>
    <row r="5068" spans="1:15" x14ac:dyDescent="0.25">
      <c r="A5068" s="22">
        <v>45821</v>
      </c>
      <c r="B5068" s="1">
        <v>114409769</v>
      </c>
      <c r="C5068" t="s">
        <v>3881</v>
      </c>
      <c r="D5068" s="23">
        <v>-20216</v>
      </c>
      <c r="E5068" s="76" t="s">
        <v>35</v>
      </c>
      <c r="F5068" s="2">
        <v>212901001</v>
      </c>
      <c r="G5068" s="2" t="s">
        <v>91</v>
      </c>
      <c r="I5068" s="95" t="s">
        <v>7231</v>
      </c>
      <c r="J5068" t="s">
        <v>61</v>
      </c>
      <c r="K5068" t="s">
        <v>62</v>
      </c>
      <c r="M5068">
        <v>101.08</v>
      </c>
      <c r="N5068" s="4">
        <f t="shared" ref="N5068:N5131" si="79">D5068/M5068</f>
        <v>-200</v>
      </c>
      <c r="O5068" t="s">
        <v>83</v>
      </c>
    </row>
    <row r="5069" spans="1:15" x14ac:dyDescent="0.25">
      <c r="A5069" s="22">
        <v>45821</v>
      </c>
      <c r="B5069" s="1">
        <v>214409771</v>
      </c>
      <c r="C5069" t="s">
        <v>3882</v>
      </c>
      <c r="D5069" s="23">
        <v>-3032.4</v>
      </c>
      <c r="E5069" s="76" t="s">
        <v>35</v>
      </c>
      <c r="F5069" s="2">
        <v>212901001</v>
      </c>
      <c r="G5069" s="2" t="s">
        <v>91</v>
      </c>
      <c r="I5069" s="95" t="s">
        <v>7231</v>
      </c>
      <c r="J5069" t="s">
        <v>61</v>
      </c>
      <c r="K5069" t="s">
        <v>62</v>
      </c>
      <c r="M5069">
        <v>101.08</v>
      </c>
      <c r="N5069" s="4">
        <f t="shared" si="79"/>
        <v>-30</v>
      </c>
      <c r="O5069" t="s">
        <v>83</v>
      </c>
    </row>
    <row r="5070" spans="1:15" x14ac:dyDescent="0.25">
      <c r="A5070" s="22">
        <v>45821</v>
      </c>
      <c r="B5070" s="1">
        <v>214409770</v>
      </c>
      <c r="C5070" t="s">
        <v>3883</v>
      </c>
      <c r="D5070" s="23">
        <v>-12331.76</v>
      </c>
      <c r="E5070" s="76" t="s">
        <v>35</v>
      </c>
      <c r="F5070" s="2">
        <v>212901001</v>
      </c>
      <c r="G5070" s="2" t="s">
        <v>91</v>
      </c>
      <c r="I5070" s="95" t="s">
        <v>7231</v>
      </c>
      <c r="J5070" t="s">
        <v>61</v>
      </c>
      <c r="K5070" t="s">
        <v>62</v>
      </c>
      <c r="M5070">
        <v>101.08</v>
      </c>
      <c r="N5070" s="4">
        <f t="shared" si="79"/>
        <v>-122</v>
      </c>
      <c r="O5070" t="s">
        <v>83</v>
      </c>
    </row>
    <row r="5071" spans="1:15" x14ac:dyDescent="0.25">
      <c r="A5071" s="22">
        <v>45821</v>
      </c>
      <c r="B5071" s="1">
        <v>214409772</v>
      </c>
      <c r="C5071" t="s">
        <v>3884</v>
      </c>
      <c r="D5071" s="23">
        <v>-4043.2</v>
      </c>
      <c r="E5071" s="76" t="s">
        <v>35</v>
      </c>
      <c r="F5071" s="2">
        <v>212901001</v>
      </c>
      <c r="G5071" s="2" t="s">
        <v>91</v>
      </c>
      <c r="I5071" s="95" t="s">
        <v>7231</v>
      </c>
      <c r="J5071" t="s">
        <v>61</v>
      </c>
      <c r="K5071" t="s">
        <v>62</v>
      </c>
      <c r="M5071">
        <v>101.08</v>
      </c>
      <c r="N5071" s="4">
        <f t="shared" si="79"/>
        <v>-40</v>
      </c>
      <c r="O5071" t="s">
        <v>83</v>
      </c>
    </row>
    <row r="5072" spans="1:15" x14ac:dyDescent="0.25">
      <c r="A5072" s="22">
        <v>45821</v>
      </c>
      <c r="B5072" s="1">
        <v>50699609</v>
      </c>
      <c r="C5072" t="s">
        <v>3885</v>
      </c>
      <c r="D5072" s="23">
        <v>-14151.2</v>
      </c>
      <c r="E5072" s="76" t="s">
        <v>35</v>
      </c>
      <c r="F5072" s="2">
        <v>212901001</v>
      </c>
      <c r="G5072" s="2" t="s">
        <v>91</v>
      </c>
      <c r="I5072" s="95" t="s">
        <v>7231</v>
      </c>
      <c r="J5072" t="s">
        <v>61</v>
      </c>
      <c r="K5072" t="s">
        <v>62</v>
      </c>
      <c r="M5072">
        <v>101.08</v>
      </c>
      <c r="N5072" s="4">
        <f t="shared" si="79"/>
        <v>-140</v>
      </c>
      <c r="O5072" t="s">
        <v>83</v>
      </c>
    </row>
    <row r="5073" spans="1:20" x14ac:dyDescent="0.25">
      <c r="A5073" s="22">
        <v>45821</v>
      </c>
      <c r="B5073" s="1">
        <v>50699609</v>
      </c>
      <c r="C5073" t="s">
        <v>179</v>
      </c>
      <c r="D5073" s="23">
        <v>-21.22</v>
      </c>
      <c r="E5073" s="76" t="s">
        <v>35</v>
      </c>
      <c r="F5073" s="2">
        <v>610148001</v>
      </c>
      <c r="G5073" s="2" t="s">
        <v>41</v>
      </c>
      <c r="I5073" s="95" t="s">
        <v>7231</v>
      </c>
      <c r="J5073" t="s">
        <v>42</v>
      </c>
      <c r="K5073" t="s">
        <v>41</v>
      </c>
      <c r="M5073">
        <v>101.08</v>
      </c>
      <c r="N5073" s="4">
        <f t="shared" si="79"/>
        <v>-0.20993272655322517</v>
      </c>
      <c r="O5073" t="s">
        <v>83</v>
      </c>
      <c r="Q5073" s="24" t="s">
        <v>3649</v>
      </c>
    </row>
    <row r="5074" spans="1:20" x14ac:dyDescent="0.25">
      <c r="A5074" s="22">
        <v>45821</v>
      </c>
      <c r="B5074" s="1">
        <v>50699609</v>
      </c>
      <c r="C5074" t="s">
        <v>89</v>
      </c>
      <c r="D5074" s="23">
        <v>-1137.1500000000001</v>
      </c>
      <c r="E5074" s="76" t="s">
        <v>35</v>
      </c>
      <c r="F5074" s="2">
        <v>610148001</v>
      </c>
      <c r="G5074" s="2" t="s">
        <v>41</v>
      </c>
      <c r="I5074" s="95" t="s">
        <v>7231</v>
      </c>
      <c r="J5074" t="s">
        <v>42</v>
      </c>
      <c r="K5074" t="s">
        <v>41</v>
      </c>
      <c r="M5074">
        <v>101.08</v>
      </c>
      <c r="N5074" s="4">
        <f t="shared" si="79"/>
        <v>-11.250000000000002</v>
      </c>
      <c r="O5074" t="s">
        <v>83</v>
      </c>
      <c r="Q5074" s="24" t="s">
        <v>3649</v>
      </c>
    </row>
    <row r="5075" spans="1:20" x14ac:dyDescent="0.25">
      <c r="A5075" s="22">
        <v>45825</v>
      </c>
      <c r="B5075" s="1">
        <v>131001918</v>
      </c>
      <c r="C5075" t="s">
        <v>3646</v>
      </c>
      <c r="D5075" s="23">
        <v>140000</v>
      </c>
      <c r="E5075" s="76" t="s">
        <v>45</v>
      </c>
      <c r="F5075" s="2">
        <v>210115002</v>
      </c>
      <c r="G5075" s="2" t="s">
        <v>46</v>
      </c>
      <c r="I5075" s="95" t="s">
        <v>7231</v>
      </c>
      <c r="K5075" t="s">
        <v>3646</v>
      </c>
      <c r="M5075">
        <v>102.16</v>
      </c>
      <c r="N5075" s="4">
        <f t="shared" si="79"/>
        <v>1370.3993735317149</v>
      </c>
      <c r="O5075" t="s">
        <v>83</v>
      </c>
    </row>
    <row r="5076" spans="1:20" x14ac:dyDescent="0.25">
      <c r="A5076" s="22">
        <v>45825</v>
      </c>
      <c r="B5076" s="1">
        <v>214527431</v>
      </c>
      <c r="C5076" t="s">
        <v>3886</v>
      </c>
      <c r="D5076" s="23">
        <v>-58023.93</v>
      </c>
      <c r="E5076" s="76" t="s">
        <v>35</v>
      </c>
      <c r="F5076" s="2">
        <v>212901001</v>
      </c>
      <c r="G5076" s="2" t="s">
        <v>91</v>
      </c>
      <c r="I5076" s="95" t="s">
        <v>7231</v>
      </c>
      <c r="J5076" t="s">
        <v>61</v>
      </c>
      <c r="K5076" t="s">
        <v>62</v>
      </c>
      <c r="M5076">
        <v>102.16</v>
      </c>
      <c r="N5076" s="4">
        <f t="shared" si="79"/>
        <v>-567.97112372748632</v>
      </c>
      <c r="O5076" t="s">
        <v>83</v>
      </c>
      <c r="R5076">
        <v>43</v>
      </c>
      <c r="S5076" t="e">
        <f>VLOOKUP(R5076,[1]!NOMINA[#Data],4,FALSE)</f>
        <v>#REF!</v>
      </c>
      <c r="T5076" t="e">
        <f>VLOOKUP(R5076,[1]!NOMINA[#Data],5,FALSE)</f>
        <v>#REF!</v>
      </c>
    </row>
    <row r="5077" spans="1:20" x14ac:dyDescent="0.25">
      <c r="A5077" s="22">
        <v>45825</v>
      </c>
      <c r="B5077" s="1">
        <v>214527432</v>
      </c>
      <c r="C5077" t="s">
        <v>3887</v>
      </c>
      <c r="D5077" s="23">
        <v>-19581.87</v>
      </c>
      <c r="E5077" s="76" t="s">
        <v>35</v>
      </c>
      <c r="F5077" s="2">
        <v>212901001</v>
      </c>
      <c r="G5077" s="2" t="s">
        <v>91</v>
      </c>
      <c r="I5077" s="95" t="s">
        <v>7231</v>
      </c>
      <c r="J5077" t="s">
        <v>61</v>
      </c>
      <c r="K5077" t="s">
        <v>62</v>
      </c>
      <c r="M5077">
        <v>102.16</v>
      </c>
      <c r="N5077" s="4">
        <f t="shared" si="79"/>
        <v>-191.67844557556774</v>
      </c>
      <c r="O5077" t="s">
        <v>83</v>
      </c>
      <c r="R5077">
        <v>42</v>
      </c>
      <c r="S5077" t="e">
        <f>VLOOKUP(R5077,[1]!NOMINA[#Data],4,FALSE)</f>
        <v>#REF!</v>
      </c>
      <c r="T5077" t="e">
        <f>VLOOKUP(R5077,[1]!NOMINA[#Data],5,FALSE)</f>
        <v>#REF!</v>
      </c>
    </row>
    <row r="5078" spans="1:20" x14ac:dyDescent="0.25">
      <c r="A5078" s="22">
        <v>45825</v>
      </c>
      <c r="B5078" s="1">
        <v>214527433</v>
      </c>
      <c r="C5078" t="s">
        <v>3888</v>
      </c>
      <c r="D5078" s="23">
        <v>-19640.919999999998</v>
      </c>
      <c r="E5078" s="76" t="s">
        <v>35</v>
      </c>
      <c r="F5078" s="2">
        <v>212901001</v>
      </c>
      <c r="G5078" s="2" t="s">
        <v>91</v>
      </c>
      <c r="I5078" s="95" t="s">
        <v>7231</v>
      </c>
      <c r="J5078" t="s">
        <v>61</v>
      </c>
      <c r="K5078" t="s">
        <v>62</v>
      </c>
      <c r="M5078">
        <v>102.16</v>
      </c>
      <c r="N5078" s="4">
        <f t="shared" si="79"/>
        <v>-192.25646045418949</v>
      </c>
      <c r="O5078" t="s">
        <v>83</v>
      </c>
      <c r="R5078">
        <v>36</v>
      </c>
      <c r="S5078" t="e">
        <f>VLOOKUP(R5078,[1]!NOMINA[#Data],4,FALSE)</f>
        <v>#REF!</v>
      </c>
      <c r="T5078" t="e">
        <f>VLOOKUP(R5078,[1]!NOMINA[#Data],5,FALSE)</f>
        <v>#REF!</v>
      </c>
    </row>
    <row r="5079" spans="1:20" x14ac:dyDescent="0.25">
      <c r="A5079" s="22">
        <v>45825</v>
      </c>
      <c r="B5079" s="1">
        <v>114527430</v>
      </c>
      <c r="C5079" t="s">
        <v>3889</v>
      </c>
      <c r="D5079" s="23">
        <v>-28322.78</v>
      </c>
      <c r="E5079" s="76" t="s">
        <v>35</v>
      </c>
      <c r="F5079" s="2">
        <v>212901001</v>
      </c>
      <c r="G5079" s="2" t="s">
        <v>91</v>
      </c>
      <c r="I5079" s="95" t="s">
        <v>7231</v>
      </c>
      <c r="J5079" t="s">
        <v>61</v>
      </c>
      <c r="K5079" t="s">
        <v>62</v>
      </c>
      <c r="M5079">
        <v>102.16</v>
      </c>
      <c r="N5079" s="4">
        <f t="shared" si="79"/>
        <v>-277.23942834768991</v>
      </c>
      <c r="O5079" t="s">
        <v>83</v>
      </c>
      <c r="R5079">
        <v>39</v>
      </c>
      <c r="S5079" t="e">
        <f>VLOOKUP(R5079,[1]!NOMINA[#Data],4,FALSE)</f>
        <v>#REF!</v>
      </c>
      <c r="T5079" t="e">
        <f>VLOOKUP(R5079,[1]!NOMINA[#Data],5,FALSE)</f>
        <v>#REF!</v>
      </c>
    </row>
    <row r="5080" spans="1:20" x14ac:dyDescent="0.25">
      <c r="A5080" s="22">
        <v>45825</v>
      </c>
      <c r="B5080" s="1">
        <v>50627179</v>
      </c>
      <c r="C5080" t="s">
        <v>3890</v>
      </c>
      <c r="D5080" s="23">
        <v>-37081.129999999997</v>
      </c>
      <c r="E5080" s="76" t="s">
        <v>35</v>
      </c>
      <c r="F5080" s="2">
        <v>212901001</v>
      </c>
      <c r="G5080" s="2" t="s">
        <v>91</v>
      </c>
      <c r="I5080" s="95" t="s">
        <v>7231</v>
      </c>
      <c r="J5080" t="s">
        <v>61</v>
      </c>
      <c r="K5080" t="s">
        <v>62</v>
      </c>
      <c r="M5080">
        <v>102.16</v>
      </c>
      <c r="N5080" s="4">
        <f t="shared" si="79"/>
        <v>-362.97112372748626</v>
      </c>
      <c r="O5080" t="s">
        <v>83</v>
      </c>
      <c r="R5080">
        <v>40</v>
      </c>
      <c r="S5080" t="e">
        <f>VLOOKUP(R5080,[1]!NOMINA[#Data],4,FALSE)</f>
        <v>#REF!</v>
      </c>
      <c r="T5080" t="e">
        <f>VLOOKUP(R5080,[1]!NOMINA[#Data],5,FALSE)</f>
        <v>#REF!</v>
      </c>
    </row>
    <row r="5081" spans="1:20" x14ac:dyDescent="0.25">
      <c r="A5081" s="22">
        <v>45825</v>
      </c>
      <c r="B5081" s="1">
        <v>50627179</v>
      </c>
      <c r="C5081" t="s">
        <v>179</v>
      </c>
      <c r="D5081" s="23">
        <v>-55.62</v>
      </c>
      <c r="E5081" s="76" t="s">
        <v>35</v>
      </c>
      <c r="F5081" s="2">
        <v>610148001</v>
      </c>
      <c r="G5081" s="2" t="s">
        <v>41</v>
      </c>
      <c r="I5081" s="95" t="s">
        <v>7231</v>
      </c>
      <c r="J5081" t="s">
        <v>42</v>
      </c>
      <c r="K5081" t="s">
        <v>41</v>
      </c>
      <c r="M5081">
        <v>102.16</v>
      </c>
      <c r="N5081" s="4">
        <f t="shared" si="79"/>
        <v>-0.54444009397024273</v>
      </c>
      <c r="O5081" t="s">
        <v>83</v>
      </c>
      <c r="Q5081" s="24" t="s">
        <v>3649</v>
      </c>
    </row>
    <row r="5082" spans="1:20" x14ac:dyDescent="0.25">
      <c r="A5082" s="22">
        <v>45825</v>
      </c>
      <c r="B5082" s="1">
        <v>50627179</v>
      </c>
      <c r="C5082" t="s">
        <v>89</v>
      </c>
      <c r="D5082" s="23">
        <v>-313.92</v>
      </c>
      <c r="E5082" s="76" t="s">
        <v>35</v>
      </c>
      <c r="F5082" s="2">
        <v>610148001</v>
      </c>
      <c r="G5082" s="2" t="s">
        <v>41</v>
      </c>
      <c r="I5082" s="95" t="s">
        <v>7231</v>
      </c>
      <c r="J5082" t="s">
        <v>42</v>
      </c>
      <c r="K5082" t="s">
        <v>41</v>
      </c>
      <c r="M5082">
        <v>102.16</v>
      </c>
      <c r="N5082" s="4">
        <f t="shared" si="79"/>
        <v>-3.0728269381362572</v>
      </c>
      <c r="O5082" t="s">
        <v>83</v>
      </c>
      <c r="Q5082" s="24" t="s">
        <v>3649</v>
      </c>
    </row>
    <row r="5083" spans="1:20" x14ac:dyDescent="0.25">
      <c r="A5083" s="22">
        <v>45825</v>
      </c>
      <c r="B5083" s="1">
        <v>131951532</v>
      </c>
      <c r="C5083" t="s">
        <v>3646</v>
      </c>
      <c r="D5083" s="23">
        <v>300000</v>
      </c>
      <c r="E5083" s="76" t="s">
        <v>45</v>
      </c>
      <c r="F5083" s="2">
        <v>210115002</v>
      </c>
      <c r="G5083" s="2" t="s">
        <v>46</v>
      </c>
      <c r="I5083" s="95" t="s">
        <v>7231</v>
      </c>
      <c r="K5083" t="s">
        <v>3646</v>
      </c>
      <c r="M5083">
        <v>102.16</v>
      </c>
      <c r="N5083" s="4">
        <f t="shared" si="79"/>
        <v>2936.5700861393893</v>
      </c>
      <c r="O5083" t="s">
        <v>83</v>
      </c>
    </row>
    <row r="5084" spans="1:20" x14ac:dyDescent="0.25">
      <c r="A5084" s="22">
        <v>45825</v>
      </c>
      <c r="B5084" s="1">
        <v>814527692</v>
      </c>
      <c r="C5084" t="s">
        <v>3891</v>
      </c>
      <c r="D5084" s="23">
        <v>-53446.03</v>
      </c>
      <c r="E5084" s="76" t="s">
        <v>35</v>
      </c>
      <c r="F5084" s="2">
        <v>210101001</v>
      </c>
      <c r="G5084" s="2" t="s">
        <v>36</v>
      </c>
      <c r="I5084" s="95" t="s">
        <v>7231</v>
      </c>
      <c r="J5084" t="s">
        <v>182</v>
      </c>
      <c r="K5084" t="s">
        <v>183</v>
      </c>
      <c r="M5084">
        <v>102.16</v>
      </c>
      <c r="N5084" s="4">
        <f t="shared" si="79"/>
        <v>-523.16004306969455</v>
      </c>
      <c r="O5084" t="s">
        <v>83</v>
      </c>
    </row>
    <row r="5085" spans="1:20" x14ac:dyDescent="0.25">
      <c r="A5085" s="22">
        <v>45825</v>
      </c>
      <c r="B5085" s="1">
        <v>914527696</v>
      </c>
      <c r="C5085" t="s">
        <v>3892</v>
      </c>
      <c r="D5085" s="23">
        <v>-41476.959999999999</v>
      </c>
      <c r="E5085" s="76" t="s">
        <v>35</v>
      </c>
      <c r="F5085" s="2">
        <v>210101001</v>
      </c>
      <c r="G5085" s="2" t="s">
        <v>36</v>
      </c>
      <c r="I5085" s="95" t="s">
        <v>7231</v>
      </c>
      <c r="J5085" t="s">
        <v>37</v>
      </c>
      <c r="K5085" t="s">
        <v>38</v>
      </c>
      <c r="M5085">
        <v>102.16</v>
      </c>
      <c r="N5085" s="4">
        <f t="shared" si="79"/>
        <v>-406</v>
      </c>
      <c r="O5085" t="s">
        <v>83</v>
      </c>
    </row>
    <row r="5086" spans="1:20" x14ac:dyDescent="0.25">
      <c r="A5086" s="22">
        <v>45825</v>
      </c>
      <c r="B5086" s="1">
        <v>914527693</v>
      </c>
      <c r="C5086" t="s">
        <v>3893</v>
      </c>
      <c r="D5086" s="23">
        <v>-51544.89</v>
      </c>
      <c r="E5086" s="76" t="s">
        <v>35</v>
      </c>
      <c r="F5086" s="2">
        <v>110114001</v>
      </c>
      <c r="G5086" s="2" t="s">
        <v>181</v>
      </c>
      <c r="I5086" s="95" t="s">
        <v>7231</v>
      </c>
      <c r="J5086" t="s">
        <v>928</v>
      </c>
      <c r="K5086" t="s">
        <v>929</v>
      </c>
      <c r="M5086">
        <v>102.16</v>
      </c>
      <c r="N5086" s="4">
        <f t="shared" si="79"/>
        <v>-504.55060689115112</v>
      </c>
      <c r="O5086" t="s">
        <v>83</v>
      </c>
      <c r="P5086" s="34" t="s">
        <v>1279</v>
      </c>
    </row>
    <row r="5087" spans="1:20" x14ac:dyDescent="0.25">
      <c r="A5087" s="22">
        <v>45825</v>
      </c>
      <c r="B5087" s="1">
        <v>914527694</v>
      </c>
      <c r="C5087" t="s">
        <v>3894</v>
      </c>
      <c r="D5087" s="23">
        <v>-49357.58</v>
      </c>
      <c r="E5087" s="76" t="s">
        <v>35</v>
      </c>
      <c r="F5087" s="2">
        <v>110114001</v>
      </c>
      <c r="G5087" s="2" t="s">
        <v>181</v>
      </c>
      <c r="I5087" s="95" t="s">
        <v>7231</v>
      </c>
      <c r="J5087" t="s">
        <v>37</v>
      </c>
      <c r="K5087" t="s">
        <v>38</v>
      </c>
      <c r="M5087">
        <v>102.16</v>
      </c>
      <c r="N5087" s="4">
        <f t="shared" si="79"/>
        <v>-483.13997650743937</v>
      </c>
      <c r="O5087" t="s">
        <v>83</v>
      </c>
      <c r="P5087" s="34" t="s">
        <v>1279</v>
      </c>
    </row>
    <row r="5088" spans="1:20" x14ac:dyDescent="0.25">
      <c r="A5088" s="22">
        <v>45825</v>
      </c>
      <c r="B5088" s="1">
        <v>914527698</v>
      </c>
      <c r="C5088" t="s">
        <v>3895</v>
      </c>
      <c r="D5088" s="23">
        <v>-49298.33</v>
      </c>
      <c r="E5088" s="76" t="s">
        <v>35</v>
      </c>
      <c r="F5088" s="2">
        <v>210101001</v>
      </c>
      <c r="G5088" s="2" t="s">
        <v>36</v>
      </c>
      <c r="I5088" s="95" t="s">
        <v>7231</v>
      </c>
      <c r="J5088" t="s">
        <v>680</v>
      </c>
      <c r="K5088" t="s">
        <v>681</v>
      </c>
      <c r="M5088">
        <v>102.16</v>
      </c>
      <c r="N5088" s="4">
        <f t="shared" si="79"/>
        <v>-482.56000391542682</v>
      </c>
      <c r="O5088" t="s">
        <v>83</v>
      </c>
    </row>
    <row r="5089" spans="1:17" x14ac:dyDescent="0.25">
      <c r="A5089" s="22">
        <v>45825</v>
      </c>
      <c r="B5089" s="1">
        <v>914527697</v>
      </c>
      <c r="C5089" t="s">
        <v>3896</v>
      </c>
      <c r="D5089" s="23">
        <v>-41763.01</v>
      </c>
      <c r="E5089" s="76" t="s">
        <v>35</v>
      </c>
      <c r="F5089" s="2">
        <v>110114001</v>
      </c>
      <c r="G5089" s="2" t="s">
        <v>181</v>
      </c>
      <c r="I5089" s="95" t="s">
        <v>7231</v>
      </c>
      <c r="J5089" t="s">
        <v>182</v>
      </c>
      <c r="K5089" t="s">
        <v>2491</v>
      </c>
      <c r="M5089">
        <v>102.16</v>
      </c>
      <c r="N5089" s="4">
        <f t="shared" si="79"/>
        <v>-408.80001957713392</v>
      </c>
      <c r="O5089" t="s">
        <v>83</v>
      </c>
      <c r="P5089" s="34" t="s">
        <v>1279</v>
      </c>
    </row>
    <row r="5090" spans="1:17" x14ac:dyDescent="0.25">
      <c r="A5090" s="22">
        <v>45825</v>
      </c>
      <c r="B5090" s="1">
        <v>50627113</v>
      </c>
      <c r="C5090" t="s">
        <v>89</v>
      </c>
      <c r="D5090" s="23">
        <v>-717.21</v>
      </c>
      <c r="E5090" s="76" t="s">
        <v>35</v>
      </c>
      <c r="F5090" s="2">
        <v>610148001</v>
      </c>
      <c r="G5090" s="2" t="s">
        <v>41</v>
      </c>
      <c r="I5090" s="95" t="s">
        <v>7231</v>
      </c>
      <c r="J5090" t="s">
        <v>42</v>
      </c>
      <c r="K5090" t="s">
        <v>41</v>
      </c>
      <c r="M5090">
        <v>102.16</v>
      </c>
      <c r="N5090" s="4">
        <f t="shared" si="79"/>
        <v>-7.0204581049334385</v>
      </c>
      <c r="O5090" t="s">
        <v>83</v>
      </c>
      <c r="Q5090" s="24" t="s">
        <v>3649</v>
      </c>
    </row>
    <row r="5091" spans="1:17" x14ac:dyDescent="0.25">
      <c r="A5091" s="22">
        <v>45825</v>
      </c>
      <c r="B5091" s="1">
        <v>880345408</v>
      </c>
      <c r="C5091" t="s">
        <v>366</v>
      </c>
      <c r="D5091" s="23">
        <v>200000</v>
      </c>
      <c r="E5091" s="76" t="s">
        <v>45</v>
      </c>
      <c r="F5091" s="2">
        <v>210115002</v>
      </c>
      <c r="G5091" s="2" t="s">
        <v>46</v>
      </c>
      <c r="I5091" s="95" t="s">
        <v>7231</v>
      </c>
      <c r="K5091" t="s">
        <v>366</v>
      </c>
      <c r="M5091">
        <v>102.16</v>
      </c>
      <c r="N5091" s="4">
        <f t="shared" si="79"/>
        <v>1957.7133907595928</v>
      </c>
      <c r="O5091" t="s">
        <v>83</v>
      </c>
    </row>
    <row r="5092" spans="1:17" x14ac:dyDescent="0.25">
      <c r="A5092" s="22">
        <v>45825</v>
      </c>
      <c r="B5092" s="1">
        <v>780345545</v>
      </c>
      <c r="C5092" t="s">
        <v>366</v>
      </c>
      <c r="D5092" s="23">
        <v>200000</v>
      </c>
      <c r="E5092" s="76" t="s">
        <v>45</v>
      </c>
      <c r="F5092" s="2">
        <v>210115002</v>
      </c>
      <c r="G5092" s="2" t="s">
        <v>46</v>
      </c>
      <c r="I5092" s="95" t="s">
        <v>7231</v>
      </c>
      <c r="K5092" t="s">
        <v>366</v>
      </c>
      <c r="M5092">
        <v>102.16</v>
      </c>
      <c r="N5092" s="4">
        <f t="shared" si="79"/>
        <v>1957.7133907595928</v>
      </c>
      <c r="O5092" t="s">
        <v>83</v>
      </c>
    </row>
    <row r="5093" spans="1:17" x14ac:dyDescent="0.25">
      <c r="A5093" s="22">
        <v>45825</v>
      </c>
      <c r="B5093" s="1">
        <v>714515235</v>
      </c>
      <c r="C5093" t="s">
        <v>3897</v>
      </c>
      <c r="D5093" s="23">
        <v>-200000</v>
      </c>
      <c r="E5093" s="76" t="s">
        <v>35</v>
      </c>
      <c r="F5093" s="2">
        <v>210101001</v>
      </c>
      <c r="G5093" s="2" t="s">
        <v>36</v>
      </c>
      <c r="I5093" s="95" t="s">
        <v>7231</v>
      </c>
      <c r="J5093" t="s">
        <v>414</v>
      </c>
      <c r="K5093" t="s">
        <v>415</v>
      </c>
      <c r="M5093">
        <v>102.16</v>
      </c>
      <c r="N5093" s="4">
        <f t="shared" si="79"/>
        <v>-1957.7133907595928</v>
      </c>
      <c r="O5093" t="s">
        <v>83</v>
      </c>
    </row>
    <row r="5094" spans="1:17" x14ac:dyDescent="0.25">
      <c r="A5094" s="22">
        <v>45825</v>
      </c>
      <c r="B5094" s="1">
        <v>714515234</v>
      </c>
      <c r="C5094" t="s">
        <v>3897</v>
      </c>
      <c r="D5094" s="23">
        <v>-101372</v>
      </c>
      <c r="E5094" s="76" t="s">
        <v>35</v>
      </c>
      <c r="F5094" s="2">
        <v>210101001</v>
      </c>
      <c r="G5094" s="2" t="s">
        <v>36</v>
      </c>
      <c r="I5094" s="95" t="s">
        <v>7231</v>
      </c>
      <c r="J5094" t="s">
        <v>414</v>
      </c>
      <c r="K5094" t="s">
        <v>415</v>
      </c>
      <c r="M5094">
        <v>102.16</v>
      </c>
      <c r="N5094" s="4">
        <f t="shared" si="79"/>
        <v>-992.28660924040719</v>
      </c>
      <c r="O5094" t="s">
        <v>83</v>
      </c>
    </row>
    <row r="5095" spans="1:17" x14ac:dyDescent="0.25">
      <c r="A5095" s="22">
        <v>45825</v>
      </c>
      <c r="B5095" s="1">
        <v>714515237</v>
      </c>
      <c r="C5095" t="s">
        <v>3898</v>
      </c>
      <c r="D5095" s="23">
        <v>-83048.929999999993</v>
      </c>
      <c r="E5095" s="76" t="s">
        <v>35</v>
      </c>
      <c r="F5095" s="2">
        <v>110114001</v>
      </c>
      <c r="G5095" s="2" t="s">
        <v>181</v>
      </c>
      <c r="I5095" s="95" t="s">
        <v>7231</v>
      </c>
      <c r="J5095" t="s">
        <v>928</v>
      </c>
      <c r="K5095" t="s">
        <v>929</v>
      </c>
      <c r="M5095">
        <v>102.16</v>
      </c>
      <c r="N5095" s="4">
        <f t="shared" si="79"/>
        <v>-812.93001174628034</v>
      </c>
      <c r="O5095" t="s">
        <v>83</v>
      </c>
      <c r="P5095" s="34" t="s">
        <v>1279</v>
      </c>
    </row>
    <row r="5096" spans="1:17" x14ac:dyDescent="0.25">
      <c r="A5096" s="22">
        <v>45825</v>
      </c>
      <c r="B5096" s="1">
        <v>714515236</v>
      </c>
      <c r="C5096" t="s">
        <v>3899</v>
      </c>
      <c r="D5096" s="23">
        <v>-1515.9</v>
      </c>
      <c r="E5096" s="76" t="s">
        <v>35</v>
      </c>
      <c r="F5096" s="2">
        <v>210101001</v>
      </c>
      <c r="G5096" s="2" t="s">
        <v>36</v>
      </c>
      <c r="I5096" s="95" t="s">
        <v>7231</v>
      </c>
      <c r="J5096" t="s">
        <v>86</v>
      </c>
      <c r="K5096" t="s">
        <v>87</v>
      </c>
      <c r="M5096">
        <v>102.16</v>
      </c>
      <c r="N5096" s="4">
        <f t="shared" si="79"/>
        <v>-14.838488645262334</v>
      </c>
      <c r="O5096" t="s">
        <v>83</v>
      </c>
    </row>
    <row r="5097" spans="1:17" x14ac:dyDescent="0.25">
      <c r="A5097" s="22">
        <v>45825</v>
      </c>
      <c r="B5097" s="1">
        <v>50664915</v>
      </c>
      <c r="C5097" t="s">
        <v>89</v>
      </c>
      <c r="D5097" s="23">
        <v>-964.84</v>
      </c>
      <c r="E5097" s="76" t="s">
        <v>35</v>
      </c>
      <c r="F5097" s="2">
        <v>610148001</v>
      </c>
      <c r="G5097" s="2" t="s">
        <v>41</v>
      </c>
      <c r="I5097" s="95" t="s">
        <v>7231</v>
      </c>
      <c r="J5097" t="s">
        <v>42</v>
      </c>
      <c r="K5097" t="s">
        <v>41</v>
      </c>
      <c r="M5097">
        <v>102.16</v>
      </c>
      <c r="N5097" s="4">
        <f t="shared" si="79"/>
        <v>-9.4444009397024278</v>
      </c>
      <c r="O5097" t="s">
        <v>83</v>
      </c>
      <c r="Q5097" s="24" t="s">
        <v>3649</v>
      </c>
    </row>
    <row r="5098" spans="1:17" x14ac:dyDescent="0.25">
      <c r="A5098" s="22">
        <v>45826</v>
      </c>
      <c r="B5098" s="1">
        <v>130816334</v>
      </c>
      <c r="C5098" t="s">
        <v>3646</v>
      </c>
      <c r="D5098" s="23">
        <v>1250000</v>
      </c>
      <c r="E5098" s="76" t="s">
        <v>45</v>
      </c>
      <c r="F5098" s="2">
        <v>210115002</v>
      </c>
      <c r="G5098" s="2" t="s">
        <v>46</v>
      </c>
      <c r="I5098" s="95" t="s">
        <v>7231</v>
      </c>
      <c r="K5098" t="s">
        <v>3646</v>
      </c>
      <c r="M5098">
        <v>102.81</v>
      </c>
      <c r="N5098" s="4">
        <f t="shared" si="79"/>
        <v>12158.350355023829</v>
      </c>
      <c r="O5098" t="s">
        <v>83</v>
      </c>
    </row>
    <row r="5099" spans="1:17" x14ac:dyDescent="0.25">
      <c r="A5099" s="22">
        <v>45826</v>
      </c>
      <c r="B5099" s="1">
        <v>814540306</v>
      </c>
      <c r="C5099" t="s">
        <v>3900</v>
      </c>
      <c r="D5099" s="44">
        <v>-200000</v>
      </c>
      <c r="E5099" s="76" t="s">
        <v>35</v>
      </c>
      <c r="F5099" s="2">
        <v>110114001</v>
      </c>
      <c r="G5099" s="2" t="s">
        <v>181</v>
      </c>
      <c r="I5099" s="95" t="s">
        <v>7231</v>
      </c>
      <c r="J5099" t="s">
        <v>1007</v>
      </c>
      <c r="K5099" t="s">
        <v>1008</v>
      </c>
      <c r="M5099">
        <v>102.81</v>
      </c>
      <c r="N5099" s="4">
        <f t="shared" si="79"/>
        <v>-1945.3360568038129</v>
      </c>
      <c r="O5099" t="s">
        <v>83</v>
      </c>
      <c r="P5099" s="34" t="s">
        <v>1279</v>
      </c>
    </row>
    <row r="5100" spans="1:17" x14ac:dyDescent="0.25">
      <c r="A5100" s="22">
        <v>45826</v>
      </c>
      <c r="B5100" s="1">
        <v>814540308</v>
      </c>
      <c r="C5100" t="s">
        <v>3900</v>
      </c>
      <c r="D5100" s="44">
        <v>-200000</v>
      </c>
      <c r="E5100" s="76" t="s">
        <v>35</v>
      </c>
      <c r="F5100" s="2">
        <v>110114001</v>
      </c>
      <c r="G5100" s="2" t="s">
        <v>181</v>
      </c>
      <c r="I5100" s="95" t="s">
        <v>7231</v>
      </c>
      <c r="J5100" t="s">
        <v>1007</v>
      </c>
      <c r="K5100" t="s">
        <v>1008</v>
      </c>
      <c r="M5100">
        <v>102.81</v>
      </c>
      <c r="N5100" s="4">
        <f t="shared" si="79"/>
        <v>-1945.3360568038129</v>
      </c>
      <c r="O5100" t="s">
        <v>83</v>
      </c>
      <c r="P5100" s="34" t="s">
        <v>1279</v>
      </c>
    </row>
    <row r="5101" spans="1:17" x14ac:dyDescent="0.25">
      <c r="A5101" s="22">
        <v>45826</v>
      </c>
      <c r="B5101" s="1">
        <v>814540309</v>
      </c>
      <c r="C5101" t="s">
        <v>3900</v>
      </c>
      <c r="D5101" s="44">
        <v>-200000</v>
      </c>
      <c r="E5101" s="76" t="s">
        <v>35</v>
      </c>
      <c r="F5101" s="2">
        <v>110114001</v>
      </c>
      <c r="G5101" s="2" t="s">
        <v>181</v>
      </c>
      <c r="I5101" s="95" t="s">
        <v>7231</v>
      </c>
      <c r="J5101" t="s">
        <v>1007</v>
      </c>
      <c r="K5101" t="s">
        <v>1008</v>
      </c>
      <c r="M5101">
        <v>102.81</v>
      </c>
      <c r="N5101" s="4">
        <f t="shared" si="79"/>
        <v>-1945.3360568038129</v>
      </c>
      <c r="O5101" t="s">
        <v>83</v>
      </c>
      <c r="P5101" s="34" t="s">
        <v>1279</v>
      </c>
    </row>
    <row r="5102" spans="1:17" x14ac:dyDescent="0.25">
      <c r="A5102" s="22">
        <v>45826</v>
      </c>
      <c r="B5102" s="1">
        <v>814540312</v>
      </c>
      <c r="C5102" t="s">
        <v>3900</v>
      </c>
      <c r="D5102" s="44">
        <v>-73885</v>
      </c>
      <c r="E5102" s="76" t="s">
        <v>35</v>
      </c>
      <c r="F5102" s="2">
        <v>110114001</v>
      </c>
      <c r="G5102" s="2" t="s">
        <v>181</v>
      </c>
      <c r="I5102" s="95" t="s">
        <v>7231</v>
      </c>
      <c r="J5102" t="s">
        <v>1007</v>
      </c>
      <c r="K5102" t="s">
        <v>1008</v>
      </c>
      <c r="M5102">
        <v>102.81</v>
      </c>
      <c r="N5102" s="4">
        <f t="shared" si="79"/>
        <v>-718.65577278474859</v>
      </c>
      <c r="O5102" t="s">
        <v>83</v>
      </c>
      <c r="P5102" s="34" t="s">
        <v>1279</v>
      </c>
    </row>
    <row r="5103" spans="1:17" x14ac:dyDescent="0.25">
      <c r="A5103" s="22">
        <v>45826</v>
      </c>
      <c r="B5103" s="1">
        <v>814540310</v>
      </c>
      <c r="C5103" t="s">
        <v>3900</v>
      </c>
      <c r="D5103" s="44">
        <v>-200000</v>
      </c>
      <c r="E5103" s="76" t="s">
        <v>35</v>
      </c>
      <c r="F5103" s="2">
        <v>110114001</v>
      </c>
      <c r="G5103" s="2" t="s">
        <v>181</v>
      </c>
      <c r="I5103" s="95" t="s">
        <v>7231</v>
      </c>
      <c r="J5103" t="s">
        <v>1007</v>
      </c>
      <c r="K5103" t="s">
        <v>1008</v>
      </c>
      <c r="M5103">
        <v>102.81</v>
      </c>
      <c r="N5103" s="4">
        <f t="shared" si="79"/>
        <v>-1945.3360568038129</v>
      </c>
      <c r="O5103" t="s">
        <v>83</v>
      </c>
      <c r="P5103" s="34" t="s">
        <v>1279</v>
      </c>
    </row>
    <row r="5104" spans="1:17" x14ac:dyDescent="0.25">
      <c r="A5104" s="22">
        <v>45826</v>
      </c>
      <c r="B5104" s="1">
        <v>914540314</v>
      </c>
      <c r="C5104" t="s">
        <v>3901</v>
      </c>
      <c r="D5104" s="23">
        <v>-12813.23</v>
      </c>
      <c r="E5104" s="76" t="s">
        <v>35</v>
      </c>
      <c r="F5104" s="2">
        <v>110114001</v>
      </c>
      <c r="G5104" s="2" t="s">
        <v>181</v>
      </c>
      <c r="I5104" s="95" t="s">
        <v>7231</v>
      </c>
      <c r="J5104" t="s">
        <v>414</v>
      </c>
      <c r="K5104" t="s">
        <v>415</v>
      </c>
      <c r="M5104">
        <v>102.81</v>
      </c>
      <c r="N5104" s="4">
        <f t="shared" si="79"/>
        <v>-124.63019161560159</v>
      </c>
      <c r="O5104" t="s">
        <v>83</v>
      </c>
      <c r="P5104" s="34" t="s">
        <v>1279</v>
      </c>
    </row>
    <row r="5105" spans="1:17" x14ac:dyDescent="0.25">
      <c r="A5105" s="22">
        <v>45826</v>
      </c>
      <c r="B5105" s="1">
        <v>814540313</v>
      </c>
      <c r="C5105" t="s">
        <v>3902</v>
      </c>
      <c r="D5105" s="23">
        <v>-2356.8000000000002</v>
      </c>
      <c r="E5105" s="76" t="s">
        <v>35</v>
      </c>
      <c r="F5105" s="2">
        <v>210101001</v>
      </c>
      <c r="G5105" s="2" t="s">
        <v>36</v>
      </c>
      <c r="I5105" s="95" t="s">
        <v>7231</v>
      </c>
      <c r="J5105" t="s">
        <v>414</v>
      </c>
      <c r="K5105" t="s">
        <v>415</v>
      </c>
      <c r="M5105">
        <v>102.81</v>
      </c>
      <c r="N5105" s="4">
        <f t="shared" si="79"/>
        <v>-22.923840093376132</v>
      </c>
      <c r="O5105" t="s">
        <v>83</v>
      </c>
    </row>
    <row r="5106" spans="1:17" x14ac:dyDescent="0.25">
      <c r="A5106" s="22">
        <v>45826</v>
      </c>
      <c r="B5106" s="1">
        <v>914540315</v>
      </c>
      <c r="C5106" t="s">
        <v>3903</v>
      </c>
      <c r="D5106" s="44">
        <v>-125547.04</v>
      </c>
      <c r="E5106" s="76" t="s">
        <v>35</v>
      </c>
      <c r="F5106" s="2">
        <v>110114001</v>
      </c>
      <c r="G5106" s="2" t="s">
        <v>181</v>
      </c>
      <c r="I5106" s="95" t="s">
        <v>7231</v>
      </c>
      <c r="J5106" t="s">
        <v>414</v>
      </c>
      <c r="K5106" t="s">
        <v>415</v>
      </c>
      <c r="M5106">
        <v>102.81</v>
      </c>
      <c r="N5106" s="4">
        <f t="shared" si="79"/>
        <v>-1221.1559186849527</v>
      </c>
      <c r="O5106" t="s">
        <v>83</v>
      </c>
      <c r="P5106" s="34" t="s">
        <v>3035</v>
      </c>
    </row>
    <row r="5107" spans="1:17" x14ac:dyDescent="0.25">
      <c r="A5107" s="22">
        <v>45826</v>
      </c>
      <c r="B5107" s="1">
        <v>914540317</v>
      </c>
      <c r="C5107" t="s">
        <v>3903</v>
      </c>
      <c r="D5107" s="44">
        <v>-200000</v>
      </c>
      <c r="E5107" s="76" t="s">
        <v>35</v>
      </c>
      <c r="F5107" s="2">
        <v>110114001</v>
      </c>
      <c r="G5107" s="2" t="s">
        <v>181</v>
      </c>
      <c r="I5107" s="95" t="s">
        <v>7231</v>
      </c>
      <c r="J5107" t="s">
        <v>414</v>
      </c>
      <c r="K5107" t="s">
        <v>415</v>
      </c>
      <c r="M5107">
        <v>102.81</v>
      </c>
      <c r="N5107" s="4">
        <f t="shared" si="79"/>
        <v>-1945.3360568038129</v>
      </c>
      <c r="O5107" t="s">
        <v>83</v>
      </c>
      <c r="P5107" s="34" t="s">
        <v>3035</v>
      </c>
    </row>
    <row r="5108" spans="1:17" x14ac:dyDescent="0.25">
      <c r="A5108" s="22">
        <v>45826</v>
      </c>
      <c r="B5108" s="1">
        <v>914540316</v>
      </c>
      <c r="C5108" t="s">
        <v>3904</v>
      </c>
      <c r="D5108" s="23">
        <v>-23440.29</v>
      </c>
      <c r="E5108" s="76" t="s">
        <v>35</v>
      </c>
      <c r="F5108" s="2">
        <v>210101001</v>
      </c>
      <c r="G5108" s="2" t="s">
        <v>36</v>
      </c>
      <c r="I5108" s="95" t="s">
        <v>7231</v>
      </c>
      <c r="J5108" t="s">
        <v>701</v>
      </c>
      <c r="K5108" t="s">
        <v>702</v>
      </c>
      <c r="M5108">
        <v>102.81</v>
      </c>
      <c r="N5108" s="4">
        <f t="shared" si="79"/>
        <v>-227.99620659468923</v>
      </c>
      <c r="O5108" t="s">
        <v>83</v>
      </c>
    </row>
    <row r="5109" spans="1:17" x14ac:dyDescent="0.25">
      <c r="A5109" s="22">
        <v>45826</v>
      </c>
      <c r="B5109" s="1">
        <v>50662539</v>
      </c>
      <c r="C5109" t="s">
        <v>89</v>
      </c>
      <c r="D5109" s="23">
        <v>-3095.1</v>
      </c>
      <c r="E5109" s="76" t="s">
        <v>35</v>
      </c>
      <c r="F5109" s="2">
        <v>610148001</v>
      </c>
      <c r="G5109" s="2" t="s">
        <v>41</v>
      </c>
      <c r="I5109" s="95" t="s">
        <v>7231</v>
      </c>
      <c r="J5109" t="s">
        <v>42</v>
      </c>
      <c r="K5109" t="s">
        <v>41</v>
      </c>
      <c r="M5109">
        <v>102.81</v>
      </c>
      <c r="N5109" s="4">
        <f t="shared" si="79"/>
        <v>-30.105048147067404</v>
      </c>
      <c r="O5109" t="s">
        <v>83</v>
      </c>
      <c r="Q5109" s="24" t="s">
        <v>3649</v>
      </c>
    </row>
    <row r="5110" spans="1:17" x14ac:dyDescent="0.25">
      <c r="A5110" s="22">
        <v>45826</v>
      </c>
      <c r="B5110" s="1">
        <v>143710750</v>
      </c>
      <c r="C5110" t="s">
        <v>3646</v>
      </c>
      <c r="D5110" s="23">
        <v>70000</v>
      </c>
      <c r="E5110" s="76" t="s">
        <v>45</v>
      </c>
      <c r="F5110" s="2">
        <v>210115002</v>
      </c>
      <c r="G5110" s="2" t="s">
        <v>46</v>
      </c>
      <c r="I5110" s="95" t="s">
        <v>7231</v>
      </c>
      <c r="K5110" t="s">
        <v>3646</v>
      </c>
      <c r="M5110">
        <v>102.81</v>
      </c>
      <c r="N5110" s="4">
        <f t="shared" si="79"/>
        <v>680.86761988133446</v>
      </c>
      <c r="O5110" t="s">
        <v>83</v>
      </c>
    </row>
    <row r="5111" spans="1:17" x14ac:dyDescent="0.25">
      <c r="A5111" s="22">
        <v>45826</v>
      </c>
      <c r="B5111" s="1">
        <v>814541538</v>
      </c>
      <c r="C5111" t="s">
        <v>3905</v>
      </c>
      <c r="D5111" s="23">
        <v>-70013.7</v>
      </c>
      <c r="E5111" s="76" t="s">
        <v>35</v>
      </c>
      <c r="F5111" s="2">
        <v>210101001</v>
      </c>
      <c r="G5111" s="2" t="s">
        <v>36</v>
      </c>
      <c r="I5111" s="95" t="s">
        <v>7231</v>
      </c>
      <c r="J5111" t="s">
        <v>37</v>
      </c>
      <c r="K5111" t="s">
        <v>38</v>
      </c>
      <c r="M5111">
        <v>102.81</v>
      </c>
      <c r="N5111" s="4">
        <f t="shared" si="79"/>
        <v>-681.00087540122547</v>
      </c>
      <c r="O5111" t="s">
        <v>83</v>
      </c>
    </row>
    <row r="5112" spans="1:17" x14ac:dyDescent="0.25">
      <c r="A5112" s="22">
        <v>45826</v>
      </c>
      <c r="B5112" s="1">
        <v>814541538</v>
      </c>
      <c r="C5112" t="s">
        <v>185</v>
      </c>
      <c r="D5112" s="23">
        <v>-210.04</v>
      </c>
      <c r="E5112" s="76" t="s">
        <v>35</v>
      </c>
      <c r="F5112" s="2">
        <v>610148001</v>
      </c>
      <c r="G5112" s="2" t="s">
        <v>41</v>
      </c>
      <c r="I5112" s="95" t="s">
        <v>7231</v>
      </c>
      <c r="J5112" t="s">
        <v>42</v>
      </c>
      <c r="K5112" t="s">
        <v>41</v>
      </c>
      <c r="M5112">
        <v>102.81</v>
      </c>
      <c r="N5112" s="4">
        <f t="shared" si="79"/>
        <v>-2.0429919268553642</v>
      </c>
      <c r="O5112" t="s">
        <v>83</v>
      </c>
      <c r="Q5112" s="24" t="s">
        <v>3649</v>
      </c>
    </row>
    <row r="5113" spans="1:17" x14ac:dyDescent="0.25">
      <c r="A5113" s="22">
        <v>45827</v>
      </c>
      <c r="B5113" s="1">
        <v>144531873</v>
      </c>
      <c r="C5113" t="s">
        <v>3646</v>
      </c>
      <c r="D5113" s="23">
        <v>350000</v>
      </c>
      <c r="E5113" s="76" t="s">
        <v>45</v>
      </c>
      <c r="F5113" s="2">
        <v>210115002</v>
      </c>
      <c r="G5113" s="2" t="s">
        <v>46</v>
      </c>
      <c r="I5113" s="95" t="s">
        <v>7231</v>
      </c>
      <c r="K5113" t="s">
        <v>3646</v>
      </c>
      <c r="M5113">
        <v>103.74</v>
      </c>
      <c r="N5113" s="4">
        <f t="shared" si="79"/>
        <v>3373.8191632928479</v>
      </c>
      <c r="O5113" t="s">
        <v>83</v>
      </c>
    </row>
    <row r="5114" spans="1:17" x14ac:dyDescent="0.25">
      <c r="A5114" s="22">
        <v>45827</v>
      </c>
      <c r="B5114" s="1">
        <v>714555102</v>
      </c>
      <c r="C5114" t="s">
        <v>3906</v>
      </c>
      <c r="D5114" s="44">
        <v>-26046.76</v>
      </c>
      <c r="E5114" s="76" t="s">
        <v>35</v>
      </c>
      <c r="F5114" s="2">
        <v>110114001</v>
      </c>
      <c r="G5114" s="2" t="s">
        <v>181</v>
      </c>
      <c r="I5114" s="95" t="s">
        <v>7231</v>
      </c>
      <c r="J5114" t="s">
        <v>283</v>
      </c>
      <c r="K5114" t="s">
        <v>1628</v>
      </c>
      <c r="M5114">
        <v>103.74</v>
      </c>
      <c r="N5114" s="4">
        <f t="shared" si="79"/>
        <v>-251.07730865625601</v>
      </c>
      <c r="O5114" t="s">
        <v>83</v>
      </c>
      <c r="P5114" s="34" t="s">
        <v>3907</v>
      </c>
    </row>
    <row r="5115" spans="1:17" x14ac:dyDescent="0.25">
      <c r="A5115" s="22">
        <v>45827</v>
      </c>
      <c r="B5115" s="1">
        <v>714555101</v>
      </c>
      <c r="C5115" t="s">
        <v>3908</v>
      </c>
      <c r="D5115" s="23">
        <v>-5565.65</v>
      </c>
      <c r="E5115" s="76" t="s">
        <v>35</v>
      </c>
      <c r="F5115" s="2">
        <v>210101001</v>
      </c>
      <c r="G5115" s="2" t="s">
        <v>36</v>
      </c>
      <c r="I5115" s="95" t="s">
        <v>7231</v>
      </c>
      <c r="J5115" t="s">
        <v>3909</v>
      </c>
      <c r="K5115" t="s">
        <v>3910</v>
      </c>
      <c r="M5115">
        <v>103.74</v>
      </c>
      <c r="N5115" s="4">
        <f t="shared" si="79"/>
        <v>-53.649990360516675</v>
      </c>
      <c r="O5115" t="s">
        <v>83</v>
      </c>
    </row>
    <row r="5116" spans="1:17" x14ac:dyDescent="0.25">
      <c r="A5116" s="22">
        <v>45827</v>
      </c>
      <c r="B5116" s="1">
        <v>714555103</v>
      </c>
      <c r="C5116" t="s">
        <v>3911</v>
      </c>
      <c r="D5116" s="23">
        <v>-12152.16</v>
      </c>
      <c r="E5116" s="76" t="s">
        <v>35</v>
      </c>
      <c r="F5116" s="2">
        <v>210101001</v>
      </c>
      <c r="G5116" s="2" t="s">
        <v>36</v>
      </c>
      <c r="I5116" s="95" t="s">
        <v>7231</v>
      </c>
      <c r="J5116" t="s">
        <v>414</v>
      </c>
      <c r="K5116" t="s">
        <v>415</v>
      </c>
      <c r="M5116">
        <v>103.74</v>
      </c>
      <c r="N5116" s="4">
        <f t="shared" si="79"/>
        <v>-117.14054366685946</v>
      </c>
      <c r="O5116" t="s">
        <v>83</v>
      </c>
    </row>
    <row r="5117" spans="1:17" x14ac:dyDescent="0.25">
      <c r="A5117" s="22">
        <v>45827</v>
      </c>
      <c r="B5117" s="1">
        <v>714555104</v>
      </c>
      <c r="C5117" t="s">
        <v>3912</v>
      </c>
      <c r="D5117" s="23">
        <v>-48949.24</v>
      </c>
      <c r="E5117" s="76" t="s">
        <v>35</v>
      </c>
      <c r="F5117" s="2">
        <v>210101001</v>
      </c>
      <c r="G5117" s="2" t="s">
        <v>36</v>
      </c>
      <c r="I5117" s="95" t="s">
        <v>7231</v>
      </c>
      <c r="J5117" t="s">
        <v>394</v>
      </c>
      <c r="K5117" t="s">
        <v>395</v>
      </c>
      <c r="M5117">
        <v>103.74</v>
      </c>
      <c r="N5117" s="4">
        <f t="shared" si="79"/>
        <v>-471.84538268748793</v>
      </c>
      <c r="O5117" t="s">
        <v>83</v>
      </c>
    </row>
    <row r="5118" spans="1:17" x14ac:dyDescent="0.25">
      <c r="A5118" s="22">
        <v>45827</v>
      </c>
      <c r="B5118" s="1">
        <v>714555100</v>
      </c>
      <c r="C5118" t="s">
        <v>3913</v>
      </c>
      <c r="D5118" s="23">
        <v>-96123.24</v>
      </c>
      <c r="E5118" s="76" t="s">
        <v>35</v>
      </c>
      <c r="F5118" s="2">
        <v>210101001</v>
      </c>
      <c r="G5118" s="2" t="s">
        <v>36</v>
      </c>
      <c r="I5118" s="95" t="s">
        <v>7231</v>
      </c>
      <c r="J5118" t="s">
        <v>288</v>
      </c>
      <c r="K5118" t="s">
        <v>289</v>
      </c>
      <c r="M5118">
        <v>103.74</v>
      </c>
      <c r="N5118" s="4">
        <f t="shared" si="79"/>
        <v>-926.57836899942174</v>
      </c>
      <c r="O5118" t="s">
        <v>83</v>
      </c>
    </row>
    <row r="5119" spans="1:17" x14ac:dyDescent="0.25">
      <c r="A5119" s="22">
        <v>45827</v>
      </c>
      <c r="B5119" s="1">
        <v>714555105</v>
      </c>
      <c r="C5119" t="s">
        <v>3914</v>
      </c>
      <c r="D5119" s="23">
        <v>-48949.24</v>
      </c>
      <c r="E5119" s="76" t="s">
        <v>35</v>
      </c>
      <c r="F5119" s="2">
        <v>210101001</v>
      </c>
      <c r="G5119" s="2" t="s">
        <v>36</v>
      </c>
      <c r="I5119" s="95" t="s">
        <v>7231</v>
      </c>
      <c r="J5119" t="s">
        <v>394</v>
      </c>
      <c r="K5119" t="s">
        <v>395</v>
      </c>
      <c r="M5119">
        <v>103.74</v>
      </c>
      <c r="N5119" s="4">
        <f t="shared" si="79"/>
        <v>-471.84538268748793</v>
      </c>
      <c r="O5119" t="s">
        <v>83</v>
      </c>
    </row>
    <row r="5120" spans="1:17" x14ac:dyDescent="0.25">
      <c r="A5120" s="22">
        <v>45827</v>
      </c>
      <c r="B5120" s="1">
        <v>814555106</v>
      </c>
      <c r="C5120" t="s">
        <v>3915</v>
      </c>
      <c r="D5120" s="77">
        <v>-114935.12</v>
      </c>
      <c r="E5120" s="76" t="s">
        <v>35</v>
      </c>
      <c r="F5120" s="2">
        <v>110114001</v>
      </c>
      <c r="G5120" s="2" t="s">
        <v>181</v>
      </c>
      <c r="I5120" s="95" t="s">
        <v>7231</v>
      </c>
      <c r="K5120" t="s">
        <v>1256</v>
      </c>
      <c r="M5120">
        <v>103.74</v>
      </c>
      <c r="N5120" s="4">
        <f t="shared" si="79"/>
        <v>-1107.9151725467516</v>
      </c>
      <c r="O5120" t="s">
        <v>83</v>
      </c>
    </row>
    <row r="5121" spans="1:17" x14ac:dyDescent="0.25">
      <c r="A5121" s="22">
        <v>45827</v>
      </c>
      <c r="B5121" s="1">
        <v>50684197</v>
      </c>
      <c r="C5121" t="s">
        <v>89</v>
      </c>
      <c r="D5121" s="23">
        <v>-881.8</v>
      </c>
      <c r="E5121" s="76" t="s">
        <v>35</v>
      </c>
      <c r="F5121" s="2">
        <v>610148001</v>
      </c>
      <c r="G5121" s="2" t="s">
        <v>41</v>
      </c>
      <c r="I5121" s="95" t="s">
        <v>7231</v>
      </c>
      <c r="J5121" t="s">
        <v>42</v>
      </c>
      <c r="K5121" t="s">
        <v>41</v>
      </c>
      <c r="M5121">
        <v>103.74</v>
      </c>
      <c r="N5121" s="4">
        <f t="shared" si="79"/>
        <v>-8.5000963948332373</v>
      </c>
      <c r="O5121" t="s">
        <v>83</v>
      </c>
      <c r="Q5121" s="24" t="s">
        <v>3649</v>
      </c>
    </row>
    <row r="5122" spans="1:17" x14ac:dyDescent="0.25">
      <c r="A5122" s="22">
        <v>45828</v>
      </c>
      <c r="B5122" s="1">
        <v>105401766</v>
      </c>
      <c r="C5122" t="s">
        <v>82</v>
      </c>
      <c r="D5122" s="23">
        <v>700000</v>
      </c>
      <c r="E5122" s="76" t="s">
        <v>45</v>
      </c>
      <c r="F5122" s="2">
        <v>210115002</v>
      </c>
      <c r="G5122" s="2" t="s">
        <v>46</v>
      </c>
      <c r="I5122" s="95" t="s">
        <v>7231</v>
      </c>
      <c r="K5122" t="s">
        <v>82</v>
      </c>
      <c r="M5122">
        <v>104.54</v>
      </c>
      <c r="N5122" s="4">
        <f t="shared" si="79"/>
        <v>6696.0015305146353</v>
      </c>
      <c r="O5122" t="s">
        <v>83</v>
      </c>
    </row>
    <row r="5123" spans="1:17" x14ac:dyDescent="0.25">
      <c r="A5123" s="33">
        <v>45828</v>
      </c>
      <c r="B5123" s="27">
        <v>414566192</v>
      </c>
      <c r="C5123" s="28" t="s">
        <v>52</v>
      </c>
      <c r="D5123" s="29">
        <v>-12544.8</v>
      </c>
      <c r="E5123" s="76" t="s">
        <v>35</v>
      </c>
      <c r="F5123" s="30">
        <v>610129001</v>
      </c>
      <c r="G5123" s="30" t="s">
        <v>53</v>
      </c>
      <c r="H5123" s="30"/>
      <c r="I5123" s="95" t="s">
        <v>7231</v>
      </c>
      <c r="J5123" s="28" t="s">
        <v>54</v>
      </c>
      <c r="K5123" s="28" t="s">
        <v>55</v>
      </c>
      <c r="L5123" s="28" t="s">
        <v>56</v>
      </c>
      <c r="M5123" s="28">
        <v>104.54</v>
      </c>
      <c r="N5123" s="4">
        <f t="shared" si="79"/>
        <v>-119.99999999999999</v>
      </c>
      <c r="O5123" t="s">
        <v>83</v>
      </c>
      <c r="Q5123" s="24" t="s">
        <v>3916</v>
      </c>
    </row>
    <row r="5124" spans="1:17" x14ac:dyDescent="0.25">
      <c r="A5124" s="22">
        <v>45828</v>
      </c>
      <c r="B5124" s="1">
        <v>414566194</v>
      </c>
      <c r="C5124" t="s">
        <v>3285</v>
      </c>
      <c r="D5124" s="23">
        <v>-10840.2</v>
      </c>
      <c r="E5124" s="76" t="s">
        <v>35</v>
      </c>
      <c r="F5124" s="2">
        <v>110101002</v>
      </c>
      <c r="G5124" s="2" t="s">
        <v>2771</v>
      </c>
      <c r="I5124" s="95" t="s">
        <v>7231</v>
      </c>
      <c r="K5124" t="s">
        <v>3285</v>
      </c>
      <c r="M5124">
        <v>104.54</v>
      </c>
      <c r="N5124" s="4">
        <f t="shared" si="79"/>
        <v>-103.69427970154965</v>
      </c>
      <c r="O5124" t="s">
        <v>83</v>
      </c>
    </row>
    <row r="5125" spans="1:17" x14ac:dyDescent="0.25">
      <c r="A5125" s="22">
        <v>45828</v>
      </c>
      <c r="B5125" s="1">
        <v>514566196</v>
      </c>
      <c r="C5125" t="s">
        <v>3917</v>
      </c>
      <c r="D5125" s="23">
        <v>-1045.4000000000001</v>
      </c>
      <c r="E5125" s="76" t="s">
        <v>35</v>
      </c>
      <c r="F5125" s="2">
        <v>212901001</v>
      </c>
      <c r="G5125" s="2" t="s">
        <v>91</v>
      </c>
      <c r="I5125" s="95" t="s">
        <v>7231</v>
      </c>
      <c r="J5125" t="s">
        <v>61</v>
      </c>
      <c r="K5125" t="s">
        <v>62</v>
      </c>
      <c r="M5125">
        <v>104.54</v>
      </c>
      <c r="N5125" s="4">
        <f t="shared" si="79"/>
        <v>-10</v>
      </c>
      <c r="O5125" t="s">
        <v>83</v>
      </c>
    </row>
    <row r="5126" spans="1:17" x14ac:dyDescent="0.25">
      <c r="A5126" s="22">
        <v>45828</v>
      </c>
      <c r="B5126" s="1">
        <v>514566198</v>
      </c>
      <c r="C5126" t="s">
        <v>3918</v>
      </c>
      <c r="D5126" s="23">
        <v>-2090.8000000000002</v>
      </c>
      <c r="E5126" s="76" t="s">
        <v>35</v>
      </c>
      <c r="F5126" s="2">
        <v>212901001</v>
      </c>
      <c r="G5126" s="2" t="s">
        <v>91</v>
      </c>
      <c r="I5126" s="95" t="s">
        <v>7231</v>
      </c>
      <c r="J5126" t="s">
        <v>61</v>
      </c>
      <c r="K5126" t="s">
        <v>62</v>
      </c>
      <c r="M5126">
        <v>104.54</v>
      </c>
      <c r="N5126" s="4">
        <f t="shared" si="79"/>
        <v>-20</v>
      </c>
      <c r="O5126" t="s">
        <v>83</v>
      </c>
    </row>
    <row r="5127" spans="1:17" x14ac:dyDescent="0.25">
      <c r="A5127" s="22">
        <v>45828</v>
      </c>
      <c r="B5127" s="1">
        <v>514566195</v>
      </c>
      <c r="C5127" t="s">
        <v>3919</v>
      </c>
      <c r="D5127" s="23">
        <v>-3136.2</v>
      </c>
      <c r="E5127" s="76" t="s">
        <v>35</v>
      </c>
      <c r="F5127" s="2">
        <v>212901001</v>
      </c>
      <c r="G5127" s="2" t="s">
        <v>91</v>
      </c>
      <c r="I5127" s="95" t="s">
        <v>7231</v>
      </c>
      <c r="J5127" t="s">
        <v>61</v>
      </c>
      <c r="K5127" t="s">
        <v>62</v>
      </c>
      <c r="M5127">
        <v>104.54</v>
      </c>
      <c r="N5127" s="4">
        <f t="shared" si="79"/>
        <v>-29.999999999999996</v>
      </c>
      <c r="O5127" t="s">
        <v>83</v>
      </c>
    </row>
    <row r="5128" spans="1:17" x14ac:dyDescent="0.25">
      <c r="A5128" s="22">
        <v>45828</v>
      </c>
      <c r="B5128" s="1">
        <v>514566197</v>
      </c>
      <c r="C5128" t="s">
        <v>3920</v>
      </c>
      <c r="D5128" s="23">
        <v>-2090.8000000000002</v>
      </c>
      <c r="E5128" s="76" t="s">
        <v>35</v>
      </c>
      <c r="F5128" s="2">
        <v>212901001</v>
      </c>
      <c r="G5128" s="2" t="s">
        <v>91</v>
      </c>
      <c r="I5128" s="95" t="s">
        <v>7231</v>
      </c>
      <c r="J5128" t="s">
        <v>61</v>
      </c>
      <c r="K5128" t="s">
        <v>62</v>
      </c>
      <c r="M5128">
        <v>104.54</v>
      </c>
      <c r="N5128" s="4">
        <f t="shared" si="79"/>
        <v>-20</v>
      </c>
      <c r="O5128" t="s">
        <v>83</v>
      </c>
    </row>
    <row r="5129" spans="1:17" x14ac:dyDescent="0.25">
      <c r="A5129" s="22">
        <v>45828</v>
      </c>
      <c r="B5129" s="1">
        <v>514566199</v>
      </c>
      <c r="C5129" t="s">
        <v>3921</v>
      </c>
      <c r="D5129" s="23">
        <v>-2090.8000000000002</v>
      </c>
      <c r="E5129" s="76" t="s">
        <v>35</v>
      </c>
      <c r="F5129" s="2">
        <v>212901001</v>
      </c>
      <c r="G5129" s="2" t="s">
        <v>91</v>
      </c>
      <c r="I5129" s="95" t="s">
        <v>7231</v>
      </c>
      <c r="J5129" t="s">
        <v>61</v>
      </c>
      <c r="K5129" t="s">
        <v>62</v>
      </c>
      <c r="M5129">
        <v>104.54</v>
      </c>
      <c r="N5129" s="4">
        <f t="shared" si="79"/>
        <v>-20</v>
      </c>
      <c r="O5129" t="s">
        <v>83</v>
      </c>
    </row>
    <row r="5130" spans="1:17" x14ac:dyDescent="0.25">
      <c r="A5130" s="22">
        <v>45828</v>
      </c>
      <c r="B5130" s="1">
        <v>514566201</v>
      </c>
      <c r="C5130" t="s">
        <v>3922</v>
      </c>
      <c r="D5130" s="23">
        <v>-2090.8000000000002</v>
      </c>
      <c r="E5130" s="76" t="s">
        <v>35</v>
      </c>
      <c r="F5130" s="2">
        <v>212901001</v>
      </c>
      <c r="G5130" s="2" t="s">
        <v>91</v>
      </c>
      <c r="I5130" s="95" t="s">
        <v>7231</v>
      </c>
      <c r="J5130" t="s">
        <v>61</v>
      </c>
      <c r="K5130" t="s">
        <v>62</v>
      </c>
      <c r="M5130">
        <v>104.54</v>
      </c>
      <c r="N5130" s="4">
        <f t="shared" si="79"/>
        <v>-20</v>
      </c>
      <c r="O5130" t="s">
        <v>83</v>
      </c>
    </row>
    <row r="5131" spans="1:17" x14ac:dyDescent="0.25">
      <c r="A5131" s="22">
        <v>45828</v>
      </c>
      <c r="B5131" s="1">
        <v>514566200</v>
      </c>
      <c r="C5131" t="s">
        <v>3923</v>
      </c>
      <c r="D5131" s="23">
        <v>-2090.8000000000002</v>
      </c>
      <c r="E5131" s="76" t="s">
        <v>35</v>
      </c>
      <c r="F5131" s="2">
        <v>212901001</v>
      </c>
      <c r="G5131" s="2" t="s">
        <v>91</v>
      </c>
      <c r="I5131" s="95" t="s">
        <v>7231</v>
      </c>
      <c r="J5131" t="s">
        <v>61</v>
      </c>
      <c r="K5131" t="s">
        <v>62</v>
      </c>
      <c r="M5131">
        <v>104.54</v>
      </c>
      <c r="N5131" s="4">
        <f t="shared" si="79"/>
        <v>-20</v>
      </c>
      <c r="O5131" t="s">
        <v>83</v>
      </c>
    </row>
    <row r="5132" spans="1:17" x14ac:dyDescent="0.25">
      <c r="A5132" s="22">
        <v>45828</v>
      </c>
      <c r="B5132" s="1">
        <v>514566203</v>
      </c>
      <c r="C5132" t="s">
        <v>3924</v>
      </c>
      <c r="D5132" s="23">
        <v>-36798.080000000002</v>
      </c>
      <c r="E5132" s="76" t="s">
        <v>35</v>
      </c>
      <c r="F5132" s="2">
        <v>212901001</v>
      </c>
      <c r="G5132" s="2" t="s">
        <v>91</v>
      </c>
      <c r="I5132" s="95" t="s">
        <v>7231</v>
      </c>
      <c r="J5132" t="s">
        <v>61</v>
      </c>
      <c r="K5132" t="s">
        <v>62</v>
      </c>
      <c r="M5132">
        <v>104.54</v>
      </c>
      <c r="N5132" s="4">
        <f t="shared" ref="N5132:N5195" si="80">D5132/M5132</f>
        <v>-352</v>
      </c>
      <c r="O5132" t="s">
        <v>83</v>
      </c>
    </row>
    <row r="5133" spans="1:17" x14ac:dyDescent="0.25">
      <c r="A5133" s="22">
        <v>45828</v>
      </c>
      <c r="B5133" s="1">
        <v>614566205</v>
      </c>
      <c r="C5133" t="s">
        <v>3925</v>
      </c>
      <c r="D5133" s="23">
        <v>-14635.6</v>
      </c>
      <c r="E5133" s="76" t="s">
        <v>35</v>
      </c>
      <c r="F5133" s="2">
        <v>212901001</v>
      </c>
      <c r="G5133" s="2" t="s">
        <v>91</v>
      </c>
      <c r="I5133" s="95" t="s">
        <v>7231</v>
      </c>
      <c r="J5133" t="s">
        <v>61</v>
      </c>
      <c r="K5133" t="s">
        <v>62</v>
      </c>
      <c r="M5133">
        <v>104.54</v>
      </c>
      <c r="N5133" s="4">
        <f t="shared" si="80"/>
        <v>-140</v>
      </c>
      <c r="O5133" t="s">
        <v>83</v>
      </c>
    </row>
    <row r="5134" spans="1:17" x14ac:dyDescent="0.25">
      <c r="A5134" s="22">
        <v>45828</v>
      </c>
      <c r="B5134" s="1">
        <v>514566202</v>
      </c>
      <c r="C5134" t="s">
        <v>3926</v>
      </c>
      <c r="D5134" s="23">
        <v>-2090.8000000000002</v>
      </c>
      <c r="E5134" s="76" t="s">
        <v>35</v>
      </c>
      <c r="F5134" s="2">
        <v>212901001</v>
      </c>
      <c r="G5134" s="2" t="s">
        <v>91</v>
      </c>
      <c r="I5134" s="95" t="s">
        <v>7231</v>
      </c>
      <c r="J5134" t="s">
        <v>61</v>
      </c>
      <c r="K5134" t="s">
        <v>62</v>
      </c>
      <c r="M5134">
        <v>104.54</v>
      </c>
      <c r="N5134" s="4">
        <f t="shared" si="80"/>
        <v>-20</v>
      </c>
      <c r="O5134" t="s">
        <v>83</v>
      </c>
    </row>
    <row r="5135" spans="1:17" ht="45" x14ac:dyDescent="0.25">
      <c r="A5135" s="22">
        <v>45828</v>
      </c>
      <c r="B5135" s="1">
        <v>614566204</v>
      </c>
      <c r="C5135" s="78" t="s">
        <v>3927</v>
      </c>
      <c r="D5135" s="23">
        <v>-1045.4000000000001</v>
      </c>
      <c r="E5135" s="76" t="s">
        <v>35</v>
      </c>
      <c r="F5135" s="2">
        <v>212901001</v>
      </c>
      <c r="G5135" s="2" t="s">
        <v>91</v>
      </c>
      <c r="I5135" s="95" t="s">
        <v>7231</v>
      </c>
      <c r="J5135" t="s">
        <v>61</v>
      </c>
      <c r="K5135" t="s">
        <v>62</v>
      </c>
      <c r="M5135">
        <v>104.54</v>
      </c>
      <c r="N5135" s="4">
        <f t="shared" si="80"/>
        <v>-10</v>
      </c>
      <c r="O5135" t="s">
        <v>83</v>
      </c>
    </row>
    <row r="5136" spans="1:17" x14ac:dyDescent="0.25">
      <c r="A5136" s="22">
        <v>45828</v>
      </c>
      <c r="B5136" s="1">
        <v>614566206</v>
      </c>
      <c r="C5136" t="s">
        <v>3928</v>
      </c>
      <c r="D5136" s="23">
        <v>-199359.92</v>
      </c>
      <c r="E5136" s="76" t="s">
        <v>35</v>
      </c>
      <c r="F5136" s="2">
        <v>210101001</v>
      </c>
      <c r="G5136" s="2" t="s">
        <v>36</v>
      </c>
      <c r="I5136" s="95" t="s">
        <v>7231</v>
      </c>
      <c r="J5136" t="s">
        <v>37</v>
      </c>
      <c r="K5136" t="s">
        <v>38</v>
      </c>
      <c r="M5136">
        <v>104.54</v>
      </c>
      <c r="N5136" s="4">
        <f t="shared" si="80"/>
        <v>-1907.0204706332504</v>
      </c>
      <c r="O5136" t="s">
        <v>83</v>
      </c>
    </row>
    <row r="5137" spans="1:17" x14ac:dyDescent="0.25">
      <c r="A5137" s="22">
        <v>45828</v>
      </c>
      <c r="B5137" s="1">
        <v>614566207</v>
      </c>
      <c r="C5137" t="s">
        <v>3928</v>
      </c>
      <c r="D5137" s="23">
        <v>-200000</v>
      </c>
      <c r="E5137" s="76" t="s">
        <v>35</v>
      </c>
      <c r="F5137" s="2">
        <v>210101001</v>
      </c>
      <c r="G5137" s="2" t="s">
        <v>36</v>
      </c>
      <c r="I5137" s="95" t="s">
        <v>7231</v>
      </c>
      <c r="J5137" t="s">
        <v>37</v>
      </c>
      <c r="K5137" t="s">
        <v>38</v>
      </c>
      <c r="M5137">
        <v>104.54</v>
      </c>
      <c r="N5137" s="4">
        <f t="shared" si="80"/>
        <v>-1913.143294432753</v>
      </c>
      <c r="O5137" t="s">
        <v>83</v>
      </c>
    </row>
    <row r="5138" spans="1:17" x14ac:dyDescent="0.25">
      <c r="A5138" s="22">
        <v>45828</v>
      </c>
      <c r="B5138" s="1">
        <v>614566210</v>
      </c>
      <c r="C5138" t="s">
        <v>3929</v>
      </c>
      <c r="D5138" s="23">
        <v>-2090.8000000000002</v>
      </c>
      <c r="E5138" s="76" t="s">
        <v>35</v>
      </c>
      <c r="F5138" s="2">
        <v>212901001</v>
      </c>
      <c r="G5138" s="2" t="s">
        <v>91</v>
      </c>
      <c r="I5138" s="95" t="s">
        <v>7231</v>
      </c>
      <c r="J5138" t="s">
        <v>61</v>
      </c>
      <c r="K5138" t="s">
        <v>62</v>
      </c>
      <c r="M5138">
        <v>104.54</v>
      </c>
      <c r="N5138" s="4">
        <f t="shared" si="80"/>
        <v>-20</v>
      </c>
      <c r="O5138" t="s">
        <v>83</v>
      </c>
    </row>
    <row r="5139" spans="1:17" x14ac:dyDescent="0.25">
      <c r="A5139" s="22">
        <v>45828</v>
      </c>
      <c r="B5139" s="1">
        <v>614566209</v>
      </c>
      <c r="C5139" t="s">
        <v>3928</v>
      </c>
      <c r="D5139" s="23">
        <v>-200000</v>
      </c>
      <c r="E5139" s="76" t="s">
        <v>35</v>
      </c>
      <c r="F5139" s="2">
        <v>210101001</v>
      </c>
      <c r="G5139" s="2" t="s">
        <v>36</v>
      </c>
      <c r="I5139" s="95" t="s">
        <v>7231</v>
      </c>
      <c r="J5139" t="s">
        <v>37</v>
      </c>
      <c r="K5139" t="s">
        <v>38</v>
      </c>
      <c r="M5139">
        <v>104.54</v>
      </c>
      <c r="N5139" s="4">
        <f t="shared" si="80"/>
        <v>-1913.143294432753</v>
      </c>
      <c r="O5139" t="s">
        <v>83</v>
      </c>
    </row>
    <row r="5140" spans="1:17" x14ac:dyDescent="0.25">
      <c r="A5140" s="22">
        <v>45828</v>
      </c>
      <c r="B5140" s="1">
        <v>50669452</v>
      </c>
      <c r="C5140" t="s">
        <v>89</v>
      </c>
      <c r="D5140" s="23">
        <v>-1735.1</v>
      </c>
      <c r="E5140" s="76" t="s">
        <v>35</v>
      </c>
      <c r="F5140" s="2">
        <v>610148001</v>
      </c>
      <c r="G5140" s="2" t="s">
        <v>41</v>
      </c>
      <c r="I5140" s="95" t="s">
        <v>7231</v>
      </c>
      <c r="J5140" t="s">
        <v>42</v>
      </c>
      <c r="K5140" t="s">
        <v>41</v>
      </c>
      <c r="M5140">
        <v>104.54</v>
      </c>
      <c r="N5140" s="4">
        <f t="shared" si="80"/>
        <v>-16.597474650851346</v>
      </c>
      <c r="O5140" t="s">
        <v>83</v>
      </c>
      <c r="Q5140" s="24" t="s">
        <v>3649</v>
      </c>
    </row>
    <row r="5141" spans="1:17" x14ac:dyDescent="0.25">
      <c r="A5141" s="22">
        <v>45828</v>
      </c>
      <c r="B5141" s="1">
        <v>113331712</v>
      </c>
      <c r="C5141" t="s">
        <v>82</v>
      </c>
      <c r="D5141" s="23">
        <v>470000</v>
      </c>
      <c r="E5141" s="76" t="s">
        <v>45</v>
      </c>
      <c r="F5141" s="2">
        <v>210115002</v>
      </c>
      <c r="G5141" s="2" t="s">
        <v>46</v>
      </c>
      <c r="I5141" s="95" t="s">
        <v>7231</v>
      </c>
      <c r="K5141" t="s">
        <v>82</v>
      </c>
      <c r="M5141">
        <v>104.54</v>
      </c>
      <c r="N5141" s="4">
        <f t="shared" si="80"/>
        <v>4495.8867419169692</v>
      </c>
      <c r="O5141" t="s">
        <v>83</v>
      </c>
    </row>
    <row r="5142" spans="1:17" x14ac:dyDescent="0.25">
      <c r="A5142" s="22">
        <v>45828</v>
      </c>
      <c r="B5142" s="1">
        <v>214567390</v>
      </c>
      <c r="C5142" t="s">
        <v>3930</v>
      </c>
      <c r="D5142" s="23">
        <v>-8363.2000000000007</v>
      </c>
      <c r="E5142" s="76" t="s">
        <v>35</v>
      </c>
      <c r="F5142" s="2">
        <v>212901001</v>
      </c>
      <c r="G5142" s="2" t="s">
        <v>91</v>
      </c>
      <c r="I5142" s="95" t="s">
        <v>7231</v>
      </c>
      <c r="J5142" t="s">
        <v>61</v>
      </c>
      <c r="K5142" t="s">
        <v>62</v>
      </c>
      <c r="M5142">
        <v>104.54</v>
      </c>
      <c r="N5142" s="4">
        <f t="shared" si="80"/>
        <v>-80</v>
      </c>
      <c r="O5142" t="s">
        <v>83</v>
      </c>
    </row>
    <row r="5143" spans="1:17" x14ac:dyDescent="0.25">
      <c r="A5143" s="22">
        <v>45828</v>
      </c>
      <c r="B5143" s="1">
        <v>214567392</v>
      </c>
      <c r="C5143" t="s">
        <v>3931</v>
      </c>
      <c r="D5143" s="23">
        <v>-6272.4</v>
      </c>
      <c r="E5143" s="76" t="s">
        <v>35</v>
      </c>
      <c r="F5143" s="2">
        <v>212901001</v>
      </c>
      <c r="G5143" s="2" t="s">
        <v>91</v>
      </c>
      <c r="I5143" s="95" t="s">
        <v>7231</v>
      </c>
      <c r="J5143" t="s">
        <v>61</v>
      </c>
      <c r="K5143" t="s">
        <v>62</v>
      </c>
      <c r="M5143">
        <v>104.54</v>
      </c>
      <c r="N5143" s="4">
        <f t="shared" si="80"/>
        <v>-59.999999999999993</v>
      </c>
      <c r="O5143" t="s">
        <v>83</v>
      </c>
    </row>
    <row r="5144" spans="1:17" x14ac:dyDescent="0.25">
      <c r="A5144" s="22">
        <v>45828</v>
      </c>
      <c r="B5144" s="1">
        <v>214567391</v>
      </c>
      <c r="C5144" t="s">
        <v>3932</v>
      </c>
      <c r="D5144" s="23">
        <v>-6272.4</v>
      </c>
      <c r="E5144" s="76" t="s">
        <v>35</v>
      </c>
      <c r="F5144" s="2">
        <v>212901001</v>
      </c>
      <c r="G5144" s="2" t="s">
        <v>91</v>
      </c>
      <c r="I5144" s="95" t="s">
        <v>7231</v>
      </c>
      <c r="J5144" t="s">
        <v>61</v>
      </c>
      <c r="K5144" t="s">
        <v>62</v>
      </c>
      <c r="M5144">
        <v>104.54</v>
      </c>
      <c r="N5144" s="4">
        <f t="shared" si="80"/>
        <v>-59.999999999999993</v>
      </c>
      <c r="O5144" t="s">
        <v>83</v>
      </c>
    </row>
    <row r="5145" spans="1:17" x14ac:dyDescent="0.25">
      <c r="A5145" s="22">
        <v>45828</v>
      </c>
      <c r="B5145" s="1">
        <v>214567393</v>
      </c>
      <c r="C5145" t="s">
        <v>3933</v>
      </c>
      <c r="D5145" s="23">
        <v>-6272.4</v>
      </c>
      <c r="E5145" s="76" t="s">
        <v>35</v>
      </c>
      <c r="F5145" s="2">
        <v>212901001</v>
      </c>
      <c r="G5145" s="2" t="s">
        <v>91</v>
      </c>
      <c r="I5145" s="95" t="s">
        <v>7231</v>
      </c>
      <c r="J5145" t="s">
        <v>61</v>
      </c>
      <c r="K5145" t="s">
        <v>62</v>
      </c>
      <c r="M5145">
        <v>104.54</v>
      </c>
      <c r="N5145" s="4">
        <f t="shared" si="80"/>
        <v>-59.999999999999993</v>
      </c>
      <c r="O5145" t="s">
        <v>83</v>
      </c>
    </row>
    <row r="5146" spans="1:17" x14ac:dyDescent="0.25">
      <c r="A5146" s="22">
        <v>45828</v>
      </c>
      <c r="B5146" s="1">
        <v>314567394</v>
      </c>
      <c r="C5146" t="s">
        <v>3934</v>
      </c>
      <c r="D5146" s="23">
        <v>-6272.4</v>
      </c>
      <c r="E5146" s="76" t="s">
        <v>35</v>
      </c>
      <c r="F5146" s="2">
        <v>212901001</v>
      </c>
      <c r="G5146" s="2" t="s">
        <v>91</v>
      </c>
      <c r="I5146" s="95" t="s">
        <v>7231</v>
      </c>
      <c r="J5146" t="s">
        <v>61</v>
      </c>
      <c r="K5146" t="s">
        <v>62</v>
      </c>
      <c r="M5146">
        <v>104.54</v>
      </c>
      <c r="N5146" s="4">
        <f t="shared" si="80"/>
        <v>-59.999999999999993</v>
      </c>
      <c r="O5146" t="s">
        <v>83</v>
      </c>
    </row>
    <row r="5147" spans="1:17" x14ac:dyDescent="0.25">
      <c r="A5147" s="22">
        <v>45828</v>
      </c>
      <c r="B5147" s="1">
        <v>314567397</v>
      </c>
      <c r="C5147" t="s">
        <v>3935</v>
      </c>
      <c r="D5147" s="23">
        <v>-6272.4</v>
      </c>
      <c r="E5147" s="76" t="s">
        <v>35</v>
      </c>
      <c r="F5147" s="2">
        <v>212901001</v>
      </c>
      <c r="G5147" s="2" t="s">
        <v>91</v>
      </c>
      <c r="I5147" s="95" t="s">
        <v>7231</v>
      </c>
      <c r="J5147" t="s">
        <v>61</v>
      </c>
      <c r="K5147" t="s">
        <v>62</v>
      </c>
      <c r="M5147">
        <v>104.54</v>
      </c>
      <c r="N5147" s="4">
        <f t="shared" si="80"/>
        <v>-59.999999999999993</v>
      </c>
      <c r="O5147" t="s">
        <v>83</v>
      </c>
    </row>
    <row r="5148" spans="1:17" x14ac:dyDescent="0.25">
      <c r="A5148" s="22">
        <v>45828</v>
      </c>
      <c r="B5148" s="1">
        <v>314567395</v>
      </c>
      <c r="C5148" t="s">
        <v>3936</v>
      </c>
      <c r="D5148" s="23">
        <v>-6272.4</v>
      </c>
      <c r="E5148" s="76" t="s">
        <v>35</v>
      </c>
      <c r="F5148" s="2">
        <v>212901001</v>
      </c>
      <c r="G5148" s="2" t="s">
        <v>91</v>
      </c>
      <c r="I5148" s="95" t="s">
        <v>7231</v>
      </c>
      <c r="J5148" t="s">
        <v>61</v>
      </c>
      <c r="K5148" t="s">
        <v>62</v>
      </c>
      <c r="M5148">
        <v>104.54</v>
      </c>
      <c r="N5148" s="4">
        <f t="shared" si="80"/>
        <v>-59.999999999999993</v>
      </c>
      <c r="O5148" t="s">
        <v>83</v>
      </c>
    </row>
    <row r="5149" spans="1:17" x14ac:dyDescent="0.25">
      <c r="A5149" s="22">
        <v>45828</v>
      </c>
      <c r="B5149" s="1">
        <v>314567398</v>
      </c>
      <c r="C5149" t="s">
        <v>3937</v>
      </c>
      <c r="D5149" s="23">
        <v>-6272.4</v>
      </c>
      <c r="E5149" s="76" t="s">
        <v>35</v>
      </c>
      <c r="F5149" s="2">
        <v>212901001</v>
      </c>
      <c r="G5149" s="2" t="s">
        <v>91</v>
      </c>
      <c r="I5149" s="95" t="s">
        <v>7231</v>
      </c>
      <c r="J5149" t="s">
        <v>61</v>
      </c>
      <c r="K5149" t="s">
        <v>62</v>
      </c>
      <c r="M5149">
        <v>104.54</v>
      </c>
      <c r="N5149" s="4">
        <f t="shared" si="80"/>
        <v>-59.999999999999993</v>
      </c>
      <c r="O5149" t="s">
        <v>83</v>
      </c>
    </row>
    <row r="5150" spans="1:17" x14ac:dyDescent="0.25">
      <c r="A5150" s="22">
        <v>45828</v>
      </c>
      <c r="B5150" s="1">
        <v>314567401</v>
      </c>
      <c r="C5150" t="s">
        <v>3938</v>
      </c>
      <c r="D5150" s="23">
        <v>-6272.4</v>
      </c>
      <c r="E5150" s="76" t="s">
        <v>35</v>
      </c>
      <c r="F5150" s="2">
        <v>212901001</v>
      </c>
      <c r="G5150" s="2" t="s">
        <v>91</v>
      </c>
      <c r="I5150" s="95" t="s">
        <v>7231</v>
      </c>
      <c r="J5150" t="s">
        <v>61</v>
      </c>
      <c r="K5150" t="s">
        <v>62</v>
      </c>
      <c r="M5150">
        <v>104.54</v>
      </c>
      <c r="N5150" s="4">
        <f t="shared" si="80"/>
        <v>-59.999999999999993</v>
      </c>
      <c r="O5150" t="s">
        <v>83</v>
      </c>
    </row>
    <row r="5151" spans="1:17" x14ac:dyDescent="0.25">
      <c r="A5151" s="22">
        <v>45828</v>
      </c>
      <c r="B5151" s="1">
        <v>314567400</v>
      </c>
      <c r="C5151" t="s">
        <v>3939</v>
      </c>
      <c r="D5151" s="23">
        <v>-6272.4</v>
      </c>
      <c r="E5151" s="76" t="s">
        <v>35</v>
      </c>
      <c r="F5151" s="2">
        <v>212901001</v>
      </c>
      <c r="G5151" s="2" t="s">
        <v>91</v>
      </c>
      <c r="I5151" s="95" t="s">
        <v>7231</v>
      </c>
      <c r="J5151" t="s">
        <v>61</v>
      </c>
      <c r="K5151" t="s">
        <v>62</v>
      </c>
      <c r="M5151">
        <v>104.54</v>
      </c>
      <c r="N5151" s="4">
        <f t="shared" si="80"/>
        <v>-59.999999999999993</v>
      </c>
      <c r="O5151" t="s">
        <v>83</v>
      </c>
    </row>
    <row r="5152" spans="1:17" x14ac:dyDescent="0.25">
      <c r="A5152" s="22">
        <v>45828</v>
      </c>
      <c r="B5152" s="1">
        <v>314567399</v>
      </c>
      <c r="C5152" t="s">
        <v>3940</v>
      </c>
      <c r="D5152" s="23">
        <v>-6272.4</v>
      </c>
      <c r="E5152" s="76" t="s">
        <v>35</v>
      </c>
      <c r="F5152" s="2">
        <v>212901001</v>
      </c>
      <c r="G5152" s="2" t="s">
        <v>91</v>
      </c>
      <c r="I5152" s="95" t="s">
        <v>7231</v>
      </c>
      <c r="J5152" t="s">
        <v>61</v>
      </c>
      <c r="K5152" t="s">
        <v>62</v>
      </c>
      <c r="M5152">
        <v>104.54</v>
      </c>
      <c r="N5152" s="4">
        <f t="shared" si="80"/>
        <v>-59.999999999999993</v>
      </c>
      <c r="O5152" t="s">
        <v>83</v>
      </c>
    </row>
    <row r="5153" spans="1:15" x14ac:dyDescent="0.25">
      <c r="A5153" s="22">
        <v>45828</v>
      </c>
      <c r="B5153" s="1">
        <v>314567402</v>
      </c>
      <c r="C5153" t="s">
        <v>3941</v>
      </c>
      <c r="D5153" s="23">
        <v>-6272.4</v>
      </c>
      <c r="E5153" s="76" t="s">
        <v>35</v>
      </c>
      <c r="F5153" s="2">
        <v>212901001</v>
      </c>
      <c r="G5153" s="2" t="s">
        <v>91</v>
      </c>
      <c r="I5153" s="95" t="s">
        <v>7231</v>
      </c>
      <c r="J5153" t="s">
        <v>61</v>
      </c>
      <c r="K5153" t="s">
        <v>62</v>
      </c>
      <c r="M5153">
        <v>104.54</v>
      </c>
      <c r="N5153" s="4">
        <f t="shared" si="80"/>
        <v>-59.999999999999993</v>
      </c>
      <c r="O5153" t="s">
        <v>83</v>
      </c>
    </row>
    <row r="5154" spans="1:15" x14ac:dyDescent="0.25">
      <c r="A5154" s="22">
        <v>45828</v>
      </c>
      <c r="B5154" s="1">
        <v>414567405</v>
      </c>
      <c r="C5154" t="s">
        <v>3942</v>
      </c>
      <c r="D5154" s="23">
        <v>-6272.4</v>
      </c>
      <c r="E5154" s="76" t="s">
        <v>35</v>
      </c>
      <c r="F5154" s="2">
        <v>212901001</v>
      </c>
      <c r="G5154" s="2" t="s">
        <v>91</v>
      </c>
      <c r="I5154" s="95" t="s">
        <v>7231</v>
      </c>
      <c r="J5154" t="s">
        <v>61</v>
      </c>
      <c r="K5154" t="s">
        <v>62</v>
      </c>
      <c r="M5154">
        <v>104.54</v>
      </c>
      <c r="N5154" s="4">
        <f t="shared" si="80"/>
        <v>-59.999999999999993</v>
      </c>
      <c r="O5154" t="s">
        <v>83</v>
      </c>
    </row>
    <row r="5155" spans="1:15" x14ac:dyDescent="0.25">
      <c r="A5155" s="22">
        <v>45828</v>
      </c>
      <c r="B5155" s="1">
        <v>414567403</v>
      </c>
      <c r="C5155" t="s">
        <v>3943</v>
      </c>
      <c r="D5155" s="23">
        <v>-6272.4</v>
      </c>
      <c r="E5155" s="76" t="s">
        <v>35</v>
      </c>
      <c r="F5155" s="2">
        <v>212901001</v>
      </c>
      <c r="G5155" s="2" t="s">
        <v>91</v>
      </c>
      <c r="I5155" s="95" t="s">
        <v>7231</v>
      </c>
      <c r="J5155" t="s">
        <v>61</v>
      </c>
      <c r="K5155" t="s">
        <v>62</v>
      </c>
      <c r="M5155">
        <v>104.54</v>
      </c>
      <c r="N5155" s="4">
        <f t="shared" si="80"/>
        <v>-59.999999999999993</v>
      </c>
      <c r="O5155" t="s">
        <v>83</v>
      </c>
    </row>
    <row r="5156" spans="1:15" x14ac:dyDescent="0.25">
      <c r="A5156" s="22">
        <v>45828</v>
      </c>
      <c r="B5156" s="1">
        <v>414567404</v>
      </c>
      <c r="C5156" t="s">
        <v>3944</v>
      </c>
      <c r="D5156" s="23">
        <v>-6272.4</v>
      </c>
      <c r="E5156" s="76" t="s">
        <v>35</v>
      </c>
      <c r="F5156" s="2">
        <v>212901001</v>
      </c>
      <c r="G5156" s="2" t="s">
        <v>91</v>
      </c>
      <c r="I5156" s="95" t="s">
        <v>7231</v>
      </c>
      <c r="J5156" t="s">
        <v>61</v>
      </c>
      <c r="K5156" t="s">
        <v>62</v>
      </c>
      <c r="M5156">
        <v>104.54</v>
      </c>
      <c r="N5156" s="4">
        <f t="shared" si="80"/>
        <v>-59.999999999999993</v>
      </c>
      <c r="O5156" t="s">
        <v>83</v>
      </c>
    </row>
    <row r="5157" spans="1:15" x14ac:dyDescent="0.25">
      <c r="A5157" s="22">
        <v>45828</v>
      </c>
      <c r="B5157" s="1">
        <v>414567406</v>
      </c>
      <c r="C5157" t="s">
        <v>3945</v>
      </c>
      <c r="D5157" s="23">
        <v>-6272.4</v>
      </c>
      <c r="E5157" s="76" t="s">
        <v>35</v>
      </c>
      <c r="F5157" s="2">
        <v>212901001</v>
      </c>
      <c r="G5157" s="2" t="s">
        <v>91</v>
      </c>
      <c r="I5157" s="95" t="s">
        <v>7231</v>
      </c>
      <c r="J5157" t="s">
        <v>61</v>
      </c>
      <c r="K5157" t="s">
        <v>62</v>
      </c>
      <c r="M5157">
        <v>104.54</v>
      </c>
      <c r="N5157" s="4">
        <f t="shared" si="80"/>
        <v>-59.999999999999993</v>
      </c>
      <c r="O5157" t="s">
        <v>83</v>
      </c>
    </row>
    <row r="5158" spans="1:15" x14ac:dyDescent="0.25">
      <c r="A5158" s="22">
        <v>45828</v>
      </c>
      <c r="B5158" s="1">
        <v>414567407</v>
      </c>
      <c r="C5158" t="s">
        <v>3946</v>
      </c>
      <c r="D5158" s="23">
        <v>-15681</v>
      </c>
      <c r="E5158" s="76" t="s">
        <v>35</v>
      </c>
      <c r="F5158" s="2">
        <v>212901001</v>
      </c>
      <c r="G5158" s="2" t="s">
        <v>91</v>
      </c>
      <c r="I5158" s="95" t="s">
        <v>7231</v>
      </c>
      <c r="J5158" t="s">
        <v>61</v>
      </c>
      <c r="K5158" t="s">
        <v>62</v>
      </c>
      <c r="M5158">
        <v>104.54</v>
      </c>
      <c r="N5158" s="4">
        <f t="shared" si="80"/>
        <v>-150</v>
      </c>
      <c r="O5158" t="s">
        <v>83</v>
      </c>
    </row>
    <row r="5159" spans="1:15" x14ac:dyDescent="0.25">
      <c r="A5159" s="22">
        <v>45828</v>
      </c>
      <c r="B5159" s="1">
        <v>414567408</v>
      </c>
      <c r="C5159" t="s">
        <v>3947</v>
      </c>
      <c r="D5159" s="23">
        <v>-10454</v>
      </c>
      <c r="E5159" s="76" t="s">
        <v>35</v>
      </c>
      <c r="F5159" s="2">
        <v>212901001</v>
      </c>
      <c r="G5159" s="2" t="s">
        <v>91</v>
      </c>
      <c r="I5159" s="95" t="s">
        <v>7231</v>
      </c>
      <c r="J5159" t="s">
        <v>61</v>
      </c>
      <c r="K5159" t="s">
        <v>62</v>
      </c>
      <c r="M5159">
        <v>104.54</v>
      </c>
      <c r="N5159" s="4">
        <f t="shared" si="80"/>
        <v>-100</v>
      </c>
      <c r="O5159" t="s">
        <v>83</v>
      </c>
    </row>
    <row r="5160" spans="1:15" x14ac:dyDescent="0.25">
      <c r="A5160" s="22">
        <v>45828</v>
      </c>
      <c r="B5160" s="1">
        <v>514567412</v>
      </c>
      <c r="C5160" t="s">
        <v>3948</v>
      </c>
      <c r="D5160" s="23">
        <v>-8363.2000000000007</v>
      </c>
      <c r="E5160" s="76" t="s">
        <v>35</v>
      </c>
      <c r="F5160" s="2">
        <v>212901001</v>
      </c>
      <c r="G5160" s="2" t="s">
        <v>91</v>
      </c>
      <c r="I5160" s="95" t="s">
        <v>7231</v>
      </c>
      <c r="J5160" t="s">
        <v>61</v>
      </c>
      <c r="K5160" t="s">
        <v>62</v>
      </c>
      <c r="M5160">
        <v>104.54</v>
      </c>
      <c r="N5160" s="4">
        <f t="shared" si="80"/>
        <v>-80</v>
      </c>
      <c r="O5160" t="s">
        <v>83</v>
      </c>
    </row>
    <row r="5161" spans="1:15" x14ac:dyDescent="0.25">
      <c r="A5161" s="22">
        <v>45828</v>
      </c>
      <c r="B5161" s="1">
        <v>414567411</v>
      </c>
      <c r="C5161" t="s">
        <v>3949</v>
      </c>
      <c r="D5161" s="23">
        <v>-8363.2000000000007</v>
      </c>
      <c r="E5161" s="76" t="s">
        <v>35</v>
      </c>
      <c r="F5161" s="2">
        <v>212901001</v>
      </c>
      <c r="G5161" s="2" t="s">
        <v>91</v>
      </c>
      <c r="I5161" s="95" t="s">
        <v>7231</v>
      </c>
      <c r="J5161" t="s">
        <v>61</v>
      </c>
      <c r="K5161" t="s">
        <v>62</v>
      </c>
      <c r="M5161">
        <v>104.54</v>
      </c>
      <c r="N5161" s="4">
        <f t="shared" si="80"/>
        <v>-80</v>
      </c>
      <c r="O5161" t="s">
        <v>83</v>
      </c>
    </row>
    <row r="5162" spans="1:15" x14ac:dyDescent="0.25">
      <c r="A5162" s="22">
        <v>45828</v>
      </c>
      <c r="B5162" s="1">
        <v>514567413</v>
      </c>
      <c r="C5162" t="s">
        <v>3950</v>
      </c>
      <c r="D5162" s="23">
        <v>-8363.2000000000007</v>
      </c>
      <c r="E5162" s="76" t="s">
        <v>35</v>
      </c>
      <c r="F5162" s="2">
        <v>212901001</v>
      </c>
      <c r="G5162" s="2" t="s">
        <v>91</v>
      </c>
      <c r="I5162" s="95" t="s">
        <v>7231</v>
      </c>
      <c r="J5162" t="s">
        <v>61</v>
      </c>
      <c r="K5162" t="s">
        <v>62</v>
      </c>
      <c r="M5162">
        <v>104.54</v>
      </c>
      <c r="N5162" s="4">
        <f t="shared" si="80"/>
        <v>-80</v>
      </c>
      <c r="O5162" t="s">
        <v>83</v>
      </c>
    </row>
    <row r="5163" spans="1:15" x14ac:dyDescent="0.25">
      <c r="A5163" s="22">
        <v>45828</v>
      </c>
      <c r="B5163" s="1">
        <v>514567414</v>
      </c>
      <c r="C5163" t="s">
        <v>3951</v>
      </c>
      <c r="D5163" s="23">
        <v>-8363.2000000000007</v>
      </c>
      <c r="E5163" s="76" t="s">
        <v>35</v>
      </c>
      <c r="F5163" s="2">
        <v>212901001</v>
      </c>
      <c r="G5163" s="2" t="s">
        <v>91</v>
      </c>
      <c r="I5163" s="95" t="s">
        <v>7231</v>
      </c>
      <c r="J5163" t="s">
        <v>61</v>
      </c>
      <c r="K5163" t="s">
        <v>62</v>
      </c>
      <c r="M5163">
        <v>104.54</v>
      </c>
      <c r="N5163" s="4">
        <f t="shared" si="80"/>
        <v>-80</v>
      </c>
      <c r="O5163" t="s">
        <v>83</v>
      </c>
    </row>
    <row r="5164" spans="1:15" x14ac:dyDescent="0.25">
      <c r="A5164" s="22">
        <v>45828</v>
      </c>
      <c r="B5164" s="1">
        <v>414567409</v>
      </c>
      <c r="C5164" t="s">
        <v>3952</v>
      </c>
      <c r="D5164" s="23">
        <v>-8363.2000000000007</v>
      </c>
      <c r="E5164" s="76" t="s">
        <v>35</v>
      </c>
      <c r="F5164" s="2">
        <v>212901001</v>
      </c>
      <c r="G5164" s="2" t="s">
        <v>91</v>
      </c>
      <c r="I5164" s="95" t="s">
        <v>7231</v>
      </c>
      <c r="J5164" t="s">
        <v>61</v>
      </c>
      <c r="K5164" t="s">
        <v>62</v>
      </c>
      <c r="M5164">
        <v>104.54</v>
      </c>
      <c r="N5164" s="4">
        <f t="shared" si="80"/>
        <v>-80</v>
      </c>
      <c r="O5164" t="s">
        <v>83</v>
      </c>
    </row>
    <row r="5165" spans="1:15" x14ac:dyDescent="0.25">
      <c r="A5165" s="22">
        <v>45828</v>
      </c>
      <c r="B5165" s="1">
        <v>514567415</v>
      </c>
      <c r="C5165" t="s">
        <v>3953</v>
      </c>
      <c r="D5165" s="23">
        <v>-8363.2000000000007</v>
      </c>
      <c r="E5165" s="76" t="s">
        <v>35</v>
      </c>
      <c r="F5165" s="2">
        <v>212901001</v>
      </c>
      <c r="G5165" s="2" t="s">
        <v>91</v>
      </c>
      <c r="I5165" s="95" t="s">
        <v>7231</v>
      </c>
      <c r="J5165" t="s">
        <v>61</v>
      </c>
      <c r="K5165" t="s">
        <v>62</v>
      </c>
      <c r="M5165">
        <v>104.54</v>
      </c>
      <c r="N5165" s="4">
        <f t="shared" si="80"/>
        <v>-80</v>
      </c>
      <c r="O5165" t="s">
        <v>83</v>
      </c>
    </row>
    <row r="5166" spans="1:15" x14ac:dyDescent="0.25">
      <c r="A5166" s="22">
        <v>45828</v>
      </c>
      <c r="B5166" s="1">
        <v>514567416</v>
      </c>
      <c r="C5166" t="s">
        <v>3954</v>
      </c>
      <c r="D5166" s="23">
        <v>-5227</v>
      </c>
      <c r="E5166" s="76" t="s">
        <v>35</v>
      </c>
      <c r="F5166" s="2">
        <v>212901001</v>
      </c>
      <c r="G5166" s="2" t="s">
        <v>91</v>
      </c>
      <c r="I5166" s="95" t="s">
        <v>7231</v>
      </c>
      <c r="J5166" t="s">
        <v>61</v>
      </c>
      <c r="K5166" t="s">
        <v>62</v>
      </c>
      <c r="M5166">
        <v>104.54</v>
      </c>
      <c r="N5166" s="4">
        <f t="shared" si="80"/>
        <v>-50</v>
      </c>
      <c r="O5166" t="s">
        <v>83</v>
      </c>
    </row>
    <row r="5167" spans="1:15" x14ac:dyDescent="0.25">
      <c r="A5167" s="22">
        <v>45828</v>
      </c>
      <c r="B5167" s="1">
        <v>514567418</v>
      </c>
      <c r="C5167" t="s">
        <v>3955</v>
      </c>
      <c r="D5167" s="23">
        <v>-5227</v>
      </c>
      <c r="E5167" s="76" t="s">
        <v>35</v>
      </c>
      <c r="F5167" s="2">
        <v>212901001</v>
      </c>
      <c r="G5167" s="2" t="s">
        <v>91</v>
      </c>
      <c r="I5167" s="95" t="s">
        <v>7231</v>
      </c>
      <c r="J5167" t="s">
        <v>61</v>
      </c>
      <c r="K5167" t="s">
        <v>62</v>
      </c>
      <c r="M5167">
        <v>104.54</v>
      </c>
      <c r="N5167" s="4">
        <f t="shared" si="80"/>
        <v>-50</v>
      </c>
      <c r="O5167" t="s">
        <v>83</v>
      </c>
    </row>
    <row r="5168" spans="1:15" x14ac:dyDescent="0.25">
      <c r="A5168" s="22">
        <v>45828</v>
      </c>
      <c r="B5168" s="1">
        <v>614567421</v>
      </c>
      <c r="C5168" t="s">
        <v>3956</v>
      </c>
      <c r="D5168" s="23">
        <v>-5227</v>
      </c>
      <c r="E5168" s="76" t="s">
        <v>35</v>
      </c>
      <c r="F5168" s="2">
        <v>212901001</v>
      </c>
      <c r="G5168" s="2" t="s">
        <v>91</v>
      </c>
      <c r="I5168" s="95" t="s">
        <v>7231</v>
      </c>
      <c r="J5168" t="s">
        <v>61</v>
      </c>
      <c r="K5168" t="s">
        <v>62</v>
      </c>
      <c r="M5168">
        <v>104.54</v>
      </c>
      <c r="N5168" s="4">
        <f t="shared" si="80"/>
        <v>-50</v>
      </c>
      <c r="O5168" t="s">
        <v>83</v>
      </c>
    </row>
    <row r="5169" spans="1:15" x14ac:dyDescent="0.25">
      <c r="A5169" s="22">
        <v>45828</v>
      </c>
      <c r="B5169" s="1">
        <v>514567417</v>
      </c>
      <c r="C5169" t="s">
        <v>3957</v>
      </c>
      <c r="D5169" s="23">
        <v>-5227</v>
      </c>
      <c r="E5169" s="76" t="s">
        <v>35</v>
      </c>
      <c r="F5169" s="2">
        <v>212901001</v>
      </c>
      <c r="G5169" s="2" t="s">
        <v>91</v>
      </c>
      <c r="I5169" s="95" t="s">
        <v>7231</v>
      </c>
      <c r="J5169" t="s">
        <v>61</v>
      </c>
      <c r="K5169" t="s">
        <v>62</v>
      </c>
      <c r="M5169">
        <v>104.54</v>
      </c>
      <c r="N5169" s="4">
        <f t="shared" si="80"/>
        <v>-50</v>
      </c>
      <c r="O5169" t="s">
        <v>83</v>
      </c>
    </row>
    <row r="5170" spans="1:15" x14ac:dyDescent="0.25">
      <c r="A5170" s="22">
        <v>45828</v>
      </c>
      <c r="B5170" s="1">
        <v>614567420</v>
      </c>
      <c r="C5170" t="s">
        <v>3958</v>
      </c>
      <c r="D5170" s="23">
        <v>-5227</v>
      </c>
      <c r="E5170" s="76" t="s">
        <v>35</v>
      </c>
      <c r="F5170" s="2">
        <v>212901001</v>
      </c>
      <c r="G5170" s="2" t="s">
        <v>91</v>
      </c>
      <c r="I5170" s="95" t="s">
        <v>7231</v>
      </c>
      <c r="J5170" t="s">
        <v>61</v>
      </c>
      <c r="K5170" t="s">
        <v>62</v>
      </c>
      <c r="M5170">
        <v>104.54</v>
      </c>
      <c r="N5170" s="4">
        <f t="shared" si="80"/>
        <v>-50</v>
      </c>
      <c r="O5170" t="s">
        <v>83</v>
      </c>
    </row>
    <row r="5171" spans="1:15" x14ac:dyDescent="0.25">
      <c r="A5171" s="22">
        <v>45828</v>
      </c>
      <c r="B5171" s="1">
        <v>514567419</v>
      </c>
      <c r="C5171" t="s">
        <v>3959</v>
      </c>
      <c r="D5171" s="23">
        <v>-5227</v>
      </c>
      <c r="E5171" s="76" t="s">
        <v>35</v>
      </c>
      <c r="F5171" s="2">
        <v>212901001</v>
      </c>
      <c r="G5171" s="2" t="s">
        <v>91</v>
      </c>
      <c r="I5171" s="95" t="s">
        <v>7231</v>
      </c>
      <c r="J5171" t="s">
        <v>61</v>
      </c>
      <c r="K5171" t="s">
        <v>62</v>
      </c>
      <c r="M5171">
        <v>104.54</v>
      </c>
      <c r="N5171" s="4">
        <f t="shared" si="80"/>
        <v>-50</v>
      </c>
      <c r="O5171" t="s">
        <v>83</v>
      </c>
    </row>
    <row r="5172" spans="1:15" x14ac:dyDescent="0.25">
      <c r="A5172" s="22">
        <v>45828</v>
      </c>
      <c r="B5172" s="1">
        <v>614567422</v>
      </c>
      <c r="C5172" t="s">
        <v>3960</v>
      </c>
      <c r="D5172" s="23">
        <v>-4181.6000000000004</v>
      </c>
      <c r="E5172" s="76" t="s">
        <v>35</v>
      </c>
      <c r="F5172" s="2">
        <v>212901001</v>
      </c>
      <c r="G5172" s="2" t="s">
        <v>91</v>
      </c>
      <c r="I5172" s="95" t="s">
        <v>7231</v>
      </c>
      <c r="J5172" t="s">
        <v>61</v>
      </c>
      <c r="K5172" t="s">
        <v>62</v>
      </c>
      <c r="M5172">
        <v>104.54</v>
      </c>
      <c r="N5172" s="4">
        <f t="shared" si="80"/>
        <v>-40</v>
      </c>
      <c r="O5172" t="s">
        <v>83</v>
      </c>
    </row>
    <row r="5173" spans="1:15" x14ac:dyDescent="0.25">
      <c r="A5173" s="22">
        <v>45828</v>
      </c>
      <c r="B5173" s="1">
        <v>614567423</v>
      </c>
      <c r="C5173" t="s">
        <v>3961</v>
      </c>
      <c r="D5173" s="23">
        <v>-4181.6000000000004</v>
      </c>
      <c r="E5173" s="76" t="s">
        <v>35</v>
      </c>
      <c r="F5173" s="2">
        <v>212901001</v>
      </c>
      <c r="G5173" s="2" t="s">
        <v>91</v>
      </c>
      <c r="I5173" s="95" t="s">
        <v>7231</v>
      </c>
      <c r="J5173" t="s">
        <v>61</v>
      </c>
      <c r="K5173" t="s">
        <v>62</v>
      </c>
      <c r="M5173">
        <v>104.54</v>
      </c>
      <c r="N5173" s="4">
        <f t="shared" si="80"/>
        <v>-40</v>
      </c>
      <c r="O5173" t="s">
        <v>83</v>
      </c>
    </row>
    <row r="5174" spans="1:15" x14ac:dyDescent="0.25">
      <c r="A5174" s="22">
        <v>45828</v>
      </c>
      <c r="B5174" s="1">
        <v>614567424</v>
      </c>
      <c r="C5174" t="s">
        <v>3962</v>
      </c>
      <c r="D5174" s="23">
        <v>-4181.6000000000004</v>
      </c>
      <c r="E5174" s="76" t="s">
        <v>35</v>
      </c>
      <c r="F5174" s="2">
        <v>212901001</v>
      </c>
      <c r="G5174" s="2" t="s">
        <v>91</v>
      </c>
      <c r="I5174" s="95" t="s">
        <v>7231</v>
      </c>
      <c r="J5174" t="s">
        <v>61</v>
      </c>
      <c r="K5174" t="s">
        <v>62</v>
      </c>
      <c r="M5174">
        <v>104.54</v>
      </c>
      <c r="N5174" s="4">
        <f t="shared" si="80"/>
        <v>-40</v>
      </c>
      <c r="O5174" t="s">
        <v>83</v>
      </c>
    </row>
    <row r="5175" spans="1:15" x14ac:dyDescent="0.25">
      <c r="A5175" s="22">
        <v>45828</v>
      </c>
      <c r="B5175" s="1">
        <v>614567425</v>
      </c>
      <c r="C5175" t="s">
        <v>3963</v>
      </c>
      <c r="D5175" s="23">
        <v>-4181.6000000000004</v>
      </c>
      <c r="E5175" s="76" t="s">
        <v>35</v>
      </c>
      <c r="F5175" s="2">
        <v>212901001</v>
      </c>
      <c r="G5175" s="2" t="s">
        <v>91</v>
      </c>
      <c r="I5175" s="95" t="s">
        <v>7231</v>
      </c>
      <c r="J5175" t="s">
        <v>61</v>
      </c>
      <c r="K5175" t="s">
        <v>62</v>
      </c>
      <c r="M5175">
        <v>104.54</v>
      </c>
      <c r="N5175" s="4">
        <f t="shared" si="80"/>
        <v>-40</v>
      </c>
      <c r="O5175" t="s">
        <v>83</v>
      </c>
    </row>
    <row r="5176" spans="1:15" x14ac:dyDescent="0.25">
      <c r="A5176" s="22">
        <v>45828</v>
      </c>
      <c r="B5176" s="1">
        <v>614567427</v>
      </c>
      <c r="C5176" t="s">
        <v>3964</v>
      </c>
      <c r="D5176" s="23">
        <v>-4181.6000000000004</v>
      </c>
      <c r="E5176" s="76" t="s">
        <v>35</v>
      </c>
      <c r="F5176" s="2">
        <v>212901001</v>
      </c>
      <c r="G5176" s="2" t="s">
        <v>91</v>
      </c>
      <c r="I5176" s="95" t="s">
        <v>7231</v>
      </c>
      <c r="J5176" t="s">
        <v>61</v>
      </c>
      <c r="K5176" t="s">
        <v>62</v>
      </c>
      <c r="M5176">
        <v>104.54</v>
      </c>
      <c r="N5176" s="4">
        <f t="shared" si="80"/>
        <v>-40</v>
      </c>
      <c r="O5176" t="s">
        <v>83</v>
      </c>
    </row>
    <row r="5177" spans="1:15" x14ac:dyDescent="0.25">
      <c r="A5177" s="22">
        <v>45828</v>
      </c>
      <c r="B5177" s="1">
        <v>614567426</v>
      </c>
      <c r="C5177" t="s">
        <v>3965</v>
      </c>
      <c r="D5177" s="23">
        <v>-4181.6000000000004</v>
      </c>
      <c r="E5177" s="76" t="s">
        <v>35</v>
      </c>
      <c r="F5177" s="2">
        <v>212901001</v>
      </c>
      <c r="G5177" s="2" t="s">
        <v>91</v>
      </c>
      <c r="I5177" s="95" t="s">
        <v>7231</v>
      </c>
      <c r="J5177" t="s">
        <v>61</v>
      </c>
      <c r="K5177" t="s">
        <v>62</v>
      </c>
      <c r="M5177">
        <v>104.54</v>
      </c>
      <c r="N5177" s="4">
        <f t="shared" si="80"/>
        <v>-40</v>
      </c>
      <c r="O5177" t="s">
        <v>83</v>
      </c>
    </row>
    <row r="5178" spans="1:15" x14ac:dyDescent="0.25">
      <c r="A5178" s="22">
        <v>45828</v>
      </c>
      <c r="B5178" s="1">
        <v>614567428</v>
      </c>
      <c r="C5178" t="s">
        <v>3966</v>
      </c>
      <c r="D5178" s="23">
        <v>-4181.6000000000004</v>
      </c>
      <c r="E5178" s="76" t="s">
        <v>35</v>
      </c>
      <c r="F5178" s="2">
        <v>212901001</v>
      </c>
      <c r="G5178" s="2" t="s">
        <v>91</v>
      </c>
      <c r="I5178" s="95" t="s">
        <v>7231</v>
      </c>
      <c r="J5178" t="s">
        <v>61</v>
      </c>
      <c r="K5178" t="s">
        <v>62</v>
      </c>
      <c r="M5178">
        <v>104.54</v>
      </c>
      <c r="N5178" s="4">
        <f t="shared" si="80"/>
        <v>-40</v>
      </c>
      <c r="O5178" t="s">
        <v>83</v>
      </c>
    </row>
    <row r="5179" spans="1:15" x14ac:dyDescent="0.25">
      <c r="A5179" s="22">
        <v>45828</v>
      </c>
      <c r="B5179" s="1">
        <v>714567431</v>
      </c>
      <c r="C5179" t="s">
        <v>3967</v>
      </c>
      <c r="D5179" s="23">
        <v>-15681</v>
      </c>
      <c r="E5179" s="76" t="s">
        <v>35</v>
      </c>
      <c r="F5179" s="2">
        <v>212901001</v>
      </c>
      <c r="G5179" s="2" t="s">
        <v>91</v>
      </c>
      <c r="I5179" s="95" t="s">
        <v>7231</v>
      </c>
      <c r="J5179" t="s">
        <v>61</v>
      </c>
      <c r="K5179" t="s">
        <v>62</v>
      </c>
      <c r="M5179">
        <v>104.54</v>
      </c>
      <c r="N5179" s="4">
        <f t="shared" si="80"/>
        <v>-150</v>
      </c>
      <c r="O5179" t="s">
        <v>83</v>
      </c>
    </row>
    <row r="5180" spans="1:15" x14ac:dyDescent="0.25">
      <c r="A5180" s="22">
        <v>45828</v>
      </c>
      <c r="B5180" s="1">
        <v>714567429</v>
      </c>
      <c r="C5180" t="s">
        <v>3968</v>
      </c>
      <c r="D5180" s="23">
        <v>-10454</v>
      </c>
      <c r="E5180" s="76" t="s">
        <v>35</v>
      </c>
      <c r="F5180" s="2">
        <v>212901001</v>
      </c>
      <c r="G5180" s="2" t="s">
        <v>91</v>
      </c>
      <c r="I5180" s="95" t="s">
        <v>7231</v>
      </c>
      <c r="J5180" t="s">
        <v>61</v>
      </c>
      <c r="K5180" t="s">
        <v>62</v>
      </c>
      <c r="M5180">
        <v>104.54</v>
      </c>
      <c r="N5180" s="4">
        <f t="shared" si="80"/>
        <v>-100</v>
      </c>
      <c r="O5180" t="s">
        <v>83</v>
      </c>
    </row>
    <row r="5181" spans="1:15" x14ac:dyDescent="0.25">
      <c r="A5181" s="22">
        <v>45828</v>
      </c>
      <c r="B5181" s="1">
        <v>714567430</v>
      </c>
      <c r="C5181" t="s">
        <v>3969</v>
      </c>
      <c r="D5181" s="23">
        <v>-10454</v>
      </c>
      <c r="E5181" s="76" t="s">
        <v>35</v>
      </c>
      <c r="F5181" s="2">
        <v>212901001</v>
      </c>
      <c r="G5181" s="2" t="s">
        <v>91</v>
      </c>
      <c r="I5181" s="95" t="s">
        <v>7231</v>
      </c>
      <c r="J5181" t="s">
        <v>61</v>
      </c>
      <c r="K5181" t="s">
        <v>62</v>
      </c>
      <c r="M5181">
        <v>104.54</v>
      </c>
      <c r="N5181" s="4">
        <f t="shared" si="80"/>
        <v>-100</v>
      </c>
      <c r="O5181" t="s">
        <v>83</v>
      </c>
    </row>
    <row r="5182" spans="1:15" x14ac:dyDescent="0.25">
      <c r="A5182" s="22">
        <v>45828</v>
      </c>
      <c r="B5182" s="1">
        <v>714567435</v>
      </c>
      <c r="C5182" t="s">
        <v>3970</v>
      </c>
      <c r="D5182" s="23">
        <v>-8363.2000000000007</v>
      </c>
      <c r="E5182" s="76" t="s">
        <v>35</v>
      </c>
      <c r="F5182" s="2">
        <v>212901001</v>
      </c>
      <c r="G5182" s="2" t="s">
        <v>91</v>
      </c>
      <c r="I5182" s="95" t="s">
        <v>7231</v>
      </c>
      <c r="J5182" t="s">
        <v>61</v>
      </c>
      <c r="K5182" t="s">
        <v>62</v>
      </c>
      <c r="M5182">
        <v>104.54</v>
      </c>
      <c r="N5182" s="4">
        <f t="shared" si="80"/>
        <v>-80</v>
      </c>
      <c r="O5182" t="s">
        <v>83</v>
      </c>
    </row>
    <row r="5183" spans="1:15" x14ac:dyDescent="0.25">
      <c r="A5183" s="22">
        <v>45828</v>
      </c>
      <c r="B5183" s="1">
        <v>714567433</v>
      </c>
      <c r="C5183" t="s">
        <v>3971</v>
      </c>
      <c r="D5183" s="23">
        <v>-3136.2</v>
      </c>
      <c r="E5183" s="76" t="s">
        <v>35</v>
      </c>
      <c r="F5183" s="2">
        <v>212901001</v>
      </c>
      <c r="G5183" s="2" t="s">
        <v>91</v>
      </c>
      <c r="I5183" s="95" t="s">
        <v>7231</v>
      </c>
      <c r="J5183" t="s">
        <v>61</v>
      </c>
      <c r="K5183" t="s">
        <v>62</v>
      </c>
      <c r="M5183">
        <v>104.54</v>
      </c>
      <c r="N5183" s="4">
        <f t="shared" si="80"/>
        <v>-29.999999999999996</v>
      </c>
      <c r="O5183" t="s">
        <v>83</v>
      </c>
    </row>
    <row r="5184" spans="1:15" x14ac:dyDescent="0.25">
      <c r="A5184" s="22">
        <v>45828</v>
      </c>
      <c r="B5184" s="1">
        <v>714567436</v>
      </c>
      <c r="C5184" t="s">
        <v>3972</v>
      </c>
      <c r="D5184" s="23">
        <v>-10454</v>
      </c>
      <c r="E5184" s="76" t="s">
        <v>35</v>
      </c>
      <c r="F5184" s="2">
        <v>212901001</v>
      </c>
      <c r="G5184" s="2" t="s">
        <v>91</v>
      </c>
      <c r="I5184" s="95" t="s">
        <v>7231</v>
      </c>
      <c r="J5184" t="s">
        <v>61</v>
      </c>
      <c r="K5184" t="s">
        <v>62</v>
      </c>
      <c r="M5184">
        <v>104.54</v>
      </c>
      <c r="N5184" s="4">
        <f t="shared" si="80"/>
        <v>-100</v>
      </c>
      <c r="O5184" t="s">
        <v>83</v>
      </c>
    </row>
    <row r="5185" spans="1:15" x14ac:dyDescent="0.25">
      <c r="A5185" s="22">
        <v>45828</v>
      </c>
      <c r="B5185" s="1">
        <v>714567434</v>
      </c>
      <c r="C5185" t="s">
        <v>3973</v>
      </c>
      <c r="D5185" s="23">
        <v>-11499.4</v>
      </c>
      <c r="E5185" s="76" t="s">
        <v>35</v>
      </c>
      <c r="F5185" s="2">
        <v>212901001</v>
      </c>
      <c r="G5185" s="2" t="s">
        <v>91</v>
      </c>
      <c r="I5185" s="95" t="s">
        <v>7231</v>
      </c>
      <c r="J5185" t="s">
        <v>61</v>
      </c>
      <c r="K5185" t="s">
        <v>62</v>
      </c>
      <c r="M5185">
        <v>104.54</v>
      </c>
      <c r="N5185" s="4">
        <f t="shared" si="80"/>
        <v>-109.99999999999999</v>
      </c>
      <c r="O5185" t="s">
        <v>83</v>
      </c>
    </row>
    <row r="5186" spans="1:15" x14ac:dyDescent="0.25">
      <c r="A5186" s="22">
        <v>45828</v>
      </c>
      <c r="B5186" s="1">
        <v>714567438</v>
      </c>
      <c r="C5186" t="s">
        <v>3974</v>
      </c>
      <c r="D5186" s="23">
        <v>-6272.4</v>
      </c>
      <c r="E5186" s="76" t="s">
        <v>35</v>
      </c>
      <c r="F5186" s="2">
        <v>212901001</v>
      </c>
      <c r="G5186" s="2" t="s">
        <v>91</v>
      </c>
      <c r="I5186" s="95" t="s">
        <v>7231</v>
      </c>
      <c r="J5186" t="s">
        <v>61</v>
      </c>
      <c r="K5186" t="s">
        <v>62</v>
      </c>
      <c r="M5186">
        <v>104.54</v>
      </c>
      <c r="N5186" s="4">
        <f t="shared" si="80"/>
        <v>-59.999999999999993</v>
      </c>
      <c r="O5186" t="s">
        <v>83</v>
      </c>
    </row>
    <row r="5187" spans="1:15" x14ac:dyDescent="0.25">
      <c r="A5187" s="22">
        <v>45828</v>
      </c>
      <c r="B5187" s="1">
        <v>714567437</v>
      </c>
      <c r="C5187" t="s">
        <v>3975</v>
      </c>
      <c r="D5187" s="23">
        <v>-7317.8</v>
      </c>
      <c r="E5187" s="76" t="s">
        <v>35</v>
      </c>
      <c r="F5187" s="2">
        <v>212901001</v>
      </c>
      <c r="G5187" s="2" t="s">
        <v>91</v>
      </c>
      <c r="I5187" s="95" t="s">
        <v>7231</v>
      </c>
      <c r="J5187" t="s">
        <v>61</v>
      </c>
      <c r="K5187" t="s">
        <v>62</v>
      </c>
      <c r="M5187">
        <v>104.54</v>
      </c>
      <c r="N5187" s="4">
        <f t="shared" si="80"/>
        <v>-70</v>
      </c>
      <c r="O5187" t="s">
        <v>83</v>
      </c>
    </row>
    <row r="5188" spans="1:15" x14ac:dyDescent="0.25">
      <c r="A5188" s="22">
        <v>45828</v>
      </c>
      <c r="B5188" s="1">
        <v>814567442</v>
      </c>
      <c r="C5188" t="s">
        <v>3976</v>
      </c>
      <c r="D5188" s="23">
        <v>-5227</v>
      </c>
      <c r="E5188" s="76" t="s">
        <v>35</v>
      </c>
      <c r="F5188" s="2">
        <v>212901001</v>
      </c>
      <c r="G5188" s="2" t="s">
        <v>91</v>
      </c>
      <c r="I5188" s="95" t="s">
        <v>7231</v>
      </c>
      <c r="J5188" t="s">
        <v>61</v>
      </c>
      <c r="K5188" t="s">
        <v>62</v>
      </c>
      <c r="M5188">
        <v>104.54</v>
      </c>
      <c r="N5188" s="4">
        <f t="shared" si="80"/>
        <v>-50</v>
      </c>
      <c r="O5188" t="s">
        <v>83</v>
      </c>
    </row>
    <row r="5189" spans="1:15" x14ac:dyDescent="0.25">
      <c r="A5189" s="22">
        <v>45828</v>
      </c>
      <c r="B5189" s="1">
        <v>814567443</v>
      </c>
      <c r="C5189" t="s">
        <v>3977</v>
      </c>
      <c r="D5189" s="23">
        <v>-4390.68</v>
      </c>
      <c r="E5189" s="76" t="s">
        <v>35</v>
      </c>
      <c r="F5189" s="2">
        <v>212901001</v>
      </c>
      <c r="G5189" s="2" t="s">
        <v>91</v>
      </c>
      <c r="I5189" s="95" t="s">
        <v>7231</v>
      </c>
      <c r="J5189" t="s">
        <v>61</v>
      </c>
      <c r="K5189" t="s">
        <v>62</v>
      </c>
      <c r="M5189">
        <v>104.54</v>
      </c>
      <c r="N5189" s="4">
        <f t="shared" si="80"/>
        <v>-42</v>
      </c>
      <c r="O5189" t="s">
        <v>83</v>
      </c>
    </row>
    <row r="5190" spans="1:15" x14ac:dyDescent="0.25">
      <c r="A5190" s="22">
        <v>45828</v>
      </c>
      <c r="B5190" s="1">
        <v>814567444</v>
      </c>
      <c r="C5190" t="s">
        <v>3978</v>
      </c>
      <c r="D5190" s="23">
        <v>-5227</v>
      </c>
      <c r="E5190" s="76" t="s">
        <v>35</v>
      </c>
      <c r="F5190" s="2">
        <v>212901001</v>
      </c>
      <c r="G5190" s="2" t="s">
        <v>91</v>
      </c>
      <c r="I5190" s="95" t="s">
        <v>7231</v>
      </c>
      <c r="J5190" t="s">
        <v>61</v>
      </c>
      <c r="K5190" t="s">
        <v>62</v>
      </c>
      <c r="M5190">
        <v>104.54</v>
      </c>
      <c r="N5190" s="4">
        <f t="shared" si="80"/>
        <v>-50</v>
      </c>
      <c r="O5190" t="s">
        <v>83</v>
      </c>
    </row>
    <row r="5191" spans="1:15" x14ac:dyDescent="0.25">
      <c r="A5191" s="22">
        <v>45828</v>
      </c>
      <c r="B5191" s="1">
        <v>814567440</v>
      </c>
      <c r="C5191" t="s">
        <v>3979</v>
      </c>
      <c r="D5191" s="23">
        <v>-5227</v>
      </c>
      <c r="E5191" s="76" t="s">
        <v>35</v>
      </c>
      <c r="F5191" s="2">
        <v>212901001</v>
      </c>
      <c r="G5191" s="2" t="s">
        <v>91</v>
      </c>
      <c r="I5191" s="95" t="s">
        <v>7231</v>
      </c>
      <c r="J5191" t="s">
        <v>61</v>
      </c>
      <c r="K5191" t="s">
        <v>62</v>
      </c>
      <c r="M5191">
        <v>104.54</v>
      </c>
      <c r="N5191" s="4">
        <f t="shared" si="80"/>
        <v>-50</v>
      </c>
      <c r="O5191" t="s">
        <v>83</v>
      </c>
    </row>
    <row r="5192" spans="1:15" x14ac:dyDescent="0.25">
      <c r="A5192" s="22">
        <v>45828</v>
      </c>
      <c r="B5192" s="1">
        <v>914567447</v>
      </c>
      <c r="C5192" t="s">
        <v>3980</v>
      </c>
      <c r="D5192" s="23">
        <v>-5227</v>
      </c>
      <c r="E5192" s="76" t="s">
        <v>35</v>
      </c>
      <c r="F5192" s="2">
        <v>212901001</v>
      </c>
      <c r="G5192" s="2" t="s">
        <v>91</v>
      </c>
      <c r="I5192" s="95" t="s">
        <v>7231</v>
      </c>
      <c r="J5192" t="s">
        <v>61</v>
      </c>
      <c r="K5192" t="s">
        <v>62</v>
      </c>
      <c r="M5192">
        <v>104.54</v>
      </c>
      <c r="N5192" s="4">
        <f t="shared" si="80"/>
        <v>-50</v>
      </c>
      <c r="O5192" t="s">
        <v>83</v>
      </c>
    </row>
    <row r="5193" spans="1:15" x14ac:dyDescent="0.25">
      <c r="A5193" s="22">
        <v>45828</v>
      </c>
      <c r="B5193" s="1">
        <v>814567439</v>
      </c>
      <c r="C5193" t="s">
        <v>3981</v>
      </c>
      <c r="D5193" s="23">
        <v>-7317.8</v>
      </c>
      <c r="E5193" s="76" t="s">
        <v>35</v>
      </c>
      <c r="F5193" s="2">
        <v>212901001</v>
      </c>
      <c r="G5193" s="2" t="s">
        <v>91</v>
      </c>
      <c r="I5193" s="95" t="s">
        <v>7231</v>
      </c>
      <c r="J5193" t="s">
        <v>61</v>
      </c>
      <c r="K5193" t="s">
        <v>62</v>
      </c>
      <c r="M5193">
        <v>104.54</v>
      </c>
      <c r="N5193" s="4">
        <f t="shared" si="80"/>
        <v>-70</v>
      </c>
      <c r="O5193" t="s">
        <v>83</v>
      </c>
    </row>
    <row r="5194" spans="1:15" x14ac:dyDescent="0.25">
      <c r="A5194" s="22">
        <v>45828</v>
      </c>
      <c r="B5194" s="1">
        <v>814567445</v>
      </c>
      <c r="C5194" t="s">
        <v>3975</v>
      </c>
      <c r="D5194" s="23">
        <v>-5227</v>
      </c>
      <c r="E5194" s="76" t="s">
        <v>35</v>
      </c>
      <c r="F5194" s="2">
        <v>212901001</v>
      </c>
      <c r="G5194" s="2" t="s">
        <v>91</v>
      </c>
      <c r="I5194" s="95" t="s">
        <v>7231</v>
      </c>
      <c r="J5194" t="s">
        <v>61</v>
      </c>
      <c r="K5194" t="s">
        <v>62</v>
      </c>
      <c r="M5194">
        <v>104.54</v>
      </c>
      <c r="N5194" s="4">
        <f t="shared" si="80"/>
        <v>-50</v>
      </c>
      <c r="O5194" t="s">
        <v>83</v>
      </c>
    </row>
    <row r="5195" spans="1:15" x14ac:dyDescent="0.25">
      <c r="A5195" s="22">
        <v>45828</v>
      </c>
      <c r="B5195" s="1">
        <v>814567441</v>
      </c>
      <c r="C5195" t="s">
        <v>3982</v>
      </c>
      <c r="D5195" s="23">
        <v>-7317.8</v>
      </c>
      <c r="E5195" s="76" t="s">
        <v>35</v>
      </c>
      <c r="F5195" s="2">
        <v>212901001</v>
      </c>
      <c r="G5195" s="2" t="s">
        <v>91</v>
      </c>
      <c r="I5195" s="95" t="s">
        <v>7231</v>
      </c>
      <c r="J5195" t="s">
        <v>61</v>
      </c>
      <c r="K5195" t="s">
        <v>62</v>
      </c>
      <c r="M5195">
        <v>104.54</v>
      </c>
      <c r="N5195" s="4">
        <f t="shared" si="80"/>
        <v>-70</v>
      </c>
      <c r="O5195" t="s">
        <v>83</v>
      </c>
    </row>
    <row r="5196" spans="1:15" x14ac:dyDescent="0.25">
      <c r="A5196" s="22">
        <v>45828</v>
      </c>
      <c r="B5196" s="1">
        <v>914567448</v>
      </c>
      <c r="C5196" t="s">
        <v>3983</v>
      </c>
      <c r="D5196" s="23">
        <v>-4390.68</v>
      </c>
      <c r="E5196" s="76" t="s">
        <v>35</v>
      </c>
      <c r="F5196" s="2">
        <v>212901001</v>
      </c>
      <c r="G5196" s="2" t="s">
        <v>91</v>
      </c>
      <c r="I5196" s="95" t="s">
        <v>7231</v>
      </c>
      <c r="J5196" t="s">
        <v>61</v>
      </c>
      <c r="K5196" t="s">
        <v>62</v>
      </c>
      <c r="M5196">
        <v>104.54</v>
      </c>
      <c r="N5196" s="4">
        <f t="shared" ref="N5196:N5259" si="81">D5196/M5196</f>
        <v>-42</v>
      </c>
      <c r="O5196" t="s">
        <v>83</v>
      </c>
    </row>
    <row r="5197" spans="1:15" x14ac:dyDescent="0.25">
      <c r="A5197" s="22">
        <v>45828</v>
      </c>
      <c r="B5197" s="1">
        <v>914567450</v>
      </c>
      <c r="C5197" t="s">
        <v>3984</v>
      </c>
      <c r="D5197" s="23">
        <v>-5227</v>
      </c>
      <c r="E5197" s="76" t="s">
        <v>35</v>
      </c>
      <c r="F5197" s="2">
        <v>212901001</v>
      </c>
      <c r="G5197" s="2" t="s">
        <v>91</v>
      </c>
      <c r="I5197" s="95" t="s">
        <v>7231</v>
      </c>
      <c r="J5197" t="s">
        <v>61</v>
      </c>
      <c r="K5197" t="s">
        <v>62</v>
      </c>
      <c r="M5197">
        <v>104.54</v>
      </c>
      <c r="N5197" s="4">
        <f t="shared" si="81"/>
        <v>-50</v>
      </c>
      <c r="O5197" t="s">
        <v>83</v>
      </c>
    </row>
    <row r="5198" spans="1:15" x14ac:dyDescent="0.25">
      <c r="A5198" s="22">
        <v>45828</v>
      </c>
      <c r="B5198" s="1">
        <v>914567449</v>
      </c>
      <c r="C5198" t="s">
        <v>3985</v>
      </c>
      <c r="D5198" s="23">
        <v>-5227</v>
      </c>
      <c r="E5198" s="76" t="s">
        <v>35</v>
      </c>
      <c r="F5198" s="2">
        <v>212901001</v>
      </c>
      <c r="G5198" s="2" t="s">
        <v>91</v>
      </c>
      <c r="I5198" s="95" t="s">
        <v>7231</v>
      </c>
      <c r="J5198" t="s">
        <v>61</v>
      </c>
      <c r="K5198" t="s">
        <v>62</v>
      </c>
      <c r="M5198">
        <v>104.54</v>
      </c>
      <c r="N5198" s="4">
        <f t="shared" si="81"/>
        <v>-50</v>
      </c>
      <c r="O5198" t="s">
        <v>83</v>
      </c>
    </row>
    <row r="5199" spans="1:15" x14ac:dyDescent="0.25">
      <c r="A5199" s="22">
        <v>45828</v>
      </c>
      <c r="B5199" s="1">
        <v>914567451</v>
      </c>
      <c r="C5199" t="s">
        <v>3986</v>
      </c>
      <c r="D5199" s="23">
        <v>-5227</v>
      </c>
      <c r="E5199" s="76" t="s">
        <v>35</v>
      </c>
      <c r="F5199" s="2">
        <v>212901001</v>
      </c>
      <c r="G5199" s="2" t="s">
        <v>91</v>
      </c>
      <c r="I5199" s="95" t="s">
        <v>7231</v>
      </c>
      <c r="J5199" t="s">
        <v>61</v>
      </c>
      <c r="K5199" t="s">
        <v>62</v>
      </c>
      <c r="M5199">
        <v>104.54</v>
      </c>
      <c r="N5199" s="4">
        <f t="shared" si="81"/>
        <v>-50</v>
      </c>
      <c r="O5199" t="s">
        <v>83</v>
      </c>
    </row>
    <row r="5200" spans="1:15" x14ac:dyDescent="0.25">
      <c r="A5200" s="22">
        <v>45828</v>
      </c>
      <c r="B5200" s="1">
        <v>814567446</v>
      </c>
      <c r="C5200" t="s">
        <v>3987</v>
      </c>
      <c r="D5200" s="23">
        <v>-5227</v>
      </c>
      <c r="E5200" s="76" t="s">
        <v>35</v>
      </c>
      <c r="F5200" s="2">
        <v>212901001</v>
      </c>
      <c r="G5200" s="2" t="s">
        <v>91</v>
      </c>
      <c r="I5200" s="95" t="s">
        <v>7231</v>
      </c>
      <c r="J5200" t="s">
        <v>61</v>
      </c>
      <c r="K5200" t="s">
        <v>62</v>
      </c>
      <c r="M5200">
        <v>104.54</v>
      </c>
      <c r="N5200" s="4">
        <f t="shared" si="81"/>
        <v>-50</v>
      </c>
      <c r="O5200" t="s">
        <v>83</v>
      </c>
    </row>
    <row r="5201" spans="1:17" x14ac:dyDescent="0.25">
      <c r="A5201" s="22">
        <v>45828</v>
      </c>
      <c r="B5201" s="1">
        <v>914567452</v>
      </c>
      <c r="C5201" t="s">
        <v>3988</v>
      </c>
      <c r="D5201" s="23">
        <v>-4390.68</v>
      </c>
      <c r="E5201" s="76" t="s">
        <v>35</v>
      </c>
      <c r="F5201" s="2">
        <v>212901001</v>
      </c>
      <c r="G5201" s="2" t="s">
        <v>91</v>
      </c>
      <c r="I5201" s="95" t="s">
        <v>7231</v>
      </c>
      <c r="J5201" t="s">
        <v>61</v>
      </c>
      <c r="K5201" t="s">
        <v>62</v>
      </c>
      <c r="M5201">
        <v>104.54</v>
      </c>
      <c r="N5201" s="4">
        <f t="shared" si="81"/>
        <v>-42</v>
      </c>
      <c r="O5201" t="s">
        <v>83</v>
      </c>
    </row>
    <row r="5202" spans="1:17" x14ac:dyDescent="0.25">
      <c r="A5202" s="22">
        <v>45828</v>
      </c>
      <c r="B5202" s="1">
        <v>914567453</v>
      </c>
      <c r="C5202" t="s">
        <v>3989</v>
      </c>
      <c r="D5202" s="23">
        <v>-5227</v>
      </c>
      <c r="E5202" s="76" t="s">
        <v>35</v>
      </c>
      <c r="F5202" s="2">
        <v>212901001</v>
      </c>
      <c r="G5202" s="2" t="s">
        <v>91</v>
      </c>
      <c r="I5202" s="95" t="s">
        <v>7231</v>
      </c>
      <c r="J5202" t="s">
        <v>61</v>
      </c>
      <c r="K5202" t="s">
        <v>62</v>
      </c>
      <c r="M5202">
        <v>104.54</v>
      </c>
      <c r="N5202" s="4">
        <f t="shared" si="81"/>
        <v>-50</v>
      </c>
      <c r="O5202" t="s">
        <v>83</v>
      </c>
    </row>
    <row r="5203" spans="1:17" x14ac:dyDescent="0.25">
      <c r="A5203" s="22">
        <v>45828</v>
      </c>
      <c r="B5203" s="1">
        <v>914567454</v>
      </c>
      <c r="C5203" t="s">
        <v>3990</v>
      </c>
      <c r="D5203" s="23">
        <v>-5227</v>
      </c>
      <c r="E5203" s="76" t="s">
        <v>35</v>
      </c>
      <c r="F5203" s="2">
        <v>212901001</v>
      </c>
      <c r="G5203" s="2" t="s">
        <v>91</v>
      </c>
      <c r="I5203" s="95" t="s">
        <v>7231</v>
      </c>
      <c r="J5203" t="s">
        <v>61</v>
      </c>
      <c r="K5203" t="s">
        <v>62</v>
      </c>
      <c r="M5203">
        <v>104.54</v>
      </c>
      <c r="N5203" s="4">
        <f t="shared" si="81"/>
        <v>-50</v>
      </c>
      <c r="O5203" t="s">
        <v>83</v>
      </c>
    </row>
    <row r="5204" spans="1:17" x14ac:dyDescent="0.25">
      <c r="A5204" s="22">
        <v>45828</v>
      </c>
      <c r="B5204" s="1">
        <v>14567456</v>
      </c>
      <c r="C5204" t="s">
        <v>3991</v>
      </c>
      <c r="D5204" s="23">
        <v>-2090.8000000000002</v>
      </c>
      <c r="E5204" s="76" t="s">
        <v>35</v>
      </c>
      <c r="F5204" s="2">
        <v>212901001</v>
      </c>
      <c r="G5204" s="2" t="s">
        <v>91</v>
      </c>
      <c r="I5204" s="95" t="s">
        <v>7231</v>
      </c>
      <c r="J5204" t="s">
        <v>61</v>
      </c>
      <c r="K5204" t="s">
        <v>62</v>
      </c>
      <c r="M5204">
        <v>104.54</v>
      </c>
      <c r="N5204" s="4">
        <f t="shared" si="81"/>
        <v>-20</v>
      </c>
      <c r="O5204" t="s">
        <v>83</v>
      </c>
    </row>
    <row r="5205" spans="1:17" x14ac:dyDescent="0.25">
      <c r="A5205" s="22">
        <v>45828</v>
      </c>
      <c r="B5205" s="1">
        <v>914567455</v>
      </c>
      <c r="C5205" t="s">
        <v>3992</v>
      </c>
      <c r="D5205" s="23">
        <v>-2090.8000000000002</v>
      </c>
      <c r="E5205" s="76" t="s">
        <v>35</v>
      </c>
      <c r="F5205" s="2">
        <v>212901001</v>
      </c>
      <c r="G5205" s="2" t="s">
        <v>91</v>
      </c>
      <c r="I5205" s="95" t="s">
        <v>7231</v>
      </c>
      <c r="J5205" t="s">
        <v>61</v>
      </c>
      <c r="K5205" t="s">
        <v>62</v>
      </c>
      <c r="M5205">
        <v>104.54</v>
      </c>
      <c r="N5205" s="4">
        <f t="shared" si="81"/>
        <v>-20</v>
      </c>
      <c r="O5205" t="s">
        <v>83</v>
      </c>
    </row>
    <row r="5206" spans="1:17" x14ac:dyDescent="0.25">
      <c r="A5206" s="22">
        <v>45828</v>
      </c>
      <c r="B5206" s="1">
        <v>14567460</v>
      </c>
      <c r="C5206" t="s">
        <v>3993</v>
      </c>
      <c r="D5206" s="23">
        <v>-20908</v>
      </c>
      <c r="E5206" s="76" t="s">
        <v>35</v>
      </c>
      <c r="F5206" s="2">
        <v>212901001</v>
      </c>
      <c r="G5206" s="2" t="s">
        <v>91</v>
      </c>
      <c r="I5206" s="95" t="s">
        <v>7231</v>
      </c>
      <c r="J5206" t="s">
        <v>61</v>
      </c>
      <c r="K5206" t="s">
        <v>62</v>
      </c>
      <c r="M5206">
        <v>104.54</v>
      </c>
      <c r="N5206" s="4">
        <f t="shared" si="81"/>
        <v>-200</v>
      </c>
      <c r="O5206" t="s">
        <v>83</v>
      </c>
    </row>
    <row r="5207" spans="1:17" x14ac:dyDescent="0.25">
      <c r="A5207" s="22">
        <v>45828</v>
      </c>
      <c r="B5207" s="1">
        <v>14567458</v>
      </c>
      <c r="C5207" t="s">
        <v>3994</v>
      </c>
      <c r="D5207" s="23">
        <v>-2090.8000000000002</v>
      </c>
      <c r="E5207" s="76" t="s">
        <v>35</v>
      </c>
      <c r="F5207" s="2">
        <v>212901001</v>
      </c>
      <c r="G5207" s="2" t="s">
        <v>91</v>
      </c>
      <c r="I5207" s="95" t="s">
        <v>7231</v>
      </c>
      <c r="J5207" t="s">
        <v>61</v>
      </c>
      <c r="K5207" t="s">
        <v>62</v>
      </c>
      <c r="M5207">
        <v>104.54</v>
      </c>
      <c r="N5207" s="4">
        <f t="shared" si="81"/>
        <v>-20</v>
      </c>
      <c r="O5207" t="s">
        <v>83</v>
      </c>
    </row>
    <row r="5208" spans="1:17" x14ac:dyDescent="0.25">
      <c r="A5208" s="33">
        <v>45828</v>
      </c>
      <c r="B5208" s="27">
        <v>14567457</v>
      </c>
      <c r="C5208" s="28" t="s">
        <v>3995</v>
      </c>
      <c r="D5208" s="29">
        <v>-2090.8000000000002</v>
      </c>
      <c r="E5208" s="76" t="s">
        <v>35</v>
      </c>
      <c r="F5208" s="30">
        <v>610125001</v>
      </c>
      <c r="G5208" s="30" t="s">
        <v>2536</v>
      </c>
      <c r="H5208" s="30"/>
      <c r="I5208" s="95" t="s">
        <v>7231</v>
      </c>
      <c r="J5208" s="28" t="s">
        <v>406</v>
      </c>
      <c r="K5208" s="28" t="s">
        <v>407</v>
      </c>
      <c r="L5208" s="28" t="s">
        <v>56</v>
      </c>
      <c r="M5208" s="28">
        <v>104.54</v>
      </c>
      <c r="N5208" s="4">
        <f t="shared" si="81"/>
        <v>-20</v>
      </c>
      <c r="O5208" t="s">
        <v>83</v>
      </c>
      <c r="Q5208" s="24" t="s">
        <v>3996</v>
      </c>
    </row>
    <row r="5209" spans="1:17" x14ac:dyDescent="0.25">
      <c r="A5209" s="22">
        <v>45828</v>
      </c>
      <c r="B5209" s="1">
        <v>14567459</v>
      </c>
      <c r="C5209" t="s">
        <v>3997</v>
      </c>
      <c r="D5209" s="23">
        <v>-10454</v>
      </c>
      <c r="E5209" s="76" t="s">
        <v>35</v>
      </c>
      <c r="F5209" s="2">
        <v>212901001</v>
      </c>
      <c r="G5209" s="2" t="s">
        <v>91</v>
      </c>
      <c r="I5209" s="95" t="s">
        <v>7231</v>
      </c>
      <c r="J5209" t="s">
        <v>61</v>
      </c>
      <c r="K5209" t="s">
        <v>62</v>
      </c>
      <c r="M5209">
        <v>104.54</v>
      </c>
      <c r="N5209" s="4">
        <f t="shared" si="81"/>
        <v>-100</v>
      </c>
      <c r="O5209" t="s">
        <v>83</v>
      </c>
    </row>
    <row r="5210" spans="1:17" x14ac:dyDescent="0.25">
      <c r="A5210" s="22">
        <v>45828</v>
      </c>
      <c r="B5210" s="1">
        <v>14567463</v>
      </c>
      <c r="C5210" t="s">
        <v>3998</v>
      </c>
      <c r="D5210" s="23">
        <v>-4181.6000000000004</v>
      </c>
      <c r="E5210" s="76" t="s">
        <v>35</v>
      </c>
      <c r="F5210" s="2">
        <v>212901001</v>
      </c>
      <c r="G5210" s="2" t="s">
        <v>91</v>
      </c>
      <c r="I5210" s="95" t="s">
        <v>7231</v>
      </c>
      <c r="J5210" t="s">
        <v>61</v>
      </c>
      <c r="K5210" t="s">
        <v>62</v>
      </c>
      <c r="M5210">
        <v>104.54</v>
      </c>
      <c r="N5210" s="4">
        <f t="shared" si="81"/>
        <v>-40</v>
      </c>
      <c r="O5210" t="s">
        <v>83</v>
      </c>
    </row>
    <row r="5211" spans="1:17" x14ac:dyDescent="0.25">
      <c r="A5211" s="22">
        <v>45828</v>
      </c>
      <c r="B5211" s="1">
        <v>14567461</v>
      </c>
      <c r="C5211" t="s">
        <v>3999</v>
      </c>
      <c r="D5211" s="23">
        <v>-3136.2</v>
      </c>
      <c r="E5211" s="76" t="s">
        <v>35</v>
      </c>
      <c r="F5211" s="2">
        <v>212901001</v>
      </c>
      <c r="G5211" s="2" t="s">
        <v>91</v>
      </c>
      <c r="I5211" s="95" t="s">
        <v>7231</v>
      </c>
      <c r="J5211" t="s">
        <v>61</v>
      </c>
      <c r="K5211" t="s">
        <v>62</v>
      </c>
      <c r="M5211">
        <v>104.54</v>
      </c>
      <c r="N5211" s="4">
        <f t="shared" si="81"/>
        <v>-29.999999999999996</v>
      </c>
      <c r="O5211" t="s">
        <v>83</v>
      </c>
    </row>
    <row r="5212" spans="1:17" x14ac:dyDescent="0.25">
      <c r="A5212" s="33">
        <v>45828</v>
      </c>
      <c r="B5212" s="27">
        <v>50686199</v>
      </c>
      <c r="C5212" s="28" t="s">
        <v>4000</v>
      </c>
      <c r="D5212" s="29">
        <v>-14635.6</v>
      </c>
      <c r="E5212" s="76" t="s">
        <v>35</v>
      </c>
      <c r="F5212" s="30">
        <v>610156001</v>
      </c>
      <c r="G5212" s="30" t="s">
        <v>72</v>
      </c>
      <c r="H5212" s="30"/>
      <c r="I5212" s="95" t="s">
        <v>7231</v>
      </c>
      <c r="J5212" s="28" t="s">
        <v>73</v>
      </c>
      <c r="K5212" s="28" t="s">
        <v>74</v>
      </c>
      <c r="L5212" s="28" t="s">
        <v>56</v>
      </c>
      <c r="M5212" s="28">
        <v>104.54</v>
      </c>
      <c r="N5212" s="4">
        <f t="shared" si="81"/>
        <v>-140</v>
      </c>
      <c r="O5212" t="s">
        <v>83</v>
      </c>
      <c r="Q5212" t="s">
        <v>4001</v>
      </c>
    </row>
    <row r="5213" spans="1:17" x14ac:dyDescent="0.25">
      <c r="A5213" s="22">
        <v>45828</v>
      </c>
      <c r="B5213" s="1">
        <v>50686199</v>
      </c>
      <c r="C5213" t="s">
        <v>179</v>
      </c>
      <c r="D5213" s="23">
        <v>-21.95</v>
      </c>
      <c r="E5213" s="76" t="s">
        <v>35</v>
      </c>
      <c r="F5213" s="2">
        <v>610148001</v>
      </c>
      <c r="G5213" s="2" t="s">
        <v>41</v>
      </c>
      <c r="I5213" s="95" t="s">
        <v>7231</v>
      </c>
      <c r="J5213" t="s">
        <v>42</v>
      </c>
      <c r="K5213" t="s">
        <v>41</v>
      </c>
      <c r="M5213">
        <v>104.54</v>
      </c>
      <c r="N5213" s="4">
        <f t="shared" si="81"/>
        <v>-0.20996747656399462</v>
      </c>
      <c r="O5213" t="s">
        <v>83</v>
      </c>
      <c r="Q5213" s="24" t="s">
        <v>3649</v>
      </c>
    </row>
    <row r="5214" spans="1:17" x14ac:dyDescent="0.25">
      <c r="A5214" s="22">
        <v>45828</v>
      </c>
      <c r="B5214" s="1">
        <v>50686199</v>
      </c>
      <c r="C5214" t="s">
        <v>89</v>
      </c>
      <c r="D5214" s="23">
        <v>-1138.44</v>
      </c>
      <c r="E5214" s="76" t="s">
        <v>35</v>
      </c>
      <c r="F5214" s="2">
        <v>610148001</v>
      </c>
      <c r="G5214" s="2" t="s">
        <v>41</v>
      </c>
      <c r="I5214" s="95" t="s">
        <v>7231</v>
      </c>
      <c r="J5214" t="s">
        <v>42</v>
      </c>
      <c r="K5214" t="s">
        <v>41</v>
      </c>
      <c r="M5214">
        <v>104.54</v>
      </c>
      <c r="N5214" s="4">
        <f t="shared" si="81"/>
        <v>-10.889994260570116</v>
      </c>
      <c r="O5214" t="s">
        <v>83</v>
      </c>
      <c r="Q5214" s="24" t="s">
        <v>3649</v>
      </c>
    </row>
    <row r="5215" spans="1:17" x14ac:dyDescent="0.25">
      <c r="A5215" s="22">
        <v>45828</v>
      </c>
      <c r="B5215" s="1">
        <v>131103092</v>
      </c>
      <c r="C5215" t="s">
        <v>82</v>
      </c>
      <c r="D5215" s="23">
        <v>320000</v>
      </c>
      <c r="E5215" s="76" t="s">
        <v>45</v>
      </c>
      <c r="F5215" s="2">
        <v>210115002</v>
      </c>
      <c r="G5215" s="2" t="s">
        <v>46</v>
      </c>
      <c r="I5215" s="95" t="s">
        <v>7231</v>
      </c>
      <c r="K5215" t="s">
        <v>82</v>
      </c>
      <c r="M5215">
        <v>104.54</v>
      </c>
      <c r="N5215" s="4">
        <f t="shared" si="81"/>
        <v>3061.0292710924045</v>
      </c>
      <c r="O5215" t="s">
        <v>83</v>
      </c>
    </row>
    <row r="5216" spans="1:17" x14ac:dyDescent="0.25">
      <c r="A5216" s="22">
        <v>45828</v>
      </c>
      <c r="B5216" s="1">
        <v>214569811</v>
      </c>
      <c r="C5216" t="s">
        <v>4002</v>
      </c>
      <c r="D5216" s="23">
        <v>-104399.39</v>
      </c>
      <c r="E5216" s="76" t="s">
        <v>35</v>
      </c>
      <c r="F5216" s="2">
        <v>210101001</v>
      </c>
      <c r="G5216" s="2" t="s">
        <v>36</v>
      </c>
      <c r="I5216" s="95" t="s">
        <v>7231</v>
      </c>
      <c r="J5216" t="s">
        <v>37</v>
      </c>
      <c r="K5216" t="s">
        <v>38</v>
      </c>
      <c r="M5216">
        <v>104.54</v>
      </c>
      <c r="N5216" s="4">
        <f t="shared" si="81"/>
        <v>-998.65496460684903</v>
      </c>
      <c r="O5216" t="s">
        <v>83</v>
      </c>
    </row>
    <row r="5217" spans="1:17" x14ac:dyDescent="0.25">
      <c r="A5217" s="22">
        <v>45828</v>
      </c>
      <c r="B5217" s="1">
        <v>314569813</v>
      </c>
      <c r="C5217" t="s">
        <v>4003</v>
      </c>
      <c r="D5217" s="23">
        <v>-4604.09</v>
      </c>
      <c r="E5217" s="76" t="s">
        <v>35</v>
      </c>
      <c r="F5217" s="2">
        <v>210101001</v>
      </c>
      <c r="G5217" s="2" t="s">
        <v>36</v>
      </c>
      <c r="I5217" s="95" t="s">
        <v>7231</v>
      </c>
      <c r="J5217" t="s">
        <v>2774</v>
      </c>
      <c r="K5217" t="s">
        <v>3654</v>
      </c>
      <c r="M5217">
        <v>104.54</v>
      </c>
      <c r="N5217" s="4">
        <f t="shared" si="81"/>
        <v>-44.04141955232447</v>
      </c>
      <c r="O5217" t="s">
        <v>83</v>
      </c>
    </row>
    <row r="5218" spans="1:17" x14ac:dyDescent="0.25">
      <c r="A5218" s="22">
        <v>45828</v>
      </c>
      <c r="B5218" s="1">
        <v>314569814</v>
      </c>
      <c r="C5218" t="s">
        <v>4004</v>
      </c>
      <c r="D5218" s="23">
        <v>-11332.03</v>
      </c>
      <c r="E5218" s="76" t="s">
        <v>35</v>
      </c>
      <c r="F5218" s="2">
        <v>210101001</v>
      </c>
      <c r="G5218" s="2" t="s">
        <v>36</v>
      </c>
      <c r="I5218" s="95" t="s">
        <v>7231</v>
      </c>
      <c r="J5218" t="s">
        <v>1306</v>
      </c>
      <c r="K5218" t="s">
        <v>600</v>
      </c>
      <c r="M5218">
        <v>104.54</v>
      </c>
      <c r="N5218" s="4">
        <f t="shared" si="81"/>
        <v>-108.39898603405395</v>
      </c>
      <c r="O5218" t="s">
        <v>83</v>
      </c>
    </row>
    <row r="5219" spans="1:17" x14ac:dyDescent="0.25">
      <c r="A5219" s="22">
        <v>45828</v>
      </c>
      <c r="B5219" s="1">
        <v>214569812</v>
      </c>
      <c r="C5219" t="s">
        <v>4002</v>
      </c>
      <c r="D5219" s="23">
        <v>-200000</v>
      </c>
      <c r="E5219" s="76" t="s">
        <v>35</v>
      </c>
      <c r="F5219" s="2">
        <v>210101001</v>
      </c>
      <c r="G5219" s="2" t="s">
        <v>36</v>
      </c>
      <c r="I5219" s="95" t="s">
        <v>7231</v>
      </c>
      <c r="J5219" t="s">
        <v>37</v>
      </c>
      <c r="K5219" t="s">
        <v>38</v>
      </c>
      <c r="M5219">
        <v>104.54</v>
      </c>
      <c r="N5219" s="4">
        <f t="shared" si="81"/>
        <v>-1913.143294432753</v>
      </c>
      <c r="O5219" t="s">
        <v>83</v>
      </c>
    </row>
    <row r="5220" spans="1:17" x14ac:dyDescent="0.25">
      <c r="A5220" s="22">
        <v>45828</v>
      </c>
      <c r="B5220" s="1">
        <v>50645880</v>
      </c>
      <c r="C5220" t="s">
        <v>89</v>
      </c>
      <c r="D5220" s="23">
        <v>-800.83</v>
      </c>
      <c r="E5220" s="76" t="s">
        <v>35</v>
      </c>
      <c r="F5220" s="2">
        <v>610148001</v>
      </c>
      <c r="G5220" s="2" t="s">
        <v>41</v>
      </c>
      <c r="I5220" s="95" t="s">
        <v>7231</v>
      </c>
      <c r="J5220" t="s">
        <v>42</v>
      </c>
      <c r="K5220" t="s">
        <v>41</v>
      </c>
      <c r="M5220">
        <v>104.54</v>
      </c>
      <c r="N5220" s="4">
        <f t="shared" si="81"/>
        <v>-7.6605127224029079</v>
      </c>
      <c r="O5220" t="s">
        <v>83</v>
      </c>
      <c r="Q5220" s="24" t="s">
        <v>3649</v>
      </c>
    </row>
    <row r="5221" spans="1:17" x14ac:dyDescent="0.25">
      <c r="A5221" s="22">
        <v>45828</v>
      </c>
      <c r="B5221" s="1">
        <v>140119397</v>
      </c>
      <c r="C5221" t="s">
        <v>82</v>
      </c>
      <c r="D5221" s="23">
        <v>550000</v>
      </c>
      <c r="E5221" s="76" t="s">
        <v>45</v>
      </c>
      <c r="F5221" s="2">
        <v>210115002</v>
      </c>
      <c r="G5221" s="2" t="s">
        <v>46</v>
      </c>
      <c r="I5221" s="95" t="s">
        <v>7231</v>
      </c>
      <c r="K5221" t="s">
        <v>82</v>
      </c>
      <c r="M5221">
        <v>104.54</v>
      </c>
      <c r="N5221" s="4">
        <f t="shared" si="81"/>
        <v>5261.1440596900702</v>
      </c>
      <c r="O5221" t="s">
        <v>83</v>
      </c>
    </row>
    <row r="5222" spans="1:17" x14ac:dyDescent="0.25">
      <c r="A5222" s="22">
        <v>45828</v>
      </c>
      <c r="B5222" s="1">
        <v>814571085</v>
      </c>
      <c r="C5222" t="s">
        <v>4005</v>
      </c>
      <c r="D5222" s="23">
        <v>-200000</v>
      </c>
      <c r="E5222" s="76" t="s">
        <v>35</v>
      </c>
      <c r="F5222" s="2">
        <v>210101001</v>
      </c>
      <c r="G5222" s="2" t="s">
        <v>36</v>
      </c>
      <c r="I5222" s="95" t="s">
        <v>7231</v>
      </c>
      <c r="J5222" t="s">
        <v>37</v>
      </c>
      <c r="K5222" t="s">
        <v>38</v>
      </c>
      <c r="M5222">
        <v>104.54</v>
      </c>
      <c r="N5222" s="4">
        <f t="shared" si="81"/>
        <v>-1913.143294432753</v>
      </c>
      <c r="O5222" t="s">
        <v>83</v>
      </c>
    </row>
    <row r="5223" spans="1:17" x14ac:dyDescent="0.25">
      <c r="A5223" s="22">
        <v>45828</v>
      </c>
      <c r="B5223" s="1">
        <v>814571084</v>
      </c>
      <c r="C5223" t="s">
        <v>4005</v>
      </c>
      <c r="D5223" s="23">
        <v>-200000</v>
      </c>
      <c r="E5223" s="76" t="s">
        <v>35</v>
      </c>
      <c r="F5223" s="2">
        <v>210101001</v>
      </c>
      <c r="G5223" s="2" t="s">
        <v>36</v>
      </c>
      <c r="I5223" s="95" t="s">
        <v>7231</v>
      </c>
      <c r="J5223" t="s">
        <v>37</v>
      </c>
      <c r="K5223" t="s">
        <v>38</v>
      </c>
      <c r="M5223">
        <v>104.54</v>
      </c>
      <c r="N5223" s="4">
        <f t="shared" si="81"/>
        <v>-1913.143294432753</v>
      </c>
      <c r="O5223" t="s">
        <v>83</v>
      </c>
    </row>
    <row r="5224" spans="1:17" x14ac:dyDescent="0.25">
      <c r="A5224" s="22">
        <v>45828</v>
      </c>
      <c r="B5224" s="1">
        <v>814571086</v>
      </c>
      <c r="C5224" t="s">
        <v>4005</v>
      </c>
      <c r="D5224" s="23">
        <v>-145698.79999999999</v>
      </c>
      <c r="E5224" s="76" t="s">
        <v>35</v>
      </c>
      <c r="F5224" s="2">
        <v>210101001</v>
      </c>
      <c r="G5224" s="2" t="s">
        <v>36</v>
      </c>
      <c r="I5224" s="95" t="s">
        <v>7231</v>
      </c>
      <c r="J5224" t="s">
        <v>37</v>
      </c>
      <c r="K5224" t="s">
        <v>38</v>
      </c>
      <c r="M5224">
        <v>104.54</v>
      </c>
      <c r="N5224" s="4">
        <f t="shared" si="81"/>
        <v>-1393.7134111344938</v>
      </c>
      <c r="O5224" t="s">
        <v>83</v>
      </c>
    </row>
    <row r="5225" spans="1:17" x14ac:dyDescent="0.25">
      <c r="A5225" s="22">
        <v>45828</v>
      </c>
      <c r="B5225" s="1">
        <v>50676744</v>
      </c>
      <c r="C5225" t="s">
        <v>89</v>
      </c>
      <c r="D5225" s="23">
        <v>-1364.24</v>
      </c>
      <c r="E5225" s="76" t="s">
        <v>35</v>
      </c>
      <c r="F5225" s="2">
        <v>610148001</v>
      </c>
      <c r="G5225" s="2" t="s">
        <v>41</v>
      </c>
      <c r="I5225" s="95" t="s">
        <v>7231</v>
      </c>
      <c r="J5225" t="s">
        <v>42</v>
      </c>
      <c r="K5225" t="s">
        <v>41</v>
      </c>
      <c r="M5225">
        <v>104.54</v>
      </c>
      <c r="N5225" s="4">
        <f t="shared" si="81"/>
        <v>-13.049933039984694</v>
      </c>
      <c r="O5225" t="s">
        <v>83</v>
      </c>
      <c r="Q5225" s="24" t="s">
        <v>3649</v>
      </c>
    </row>
    <row r="5226" spans="1:17" x14ac:dyDescent="0.25">
      <c r="A5226" s="22">
        <v>45833</v>
      </c>
      <c r="B5226" s="1">
        <v>101413067</v>
      </c>
      <c r="C5226" t="s">
        <v>82</v>
      </c>
      <c r="D5226" s="23">
        <v>60000</v>
      </c>
      <c r="E5226" s="76" t="s">
        <v>45</v>
      </c>
      <c r="F5226" s="2">
        <v>210115002</v>
      </c>
      <c r="G5226" s="2" t="s">
        <v>46</v>
      </c>
      <c r="I5226" s="95" t="s">
        <v>7231</v>
      </c>
      <c r="K5226" t="s">
        <v>82</v>
      </c>
      <c r="M5226">
        <v>105.45</v>
      </c>
      <c r="N5226" s="4">
        <f t="shared" si="81"/>
        <v>568.99004267425323</v>
      </c>
      <c r="O5226" t="s">
        <v>83</v>
      </c>
    </row>
    <row r="5227" spans="1:17" x14ac:dyDescent="0.25">
      <c r="A5227" s="22">
        <v>45833</v>
      </c>
      <c r="B5227" s="1">
        <v>914617265</v>
      </c>
      <c r="C5227" t="s">
        <v>4006</v>
      </c>
      <c r="D5227" s="23">
        <v>-56941.95</v>
      </c>
      <c r="E5227" s="76" t="s">
        <v>35</v>
      </c>
      <c r="F5227" s="2">
        <v>210101001</v>
      </c>
      <c r="G5227" s="2" t="s">
        <v>36</v>
      </c>
      <c r="I5227" s="95" t="s">
        <v>7231</v>
      </c>
      <c r="J5227" t="s">
        <v>1007</v>
      </c>
      <c r="K5227" t="s">
        <v>1008</v>
      </c>
      <c r="M5227">
        <v>105.45</v>
      </c>
      <c r="N5227" s="4">
        <f t="shared" si="81"/>
        <v>-539.99004267425312</v>
      </c>
      <c r="O5227" t="s">
        <v>83</v>
      </c>
    </row>
    <row r="5228" spans="1:17" x14ac:dyDescent="0.25">
      <c r="A5228" s="22">
        <v>45833</v>
      </c>
      <c r="B5228" s="1">
        <v>914617265</v>
      </c>
      <c r="C5228" t="s">
        <v>185</v>
      </c>
      <c r="D5228" s="23">
        <v>-170.83</v>
      </c>
      <c r="E5228" s="76" t="s">
        <v>35</v>
      </c>
      <c r="F5228" s="2">
        <v>610148001</v>
      </c>
      <c r="G5228" s="2" t="s">
        <v>41</v>
      </c>
      <c r="I5228" s="95" t="s">
        <v>7231</v>
      </c>
      <c r="J5228" t="s">
        <v>42</v>
      </c>
      <c r="K5228" t="s">
        <v>41</v>
      </c>
      <c r="M5228">
        <v>105.45</v>
      </c>
      <c r="N5228" s="4">
        <f t="shared" si="81"/>
        <v>-1.6200094831673779</v>
      </c>
      <c r="O5228" t="s">
        <v>83</v>
      </c>
      <c r="Q5228" s="24" t="s">
        <v>3649</v>
      </c>
    </row>
    <row r="5229" spans="1:17" x14ac:dyDescent="0.25">
      <c r="A5229" s="22">
        <v>45833</v>
      </c>
      <c r="B5229" s="1">
        <v>110622362</v>
      </c>
      <c r="C5229" t="s">
        <v>82</v>
      </c>
      <c r="D5229" s="23">
        <v>2076000</v>
      </c>
      <c r="E5229" s="76" t="s">
        <v>45</v>
      </c>
      <c r="F5229" s="2">
        <v>210115002</v>
      </c>
      <c r="G5229" s="2" t="s">
        <v>46</v>
      </c>
      <c r="I5229" s="95" t="s">
        <v>7231</v>
      </c>
      <c r="K5229" t="s">
        <v>82</v>
      </c>
      <c r="M5229">
        <v>105.45</v>
      </c>
      <c r="N5229" s="4">
        <f t="shared" si="81"/>
        <v>19687.05547652916</v>
      </c>
      <c r="O5229" t="s">
        <v>83</v>
      </c>
    </row>
    <row r="5230" spans="1:17" x14ac:dyDescent="0.25">
      <c r="A5230" s="22">
        <v>45833</v>
      </c>
      <c r="B5230" s="1">
        <v>214618610</v>
      </c>
      <c r="C5230" t="s">
        <v>3735</v>
      </c>
      <c r="D5230" s="23">
        <v>-200000</v>
      </c>
      <c r="E5230" s="76" t="s">
        <v>35</v>
      </c>
      <c r="F5230" s="2">
        <v>110114001</v>
      </c>
      <c r="G5230" s="2" t="s">
        <v>181</v>
      </c>
      <c r="I5230" s="95" t="s">
        <v>7231</v>
      </c>
      <c r="J5230" t="s">
        <v>37</v>
      </c>
      <c r="K5230" t="s">
        <v>38</v>
      </c>
      <c r="M5230">
        <v>105.45</v>
      </c>
      <c r="N5230" s="4">
        <f t="shared" si="81"/>
        <v>-1896.6334755808439</v>
      </c>
      <c r="O5230" t="s">
        <v>83</v>
      </c>
      <c r="P5230" s="34" t="s">
        <v>1279</v>
      </c>
    </row>
    <row r="5231" spans="1:17" x14ac:dyDescent="0.25">
      <c r="A5231" s="22">
        <v>45833</v>
      </c>
      <c r="B5231" s="1">
        <v>214618611</v>
      </c>
      <c r="C5231" t="s">
        <v>4007</v>
      </c>
      <c r="D5231" s="23">
        <v>-200000</v>
      </c>
      <c r="E5231" s="76" t="s">
        <v>35</v>
      </c>
      <c r="I5231" s="95" t="s">
        <v>7231</v>
      </c>
      <c r="M5231">
        <v>105.45</v>
      </c>
      <c r="N5231" s="4">
        <f t="shared" si="81"/>
        <v>-1896.6334755808439</v>
      </c>
      <c r="O5231" t="s">
        <v>83</v>
      </c>
      <c r="P5231" s="3" t="s">
        <v>901</v>
      </c>
    </row>
    <row r="5232" spans="1:17" x14ac:dyDescent="0.25">
      <c r="A5232" s="22">
        <v>45833</v>
      </c>
      <c r="B5232" s="1">
        <v>214618613</v>
      </c>
      <c r="C5232" t="s">
        <v>4007</v>
      </c>
      <c r="D5232" s="23">
        <v>-200000</v>
      </c>
      <c r="E5232" s="76" t="s">
        <v>35</v>
      </c>
      <c r="I5232" s="95" t="s">
        <v>7231</v>
      </c>
      <c r="M5232">
        <v>105.45</v>
      </c>
      <c r="N5232" s="4">
        <f t="shared" si="81"/>
        <v>-1896.6334755808439</v>
      </c>
      <c r="O5232" t="s">
        <v>83</v>
      </c>
      <c r="P5232" s="3" t="s">
        <v>901</v>
      </c>
    </row>
    <row r="5233" spans="1:17" x14ac:dyDescent="0.25">
      <c r="A5233" s="22">
        <v>45833</v>
      </c>
      <c r="B5233" s="1">
        <v>214618612</v>
      </c>
      <c r="C5233" t="s">
        <v>4007</v>
      </c>
      <c r="D5233" s="23">
        <v>-200000</v>
      </c>
      <c r="E5233" s="76" t="s">
        <v>35</v>
      </c>
      <c r="I5233" s="95" t="s">
        <v>7231</v>
      </c>
      <c r="M5233">
        <v>105.45</v>
      </c>
      <c r="N5233" s="4">
        <f t="shared" si="81"/>
        <v>-1896.6334755808439</v>
      </c>
      <c r="O5233" t="s">
        <v>83</v>
      </c>
      <c r="P5233" s="3" t="s">
        <v>901</v>
      </c>
    </row>
    <row r="5234" spans="1:17" x14ac:dyDescent="0.25">
      <c r="A5234" s="22">
        <v>45833</v>
      </c>
      <c r="B5234" s="1">
        <v>314618615</v>
      </c>
      <c r="C5234" t="s">
        <v>4007</v>
      </c>
      <c r="D5234" s="23">
        <v>-200000</v>
      </c>
      <c r="E5234" s="76" t="s">
        <v>35</v>
      </c>
      <c r="I5234" s="95" t="s">
        <v>7231</v>
      </c>
      <c r="M5234">
        <v>105.45</v>
      </c>
      <c r="N5234" s="4">
        <f t="shared" si="81"/>
        <v>-1896.6334755808439</v>
      </c>
      <c r="O5234" t="s">
        <v>83</v>
      </c>
      <c r="P5234" s="3" t="s">
        <v>901</v>
      </c>
    </row>
    <row r="5235" spans="1:17" x14ac:dyDescent="0.25">
      <c r="A5235" s="22">
        <v>45833</v>
      </c>
      <c r="B5235" s="1">
        <v>314618614</v>
      </c>
      <c r="C5235" t="s">
        <v>4007</v>
      </c>
      <c r="D5235" s="23">
        <v>-83272</v>
      </c>
      <c r="E5235" s="76" t="s">
        <v>35</v>
      </c>
      <c r="I5235" s="95" t="s">
        <v>7231</v>
      </c>
      <c r="M5235">
        <v>105.45</v>
      </c>
      <c r="N5235" s="4">
        <f t="shared" si="81"/>
        <v>-789.68231389284017</v>
      </c>
      <c r="O5235" t="s">
        <v>83</v>
      </c>
      <c r="P5235" s="3" t="s">
        <v>901</v>
      </c>
    </row>
    <row r="5236" spans="1:17" x14ac:dyDescent="0.25">
      <c r="A5236" s="22">
        <v>45833</v>
      </c>
      <c r="B5236" s="1">
        <v>314618616</v>
      </c>
      <c r="C5236" t="s">
        <v>3735</v>
      </c>
      <c r="D5236" s="23">
        <v>-200000</v>
      </c>
      <c r="E5236" s="76" t="s">
        <v>35</v>
      </c>
      <c r="F5236" s="2">
        <v>110114001</v>
      </c>
      <c r="G5236" s="2" t="s">
        <v>181</v>
      </c>
      <c r="I5236" s="95" t="s">
        <v>7231</v>
      </c>
      <c r="J5236" t="s">
        <v>37</v>
      </c>
      <c r="K5236" t="s">
        <v>38</v>
      </c>
      <c r="M5236">
        <v>105.45</v>
      </c>
      <c r="N5236" s="4">
        <f t="shared" si="81"/>
        <v>-1896.6334755808439</v>
      </c>
      <c r="O5236" t="s">
        <v>83</v>
      </c>
      <c r="P5236" s="34" t="s">
        <v>1279</v>
      </c>
    </row>
    <row r="5237" spans="1:17" x14ac:dyDescent="0.25">
      <c r="A5237" s="22">
        <v>45833</v>
      </c>
      <c r="B5237" s="1">
        <v>314618617</v>
      </c>
      <c r="C5237" t="s">
        <v>3735</v>
      </c>
      <c r="D5237" s="23">
        <v>-200000</v>
      </c>
      <c r="E5237" s="76" t="s">
        <v>35</v>
      </c>
      <c r="F5237" s="2">
        <v>110114001</v>
      </c>
      <c r="G5237" s="2" t="s">
        <v>181</v>
      </c>
      <c r="I5237" s="95" t="s">
        <v>7231</v>
      </c>
      <c r="J5237" t="s">
        <v>37</v>
      </c>
      <c r="K5237" t="s">
        <v>38</v>
      </c>
      <c r="M5237">
        <v>105.45</v>
      </c>
      <c r="N5237" s="4">
        <f t="shared" si="81"/>
        <v>-1896.6334755808439</v>
      </c>
      <c r="O5237" t="s">
        <v>83</v>
      </c>
      <c r="P5237" s="34" t="s">
        <v>1279</v>
      </c>
    </row>
    <row r="5238" spans="1:17" x14ac:dyDescent="0.25">
      <c r="A5238" s="22">
        <v>45833</v>
      </c>
      <c r="B5238" s="1">
        <v>314618618</v>
      </c>
      <c r="C5238" t="s">
        <v>3735</v>
      </c>
      <c r="D5238" s="23">
        <v>-200000</v>
      </c>
      <c r="E5238" s="76" t="s">
        <v>35</v>
      </c>
      <c r="F5238" s="2">
        <v>110114001</v>
      </c>
      <c r="G5238" s="2" t="s">
        <v>181</v>
      </c>
      <c r="I5238" s="95" t="s">
        <v>7231</v>
      </c>
      <c r="J5238" t="s">
        <v>37</v>
      </c>
      <c r="K5238" t="s">
        <v>38</v>
      </c>
      <c r="M5238">
        <v>105.45</v>
      </c>
      <c r="N5238" s="4">
        <f t="shared" si="81"/>
        <v>-1896.6334755808439</v>
      </c>
      <c r="O5238" t="s">
        <v>83</v>
      </c>
      <c r="P5238" s="34" t="s">
        <v>1279</v>
      </c>
    </row>
    <row r="5239" spans="1:17" x14ac:dyDescent="0.25">
      <c r="A5239" s="22">
        <v>45833</v>
      </c>
      <c r="B5239" s="1">
        <v>314618619</v>
      </c>
      <c r="C5239" t="s">
        <v>3735</v>
      </c>
      <c r="D5239" s="23">
        <v>-42988.39</v>
      </c>
      <c r="E5239" s="76" t="s">
        <v>35</v>
      </c>
      <c r="F5239" s="2">
        <v>110114001</v>
      </c>
      <c r="G5239" s="2" t="s">
        <v>181</v>
      </c>
      <c r="I5239" s="95" t="s">
        <v>7231</v>
      </c>
      <c r="J5239" t="s">
        <v>37</v>
      </c>
      <c r="K5239" t="s">
        <v>38</v>
      </c>
      <c r="M5239">
        <v>105.45</v>
      </c>
      <c r="N5239" s="4">
        <f t="shared" si="81"/>
        <v>-407.66609767662396</v>
      </c>
      <c r="O5239" t="s">
        <v>83</v>
      </c>
      <c r="P5239" s="34" t="s">
        <v>1279</v>
      </c>
    </row>
    <row r="5240" spans="1:17" x14ac:dyDescent="0.25">
      <c r="A5240" s="22">
        <v>45833</v>
      </c>
      <c r="B5240" s="1">
        <v>314618620</v>
      </c>
      <c r="C5240" t="s">
        <v>4008</v>
      </c>
      <c r="D5240" s="23">
        <v>-109668</v>
      </c>
      <c r="E5240" s="76" t="s">
        <v>35</v>
      </c>
      <c r="F5240" s="2">
        <v>110114001</v>
      </c>
      <c r="G5240" s="2" t="s">
        <v>181</v>
      </c>
      <c r="I5240" s="95" t="s">
        <v>7231</v>
      </c>
      <c r="J5240" t="s">
        <v>376</v>
      </c>
      <c r="K5240" t="s">
        <v>377</v>
      </c>
      <c r="M5240">
        <v>105.45</v>
      </c>
      <c r="N5240" s="4">
        <f t="shared" si="81"/>
        <v>-1040</v>
      </c>
      <c r="O5240" t="s">
        <v>83</v>
      </c>
      <c r="P5240" s="34" t="s">
        <v>1279</v>
      </c>
    </row>
    <row r="5241" spans="1:17" x14ac:dyDescent="0.25">
      <c r="A5241" s="22">
        <v>45833</v>
      </c>
      <c r="B5241" s="1">
        <v>314618621</v>
      </c>
      <c r="C5241" t="s">
        <v>3899</v>
      </c>
      <c r="D5241" s="23">
        <v>-4757.5</v>
      </c>
      <c r="E5241" s="76" t="s">
        <v>35</v>
      </c>
      <c r="F5241" s="2">
        <v>210101001</v>
      </c>
      <c r="G5241" s="2" t="s">
        <v>36</v>
      </c>
      <c r="I5241" s="95" t="s">
        <v>7231</v>
      </c>
      <c r="J5241" t="s">
        <v>86</v>
      </c>
      <c r="K5241" t="s">
        <v>87</v>
      </c>
      <c r="M5241">
        <v>105.45</v>
      </c>
      <c r="N5241" s="4">
        <f t="shared" si="81"/>
        <v>-45.116168800379327</v>
      </c>
      <c r="O5241" t="s">
        <v>83</v>
      </c>
    </row>
    <row r="5242" spans="1:17" x14ac:dyDescent="0.25">
      <c r="A5242" s="22">
        <v>45833</v>
      </c>
      <c r="B5242" s="1">
        <v>414618623</v>
      </c>
      <c r="C5242" t="s">
        <v>4009</v>
      </c>
      <c r="D5242" s="23">
        <v>-28.33</v>
      </c>
      <c r="E5242" s="76" t="s">
        <v>35</v>
      </c>
      <c r="F5242" s="2">
        <v>210101001</v>
      </c>
      <c r="G5242" s="2" t="s">
        <v>36</v>
      </c>
      <c r="I5242" s="95" t="s">
        <v>7231</v>
      </c>
      <c r="J5242" t="s">
        <v>599</v>
      </c>
      <c r="K5242" t="s">
        <v>600</v>
      </c>
      <c r="M5242">
        <v>105.45</v>
      </c>
      <c r="N5242" s="4">
        <f t="shared" si="81"/>
        <v>-0.26865813181602655</v>
      </c>
      <c r="O5242" t="s">
        <v>83</v>
      </c>
    </row>
    <row r="5243" spans="1:17" x14ac:dyDescent="0.25">
      <c r="A5243" s="22">
        <v>45833</v>
      </c>
      <c r="B5243" s="1">
        <v>414618625</v>
      </c>
      <c r="C5243" t="s">
        <v>4010</v>
      </c>
      <c r="D5243" s="23">
        <v>-28.33</v>
      </c>
      <c r="E5243" s="76" t="s">
        <v>35</v>
      </c>
      <c r="F5243" s="2">
        <v>210101001</v>
      </c>
      <c r="G5243" s="2" t="s">
        <v>36</v>
      </c>
      <c r="I5243" s="95" t="s">
        <v>7231</v>
      </c>
      <c r="J5243" t="s">
        <v>37</v>
      </c>
      <c r="K5243" t="s">
        <v>38</v>
      </c>
      <c r="M5243">
        <v>105.45</v>
      </c>
      <c r="N5243" s="4">
        <f t="shared" si="81"/>
        <v>-0.26865813181602655</v>
      </c>
      <c r="O5243" t="s">
        <v>83</v>
      </c>
    </row>
    <row r="5244" spans="1:17" x14ac:dyDescent="0.25">
      <c r="A5244" s="22">
        <v>45833</v>
      </c>
      <c r="B5244" s="1">
        <v>414618622</v>
      </c>
      <c r="C5244" t="s">
        <v>4011</v>
      </c>
      <c r="D5244" s="23">
        <v>-65192</v>
      </c>
      <c r="E5244" s="76" t="s">
        <v>35</v>
      </c>
      <c r="F5244" s="2">
        <v>110114001</v>
      </c>
      <c r="G5244" s="2" t="s">
        <v>181</v>
      </c>
      <c r="I5244" s="95" t="s">
        <v>7231</v>
      </c>
      <c r="J5244" t="s">
        <v>37</v>
      </c>
      <c r="K5244" t="s">
        <v>38</v>
      </c>
      <c r="M5244">
        <v>105.45</v>
      </c>
      <c r="N5244" s="4">
        <f t="shared" si="81"/>
        <v>-618.22664770033191</v>
      </c>
      <c r="O5244" t="s">
        <v>83</v>
      </c>
      <c r="P5244" s="34" t="s">
        <v>1279</v>
      </c>
    </row>
    <row r="5245" spans="1:17" x14ac:dyDescent="0.25">
      <c r="A5245" s="22">
        <v>45833</v>
      </c>
      <c r="B5245" s="1">
        <v>414618624</v>
      </c>
      <c r="C5245" t="s">
        <v>3651</v>
      </c>
      <c r="D5245" s="23">
        <v>-28.33</v>
      </c>
      <c r="E5245" s="76" t="s">
        <v>35</v>
      </c>
      <c r="F5245" s="2">
        <v>210101001</v>
      </c>
      <c r="G5245" s="2" t="s">
        <v>36</v>
      </c>
      <c r="I5245" s="95" t="s">
        <v>7231</v>
      </c>
      <c r="J5245" t="s">
        <v>414</v>
      </c>
      <c r="K5245" t="s">
        <v>415</v>
      </c>
      <c r="M5245">
        <v>105.45</v>
      </c>
      <c r="N5245" s="4">
        <f t="shared" si="81"/>
        <v>-0.26865813181602655</v>
      </c>
      <c r="O5245" t="s">
        <v>83</v>
      </c>
    </row>
    <row r="5246" spans="1:17" x14ac:dyDescent="0.25">
      <c r="A5246" s="22">
        <v>45833</v>
      </c>
      <c r="B5246" s="1">
        <v>414618627</v>
      </c>
      <c r="C5246" t="s">
        <v>4012</v>
      </c>
      <c r="D5246" s="23">
        <v>-168804.36</v>
      </c>
      <c r="E5246" s="76" t="s">
        <v>35</v>
      </c>
      <c r="F5246" s="2">
        <v>110114001</v>
      </c>
      <c r="G5246" s="2" t="s">
        <v>181</v>
      </c>
      <c r="I5246" s="95" t="s">
        <v>7231</v>
      </c>
      <c r="J5246" t="s">
        <v>37</v>
      </c>
      <c r="K5246" t="s">
        <v>38</v>
      </c>
      <c r="M5246">
        <v>105.45</v>
      </c>
      <c r="N5246" s="4">
        <f t="shared" si="81"/>
        <v>-1600.7999999999997</v>
      </c>
      <c r="O5246" t="s">
        <v>83</v>
      </c>
      <c r="P5246" s="34" t="s">
        <v>1279</v>
      </c>
    </row>
    <row r="5247" spans="1:17" x14ac:dyDescent="0.25">
      <c r="A5247" s="22">
        <v>45833</v>
      </c>
      <c r="B5247" s="1">
        <v>414618626</v>
      </c>
      <c r="C5247" t="s">
        <v>4013</v>
      </c>
      <c r="D5247" s="23">
        <v>-28.33</v>
      </c>
      <c r="E5247" s="76" t="s">
        <v>35</v>
      </c>
      <c r="F5247" s="2">
        <v>210101001</v>
      </c>
      <c r="G5247" s="2" t="s">
        <v>36</v>
      </c>
      <c r="I5247" s="95" t="s">
        <v>7231</v>
      </c>
      <c r="J5247" t="s">
        <v>376</v>
      </c>
      <c r="K5247" t="s">
        <v>377</v>
      </c>
      <c r="M5247">
        <v>105.45</v>
      </c>
      <c r="N5247" s="4">
        <f t="shared" si="81"/>
        <v>-0.26865813181602655</v>
      </c>
      <c r="O5247" t="s">
        <v>83</v>
      </c>
    </row>
    <row r="5248" spans="1:17" x14ac:dyDescent="0.25">
      <c r="A5248" s="22">
        <v>45833</v>
      </c>
      <c r="B5248" s="1">
        <v>50635785</v>
      </c>
      <c r="C5248" t="s">
        <v>89</v>
      </c>
      <c r="D5248" s="23">
        <v>-5186.9799999999996</v>
      </c>
      <c r="E5248" s="76" t="s">
        <v>35</v>
      </c>
      <c r="F5248" s="2">
        <v>610148001</v>
      </c>
      <c r="G5248" s="2" t="s">
        <v>41</v>
      </c>
      <c r="I5248" s="95" t="s">
        <v>7231</v>
      </c>
      <c r="J5248" t="s">
        <v>42</v>
      </c>
      <c r="K5248" t="s">
        <v>41</v>
      </c>
      <c r="M5248">
        <v>105.45</v>
      </c>
      <c r="N5248" s="4">
        <f t="shared" si="81"/>
        <v>-49.188999525841623</v>
      </c>
      <c r="O5248" t="s">
        <v>83</v>
      </c>
      <c r="Q5248" s="24" t="s">
        <v>3649</v>
      </c>
    </row>
    <row r="5249" spans="1:17" x14ac:dyDescent="0.25">
      <c r="A5249" s="22">
        <v>45833</v>
      </c>
      <c r="B5249" s="1">
        <v>113204504</v>
      </c>
      <c r="C5249" t="s">
        <v>82</v>
      </c>
      <c r="D5249" s="23">
        <v>520000</v>
      </c>
      <c r="E5249" s="76" t="s">
        <v>45</v>
      </c>
      <c r="F5249" s="2">
        <v>210115002</v>
      </c>
      <c r="G5249" s="2" t="s">
        <v>46</v>
      </c>
      <c r="I5249" s="95" t="s">
        <v>7231</v>
      </c>
      <c r="K5249" t="s">
        <v>82</v>
      </c>
      <c r="M5249">
        <v>105.45</v>
      </c>
      <c r="N5249" s="4">
        <f t="shared" si="81"/>
        <v>4931.2470365101944</v>
      </c>
      <c r="O5249" t="s">
        <v>83</v>
      </c>
    </row>
    <row r="5250" spans="1:17" x14ac:dyDescent="0.25">
      <c r="A5250" s="33">
        <v>45833</v>
      </c>
      <c r="B5250" s="27">
        <v>614599423</v>
      </c>
      <c r="C5250" s="28" t="s">
        <v>4014</v>
      </c>
      <c r="D5250" s="29">
        <v>-6327</v>
      </c>
      <c r="E5250" s="76" t="s">
        <v>35</v>
      </c>
      <c r="F5250" s="30">
        <v>610122005</v>
      </c>
      <c r="G5250" s="30" t="s">
        <v>401</v>
      </c>
      <c r="H5250" s="30"/>
      <c r="I5250" s="95" t="s">
        <v>7231</v>
      </c>
      <c r="J5250" s="50" t="s">
        <v>608</v>
      </c>
      <c r="K5250" s="79" t="s">
        <v>609</v>
      </c>
      <c r="L5250" s="28" t="s">
        <v>56</v>
      </c>
      <c r="M5250" s="28">
        <v>105.45</v>
      </c>
      <c r="N5250" s="4">
        <f t="shared" si="81"/>
        <v>-60</v>
      </c>
      <c r="O5250" t="s">
        <v>83</v>
      </c>
      <c r="P5250" s="3"/>
      <c r="Q5250" s="24" t="s">
        <v>4015</v>
      </c>
    </row>
    <row r="5251" spans="1:17" x14ac:dyDescent="0.25">
      <c r="A5251" s="22">
        <v>45833</v>
      </c>
      <c r="B5251" s="1">
        <v>614599422</v>
      </c>
      <c r="C5251" t="s">
        <v>4016</v>
      </c>
      <c r="D5251" s="23">
        <v>-115382.2</v>
      </c>
      <c r="E5251" s="76" t="s">
        <v>35</v>
      </c>
      <c r="F5251" s="2">
        <v>110114001</v>
      </c>
      <c r="G5251" s="2" t="s">
        <v>181</v>
      </c>
      <c r="I5251" s="95" t="s">
        <v>7231</v>
      </c>
      <c r="J5251" t="s">
        <v>37</v>
      </c>
      <c r="K5251" t="s">
        <v>38</v>
      </c>
      <c r="M5251">
        <v>105.45</v>
      </c>
      <c r="N5251" s="4">
        <f t="shared" si="81"/>
        <v>-1094.1887150308203</v>
      </c>
      <c r="O5251" t="s">
        <v>83</v>
      </c>
      <c r="P5251" s="34" t="s">
        <v>1279</v>
      </c>
    </row>
    <row r="5252" spans="1:17" x14ac:dyDescent="0.25">
      <c r="A5252" s="22">
        <v>45833</v>
      </c>
      <c r="B5252" s="1">
        <v>614599424</v>
      </c>
      <c r="C5252" t="s">
        <v>4016</v>
      </c>
      <c r="D5252" s="23">
        <v>-200000</v>
      </c>
      <c r="E5252" s="76" t="s">
        <v>35</v>
      </c>
      <c r="F5252" s="2">
        <v>110114001</v>
      </c>
      <c r="G5252" s="2" t="s">
        <v>181</v>
      </c>
      <c r="I5252" s="95" t="s">
        <v>7231</v>
      </c>
      <c r="J5252" t="s">
        <v>37</v>
      </c>
      <c r="K5252" t="s">
        <v>38</v>
      </c>
      <c r="M5252">
        <v>105.45</v>
      </c>
      <c r="N5252" s="4">
        <f t="shared" si="81"/>
        <v>-1896.6334755808439</v>
      </c>
      <c r="O5252" t="s">
        <v>83</v>
      </c>
      <c r="P5252" s="34" t="s">
        <v>1279</v>
      </c>
    </row>
    <row r="5253" spans="1:17" x14ac:dyDescent="0.25">
      <c r="A5253" s="22">
        <v>45833</v>
      </c>
      <c r="B5253" s="1">
        <v>614599425</v>
      </c>
      <c r="C5253" t="s">
        <v>4016</v>
      </c>
      <c r="D5253" s="23">
        <v>-200000</v>
      </c>
      <c r="E5253" s="76" t="s">
        <v>35</v>
      </c>
      <c r="F5253" s="2">
        <v>110114001</v>
      </c>
      <c r="G5253" s="2" t="s">
        <v>181</v>
      </c>
      <c r="I5253" s="95" t="s">
        <v>7231</v>
      </c>
      <c r="J5253" t="s">
        <v>37</v>
      </c>
      <c r="K5253" t="s">
        <v>38</v>
      </c>
      <c r="M5253">
        <v>105.45</v>
      </c>
      <c r="N5253" s="4">
        <f t="shared" si="81"/>
        <v>-1896.6334755808439</v>
      </c>
      <c r="O5253" t="s">
        <v>83</v>
      </c>
      <c r="P5253" s="34" t="s">
        <v>1279</v>
      </c>
    </row>
    <row r="5254" spans="1:17" x14ac:dyDescent="0.25">
      <c r="A5254" s="22">
        <v>45833</v>
      </c>
      <c r="B5254" s="1">
        <v>50672578</v>
      </c>
      <c r="C5254" t="s">
        <v>4017</v>
      </c>
      <c r="D5254" s="23">
        <v>-4241.1899999999996</v>
      </c>
      <c r="E5254" s="76" t="s">
        <v>35</v>
      </c>
      <c r="F5254" s="2">
        <v>210101001</v>
      </c>
      <c r="G5254" s="2" t="s">
        <v>36</v>
      </c>
      <c r="I5254" s="95" t="s">
        <v>7231</v>
      </c>
      <c r="J5254" t="s">
        <v>2398</v>
      </c>
      <c r="K5254" t="s">
        <v>632</v>
      </c>
      <c r="M5254">
        <v>105.45</v>
      </c>
      <c r="N5254" s="4">
        <f t="shared" si="81"/>
        <v>-40.219914651493596</v>
      </c>
      <c r="O5254" t="s">
        <v>83</v>
      </c>
    </row>
    <row r="5255" spans="1:17" x14ac:dyDescent="0.25">
      <c r="A5255" s="22">
        <v>45833</v>
      </c>
      <c r="B5255" s="1">
        <v>50672578</v>
      </c>
      <c r="C5255" t="s">
        <v>179</v>
      </c>
      <c r="D5255" s="23">
        <v>-6.36</v>
      </c>
      <c r="E5255" s="76" t="s">
        <v>35</v>
      </c>
      <c r="F5255" s="2">
        <v>610148001</v>
      </c>
      <c r="G5255" s="2" t="s">
        <v>41</v>
      </c>
      <c r="I5255" s="95" t="s">
        <v>7231</v>
      </c>
      <c r="J5255" t="s">
        <v>42</v>
      </c>
      <c r="K5255" t="s">
        <v>41</v>
      </c>
      <c r="M5255">
        <v>105.45</v>
      </c>
      <c r="N5255" s="4">
        <f t="shared" si="81"/>
        <v>-6.0312944523470843E-2</v>
      </c>
      <c r="O5255" t="s">
        <v>83</v>
      </c>
      <c r="Q5255" s="24" t="s">
        <v>3649</v>
      </c>
    </row>
    <row r="5256" spans="1:17" x14ac:dyDescent="0.25">
      <c r="A5256" s="22">
        <v>45833</v>
      </c>
      <c r="B5256" s="1">
        <v>50672578</v>
      </c>
      <c r="C5256" t="s">
        <v>89</v>
      </c>
      <c r="D5256" s="23">
        <v>-1304.27</v>
      </c>
      <c r="E5256" s="76" t="s">
        <v>35</v>
      </c>
      <c r="F5256" s="2">
        <v>610148001</v>
      </c>
      <c r="G5256" s="2" t="s">
        <v>41</v>
      </c>
      <c r="I5256" s="95" t="s">
        <v>7231</v>
      </c>
      <c r="J5256" t="s">
        <v>42</v>
      </c>
      <c r="K5256" t="s">
        <v>41</v>
      </c>
      <c r="M5256">
        <v>105.45</v>
      </c>
      <c r="N5256" s="4">
        <f t="shared" si="81"/>
        <v>-12.368610715979136</v>
      </c>
      <c r="O5256" t="s">
        <v>83</v>
      </c>
      <c r="Q5256" s="24" t="s">
        <v>3649</v>
      </c>
    </row>
    <row r="5257" spans="1:17" x14ac:dyDescent="0.25">
      <c r="A5257" s="22">
        <v>45833</v>
      </c>
      <c r="B5257" s="1">
        <v>135947998</v>
      </c>
      <c r="C5257" t="s">
        <v>82</v>
      </c>
      <c r="D5257" s="23">
        <v>544000</v>
      </c>
      <c r="E5257" s="76" t="s">
        <v>45</v>
      </c>
      <c r="F5257" s="2">
        <v>210115002</v>
      </c>
      <c r="G5257" s="2" t="s">
        <v>46</v>
      </c>
      <c r="I5257" s="95" t="s">
        <v>7231</v>
      </c>
      <c r="K5257" t="s">
        <v>82</v>
      </c>
      <c r="M5257">
        <v>105.45</v>
      </c>
      <c r="N5257" s="4">
        <f t="shared" si="81"/>
        <v>5158.8430535798952</v>
      </c>
      <c r="O5257" t="s">
        <v>83</v>
      </c>
    </row>
    <row r="5258" spans="1:17" x14ac:dyDescent="0.25">
      <c r="A5258" s="22">
        <v>45833</v>
      </c>
      <c r="B5258" s="1">
        <v>514601677</v>
      </c>
      <c r="C5258" t="s">
        <v>4018</v>
      </c>
      <c r="D5258" s="23">
        <v>-4200</v>
      </c>
      <c r="E5258" s="76" t="s">
        <v>35</v>
      </c>
      <c r="F5258" s="2">
        <v>110114001</v>
      </c>
      <c r="G5258" s="2" t="s">
        <v>181</v>
      </c>
      <c r="I5258" s="95" t="s">
        <v>7231</v>
      </c>
      <c r="J5258" t="s">
        <v>631</v>
      </c>
      <c r="K5258" t="s">
        <v>632</v>
      </c>
      <c r="M5258">
        <v>105.45</v>
      </c>
      <c r="N5258" s="4">
        <f t="shared" si="81"/>
        <v>-39.829302987197721</v>
      </c>
      <c r="O5258" t="s">
        <v>83</v>
      </c>
      <c r="P5258" s="34" t="s">
        <v>1279</v>
      </c>
    </row>
    <row r="5259" spans="1:17" x14ac:dyDescent="0.25">
      <c r="A5259" s="22">
        <v>45833</v>
      </c>
      <c r="B5259" s="1">
        <v>50628241</v>
      </c>
      <c r="C5259" t="s">
        <v>4019</v>
      </c>
      <c r="D5259" s="23">
        <v>-540663.76</v>
      </c>
      <c r="E5259" s="76" t="s">
        <v>35</v>
      </c>
      <c r="F5259" s="2">
        <v>210101001</v>
      </c>
      <c r="G5259" s="2" t="s">
        <v>36</v>
      </c>
      <c r="I5259" s="95" t="s">
        <v>7231</v>
      </c>
      <c r="J5259" t="s">
        <v>1614</v>
      </c>
      <c r="K5259" t="s">
        <v>1615</v>
      </c>
      <c r="M5259">
        <v>105.45</v>
      </c>
      <c r="N5259" s="4">
        <f t="shared" si="81"/>
        <v>-5127.2049312470363</v>
      </c>
      <c r="O5259" t="s">
        <v>83</v>
      </c>
    </row>
    <row r="5260" spans="1:17" x14ac:dyDescent="0.25">
      <c r="A5260" s="22">
        <v>45833</v>
      </c>
      <c r="B5260" s="1">
        <v>50628241</v>
      </c>
      <c r="C5260" t="s">
        <v>179</v>
      </c>
      <c r="D5260" s="23">
        <v>-810.99</v>
      </c>
      <c r="E5260" s="76" t="s">
        <v>35</v>
      </c>
      <c r="F5260" s="2">
        <v>610148001</v>
      </c>
      <c r="G5260" s="2" t="s">
        <v>41</v>
      </c>
      <c r="I5260" s="95" t="s">
        <v>7231</v>
      </c>
      <c r="J5260" t="s">
        <v>42</v>
      </c>
      <c r="K5260" t="s">
        <v>41</v>
      </c>
      <c r="M5260">
        <v>105.45</v>
      </c>
      <c r="N5260" s="4">
        <f t="shared" ref="N5260:N5323" si="82">D5260/M5260</f>
        <v>-7.6907539118065431</v>
      </c>
      <c r="O5260" t="s">
        <v>83</v>
      </c>
      <c r="Q5260" s="24" t="s">
        <v>3649</v>
      </c>
    </row>
    <row r="5261" spans="1:17" x14ac:dyDescent="0.25">
      <c r="A5261" s="22">
        <v>45833</v>
      </c>
      <c r="B5261" s="1">
        <v>50628241</v>
      </c>
      <c r="C5261" t="s">
        <v>89</v>
      </c>
      <c r="D5261" s="23">
        <v>-10.5</v>
      </c>
      <c r="E5261" s="76" t="s">
        <v>35</v>
      </c>
      <c r="F5261" s="2">
        <v>610148001</v>
      </c>
      <c r="G5261" s="2" t="s">
        <v>41</v>
      </c>
      <c r="I5261" s="95" t="s">
        <v>7231</v>
      </c>
      <c r="J5261" t="s">
        <v>42</v>
      </c>
      <c r="K5261" t="s">
        <v>41</v>
      </c>
      <c r="M5261">
        <v>105.45</v>
      </c>
      <c r="N5261" s="4">
        <f t="shared" si="82"/>
        <v>-9.9573257467994308E-2</v>
      </c>
      <c r="O5261" t="s">
        <v>83</v>
      </c>
      <c r="Q5261" s="24" t="s">
        <v>3649</v>
      </c>
    </row>
    <row r="5262" spans="1:17" x14ac:dyDescent="0.25">
      <c r="A5262" s="22">
        <v>45833</v>
      </c>
      <c r="B5262" s="1">
        <v>914602800</v>
      </c>
      <c r="C5262" t="s">
        <v>4020</v>
      </c>
      <c r="D5262" s="44">
        <v>-5568</v>
      </c>
      <c r="E5262" s="76" t="s">
        <v>35</v>
      </c>
      <c r="F5262" s="2">
        <v>110114001</v>
      </c>
      <c r="G5262" s="2" t="s">
        <v>181</v>
      </c>
      <c r="I5262" s="95" t="s">
        <v>7231</v>
      </c>
      <c r="K5262" t="s">
        <v>1256</v>
      </c>
      <c r="M5262">
        <v>105.45</v>
      </c>
      <c r="N5262" s="4">
        <f t="shared" si="82"/>
        <v>-52.802275960170697</v>
      </c>
      <c r="O5262" t="s">
        <v>83</v>
      </c>
    </row>
    <row r="5263" spans="1:17" x14ac:dyDescent="0.25">
      <c r="A5263" s="22">
        <v>45833</v>
      </c>
      <c r="B5263" s="1">
        <v>914602800</v>
      </c>
      <c r="C5263" t="s">
        <v>185</v>
      </c>
      <c r="D5263" s="23">
        <v>-16.7</v>
      </c>
      <c r="E5263" s="76" t="s">
        <v>35</v>
      </c>
      <c r="F5263" s="2">
        <v>610148001</v>
      </c>
      <c r="G5263" s="2" t="s">
        <v>41</v>
      </c>
      <c r="I5263" s="95" t="s">
        <v>7231</v>
      </c>
      <c r="J5263" t="s">
        <v>42</v>
      </c>
      <c r="K5263" t="s">
        <v>41</v>
      </c>
      <c r="M5263">
        <v>105.45</v>
      </c>
      <c r="N5263" s="4">
        <f t="shared" si="82"/>
        <v>-0.15836889521100048</v>
      </c>
      <c r="O5263" t="s">
        <v>83</v>
      </c>
      <c r="Q5263" s="24" t="s">
        <v>3649</v>
      </c>
    </row>
    <row r="5264" spans="1:17" x14ac:dyDescent="0.25">
      <c r="A5264" s="22">
        <v>45833</v>
      </c>
      <c r="B5264" s="1">
        <v>423249912</v>
      </c>
      <c r="C5264" t="s">
        <v>4021</v>
      </c>
      <c r="D5264" s="23">
        <v>15000</v>
      </c>
      <c r="E5264" s="76" t="s">
        <v>45</v>
      </c>
      <c r="F5264" s="2">
        <v>210115002</v>
      </c>
      <c r="G5264" s="2" t="s">
        <v>46</v>
      </c>
      <c r="I5264" s="95" t="s">
        <v>7231</v>
      </c>
      <c r="K5264" t="s">
        <v>82</v>
      </c>
      <c r="M5264">
        <v>105.45</v>
      </c>
      <c r="N5264" s="4">
        <f t="shared" si="82"/>
        <v>142.24751066856331</v>
      </c>
      <c r="O5264" t="s">
        <v>83</v>
      </c>
    </row>
    <row r="5265" spans="1:17" x14ac:dyDescent="0.25">
      <c r="A5265" s="22">
        <v>45833</v>
      </c>
      <c r="B5265" s="1">
        <v>14603164</v>
      </c>
      <c r="C5265" t="s">
        <v>3971</v>
      </c>
      <c r="D5265" s="23">
        <v>-12753.88</v>
      </c>
      <c r="E5265" s="76" t="s">
        <v>35</v>
      </c>
      <c r="F5265" s="2">
        <v>212901001</v>
      </c>
      <c r="G5265" s="2" t="s">
        <v>91</v>
      </c>
      <c r="I5265" s="95" t="s">
        <v>7231</v>
      </c>
      <c r="J5265" t="s">
        <v>61</v>
      </c>
      <c r="K5265" t="s">
        <v>62</v>
      </c>
      <c r="M5265">
        <v>105.45</v>
      </c>
      <c r="N5265" s="4">
        <f t="shared" si="82"/>
        <v>-120.94717875770506</v>
      </c>
      <c r="O5265" t="s">
        <v>83</v>
      </c>
    </row>
    <row r="5266" spans="1:17" x14ac:dyDescent="0.25">
      <c r="A5266" s="22">
        <v>45833</v>
      </c>
      <c r="B5266" s="1">
        <v>14603164</v>
      </c>
      <c r="C5266" t="s">
        <v>185</v>
      </c>
      <c r="D5266" s="23">
        <v>-38.26</v>
      </c>
      <c r="E5266" s="76" t="s">
        <v>35</v>
      </c>
      <c r="F5266" s="2">
        <v>610148001</v>
      </c>
      <c r="G5266" s="2" t="s">
        <v>41</v>
      </c>
      <c r="I5266" s="95" t="s">
        <v>7231</v>
      </c>
      <c r="J5266" t="s">
        <v>42</v>
      </c>
      <c r="K5266" t="s">
        <v>41</v>
      </c>
      <c r="M5266">
        <v>105.45</v>
      </c>
      <c r="N5266" s="4">
        <f t="shared" si="82"/>
        <v>-0.36282598387861542</v>
      </c>
      <c r="O5266" t="s">
        <v>83</v>
      </c>
      <c r="Q5266" s="24" t="s">
        <v>3649</v>
      </c>
    </row>
    <row r="5267" spans="1:17" x14ac:dyDescent="0.25">
      <c r="A5267" s="22">
        <v>45834</v>
      </c>
      <c r="B5267" s="1">
        <v>125837822</v>
      </c>
      <c r="C5267" t="s">
        <v>82</v>
      </c>
      <c r="D5267" s="23">
        <v>330000</v>
      </c>
      <c r="E5267" s="76" t="s">
        <v>45</v>
      </c>
      <c r="F5267" s="2">
        <v>210115002</v>
      </c>
      <c r="G5267" s="2" t="s">
        <v>46</v>
      </c>
      <c r="I5267" s="95" t="s">
        <v>7231</v>
      </c>
      <c r="K5267" t="s">
        <v>82</v>
      </c>
      <c r="M5267">
        <v>106.17</v>
      </c>
      <c r="N5267" s="4">
        <f t="shared" si="82"/>
        <v>3108.2226617688611</v>
      </c>
      <c r="O5267" t="s">
        <v>83</v>
      </c>
    </row>
    <row r="5268" spans="1:17" x14ac:dyDescent="0.25">
      <c r="A5268" s="22">
        <v>45834</v>
      </c>
      <c r="B5268" s="1">
        <v>14635611</v>
      </c>
      <c r="C5268" t="s">
        <v>4022</v>
      </c>
      <c r="D5268" s="23">
        <v>-12294.98</v>
      </c>
      <c r="E5268" s="76" t="s">
        <v>35</v>
      </c>
      <c r="F5268" s="2">
        <v>110114001</v>
      </c>
      <c r="G5268" s="2" t="s">
        <v>181</v>
      </c>
      <c r="I5268" s="95" t="s">
        <v>7231</v>
      </c>
      <c r="J5268" t="s">
        <v>414</v>
      </c>
      <c r="K5268" t="s">
        <v>415</v>
      </c>
      <c r="M5268">
        <v>106.17</v>
      </c>
      <c r="N5268" s="4">
        <f t="shared" si="82"/>
        <v>-115.8046529151361</v>
      </c>
      <c r="O5268" t="s">
        <v>83</v>
      </c>
      <c r="P5268" s="34" t="s">
        <v>1279</v>
      </c>
    </row>
    <row r="5269" spans="1:17" x14ac:dyDescent="0.25">
      <c r="A5269" s="22">
        <v>45834</v>
      </c>
      <c r="B5269" s="1">
        <v>114635613</v>
      </c>
      <c r="C5269" t="s">
        <v>4023</v>
      </c>
      <c r="D5269" s="23">
        <v>-23407.16</v>
      </c>
      <c r="E5269" s="76" t="s">
        <v>35</v>
      </c>
      <c r="F5269" s="2">
        <v>110114001</v>
      </c>
      <c r="G5269" s="2" t="s">
        <v>181</v>
      </c>
      <c r="I5269" s="95" t="s">
        <v>7231</v>
      </c>
      <c r="J5269" t="s">
        <v>37</v>
      </c>
      <c r="K5269" t="s">
        <v>38</v>
      </c>
      <c r="M5269">
        <v>106.17</v>
      </c>
      <c r="N5269" s="4">
        <f t="shared" si="82"/>
        <v>-220.46868230196853</v>
      </c>
      <c r="O5269" t="s">
        <v>83</v>
      </c>
      <c r="P5269" s="34" t="s">
        <v>1279</v>
      </c>
    </row>
    <row r="5270" spans="1:17" x14ac:dyDescent="0.25">
      <c r="A5270" s="22">
        <v>45834</v>
      </c>
      <c r="B5270" s="1">
        <v>14635612</v>
      </c>
      <c r="C5270" t="s">
        <v>4024</v>
      </c>
      <c r="D5270" s="23">
        <v>-25669.85</v>
      </c>
      <c r="E5270" s="76" t="s">
        <v>35</v>
      </c>
      <c r="F5270" s="2">
        <v>110114001</v>
      </c>
      <c r="G5270" s="2" t="s">
        <v>181</v>
      </c>
      <c r="I5270" s="95" t="s">
        <v>7231</v>
      </c>
      <c r="J5270" t="s">
        <v>414</v>
      </c>
      <c r="K5270" t="s">
        <v>415</v>
      </c>
      <c r="M5270">
        <v>106.17</v>
      </c>
      <c r="N5270" s="4">
        <f t="shared" si="82"/>
        <v>-241.78063483093152</v>
      </c>
      <c r="O5270" t="s">
        <v>83</v>
      </c>
      <c r="P5270" s="34" t="s">
        <v>1279</v>
      </c>
    </row>
    <row r="5271" spans="1:17" x14ac:dyDescent="0.25">
      <c r="A5271" s="22">
        <v>45834</v>
      </c>
      <c r="B5271" s="1">
        <v>114635614</v>
      </c>
      <c r="C5271" t="s">
        <v>4023</v>
      </c>
      <c r="D5271" s="23">
        <v>-200000</v>
      </c>
      <c r="E5271" s="76" t="s">
        <v>35</v>
      </c>
      <c r="F5271" s="2">
        <v>110114001</v>
      </c>
      <c r="G5271" s="2" t="s">
        <v>181</v>
      </c>
      <c r="I5271" s="95" t="s">
        <v>7231</v>
      </c>
      <c r="J5271" t="s">
        <v>37</v>
      </c>
      <c r="K5271" t="s">
        <v>38</v>
      </c>
      <c r="M5271">
        <v>106.17</v>
      </c>
      <c r="N5271" s="4">
        <f t="shared" si="82"/>
        <v>-1883.7713101629463</v>
      </c>
      <c r="O5271" t="s">
        <v>83</v>
      </c>
      <c r="P5271" s="34" t="s">
        <v>1279</v>
      </c>
    </row>
    <row r="5272" spans="1:17" x14ac:dyDescent="0.25">
      <c r="A5272" s="22">
        <v>45834</v>
      </c>
      <c r="B5272" s="1">
        <v>114635615</v>
      </c>
      <c r="C5272" t="s">
        <v>4025</v>
      </c>
      <c r="D5272" s="23">
        <v>-67114.350000000006</v>
      </c>
      <c r="E5272" s="76" t="s">
        <v>35</v>
      </c>
      <c r="F5272" s="2">
        <v>110114001</v>
      </c>
      <c r="G5272" s="2" t="s">
        <v>181</v>
      </c>
      <c r="I5272" s="95" t="s">
        <v>7231</v>
      </c>
      <c r="J5272" t="s">
        <v>37</v>
      </c>
      <c r="K5272" t="s">
        <v>38</v>
      </c>
      <c r="M5272">
        <v>106.17</v>
      </c>
      <c r="N5272" s="4">
        <f t="shared" si="82"/>
        <v>-632.14043515117271</v>
      </c>
      <c r="O5272" t="s">
        <v>83</v>
      </c>
      <c r="P5272" s="34" t="s">
        <v>1279</v>
      </c>
    </row>
    <row r="5273" spans="1:17" x14ac:dyDescent="0.25">
      <c r="A5273" s="22">
        <v>45834</v>
      </c>
      <c r="B5273" s="1">
        <v>50619821</v>
      </c>
      <c r="C5273" t="s">
        <v>89</v>
      </c>
      <c r="D5273" s="23">
        <v>-821.21</v>
      </c>
      <c r="E5273" s="76" t="s">
        <v>35</v>
      </c>
      <c r="F5273" s="2">
        <v>610148001</v>
      </c>
      <c r="G5273" s="2" t="s">
        <v>41</v>
      </c>
      <c r="I5273" s="95" t="s">
        <v>7231</v>
      </c>
      <c r="J5273" t="s">
        <v>42</v>
      </c>
      <c r="K5273" t="s">
        <v>41</v>
      </c>
      <c r="M5273">
        <v>106.17</v>
      </c>
      <c r="N5273" s="4">
        <f t="shared" si="82"/>
        <v>-7.7348591880945659</v>
      </c>
      <c r="O5273" t="s">
        <v>83</v>
      </c>
      <c r="Q5273" s="24" t="s">
        <v>3649</v>
      </c>
    </row>
    <row r="5274" spans="1:17" x14ac:dyDescent="0.25">
      <c r="A5274" s="22">
        <v>45835</v>
      </c>
      <c r="B5274" s="1">
        <v>140953338</v>
      </c>
      <c r="C5274" t="s">
        <v>82</v>
      </c>
      <c r="D5274" s="23">
        <v>780000</v>
      </c>
      <c r="E5274" s="76" t="s">
        <v>45</v>
      </c>
      <c r="F5274" s="2">
        <v>210115002</v>
      </c>
      <c r="G5274" s="2" t="s">
        <v>46</v>
      </c>
      <c r="I5274" s="95" t="s">
        <v>7231</v>
      </c>
      <c r="K5274" t="s">
        <v>82</v>
      </c>
      <c r="M5274">
        <v>106.86</v>
      </c>
      <c r="N5274" s="4">
        <f t="shared" si="82"/>
        <v>7299.270072992701</v>
      </c>
      <c r="O5274" t="s">
        <v>83</v>
      </c>
    </row>
    <row r="5275" spans="1:17" x14ac:dyDescent="0.25">
      <c r="A5275" s="22">
        <v>45835</v>
      </c>
      <c r="B5275" s="1">
        <v>514654366</v>
      </c>
      <c r="C5275" t="s">
        <v>4026</v>
      </c>
      <c r="D5275" s="23">
        <v>-8762.52</v>
      </c>
      <c r="E5275" s="76" t="s">
        <v>35</v>
      </c>
      <c r="F5275" s="2">
        <v>212901001</v>
      </c>
      <c r="G5275" s="2" t="s">
        <v>91</v>
      </c>
      <c r="I5275" s="95" t="s">
        <v>7231</v>
      </c>
      <c r="J5275" t="s">
        <v>61</v>
      </c>
      <c r="K5275" t="s">
        <v>62</v>
      </c>
      <c r="M5275">
        <v>106.86</v>
      </c>
      <c r="N5275" s="4">
        <f t="shared" si="82"/>
        <v>-82</v>
      </c>
      <c r="O5275" t="s">
        <v>83</v>
      </c>
    </row>
    <row r="5276" spans="1:17" x14ac:dyDescent="0.25">
      <c r="A5276" s="22">
        <v>45835</v>
      </c>
      <c r="B5276" s="1">
        <v>514654368</v>
      </c>
      <c r="C5276" t="s">
        <v>4027</v>
      </c>
      <c r="D5276" s="23">
        <v>-9617.4</v>
      </c>
      <c r="E5276" s="76" t="s">
        <v>35</v>
      </c>
      <c r="F5276" s="2">
        <v>212901001</v>
      </c>
      <c r="G5276" s="2" t="s">
        <v>91</v>
      </c>
      <c r="I5276" s="95" t="s">
        <v>7231</v>
      </c>
      <c r="J5276" t="s">
        <v>61</v>
      </c>
      <c r="K5276" t="s">
        <v>62</v>
      </c>
      <c r="M5276">
        <v>106.86</v>
      </c>
      <c r="N5276" s="4">
        <f t="shared" si="82"/>
        <v>-90</v>
      </c>
      <c r="O5276" t="s">
        <v>83</v>
      </c>
    </row>
    <row r="5277" spans="1:17" x14ac:dyDescent="0.25">
      <c r="A5277" s="22">
        <v>45835</v>
      </c>
      <c r="B5277" s="1">
        <v>514654370</v>
      </c>
      <c r="C5277" t="s">
        <v>4028</v>
      </c>
      <c r="D5277" s="23">
        <v>-9617.4</v>
      </c>
      <c r="E5277" s="76" t="s">
        <v>35</v>
      </c>
      <c r="F5277" s="2">
        <v>212901001</v>
      </c>
      <c r="G5277" s="2" t="s">
        <v>91</v>
      </c>
      <c r="I5277" s="95" t="s">
        <v>7231</v>
      </c>
      <c r="J5277" t="s">
        <v>61</v>
      </c>
      <c r="K5277" t="s">
        <v>62</v>
      </c>
      <c r="M5277">
        <v>106.86</v>
      </c>
      <c r="N5277" s="4">
        <f t="shared" si="82"/>
        <v>-90</v>
      </c>
      <c r="O5277" t="s">
        <v>83</v>
      </c>
    </row>
    <row r="5278" spans="1:17" x14ac:dyDescent="0.25">
      <c r="A5278" s="22">
        <v>45835</v>
      </c>
      <c r="B5278" s="1">
        <v>514654367</v>
      </c>
      <c r="C5278" t="s">
        <v>4029</v>
      </c>
      <c r="D5278" s="23">
        <v>-9617.4</v>
      </c>
      <c r="E5278" s="76" t="s">
        <v>35</v>
      </c>
      <c r="F5278" s="2">
        <v>212901001</v>
      </c>
      <c r="G5278" s="2" t="s">
        <v>91</v>
      </c>
      <c r="I5278" s="95" t="s">
        <v>7231</v>
      </c>
      <c r="J5278" t="s">
        <v>61</v>
      </c>
      <c r="K5278" t="s">
        <v>62</v>
      </c>
      <c r="M5278">
        <v>106.86</v>
      </c>
      <c r="N5278" s="4">
        <f t="shared" si="82"/>
        <v>-90</v>
      </c>
      <c r="O5278" t="s">
        <v>83</v>
      </c>
    </row>
    <row r="5279" spans="1:17" x14ac:dyDescent="0.25">
      <c r="A5279" s="22">
        <v>45835</v>
      </c>
      <c r="B5279" s="1">
        <v>514654369</v>
      </c>
      <c r="C5279" t="s">
        <v>4030</v>
      </c>
      <c r="D5279" s="23">
        <v>-9617.4</v>
      </c>
      <c r="E5279" s="76" t="s">
        <v>35</v>
      </c>
      <c r="F5279" s="2">
        <v>212901001</v>
      </c>
      <c r="G5279" s="2" t="s">
        <v>91</v>
      </c>
      <c r="I5279" s="95" t="s">
        <v>7231</v>
      </c>
      <c r="J5279" t="s">
        <v>61</v>
      </c>
      <c r="K5279" t="s">
        <v>62</v>
      </c>
      <c r="M5279">
        <v>106.86</v>
      </c>
      <c r="N5279" s="4">
        <f t="shared" si="82"/>
        <v>-90</v>
      </c>
      <c r="O5279" t="s">
        <v>83</v>
      </c>
    </row>
    <row r="5280" spans="1:17" x14ac:dyDescent="0.25">
      <c r="A5280" s="22">
        <v>45835</v>
      </c>
      <c r="B5280" s="1">
        <v>514654371</v>
      </c>
      <c r="C5280" t="s">
        <v>4031</v>
      </c>
      <c r="D5280" s="23">
        <v>-9617.4</v>
      </c>
      <c r="E5280" s="76" t="s">
        <v>35</v>
      </c>
      <c r="F5280" s="2">
        <v>212901001</v>
      </c>
      <c r="G5280" s="2" t="s">
        <v>91</v>
      </c>
      <c r="I5280" s="95" t="s">
        <v>7231</v>
      </c>
      <c r="J5280" t="s">
        <v>61</v>
      </c>
      <c r="K5280" t="s">
        <v>62</v>
      </c>
      <c r="M5280">
        <v>106.86</v>
      </c>
      <c r="N5280" s="4">
        <f t="shared" si="82"/>
        <v>-90</v>
      </c>
      <c r="O5280" t="s">
        <v>83</v>
      </c>
    </row>
    <row r="5281" spans="1:15" x14ac:dyDescent="0.25">
      <c r="A5281" s="22">
        <v>45835</v>
      </c>
      <c r="B5281" s="1">
        <v>514654372</v>
      </c>
      <c r="C5281" t="s">
        <v>4026</v>
      </c>
      <c r="D5281" s="23">
        <v>-8548.7999999999993</v>
      </c>
      <c r="E5281" s="76" t="s">
        <v>35</v>
      </c>
      <c r="F5281" s="2">
        <v>212901001</v>
      </c>
      <c r="G5281" s="2" t="s">
        <v>91</v>
      </c>
      <c r="I5281" s="95" t="s">
        <v>7231</v>
      </c>
      <c r="J5281" t="s">
        <v>61</v>
      </c>
      <c r="K5281" t="s">
        <v>62</v>
      </c>
      <c r="M5281">
        <v>106.86</v>
      </c>
      <c r="N5281" s="4">
        <f t="shared" si="82"/>
        <v>-80</v>
      </c>
      <c r="O5281" t="s">
        <v>83</v>
      </c>
    </row>
    <row r="5282" spans="1:15" x14ac:dyDescent="0.25">
      <c r="A5282" s="22">
        <v>45835</v>
      </c>
      <c r="B5282" s="1">
        <v>514654373</v>
      </c>
      <c r="C5282" t="s">
        <v>4032</v>
      </c>
      <c r="D5282" s="23">
        <v>-8548.7999999999993</v>
      </c>
      <c r="E5282" s="76" t="s">
        <v>35</v>
      </c>
      <c r="F5282" s="2">
        <v>212901001</v>
      </c>
      <c r="G5282" s="2" t="s">
        <v>91</v>
      </c>
      <c r="I5282" s="95" t="s">
        <v>7231</v>
      </c>
      <c r="J5282" t="s">
        <v>61</v>
      </c>
      <c r="K5282" t="s">
        <v>62</v>
      </c>
      <c r="M5282">
        <v>106.86</v>
      </c>
      <c r="N5282" s="4">
        <f t="shared" si="82"/>
        <v>-80</v>
      </c>
      <c r="O5282" t="s">
        <v>83</v>
      </c>
    </row>
    <row r="5283" spans="1:15" x14ac:dyDescent="0.25">
      <c r="A5283" s="22">
        <v>45835</v>
      </c>
      <c r="B5283" s="1">
        <v>614654375</v>
      </c>
      <c r="C5283" t="s">
        <v>4033</v>
      </c>
      <c r="D5283" s="23">
        <v>-8548.7999999999993</v>
      </c>
      <c r="E5283" s="76" t="s">
        <v>35</v>
      </c>
      <c r="F5283" s="2">
        <v>212901001</v>
      </c>
      <c r="G5283" s="2" t="s">
        <v>91</v>
      </c>
      <c r="I5283" s="95" t="s">
        <v>7231</v>
      </c>
      <c r="J5283" t="s">
        <v>61</v>
      </c>
      <c r="K5283" t="s">
        <v>62</v>
      </c>
      <c r="M5283">
        <v>106.86</v>
      </c>
      <c r="N5283" s="4">
        <f t="shared" si="82"/>
        <v>-80</v>
      </c>
      <c r="O5283" t="s">
        <v>83</v>
      </c>
    </row>
    <row r="5284" spans="1:15" x14ac:dyDescent="0.25">
      <c r="A5284" s="22">
        <v>45835</v>
      </c>
      <c r="B5284" s="1">
        <v>614654374</v>
      </c>
      <c r="C5284" t="s">
        <v>4034</v>
      </c>
      <c r="D5284" s="23">
        <v>-8548.7999999999993</v>
      </c>
      <c r="E5284" s="76" t="s">
        <v>35</v>
      </c>
      <c r="F5284" s="2">
        <v>212901001</v>
      </c>
      <c r="G5284" s="2" t="s">
        <v>91</v>
      </c>
      <c r="I5284" s="95" t="s">
        <v>7231</v>
      </c>
      <c r="J5284" t="s">
        <v>61</v>
      </c>
      <c r="K5284" t="s">
        <v>62</v>
      </c>
      <c r="M5284">
        <v>106.86</v>
      </c>
      <c r="N5284" s="4">
        <f t="shared" si="82"/>
        <v>-80</v>
      </c>
      <c r="O5284" t="s">
        <v>83</v>
      </c>
    </row>
    <row r="5285" spans="1:15" x14ac:dyDescent="0.25">
      <c r="A5285" s="22">
        <v>45835</v>
      </c>
      <c r="B5285" s="1">
        <v>614654376</v>
      </c>
      <c r="C5285" t="s">
        <v>4035</v>
      </c>
      <c r="D5285" s="23">
        <v>-8548.7999999999993</v>
      </c>
      <c r="E5285" s="76" t="s">
        <v>35</v>
      </c>
      <c r="F5285" s="2">
        <v>212901001</v>
      </c>
      <c r="G5285" s="2" t="s">
        <v>91</v>
      </c>
      <c r="I5285" s="95" t="s">
        <v>7231</v>
      </c>
      <c r="J5285" t="s">
        <v>61</v>
      </c>
      <c r="K5285" t="s">
        <v>62</v>
      </c>
      <c r="M5285">
        <v>106.86</v>
      </c>
      <c r="N5285" s="4">
        <f t="shared" si="82"/>
        <v>-80</v>
      </c>
      <c r="O5285" t="s">
        <v>83</v>
      </c>
    </row>
    <row r="5286" spans="1:15" x14ac:dyDescent="0.25">
      <c r="A5286" s="22">
        <v>45835</v>
      </c>
      <c r="B5286" s="1">
        <v>614654379</v>
      </c>
      <c r="C5286" t="s">
        <v>4036</v>
      </c>
      <c r="D5286" s="23">
        <v>-10686</v>
      </c>
      <c r="E5286" s="76" t="s">
        <v>35</v>
      </c>
      <c r="F5286" s="2">
        <v>212901001</v>
      </c>
      <c r="G5286" s="2" t="s">
        <v>91</v>
      </c>
      <c r="I5286" s="95" t="s">
        <v>7231</v>
      </c>
      <c r="J5286" t="s">
        <v>61</v>
      </c>
      <c r="K5286" t="s">
        <v>62</v>
      </c>
      <c r="M5286">
        <v>106.86</v>
      </c>
      <c r="N5286" s="4">
        <f t="shared" si="82"/>
        <v>-100</v>
      </c>
      <c r="O5286" t="s">
        <v>83</v>
      </c>
    </row>
    <row r="5287" spans="1:15" x14ac:dyDescent="0.25">
      <c r="A5287" s="22">
        <v>45835</v>
      </c>
      <c r="B5287" s="1">
        <v>614654377</v>
      </c>
      <c r="C5287" t="s">
        <v>4037</v>
      </c>
      <c r="D5287" s="23">
        <v>-8548.7999999999993</v>
      </c>
      <c r="E5287" s="76" t="s">
        <v>35</v>
      </c>
      <c r="F5287" s="2">
        <v>212901001</v>
      </c>
      <c r="G5287" s="2" t="s">
        <v>91</v>
      </c>
      <c r="I5287" s="95" t="s">
        <v>7231</v>
      </c>
      <c r="J5287" t="s">
        <v>61</v>
      </c>
      <c r="K5287" t="s">
        <v>62</v>
      </c>
      <c r="M5287">
        <v>106.86</v>
      </c>
      <c r="N5287" s="4">
        <f t="shared" si="82"/>
        <v>-80</v>
      </c>
      <c r="O5287" t="s">
        <v>83</v>
      </c>
    </row>
    <row r="5288" spans="1:15" x14ac:dyDescent="0.25">
      <c r="A5288" s="22">
        <v>45835</v>
      </c>
      <c r="B5288" s="1">
        <v>614654378</v>
      </c>
      <c r="C5288" t="s">
        <v>4038</v>
      </c>
      <c r="D5288" s="23">
        <v>-8548.7999999999993</v>
      </c>
      <c r="E5288" s="76" t="s">
        <v>35</v>
      </c>
      <c r="F5288" s="2">
        <v>212901001</v>
      </c>
      <c r="G5288" s="2" t="s">
        <v>91</v>
      </c>
      <c r="I5288" s="95" t="s">
        <v>7231</v>
      </c>
      <c r="J5288" t="s">
        <v>61</v>
      </c>
      <c r="K5288" t="s">
        <v>62</v>
      </c>
      <c r="M5288">
        <v>106.86</v>
      </c>
      <c r="N5288" s="4">
        <f t="shared" si="82"/>
        <v>-80</v>
      </c>
      <c r="O5288" t="s">
        <v>83</v>
      </c>
    </row>
    <row r="5289" spans="1:15" x14ac:dyDescent="0.25">
      <c r="A5289" s="22">
        <v>45835</v>
      </c>
      <c r="B5289" s="1">
        <v>614654380</v>
      </c>
      <c r="C5289" t="s">
        <v>4039</v>
      </c>
      <c r="D5289" s="23">
        <v>-14960.4</v>
      </c>
      <c r="E5289" s="76" t="s">
        <v>35</v>
      </c>
      <c r="F5289" s="2">
        <v>212901001</v>
      </c>
      <c r="G5289" s="2" t="s">
        <v>91</v>
      </c>
      <c r="I5289" s="95" t="s">
        <v>7231</v>
      </c>
      <c r="J5289" t="s">
        <v>61</v>
      </c>
      <c r="K5289" t="s">
        <v>62</v>
      </c>
      <c r="M5289">
        <v>106.86</v>
      </c>
      <c r="N5289" s="4">
        <f t="shared" si="82"/>
        <v>-140</v>
      </c>
      <c r="O5289" t="s">
        <v>83</v>
      </c>
    </row>
    <row r="5290" spans="1:15" x14ac:dyDescent="0.25">
      <c r="A5290" s="22">
        <v>45835</v>
      </c>
      <c r="B5290" s="1">
        <v>614654381</v>
      </c>
      <c r="C5290" t="s">
        <v>4040</v>
      </c>
      <c r="D5290" s="23">
        <v>-20303.400000000001</v>
      </c>
      <c r="E5290" s="76" t="s">
        <v>35</v>
      </c>
      <c r="F5290" s="2">
        <v>212901001</v>
      </c>
      <c r="G5290" s="2" t="s">
        <v>91</v>
      </c>
      <c r="I5290" s="95" t="s">
        <v>7231</v>
      </c>
      <c r="J5290" t="s">
        <v>61</v>
      </c>
      <c r="K5290" t="s">
        <v>62</v>
      </c>
      <c r="M5290">
        <v>106.86</v>
      </c>
      <c r="N5290" s="4">
        <f t="shared" si="82"/>
        <v>-190.00000000000003</v>
      </c>
      <c r="O5290" t="s">
        <v>83</v>
      </c>
    </row>
    <row r="5291" spans="1:15" x14ac:dyDescent="0.25">
      <c r="A5291" s="22">
        <v>45835</v>
      </c>
      <c r="B5291" s="1">
        <v>614654382</v>
      </c>
      <c r="C5291" t="s">
        <v>4041</v>
      </c>
      <c r="D5291" s="23">
        <v>-16029</v>
      </c>
      <c r="E5291" s="76" t="s">
        <v>35</v>
      </c>
      <c r="F5291" s="2">
        <v>212901001</v>
      </c>
      <c r="G5291" s="2" t="s">
        <v>91</v>
      </c>
      <c r="I5291" s="95" t="s">
        <v>7231</v>
      </c>
      <c r="J5291" t="s">
        <v>61</v>
      </c>
      <c r="K5291" t="s">
        <v>62</v>
      </c>
      <c r="M5291">
        <v>106.86</v>
      </c>
      <c r="N5291" s="4">
        <f t="shared" si="82"/>
        <v>-150</v>
      </c>
      <c r="O5291" t="s">
        <v>83</v>
      </c>
    </row>
    <row r="5292" spans="1:15" x14ac:dyDescent="0.25">
      <c r="A5292" s="22">
        <v>45835</v>
      </c>
      <c r="B5292" s="1">
        <v>714654383</v>
      </c>
      <c r="C5292" t="s">
        <v>4042</v>
      </c>
      <c r="D5292" s="23">
        <v>-12823.2</v>
      </c>
      <c r="E5292" s="76" t="s">
        <v>35</v>
      </c>
      <c r="F5292" s="2">
        <v>212901001</v>
      </c>
      <c r="G5292" s="2" t="s">
        <v>91</v>
      </c>
      <c r="I5292" s="95" t="s">
        <v>7231</v>
      </c>
      <c r="J5292" t="s">
        <v>61</v>
      </c>
      <c r="K5292" t="s">
        <v>62</v>
      </c>
      <c r="M5292">
        <v>106.86</v>
      </c>
      <c r="N5292" s="4">
        <f t="shared" si="82"/>
        <v>-120.00000000000001</v>
      </c>
      <c r="O5292" t="s">
        <v>83</v>
      </c>
    </row>
    <row r="5293" spans="1:15" x14ac:dyDescent="0.25">
      <c r="A5293" s="22">
        <v>45835</v>
      </c>
      <c r="B5293" s="1">
        <v>714654385</v>
      </c>
      <c r="C5293" t="s">
        <v>4043</v>
      </c>
      <c r="D5293" s="23">
        <v>-12823.2</v>
      </c>
      <c r="E5293" s="76" t="s">
        <v>35</v>
      </c>
      <c r="F5293" s="2">
        <v>212901001</v>
      </c>
      <c r="G5293" s="2" t="s">
        <v>91</v>
      </c>
      <c r="I5293" s="95" t="s">
        <v>7231</v>
      </c>
      <c r="J5293" t="s">
        <v>61</v>
      </c>
      <c r="K5293" t="s">
        <v>62</v>
      </c>
      <c r="M5293">
        <v>106.86</v>
      </c>
      <c r="N5293" s="4">
        <f t="shared" si="82"/>
        <v>-120.00000000000001</v>
      </c>
      <c r="O5293" t="s">
        <v>83</v>
      </c>
    </row>
    <row r="5294" spans="1:15" x14ac:dyDescent="0.25">
      <c r="A5294" s="22">
        <v>45835</v>
      </c>
      <c r="B5294" s="1">
        <v>714654384</v>
      </c>
      <c r="C5294" t="s">
        <v>4044</v>
      </c>
      <c r="D5294" s="23">
        <v>-14960.4</v>
      </c>
      <c r="E5294" s="76" t="s">
        <v>35</v>
      </c>
      <c r="F5294" s="2">
        <v>212901001</v>
      </c>
      <c r="G5294" s="2" t="s">
        <v>91</v>
      </c>
      <c r="I5294" s="95" t="s">
        <v>7231</v>
      </c>
      <c r="J5294" t="s">
        <v>61</v>
      </c>
      <c r="K5294" t="s">
        <v>62</v>
      </c>
      <c r="M5294">
        <v>106.86</v>
      </c>
      <c r="N5294" s="4">
        <f t="shared" si="82"/>
        <v>-140</v>
      </c>
      <c r="O5294" t="s">
        <v>83</v>
      </c>
    </row>
    <row r="5295" spans="1:15" x14ac:dyDescent="0.25">
      <c r="A5295" s="22">
        <v>45835</v>
      </c>
      <c r="B5295" s="1">
        <v>714654387</v>
      </c>
      <c r="C5295" t="s">
        <v>4045</v>
      </c>
      <c r="D5295" s="23">
        <v>-10686</v>
      </c>
      <c r="E5295" s="76" t="s">
        <v>35</v>
      </c>
      <c r="F5295" s="2">
        <v>212901001</v>
      </c>
      <c r="G5295" s="2" t="s">
        <v>91</v>
      </c>
      <c r="I5295" s="95" t="s">
        <v>7231</v>
      </c>
      <c r="J5295" t="s">
        <v>61</v>
      </c>
      <c r="K5295" t="s">
        <v>62</v>
      </c>
      <c r="M5295">
        <v>106.86</v>
      </c>
      <c r="N5295" s="4">
        <f t="shared" si="82"/>
        <v>-100</v>
      </c>
      <c r="O5295" t="s">
        <v>83</v>
      </c>
    </row>
    <row r="5296" spans="1:15" x14ac:dyDescent="0.25">
      <c r="A5296" s="22">
        <v>45835</v>
      </c>
      <c r="B5296" s="1">
        <v>714654390</v>
      </c>
      <c r="C5296" t="s">
        <v>4046</v>
      </c>
      <c r="D5296" s="23">
        <v>-10686</v>
      </c>
      <c r="E5296" s="76" t="s">
        <v>35</v>
      </c>
      <c r="F5296" s="2">
        <v>212901001</v>
      </c>
      <c r="G5296" s="2" t="s">
        <v>91</v>
      </c>
      <c r="I5296" s="95" t="s">
        <v>7231</v>
      </c>
      <c r="J5296" t="s">
        <v>61</v>
      </c>
      <c r="K5296" t="s">
        <v>62</v>
      </c>
      <c r="M5296">
        <v>106.86</v>
      </c>
      <c r="N5296" s="4">
        <f t="shared" si="82"/>
        <v>-100</v>
      </c>
      <c r="O5296" t="s">
        <v>83</v>
      </c>
    </row>
    <row r="5297" spans="1:15" x14ac:dyDescent="0.25">
      <c r="A5297" s="22">
        <v>45835</v>
      </c>
      <c r="B5297" s="1">
        <v>714654386</v>
      </c>
      <c r="C5297" t="s">
        <v>4047</v>
      </c>
      <c r="D5297" s="23">
        <v>-10686</v>
      </c>
      <c r="E5297" s="76" t="s">
        <v>35</v>
      </c>
      <c r="F5297" s="2">
        <v>212901001</v>
      </c>
      <c r="G5297" s="2" t="s">
        <v>91</v>
      </c>
      <c r="I5297" s="95" t="s">
        <v>7231</v>
      </c>
      <c r="J5297" t="s">
        <v>61</v>
      </c>
      <c r="K5297" t="s">
        <v>62</v>
      </c>
      <c r="M5297">
        <v>106.86</v>
      </c>
      <c r="N5297" s="4">
        <f t="shared" si="82"/>
        <v>-100</v>
      </c>
      <c r="O5297" t="s">
        <v>83</v>
      </c>
    </row>
    <row r="5298" spans="1:15" x14ac:dyDescent="0.25">
      <c r="A5298" s="22">
        <v>45835</v>
      </c>
      <c r="B5298" s="1">
        <v>714654388</v>
      </c>
      <c r="C5298" t="s">
        <v>4048</v>
      </c>
      <c r="D5298" s="23">
        <v>-10686</v>
      </c>
      <c r="E5298" s="76" t="s">
        <v>35</v>
      </c>
      <c r="F5298" s="2">
        <v>212901001</v>
      </c>
      <c r="G5298" s="2" t="s">
        <v>91</v>
      </c>
      <c r="I5298" s="95" t="s">
        <v>7231</v>
      </c>
      <c r="J5298" t="s">
        <v>61</v>
      </c>
      <c r="K5298" t="s">
        <v>62</v>
      </c>
      <c r="M5298">
        <v>106.86</v>
      </c>
      <c r="N5298" s="4">
        <f t="shared" si="82"/>
        <v>-100</v>
      </c>
      <c r="O5298" t="s">
        <v>83</v>
      </c>
    </row>
    <row r="5299" spans="1:15" x14ac:dyDescent="0.25">
      <c r="A5299" s="22">
        <v>45835</v>
      </c>
      <c r="B5299" s="1">
        <v>714654389</v>
      </c>
      <c r="C5299" t="s">
        <v>4049</v>
      </c>
      <c r="D5299" s="23">
        <v>-10686</v>
      </c>
      <c r="E5299" s="76" t="s">
        <v>35</v>
      </c>
      <c r="F5299" s="2">
        <v>212901001</v>
      </c>
      <c r="G5299" s="2" t="s">
        <v>91</v>
      </c>
      <c r="I5299" s="95" t="s">
        <v>7231</v>
      </c>
      <c r="J5299" t="s">
        <v>61</v>
      </c>
      <c r="K5299" t="s">
        <v>62</v>
      </c>
      <c r="M5299">
        <v>106.86</v>
      </c>
      <c r="N5299" s="4">
        <f t="shared" si="82"/>
        <v>-100</v>
      </c>
      <c r="O5299" t="s">
        <v>83</v>
      </c>
    </row>
    <row r="5300" spans="1:15" x14ac:dyDescent="0.25">
      <c r="A5300" s="22">
        <v>45835</v>
      </c>
      <c r="B5300" s="1">
        <v>714654391</v>
      </c>
      <c r="C5300" t="s">
        <v>4050</v>
      </c>
      <c r="D5300" s="23">
        <v>-10686</v>
      </c>
      <c r="E5300" s="76" t="s">
        <v>35</v>
      </c>
      <c r="F5300" s="2">
        <v>212901001</v>
      </c>
      <c r="G5300" s="2" t="s">
        <v>91</v>
      </c>
      <c r="I5300" s="95" t="s">
        <v>7231</v>
      </c>
      <c r="J5300" t="s">
        <v>61</v>
      </c>
      <c r="K5300" t="s">
        <v>62</v>
      </c>
      <c r="M5300">
        <v>106.86</v>
      </c>
      <c r="N5300" s="4">
        <f t="shared" si="82"/>
        <v>-100</v>
      </c>
      <c r="O5300" t="s">
        <v>83</v>
      </c>
    </row>
    <row r="5301" spans="1:15" x14ac:dyDescent="0.25">
      <c r="A5301" s="22">
        <v>45835</v>
      </c>
      <c r="B5301" s="1">
        <v>814654392</v>
      </c>
      <c r="C5301" t="s">
        <v>4051</v>
      </c>
      <c r="D5301" s="23">
        <v>-10686</v>
      </c>
      <c r="E5301" s="76" t="s">
        <v>35</v>
      </c>
      <c r="F5301" s="2">
        <v>212901001</v>
      </c>
      <c r="G5301" s="2" t="s">
        <v>91</v>
      </c>
      <c r="I5301" s="95" t="s">
        <v>7231</v>
      </c>
      <c r="J5301" t="s">
        <v>61</v>
      </c>
      <c r="K5301" t="s">
        <v>62</v>
      </c>
      <c r="M5301">
        <v>106.86</v>
      </c>
      <c r="N5301" s="4">
        <f t="shared" si="82"/>
        <v>-100</v>
      </c>
      <c r="O5301" t="s">
        <v>83</v>
      </c>
    </row>
    <row r="5302" spans="1:15" x14ac:dyDescent="0.25">
      <c r="A5302" s="22">
        <v>45835</v>
      </c>
      <c r="B5302" s="1">
        <v>814654393</v>
      </c>
      <c r="C5302" t="s">
        <v>4052</v>
      </c>
      <c r="D5302" s="23">
        <v>-10686</v>
      </c>
      <c r="E5302" s="76" t="s">
        <v>35</v>
      </c>
      <c r="F5302" s="2">
        <v>212901001</v>
      </c>
      <c r="G5302" s="2" t="s">
        <v>91</v>
      </c>
      <c r="I5302" s="95" t="s">
        <v>7231</v>
      </c>
      <c r="J5302" t="s">
        <v>61</v>
      </c>
      <c r="K5302" t="s">
        <v>62</v>
      </c>
      <c r="M5302">
        <v>106.86</v>
      </c>
      <c r="N5302" s="4">
        <f t="shared" si="82"/>
        <v>-100</v>
      </c>
      <c r="O5302" t="s">
        <v>83</v>
      </c>
    </row>
    <row r="5303" spans="1:15" x14ac:dyDescent="0.25">
      <c r="A5303" s="22">
        <v>45835</v>
      </c>
      <c r="B5303" s="1">
        <v>814654394</v>
      </c>
      <c r="C5303" t="s">
        <v>4053</v>
      </c>
      <c r="D5303" s="23">
        <v>-10686</v>
      </c>
      <c r="E5303" s="76" t="s">
        <v>35</v>
      </c>
      <c r="F5303" s="2">
        <v>212901001</v>
      </c>
      <c r="G5303" s="2" t="s">
        <v>91</v>
      </c>
      <c r="I5303" s="95" t="s">
        <v>7231</v>
      </c>
      <c r="J5303" t="s">
        <v>61</v>
      </c>
      <c r="K5303" t="s">
        <v>62</v>
      </c>
      <c r="M5303">
        <v>106.86</v>
      </c>
      <c r="N5303" s="4">
        <f t="shared" si="82"/>
        <v>-100</v>
      </c>
      <c r="O5303" t="s">
        <v>83</v>
      </c>
    </row>
    <row r="5304" spans="1:15" x14ac:dyDescent="0.25">
      <c r="A5304" s="22">
        <v>45835</v>
      </c>
      <c r="B5304" s="1">
        <v>814654395</v>
      </c>
      <c r="C5304" t="s">
        <v>4054</v>
      </c>
      <c r="D5304" s="23">
        <v>-10686</v>
      </c>
      <c r="E5304" s="76" t="s">
        <v>35</v>
      </c>
      <c r="F5304" s="2">
        <v>212901001</v>
      </c>
      <c r="G5304" s="2" t="s">
        <v>91</v>
      </c>
      <c r="I5304" s="95" t="s">
        <v>7231</v>
      </c>
      <c r="J5304" t="s">
        <v>61</v>
      </c>
      <c r="K5304" t="s">
        <v>62</v>
      </c>
      <c r="M5304">
        <v>106.86</v>
      </c>
      <c r="N5304" s="4">
        <f t="shared" si="82"/>
        <v>-100</v>
      </c>
      <c r="O5304" t="s">
        <v>83</v>
      </c>
    </row>
    <row r="5305" spans="1:15" x14ac:dyDescent="0.25">
      <c r="A5305" s="22">
        <v>45835</v>
      </c>
      <c r="B5305" s="1">
        <v>814654398</v>
      </c>
      <c r="C5305" t="s">
        <v>4055</v>
      </c>
      <c r="D5305" s="23">
        <v>-10686</v>
      </c>
      <c r="E5305" s="76" t="s">
        <v>35</v>
      </c>
      <c r="F5305" s="2">
        <v>212901001</v>
      </c>
      <c r="G5305" s="2" t="s">
        <v>91</v>
      </c>
      <c r="I5305" s="95" t="s">
        <v>7231</v>
      </c>
      <c r="J5305" t="s">
        <v>61</v>
      </c>
      <c r="K5305" t="s">
        <v>62</v>
      </c>
      <c r="M5305">
        <v>106.86</v>
      </c>
      <c r="N5305" s="4">
        <f t="shared" si="82"/>
        <v>-100</v>
      </c>
      <c r="O5305" t="s">
        <v>83</v>
      </c>
    </row>
    <row r="5306" spans="1:15" x14ac:dyDescent="0.25">
      <c r="A5306" s="22">
        <v>45835</v>
      </c>
      <c r="B5306" s="1">
        <v>814654396</v>
      </c>
      <c r="C5306" t="s">
        <v>4056</v>
      </c>
      <c r="D5306" s="23">
        <v>-10686</v>
      </c>
      <c r="E5306" s="76" t="s">
        <v>35</v>
      </c>
      <c r="F5306" s="2">
        <v>212901001</v>
      </c>
      <c r="G5306" s="2" t="s">
        <v>91</v>
      </c>
      <c r="I5306" s="95" t="s">
        <v>7231</v>
      </c>
      <c r="J5306" t="s">
        <v>61</v>
      </c>
      <c r="K5306" t="s">
        <v>62</v>
      </c>
      <c r="M5306">
        <v>106.86</v>
      </c>
      <c r="N5306" s="4">
        <f t="shared" si="82"/>
        <v>-100</v>
      </c>
      <c r="O5306" t="s">
        <v>83</v>
      </c>
    </row>
    <row r="5307" spans="1:15" x14ac:dyDescent="0.25">
      <c r="A5307" s="22">
        <v>45835</v>
      </c>
      <c r="B5307" s="1">
        <v>814654397</v>
      </c>
      <c r="C5307" t="s">
        <v>4057</v>
      </c>
      <c r="D5307" s="23">
        <v>-10686</v>
      </c>
      <c r="E5307" s="76" t="s">
        <v>35</v>
      </c>
      <c r="F5307" s="2">
        <v>212901001</v>
      </c>
      <c r="G5307" s="2" t="s">
        <v>91</v>
      </c>
      <c r="I5307" s="95" t="s">
        <v>7231</v>
      </c>
      <c r="J5307" t="s">
        <v>61</v>
      </c>
      <c r="K5307" t="s">
        <v>62</v>
      </c>
      <c r="M5307">
        <v>106.86</v>
      </c>
      <c r="N5307" s="4">
        <f t="shared" si="82"/>
        <v>-100</v>
      </c>
      <c r="O5307" t="s">
        <v>83</v>
      </c>
    </row>
    <row r="5308" spans="1:15" x14ac:dyDescent="0.25">
      <c r="A5308" s="22">
        <v>45835</v>
      </c>
      <c r="B5308" s="1">
        <v>914654400</v>
      </c>
      <c r="C5308" t="s">
        <v>4058</v>
      </c>
      <c r="D5308" s="23">
        <v>-10686</v>
      </c>
      <c r="E5308" s="76" t="s">
        <v>35</v>
      </c>
      <c r="F5308" s="2">
        <v>212901001</v>
      </c>
      <c r="G5308" s="2" t="s">
        <v>91</v>
      </c>
      <c r="I5308" s="95" t="s">
        <v>7231</v>
      </c>
      <c r="J5308" t="s">
        <v>61</v>
      </c>
      <c r="K5308" t="s">
        <v>62</v>
      </c>
      <c r="M5308">
        <v>106.86</v>
      </c>
      <c r="N5308" s="4">
        <f t="shared" si="82"/>
        <v>-100</v>
      </c>
      <c r="O5308" t="s">
        <v>83</v>
      </c>
    </row>
    <row r="5309" spans="1:15" x14ac:dyDescent="0.25">
      <c r="A5309" s="22">
        <v>45835</v>
      </c>
      <c r="B5309" s="1">
        <v>814654399</v>
      </c>
      <c r="C5309" t="s">
        <v>4059</v>
      </c>
      <c r="D5309" s="23">
        <v>-10686</v>
      </c>
      <c r="E5309" s="76" t="s">
        <v>35</v>
      </c>
      <c r="F5309" s="2">
        <v>212901001</v>
      </c>
      <c r="G5309" s="2" t="s">
        <v>91</v>
      </c>
      <c r="I5309" s="95" t="s">
        <v>7231</v>
      </c>
      <c r="J5309" t="s">
        <v>61</v>
      </c>
      <c r="K5309" t="s">
        <v>62</v>
      </c>
      <c r="M5309">
        <v>106.86</v>
      </c>
      <c r="N5309" s="4">
        <f t="shared" si="82"/>
        <v>-100</v>
      </c>
      <c r="O5309" t="s">
        <v>83</v>
      </c>
    </row>
    <row r="5310" spans="1:15" x14ac:dyDescent="0.25">
      <c r="A5310" s="22">
        <v>45835</v>
      </c>
      <c r="B5310" s="1">
        <v>914654404</v>
      </c>
      <c r="C5310" t="s">
        <v>4060</v>
      </c>
      <c r="D5310" s="23">
        <v>-12823.2</v>
      </c>
      <c r="E5310" s="76" t="s">
        <v>35</v>
      </c>
      <c r="F5310" s="2">
        <v>212901001</v>
      </c>
      <c r="G5310" s="2" t="s">
        <v>91</v>
      </c>
      <c r="I5310" s="95" t="s">
        <v>7231</v>
      </c>
      <c r="J5310" t="s">
        <v>61</v>
      </c>
      <c r="K5310" t="s">
        <v>62</v>
      </c>
      <c r="M5310">
        <v>106.86</v>
      </c>
      <c r="N5310" s="4">
        <f t="shared" si="82"/>
        <v>-120.00000000000001</v>
      </c>
      <c r="O5310" t="s">
        <v>83</v>
      </c>
    </row>
    <row r="5311" spans="1:15" x14ac:dyDescent="0.25">
      <c r="A5311" s="22">
        <v>45835</v>
      </c>
      <c r="B5311" s="1">
        <v>914654402</v>
      </c>
      <c r="C5311" t="s">
        <v>4061</v>
      </c>
      <c r="D5311" s="23">
        <v>-14960.4</v>
      </c>
      <c r="E5311" s="76" t="s">
        <v>35</v>
      </c>
      <c r="F5311" s="2">
        <v>212901001</v>
      </c>
      <c r="G5311" s="2" t="s">
        <v>91</v>
      </c>
      <c r="I5311" s="95" t="s">
        <v>7231</v>
      </c>
      <c r="J5311" t="s">
        <v>61</v>
      </c>
      <c r="K5311" t="s">
        <v>62</v>
      </c>
      <c r="M5311">
        <v>106.86</v>
      </c>
      <c r="N5311" s="4">
        <f t="shared" si="82"/>
        <v>-140</v>
      </c>
      <c r="O5311" t="s">
        <v>83</v>
      </c>
    </row>
    <row r="5312" spans="1:15" x14ac:dyDescent="0.25">
      <c r="A5312" s="22">
        <v>45835</v>
      </c>
      <c r="B5312" s="1">
        <v>914654401</v>
      </c>
      <c r="C5312" t="s">
        <v>4062</v>
      </c>
      <c r="D5312" s="23">
        <v>-20303.400000000001</v>
      </c>
      <c r="E5312" s="76" t="s">
        <v>35</v>
      </c>
      <c r="F5312" s="2">
        <v>212901001</v>
      </c>
      <c r="G5312" s="2" t="s">
        <v>91</v>
      </c>
      <c r="I5312" s="95" t="s">
        <v>7231</v>
      </c>
      <c r="J5312" t="s">
        <v>61</v>
      </c>
      <c r="K5312" t="s">
        <v>62</v>
      </c>
      <c r="M5312">
        <v>106.86</v>
      </c>
      <c r="N5312" s="4">
        <f t="shared" si="82"/>
        <v>-190.00000000000003</v>
      </c>
      <c r="O5312" t="s">
        <v>83</v>
      </c>
    </row>
    <row r="5313" spans="1:15" x14ac:dyDescent="0.25">
      <c r="A5313" s="22">
        <v>45835</v>
      </c>
      <c r="B5313" s="1">
        <v>914654405</v>
      </c>
      <c r="C5313" t="s">
        <v>4063</v>
      </c>
      <c r="D5313" s="23">
        <v>-12823.2</v>
      </c>
      <c r="E5313" s="76" t="s">
        <v>35</v>
      </c>
      <c r="F5313" s="2">
        <v>212901001</v>
      </c>
      <c r="G5313" s="2" t="s">
        <v>91</v>
      </c>
      <c r="I5313" s="95" t="s">
        <v>7231</v>
      </c>
      <c r="J5313" t="s">
        <v>61</v>
      </c>
      <c r="K5313" t="s">
        <v>62</v>
      </c>
      <c r="M5313">
        <v>106.86</v>
      </c>
      <c r="N5313" s="4">
        <f t="shared" si="82"/>
        <v>-120.00000000000001</v>
      </c>
      <c r="O5313" t="s">
        <v>83</v>
      </c>
    </row>
    <row r="5314" spans="1:15" x14ac:dyDescent="0.25">
      <c r="A5314" s="22">
        <v>45835</v>
      </c>
      <c r="B5314" s="1">
        <v>914654408</v>
      </c>
      <c r="C5314" t="s">
        <v>4064</v>
      </c>
      <c r="D5314" s="23">
        <v>-12823.2</v>
      </c>
      <c r="E5314" s="76" t="s">
        <v>35</v>
      </c>
      <c r="F5314" s="2">
        <v>212901001</v>
      </c>
      <c r="G5314" s="2" t="s">
        <v>91</v>
      </c>
      <c r="I5314" s="95" t="s">
        <v>7231</v>
      </c>
      <c r="J5314" t="s">
        <v>61</v>
      </c>
      <c r="K5314" t="s">
        <v>62</v>
      </c>
      <c r="M5314">
        <v>106.86</v>
      </c>
      <c r="N5314" s="4">
        <f t="shared" si="82"/>
        <v>-120.00000000000001</v>
      </c>
      <c r="O5314" t="s">
        <v>83</v>
      </c>
    </row>
    <row r="5315" spans="1:15" x14ac:dyDescent="0.25">
      <c r="A5315" s="22">
        <v>45835</v>
      </c>
      <c r="B5315" s="1">
        <v>914654407</v>
      </c>
      <c r="C5315" t="s">
        <v>4065</v>
      </c>
      <c r="D5315" s="23">
        <v>-12823.2</v>
      </c>
      <c r="E5315" s="76" t="s">
        <v>35</v>
      </c>
      <c r="F5315" s="2">
        <v>212901001</v>
      </c>
      <c r="G5315" s="2" t="s">
        <v>91</v>
      </c>
      <c r="I5315" s="95" t="s">
        <v>7231</v>
      </c>
      <c r="J5315" t="s">
        <v>61</v>
      </c>
      <c r="K5315" t="s">
        <v>62</v>
      </c>
      <c r="M5315">
        <v>106.86</v>
      </c>
      <c r="N5315" s="4">
        <f t="shared" si="82"/>
        <v>-120.00000000000001</v>
      </c>
      <c r="O5315" t="s">
        <v>83</v>
      </c>
    </row>
    <row r="5316" spans="1:15" x14ac:dyDescent="0.25">
      <c r="A5316" s="22">
        <v>45835</v>
      </c>
      <c r="B5316" s="1">
        <v>14654411</v>
      </c>
      <c r="C5316" t="s">
        <v>4066</v>
      </c>
      <c r="D5316" s="23">
        <v>-11754.6</v>
      </c>
      <c r="E5316" s="76" t="s">
        <v>35</v>
      </c>
      <c r="F5316" s="2">
        <v>212901001</v>
      </c>
      <c r="G5316" s="2" t="s">
        <v>91</v>
      </c>
      <c r="I5316" s="95" t="s">
        <v>7231</v>
      </c>
      <c r="J5316" t="s">
        <v>61</v>
      </c>
      <c r="K5316" t="s">
        <v>62</v>
      </c>
      <c r="M5316">
        <v>106.86</v>
      </c>
      <c r="N5316" s="4">
        <f t="shared" si="82"/>
        <v>-110</v>
      </c>
      <c r="O5316" t="s">
        <v>83</v>
      </c>
    </row>
    <row r="5317" spans="1:15" x14ac:dyDescent="0.25">
      <c r="A5317" s="22">
        <v>45835</v>
      </c>
      <c r="B5317" s="1">
        <v>914654409</v>
      </c>
      <c r="C5317" t="s">
        <v>4067</v>
      </c>
      <c r="D5317" s="23">
        <v>-12823.2</v>
      </c>
      <c r="E5317" s="76" t="s">
        <v>35</v>
      </c>
      <c r="F5317" s="2">
        <v>212901001</v>
      </c>
      <c r="G5317" s="2" t="s">
        <v>91</v>
      </c>
      <c r="I5317" s="95" t="s">
        <v>7231</v>
      </c>
      <c r="J5317" t="s">
        <v>61</v>
      </c>
      <c r="K5317" t="s">
        <v>62</v>
      </c>
      <c r="M5317">
        <v>106.86</v>
      </c>
      <c r="N5317" s="4">
        <f t="shared" si="82"/>
        <v>-120.00000000000001</v>
      </c>
      <c r="O5317" t="s">
        <v>83</v>
      </c>
    </row>
    <row r="5318" spans="1:15" x14ac:dyDescent="0.25">
      <c r="A5318" s="22">
        <v>45835</v>
      </c>
      <c r="B5318" s="1">
        <v>914654406</v>
      </c>
      <c r="C5318" t="s">
        <v>4068</v>
      </c>
      <c r="D5318" s="23">
        <v>-12823.2</v>
      </c>
      <c r="E5318" s="76" t="s">
        <v>35</v>
      </c>
      <c r="F5318" s="2">
        <v>212901001</v>
      </c>
      <c r="G5318" s="2" t="s">
        <v>91</v>
      </c>
      <c r="I5318" s="95" t="s">
        <v>7231</v>
      </c>
      <c r="J5318" t="s">
        <v>61</v>
      </c>
      <c r="K5318" t="s">
        <v>62</v>
      </c>
      <c r="M5318">
        <v>106.86</v>
      </c>
      <c r="N5318" s="4">
        <f t="shared" si="82"/>
        <v>-120.00000000000001</v>
      </c>
      <c r="O5318" t="s">
        <v>83</v>
      </c>
    </row>
    <row r="5319" spans="1:15" x14ac:dyDescent="0.25">
      <c r="A5319" s="22">
        <v>45835</v>
      </c>
      <c r="B5319" s="1">
        <v>14654410</v>
      </c>
      <c r="C5319" t="s">
        <v>4069</v>
      </c>
      <c r="D5319" s="23">
        <v>-11754.6</v>
      </c>
      <c r="E5319" s="76" t="s">
        <v>35</v>
      </c>
      <c r="F5319" s="2">
        <v>212901001</v>
      </c>
      <c r="G5319" s="2" t="s">
        <v>91</v>
      </c>
      <c r="I5319" s="95" t="s">
        <v>7231</v>
      </c>
      <c r="J5319" t="s">
        <v>61</v>
      </c>
      <c r="K5319" t="s">
        <v>62</v>
      </c>
      <c r="M5319">
        <v>106.86</v>
      </c>
      <c r="N5319" s="4">
        <f t="shared" si="82"/>
        <v>-110</v>
      </c>
      <c r="O5319" t="s">
        <v>83</v>
      </c>
    </row>
    <row r="5320" spans="1:15" x14ac:dyDescent="0.25">
      <c r="A5320" s="22">
        <v>45835</v>
      </c>
      <c r="B5320" s="1">
        <v>14654412</v>
      </c>
      <c r="C5320" t="s">
        <v>4070</v>
      </c>
      <c r="D5320" s="23">
        <v>-10686</v>
      </c>
      <c r="E5320" s="76" t="s">
        <v>35</v>
      </c>
      <c r="F5320" s="2">
        <v>212901001</v>
      </c>
      <c r="G5320" s="2" t="s">
        <v>91</v>
      </c>
      <c r="I5320" s="95" t="s">
        <v>7231</v>
      </c>
      <c r="J5320" t="s">
        <v>61</v>
      </c>
      <c r="K5320" t="s">
        <v>62</v>
      </c>
      <c r="M5320">
        <v>106.86</v>
      </c>
      <c r="N5320" s="4">
        <f t="shared" si="82"/>
        <v>-100</v>
      </c>
      <c r="O5320" t="s">
        <v>83</v>
      </c>
    </row>
    <row r="5321" spans="1:15" x14ac:dyDescent="0.25">
      <c r="A5321" s="22">
        <v>45835</v>
      </c>
      <c r="B5321" s="1">
        <v>14654413</v>
      </c>
      <c r="C5321" t="s">
        <v>4071</v>
      </c>
      <c r="D5321" s="23">
        <v>-9617.4</v>
      </c>
      <c r="E5321" s="76" t="s">
        <v>35</v>
      </c>
      <c r="F5321" s="2">
        <v>212901001</v>
      </c>
      <c r="G5321" s="2" t="s">
        <v>91</v>
      </c>
      <c r="I5321" s="95" t="s">
        <v>7231</v>
      </c>
      <c r="J5321" t="s">
        <v>61</v>
      </c>
      <c r="K5321" t="s">
        <v>62</v>
      </c>
      <c r="M5321">
        <v>106.86</v>
      </c>
      <c r="N5321" s="4">
        <f t="shared" si="82"/>
        <v>-90</v>
      </c>
      <c r="O5321" t="s">
        <v>83</v>
      </c>
    </row>
    <row r="5322" spans="1:15" x14ac:dyDescent="0.25">
      <c r="A5322" s="22">
        <v>45835</v>
      </c>
      <c r="B5322" s="1">
        <v>14654415</v>
      </c>
      <c r="C5322" t="s">
        <v>4072</v>
      </c>
      <c r="D5322" s="23">
        <v>-9617.4</v>
      </c>
      <c r="E5322" s="76" t="s">
        <v>35</v>
      </c>
      <c r="F5322" s="2">
        <v>212901001</v>
      </c>
      <c r="G5322" s="2" t="s">
        <v>91</v>
      </c>
      <c r="I5322" s="95" t="s">
        <v>7231</v>
      </c>
      <c r="J5322" t="s">
        <v>61</v>
      </c>
      <c r="K5322" t="s">
        <v>62</v>
      </c>
      <c r="M5322">
        <v>106.86</v>
      </c>
      <c r="N5322" s="4">
        <f t="shared" si="82"/>
        <v>-90</v>
      </c>
      <c r="O5322" t="s">
        <v>83</v>
      </c>
    </row>
    <row r="5323" spans="1:15" x14ac:dyDescent="0.25">
      <c r="A5323" s="22">
        <v>45835</v>
      </c>
      <c r="B5323" s="1">
        <v>14654416</v>
      </c>
      <c r="C5323" t="s">
        <v>4073</v>
      </c>
      <c r="D5323" s="23">
        <v>-9617.4</v>
      </c>
      <c r="E5323" s="76" t="s">
        <v>35</v>
      </c>
      <c r="F5323" s="2">
        <v>212901001</v>
      </c>
      <c r="G5323" s="2" t="s">
        <v>91</v>
      </c>
      <c r="I5323" s="95" t="s">
        <v>7231</v>
      </c>
      <c r="J5323" t="s">
        <v>61</v>
      </c>
      <c r="K5323" t="s">
        <v>62</v>
      </c>
      <c r="M5323">
        <v>106.86</v>
      </c>
      <c r="N5323" s="4">
        <f t="shared" si="82"/>
        <v>-90</v>
      </c>
      <c r="O5323" t="s">
        <v>83</v>
      </c>
    </row>
    <row r="5324" spans="1:15" x14ac:dyDescent="0.25">
      <c r="A5324" s="22">
        <v>45835</v>
      </c>
      <c r="B5324" s="1">
        <v>14654414</v>
      </c>
      <c r="C5324" t="s">
        <v>4074</v>
      </c>
      <c r="D5324" s="23">
        <v>-11754.6</v>
      </c>
      <c r="E5324" s="76" t="s">
        <v>35</v>
      </c>
      <c r="F5324" s="2">
        <v>212901001</v>
      </c>
      <c r="G5324" s="2" t="s">
        <v>91</v>
      </c>
      <c r="I5324" s="95" t="s">
        <v>7231</v>
      </c>
      <c r="J5324" t="s">
        <v>61</v>
      </c>
      <c r="K5324" t="s">
        <v>62</v>
      </c>
      <c r="M5324">
        <v>106.86</v>
      </c>
      <c r="N5324" s="4">
        <f t="shared" ref="N5324:N5387" si="83">D5324/M5324</f>
        <v>-110</v>
      </c>
      <c r="O5324" t="s">
        <v>83</v>
      </c>
    </row>
    <row r="5325" spans="1:15" x14ac:dyDescent="0.25">
      <c r="A5325" s="22">
        <v>45835</v>
      </c>
      <c r="B5325" s="1">
        <v>114654418</v>
      </c>
      <c r="C5325" t="s">
        <v>4075</v>
      </c>
      <c r="D5325" s="23">
        <v>-9617.4</v>
      </c>
      <c r="E5325" s="76" t="s">
        <v>35</v>
      </c>
      <c r="F5325" s="2">
        <v>212901001</v>
      </c>
      <c r="G5325" s="2" t="s">
        <v>91</v>
      </c>
      <c r="I5325" s="95" t="s">
        <v>7231</v>
      </c>
      <c r="J5325" t="s">
        <v>61</v>
      </c>
      <c r="K5325" t="s">
        <v>62</v>
      </c>
      <c r="M5325">
        <v>106.86</v>
      </c>
      <c r="N5325" s="4">
        <f t="shared" si="83"/>
        <v>-90</v>
      </c>
      <c r="O5325" t="s">
        <v>83</v>
      </c>
    </row>
    <row r="5326" spans="1:15" x14ac:dyDescent="0.25">
      <c r="A5326" s="22">
        <v>45835</v>
      </c>
      <c r="B5326" s="1">
        <v>114654419</v>
      </c>
      <c r="C5326" t="s">
        <v>4076</v>
      </c>
      <c r="D5326" s="23">
        <v>-9617.4</v>
      </c>
      <c r="E5326" s="76" t="s">
        <v>35</v>
      </c>
      <c r="F5326" s="2">
        <v>212901001</v>
      </c>
      <c r="G5326" s="2" t="s">
        <v>91</v>
      </c>
      <c r="I5326" s="95" t="s">
        <v>7231</v>
      </c>
      <c r="J5326" t="s">
        <v>61</v>
      </c>
      <c r="K5326" t="s">
        <v>62</v>
      </c>
      <c r="M5326">
        <v>106.86</v>
      </c>
      <c r="N5326" s="4">
        <f t="shared" si="83"/>
        <v>-90</v>
      </c>
      <c r="O5326" t="s">
        <v>83</v>
      </c>
    </row>
    <row r="5327" spans="1:15" x14ac:dyDescent="0.25">
      <c r="A5327" s="22">
        <v>45835</v>
      </c>
      <c r="B5327" s="1">
        <v>14654417</v>
      </c>
      <c r="C5327" t="s">
        <v>4074</v>
      </c>
      <c r="D5327" s="23">
        <v>-9617.4</v>
      </c>
      <c r="E5327" s="76" t="s">
        <v>35</v>
      </c>
      <c r="F5327" s="2">
        <v>212901001</v>
      </c>
      <c r="G5327" s="2" t="s">
        <v>91</v>
      </c>
      <c r="I5327" s="95" t="s">
        <v>7231</v>
      </c>
      <c r="J5327" t="s">
        <v>61</v>
      </c>
      <c r="K5327" t="s">
        <v>62</v>
      </c>
      <c r="M5327">
        <v>106.86</v>
      </c>
      <c r="N5327" s="4">
        <f t="shared" si="83"/>
        <v>-90</v>
      </c>
      <c r="O5327" t="s">
        <v>83</v>
      </c>
    </row>
    <row r="5328" spans="1:15" x14ac:dyDescent="0.25">
      <c r="A5328" s="22">
        <v>45835</v>
      </c>
      <c r="B5328" s="1">
        <v>114654421</v>
      </c>
      <c r="C5328" t="s">
        <v>4077</v>
      </c>
      <c r="D5328" s="23">
        <v>-9617.4</v>
      </c>
      <c r="E5328" s="76" t="s">
        <v>35</v>
      </c>
      <c r="F5328" s="2">
        <v>212901001</v>
      </c>
      <c r="G5328" s="2" t="s">
        <v>91</v>
      </c>
      <c r="I5328" s="95" t="s">
        <v>7231</v>
      </c>
      <c r="J5328" t="s">
        <v>61</v>
      </c>
      <c r="K5328" t="s">
        <v>62</v>
      </c>
      <c r="M5328">
        <v>106.86</v>
      </c>
      <c r="N5328" s="4">
        <f t="shared" si="83"/>
        <v>-90</v>
      </c>
      <c r="O5328" t="s">
        <v>83</v>
      </c>
    </row>
    <row r="5329" spans="1:15" x14ac:dyDescent="0.25">
      <c r="A5329" s="22">
        <v>45835</v>
      </c>
      <c r="B5329" s="1">
        <v>114654420</v>
      </c>
      <c r="C5329" t="s">
        <v>4078</v>
      </c>
      <c r="D5329" s="23">
        <v>-9617.4</v>
      </c>
      <c r="E5329" s="76" t="s">
        <v>35</v>
      </c>
      <c r="F5329" s="2">
        <v>212901001</v>
      </c>
      <c r="G5329" s="2" t="s">
        <v>91</v>
      </c>
      <c r="I5329" s="95" t="s">
        <v>7231</v>
      </c>
      <c r="J5329" t="s">
        <v>61</v>
      </c>
      <c r="K5329" t="s">
        <v>62</v>
      </c>
      <c r="M5329">
        <v>106.86</v>
      </c>
      <c r="N5329" s="4">
        <f t="shared" si="83"/>
        <v>-90</v>
      </c>
      <c r="O5329" t="s">
        <v>83</v>
      </c>
    </row>
    <row r="5330" spans="1:15" x14ac:dyDescent="0.25">
      <c r="A5330" s="22">
        <v>45835</v>
      </c>
      <c r="B5330" s="1">
        <v>114654422</v>
      </c>
      <c r="C5330" t="s">
        <v>4079</v>
      </c>
      <c r="D5330" s="23">
        <v>-9617.4</v>
      </c>
      <c r="E5330" s="76" t="s">
        <v>35</v>
      </c>
      <c r="F5330" s="2">
        <v>212901001</v>
      </c>
      <c r="G5330" s="2" t="s">
        <v>91</v>
      </c>
      <c r="I5330" s="95" t="s">
        <v>7231</v>
      </c>
      <c r="J5330" t="s">
        <v>61</v>
      </c>
      <c r="K5330" t="s">
        <v>62</v>
      </c>
      <c r="M5330">
        <v>106.86</v>
      </c>
      <c r="N5330" s="4">
        <f t="shared" si="83"/>
        <v>-90</v>
      </c>
      <c r="O5330" t="s">
        <v>83</v>
      </c>
    </row>
    <row r="5331" spans="1:15" x14ac:dyDescent="0.25">
      <c r="A5331" s="22">
        <v>45835</v>
      </c>
      <c r="B5331" s="1">
        <v>114654423</v>
      </c>
      <c r="C5331" t="s">
        <v>4080</v>
      </c>
      <c r="D5331" s="23">
        <v>-9617.4</v>
      </c>
      <c r="E5331" s="76" t="s">
        <v>35</v>
      </c>
      <c r="F5331" s="2">
        <v>212901001</v>
      </c>
      <c r="G5331" s="2" t="s">
        <v>91</v>
      </c>
      <c r="I5331" s="95" t="s">
        <v>7231</v>
      </c>
      <c r="J5331" t="s">
        <v>61</v>
      </c>
      <c r="K5331" t="s">
        <v>62</v>
      </c>
      <c r="M5331">
        <v>106.86</v>
      </c>
      <c r="N5331" s="4">
        <f t="shared" si="83"/>
        <v>-90</v>
      </c>
      <c r="O5331" t="s">
        <v>83</v>
      </c>
    </row>
    <row r="5332" spans="1:15" x14ac:dyDescent="0.25">
      <c r="A5332" s="22">
        <v>45835</v>
      </c>
      <c r="B5332" s="1">
        <v>114654425</v>
      </c>
      <c r="C5332" t="s">
        <v>4081</v>
      </c>
      <c r="D5332" s="23">
        <v>-9617.4</v>
      </c>
      <c r="E5332" s="76" t="s">
        <v>35</v>
      </c>
      <c r="F5332" s="2">
        <v>212901001</v>
      </c>
      <c r="G5332" s="2" t="s">
        <v>91</v>
      </c>
      <c r="I5332" s="95" t="s">
        <v>7231</v>
      </c>
      <c r="J5332" t="s">
        <v>61</v>
      </c>
      <c r="K5332" t="s">
        <v>62</v>
      </c>
      <c r="M5332">
        <v>106.86</v>
      </c>
      <c r="N5332" s="4">
        <f t="shared" si="83"/>
        <v>-90</v>
      </c>
      <c r="O5332" t="s">
        <v>83</v>
      </c>
    </row>
    <row r="5333" spans="1:15" x14ac:dyDescent="0.25">
      <c r="A5333" s="22">
        <v>45835</v>
      </c>
      <c r="B5333" s="1">
        <v>114654424</v>
      </c>
      <c r="C5333" t="s">
        <v>4082</v>
      </c>
      <c r="D5333" s="23">
        <v>-9617.4</v>
      </c>
      <c r="E5333" s="76" t="s">
        <v>35</v>
      </c>
      <c r="F5333" s="2">
        <v>212901001</v>
      </c>
      <c r="G5333" s="2" t="s">
        <v>91</v>
      </c>
      <c r="I5333" s="95" t="s">
        <v>7231</v>
      </c>
      <c r="J5333" t="s">
        <v>61</v>
      </c>
      <c r="K5333" t="s">
        <v>62</v>
      </c>
      <c r="M5333">
        <v>106.86</v>
      </c>
      <c r="N5333" s="4">
        <f t="shared" si="83"/>
        <v>-90</v>
      </c>
      <c r="O5333" t="s">
        <v>83</v>
      </c>
    </row>
    <row r="5334" spans="1:15" x14ac:dyDescent="0.25">
      <c r="A5334" s="22">
        <v>45835</v>
      </c>
      <c r="B5334" s="1">
        <v>114654426</v>
      </c>
      <c r="C5334" t="s">
        <v>4083</v>
      </c>
      <c r="D5334" s="23">
        <v>-9617.4</v>
      </c>
      <c r="E5334" s="76" t="s">
        <v>35</v>
      </c>
      <c r="F5334" s="2">
        <v>212901001</v>
      </c>
      <c r="G5334" s="2" t="s">
        <v>91</v>
      </c>
      <c r="I5334" s="95" t="s">
        <v>7231</v>
      </c>
      <c r="J5334" t="s">
        <v>61</v>
      </c>
      <c r="K5334" t="s">
        <v>62</v>
      </c>
      <c r="M5334">
        <v>106.86</v>
      </c>
      <c r="N5334" s="4">
        <f t="shared" si="83"/>
        <v>-90</v>
      </c>
      <c r="O5334" t="s">
        <v>83</v>
      </c>
    </row>
    <row r="5335" spans="1:15" x14ac:dyDescent="0.25">
      <c r="A5335" s="22">
        <v>45835</v>
      </c>
      <c r="B5335" s="1">
        <v>214654428</v>
      </c>
      <c r="C5335" t="s">
        <v>4084</v>
      </c>
      <c r="D5335" s="23">
        <v>-6411.6</v>
      </c>
      <c r="E5335" s="76" t="s">
        <v>35</v>
      </c>
      <c r="F5335" s="2">
        <v>212901001</v>
      </c>
      <c r="G5335" s="2" t="s">
        <v>91</v>
      </c>
      <c r="I5335" s="95" t="s">
        <v>7231</v>
      </c>
      <c r="J5335" t="s">
        <v>61</v>
      </c>
      <c r="K5335" t="s">
        <v>62</v>
      </c>
      <c r="M5335">
        <v>106.86</v>
      </c>
      <c r="N5335" s="4">
        <f t="shared" si="83"/>
        <v>-60.000000000000007</v>
      </c>
      <c r="O5335" t="s">
        <v>83</v>
      </c>
    </row>
    <row r="5336" spans="1:15" x14ac:dyDescent="0.25">
      <c r="A5336" s="22">
        <v>45835</v>
      </c>
      <c r="B5336" s="1">
        <v>214654429</v>
      </c>
      <c r="C5336" t="s">
        <v>4085</v>
      </c>
      <c r="D5336" s="23">
        <v>-6411.6</v>
      </c>
      <c r="E5336" s="76" t="s">
        <v>35</v>
      </c>
      <c r="F5336" s="2">
        <v>212901001</v>
      </c>
      <c r="G5336" s="2" t="s">
        <v>91</v>
      </c>
      <c r="I5336" s="95" t="s">
        <v>7231</v>
      </c>
      <c r="J5336" t="s">
        <v>61</v>
      </c>
      <c r="K5336" t="s">
        <v>62</v>
      </c>
      <c r="M5336">
        <v>106.86</v>
      </c>
      <c r="N5336" s="4">
        <f t="shared" si="83"/>
        <v>-60.000000000000007</v>
      </c>
      <c r="O5336" t="s">
        <v>83</v>
      </c>
    </row>
    <row r="5337" spans="1:15" x14ac:dyDescent="0.25">
      <c r="A5337" s="22">
        <v>45835</v>
      </c>
      <c r="B5337" s="1">
        <v>214654430</v>
      </c>
      <c r="C5337" t="s">
        <v>4086</v>
      </c>
      <c r="D5337" s="23">
        <v>-6411.6</v>
      </c>
      <c r="E5337" s="76" t="s">
        <v>35</v>
      </c>
      <c r="F5337" s="2">
        <v>212901001</v>
      </c>
      <c r="G5337" s="2" t="s">
        <v>91</v>
      </c>
      <c r="I5337" s="95" t="s">
        <v>7231</v>
      </c>
      <c r="J5337" t="s">
        <v>61</v>
      </c>
      <c r="K5337" t="s">
        <v>62</v>
      </c>
      <c r="M5337">
        <v>106.86</v>
      </c>
      <c r="N5337" s="4">
        <f t="shared" si="83"/>
        <v>-60.000000000000007</v>
      </c>
      <c r="O5337" t="s">
        <v>83</v>
      </c>
    </row>
    <row r="5338" spans="1:15" x14ac:dyDescent="0.25">
      <c r="A5338" s="22">
        <v>45835</v>
      </c>
      <c r="B5338" s="1">
        <v>214654427</v>
      </c>
      <c r="C5338" t="s">
        <v>4087</v>
      </c>
      <c r="D5338" s="23">
        <v>-9617.4</v>
      </c>
      <c r="E5338" s="76" t="s">
        <v>35</v>
      </c>
      <c r="F5338" s="2">
        <v>212901001</v>
      </c>
      <c r="G5338" s="2" t="s">
        <v>91</v>
      </c>
      <c r="I5338" s="95" t="s">
        <v>7231</v>
      </c>
      <c r="J5338" t="s">
        <v>61</v>
      </c>
      <c r="K5338" t="s">
        <v>62</v>
      </c>
      <c r="M5338">
        <v>106.86</v>
      </c>
      <c r="N5338" s="4">
        <f t="shared" si="83"/>
        <v>-90</v>
      </c>
      <c r="O5338" t="s">
        <v>83</v>
      </c>
    </row>
    <row r="5339" spans="1:15" x14ac:dyDescent="0.25">
      <c r="A5339" s="22">
        <v>45835</v>
      </c>
      <c r="B5339" s="1">
        <v>214654431</v>
      </c>
      <c r="C5339" t="s">
        <v>4088</v>
      </c>
      <c r="D5339" s="23">
        <v>-6411.6</v>
      </c>
      <c r="E5339" s="76" t="s">
        <v>35</v>
      </c>
      <c r="F5339" s="2">
        <v>212901001</v>
      </c>
      <c r="G5339" s="2" t="s">
        <v>91</v>
      </c>
      <c r="I5339" s="95" t="s">
        <v>7231</v>
      </c>
      <c r="J5339" t="s">
        <v>61</v>
      </c>
      <c r="K5339" t="s">
        <v>62</v>
      </c>
      <c r="M5339">
        <v>106.86</v>
      </c>
      <c r="N5339" s="4">
        <f t="shared" si="83"/>
        <v>-60.000000000000007</v>
      </c>
      <c r="O5339" t="s">
        <v>83</v>
      </c>
    </row>
    <row r="5340" spans="1:15" x14ac:dyDescent="0.25">
      <c r="A5340" s="22">
        <v>45835</v>
      </c>
      <c r="B5340" s="1">
        <v>214654433</v>
      </c>
      <c r="C5340" t="s">
        <v>4089</v>
      </c>
      <c r="D5340" s="23">
        <v>-13250.64</v>
      </c>
      <c r="E5340" s="76" t="s">
        <v>35</v>
      </c>
      <c r="F5340" s="2">
        <v>212901001</v>
      </c>
      <c r="G5340" s="2" t="s">
        <v>91</v>
      </c>
      <c r="I5340" s="95" t="s">
        <v>7231</v>
      </c>
      <c r="J5340" t="s">
        <v>61</v>
      </c>
      <c r="K5340" t="s">
        <v>62</v>
      </c>
      <c r="M5340">
        <v>106.86</v>
      </c>
      <c r="N5340" s="4">
        <f t="shared" si="83"/>
        <v>-124</v>
      </c>
      <c r="O5340" t="s">
        <v>83</v>
      </c>
    </row>
    <row r="5341" spans="1:15" x14ac:dyDescent="0.25">
      <c r="A5341" s="22">
        <v>45835</v>
      </c>
      <c r="B5341" s="1">
        <v>214654434</v>
      </c>
      <c r="C5341" t="s">
        <v>4090</v>
      </c>
      <c r="D5341" s="23">
        <v>-21372</v>
      </c>
      <c r="E5341" s="76" t="s">
        <v>35</v>
      </c>
      <c r="F5341" s="2">
        <v>212901001</v>
      </c>
      <c r="G5341" s="2" t="s">
        <v>91</v>
      </c>
      <c r="I5341" s="95" t="s">
        <v>7231</v>
      </c>
      <c r="J5341" t="s">
        <v>61</v>
      </c>
      <c r="K5341" t="s">
        <v>62</v>
      </c>
      <c r="M5341">
        <v>106.86</v>
      </c>
      <c r="N5341" s="4">
        <f t="shared" si="83"/>
        <v>-200</v>
      </c>
      <c r="O5341" t="s">
        <v>83</v>
      </c>
    </row>
    <row r="5342" spans="1:15" x14ac:dyDescent="0.25">
      <c r="A5342" s="22">
        <v>45835</v>
      </c>
      <c r="B5342" s="1">
        <v>214654432</v>
      </c>
      <c r="C5342" t="s">
        <v>4091</v>
      </c>
      <c r="D5342" s="23">
        <v>-10686</v>
      </c>
      <c r="E5342" s="76" t="s">
        <v>35</v>
      </c>
      <c r="F5342" s="2">
        <v>212901001</v>
      </c>
      <c r="G5342" s="2" t="s">
        <v>91</v>
      </c>
      <c r="I5342" s="95" t="s">
        <v>7231</v>
      </c>
      <c r="J5342" t="s">
        <v>61</v>
      </c>
      <c r="K5342" t="s">
        <v>62</v>
      </c>
      <c r="M5342">
        <v>106.86</v>
      </c>
      <c r="N5342" s="4">
        <f t="shared" si="83"/>
        <v>-100</v>
      </c>
      <c r="O5342" t="s">
        <v>83</v>
      </c>
    </row>
    <row r="5343" spans="1:15" x14ac:dyDescent="0.25">
      <c r="A5343" s="22">
        <v>45835</v>
      </c>
      <c r="B5343" s="1">
        <v>314654436</v>
      </c>
      <c r="C5343" t="s">
        <v>4092</v>
      </c>
      <c r="D5343" s="23">
        <v>-8548.7999999999993</v>
      </c>
      <c r="E5343" s="76" t="s">
        <v>35</v>
      </c>
      <c r="F5343" s="2">
        <v>212901001</v>
      </c>
      <c r="G5343" s="2" t="s">
        <v>91</v>
      </c>
      <c r="I5343" s="95" t="s">
        <v>7231</v>
      </c>
      <c r="J5343" t="s">
        <v>61</v>
      </c>
      <c r="K5343" t="s">
        <v>62</v>
      </c>
      <c r="M5343">
        <v>106.86</v>
      </c>
      <c r="N5343" s="4">
        <f t="shared" si="83"/>
        <v>-80</v>
      </c>
      <c r="O5343" t="s">
        <v>83</v>
      </c>
    </row>
    <row r="5344" spans="1:15" x14ac:dyDescent="0.25">
      <c r="A5344" s="22">
        <v>45835</v>
      </c>
      <c r="B5344" s="1">
        <v>314654435</v>
      </c>
      <c r="C5344" t="s">
        <v>4093</v>
      </c>
      <c r="D5344" s="23">
        <v>-7480.2</v>
      </c>
      <c r="E5344" s="76" t="s">
        <v>35</v>
      </c>
      <c r="F5344" s="2">
        <v>212901001</v>
      </c>
      <c r="G5344" s="2" t="s">
        <v>91</v>
      </c>
      <c r="I5344" s="95" t="s">
        <v>7231</v>
      </c>
      <c r="J5344" t="s">
        <v>61</v>
      </c>
      <c r="K5344" t="s">
        <v>62</v>
      </c>
      <c r="M5344">
        <v>106.86</v>
      </c>
      <c r="N5344" s="4">
        <f t="shared" si="83"/>
        <v>-70</v>
      </c>
      <c r="O5344" t="s">
        <v>83</v>
      </c>
    </row>
    <row r="5345" spans="1:17" x14ac:dyDescent="0.25">
      <c r="A5345" s="22">
        <v>45835</v>
      </c>
      <c r="B5345" s="1">
        <v>50633368</v>
      </c>
      <c r="C5345" t="s">
        <v>4094</v>
      </c>
      <c r="D5345" s="23">
        <v>-19234.8</v>
      </c>
      <c r="E5345" s="76" t="s">
        <v>35</v>
      </c>
      <c r="F5345" s="2">
        <v>212901001</v>
      </c>
      <c r="G5345" s="2" t="s">
        <v>91</v>
      </c>
      <c r="I5345" s="95" t="s">
        <v>7231</v>
      </c>
      <c r="J5345" t="s">
        <v>61</v>
      </c>
      <c r="K5345" t="s">
        <v>62</v>
      </c>
      <c r="M5345">
        <v>106.86</v>
      </c>
      <c r="N5345" s="4">
        <f t="shared" si="83"/>
        <v>-180</v>
      </c>
      <c r="O5345" t="s">
        <v>83</v>
      </c>
    </row>
    <row r="5346" spans="1:17" x14ac:dyDescent="0.25">
      <c r="A5346" s="22">
        <v>45835</v>
      </c>
      <c r="B5346" s="1">
        <v>50633368</v>
      </c>
      <c r="C5346" t="s">
        <v>179</v>
      </c>
      <c r="D5346" s="23">
        <v>-28.85</v>
      </c>
      <c r="E5346" s="76" t="s">
        <v>35</v>
      </c>
      <c r="F5346" s="2">
        <v>610148001</v>
      </c>
      <c r="G5346" s="2" t="s">
        <v>41</v>
      </c>
      <c r="I5346" s="95" t="s">
        <v>7231</v>
      </c>
      <c r="J5346" t="s">
        <v>42</v>
      </c>
      <c r="K5346" t="s">
        <v>41</v>
      </c>
      <c r="M5346">
        <v>106.86</v>
      </c>
      <c r="N5346" s="4">
        <f t="shared" si="83"/>
        <v>-0.26997941231517875</v>
      </c>
      <c r="O5346" t="s">
        <v>83</v>
      </c>
      <c r="Q5346" s="24" t="s">
        <v>3649</v>
      </c>
    </row>
    <row r="5347" spans="1:17" x14ac:dyDescent="0.25">
      <c r="A5347" s="22">
        <v>45835</v>
      </c>
      <c r="B5347" s="1">
        <v>50633368</v>
      </c>
      <c r="C5347" t="s">
        <v>89</v>
      </c>
      <c r="D5347" s="23">
        <v>-1898.36</v>
      </c>
      <c r="E5347" s="76" t="s">
        <v>35</v>
      </c>
      <c r="F5347" s="2">
        <v>610148001</v>
      </c>
      <c r="G5347" s="2" t="s">
        <v>41</v>
      </c>
      <c r="I5347" s="95" t="s">
        <v>7231</v>
      </c>
      <c r="J5347" t="s">
        <v>42</v>
      </c>
      <c r="K5347" t="s">
        <v>41</v>
      </c>
      <c r="M5347">
        <v>106.86</v>
      </c>
      <c r="N5347" s="4">
        <f t="shared" si="83"/>
        <v>-17.764926071495413</v>
      </c>
      <c r="O5347" t="s">
        <v>83</v>
      </c>
      <c r="Q5347" s="24" t="s">
        <v>3649</v>
      </c>
    </row>
    <row r="5348" spans="1:17" x14ac:dyDescent="0.25">
      <c r="A5348" s="22">
        <v>45835</v>
      </c>
      <c r="B5348" s="1">
        <v>143107190</v>
      </c>
      <c r="C5348" t="s">
        <v>82</v>
      </c>
      <c r="D5348" s="23">
        <v>580000</v>
      </c>
      <c r="E5348" s="76" t="s">
        <v>45</v>
      </c>
      <c r="F5348" s="2">
        <v>210115002</v>
      </c>
      <c r="G5348" s="2" t="s">
        <v>46</v>
      </c>
      <c r="I5348" s="95" t="s">
        <v>7231</v>
      </c>
      <c r="K5348" t="s">
        <v>82</v>
      </c>
      <c r="M5348">
        <v>106.86</v>
      </c>
      <c r="N5348" s="4">
        <f t="shared" si="83"/>
        <v>5427.6623619689317</v>
      </c>
      <c r="O5348" t="s">
        <v>83</v>
      </c>
    </row>
    <row r="5349" spans="1:17" x14ac:dyDescent="0.25">
      <c r="A5349" s="22">
        <v>45835</v>
      </c>
      <c r="B5349" s="1">
        <v>714654863</v>
      </c>
      <c r="C5349" t="s">
        <v>4095</v>
      </c>
      <c r="D5349" s="23">
        <v>-76746.850000000006</v>
      </c>
      <c r="E5349" s="76" t="s">
        <v>35</v>
      </c>
      <c r="F5349" s="2">
        <v>210101001</v>
      </c>
      <c r="G5349" s="2" t="s">
        <v>36</v>
      </c>
      <c r="I5349" s="95" t="s">
        <v>7231</v>
      </c>
      <c r="J5349" t="s">
        <v>376</v>
      </c>
      <c r="K5349" t="s">
        <v>377</v>
      </c>
      <c r="M5349">
        <v>106.86</v>
      </c>
      <c r="N5349" s="4">
        <f t="shared" si="83"/>
        <v>-718.19998128392297</v>
      </c>
      <c r="O5349" t="s">
        <v>83</v>
      </c>
    </row>
    <row r="5350" spans="1:17" x14ac:dyDescent="0.25">
      <c r="A5350" s="22">
        <v>45835</v>
      </c>
      <c r="B5350" s="1">
        <v>714654864</v>
      </c>
      <c r="C5350" t="s">
        <v>4096</v>
      </c>
      <c r="D5350" s="23">
        <v>-200000</v>
      </c>
      <c r="E5350" s="76" t="s">
        <v>35</v>
      </c>
      <c r="F5350" s="2">
        <v>110114001</v>
      </c>
      <c r="G5350" s="2" t="s">
        <v>181</v>
      </c>
      <c r="I5350" s="95" t="s">
        <v>7231</v>
      </c>
      <c r="J5350" t="s">
        <v>182</v>
      </c>
      <c r="K5350" t="s">
        <v>183</v>
      </c>
      <c r="M5350">
        <v>106.86</v>
      </c>
      <c r="N5350" s="4">
        <f t="shared" si="83"/>
        <v>-1871.6077110237695</v>
      </c>
      <c r="O5350" t="s">
        <v>83</v>
      </c>
      <c r="P5350" s="34" t="s">
        <v>1279</v>
      </c>
    </row>
    <row r="5351" spans="1:17" x14ac:dyDescent="0.25">
      <c r="A5351" s="22">
        <v>45835</v>
      </c>
      <c r="B5351" s="1">
        <v>714654866</v>
      </c>
      <c r="C5351" t="s">
        <v>4097</v>
      </c>
      <c r="D5351" s="23">
        <v>-32060.89</v>
      </c>
      <c r="E5351" s="76" t="s">
        <v>35</v>
      </c>
      <c r="F5351" s="2">
        <v>110114001</v>
      </c>
      <c r="G5351" s="2" t="s">
        <v>181</v>
      </c>
      <c r="I5351" s="95" t="s">
        <v>7231</v>
      </c>
      <c r="J5351" t="s">
        <v>1007</v>
      </c>
      <c r="K5351" t="s">
        <v>1008</v>
      </c>
      <c r="M5351">
        <v>106.86</v>
      </c>
      <c r="N5351" s="4">
        <f t="shared" si="83"/>
        <v>-300.02704473142427</v>
      </c>
      <c r="O5351" t="s">
        <v>83</v>
      </c>
      <c r="P5351" s="34" t="s">
        <v>1279</v>
      </c>
    </row>
    <row r="5352" spans="1:17" x14ac:dyDescent="0.25">
      <c r="A5352" s="22">
        <v>45835</v>
      </c>
      <c r="B5352" s="1">
        <v>714654865</v>
      </c>
      <c r="C5352" t="s">
        <v>4096</v>
      </c>
      <c r="D5352" s="23">
        <v>-24846.66</v>
      </c>
      <c r="E5352" s="76" t="s">
        <v>35</v>
      </c>
      <c r="F5352" s="2">
        <v>110114001</v>
      </c>
      <c r="G5352" s="2" t="s">
        <v>181</v>
      </c>
      <c r="I5352" s="95" t="s">
        <v>7231</v>
      </c>
      <c r="J5352" t="s">
        <v>182</v>
      </c>
      <c r="K5352" t="s">
        <v>183</v>
      </c>
      <c r="M5352">
        <v>106.86</v>
      </c>
      <c r="N5352" s="4">
        <f t="shared" si="83"/>
        <v>-232.51600224592926</v>
      </c>
      <c r="O5352" t="s">
        <v>83</v>
      </c>
      <c r="P5352" s="34" t="s">
        <v>1279</v>
      </c>
    </row>
    <row r="5353" spans="1:17" x14ac:dyDescent="0.25">
      <c r="A5353" s="22">
        <v>45835</v>
      </c>
      <c r="B5353" s="1">
        <v>714654867</v>
      </c>
      <c r="C5353" t="s">
        <v>4098</v>
      </c>
      <c r="D5353" s="23">
        <v>-8548.81</v>
      </c>
      <c r="E5353" s="76" t="s">
        <v>35</v>
      </c>
      <c r="F5353" s="2">
        <v>110114001</v>
      </c>
      <c r="G5353" s="2" t="s">
        <v>181</v>
      </c>
      <c r="I5353" s="95" t="s">
        <v>7231</v>
      </c>
      <c r="J5353" t="s">
        <v>928</v>
      </c>
      <c r="K5353" t="s">
        <v>929</v>
      </c>
      <c r="M5353">
        <v>106.86</v>
      </c>
      <c r="N5353" s="4">
        <f t="shared" si="83"/>
        <v>-80.000093580385553</v>
      </c>
      <c r="O5353" t="s">
        <v>83</v>
      </c>
      <c r="P5353" s="34" t="s">
        <v>1279</v>
      </c>
    </row>
    <row r="5354" spans="1:17" x14ac:dyDescent="0.25">
      <c r="A5354" s="22">
        <v>45835</v>
      </c>
      <c r="B5354" s="1">
        <v>714654868</v>
      </c>
      <c r="C5354" t="s">
        <v>4099</v>
      </c>
      <c r="D5354" s="23">
        <v>-141311.66</v>
      </c>
      <c r="E5354" s="76" t="s">
        <v>35</v>
      </c>
      <c r="F5354" s="2">
        <v>110114001</v>
      </c>
      <c r="G5354" s="2" t="s">
        <v>181</v>
      </c>
      <c r="I5354" s="95" t="s">
        <v>7231</v>
      </c>
      <c r="J5354" t="s">
        <v>928</v>
      </c>
      <c r="K5354" t="s">
        <v>929</v>
      </c>
      <c r="M5354">
        <v>106.86</v>
      </c>
      <c r="N5354" s="4">
        <f t="shared" si="83"/>
        <v>-1322.3999625678459</v>
      </c>
      <c r="O5354" t="s">
        <v>83</v>
      </c>
      <c r="P5354" s="34" t="s">
        <v>1279</v>
      </c>
    </row>
    <row r="5355" spans="1:17" x14ac:dyDescent="0.25">
      <c r="A5355" s="22">
        <v>45835</v>
      </c>
      <c r="B5355" s="1">
        <v>50621360</v>
      </c>
      <c r="C5355" t="s">
        <v>4100</v>
      </c>
      <c r="D5355" s="23">
        <v>-20817.439999999999</v>
      </c>
      <c r="E5355" s="76" t="s">
        <v>35</v>
      </c>
      <c r="F5355" s="2">
        <v>110114001</v>
      </c>
      <c r="G5355" s="2" t="s">
        <v>181</v>
      </c>
      <c r="I5355" s="95" t="s">
        <v>7231</v>
      </c>
      <c r="J5355" t="s">
        <v>398</v>
      </c>
      <c r="K5355" t="s">
        <v>399</v>
      </c>
      <c r="M5355">
        <v>106.86</v>
      </c>
      <c r="N5355" s="4">
        <f t="shared" si="83"/>
        <v>-194.81040613887328</v>
      </c>
      <c r="O5355" t="s">
        <v>83</v>
      </c>
      <c r="P5355" s="34" t="s">
        <v>1279</v>
      </c>
    </row>
    <row r="5356" spans="1:17" x14ac:dyDescent="0.25">
      <c r="A5356" s="22">
        <v>45835</v>
      </c>
      <c r="B5356" s="1">
        <v>50621360</v>
      </c>
      <c r="C5356" t="s">
        <v>179</v>
      </c>
      <c r="D5356" s="23">
        <v>-31.22</v>
      </c>
      <c r="E5356" s="76" t="s">
        <v>35</v>
      </c>
      <c r="F5356" s="2">
        <v>610148001</v>
      </c>
      <c r="G5356" s="2" t="s">
        <v>41</v>
      </c>
      <c r="I5356" s="95" t="s">
        <v>7231</v>
      </c>
      <c r="J5356" t="s">
        <v>42</v>
      </c>
      <c r="K5356" t="s">
        <v>41</v>
      </c>
      <c r="M5356">
        <v>106.86</v>
      </c>
      <c r="N5356" s="4">
        <f t="shared" si="83"/>
        <v>-0.29215796369081037</v>
      </c>
      <c r="O5356" t="s">
        <v>83</v>
      </c>
      <c r="Q5356" s="24" t="s">
        <v>3649</v>
      </c>
    </row>
    <row r="5357" spans="1:17" x14ac:dyDescent="0.25">
      <c r="A5357" s="22">
        <v>45835</v>
      </c>
      <c r="B5357" s="1">
        <v>50621360</v>
      </c>
      <c r="C5357" t="s">
        <v>89</v>
      </c>
      <c r="D5357" s="23">
        <v>-1208.78</v>
      </c>
      <c r="E5357" s="76" t="s">
        <v>35</v>
      </c>
      <c r="F5357" s="2">
        <v>610148001</v>
      </c>
      <c r="G5357" s="2" t="s">
        <v>41</v>
      </c>
      <c r="I5357" s="95" t="s">
        <v>7231</v>
      </c>
      <c r="J5357" t="s">
        <v>42</v>
      </c>
      <c r="K5357" t="s">
        <v>41</v>
      </c>
      <c r="M5357">
        <v>106.86</v>
      </c>
      <c r="N5357" s="4">
        <f t="shared" si="83"/>
        <v>-11.31180984465656</v>
      </c>
      <c r="O5357" t="s">
        <v>83</v>
      </c>
      <c r="Q5357" s="24" t="s">
        <v>3649</v>
      </c>
    </row>
    <row r="5358" spans="1:17" x14ac:dyDescent="0.25">
      <c r="A5358" s="22">
        <v>45835</v>
      </c>
      <c r="B5358" s="1">
        <v>143349939</v>
      </c>
      <c r="C5358" t="s">
        <v>4101</v>
      </c>
      <c r="D5358" s="23">
        <v>-69237.22</v>
      </c>
      <c r="E5358" s="76" t="s">
        <v>35</v>
      </c>
      <c r="F5358" s="2">
        <v>210101001</v>
      </c>
      <c r="G5358" s="2" t="s">
        <v>36</v>
      </c>
      <c r="I5358" s="95" t="s">
        <v>7231</v>
      </c>
      <c r="J5358" t="s">
        <v>1301</v>
      </c>
      <c r="K5358" t="s">
        <v>1302</v>
      </c>
      <c r="M5358">
        <v>106.86</v>
      </c>
      <c r="N5358" s="4">
        <f t="shared" si="83"/>
        <v>-647.92457420924575</v>
      </c>
      <c r="O5358" t="s">
        <v>83</v>
      </c>
    </row>
    <row r="5359" spans="1:17" x14ac:dyDescent="0.25">
      <c r="A5359" s="22">
        <v>45838</v>
      </c>
      <c r="B5359" s="1">
        <v>60725562</v>
      </c>
      <c r="C5359" t="s">
        <v>498</v>
      </c>
      <c r="D5359" s="23">
        <v>-161.44</v>
      </c>
      <c r="E5359" s="76" t="s">
        <v>35</v>
      </c>
      <c r="F5359" s="2">
        <v>610148001</v>
      </c>
      <c r="G5359" s="2" t="s">
        <v>41</v>
      </c>
      <c r="I5359" s="95" t="s">
        <v>7231</v>
      </c>
      <c r="J5359" t="s">
        <v>42</v>
      </c>
      <c r="K5359" t="s">
        <v>41</v>
      </c>
      <c r="M5359">
        <v>107.62</v>
      </c>
      <c r="N5359" s="4">
        <f t="shared" si="83"/>
        <v>-1.5000929195316854</v>
      </c>
      <c r="O5359" t="s">
        <v>83</v>
      </c>
      <c r="Q5359" s="24" t="s">
        <v>3649</v>
      </c>
    </row>
    <row r="5360" spans="1:17" x14ac:dyDescent="0.25">
      <c r="A5360" s="22">
        <v>45838</v>
      </c>
      <c r="B5360" s="1">
        <v>981310351</v>
      </c>
      <c r="C5360" t="s">
        <v>4102</v>
      </c>
      <c r="D5360" s="23">
        <v>200000</v>
      </c>
      <c r="E5360" s="76" t="s">
        <v>45</v>
      </c>
      <c r="F5360" s="2">
        <v>210115002</v>
      </c>
      <c r="G5360" s="2" t="s">
        <v>46</v>
      </c>
      <c r="I5360" s="95" t="s">
        <v>7231</v>
      </c>
      <c r="K5360" t="s">
        <v>4102</v>
      </c>
      <c r="M5360">
        <v>107.62</v>
      </c>
      <c r="N5360" s="4">
        <f t="shared" si="83"/>
        <v>1858.390633711206</v>
      </c>
      <c r="O5360" t="s">
        <v>83</v>
      </c>
    </row>
    <row r="5361" spans="1:20" x14ac:dyDescent="0.25">
      <c r="A5361" s="22">
        <v>45838</v>
      </c>
      <c r="B5361" s="1">
        <v>581310474</v>
      </c>
      <c r="C5361" t="s">
        <v>4102</v>
      </c>
      <c r="D5361" s="23">
        <v>200000</v>
      </c>
      <c r="E5361" s="76" t="s">
        <v>45</v>
      </c>
      <c r="F5361" s="2">
        <v>210115002</v>
      </c>
      <c r="G5361" s="2" t="s">
        <v>46</v>
      </c>
      <c r="I5361" s="95" t="s">
        <v>7231</v>
      </c>
      <c r="K5361" t="s">
        <v>4102</v>
      </c>
      <c r="M5361">
        <v>107.62</v>
      </c>
      <c r="N5361" s="4">
        <f t="shared" si="83"/>
        <v>1858.390633711206</v>
      </c>
      <c r="O5361" t="s">
        <v>83</v>
      </c>
    </row>
    <row r="5362" spans="1:20" x14ac:dyDescent="0.25">
      <c r="A5362" s="22">
        <v>45838</v>
      </c>
      <c r="B5362" s="1">
        <v>881310534</v>
      </c>
      <c r="C5362" t="s">
        <v>4102</v>
      </c>
      <c r="D5362" s="23">
        <v>200000</v>
      </c>
      <c r="E5362" s="76" t="s">
        <v>45</v>
      </c>
      <c r="F5362" s="2">
        <v>210115002</v>
      </c>
      <c r="G5362" s="2" t="s">
        <v>46</v>
      </c>
      <c r="I5362" s="95" t="s">
        <v>7231</v>
      </c>
      <c r="K5362" t="s">
        <v>4102</v>
      </c>
      <c r="M5362">
        <v>107.62</v>
      </c>
      <c r="N5362" s="4">
        <f t="shared" si="83"/>
        <v>1858.390633711206</v>
      </c>
      <c r="O5362" t="s">
        <v>83</v>
      </c>
    </row>
    <row r="5363" spans="1:20" x14ac:dyDescent="0.25">
      <c r="A5363" s="22">
        <v>45838</v>
      </c>
      <c r="B5363" s="1">
        <v>681310719</v>
      </c>
      <c r="C5363" t="s">
        <v>4102</v>
      </c>
      <c r="D5363" s="23">
        <v>50000</v>
      </c>
      <c r="E5363" s="76" t="s">
        <v>45</v>
      </c>
      <c r="F5363" s="2">
        <v>210115002</v>
      </c>
      <c r="G5363" s="2" t="s">
        <v>46</v>
      </c>
      <c r="I5363" s="95" t="s">
        <v>7231</v>
      </c>
      <c r="K5363" t="s">
        <v>4102</v>
      </c>
      <c r="M5363">
        <v>107.62</v>
      </c>
      <c r="N5363" s="4">
        <f t="shared" si="83"/>
        <v>464.59765842780149</v>
      </c>
      <c r="O5363" t="s">
        <v>83</v>
      </c>
    </row>
    <row r="5364" spans="1:20" x14ac:dyDescent="0.25">
      <c r="A5364" s="22">
        <v>45838</v>
      </c>
      <c r="B5364" s="1">
        <v>214681594</v>
      </c>
      <c r="C5364" t="s">
        <v>4103</v>
      </c>
      <c r="D5364" s="23">
        <v>-9555.2999999999993</v>
      </c>
      <c r="E5364" s="76" t="s">
        <v>35</v>
      </c>
      <c r="F5364" s="2">
        <v>212901001</v>
      </c>
      <c r="G5364" s="2" t="s">
        <v>91</v>
      </c>
      <c r="I5364" s="95" t="s">
        <v>7231</v>
      </c>
      <c r="J5364" t="s">
        <v>61</v>
      </c>
      <c r="K5364" t="s">
        <v>62</v>
      </c>
      <c r="M5364">
        <v>107.62</v>
      </c>
      <c r="N5364" s="4">
        <f t="shared" si="83"/>
        <v>-88.78740011150343</v>
      </c>
      <c r="O5364" t="s">
        <v>83</v>
      </c>
    </row>
    <row r="5365" spans="1:20" x14ac:dyDescent="0.25">
      <c r="A5365" s="22">
        <v>45838</v>
      </c>
      <c r="B5365" s="1">
        <v>214681595</v>
      </c>
      <c r="C5365" t="s">
        <v>4104</v>
      </c>
      <c r="D5365" s="23">
        <v>-9555.2999999999993</v>
      </c>
      <c r="E5365" s="76" t="s">
        <v>35</v>
      </c>
      <c r="F5365" s="2">
        <v>212901001</v>
      </c>
      <c r="G5365" s="2" t="s">
        <v>91</v>
      </c>
      <c r="I5365" s="95" t="s">
        <v>7231</v>
      </c>
      <c r="J5365" t="s">
        <v>61</v>
      </c>
      <c r="K5365" t="s">
        <v>62</v>
      </c>
      <c r="M5365">
        <v>107.62</v>
      </c>
      <c r="N5365" s="4">
        <f t="shared" si="83"/>
        <v>-88.78740011150343</v>
      </c>
      <c r="O5365" t="s">
        <v>83</v>
      </c>
    </row>
    <row r="5366" spans="1:20" x14ac:dyDescent="0.25">
      <c r="A5366" s="22">
        <v>45838</v>
      </c>
      <c r="B5366" s="1">
        <v>314681596</v>
      </c>
      <c r="C5366" t="s">
        <v>4105</v>
      </c>
      <c r="D5366" s="23">
        <v>-9555.2999999999993</v>
      </c>
      <c r="E5366" s="76" t="s">
        <v>35</v>
      </c>
      <c r="F5366" s="2">
        <v>212901001</v>
      </c>
      <c r="G5366" s="2" t="s">
        <v>91</v>
      </c>
      <c r="I5366" s="95" t="s">
        <v>7231</v>
      </c>
      <c r="J5366" t="s">
        <v>61</v>
      </c>
      <c r="K5366" t="s">
        <v>62</v>
      </c>
      <c r="M5366">
        <v>107.62</v>
      </c>
      <c r="N5366" s="4">
        <f t="shared" si="83"/>
        <v>-88.78740011150343</v>
      </c>
      <c r="O5366" t="s">
        <v>83</v>
      </c>
    </row>
    <row r="5367" spans="1:20" x14ac:dyDescent="0.25">
      <c r="A5367" s="22">
        <v>45838</v>
      </c>
      <c r="B5367" s="1">
        <v>314681597</v>
      </c>
      <c r="C5367" t="s">
        <v>4106</v>
      </c>
      <c r="D5367" s="23">
        <v>-7926.65</v>
      </c>
      <c r="E5367" s="76" t="s">
        <v>35</v>
      </c>
      <c r="F5367" s="2">
        <v>212901001</v>
      </c>
      <c r="G5367" s="2" t="s">
        <v>91</v>
      </c>
      <c r="I5367" s="95" t="s">
        <v>7231</v>
      </c>
      <c r="J5367" t="s">
        <v>61</v>
      </c>
      <c r="K5367" t="s">
        <v>62</v>
      </c>
      <c r="M5367">
        <v>107.62</v>
      </c>
      <c r="N5367" s="4">
        <f t="shared" si="83"/>
        <v>-73.654060583534658</v>
      </c>
      <c r="O5367" t="s">
        <v>83</v>
      </c>
      <c r="R5367">
        <v>9</v>
      </c>
      <c r="S5367" t="e">
        <f>VLOOKUP(R5367,[1]!NOMINA[#Data],4,FALSE)</f>
        <v>#REF!</v>
      </c>
      <c r="T5367" t="e">
        <f>VLOOKUP(R5367,[1]!NOMINA[#Data],5,FALSE)</f>
        <v>#REF!</v>
      </c>
    </row>
    <row r="5368" spans="1:20" x14ac:dyDescent="0.25">
      <c r="A5368" s="22">
        <v>45838</v>
      </c>
      <c r="B5368" s="1">
        <v>314681598</v>
      </c>
      <c r="C5368" t="s">
        <v>4107</v>
      </c>
      <c r="D5368" s="23">
        <v>-10839.96</v>
      </c>
      <c r="E5368" s="76" t="s">
        <v>35</v>
      </c>
      <c r="F5368" s="2">
        <v>212901001</v>
      </c>
      <c r="G5368" s="2" t="s">
        <v>91</v>
      </c>
      <c r="I5368" s="95" t="s">
        <v>7231</v>
      </c>
      <c r="J5368" t="s">
        <v>61</v>
      </c>
      <c r="K5368" t="s">
        <v>62</v>
      </c>
      <c r="M5368">
        <v>107.62</v>
      </c>
      <c r="N5368" s="4">
        <f t="shared" si="83"/>
        <v>-100.72440066902061</v>
      </c>
      <c r="O5368" t="s">
        <v>83</v>
      </c>
      <c r="R5368">
        <v>30</v>
      </c>
      <c r="S5368" t="e">
        <f>VLOOKUP(R5368,[1]!NOMINA[#Data],4,FALSE)</f>
        <v>#REF!</v>
      </c>
      <c r="T5368" t="e">
        <f>VLOOKUP(R5368,[1]!NOMINA[#Data],5,FALSE)</f>
        <v>#REF!</v>
      </c>
    </row>
    <row r="5369" spans="1:20" x14ac:dyDescent="0.25">
      <c r="A5369" s="22">
        <v>45838</v>
      </c>
      <c r="B5369" s="1">
        <v>314681601</v>
      </c>
      <c r="C5369" t="s">
        <v>4108</v>
      </c>
      <c r="D5369" s="23">
        <v>-7926.65</v>
      </c>
      <c r="E5369" s="76" t="s">
        <v>35</v>
      </c>
      <c r="F5369" s="2">
        <v>212901001</v>
      </c>
      <c r="G5369" s="2" t="s">
        <v>91</v>
      </c>
      <c r="I5369" s="95" t="s">
        <v>7231</v>
      </c>
      <c r="J5369" t="s">
        <v>61</v>
      </c>
      <c r="K5369" t="s">
        <v>62</v>
      </c>
      <c r="M5369">
        <v>107.62</v>
      </c>
      <c r="N5369" s="4">
        <f t="shared" si="83"/>
        <v>-73.654060583534658</v>
      </c>
      <c r="O5369" t="s">
        <v>83</v>
      </c>
      <c r="R5369">
        <v>10</v>
      </c>
      <c r="S5369" t="e">
        <f>VLOOKUP(R5369,[1]!NOMINA[#Data],4,FALSE)</f>
        <v>#REF!</v>
      </c>
      <c r="T5369" t="e">
        <f>VLOOKUP(R5369,[1]!NOMINA[#Data],5,FALSE)</f>
        <v>#REF!</v>
      </c>
    </row>
    <row r="5370" spans="1:20" x14ac:dyDescent="0.25">
      <c r="A5370" s="22">
        <v>45838</v>
      </c>
      <c r="B5370" s="1">
        <v>314681599</v>
      </c>
      <c r="C5370" t="s">
        <v>4109</v>
      </c>
      <c r="D5370" s="23">
        <v>-3666.05</v>
      </c>
      <c r="E5370" s="76" t="s">
        <v>35</v>
      </c>
      <c r="F5370" s="2">
        <v>212901001</v>
      </c>
      <c r="G5370" s="2" t="s">
        <v>91</v>
      </c>
      <c r="I5370" s="95" t="s">
        <v>7231</v>
      </c>
      <c r="J5370" t="s">
        <v>61</v>
      </c>
      <c r="K5370" t="s">
        <v>62</v>
      </c>
      <c r="M5370">
        <v>107.62</v>
      </c>
      <c r="N5370" s="4">
        <f t="shared" si="83"/>
        <v>-34.064764913584838</v>
      </c>
      <c r="O5370" t="s">
        <v>83</v>
      </c>
      <c r="R5370">
        <v>26</v>
      </c>
      <c r="S5370" t="e">
        <f>VLOOKUP(R5370,[1]!NOMINA[#Data],4,FALSE)</f>
        <v>#REF!</v>
      </c>
      <c r="T5370" t="e">
        <f>VLOOKUP(R5370,[1]!NOMINA[#Data],5,FALSE)</f>
        <v>#REF!</v>
      </c>
    </row>
    <row r="5371" spans="1:20" x14ac:dyDescent="0.25">
      <c r="A5371" s="22">
        <v>45838</v>
      </c>
      <c r="B5371" s="1">
        <v>314681600</v>
      </c>
      <c r="C5371" t="s">
        <v>4110</v>
      </c>
      <c r="D5371" s="23">
        <v>-4197.96</v>
      </c>
      <c r="E5371" s="76" t="s">
        <v>35</v>
      </c>
      <c r="F5371" s="2">
        <v>212901001</v>
      </c>
      <c r="G5371" s="2" t="s">
        <v>91</v>
      </c>
      <c r="I5371" s="95" t="s">
        <v>7231</v>
      </c>
      <c r="J5371" t="s">
        <v>61</v>
      </c>
      <c r="K5371" t="s">
        <v>62</v>
      </c>
      <c r="M5371">
        <v>107.62</v>
      </c>
      <c r="N5371" s="4">
        <f t="shared" si="83"/>
        <v>-39.007247723471473</v>
      </c>
      <c r="O5371" t="s">
        <v>83</v>
      </c>
      <c r="R5371">
        <v>29</v>
      </c>
      <c r="S5371" t="e">
        <f>VLOOKUP(R5371,[1]!NOMINA[#Data],4,FALSE)</f>
        <v>#REF!</v>
      </c>
      <c r="T5371" t="e">
        <f>VLOOKUP(R5371,[1]!NOMINA[#Data],5,FALSE)</f>
        <v>#REF!</v>
      </c>
    </row>
    <row r="5372" spans="1:20" x14ac:dyDescent="0.25">
      <c r="A5372" s="22">
        <v>45838</v>
      </c>
      <c r="B5372" s="1">
        <v>314681602</v>
      </c>
      <c r="C5372" t="s">
        <v>4111</v>
      </c>
      <c r="D5372" s="23">
        <v>-7941.52</v>
      </c>
      <c r="E5372" s="76" t="s">
        <v>35</v>
      </c>
      <c r="F5372" s="2">
        <v>212901001</v>
      </c>
      <c r="G5372" s="2" t="s">
        <v>91</v>
      </c>
      <c r="I5372" s="95" t="s">
        <v>7231</v>
      </c>
      <c r="J5372" t="s">
        <v>61</v>
      </c>
      <c r="K5372" t="s">
        <v>62</v>
      </c>
      <c r="M5372">
        <v>107.62</v>
      </c>
      <c r="N5372" s="4">
        <f t="shared" si="83"/>
        <v>-73.792231927151093</v>
      </c>
      <c r="O5372" t="s">
        <v>83</v>
      </c>
      <c r="R5372">
        <v>18</v>
      </c>
      <c r="S5372" t="e">
        <f>VLOOKUP(Tabla3[[#This Row],[Nº]],[1]!NOMINA[#Data],4,FALSE)</f>
        <v>#REF!</v>
      </c>
      <c r="T5372" t="e">
        <f>VLOOKUP(Tabla3[[#This Row],[Nº]],[1]!NOMINA[#Data],5,FALSE)</f>
        <v>#REF!</v>
      </c>
    </row>
    <row r="5373" spans="1:20" x14ac:dyDescent="0.25">
      <c r="A5373" s="22">
        <v>45838</v>
      </c>
      <c r="B5373" s="1">
        <v>314681603</v>
      </c>
      <c r="C5373" t="s">
        <v>4112</v>
      </c>
      <c r="D5373" s="23">
        <v>-8458.56</v>
      </c>
      <c r="E5373" s="76" t="s">
        <v>35</v>
      </c>
      <c r="F5373" s="2">
        <v>212901001</v>
      </c>
      <c r="G5373" s="2" t="s">
        <v>91</v>
      </c>
      <c r="I5373" s="95" t="s">
        <v>7231</v>
      </c>
      <c r="J5373" t="s">
        <v>61</v>
      </c>
      <c r="K5373" t="s">
        <v>62</v>
      </c>
      <c r="M5373">
        <v>107.62</v>
      </c>
      <c r="N5373" s="4">
        <f t="shared" si="83"/>
        <v>-78.596543393421285</v>
      </c>
      <c r="O5373" t="s">
        <v>83</v>
      </c>
      <c r="R5373">
        <v>35</v>
      </c>
      <c r="S5373" t="e">
        <f>VLOOKUP(R5373,[1]!NOMINA[#Data],4,FALSE)</f>
        <v>#REF!</v>
      </c>
      <c r="T5373" t="e">
        <f>VLOOKUP(R5373,[1]!NOMINA[#Data],5,FALSE)</f>
        <v>#REF!</v>
      </c>
    </row>
    <row r="5374" spans="1:20" x14ac:dyDescent="0.25">
      <c r="A5374" s="22">
        <v>45838</v>
      </c>
      <c r="B5374" s="1">
        <v>314681604</v>
      </c>
      <c r="C5374" t="s">
        <v>4113</v>
      </c>
      <c r="D5374" s="23">
        <v>-7874.63</v>
      </c>
      <c r="E5374" s="76" t="s">
        <v>35</v>
      </c>
      <c r="F5374" s="2">
        <v>212901001</v>
      </c>
      <c r="G5374" s="2" t="s">
        <v>91</v>
      </c>
      <c r="I5374" s="95" t="s">
        <v>7231</v>
      </c>
      <c r="J5374" t="s">
        <v>61</v>
      </c>
      <c r="K5374" t="s">
        <v>62</v>
      </c>
      <c r="M5374">
        <v>107.62</v>
      </c>
      <c r="N5374" s="4">
        <f t="shared" si="83"/>
        <v>-73.170693179706376</v>
      </c>
      <c r="O5374" t="s">
        <v>83</v>
      </c>
      <c r="R5374">
        <v>15</v>
      </c>
      <c r="S5374" t="e">
        <f>VLOOKUP(R5374,[1]!NOMINA[#Data],4,FALSE)</f>
        <v>#REF!</v>
      </c>
      <c r="T5374" t="e">
        <f>VLOOKUP(R5374,[1]!NOMINA[#Data],5,FALSE)</f>
        <v>#REF!</v>
      </c>
    </row>
    <row r="5375" spans="1:20" x14ac:dyDescent="0.25">
      <c r="A5375" s="22">
        <v>45838</v>
      </c>
      <c r="B5375" s="1">
        <v>414681607</v>
      </c>
      <c r="C5375" t="s">
        <v>4114</v>
      </c>
      <c r="D5375" s="23">
        <v>-7133.56</v>
      </c>
      <c r="E5375" s="76" t="s">
        <v>35</v>
      </c>
      <c r="F5375" s="2">
        <v>212901001</v>
      </c>
      <c r="G5375" s="2" t="s">
        <v>91</v>
      </c>
      <c r="I5375" s="95" t="s">
        <v>7231</v>
      </c>
      <c r="J5375" t="s">
        <v>61</v>
      </c>
      <c r="K5375" t="s">
        <v>62</v>
      </c>
      <c r="M5375">
        <v>107.62</v>
      </c>
      <c r="N5375" s="4">
        <f t="shared" si="83"/>
        <v>-66.284705445084555</v>
      </c>
      <c r="O5375" t="s">
        <v>83</v>
      </c>
      <c r="R5375">
        <v>20</v>
      </c>
      <c r="S5375" t="e">
        <f>VLOOKUP(R5375,[1]!NOMINA[#Data],4,FALSE)</f>
        <v>#REF!</v>
      </c>
      <c r="T5375" t="e">
        <f>VLOOKUP(R5375,[1]!NOMINA[#Data],5,FALSE)</f>
        <v>#REF!</v>
      </c>
    </row>
    <row r="5376" spans="1:20" x14ac:dyDescent="0.25">
      <c r="A5376" s="22">
        <v>45838</v>
      </c>
      <c r="B5376" s="1">
        <v>414681606</v>
      </c>
      <c r="C5376" t="s">
        <v>4115</v>
      </c>
      <c r="D5376" s="23">
        <v>-7867.2</v>
      </c>
      <c r="E5376" s="76" t="s">
        <v>35</v>
      </c>
      <c r="F5376" s="2">
        <v>212901001</v>
      </c>
      <c r="G5376" s="2" t="s">
        <v>91</v>
      </c>
      <c r="I5376" s="95" t="s">
        <v>7231</v>
      </c>
      <c r="J5376" t="s">
        <v>61</v>
      </c>
      <c r="K5376" t="s">
        <v>62</v>
      </c>
      <c r="M5376">
        <v>107.62</v>
      </c>
      <c r="N5376" s="4">
        <f t="shared" si="83"/>
        <v>-73.101653967663992</v>
      </c>
      <c r="O5376" t="s">
        <v>83</v>
      </c>
      <c r="R5376">
        <v>33</v>
      </c>
      <c r="S5376" t="e">
        <f>VLOOKUP(R5376,[1]!NOMINA[#Data],4,FALSE)</f>
        <v>#REF!</v>
      </c>
      <c r="T5376" t="e">
        <f>VLOOKUP(R5376,[1]!NOMINA[#Data],5,FALSE)</f>
        <v>#REF!</v>
      </c>
    </row>
    <row r="5377" spans="1:20" x14ac:dyDescent="0.25">
      <c r="A5377" s="22">
        <v>45838</v>
      </c>
      <c r="B5377" s="1">
        <v>414681610</v>
      </c>
      <c r="C5377" t="s">
        <v>4116</v>
      </c>
      <c r="D5377" s="23">
        <v>-7926.65</v>
      </c>
      <c r="E5377" s="76" t="s">
        <v>35</v>
      </c>
      <c r="F5377" s="2">
        <v>212901001</v>
      </c>
      <c r="G5377" s="2" t="s">
        <v>91</v>
      </c>
      <c r="I5377" s="95" t="s">
        <v>7231</v>
      </c>
      <c r="J5377" t="s">
        <v>61</v>
      </c>
      <c r="K5377" t="s">
        <v>62</v>
      </c>
      <c r="M5377">
        <v>107.62</v>
      </c>
      <c r="N5377" s="4">
        <f t="shared" si="83"/>
        <v>-73.654060583534658</v>
      </c>
      <c r="O5377" t="s">
        <v>83</v>
      </c>
      <c r="R5377">
        <v>8</v>
      </c>
      <c r="S5377" t="e">
        <f>VLOOKUP(R5377,[1]!NOMINA[#Data],4,FALSE)</f>
        <v>#REF!</v>
      </c>
      <c r="T5377" t="e">
        <f>VLOOKUP(R5377,[1]!NOMINA[#Data],5,FALSE)</f>
        <v>#REF!</v>
      </c>
    </row>
    <row r="5378" spans="1:20" x14ac:dyDescent="0.25">
      <c r="A5378" s="22">
        <v>45838</v>
      </c>
      <c r="B5378" s="1">
        <v>414681608</v>
      </c>
      <c r="C5378" t="s">
        <v>4117</v>
      </c>
      <c r="D5378" s="23">
        <v>-7831.1</v>
      </c>
      <c r="E5378" s="76" t="s">
        <v>35</v>
      </c>
      <c r="F5378" s="2">
        <v>212901001</v>
      </c>
      <c r="G5378" s="2" t="s">
        <v>91</v>
      </c>
      <c r="I5378" s="95" t="s">
        <v>7231</v>
      </c>
      <c r="J5378" t="s">
        <v>61</v>
      </c>
      <c r="K5378" t="s">
        <v>62</v>
      </c>
      <c r="M5378">
        <v>107.62</v>
      </c>
      <c r="N5378" s="4">
        <f t="shared" si="83"/>
        <v>-72.766214458279137</v>
      </c>
      <c r="O5378" t="s">
        <v>83</v>
      </c>
      <c r="R5378">
        <v>13</v>
      </c>
      <c r="S5378" t="e">
        <f>VLOOKUP(R5378,[1]!NOMINA[#Data],4,FALSE)</f>
        <v>#REF!</v>
      </c>
      <c r="T5378" t="e">
        <f>VLOOKUP(R5378,[1]!NOMINA[#Data],5,FALSE)</f>
        <v>#REF!</v>
      </c>
    </row>
    <row r="5379" spans="1:20" x14ac:dyDescent="0.25">
      <c r="A5379" s="22">
        <v>45838</v>
      </c>
      <c r="B5379" s="1">
        <v>414681612</v>
      </c>
      <c r="C5379" t="s">
        <v>4118</v>
      </c>
      <c r="D5379" s="23">
        <v>-3664.99</v>
      </c>
      <c r="E5379" s="76" t="s">
        <v>35</v>
      </c>
      <c r="F5379" s="2">
        <v>212901001</v>
      </c>
      <c r="G5379" s="2" t="s">
        <v>91</v>
      </c>
      <c r="I5379" s="95" t="s">
        <v>7231</v>
      </c>
      <c r="J5379" t="s">
        <v>61</v>
      </c>
      <c r="K5379" t="s">
        <v>62</v>
      </c>
      <c r="M5379">
        <v>107.62</v>
      </c>
      <c r="N5379" s="4">
        <f t="shared" si="83"/>
        <v>-34.054915443226164</v>
      </c>
      <c r="O5379" t="s">
        <v>83</v>
      </c>
      <c r="R5379">
        <v>23</v>
      </c>
      <c r="S5379" t="e">
        <f>VLOOKUP(R5379,[1]!NOMINA[#Data],4,FALSE)</f>
        <v>#REF!</v>
      </c>
      <c r="T5379" t="e">
        <f>VLOOKUP(R5379,[1]!NOMINA[#Data],5,FALSE)</f>
        <v>#REF!</v>
      </c>
    </row>
    <row r="5380" spans="1:20" x14ac:dyDescent="0.25">
      <c r="A5380" s="22">
        <v>45838</v>
      </c>
      <c r="B5380" s="1">
        <v>414681611</v>
      </c>
      <c r="C5380" t="s">
        <v>4119</v>
      </c>
      <c r="D5380" s="23">
        <v>-7926.65</v>
      </c>
      <c r="E5380" s="76" t="s">
        <v>35</v>
      </c>
      <c r="F5380" s="2">
        <v>212901001</v>
      </c>
      <c r="G5380" s="2" t="s">
        <v>91</v>
      </c>
      <c r="I5380" s="95" t="s">
        <v>7231</v>
      </c>
      <c r="J5380" t="s">
        <v>61</v>
      </c>
      <c r="K5380" t="s">
        <v>62</v>
      </c>
      <c r="M5380">
        <v>107.62</v>
      </c>
      <c r="N5380" s="4">
        <f t="shared" si="83"/>
        <v>-73.654060583534658</v>
      </c>
      <c r="O5380" t="s">
        <v>83</v>
      </c>
      <c r="R5380">
        <v>11</v>
      </c>
      <c r="S5380" t="e">
        <f>VLOOKUP(R5380,[1]!NOMINA[#Data],4,FALSE)</f>
        <v>#REF!</v>
      </c>
      <c r="T5380" t="e">
        <f>VLOOKUP(R5380,[1]!NOMINA[#Data],5,FALSE)</f>
        <v>#REF!</v>
      </c>
    </row>
    <row r="5381" spans="1:20" x14ac:dyDescent="0.25">
      <c r="A5381" s="22">
        <v>45838</v>
      </c>
      <c r="B5381" s="1">
        <v>414681614</v>
      </c>
      <c r="C5381" t="s">
        <v>4120</v>
      </c>
      <c r="D5381" s="23">
        <v>-7941.52</v>
      </c>
      <c r="E5381" s="76" t="s">
        <v>35</v>
      </c>
      <c r="F5381" s="2">
        <v>212901001</v>
      </c>
      <c r="G5381" s="2" t="s">
        <v>91</v>
      </c>
      <c r="I5381" s="95" t="s">
        <v>7231</v>
      </c>
      <c r="J5381" t="s">
        <v>61</v>
      </c>
      <c r="K5381" t="s">
        <v>62</v>
      </c>
      <c r="M5381">
        <v>107.62</v>
      </c>
      <c r="N5381" s="4">
        <f t="shared" si="83"/>
        <v>-73.792231927151093</v>
      </c>
      <c r="O5381" t="s">
        <v>83</v>
      </c>
      <c r="R5381">
        <v>17</v>
      </c>
      <c r="S5381" t="e">
        <f>VLOOKUP(R5381,[1]!NOMINA[#Data],4,FALSE)</f>
        <v>#REF!</v>
      </c>
      <c r="T5381" t="e">
        <f>VLOOKUP(R5381,[1]!NOMINA[#Data],5,FALSE)</f>
        <v>#REF!</v>
      </c>
    </row>
    <row r="5382" spans="1:20" x14ac:dyDescent="0.25">
      <c r="A5382" s="22">
        <v>45838</v>
      </c>
      <c r="B5382" s="1">
        <v>514681615</v>
      </c>
      <c r="C5382" t="s">
        <v>4121</v>
      </c>
      <c r="D5382" s="23">
        <v>-7867.2</v>
      </c>
      <c r="E5382" s="76" t="s">
        <v>35</v>
      </c>
      <c r="F5382" s="2">
        <v>212901001</v>
      </c>
      <c r="G5382" s="2" t="s">
        <v>91</v>
      </c>
      <c r="I5382" s="95" t="s">
        <v>7231</v>
      </c>
      <c r="J5382" t="s">
        <v>61</v>
      </c>
      <c r="K5382" t="s">
        <v>62</v>
      </c>
      <c r="M5382">
        <v>107.62</v>
      </c>
      <c r="N5382" s="4">
        <f t="shared" si="83"/>
        <v>-73.101653967663992</v>
      </c>
      <c r="O5382" t="s">
        <v>83</v>
      </c>
      <c r="R5382">
        <v>31</v>
      </c>
      <c r="S5382" t="e">
        <f>VLOOKUP(R5382,[1]!NOMINA[#Data],4,FALSE)</f>
        <v>#REF!</v>
      </c>
      <c r="T5382" t="e">
        <f>VLOOKUP(R5382,[1]!NOMINA[#Data],5,FALSE)</f>
        <v>#REF!</v>
      </c>
    </row>
    <row r="5383" spans="1:20" x14ac:dyDescent="0.25">
      <c r="A5383" s="22">
        <v>45838</v>
      </c>
      <c r="B5383" s="1">
        <v>514681618</v>
      </c>
      <c r="C5383" t="s">
        <v>4122</v>
      </c>
      <c r="D5383" s="23">
        <v>-5260.72</v>
      </c>
      <c r="E5383" s="76" t="s">
        <v>35</v>
      </c>
      <c r="F5383" s="2">
        <v>212901001</v>
      </c>
      <c r="G5383" s="2" t="s">
        <v>91</v>
      </c>
      <c r="I5383" s="95" t="s">
        <v>7231</v>
      </c>
      <c r="J5383" t="s">
        <v>61</v>
      </c>
      <c r="K5383" t="s">
        <v>62</v>
      </c>
      <c r="M5383">
        <v>107.62</v>
      </c>
      <c r="N5383" s="4">
        <f t="shared" si="83"/>
        <v>-48.882363872886081</v>
      </c>
      <c r="O5383" t="s">
        <v>83</v>
      </c>
      <c r="R5383">
        <v>22</v>
      </c>
      <c r="S5383" t="e">
        <f>VLOOKUP(R5383,[1]!NOMINA[#Data],4,FALSE)</f>
        <v>#REF!</v>
      </c>
      <c r="T5383" t="e">
        <f>VLOOKUP(R5383,[1]!NOMINA[#Data],5,FALSE)</f>
        <v>#REF!</v>
      </c>
    </row>
    <row r="5384" spans="1:20" x14ac:dyDescent="0.25">
      <c r="A5384" s="22">
        <v>45838</v>
      </c>
      <c r="B5384" s="1">
        <v>514681617</v>
      </c>
      <c r="C5384" t="s">
        <v>4123</v>
      </c>
      <c r="D5384" s="23">
        <v>-7867.2</v>
      </c>
      <c r="E5384" s="76" t="s">
        <v>35</v>
      </c>
      <c r="F5384" s="2">
        <v>212901001</v>
      </c>
      <c r="G5384" s="2" t="s">
        <v>91</v>
      </c>
      <c r="I5384" s="95" t="s">
        <v>7231</v>
      </c>
      <c r="J5384" t="s">
        <v>61</v>
      </c>
      <c r="K5384" t="s">
        <v>62</v>
      </c>
      <c r="M5384">
        <v>107.62</v>
      </c>
      <c r="N5384" s="4">
        <f t="shared" si="83"/>
        <v>-73.101653967663992</v>
      </c>
      <c r="O5384" t="s">
        <v>83</v>
      </c>
      <c r="R5384">
        <v>32</v>
      </c>
      <c r="S5384" t="e">
        <f>VLOOKUP(R5384,[1]!NOMINA[#Data],4,FALSE)</f>
        <v>#REF!</v>
      </c>
      <c r="T5384" t="e">
        <f>VLOOKUP(R5384,[1]!NOMINA[#Data],5,FALSE)</f>
        <v>#REF!</v>
      </c>
    </row>
    <row r="5385" spans="1:20" x14ac:dyDescent="0.25">
      <c r="A5385" s="22">
        <v>45838</v>
      </c>
      <c r="B5385" s="1">
        <v>514681616</v>
      </c>
      <c r="C5385" t="s">
        <v>4124</v>
      </c>
      <c r="D5385" s="23">
        <v>-11613.94</v>
      </c>
      <c r="E5385" s="76" t="s">
        <v>35</v>
      </c>
      <c r="F5385" s="2">
        <v>212901001</v>
      </c>
      <c r="G5385" s="2" t="s">
        <v>91</v>
      </c>
      <c r="I5385" s="95" t="s">
        <v>7231</v>
      </c>
      <c r="J5385" t="s">
        <v>61</v>
      </c>
      <c r="K5385" t="s">
        <v>62</v>
      </c>
      <c r="M5385">
        <v>107.62</v>
      </c>
      <c r="N5385" s="4">
        <f t="shared" si="83"/>
        <v>-107.91618658241963</v>
      </c>
      <c r="O5385" t="s">
        <v>83</v>
      </c>
      <c r="R5385">
        <v>4</v>
      </c>
      <c r="S5385" t="e">
        <f>VLOOKUP(R5385,[1]!NOMINA[#Data],4,FALSE)</f>
        <v>#REF!</v>
      </c>
      <c r="T5385" t="e">
        <f>VLOOKUP(R5385,[1]!NOMINA[#Data],5,FALSE)</f>
        <v>#REF!</v>
      </c>
    </row>
    <row r="5386" spans="1:20" x14ac:dyDescent="0.25">
      <c r="A5386" s="22">
        <v>45838</v>
      </c>
      <c r="B5386" s="1">
        <v>514681620</v>
      </c>
      <c r="C5386" t="s">
        <v>4125</v>
      </c>
      <c r="D5386" s="23">
        <v>-5260.72</v>
      </c>
      <c r="E5386" s="76" t="s">
        <v>35</v>
      </c>
      <c r="F5386" s="2">
        <v>212901001</v>
      </c>
      <c r="G5386" s="2" t="s">
        <v>91</v>
      </c>
      <c r="I5386" s="95" t="s">
        <v>7231</v>
      </c>
      <c r="J5386" t="s">
        <v>61</v>
      </c>
      <c r="K5386" t="s">
        <v>62</v>
      </c>
      <c r="M5386">
        <v>107.62</v>
      </c>
      <c r="N5386" s="4">
        <f t="shared" si="83"/>
        <v>-48.882363872886081</v>
      </c>
      <c r="O5386" t="s">
        <v>83</v>
      </c>
      <c r="R5386">
        <v>21</v>
      </c>
      <c r="S5386" t="e">
        <f>VLOOKUP(R5386,[1]!NOMINA[#Data],4,FALSE)</f>
        <v>#REF!</v>
      </c>
      <c r="T5386" t="e">
        <f>VLOOKUP(R5386,[1]!NOMINA[#Data],5,FALSE)</f>
        <v>#REF!</v>
      </c>
    </row>
    <row r="5387" spans="1:20" x14ac:dyDescent="0.25">
      <c r="A5387" s="22">
        <v>45838</v>
      </c>
      <c r="B5387" s="1">
        <v>514681619</v>
      </c>
      <c r="C5387" t="s">
        <v>4126</v>
      </c>
      <c r="D5387" s="23">
        <v>-7874.63</v>
      </c>
      <c r="E5387" s="76" t="s">
        <v>35</v>
      </c>
      <c r="F5387" s="2">
        <v>212901001</v>
      </c>
      <c r="G5387" s="2" t="s">
        <v>91</v>
      </c>
      <c r="I5387" s="95" t="s">
        <v>7231</v>
      </c>
      <c r="J5387" t="s">
        <v>61</v>
      </c>
      <c r="K5387" t="s">
        <v>62</v>
      </c>
      <c r="M5387">
        <v>107.62</v>
      </c>
      <c r="N5387" s="4">
        <f t="shared" si="83"/>
        <v>-73.170693179706376</v>
      </c>
      <c r="O5387" t="s">
        <v>83</v>
      </c>
      <c r="R5387">
        <v>14</v>
      </c>
      <c r="S5387" t="e">
        <f>VLOOKUP(R5387,[1]!NOMINA[#Data],4,FALSE)</f>
        <v>#REF!</v>
      </c>
      <c r="T5387" t="e">
        <f>VLOOKUP(R5387,[1]!NOMINA[#Data],5,FALSE)</f>
        <v>#REF!</v>
      </c>
    </row>
    <row r="5388" spans="1:20" x14ac:dyDescent="0.25">
      <c r="A5388" s="22">
        <v>45838</v>
      </c>
      <c r="B5388" s="1">
        <v>514681623</v>
      </c>
      <c r="C5388" t="s">
        <v>4127</v>
      </c>
      <c r="D5388" s="23">
        <v>-53020.24</v>
      </c>
      <c r="E5388" s="76" t="s">
        <v>35</v>
      </c>
      <c r="F5388" s="2">
        <v>212901001</v>
      </c>
      <c r="G5388" s="2" t="s">
        <v>91</v>
      </c>
      <c r="I5388" s="95" t="s">
        <v>7231</v>
      </c>
      <c r="J5388" t="s">
        <v>61</v>
      </c>
      <c r="K5388" t="s">
        <v>62</v>
      </c>
      <c r="M5388">
        <v>107.62</v>
      </c>
      <c r="N5388" s="4">
        <f t="shared" ref="N5388:N5451" si="84">D5388/M5388</f>
        <v>-492.66158706560117</v>
      </c>
      <c r="O5388" t="s">
        <v>83</v>
      </c>
      <c r="R5388">
        <v>2</v>
      </c>
      <c r="S5388" t="e">
        <f>VLOOKUP(Tabla3[[#This Row],[Nº]],[1]!NOMINA[#Data],4,FALSE)</f>
        <v>#REF!</v>
      </c>
      <c r="T5388" t="e">
        <f>VLOOKUP(Tabla3[[#This Row],[Nº]],[1]!NOMINA[#Data],5,FALSE)</f>
        <v>#REF!</v>
      </c>
    </row>
    <row r="5389" spans="1:20" x14ac:dyDescent="0.25">
      <c r="A5389" s="22">
        <v>45838</v>
      </c>
      <c r="B5389" s="1">
        <v>514681621</v>
      </c>
      <c r="C5389" t="s">
        <v>4128</v>
      </c>
      <c r="D5389" s="23">
        <v>-3666.05</v>
      </c>
      <c r="E5389" s="76" t="s">
        <v>35</v>
      </c>
      <c r="F5389" s="2">
        <v>212901001</v>
      </c>
      <c r="G5389" s="2" t="s">
        <v>91</v>
      </c>
      <c r="I5389" s="95" t="s">
        <v>7231</v>
      </c>
      <c r="J5389" t="s">
        <v>61</v>
      </c>
      <c r="K5389" t="s">
        <v>62</v>
      </c>
      <c r="M5389">
        <v>107.62</v>
      </c>
      <c r="N5389" s="4">
        <f t="shared" si="84"/>
        <v>-34.064764913584838</v>
      </c>
      <c r="O5389" t="s">
        <v>83</v>
      </c>
      <c r="R5389">
        <v>25</v>
      </c>
      <c r="S5389" t="e">
        <f>VLOOKUP(R5389,[1]!NOMINA[#Data],4,FALSE)</f>
        <v>#REF!</v>
      </c>
      <c r="T5389" t="e">
        <f>VLOOKUP(R5389,[1]!NOMINA[#Data],5,FALSE)</f>
        <v>#REF!</v>
      </c>
    </row>
    <row r="5390" spans="1:20" x14ac:dyDescent="0.25">
      <c r="A5390" s="22">
        <v>45838</v>
      </c>
      <c r="B5390" s="1">
        <v>614681624</v>
      </c>
      <c r="C5390" t="s">
        <v>4129</v>
      </c>
      <c r="D5390" s="23">
        <v>-4197.96</v>
      </c>
      <c r="E5390" s="76" t="s">
        <v>35</v>
      </c>
      <c r="F5390" s="2">
        <v>212901001</v>
      </c>
      <c r="G5390" s="2" t="s">
        <v>91</v>
      </c>
      <c r="I5390" s="95" t="s">
        <v>7231</v>
      </c>
      <c r="J5390" t="s">
        <v>61</v>
      </c>
      <c r="K5390" t="s">
        <v>62</v>
      </c>
      <c r="M5390">
        <v>107.62</v>
      </c>
      <c r="N5390" s="4">
        <f t="shared" si="84"/>
        <v>-39.007247723471473</v>
      </c>
      <c r="O5390" t="s">
        <v>83</v>
      </c>
      <c r="R5390">
        <v>28</v>
      </c>
      <c r="S5390" t="e">
        <f>VLOOKUP(R5390,[1]!NOMINA[#Data],4,FALSE)</f>
        <v>#REF!</v>
      </c>
      <c r="T5390" t="e">
        <f>VLOOKUP(R5390,[1]!NOMINA[#Data],5,FALSE)</f>
        <v>#REF!</v>
      </c>
    </row>
    <row r="5391" spans="1:20" x14ac:dyDescent="0.25">
      <c r="A5391" s="22">
        <v>45838</v>
      </c>
      <c r="B5391" s="1">
        <v>514681622</v>
      </c>
      <c r="C5391" t="s">
        <v>4130</v>
      </c>
      <c r="D5391" s="23">
        <v>-7371.38</v>
      </c>
      <c r="E5391" s="76" t="s">
        <v>35</v>
      </c>
      <c r="F5391" s="2">
        <v>212901001</v>
      </c>
      <c r="G5391" s="2" t="s">
        <v>91</v>
      </c>
      <c r="I5391" s="95" t="s">
        <v>7231</v>
      </c>
      <c r="J5391" t="s">
        <v>61</v>
      </c>
      <c r="K5391" t="s">
        <v>62</v>
      </c>
      <c r="M5391">
        <v>107.62</v>
      </c>
      <c r="N5391" s="4">
        <f t="shared" si="84"/>
        <v>-68.494517747630553</v>
      </c>
      <c r="O5391" t="s">
        <v>83</v>
      </c>
      <c r="R5391">
        <v>12</v>
      </c>
      <c r="S5391" t="e">
        <f>VLOOKUP(R5391,[1]!NOMINA[#Data],4,FALSE)</f>
        <v>#REF!</v>
      </c>
      <c r="T5391" t="e">
        <f>VLOOKUP(R5391,[1]!NOMINA[#Data],5,FALSE)</f>
        <v>#REF!</v>
      </c>
    </row>
    <row r="5392" spans="1:20" x14ac:dyDescent="0.25">
      <c r="A5392" s="22">
        <v>45838</v>
      </c>
      <c r="B5392" s="1">
        <v>614681628</v>
      </c>
      <c r="C5392" t="s">
        <v>4131</v>
      </c>
      <c r="D5392" s="23">
        <v>-3666.05</v>
      </c>
      <c r="E5392" s="76" t="s">
        <v>35</v>
      </c>
      <c r="F5392" s="2">
        <v>212901001</v>
      </c>
      <c r="G5392" s="2" t="s">
        <v>91</v>
      </c>
      <c r="I5392" s="95" t="s">
        <v>7231</v>
      </c>
      <c r="J5392" t="s">
        <v>61</v>
      </c>
      <c r="K5392" t="s">
        <v>62</v>
      </c>
      <c r="M5392">
        <v>107.62</v>
      </c>
      <c r="N5392" s="4">
        <f t="shared" si="84"/>
        <v>-34.064764913584838</v>
      </c>
      <c r="O5392" t="s">
        <v>83</v>
      </c>
      <c r="R5392">
        <v>27</v>
      </c>
      <c r="S5392" t="e">
        <f>VLOOKUP(R5392,[1]!NOMINA[#Data],4,FALSE)</f>
        <v>#REF!</v>
      </c>
      <c r="T5392" t="e">
        <f>VLOOKUP(R5392,[1]!NOMINA[#Data],5,FALSE)</f>
        <v>#REF!</v>
      </c>
    </row>
    <row r="5393" spans="1:20" x14ac:dyDescent="0.25">
      <c r="A5393" s="22">
        <v>45838</v>
      </c>
      <c r="B5393" s="1">
        <v>614681629</v>
      </c>
      <c r="C5393" t="s">
        <v>4132</v>
      </c>
      <c r="D5393" s="23">
        <v>-5273.46</v>
      </c>
      <c r="E5393" s="76" t="s">
        <v>35</v>
      </c>
      <c r="F5393" s="2">
        <v>212901001</v>
      </c>
      <c r="G5393" s="2" t="s">
        <v>91</v>
      </c>
      <c r="I5393" s="95" t="s">
        <v>7231</v>
      </c>
      <c r="J5393" t="s">
        <v>61</v>
      </c>
      <c r="K5393" t="s">
        <v>62</v>
      </c>
      <c r="M5393">
        <v>107.62</v>
      </c>
      <c r="N5393" s="4">
        <f t="shared" si="84"/>
        <v>-49.00074335625348</v>
      </c>
      <c r="O5393" t="s">
        <v>83</v>
      </c>
      <c r="R5393">
        <v>19</v>
      </c>
      <c r="S5393" t="e">
        <f>VLOOKUP(R5393,[1]!NOMINA[#Data],4,FALSE)</f>
        <v>#REF!</v>
      </c>
      <c r="T5393" t="e">
        <f>VLOOKUP(R5393,[1]!NOMINA[#Data],5,FALSE)</f>
        <v>#REF!</v>
      </c>
    </row>
    <row r="5394" spans="1:20" x14ac:dyDescent="0.25">
      <c r="A5394" s="22">
        <v>45838</v>
      </c>
      <c r="B5394" s="1">
        <v>614681626</v>
      </c>
      <c r="C5394" t="s">
        <v>4133</v>
      </c>
      <c r="D5394" s="23">
        <v>-5267.09</v>
      </c>
      <c r="E5394" s="76" t="s">
        <v>35</v>
      </c>
      <c r="F5394" s="2">
        <v>212901001</v>
      </c>
      <c r="G5394" s="2" t="s">
        <v>91</v>
      </c>
      <c r="I5394" s="95" t="s">
        <v>7231</v>
      </c>
      <c r="J5394" t="s">
        <v>61</v>
      </c>
      <c r="K5394" t="s">
        <v>62</v>
      </c>
      <c r="M5394">
        <v>107.62</v>
      </c>
      <c r="N5394" s="4">
        <f t="shared" si="84"/>
        <v>-48.941553614569784</v>
      </c>
      <c r="O5394" t="s">
        <v>83</v>
      </c>
      <c r="R5394">
        <v>24</v>
      </c>
      <c r="S5394" t="e">
        <f>VLOOKUP(R5394,[1]!NOMINA[#Data],4,FALSE)</f>
        <v>#REF!</v>
      </c>
      <c r="T5394" t="e">
        <f>VLOOKUP(R5394,[1]!NOMINA[#Data],5,FALSE)</f>
        <v>#REF!</v>
      </c>
    </row>
    <row r="5395" spans="1:20" x14ac:dyDescent="0.25">
      <c r="A5395" s="22">
        <v>45838</v>
      </c>
      <c r="B5395" s="1">
        <v>614681625</v>
      </c>
      <c r="C5395" t="s">
        <v>4134</v>
      </c>
      <c r="D5395" s="23">
        <v>-13206.49</v>
      </c>
      <c r="E5395" s="76" t="s">
        <v>35</v>
      </c>
      <c r="F5395" s="2">
        <v>212901001</v>
      </c>
      <c r="G5395" s="2" t="s">
        <v>91</v>
      </c>
      <c r="I5395" s="95" t="s">
        <v>7231</v>
      </c>
      <c r="J5395" t="s">
        <v>61</v>
      </c>
      <c r="K5395" t="s">
        <v>62</v>
      </c>
      <c r="M5395">
        <v>107.62</v>
      </c>
      <c r="N5395" s="4">
        <f t="shared" si="84"/>
        <v>-122.71408660100353</v>
      </c>
      <c r="O5395" t="s">
        <v>83</v>
      </c>
      <c r="R5395">
        <v>6</v>
      </c>
      <c r="S5395" t="e">
        <f>VLOOKUP(R5395,[1]!NOMINA[#Data],4,FALSE)</f>
        <v>#REF!</v>
      </c>
      <c r="T5395" t="e">
        <f>VLOOKUP(R5395,[1]!NOMINA[#Data],5,FALSE)</f>
        <v>#REF!</v>
      </c>
    </row>
    <row r="5396" spans="1:20" x14ac:dyDescent="0.25">
      <c r="A5396" s="22">
        <v>45838</v>
      </c>
      <c r="B5396" s="1">
        <v>614681627</v>
      </c>
      <c r="C5396" t="s">
        <v>4135</v>
      </c>
      <c r="D5396" s="23">
        <v>-26477.74</v>
      </c>
      <c r="E5396" s="76" t="s">
        <v>35</v>
      </c>
      <c r="F5396" s="2">
        <v>212901001</v>
      </c>
      <c r="G5396" s="2" t="s">
        <v>91</v>
      </c>
      <c r="I5396" s="95" t="s">
        <v>7231</v>
      </c>
      <c r="J5396" t="s">
        <v>61</v>
      </c>
      <c r="K5396" t="s">
        <v>62</v>
      </c>
      <c r="M5396">
        <v>107.62</v>
      </c>
      <c r="N5396" s="4">
        <f t="shared" si="84"/>
        <v>-246.02992008920276</v>
      </c>
      <c r="O5396" t="s">
        <v>83</v>
      </c>
      <c r="R5396">
        <v>3</v>
      </c>
      <c r="S5396" t="e">
        <f>VLOOKUP(R5396,[1]!NOMINA[#Data],4,FALSE)</f>
        <v>#REF!</v>
      </c>
      <c r="T5396" t="e">
        <f>VLOOKUP(R5396,[1]!NOMINA[#Data],5,FALSE)</f>
        <v>#REF!</v>
      </c>
    </row>
    <row r="5397" spans="1:20" x14ac:dyDescent="0.25">
      <c r="A5397" s="22">
        <v>45838</v>
      </c>
      <c r="B5397" s="1">
        <v>614681631</v>
      </c>
      <c r="C5397" t="s">
        <v>4136</v>
      </c>
      <c r="D5397" s="23">
        <v>-7941.52</v>
      </c>
      <c r="E5397" s="76" t="s">
        <v>35</v>
      </c>
      <c r="F5397" s="2">
        <v>212901001</v>
      </c>
      <c r="G5397" s="2" t="s">
        <v>91</v>
      </c>
      <c r="I5397" s="95" t="s">
        <v>7231</v>
      </c>
      <c r="J5397" t="s">
        <v>61</v>
      </c>
      <c r="K5397" t="s">
        <v>62</v>
      </c>
      <c r="M5397">
        <v>107.62</v>
      </c>
      <c r="N5397" s="4">
        <f t="shared" si="84"/>
        <v>-73.792231927151093</v>
      </c>
      <c r="O5397" t="s">
        <v>83</v>
      </c>
      <c r="R5397">
        <v>16</v>
      </c>
      <c r="S5397" t="e">
        <f>VLOOKUP(Tabla3[[#This Row],[Nº]],[1]!NOMINA[#Data],4,FALSE)</f>
        <v>#REF!</v>
      </c>
      <c r="T5397" t="e">
        <f>VLOOKUP(Tabla3[[#This Row],[Nº]],[1]!NOMINA[#Data],5,FALSE)</f>
        <v>#REF!</v>
      </c>
    </row>
    <row r="5398" spans="1:20" x14ac:dyDescent="0.25">
      <c r="A5398" s="22">
        <v>45838</v>
      </c>
      <c r="B5398" s="1">
        <v>614681630</v>
      </c>
      <c r="C5398" t="s">
        <v>4137</v>
      </c>
      <c r="D5398" s="23">
        <v>-6855.4</v>
      </c>
      <c r="E5398" s="76" t="s">
        <v>35</v>
      </c>
      <c r="F5398" s="2">
        <v>212901001</v>
      </c>
      <c r="G5398" s="2" t="s">
        <v>91</v>
      </c>
      <c r="I5398" s="95" t="s">
        <v>7231</v>
      </c>
      <c r="J5398" t="s">
        <v>61</v>
      </c>
      <c r="K5398" t="s">
        <v>62</v>
      </c>
      <c r="M5398">
        <v>107.62</v>
      </c>
      <c r="N5398" s="4">
        <f t="shared" si="84"/>
        <v>-63.700055751719006</v>
      </c>
      <c r="O5398" t="s">
        <v>83</v>
      </c>
      <c r="R5398">
        <v>5</v>
      </c>
      <c r="S5398" t="e">
        <f>VLOOKUP(R5398,[1]!NOMINA[#Data],4,FALSE)</f>
        <v>#REF!</v>
      </c>
      <c r="T5398" t="e">
        <f>VLOOKUP(R5398,[1]!NOMINA[#Data],5,FALSE)</f>
        <v>#REF!</v>
      </c>
    </row>
    <row r="5399" spans="1:20" x14ac:dyDescent="0.25">
      <c r="A5399" s="22">
        <v>45838</v>
      </c>
      <c r="B5399" s="1">
        <v>714681633</v>
      </c>
      <c r="C5399" t="s">
        <v>4138</v>
      </c>
      <c r="D5399" s="23">
        <v>-42403.24</v>
      </c>
      <c r="E5399" s="76" t="s">
        <v>35</v>
      </c>
      <c r="F5399" s="2">
        <v>212901001</v>
      </c>
      <c r="G5399" s="2" t="s">
        <v>91</v>
      </c>
      <c r="I5399" s="95" t="s">
        <v>7231</v>
      </c>
      <c r="J5399" t="s">
        <v>61</v>
      </c>
      <c r="K5399" t="s">
        <v>62</v>
      </c>
      <c r="M5399">
        <v>107.62</v>
      </c>
      <c r="N5399" s="4">
        <f t="shared" si="84"/>
        <v>-394.00892027504176</v>
      </c>
      <c r="O5399" t="s">
        <v>83</v>
      </c>
      <c r="R5399">
        <v>1</v>
      </c>
      <c r="S5399" t="e">
        <f>VLOOKUP(R5399,[1]!NOMINA[#Data],4,FALSE)</f>
        <v>#REF!</v>
      </c>
      <c r="T5399" t="e">
        <f>VLOOKUP(R5399,[1]!NOMINA[#Data],5,FALSE)</f>
        <v>#REF!</v>
      </c>
    </row>
    <row r="5400" spans="1:20" x14ac:dyDescent="0.25">
      <c r="A5400" s="22">
        <v>45838</v>
      </c>
      <c r="B5400" s="1">
        <v>614681632</v>
      </c>
      <c r="C5400" t="s">
        <v>4139</v>
      </c>
      <c r="D5400" s="23">
        <v>-3667.11</v>
      </c>
      <c r="E5400" s="76" t="s">
        <v>35</v>
      </c>
      <c r="F5400" s="2">
        <v>212901001</v>
      </c>
      <c r="G5400" s="2" t="s">
        <v>91</v>
      </c>
      <c r="I5400" s="95" t="s">
        <v>7231</v>
      </c>
      <c r="J5400" t="s">
        <v>61</v>
      </c>
      <c r="K5400" t="s">
        <v>62</v>
      </c>
      <c r="M5400">
        <v>107.62</v>
      </c>
      <c r="N5400" s="4">
        <f t="shared" si="84"/>
        <v>-34.074614383943505</v>
      </c>
      <c r="O5400" t="s">
        <v>83</v>
      </c>
      <c r="R5400">
        <v>7</v>
      </c>
      <c r="S5400" t="e">
        <f>VLOOKUP(R5400,[1]!NOMINA[#Data],4,FALSE)</f>
        <v>#REF!</v>
      </c>
      <c r="T5400" t="e">
        <f>VLOOKUP(R5400,[1]!NOMINA[#Data],5,FALSE)</f>
        <v>#REF!</v>
      </c>
    </row>
    <row r="5401" spans="1:20" x14ac:dyDescent="0.25">
      <c r="A5401" s="22">
        <v>45838</v>
      </c>
      <c r="B5401" s="1">
        <v>714681634</v>
      </c>
      <c r="C5401" t="s">
        <v>4140</v>
      </c>
      <c r="D5401" s="23">
        <v>-4246.8</v>
      </c>
      <c r="E5401" s="76" t="s">
        <v>35</v>
      </c>
      <c r="F5401" s="2">
        <v>212901001</v>
      </c>
      <c r="G5401" s="2" t="s">
        <v>91</v>
      </c>
      <c r="I5401" s="95" t="s">
        <v>7231</v>
      </c>
      <c r="J5401" t="s">
        <v>61</v>
      </c>
      <c r="K5401" t="s">
        <v>62</v>
      </c>
      <c r="M5401">
        <v>107.62</v>
      </c>
      <c r="N5401" s="4">
        <f t="shared" si="84"/>
        <v>-39.461066716223748</v>
      </c>
      <c r="O5401" t="s">
        <v>83</v>
      </c>
      <c r="R5401">
        <v>4</v>
      </c>
      <c r="S5401" t="e">
        <f>VLOOKUP(R5401,[1]!NOMINA[#Data],4,FALSE)</f>
        <v>#REF!</v>
      </c>
      <c r="T5401" t="e">
        <f>VLOOKUP(R5401,[1]!NOMINA[#Data],5,FALSE)</f>
        <v>#REF!</v>
      </c>
    </row>
    <row r="5402" spans="1:20" x14ac:dyDescent="0.25">
      <c r="A5402" s="22">
        <v>45838</v>
      </c>
      <c r="B5402" s="1">
        <v>714681635</v>
      </c>
      <c r="C5402" t="s">
        <v>4141</v>
      </c>
      <c r="D5402" s="23">
        <v>-4246.8</v>
      </c>
      <c r="E5402" s="76" t="s">
        <v>35</v>
      </c>
      <c r="F5402" s="2">
        <v>212901001</v>
      </c>
      <c r="G5402" s="2" t="s">
        <v>91</v>
      </c>
      <c r="I5402" s="95" t="s">
        <v>7231</v>
      </c>
      <c r="J5402" t="s">
        <v>61</v>
      </c>
      <c r="K5402" t="s">
        <v>62</v>
      </c>
      <c r="M5402">
        <v>107.62</v>
      </c>
      <c r="N5402" s="4">
        <f t="shared" si="84"/>
        <v>-39.461066716223748</v>
      </c>
      <c r="O5402" t="s">
        <v>83</v>
      </c>
      <c r="R5402">
        <v>2</v>
      </c>
      <c r="S5402" t="e">
        <f>VLOOKUP(Tabla3[[#This Row],[Nº]],[1]!NOMINA[#Data],4,FALSE)</f>
        <v>#REF!</v>
      </c>
      <c r="T5402" t="e">
        <f>VLOOKUP(Tabla3[[#This Row],[Nº]],[1]!NOMINA[#Data],5,FALSE)</f>
        <v>#REF!</v>
      </c>
    </row>
    <row r="5403" spans="1:20" x14ac:dyDescent="0.25">
      <c r="A5403" s="22">
        <v>45838</v>
      </c>
      <c r="B5403" s="1">
        <v>714681638</v>
      </c>
      <c r="C5403" t="s">
        <v>4142</v>
      </c>
      <c r="D5403" s="23">
        <v>-4246.8</v>
      </c>
      <c r="E5403" s="76" t="s">
        <v>35</v>
      </c>
      <c r="F5403" s="2">
        <v>212901001</v>
      </c>
      <c r="G5403" s="2" t="s">
        <v>91</v>
      </c>
      <c r="I5403" s="95" t="s">
        <v>7231</v>
      </c>
      <c r="J5403" t="s">
        <v>61</v>
      </c>
      <c r="K5403" t="s">
        <v>62</v>
      </c>
      <c r="M5403">
        <v>107.62</v>
      </c>
      <c r="N5403" s="4">
        <f t="shared" si="84"/>
        <v>-39.461066716223748</v>
      </c>
      <c r="O5403" t="s">
        <v>83</v>
      </c>
      <c r="R5403">
        <v>3</v>
      </c>
      <c r="S5403" t="e">
        <f>VLOOKUP(R5403,[1]!NOMINA[#Data],4,FALSE)</f>
        <v>#REF!</v>
      </c>
      <c r="T5403" t="e">
        <f>VLOOKUP(R5403,[1]!NOMINA[#Data],5,FALSE)</f>
        <v>#REF!</v>
      </c>
    </row>
    <row r="5404" spans="1:20" x14ac:dyDescent="0.25">
      <c r="A5404" s="22">
        <v>45838</v>
      </c>
      <c r="B5404" s="1">
        <v>714681636</v>
      </c>
      <c r="C5404" t="s">
        <v>4143</v>
      </c>
      <c r="D5404" s="23">
        <v>-4246.8</v>
      </c>
      <c r="E5404" s="76" t="s">
        <v>35</v>
      </c>
      <c r="F5404" s="2">
        <v>212901001</v>
      </c>
      <c r="G5404" s="2" t="s">
        <v>91</v>
      </c>
      <c r="I5404" s="95" t="s">
        <v>7231</v>
      </c>
      <c r="J5404" t="s">
        <v>61</v>
      </c>
      <c r="K5404" t="s">
        <v>62</v>
      </c>
      <c r="M5404">
        <v>107.62</v>
      </c>
      <c r="N5404" s="4">
        <f t="shared" si="84"/>
        <v>-39.461066716223748</v>
      </c>
      <c r="O5404" t="s">
        <v>83</v>
      </c>
      <c r="R5404">
        <v>1</v>
      </c>
      <c r="S5404" t="e">
        <f>VLOOKUP(R5404,[1]!NOMINA[#Data],4,FALSE)</f>
        <v>#REF!</v>
      </c>
      <c r="T5404" t="e">
        <f>VLOOKUP(R5404,[1]!NOMINA[#Data],5,FALSE)</f>
        <v>#REF!</v>
      </c>
    </row>
    <row r="5405" spans="1:20" x14ac:dyDescent="0.25">
      <c r="A5405" s="22">
        <v>45838</v>
      </c>
      <c r="B5405" s="1">
        <v>714681637</v>
      </c>
      <c r="C5405" t="s">
        <v>4144</v>
      </c>
      <c r="D5405" s="23">
        <v>-4246.8</v>
      </c>
      <c r="E5405" s="76" t="s">
        <v>35</v>
      </c>
      <c r="F5405" s="2">
        <v>212901001</v>
      </c>
      <c r="G5405" s="2" t="s">
        <v>91</v>
      </c>
      <c r="I5405" s="95" t="s">
        <v>7231</v>
      </c>
      <c r="J5405" t="s">
        <v>61</v>
      </c>
      <c r="K5405" t="s">
        <v>62</v>
      </c>
      <c r="M5405">
        <v>107.62</v>
      </c>
      <c r="N5405" s="4">
        <f t="shared" si="84"/>
        <v>-39.461066716223748</v>
      </c>
      <c r="O5405" t="s">
        <v>83</v>
      </c>
      <c r="R5405">
        <v>9</v>
      </c>
      <c r="S5405" t="e">
        <f>VLOOKUP(R5405,[1]!NOMINA[#Data],4,FALSE)</f>
        <v>#REF!</v>
      </c>
      <c r="T5405" t="e">
        <f>VLOOKUP(R5405,[1]!NOMINA[#Data],5,FALSE)</f>
        <v>#REF!</v>
      </c>
    </row>
    <row r="5406" spans="1:20" x14ac:dyDescent="0.25">
      <c r="A5406" s="22">
        <v>45838</v>
      </c>
      <c r="B5406" s="1">
        <v>714681639</v>
      </c>
      <c r="C5406" t="s">
        <v>4145</v>
      </c>
      <c r="D5406" s="23">
        <v>-1981.84</v>
      </c>
      <c r="E5406" s="76" t="s">
        <v>35</v>
      </c>
      <c r="F5406" s="2">
        <v>212901001</v>
      </c>
      <c r="G5406" s="2" t="s">
        <v>91</v>
      </c>
      <c r="I5406" s="95" t="s">
        <v>7231</v>
      </c>
      <c r="J5406" t="s">
        <v>61</v>
      </c>
      <c r="K5406" t="s">
        <v>62</v>
      </c>
      <c r="M5406">
        <v>107.62</v>
      </c>
      <c r="N5406" s="4">
        <f t="shared" si="84"/>
        <v>-18.415164467571081</v>
      </c>
      <c r="O5406" t="s">
        <v>83</v>
      </c>
      <c r="R5406">
        <v>31</v>
      </c>
      <c r="S5406" t="e">
        <f>VLOOKUP(R5406,[1]!NOMINA[#Data],4,FALSE)</f>
        <v>#REF!</v>
      </c>
      <c r="T5406" t="e">
        <f>VLOOKUP(R5406,[1]!NOMINA[#Data],5,FALSE)</f>
        <v>#REF!</v>
      </c>
    </row>
    <row r="5407" spans="1:20" x14ac:dyDescent="0.25">
      <c r="A5407" s="22">
        <v>45838</v>
      </c>
      <c r="B5407" s="1">
        <v>714681640</v>
      </c>
      <c r="C5407" t="s">
        <v>4146</v>
      </c>
      <c r="D5407" s="23">
        <v>-4246.8</v>
      </c>
      <c r="E5407" s="76" t="s">
        <v>35</v>
      </c>
      <c r="F5407" s="2">
        <v>212901001</v>
      </c>
      <c r="G5407" s="2" t="s">
        <v>91</v>
      </c>
      <c r="I5407" s="95" t="s">
        <v>7231</v>
      </c>
      <c r="J5407" t="s">
        <v>61</v>
      </c>
      <c r="K5407" t="s">
        <v>62</v>
      </c>
      <c r="M5407">
        <v>107.62</v>
      </c>
      <c r="N5407" s="4">
        <f t="shared" si="84"/>
        <v>-39.461066716223748</v>
      </c>
      <c r="O5407" t="s">
        <v>83</v>
      </c>
      <c r="R5407">
        <v>10</v>
      </c>
      <c r="S5407" t="e">
        <f>VLOOKUP(R5407,[1]!NOMINA[#Data],4,FALSE)</f>
        <v>#REF!</v>
      </c>
      <c r="T5407" t="e">
        <f>VLOOKUP(R5407,[1]!NOMINA[#Data],5,FALSE)</f>
        <v>#REF!</v>
      </c>
    </row>
    <row r="5408" spans="1:20" x14ac:dyDescent="0.25">
      <c r="A5408" s="22">
        <v>45838</v>
      </c>
      <c r="B5408" s="1">
        <v>714681641</v>
      </c>
      <c r="C5408" t="s">
        <v>4147</v>
      </c>
      <c r="D5408" s="23">
        <v>-4246.8</v>
      </c>
      <c r="E5408" s="76" t="s">
        <v>35</v>
      </c>
      <c r="F5408" s="2">
        <v>212901001</v>
      </c>
      <c r="G5408" s="2" t="s">
        <v>91</v>
      </c>
      <c r="I5408" s="95" t="s">
        <v>7231</v>
      </c>
      <c r="J5408" t="s">
        <v>61</v>
      </c>
      <c r="K5408" t="s">
        <v>62</v>
      </c>
      <c r="M5408">
        <v>107.62</v>
      </c>
      <c r="N5408" s="4">
        <f t="shared" si="84"/>
        <v>-39.461066716223748</v>
      </c>
      <c r="O5408" t="s">
        <v>83</v>
      </c>
      <c r="R5408">
        <v>26</v>
      </c>
      <c r="S5408" t="e">
        <f>VLOOKUP(R5408,[1]!NOMINA[#Data],4,FALSE)</f>
        <v>#REF!</v>
      </c>
      <c r="T5408" t="e">
        <f>VLOOKUP(R5408,[1]!NOMINA[#Data],5,FALSE)</f>
        <v>#REF!</v>
      </c>
    </row>
    <row r="5409" spans="1:20" x14ac:dyDescent="0.25">
      <c r="A5409" s="22">
        <v>45838</v>
      </c>
      <c r="B5409" s="1">
        <v>814681642</v>
      </c>
      <c r="C5409" t="s">
        <v>4148</v>
      </c>
      <c r="D5409" s="23">
        <v>-4246.8</v>
      </c>
      <c r="E5409" s="76" t="s">
        <v>35</v>
      </c>
      <c r="F5409" s="2">
        <v>212901001</v>
      </c>
      <c r="G5409" s="2" t="s">
        <v>91</v>
      </c>
      <c r="I5409" s="95" t="s">
        <v>7231</v>
      </c>
      <c r="J5409" t="s">
        <v>61</v>
      </c>
      <c r="K5409" t="s">
        <v>62</v>
      </c>
      <c r="M5409">
        <v>107.62</v>
      </c>
      <c r="N5409" s="4">
        <f t="shared" si="84"/>
        <v>-39.461066716223748</v>
      </c>
      <c r="O5409" t="s">
        <v>83</v>
      </c>
      <c r="R5409">
        <v>29</v>
      </c>
      <c r="S5409" t="e">
        <f>VLOOKUP(R5409,[1]!NOMINA[#Data],4,FALSE)</f>
        <v>#REF!</v>
      </c>
      <c r="T5409" t="e">
        <f>VLOOKUP(R5409,[1]!NOMINA[#Data],5,FALSE)</f>
        <v>#REF!</v>
      </c>
    </row>
    <row r="5410" spans="1:20" x14ac:dyDescent="0.25">
      <c r="A5410" s="22">
        <v>45838</v>
      </c>
      <c r="B5410" s="1">
        <v>814681646</v>
      </c>
      <c r="C5410" t="s">
        <v>4149</v>
      </c>
      <c r="D5410" s="23">
        <v>-4246.8</v>
      </c>
      <c r="E5410" s="76" t="s">
        <v>35</v>
      </c>
      <c r="F5410" s="2">
        <v>212901001</v>
      </c>
      <c r="G5410" s="2" t="s">
        <v>91</v>
      </c>
      <c r="I5410" s="95" t="s">
        <v>7231</v>
      </c>
      <c r="J5410" t="s">
        <v>61</v>
      </c>
      <c r="K5410" t="s">
        <v>62</v>
      </c>
      <c r="M5410">
        <v>107.62</v>
      </c>
      <c r="N5410" s="4">
        <f t="shared" si="84"/>
        <v>-39.461066716223748</v>
      </c>
      <c r="O5410" t="s">
        <v>83</v>
      </c>
      <c r="R5410">
        <v>18</v>
      </c>
      <c r="S5410" t="e">
        <f>VLOOKUP(Tabla3[[#This Row],[Nº]],[1]!NOMINA[#Data],4,FALSE)</f>
        <v>#REF!</v>
      </c>
      <c r="T5410" t="e">
        <f>VLOOKUP(Tabla3[[#This Row],[Nº]],[1]!NOMINA[#Data],5,FALSE)</f>
        <v>#REF!</v>
      </c>
    </row>
    <row r="5411" spans="1:20" x14ac:dyDescent="0.25">
      <c r="A5411" s="22">
        <v>45838</v>
      </c>
      <c r="B5411" s="1">
        <v>814681643</v>
      </c>
      <c r="C5411" t="s">
        <v>4150</v>
      </c>
      <c r="D5411" s="23">
        <v>-4246.8</v>
      </c>
      <c r="E5411" s="76" t="s">
        <v>35</v>
      </c>
      <c r="F5411" s="2">
        <v>212901001</v>
      </c>
      <c r="G5411" s="2" t="s">
        <v>91</v>
      </c>
      <c r="I5411" s="95" t="s">
        <v>7231</v>
      </c>
      <c r="J5411" t="s">
        <v>61</v>
      </c>
      <c r="K5411" t="s">
        <v>62</v>
      </c>
      <c r="M5411">
        <v>107.62</v>
      </c>
      <c r="N5411" s="4">
        <f t="shared" si="84"/>
        <v>-39.461066716223748</v>
      </c>
      <c r="O5411" t="s">
        <v>83</v>
      </c>
      <c r="R5411">
        <v>35</v>
      </c>
      <c r="S5411" t="e">
        <f>VLOOKUP(R5411,[1]!NOMINA[#Data],4,FALSE)</f>
        <v>#REF!</v>
      </c>
      <c r="T5411" t="e">
        <f>VLOOKUP(R5411,[1]!NOMINA[#Data],5,FALSE)</f>
        <v>#REF!</v>
      </c>
    </row>
    <row r="5412" spans="1:20" x14ac:dyDescent="0.25">
      <c r="A5412" s="22">
        <v>45838</v>
      </c>
      <c r="B5412" s="1">
        <v>814681645</v>
      </c>
      <c r="C5412" t="s">
        <v>4151</v>
      </c>
      <c r="D5412" s="23">
        <v>-4246.8</v>
      </c>
      <c r="E5412" s="76" t="s">
        <v>35</v>
      </c>
      <c r="F5412" s="2">
        <v>212901001</v>
      </c>
      <c r="G5412" s="2" t="s">
        <v>91</v>
      </c>
      <c r="I5412" s="95" t="s">
        <v>7231</v>
      </c>
      <c r="J5412" t="s">
        <v>61</v>
      </c>
      <c r="K5412" t="s">
        <v>62</v>
      </c>
      <c r="M5412">
        <v>107.62</v>
      </c>
      <c r="N5412" s="4">
        <f t="shared" si="84"/>
        <v>-39.461066716223748</v>
      </c>
      <c r="O5412" t="s">
        <v>83</v>
      </c>
      <c r="R5412">
        <v>15</v>
      </c>
      <c r="S5412" t="e">
        <f>VLOOKUP(R5412,[1]!NOMINA[#Data],4,FALSE)</f>
        <v>#REF!</v>
      </c>
      <c r="T5412" t="e">
        <f>VLOOKUP(R5412,[1]!NOMINA[#Data],5,FALSE)</f>
        <v>#REF!</v>
      </c>
    </row>
    <row r="5413" spans="1:20" x14ac:dyDescent="0.25">
      <c r="A5413" s="22">
        <v>45838</v>
      </c>
      <c r="B5413" s="1">
        <v>814681648</v>
      </c>
      <c r="C5413" t="s">
        <v>4152</v>
      </c>
      <c r="D5413" s="23">
        <v>-1981.84</v>
      </c>
      <c r="E5413" s="76" t="s">
        <v>35</v>
      </c>
      <c r="F5413" s="2">
        <v>212901001</v>
      </c>
      <c r="G5413" s="2" t="s">
        <v>91</v>
      </c>
      <c r="I5413" s="95" t="s">
        <v>7231</v>
      </c>
      <c r="J5413" t="s">
        <v>61</v>
      </c>
      <c r="K5413" t="s">
        <v>62</v>
      </c>
      <c r="M5413">
        <v>107.62</v>
      </c>
      <c r="N5413" s="4">
        <f t="shared" si="84"/>
        <v>-18.415164467571081</v>
      </c>
      <c r="O5413" t="s">
        <v>83</v>
      </c>
      <c r="R5413">
        <v>33</v>
      </c>
      <c r="S5413" t="e">
        <f>VLOOKUP(R5413,[1]!NOMINA[#Data],4,FALSE)</f>
        <v>#REF!</v>
      </c>
      <c r="T5413" t="e">
        <f>VLOOKUP(R5413,[1]!NOMINA[#Data],5,FALSE)</f>
        <v>#REF!</v>
      </c>
    </row>
    <row r="5414" spans="1:20" x14ac:dyDescent="0.25">
      <c r="A5414" s="22">
        <v>45838</v>
      </c>
      <c r="B5414" s="1">
        <v>814681651</v>
      </c>
      <c r="C5414" t="s">
        <v>4153</v>
      </c>
      <c r="D5414" s="23">
        <v>-4246.8</v>
      </c>
      <c r="E5414" s="76" t="s">
        <v>35</v>
      </c>
      <c r="F5414" s="2">
        <v>212901001</v>
      </c>
      <c r="G5414" s="2" t="s">
        <v>91</v>
      </c>
      <c r="I5414" s="95" t="s">
        <v>7231</v>
      </c>
      <c r="J5414" t="s">
        <v>61</v>
      </c>
      <c r="K5414" t="s">
        <v>62</v>
      </c>
      <c r="M5414">
        <v>107.62</v>
      </c>
      <c r="N5414" s="4">
        <f t="shared" si="84"/>
        <v>-39.461066716223748</v>
      </c>
      <c r="O5414" t="s">
        <v>83</v>
      </c>
      <c r="R5414">
        <v>20</v>
      </c>
      <c r="S5414" t="e">
        <f>VLOOKUP(R5414,[1]!NOMINA[#Data],4,FALSE)</f>
        <v>#REF!</v>
      </c>
      <c r="T5414" t="e">
        <f>VLOOKUP(R5414,[1]!NOMINA[#Data],5,FALSE)</f>
        <v>#REF!</v>
      </c>
    </row>
    <row r="5415" spans="1:20" x14ac:dyDescent="0.25">
      <c r="A5415" s="22">
        <v>45838</v>
      </c>
      <c r="B5415" s="1">
        <v>814681644</v>
      </c>
      <c r="C5415" t="s">
        <v>4150</v>
      </c>
      <c r="D5415" s="23">
        <v>-1132.48</v>
      </c>
      <c r="E5415" s="76" t="s">
        <v>35</v>
      </c>
      <c r="F5415" s="2">
        <v>212901001</v>
      </c>
      <c r="G5415" s="2" t="s">
        <v>91</v>
      </c>
      <c r="I5415" s="95" t="s">
        <v>7231</v>
      </c>
      <c r="J5415" t="s">
        <v>61</v>
      </c>
      <c r="K5415" t="s">
        <v>62</v>
      </c>
      <c r="M5415">
        <v>107.62</v>
      </c>
      <c r="N5415" s="4">
        <f t="shared" si="84"/>
        <v>-10.522951124326333</v>
      </c>
      <c r="O5415" t="s">
        <v>83</v>
      </c>
      <c r="R5415">
        <v>35</v>
      </c>
      <c r="S5415" t="e">
        <f>VLOOKUP(R5415,[1]!NOMINA[#Data],4,FALSE)</f>
        <v>#REF!</v>
      </c>
      <c r="T5415" t="e">
        <f>VLOOKUP(R5415,[1]!NOMINA[#Data],5,FALSE)</f>
        <v>#REF!</v>
      </c>
    </row>
    <row r="5416" spans="1:20" x14ac:dyDescent="0.25">
      <c r="A5416" s="22">
        <v>45838</v>
      </c>
      <c r="B5416" s="1">
        <v>814681650</v>
      </c>
      <c r="C5416" t="s">
        <v>4154</v>
      </c>
      <c r="D5416" s="23">
        <v>-4246.8</v>
      </c>
      <c r="E5416" s="76" t="s">
        <v>35</v>
      </c>
      <c r="F5416" s="2">
        <v>212901001</v>
      </c>
      <c r="G5416" s="2" t="s">
        <v>91</v>
      </c>
      <c r="I5416" s="95" t="s">
        <v>7231</v>
      </c>
      <c r="J5416" t="s">
        <v>61</v>
      </c>
      <c r="K5416" t="s">
        <v>62</v>
      </c>
      <c r="M5416">
        <v>107.62</v>
      </c>
      <c r="N5416" s="4">
        <f t="shared" si="84"/>
        <v>-39.461066716223748</v>
      </c>
      <c r="O5416" t="s">
        <v>83</v>
      </c>
      <c r="R5416">
        <v>13</v>
      </c>
      <c r="S5416" t="e">
        <f>VLOOKUP(R5416,[1]!NOMINA[#Data],4,FALSE)</f>
        <v>#REF!</v>
      </c>
      <c r="T5416" t="e">
        <f>VLOOKUP(R5416,[1]!NOMINA[#Data],5,FALSE)</f>
        <v>#REF!</v>
      </c>
    </row>
    <row r="5417" spans="1:20" x14ac:dyDescent="0.25">
      <c r="A5417" s="22">
        <v>45838</v>
      </c>
      <c r="B5417" s="1">
        <v>814681652</v>
      </c>
      <c r="C5417" t="s">
        <v>4155</v>
      </c>
      <c r="D5417" s="23">
        <v>-4246.8</v>
      </c>
      <c r="E5417" s="76" t="s">
        <v>35</v>
      </c>
      <c r="F5417" s="2">
        <v>212901001</v>
      </c>
      <c r="G5417" s="2" t="s">
        <v>91</v>
      </c>
      <c r="I5417" s="95" t="s">
        <v>7231</v>
      </c>
      <c r="J5417" t="s">
        <v>61</v>
      </c>
      <c r="K5417" t="s">
        <v>62</v>
      </c>
      <c r="M5417">
        <v>107.62</v>
      </c>
      <c r="N5417" s="4">
        <f t="shared" si="84"/>
        <v>-39.461066716223748</v>
      </c>
      <c r="O5417" t="s">
        <v>83</v>
      </c>
      <c r="R5417">
        <v>8</v>
      </c>
      <c r="S5417" t="e">
        <f>VLOOKUP(R5417,[1]!NOMINA[#Data],4,FALSE)</f>
        <v>#REF!</v>
      </c>
      <c r="T5417" t="e">
        <f>VLOOKUP(R5417,[1]!NOMINA[#Data],5,FALSE)</f>
        <v>#REF!</v>
      </c>
    </row>
    <row r="5418" spans="1:20" x14ac:dyDescent="0.25">
      <c r="A5418" s="22">
        <v>45838</v>
      </c>
      <c r="B5418" s="1">
        <v>814681649</v>
      </c>
      <c r="C5418" t="s">
        <v>4156</v>
      </c>
      <c r="D5418" s="23">
        <v>-4246.8</v>
      </c>
      <c r="E5418" s="76" t="s">
        <v>35</v>
      </c>
      <c r="F5418" s="2">
        <v>212901001</v>
      </c>
      <c r="G5418" s="2" t="s">
        <v>91</v>
      </c>
      <c r="I5418" s="95" t="s">
        <v>7231</v>
      </c>
      <c r="J5418" t="s">
        <v>61</v>
      </c>
      <c r="K5418" t="s">
        <v>62</v>
      </c>
      <c r="M5418">
        <v>107.62</v>
      </c>
      <c r="N5418" s="4">
        <f t="shared" si="84"/>
        <v>-39.461066716223748</v>
      </c>
      <c r="O5418" t="s">
        <v>83</v>
      </c>
      <c r="R5418">
        <v>11</v>
      </c>
      <c r="S5418" t="e">
        <f>VLOOKUP(R5418,[1]!NOMINA[#Data],4,FALSE)</f>
        <v>#REF!</v>
      </c>
      <c r="T5418" t="e">
        <f>VLOOKUP(R5418,[1]!NOMINA[#Data],5,FALSE)</f>
        <v>#REF!</v>
      </c>
    </row>
    <row r="5419" spans="1:20" x14ac:dyDescent="0.25">
      <c r="A5419" s="22">
        <v>45838</v>
      </c>
      <c r="B5419" s="1">
        <v>914681653</v>
      </c>
      <c r="C5419" t="s">
        <v>4157</v>
      </c>
      <c r="D5419" s="23">
        <v>-4246.8</v>
      </c>
      <c r="E5419" s="76" t="s">
        <v>35</v>
      </c>
      <c r="F5419" s="2">
        <v>212901001</v>
      </c>
      <c r="G5419" s="2" t="s">
        <v>91</v>
      </c>
      <c r="I5419" s="95" t="s">
        <v>7231</v>
      </c>
      <c r="J5419" t="s">
        <v>61</v>
      </c>
      <c r="K5419" t="s">
        <v>62</v>
      </c>
      <c r="M5419">
        <v>107.62</v>
      </c>
      <c r="N5419" s="4">
        <f t="shared" si="84"/>
        <v>-39.461066716223748</v>
      </c>
      <c r="O5419" t="s">
        <v>83</v>
      </c>
      <c r="R5419">
        <v>23</v>
      </c>
      <c r="S5419" t="e">
        <f>VLOOKUP(R5419,[1]!NOMINA[#Data],4,FALSE)</f>
        <v>#REF!</v>
      </c>
      <c r="T5419" t="e">
        <f>VLOOKUP(R5419,[1]!NOMINA[#Data],5,FALSE)</f>
        <v>#REF!</v>
      </c>
    </row>
    <row r="5420" spans="1:20" x14ac:dyDescent="0.25">
      <c r="A5420" s="22">
        <v>45838</v>
      </c>
      <c r="B5420" s="1">
        <v>914681654</v>
      </c>
      <c r="C5420" t="s">
        <v>4158</v>
      </c>
      <c r="D5420" s="23">
        <v>-4246.8</v>
      </c>
      <c r="E5420" s="76" t="s">
        <v>35</v>
      </c>
      <c r="F5420" s="2">
        <v>212901001</v>
      </c>
      <c r="G5420" s="2" t="s">
        <v>91</v>
      </c>
      <c r="I5420" s="95" t="s">
        <v>7231</v>
      </c>
      <c r="J5420" t="s">
        <v>61</v>
      </c>
      <c r="K5420" t="s">
        <v>62</v>
      </c>
      <c r="M5420">
        <v>107.62</v>
      </c>
      <c r="N5420" s="4">
        <f t="shared" si="84"/>
        <v>-39.461066716223748</v>
      </c>
      <c r="O5420" t="s">
        <v>83</v>
      </c>
      <c r="R5420">
        <v>17</v>
      </c>
      <c r="S5420" t="e">
        <f>VLOOKUP(R5420,[1]!NOMINA[#Data],4,FALSE)</f>
        <v>#REF!</v>
      </c>
      <c r="T5420" t="e">
        <f>VLOOKUP(R5420,[1]!NOMINA[#Data],5,FALSE)</f>
        <v>#REF!</v>
      </c>
    </row>
    <row r="5421" spans="1:20" x14ac:dyDescent="0.25">
      <c r="A5421" s="22">
        <v>45838</v>
      </c>
      <c r="B5421" s="1">
        <v>914681656</v>
      </c>
      <c r="C5421" t="s">
        <v>4159</v>
      </c>
      <c r="D5421" s="23">
        <v>-4246.8</v>
      </c>
      <c r="E5421" s="76" t="s">
        <v>35</v>
      </c>
      <c r="F5421" s="2">
        <v>212901001</v>
      </c>
      <c r="G5421" s="2" t="s">
        <v>91</v>
      </c>
      <c r="I5421" s="95" t="s">
        <v>7231</v>
      </c>
      <c r="J5421" t="s">
        <v>61</v>
      </c>
      <c r="K5421" t="s">
        <v>62</v>
      </c>
      <c r="M5421">
        <v>107.62</v>
      </c>
      <c r="N5421" s="4">
        <f t="shared" si="84"/>
        <v>-39.461066716223748</v>
      </c>
      <c r="O5421" t="s">
        <v>83</v>
      </c>
      <c r="R5421">
        <v>4</v>
      </c>
      <c r="S5421" t="e">
        <f>VLOOKUP(R5421,[1]!NOMINA[#Data],4,FALSE)</f>
        <v>#REF!</v>
      </c>
      <c r="T5421" t="e">
        <f>VLOOKUP(R5421,[1]!NOMINA[#Data],5,FALSE)</f>
        <v>#REF!</v>
      </c>
    </row>
    <row r="5422" spans="1:20" x14ac:dyDescent="0.25">
      <c r="A5422" s="22">
        <v>45838</v>
      </c>
      <c r="B5422" s="1">
        <v>914681658</v>
      </c>
      <c r="C5422" t="s">
        <v>4160</v>
      </c>
      <c r="D5422" s="23">
        <v>-4246.8</v>
      </c>
      <c r="E5422" s="76" t="s">
        <v>35</v>
      </c>
      <c r="F5422" s="2">
        <v>212901001</v>
      </c>
      <c r="G5422" s="2" t="s">
        <v>91</v>
      </c>
      <c r="I5422" s="95" t="s">
        <v>7231</v>
      </c>
      <c r="J5422" t="s">
        <v>61</v>
      </c>
      <c r="K5422" t="s">
        <v>62</v>
      </c>
      <c r="M5422">
        <v>107.62</v>
      </c>
      <c r="N5422" s="4">
        <f t="shared" si="84"/>
        <v>-39.461066716223748</v>
      </c>
      <c r="O5422" t="s">
        <v>83</v>
      </c>
      <c r="R5422">
        <v>22</v>
      </c>
      <c r="S5422" t="e">
        <f>VLOOKUP(R5422,[1]!NOMINA[#Data],4,FALSE)</f>
        <v>#REF!</v>
      </c>
      <c r="T5422" t="e">
        <f>VLOOKUP(R5422,[1]!NOMINA[#Data],5,FALSE)</f>
        <v>#REF!</v>
      </c>
    </row>
    <row r="5423" spans="1:20" x14ac:dyDescent="0.25">
      <c r="A5423" s="22">
        <v>45838</v>
      </c>
      <c r="B5423" s="1">
        <v>914681655</v>
      </c>
      <c r="C5423" t="s">
        <v>4161</v>
      </c>
      <c r="D5423" s="23">
        <v>-1981.84</v>
      </c>
      <c r="E5423" s="76" t="s">
        <v>35</v>
      </c>
      <c r="F5423" s="2">
        <v>212901001</v>
      </c>
      <c r="G5423" s="2" t="s">
        <v>91</v>
      </c>
      <c r="I5423" s="95" t="s">
        <v>7231</v>
      </c>
      <c r="J5423" t="s">
        <v>61</v>
      </c>
      <c r="K5423" t="s">
        <v>62</v>
      </c>
      <c r="M5423">
        <v>107.62</v>
      </c>
      <c r="N5423" s="4">
        <f t="shared" si="84"/>
        <v>-18.415164467571081</v>
      </c>
      <c r="O5423" t="s">
        <v>83</v>
      </c>
      <c r="R5423">
        <v>34</v>
      </c>
      <c r="S5423" t="e">
        <f>VLOOKUP(R5423,[1]!NOMINA[#Data],4,FALSE)</f>
        <v>#REF!</v>
      </c>
      <c r="T5423" t="e">
        <f>VLOOKUP(R5423,[1]!NOMINA[#Data],5,FALSE)</f>
        <v>#REF!</v>
      </c>
    </row>
    <row r="5424" spans="1:20" x14ac:dyDescent="0.25">
      <c r="A5424" s="22">
        <v>45838</v>
      </c>
      <c r="B5424" s="1">
        <v>914681657</v>
      </c>
      <c r="C5424" t="s">
        <v>4162</v>
      </c>
      <c r="D5424" s="23">
        <v>-1981.84</v>
      </c>
      <c r="E5424" s="76" t="s">
        <v>35</v>
      </c>
      <c r="F5424" s="2">
        <v>212901001</v>
      </c>
      <c r="G5424" s="2" t="s">
        <v>91</v>
      </c>
      <c r="I5424" s="95" t="s">
        <v>7231</v>
      </c>
      <c r="J5424" t="s">
        <v>61</v>
      </c>
      <c r="K5424" t="s">
        <v>62</v>
      </c>
      <c r="M5424">
        <v>107.62</v>
      </c>
      <c r="N5424" s="4">
        <f t="shared" si="84"/>
        <v>-18.415164467571081</v>
      </c>
      <c r="O5424" t="s">
        <v>83</v>
      </c>
      <c r="R5424">
        <v>32</v>
      </c>
      <c r="S5424" t="e">
        <f>VLOOKUP(R5424,[1]!NOMINA[#Data],4,FALSE)</f>
        <v>#REF!</v>
      </c>
      <c r="T5424" t="e">
        <f>VLOOKUP(R5424,[1]!NOMINA[#Data],5,FALSE)</f>
        <v>#REF!</v>
      </c>
    </row>
    <row r="5425" spans="1:20" x14ac:dyDescent="0.25">
      <c r="A5425" s="22">
        <v>45838</v>
      </c>
      <c r="B5425" s="1">
        <v>914681659</v>
      </c>
      <c r="C5425" t="s">
        <v>4163</v>
      </c>
      <c r="D5425" s="23">
        <v>-4246.8</v>
      </c>
      <c r="E5425" s="76" t="s">
        <v>35</v>
      </c>
      <c r="F5425" s="2">
        <v>212901001</v>
      </c>
      <c r="G5425" s="2" t="s">
        <v>91</v>
      </c>
      <c r="I5425" s="95" t="s">
        <v>7231</v>
      </c>
      <c r="J5425" t="s">
        <v>61</v>
      </c>
      <c r="K5425" t="s">
        <v>62</v>
      </c>
      <c r="M5425">
        <v>107.62</v>
      </c>
      <c r="N5425" s="4">
        <f t="shared" si="84"/>
        <v>-39.461066716223748</v>
      </c>
      <c r="O5425" t="s">
        <v>83</v>
      </c>
      <c r="R5425">
        <v>14</v>
      </c>
      <c r="S5425" t="e">
        <f>VLOOKUP(R5425,[1]!NOMINA[#Data],4,FALSE)</f>
        <v>#REF!</v>
      </c>
      <c r="T5425" t="e">
        <f>VLOOKUP(R5425,[1]!NOMINA[#Data],5,FALSE)</f>
        <v>#REF!</v>
      </c>
    </row>
    <row r="5426" spans="1:20" x14ac:dyDescent="0.25">
      <c r="A5426" s="22">
        <v>45838</v>
      </c>
      <c r="B5426" s="1">
        <v>14681661</v>
      </c>
      <c r="C5426" t="s">
        <v>4164</v>
      </c>
      <c r="D5426" s="23">
        <v>-4246.8</v>
      </c>
      <c r="E5426" s="76" t="s">
        <v>35</v>
      </c>
      <c r="F5426" s="2">
        <v>212901001</v>
      </c>
      <c r="G5426" s="2" t="s">
        <v>91</v>
      </c>
      <c r="I5426" s="95" t="s">
        <v>7231</v>
      </c>
      <c r="J5426" t="s">
        <v>61</v>
      </c>
      <c r="K5426" t="s">
        <v>62</v>
      </c>
      <c r="M5426">
        <v>107.62</v>
      </c>
      <c r="N5426" s="4">
        <f t="shared" si="84"/>
        <v>-39.461066716223748</v>
      </c>
      <c r="O5426" t="s">
        <v>83</v>
      </c>
      <c r="R5426">
        <v>21</v>
      </c>
      <c r="S5426" t="e">
        <f>VLOOKUP(R5426,[1]!NOMINA[#Data],4,FALSE)</f>
        <v>#REF!</v>
      </c>
      <c r="T5426" t="e">
        <f>VLOOKUP(R5426,[1]!NOMINA[#Data],5,FALSE)</f>
        <v>#REF!</v>
      </c>
    </row>
    <row r="5427" spans="1:20" x14ac:dyDescent="0.25">
      <c r="A5427" s="22">
        <v>45838</v>
      </c>
      <c r="B5427" s="1">
        <v>14681660</v>
      </c>
      <c r="C5427" t="s">
        <v>4165</v>
      </c>
      <c r="D5427" s="23">
        <v>-4246.8</v>
      </c>
      <c r="E5427" s="76" t="s">
        <v>35</v>
      </c>
      <c r="F5427" s="2">
        <v>212901001</v>
      </c>
      <c r="G5427" s="2" t="s">
        <v>91</v>
      </c>
      <c r="I5427" s="95" t="s">
        <v>7231</v>
      </c>
      <c r="J5427" t="s">
        <v>61</v>
      </c>
      <c r="K5427" t="s">
        <v>62</v>
      </c>
      <c r="M5427">
        <v>107.62</v>
      </c>
      <c r="N5427" s="4">
        <f t="shared" si="84"/>
        <v>-39.461066716223748</v>
      </c>
      <c r="O5427" t="s">
        <v>83</v>
      </c>
      <c r="R5427">
        <v>25</v>
      </c>
      <c r="S5427" t="e">
        <f>VLOOKUP(R5427,[1]!NOMINA[#Data],4,FALSE)</f>
        <v>#REF!</v>
      </c>
      <c r="T5427" t="e">
        <f>VLOOKUP(R5427,[1]!NOMINA[#Data],5,FALSE)</f>
        <v>#REF!</v>
      </c>
    </row>
    <row r="5428" spans="1:20" x14ac:dyDescent="0.25">
      <c r="A5428" s="22">
        <v>45838</v>
      </c>
      <c r="B5428" s="1">
        <v>14681664</v>
      </c>
      <c r="C5428" t="s">
        <v>4166</v>
      </c>
      <c r="D5428" s="23">
        <v>-4246.8</v>
      </c>
      <c r="E5428" s="76" t="s">
        <v>35</v>
      </c>
      <c r="F5428" s="2">
        <v>212901001</v>
      </c>
      <c r="G5428" s="2" t="s">
        <v>91</v>
      </c>
      <c r="I5428" s="95" t="s">
        <v>7231</v>
      </c>
      <c r="J5428" t="s">
        <v>61</v>
      </c>
      <c r="K5428" t="s">
        <v>62</v>
      </c>
      <c r="M5428">
        <v>107.62</v>
      </c>
      <c r="N5428" s="4">
        <f t="shared" si="84"/>
        <v>-39.461066716223748</v>
      </c>
      <c r="O5428" t="s">
        <v>83</v>
      </c>
      <c r="R5428">
        <v>12</v>
      </c>
      <c r="S5428" t="e">
        <f>VLOOKUP(R5428,[1]!NOMINA[#Data],4,FALSE)</f>
        <v>#REF!</v>
      </c>
      <c r="T5428" t="e">
        <f>VLOOKUP(R5428,[1]!NOMINA[#Data],5,FALSE)</f>
        <v>#REF!</v>
      </c>
    </row>
    <row r="5429" spans="1:20" x14ac:dyDescent="0.25">
      <c r="A5429" s="22">
        <v>45838</v>
      </c>
      <c r="B5429" s="1">
        <v>14681662</v>
      </c>
      <c r="C5429" t="s">
        <v>4167</v>
      </c>
      <c r="D5429" s="23">
        <v>-4246.8</v>
      </c>
      <c r="E5429" s="76" t="s">
        <v>35</v>
      </c>
      <c r="F5429" s="2">
        <v>212901001</v>
      </c>
      <c r="G5429" s="2" t="s">
        <v>91</v>
      </c>
      <c r="I5429" s="95" t="s">
        <v>7231</v>
      </c>
      <c r="J5429" t="s">
        <v>61</v>
      </c>
      <c r="K5429" t="s">
        <v>62</v>
      </c>
      <c r="M5429">
        <v>107.62</v>
      </c>
      <c r="N5429" s="4">
        <f t="shared" si="84"/>
        <v>-39.461066716223748</v>
      </c>
      <c r="O5429" t="s">
        <v>83</v>
      </c>
      <c r="R5429">
        <v>2</v>
      </c>
      <c r="S5429" t="e">
        <f>VLOOKUP(Tabla3[[#This Row],[Nº]],[1]!NOMINA[#Data],4,FALSE)</f>
        <v>#REF!</v>
      </c>
      <c r="T5429" t="e">
        <f>VLOOKUP(Tabla3[[#This Row],[Nº]],[1]!NOMINA[#Data],5,FALSE)</f>
        <v>#REF!</v>
      </c>
    </row>
    <row r="5430" spans="1:20" x14ac:dyDescent="0.25">
      <c r="A5430" s="22">
        <v>45838</v>
      </c>
      <c r="B5430" s="1">
        <v>14681663</v>
      </c>
      <c r="C5430" t="s">
        <v>4168</v>
      </c>
      <c r="D5430" s="23">
        <v>-4246.8</v>
      </c>
      <c r="E5430" s="76" t="s">
        <v>35</v>
      </c>
      <c r="F5430" s="2">
        <v>212901001</v>
      </c>
      <c r="G5430" s="2" t="s">
        <v>91</v>
      </c>
      <c r="I5430" s="95" t="s">
        <v>7231</v>
      </c>
      <c r="J5430" t="s">
        <v>61</v>
      </c>
      <c r="K5430" t="s">
        <v>62</v>
      </c>
      <c r="M5430">
        <v>107.62</v>
      </c>
      <c r="N5430" s="4">
        <f t="shared" si="84"/>
        <v>-39.461066716223748</v>
      </c>
      <c r="O5430" t="s">
        <v>83</v>
      </c>
      <c r="R5430">
        <v>28</v>
      </c>
      <c r="S5430" t="e">
        <f>VLOOKUP(R5430,[1]!NOMINA[#Data],4,FALSE)</f>
        <v>#REF!</v>
      </c>
      <c r="T5430" t="e">
        <f>VLOOKUP(R5430,[1]!NOMINA[#Data],5,FALSE)</f>
        <v>#REF!</v>
      </c>
    </row>
    <row r="5431" spans="1:20" x14ac:dyDescent="0.25">
      <c r="A5431" s="22">
        <v>45838</v>
      </c>
      <c r="B5431" s="1">
        <v>14681665</v>
      </c>
      <c r="C5431" t="s">
        <v>4169</v>
      </c>
      <c r="D5431" s="23">
        <v>-4246.8</v>
      </c>
      <c r="E5431" s="76" t="s">
        <v>35</v>
      </c>
      <c r="F5431" s="2">
        <v>212901001</v>
      </c>
      <c r="G5431" s="2" t="s">
        <v>91</v>
      </c>
      <c r="I5431" s="95" t="s">
        <v>7231</v>
      </c>
      <c r="J5431" t="s">
        <v>61</v>
      </c>
      <c r="K5431" t="s">
        <v>62</v>
      </c>
      <c r="M5431">
        <v>107.62</v>
      </c>
      <c r="N5431" s="4">
        <f t="shared" si="84"/>
        <v>-39.461066716223748</v>
      </c>
      <c r="O5431" t="s">
        <v>83</v>
      </c>
      <c r="R5431">
        <v>6</v>
      </c>
      <c r="S5431" t="e">
        <f>VLOOKUP(R5431,[1]!NOMINA[#Data],4,FALSE)</f>
        <v>#REF!</v>
      </c>
      <c r="T5431" t="e">
        <f>VLOOKUP(R5431,[1]!NOMINA[#Data],5,FALSE)</f>
        <v>#REF!</v>
      </c>
    </row>
    <row r="5432" spans="1:20" x14ac:dyDescent="0.25">
      <c r="A5432" s="22">
        <v>45838</v>
      </c>
      <c r="B5432" s="1">
        <v>14681666</v>
      </c>
      <c r="C5432" t="s">
        <v>4170</v>
      </c>
      <c r="D5432" s="23">
        <v>-4246.8</v>
      </c>
      <c r="E5432" s="76" t="s">
        <v>35</v>
      </c>
      <c r="F5432" s="2">
        <v>212901001</v>
      </c>
      <c r="G5432" s="2" t="s">
        <v>91</v>
      </c>
      <c r="I5432" s="95" t="s">
        <v>7231</v>
      </c>
      <c r="J5432" t="s">
        <v>61</v>
      </c>
      <c r="K5432" t="s">
        <v>62</v>
      </c>
      <c r="M5432">
        <v>107.62</v>
      </c>
      <c r="N5432" s="4">
        <f t="shared" si="84"/>
        <v>-39.461066716223748</v>
      </c>
      <c r="O5432" t="s">
        <v>83</v>
      </c>
      <c r="R5432">
        <v>24</v>
      </c>
      <c r="S5432" t="e">
        <f>VLOOKUP(R5432,[1]!NOMINA[#Data],4,FALSE)</f>
        <v>#REF!</v>
      </c>
      <c r="T5432" t="e">
        <f>VLOOKUP(R5432,[1]!NOMINA[#Data],5,FALSE)</f>
        <v>#REF!</v>
      </c>
    </row>
    <row r="5433" spans="1:20" x14ac:dyDescent="0.25">
      <c r="A5433" s="22">
        <v>45838</v>
      </c>
      <c r="B5433" s="1">
        <v>14681668</v>
      </c>
      <c r="C5433" t="s">
        <v>4171</v>
      </c>
      <c r="D5433" s="23">
        <v>-4246.8</v>
      </c>
      <c r="E5433" s="76" t="s">
        <v>35</v>
      </c>
      <c r="F5433" s="2">
        <v>212901001</v>
      </c>
      <c r="G5433" s="2" t="s">
        <v>91</v>
      </c>
      <c r="I5433" s="95" t="s">
        <v>7231</v>
      </c>
      <c r="J5433" t="s">
        <v>61</v>
      </c>
      <c r="K5433" t="s">
        <v>62</v>
      </c>
      <c r="M5433">
        <v>107.62</v>
      </c>
      <c r="N5433" s="4">
        <f t="shared" si="84"/>
        <v>-39.461066716223748</v>
      </c>
      <c r="O5433" t="s">
        <v>83</v>
      </c>
      <c r="R5433">
        <v>3</v>
      </c>
      <c r="S5433" t="e">
        <f>VLOOKUP(R5433,[1]!NOMINA[#Data],4,FALSE)</f>
        <v>#REF!</v>
      </c>
      <c r="T5433" t="e">
        <f>VLOOKUP(R5433,[1]!NOMINA[#Data],5,FALSE)</f>
        <v>#REF!</v>
      </c>
    </row>
    <row r="5434" spans="1:20" x14ac:dyDescent="0.25">
      <c r="A5434" s="22">
        <v>45838</v>
      </c>
      <c r="B5434" s="1">
        <v>14681667</v>
      </c>
      <c r="C5434" t="s">
        <v>4172</v>
      </c>
      <c r="D5434" s="23">
        <v>-4246.8</v>
      </c>
      <c r="E5434" s="76" t="s">
        <v>35</v>
      </c>
      <c r="F5434" s="2">
        <v>212901001</v>
      </c>
      <c r="G5434" s="2" t="s">
        <v>91</v>
      </c>
      <c r="I5434" s="95" t="s">
        <v>7231</v>
      </c>
      <c r="J5434" t="s">
        <v>61</v>
      </c>
      <c r="K5434" t="s">
        <v>62</v>
      </c>
      <c r="M5434">
        <v>107.62</v>
      </c>
      <c r="N5434" s="4">
        <f t="shared" si="84"/>
        <v>-39.461066716223748</v>
      </c>
      <c r="O5434" t="s">
        <v>83</v>
      </c>
      <c r="R5434">
        <v>27</v>
      </c>
      <c r="S5434" t="e">
        <f>VLOOKUP(R5434,[1]!NOMINA[#Data],4,FALSE)</f>
        <v>#REF!</v>
      </c>
      <c r="T5434" t="e">
        <f>VLOOKUP(R5434,[1]!NOMINA[#Data],5,FALSE)</f>
        <v>#REF!</v>
      </c>
    </row>
    <row r="5435" spans="1:20" x14ac:dyDescent="0.25">
      <c r="A5435" s="22">
        <v>45838</v>
      </c>
      <c r="B5435" s="1">
        <v>114681669</v>
      </c>
      <c r="C5435" t="s">
        <v>4173</v>
      </c>
      <c r="D5435" s="23">
        <v>-4246.8</v>
      </c>
      <c r="E5435" s="76" t="s">
        <v>35</v>
      </c>
      <c r="F5435" s="2">
        <v>212901001</v>
      </c>
      <c r="G5435" s="2" t="s">
        <v>91</v>
      </c>
      <c r="I5435" s="95" t="s">
        <v>7231</v>
      </c>
      <c r="J5435" t="s">
        <v>61</v>
      </c>
      <c r="K5435" t="s">
        <v>62</v>
      </c>
      <c r="M5435">
        <v>107.62</v>
      </c>
      <c r="N5435" s="4">
        <f t="shared" si="84"/>
        <v>-39.461066716223748</v>
      </c>
      <c r="O5435" t="s">
        <v>83</v>
      </c>
      <c r="R5435">
        <v>19</v>
      </c>
      <c r="S5435" t="e">
        <f>VLOOKUP(R5435,[1]!NOMINA[#Data],4,FALSE)</f>
        <v>#REF!</v>
      </c>
      <c r="T5435" t="e">
        <f>VLOOKUP(R5435,[1]!NOMINA[#Data],5,FALSE)</f>
        <v>#REF!</v>
      </c>
    </row>
    <row r="5436" spans="1:20" x14ac:dyDescent="0.25">
      <c r="A5436" s="22">
        <v>45838</v>
      </c>
      <c r="B5436" s="1">
        <v>114681670</v>
      </c>
      <c r="C5436" t="s">
        <v>4174</v>
      </c>
      <c r="D5436" s="23">
        <v>-4246.8</v>
      </c>
      <c r="E5436" s="76" t="s">
        <v>35</v>
      </c>
      <c r="F5436" s="2">
        <v>212901001</v>
      </c>
      <c r="G5436" s="2" t="s">
        <v>91</v>
      </c>
      <c r="I5436" s="95" t="s">
        <v>7231</v>
      </c>
      <c r="J5436" t="s">
        <v>61</v>
      </c>
      <c r="K5436" t="s">
        <v>62</v>
      </c>
      <c r="M5436">
        <v>107.62</v>
      </c>
      <c r="N5436" s="4">
        <f t="shared" si="84"/>
        <v>-39.461066716223748</v>
      </c>
      <c r="O5436" t="s">
        <v>83</v>
      </c>
      <c r="R5436">
        <v>5</v>
      </c>
      <c r="S5436" t="e">
        <f>VLOOKUP(R5436,[1]!NOMINA[#Data],4,FALSE)</f>
        <v>#REF!</v>
      </c>
      <c r="T5436" t="e">
        <f>VLOOKUP(R5436,[1]!NOMINA[#Data],5,FALSE)</f>
        <v>#REF!</v>
      </c>
    </row>
    <row r="5437" spans="1:20" x14ac:dyDescent="0.25">
      <c r="A5437" s="22">
        <v>45838</v>
      </c>
      <c r="B5437" s="1">
        <v>114681673</v>
      </c>
      <c r="C5437" t="s">
        <v>4175</v>
      </c>
      <c r="D5437" s="23">
        <v>-4246.8</v>
      </c>
      <c r="E5437" s="76" t="s">
        <v>35</v>
      </c>
      <c r="F5437" s="2">
        <v>212901001</v>
      </c>
      <c r="G5437" s="2" t="s">
        <v>91</v>
      </c>
      <c r="I5437" s="95" t="s">
        <v>7231</v>
      </c>
      <c r="J5437" t="s">
        <v>61</v>
      </c>
      <c r="K5437" t="s">
        <v>62</v>
      </c>
      <c r="M5437">
        <v>107.62</v>
      </c>
      <c r="N5437" s="4">
        <f t="shared" si="84"/>
        <v>-39.461066716223748</v>
      </c>
      <c r="O5437" t="s">
        <v>83</v>
      </c>
      <c r="R5437">
        <v>16</v>
      </c>
      <c r="S5437" t="e">
        <f>VLOOKUP(Tabla3[[#This Row],[Nº]],[1]!NOMINA[#Data],4,FALSE)</f>
        <v>#REF!</v>
      </c>
      <c r="T5437" t="e">
        <f>VLOOKUP(Tabla3[[#This Row],[Nº]],[1]!NOMINA[#Data],5,FALSE)</f>
        <v>#REF!</v>
      </c>
    </row>
    <row r="5438" spans="1:20" x14ac:dyDescent="0.25">
      <c r="A5438" s="22">
        <v>45838</v>
      </c>
      <c r="B5438" s="1">
        <v>114681672</v>
      </c>
      <c r="C5438" t="s">
        <v>4176</v>
      </c>
      <c r="D5438" s="23">
        <v>-4246.8</v>
      </c>
      <c r="E5438" s="76" t="s">
        <v>35</v>
      </c>
      <c r="F5438" s="2">
        <v>212901001</v>
      </c>
      <c r="G5438" s="2" t="s">
        <v>91</v>
      </c>
      <c r="I5438" s="95" t="s">
        <v>7231</v>
      </c>
      <c r="J5438" t="s">
        <v>61</v>
      </c>
      <c r="K5438" t="s">
        <v>62</v>
      </c>
      <c r="M5438">
        <v>107.62</v>
      </c>
      <c r="N5438" s="4">
        <f t="shared" si="84"/>
        <v>-39.461066716223748</v>
      </c>
      <c r="O5438" t="s">
        <v>83</v>
      </c>
      <c r="R5438">
        <v>7</v>
      </c>
      <c r="S5438" t="e">
        <f>VLOOKUP(R5438,[1]!NOMINA[#Data],4,FALSE)</f>
        <v>#REF!</v>
      </c>
      <c r="T5438" t="e">
        <f>VLOOKUP(R5438,[1]!NOMINA[#Data],5,FALSE)</f>
        <v>#REF!</v>
      </c>
    </row>
    <row r="5439" spans="1:20" x14ac:dyDescent="0.25">
      <c r="A5439" s="22">
        <v>45838</v>
      </c>
      <c r="B5439" s="1">
        <v>114681671</v>
      </c>
      <c r="C5439" t="s">
        <v>4177</v>
      </c>
      <c r="D5439" s="23">
        <v>-4246.8</v>
      </c>
      <c r="E5439" s="76" t="s">
        <v>35</v>
      </c>
      <c r="F5439" s="2">
        <v>212901001</v>
      </c>
      <c r="G5439" s="2" t="s">
        <v>91</v>
      </c>
      <c r="I5439" s="95" t="s">
        <v>7231</v>
      </c>
      <c r="J5439" t="s">
        <v>61</v>
      </c>
      <c r="K5439" t="s">
        <v>62</v>
      </c>
      <c r="M5439">
        <v>107.62</v>
      </c>
      <c r="N5439" s="4">
        <f t="shared" si="84"/>
        <v>-39.461066716223748</v>
      </c>
      <c r="O5439" t="s">
        <v>83</v>
      </c>
      <c r="R5439">
        <v>1</v>
      </c>
      <c r="S5439" t="e">
        <f>VLOOKUP(R5439,[1]!NOMINA[#Data],4,FALSE)</f>
        <v>#REF!</v>
      </c>
      <c r="T5439" t="e">
        <f>VLOOKUP(R5439,[1]!NOMINA[#Data],5,FALSE)</f>
        <v>#REF!</v>
      </c>
    </row>
    <row r="5440" spans="1:20" x14ac:dyDescent="0.25">
      <c r="A5440" s="22">
        <v>45838</v>
      </c>
      <c r="B5440" s="1">
        <v>114681674</v>
      </c>
      <c r="C5440" t="s">
        <v>4178</v>
      </c>
      <c r="D5440" s="23">
        <v>-60.3</v>
      </c>
      <c r="E5440" s="76" t="s">
        <v>35</v>
      </c>
      <c r="F5440" s="2">
        <v>212901001</v>
      </c>
      <c r="G5440" s="2" t="s">
        <v>91</v>
      </c>
      <c r="I5440" s="95" t="s">
        <v>7231</v>
      </c>
      <c r="J5440" t="s">
        <v>61</v>
      </c>
      <c r="K5440" t="s">
        <v>62</v>
      </c>
      <c r="M5440">
        <v>107.62</v>
      </c>
      <c r="N5440" s="4">
        <f t="shared" si="84"/>
        <v>-0.56030477606392859</v>
      </c>
      <c r="O5440" t="s">
        <v>83</v>
      </c>
      <c r="R5440">
        <v>9</v>
      </c>
      <c r="S5440" t="e">
        <f>VLOOKUP(R5440,[1]!NOMINA[#Data],4,FALSE)</f>
        <v>#REF!</v>
      </c>
      <c r="T5440" t="e">
        <f>VLOOKUP(R5440,[1]!NOMINA[#Data],5,FALSE)</f>
        <v>#REF!</v>
      </c>
    </row>
    <row r="5441" spans="1:20" x14ac:dyDescent="0.25">
      <c r="A5441" s="22">
        <v>45838</v>
      </c>
      <c r="B5441" s="1">
        <v>114681675</v>
      </c>
      <c r="C5441" t="s">
        <v>4179</v>
      </c>
      <c r="D5441" s="23">
        <v>-56.01</v>
      </c>
      <c r="E5441" s="76" t="s">
        <v>35</v>
      </c>
      <c r="F5441" s="2">
        <v>212901001</v>
      </c>
      <c r="G5441" s="2" t="s">
        <v>91</v>
      </c>
      <c r="I5441" s="95" t="s">
        <v>7231</v>
      </c>
      <c r="J5441" t="s">
        <v>61</v>
      </c>
      <c r="K5441" t="s">
        <v>62</v>
      </c>
      <c r="M5441">
        <v>107.62</v>
      </c>
      <c r="N5441" s="4">
        <f t="shared" si="84"/>
        <v>-0.52044229697082323</v>
      </c>
      <c r="O5441" t="s">
        <v>83</v>
      </c>
      <c r="R5441">
        <v>30</v>
      </c>
      <c r="S5441" t="e">
        <f>VLOOKUP(R5441,[1]!NOMINA[#Data],4,FALSE)</f>
        <v>#REF!</v>
      </c>
      <c r="T5441" t="e">
        <f>VLOOKUP(R5441,[1]!NOMINA[#Data],5,FALSE)</f>
        <v>#REF!</v>
      </c>
    </row>
    <row r="5442" spans="1:20" x14ac:dyDescent="0.25">
      <c r="A5442" s="22">
        <v>45838</v>
      </c>
      <c r="B5442" s="1">
        <v>114681676</v>
      </c>
      <c r="C5442" t="s">
        <v>4180</v>
      </c>
      <c r="D5442" s="23">
        <v>-60.3</v>
      </c>
      <c r="E5442" s="76" t="s">
        <v>35</v>
      </c>
      <c r="F5442" s="2">
        <v>212901001</v>
      </c>
      <c r="G5442" s="2" t="s">
        <v>91</v>
      </c>
      <c r="I5442" s="95" t="s">
        <v>7231</v>
      </c>
      <c r="J5442" t="s">
        <v>61</v>
      </c>
      <c r="K5442" t="s">
        <v>62</v>
      </c>
      <c r="M5442">
        <v>107.62</v>
      </c>
      <c r="N5442" s="4">
        <f t="shared" si="84"/>
        <v>-0.56030477606392859</v>
      </c>
      <c r="O5442" t="s">
        <v>83</v>
      </c>
      <c r="R5442">
        <v>26</v>
      </c>
      <c r="S5442" t="e">
        <f>VLOOKUP(R5442,[1]!NOMINA[#Data],4,FALSE)</f>
        <v>#REF!</v>
      </c>
      <c r="T5442" t="e">
        <f>VLOOKUP(R5442,[1]!NOMINA[#Data],5,FALSE)</f>
        <v>#REF!</v>
      </c>
    </row>
    <row r="5443" spans="1:20" x14ac:dyDescent="0.25">
      <c r="A5443" s="22">
        <v>45838</v>
      </c>
      <c r="B5443" s="1">
        <v>114681677</v>
      </c>
      <c r="C5443" t="s">
        <v>4181</v>
      </c>
      <c r="D5443" s="23">
        <v>-60.3</v>
      </c>
      <c r="E5443" s="76" t="s">
        <v>35</v>
      </c>
      <c r="F5443" s="2">
        <v>212901001</v>
      </c>
      <c r="G5443" s="2" t="s">
        <v>91</v>
      </c>
      <c r="I5443" s="95" t="s">
        <v>7231</v>
      </c>
      <c r="J5443" t="s">
        <v>61</v>
      </c>
      <c r="K5443" t="s">
        <v>62</v>
      </c>
      <c r="M5443">
        <v>107.62</v>
      </c>
      <c r="N5443" s="4">
        <f t="shared" si="84"/>
        <v>-0.56030477606392859</v>
      </c>
      <c r="O5443" t="s">
        <v>83</v>
      </c>
      <c r="R5443">
        <v>29</v>
      </c>
      <c r="S5443" t="e">
        <f>VLOOKUP(R5443,[1]!NOMINA[#Data],4,FALSE)</f>
        <v>#REF!</v>
      </c>
      <c r="T5443" t="e">
        <f>VLOOKUP(R5443,[1]!NOMINA[#Data],5,FALSE)</f>
        <v>#REF!</v>
      </c>
    </row>
    <row r="5444" spans="1:20" x14ac:dyDescent="0.25">
      <c r="A5444" s="22">
        <v>45838</v>
      </c>
      <c r="B5444" s="1">
        <v>214681678</v>
      </c>
      <c r="C5444" t="s">
        <v>4182</v>
      </c>
      <c r="D5444" s="23">
        <v>-60.3</v>
      </c>
      <c r="E5444" s="76" t="s">
        <v>35</v>
      </c>
      <c r="F5444" s="2">
        <v>212901001</v>
      </c>
      <c r="G5444" s="2" t="s">
        <v>91</v>
      </c>
      <c r="I5444" s="95" t="s">
        <v>7231</v>
      </c>
      <c r="J5444" t="s">
        <v>61</v>
      </c>
      <c r="K5444" t="s">
        <v>62</v>
      </c>
      <c r="M5444">
        <v>107.62</v>
      </c>
      <c r="N5444" s="4">
        <f t="shared" si="84"/>
        <v>-0.56030477606392859</v>
      </c>
      <c r="O5444" t="s">
        <v>83</v>
      </c>
      <c r="R5444">
        <v>10</v>
      </c>
      <c r="S5444" t="e">
        <f>VLOOKUP(R5444,[1]!NOMINA[#Data],4,FALSE)</f>
        <v>#REF!</v>
      </c>
      <c r="T5444" t="e">
        <f>VLOOKUP(R5444,[1]!NOMINA[#Data],5,FALSE)</f>
        <v>#REF!</v>
      </c>
    </row>
    <row r="5445" spans="1:20" x14ac:dyDescent="0.25">
      <c r="A5445" s="22">
        <v>45838</v>
      </c>
      <c r="B5445" s="1">
        <v>214681682</v>
      </c>
      <c r="C5445" t="s">
        <v>4183</v>
      </c>
      <c r="D5445" s="23">
        <v>-60.3</v>
      </c>
      <c r="E5445" s="76" t="s">
        <v>35</v>
      </c>
      <c r="F5445" s="2">
        <v>212901001</v>
      </c>
      <c r="G5445" s="2" t="s">
        <v>91</v>
      </c>
      <c r="I5445" s="95" t="s">
        <v>7231</v>
      </c>
      <c r="J5445" t="s">
        <v>61</v>
      </c>
      <c r="K5445" t="s">
        <v>62</v>
      </c>
      <c r="M5445">
        <v>107.62</v>
      </c>
      <c r="N5445" s="4">
        <f t="shared" si="84"/>
        <v>-0.56030477606392859</v>
      </c>
      <c r="O5445" t="s">
        <v>83</v>
      </c>
      <c r="R5445">
        <v>18</v>
      </c>
      <c r="S5445" t="e">
        <f>VLOOKUP(Tabla3[[#This Row],[Nº]],[1]!NOMINA[#Data],4,FALSE)</f>
        <v>#REF!</v>
      </c>
      <c r="T5445" t="e">
        <f>VLOOKUP(Tabla3[[#This Row],[Nº]],[1]!NOMINA[#Data],5,FALSE)</f>
        <v>#REF!</v>
      </c>
    </row>
    <row r="5446" spans="1:20" x14ac:dyDescent="0.25">
      <c r="A5446" s="22">
        <v>45838</v>
      </c>
      <c r="B5446" s="1">
        <v>214681685</v>
      </c>
      <c r="C5446" t="s">
        <v>4184</v>
      </c>
      <c r="D5446" s="23">
        <v>-56.01</v>
      </c>
      <c r="E5446" s="76" t="s">
        <v>35</v>
      </c>
      <c r="F5446" s="2">
        <v>212901001</v>
      </c>
      <c r="G5446" s="2" t="s">
        <v>91</v>
      </c>
      <c r="I5446" s="95" t="s">
        <v>7231</v>
      </c>
      <c r="J5446" t="s">
        <v>61</v>
      </c>
      <c r="K5446" t="s">
        <v>62</v>
      </c>
      <c r="M5446">
        <v>107.62</v>
      </c>
      <c r="N5446" s="4">
        <f t="shared" si="84"/>
        <v>-0.52044229697082323</v>
      </c>
      <c r="O5446" t="s">
        <v>83</v>
      </c>
      <c r="R5446">
        <v>33</v>
      </c>
      <c r="S5446" t="e">
        <f>VLOOKUP(R5446,[1]!NOMINA[#Data],4,FALSE)</f>
        <v>#REF!</v>
      </c>
      <c r="T5446" t="e">
        <f>VLOOKUP(R5446,[1]!NOMINA[#Data],5,FALSE)</f>
        <v>#REF!</v>
      </c>
    </row>
    <row r="5447" spans="1:20" x14ac:dyDescent="0.25">
      <c r="A5447" s="22">
        <v>45838</v>
      </c>
      <c r="B5447" s="1">
        <v>214681679</v>
      </c>
      <c r="C5447" t="s">
        <v>4185</v>
      </c>
      <c r="D5447" s="23">
        <v>-60.3</v>
      </c>
      <c r="E5447" s="76" t="s">
        <v>35</v>
      </c>
      <c r="F5447" s="2">
        <v>212901001</v>
      </c>
      <c r="G5447" s="2" t="s">
        <v>91</v>
      </c>
      <c r="I5447" s="95" t="s">
        <v>7231</v>
      </c>
      <c r="J5447" t="s">
        <v>61</v>
      </c>
      <c r="K5447" t="s">
        <v>62</v>
      </c>
      <c r="M5447">
        <v>107.62</v>
      </c>
      <c r="N5447" s="4">
        <f t="shared" si="84"/>
        <v>-0.56030477606392859</v>
      </c>
      <c r="O5447" t="s">
        <v>83</v>
      </c>
      <c r="R5447">
        <v>15</v>
      </c>
      <c r="S5447" t="e">
        <f>VLOOKUP(Tabla3[[#This Row],[Nº]],[1]!NOMINA[#Data],4,FALSE)</f>
        <v>#REF!</v>
      </c>
      <c r="T5447" t="e">
        <f>VLOOKUP(R5447,[1]!NOMINA[#Data],5,FALSE)</f>
        <v>#REF!</v>
      </c>
    </row>
    <row r="5448" spans="1:20" x14ac:dyDescent="0.25">
      <c r="A5448" s="22">
        <v>45838</v>
      </c>
      <c r="B5448" s="1">
        <v>214681681</v>
      </c>
      <c r="C5448" t="s">
        <v>4186</v>
      </c>
      <c r="D5448" s="23">
        <v>-30.27</v>
      </c>
      <c r="E5448" s="76" t="s">
        <v>35</v>
      </c>
      <c r="F5448" s="2">
        <v>212901001</v>
      </c>
      <c r="G5448" s="2" t="s">
        <v>91</v>
      </c>
      <c r="I5448" s="95" t="s">
        <v>7231</v>
      </c>
      <c r="J5448" t="s">
        <v>61</v>
      </c>
      <c r="K5448" t="s">
        <v>62</v>
      </c>
      <c r="M5448">
        <v>107.62</v>
      </c>
      <c r="N5448" s="4">
        <f t="shared" si="84"/>
        <v>-0.28126742241219105</v>
      </c>
      <c r="O5448" t="s">
        <v>83</v>
      </c>
      <c r="R5448">
        <v>35</v>
      </c>
      <c r="S5448" t="e">
        <f>VLOOKUP(Tabla3[[#This Row],[Nº]],[1]!NOMINA[#Data],4,FALSE)</f>
        <v>#REF!</v>
      </c>
      <c r="T5448" t="e">
        <f>VLOOKUP(R5448,[1]!NOMINA[#Data],5,FALSE)</f>
        <v>#REF!</v>
      </c>
    </row>
    <row r="5449" spans="1:20" x14ac:dyDescent="0.25">
      <c r="A5449" s="22">
        <v>45838</v>
      </c>
      <c r="B5449" s="1">
        <v>214681686</v>
      </c>
      <c r="C5449" t="s">
        <v>4187</v>
      </c>
      <c r="D5449" s="23">
        <v>-56.01</v>
      </c>
      <c r="E5449" s="76" t="s">
        <v>35</v>
      </c>
      <c r="F5449" s="2">
        <v>212901001</v>
      </c>
      <c r="G5449" s="2" t="s">
        <v>91</v>
      </c>
      <c r="I5449" s="95" t="s">
        <v>7231</v>
      </c>
      <c r="J5449" t="s">
        <v>61</v>
      </c>
      <c r="K5449" t="s">
        <v>62</v>
      </c>
      <c r="M5449">
        <v>107.62</v>
      </c>
      <c r="N5449" s="4">
        <f t="shared" si="84"/>
        <v>-0.52044229697082323</v>
      </c>
      <c r="O5449" t="s">
        <v>83</v>
      </c>
      <c r="R5449">
        <v>31</v>
      </c>
      <c r="S5449" t="e">
        <f>VLOOKUP(Tabla3[[#This Row],[Nº]],[1]!NOMINA[#Data],4,FALSE)</f>
        <v>#REF!</v>
      </c>
      <c r="T5449" t="e">
        <f>VLOOKUP(R5449,[1]!NOMINA[#Data],5,FALSE)</f>
        <v>#REF!</v>
      </c>
    </row>
    <row r="5450" spans="1:20" x14ac:dyDescent="0.25">
      <c r="A5450" s="22">
        <v>45838</v>
      </c>
      <c r="B5450" s="1">
        <v>314681688</v>
      </c>
      <c r="C5450" t="s">
        <v>4188</v>
      </c>
      <c r="D5450" s="23">
        <v>-60.3</v>
      </c>
      <c r="E5450" s="76" t="s">
        <v>35</v>
      </c>
      <c r="F5450" s="2">
        <v>212901001</v>
      </c>
      <c r="G5450" s="2" t="s">
        <v>91</v>
      </c>
      <c r="I5450" s="95" t="s">
        <v>7231</v>
      </c>
      <c r="J5450" t="s">
        <v>61</v>
      </c>
      <c r="K5450" t="s">
        <v>62</v>
      </c>
      <c r="M5450">
        <v>107.62</v>
      </c>
      <c r="N5450" s="4">
        <f t="shared" si="84"/>
        <v>-0.56030477606392859</v>
      </c>
      <c r="O5450" t="s">
        <v>83</v>
      </c>
      <c r="R5450">
        <v>13</v>
      </c>
      <c r="S5450" t="e">
        <f>VLOOKUP(Tabla3[[#This Row],[Nº]],[1]!NOMINA[#Data],4,FALSE)</f>
        <v>#REF!</v>
      </c>
      <c r="T5450" t="e">
        <f>VLOOKUP(R5450,[1]!NOMINA[#Data],5,FALSE)</f>
        <v>#REF!</v>
      </c>
    </row>
    <row r="5451" spans="1:20" x14ac:dyDescent="0.25">
      <c r="A5451" s="22">
        <v>45838</v>
      </c>
      <c r="B5451" s="1">
        <v>314681687</v>
      </c>
      <c r="C5451" t="s">
        <v>4189</v>
      </c>
      <c r="D5451" s="23">
        <v>-60.3</v>
      </c>
      <c r="E5451" s="76" t="s">
        <v>35</v>
      </c>
      <c r="F5451" s="2">
        <v>212901001</v>
      </c>
      <c r="G5451" s="2" t="s">
        <v>91</v>
      </c>
      <c r="I5451" s="95" t="s">
        <v>7231</v>
      </c>
      <c r="J5451" t="s">
        <v>61</v>
      </c>
      <c r="K5451" t="s">
        <v>62</v>
      </c>
      <c r="M5451">
        <v>107.62</v>
      </c>
      <c r="N5451" s="4">
        <f t="shared" si="84"/>
        <v>-0.56030477606392859</v>
      </c>
      <c r="O5451" t="s">
        <v>83</v>
      </c>
      <c r="R5451">
        <v>8</v>
      </c>
      <c r="S5451" t="e">
        <f>VLOOKUP(Tabla3[[#This Row],[Nº]],[1]!NOMINA[#Data],4,FALSE)</f>
        <v>#REF!</v>
      </c>
      <c r="T5451" t="e">
        <f>VLOOKUP(R5451,[1]!NOMINA[#Data],5,FALSE)</f>
        <v>#REF!</v>
      </c>
    </row>
    <row r="5452" spans="1:20" x14ac:dyDescent="0.25">
      <c r="A5452" s="22">
        <v>45838</v>
      </c>
      <c r="B5452" s="1">
        <v>314681689</v>
      </c>
      <c r="C5452" t="s">
        <v>4190</v>
      </c>
      <c r="D5452" s="23">
        <v>-60.3</v>
      </c>
      <c r="E5452" s="76" t="s">
        <v>35</v>
      </c>
      <c r="F5452" s="2">
        <v>212901001</v>
      </c>
      <c r="G5452" s="2" t="s">
        <v>91</v>
      </c>
      <c r="I5452" s="95" t="s">
        <v>7231</v>
      </c>
      <c r="J5452" t="s">
        <v>61</v>
      </c>
      <c r="K5452" t="s">
        <v>62</v>
      </c>
      <c r="M5452">
        <v>107.62</v>
      </c>
      <c r="N5452" s="4">
        <f t="shared" ref="N5452:N5515" si="85">D5452/M5452</f>
        <v>-0.56030477606392859</v>
      </c>
      <c r="O5452" t="s">
        <v>83</v>
      </c>
      <c r="R5452">
        <v>11</v>
      </c>
      <c r="S5452" t="e">
        <f>VLOOKUP(Tabla3[[#This Row],[Nº]],[1]!NOMINA[#Data],4,FALSE)</f>
        <v>#REF!</v>
      </c>
      <c r="T5452" t="e">
        <f>VLOOKUP(R5452,[1]!NOMINA[#Data],5,FALSE)</f>
        <v>#REF!</v>
      </c>
    </row>
    <row r="5453" spans="1:20" x14ac:dyDescent="0.25">
      <c r="A5453" s="22">
        <v>45838</v>
      </c>
      <c r="B5453" s="1">
        <v>314681691</v>
      </c>
      <c r="C5453" t="s">
        <v>4191</v>
      </c>
      <c r="D5453" s="23">
        <v>-60.3</v>
      </c>
      <c r="E5453" s="76" t="s">
        <v>35</v>
      </c>
      <c r="F5453" s="2">
        <v>212901001</v>
      </c>
      <c r="G5453" s="2" t="s">
        <v>91</v>
      </c>
      <c r="I5453" s="95" t="s">
        <v>7231</v>
      </c>
      <c r="J5453" t="s">
        <v>61</v>
      </c>
      <c r="K5453" t="s">
        <v>62</v>
      </c>
      <c r="M5453">
        <v>107.62</v>
      </c>
      <c r="N5453" s="4">
        <f t="shared" si="85"/>
        <v>-0.56030477606392859</v>
      </c>
      <c r="O5453" t="s">
        <v>83</v>
      </c>
      <c r="R5453">
        <v>23</v>
      </c>
      <c r="S5453" t="e">
        <f>VLOOKUP(Tabla3[[#This Row],[Nº]],[1]!NOMINA[#Data],4,FALSE)</f>
        <v>#REF!</v>
      </c>
      <c r="T5453" t="e">
        <f>VLOOKUP(R5453,[1]!NOMINA[#Data],5,FALSE)</f>
        <v>#REF!</v>
      </c>
    </row>
    <row r="5454" spans="1:20" x14ac:dyDescent="0.25">
      <c r="A5454" s="22">
        <v>45838</v>
      </c>
      <c r="B5454" s="1">
        <v>314681690</v>
      </c>
      <c r="C5454" t="s">
        <v>4192</v>
      </c>
      <c r="D5454" s="23">
        <v>-60.3</v>
      </c>
      <c r="E5454" s="76" t="s">
        <v>35</v>
      </c>
      <c r="F5454" s="2">
        <v>212901001</v>
      </c>
      <c r="G5454" s="2" t="s">
        <v>91</v>
      </c>
      <c r="I5454" s="95" t="s">
        <v>7231</v>
      </c>
      <c r="J5454" t="s">
        <v>61</v>
      </c>
      <c r="K5454" t="s">
        <v>62</v>
      </c>
      <c r="M5454">
        <v>107.62</v>
      </c>
      <c r="N5454" s="4">
        <f t="shared" si="85"/>
        <v>-0.56030477606392859</v>
      </c>
      <c r="O5454" t="s">
        <v>83</v>
      </c>
      <c r="R5454">
        <v>17</v>
      </c>
      <c r="S5454" t="e">
        <f>VLOOKUP(Tabla3[[#This Row],[Nº]],[1]!NOMINA[#Data],4,FALSE)</f>
        <v>#REF!</v>
      </c>
      <c r="T5454" t="e">
        <f>VLOOKUP(R5454,[1]!NOMINA[#Data],5,FALSE)</f>
        <v>#REF!</v>
      </c>
    </row>
    <row r="5455" spans="1:20" x14ac:dyDescent="0.25">
      <c r="A5455" s="22">
        <v>45838</v>
      </c>
      <c r="B5455" s="1">
        <v>314681695</v>
      </c>
      <c r="C5455" t="s">
        <v>4193</v>
      </c>
      <c r="D5455" s="23">
        <v>-60.3</v>
      </c>
      <c r="E5455" s="76" t="s">
        <v>35</v>
      </c>
      <c r="F5455" s="2">
        <v>212901001</v>
      </c>
      <c r="G5455" s="2" t="s">
        <v>91</v>
      </c>
      <c r="I5455" s="95" t="s">
        <v>7231</v>
      </c>
      <c r="J5455" t="s">
        <v>61</v>
      </c>
      <c r="K5455" t="s">
        <v>62</v>
      </c>
      <c r="M5455">
        <v>107.62</v>
      </c>
      <c r="N5455" s="4">
        <f t="shared" si="85"/>
        <v>-0.56030477606392859</v>
      </c>
      <c r="O5455" t="s">
        <v>83</v>
      </c>
      <c r="R5455">
        <v>4</v>
      </c>
      <c r="S5455" t="e">
        <f>VLOOKUP(Tabla3[[#This Row],[Nº]],[1]!NOMINA[#Data],4,FALSE)</f>
        <v>#REF!</v>
      </c>
      <c r="T5455" t="e">
        <f>VLOOKUP(R5455,[1]!NOMINA[#Data],5,FALSE)</f>
        <v>#REF!</v>
      </c>
    </row>
    <row r="5456" spans="1:20" x14ac:dyDescent="0.25">
      <c r="A5456" s="22">
        <v>45838</v>
      </c>
      <c r="B5456" s="1">
        <v>314681692</v>
      </c>
      <c r="C5456" t="s">
        <v>4194</v>
      </c>
      <c r="D5456" s="23">
        <v>-56.01</v>
      </c>
      <c r="E5456" s="76" t="s">
        <v>35</v>
      </c>
      <c r="F5456" s="2">
        <v>212901001</v>
      </c>
      <c r="G5456" s="2" t="s">
        <v>91</v>
      </c>
      <c r="I5456" s="95" t="s">
        <v>7231</v>
      </c>
      <c r="J5456" t="s">
        <v>61</v>
      </c>
      <c r="K5456" t="s">
        <v>62</v>
      </c>
      <c r="M5456">
        <v>107.62</v>
      </c>
      <c r="N5456" s="4">
        <f t="shared" si="85"/>
        <v>-0.52044229697082323</v>
      </c>
      <c r="O5456" t="s">
        <v>83</v>
      </c>
      <c r="R5456">
        <v>20</v>
      </c>
      <c r="S5456" t="e">
        <f>VLOOKUP(Tabla3[[#This Row],[Nº]],[1]!NOMINA[#Data],4,FALSE)</f>
        <v>#REF!</v>
      </c>
      <c r="T5456" t="e">
        <f>VLOOKUP(R5456,[1]!NOMINA[#Data],5,FALSE)</f>
        <v>#REF!</v>
      </c>
    </row>
    <row r="5457" spans="1:20" x14ac:dyDescent="0.25">
      <c r="A5457" s="22">
        <v>45838</v>
      </c>
      <c r="B5457" s="1">
        <v>314681693</v>
      </c>
      <c r="C5457" t="s">
        <v>4195</v>
      </c>
      <c r="D5457" s="23">
        <v>-60.3</v>
      </c>
      <c r="E5457" s="76" t="s">
        <v>35</v>
      </c>
      <c r="F5457" s="2">
        <v>212901001</v>
      </c>
      <c r="G5457" s="2" t="s">
        <v>91</v>
      </c>
      <c r="I5457" s="95" t="s">
        <v>7231</v>
      </c>
      <c r="J5457" t="s">
        <v>61</v>
      </c>
      <c r="K5457" t="s">
        <v>62</v>
      </c>
      <c r="M5457">
        <v>107.62</v>
      </c>
      <c r="N5457" s="4">
        <f t="shared" si="85"/>
        <v>-0.56030477606392859</v>
      </c>
      <c r="O5457" t="s">
        <v>83</v>
      </c>
      <c r="R5457">
        <v>22</v>
      </c>
      <c r="S5457" t="e">
        <f>VLOOKUP(Tabla3[[#This Row],[Nº]],[1]!NOMINA[#Data],4,FALSE)</f>
        <v>#REF!</v>
      </c>
      <c r="T5457" t="e">
        <f>VLOOKUP(R5457,[1]!NOMINA[#Data],5,FALSE)</f>
        <v>#REF!</v>
      </c>
    </row>
    <row r="5458" spans="1:20" x14ac:dyDescent="0.25">
      <c r="A5458" s="22">
        <v>45838</v>
      </c>
      <c r="B5458" s="1">
        <v>314681694</v>
      </c>
      <c r="C5458" t="s">
        <v>4196</v>
      </c>
      <c r="D5458" s="23">
        <v>-56.01</v>
      </c>
      <c r="E5458" s="76" t="s">
        <v>35</v>
      </c>
      <c r="F5458" s="2">
        <v>212901001</v>
      </c>
      <c r="G5458" s="2" t="s">
        <v>91</v>
      </c>
      <c r="I5458" s="95" t="s">
        <v>7231</v>
      </c>
      <c r="J5458" t="s">
        <v>61</v>
      </c>
      <c r="K5458" t="s">
        <v>62</v>
      </c>
      <c r="M5458">
        <v>107.62</v>
      </c>
      <c r="N5458" s="4">
        <f t="shared" si="85"/>
        <v>-0.52044229697082323</v>
      </c>
      <c r="O5458" t="s">
        <v>83</v>
      </c>
      <c r="R5458">
        <v>32</v>
      </c>
      <c r="S5458" t="e">
        <f>VLOOKUP(Tabla3[[#This Row],[Nº]],[1]!NOMINA[#Data],4,FALSE)</f>
        <v>#REF!</v>
      </c>
      <c r="T5458" t="e">
        <f>VLOOKUP(R5458,[1]!NOMINA[#Data],5,FALSE)</f>
        <v>#REF!</v>
      </c>
    </row>
    <row r="5459" spans="1:20" x14ac:dyDescent="0.25">
      <c r="A5459" s="22">
        <v>45838</v>
      </c>
      <c r="B5459" s="1">
        <v>414681696</v>
      </c>
      <c r="C5459" t="s">
        <v>4197</v>
      </c>
      <c r="D5459" s="23">
        <v>-60.3</v>
      </c>
      <c r="E5459" s="76" t="s">
        <v>35</v>
      </c>
      <c r="F5459" s="2">
        <v>212901001</v>
      </c>
      <c r="G5459" s="2" t="s">
        <v>91</v>
      </c>
      <c r="I5459" s="95" t="s">
        <v>7231</v>
      </c>
      <c r="J5459" t="s">
        <v>61</v>
      </c>
      <c r="K5459" t="s">
        <v>62</v>
      </c>
      <c r="M5459">
        <v>107.62</v>
      </c>
      <c r="N5459" s="4">
        <f t="shared" si="85"/>
        <v>-0.56030477606392859</v>
      </c>
      <c r="O5459" t="s">
        <v>83</v>
      </c>
      <c r="R5459">
        <v>14</v>
      </c>
      <c r="S5459" t="e">
        <f>VLOOKUP(Tabla3[[#This Row],[Nº]],[1]!NOMINA[#Data],4,FALSE)</f>
        <v>#REF!</v>
      </c>
      <c r="T5459" t="e">
        <f>VLOOKUP(R5459,[1]!NOMINA[#Data],5,FALSE)</f>
        <v>#REF!</v>
      </c>
    </row>
    <row r="5460" spans="1:20" x14ac:dyDescent="0.25">
      <c r="A5460" s="22">
        <v>45838</v>
      </c>
      <c r="B5460" s="1">
        <v>414681697</v>
      </c>
      <c r="C5460" t="s">
        <v>4198</v>
      </c>
      <c r="D5460" s="23">
        <v>-60.3</v>
      </c>
      <c r="E5460" s="76" t="s">
        <v>35</v>
      </c>
      <c r="F5460" s="2">
        <v>212901001</v>
      </c>
      <c r="G5460" s="2" t="s">
        <v>91</v>
      </c>
      <c r="I5460" s="95" t="s">
        <v>7231</v>
      </c>
      <c r="J5460" t="s">
        <v>61</v>
      </c>
      <c r="K5460" t="s">
        <v>62</v>
      </c>
      <c r="M5460">
        <v>107.62</v>
      </c>
      <c r="N5460" s="4">
        <f t="shared" si="85"/>
        <v>-0.56030477606392859</v>
      </c>
      <c r="O5460" t="s">
        <v>83</v>
      </c>
      <c r="R5460">
        <v>21</v>
      </c>
      <c r="S5460" t="e">
        <f>VLOOKUP(Tabla3[[#This Row],[Nº]],[1]!NOMINA[#Data],4,FALSE)</f>
        <v>#REF!</v>
      </c>
      <c r="T5460" t="e">
        <f>VLOOKUP(R5460,[1]!NOMINA[#Data],5,FALSE)</f>
        <v>#REF!</v>
      </c>
    </row>
    <row r="5461" spans="1:20" x14ac:dyDescent="0.25">
      <c r="A5461" s="22">
        <v>45838</v>
      </c>
      <c r="B5461" s="1">
        <v>414681699</v>
      </c>
      <c r="C5461" t="s">
        <v>4199</v>
      </c>
      <c r="D5461" s="23">
        <v>-56.01</v>
      </c>
      <c r="E5461" s="76" t="s">
        <v>35</v>
      </c>
      <c r="F5461" s="2">
        <v>212901001</v>
      </c>
      <c r="G5461" s="2" t="s">
        <v>91</v>
      </c>
      <c r="I5461" s="95" t="s">
        <v>7231</v>
      </c>
      <c r="J5461" t="s">
        <v>61</v>
      </c>
      <c r="K5461" t="s">
        <v>62</v>
      </c>
      <c r="M5461">
        <v>107.62</v>
      </c>
      <c r="N5461" s="4">
        <f t="shared" si="85"/>
        <v>-0.52044229697082323</v>
      </c>
      <c r="O5461" t="s">
        <v>83</v>
      </c>
      <c r="R5461">
        <v>34</v>
      </c>
      <c r="S5461" t="e">
        <f>VLOOKUP(R5461,[1]!NOMINA[#Data],4,FALSE)</f>
        <v>#REF!</v>
      </c>
      <c r="T5461" t="e">
        <f>VLOOKUP(R5461,[1]!NOMINA[#Data],5,FALSE)</f>
        <v>#REF!</v>
      </c>
    </row>
    <row r="5462" spans="1:20" x14ac:dyDescent="0.25">
      <c r="A5462" s="22">
        <v>45838</v>
      </c>
      <c r="B5462" s="1">
        <v>414681700</v>
      </c>
      <c r="C5462" t="s">
        <v>4200</v>
      </c>
      <c r="D5462" s="23">
        <v>-60.3</v>
      </c>
      <c r="E5462" s="76" t="s">
        <v>35</v>
      </c>
      <c r="F5462" s="2">
        <v>212901001</v>
      </c>
      <c r="G5462" s="2" t="s">
        <v>91</v>
      </c>
      <c r="I5462" s="95" t="s">
        <v>7231</v>
      </c>
      <c r="J5462" t="s">
        <v>61</v>
      </c>
      <c r="K5462" t="s">
        <v>62</v>
      </c>
      <c r="M5462">
        <v>107.62</v>
      </c>
      <c r="N5462" s="4">
        <f t="shared" si="85"/>
        <v>-0.56030477606392859</v>
      </c>
      <c r="O5462" t="s">
        <v>83</v>
      </c>
      <c r="R5462">
        <v>25</v>
      </c>
      <c r="S5462" t="e">
        <f>VLOOKUP(Tabla3[[#This Row],[Nº]],[1]!NOMINA[#Data],4,FALSE)</f>
        <v>#REF!</v>
      </c>
      <c r="T5462" t="e">
        <f>VLOOKUP(R5462,[1]!NOMINA[#Data],5,FALSE)</f>
        <v>#REF!</v>
      </c>
    </row>
    <row r="5463" spans="1:20" x14ac:dyDescent="0.25">
      <c r="A5463" s="22">
        <v>45838</v>
      </c>
      <c r="B5463" s="1">
        <v>414681698</v>
      </c>
      <c r="C5463" t="s">
        <v>4201</v>
      </c>
      <c r="D5463" s="23">
        <v>-60.3</v>
      </c>
      <c r="E5463" s="76" t="s">
        <v>35</v>
      </c>
      <c r="F5463" s="2">
        <v>212901001</v>
      </c>
      <c r="G5463" s="2" t="s">
        <v>91</v>
      </c>
      <c r="I5463" s="95" t="s">
        <v>7231</v>
      </c>
      <c r="J5463" t="s">
        <v>61</v>
      </c>
      <c r="K5463" t="s">
        <v>62</v>
      </c>
      <c r="M5463">
        <v>107.62</v>
      </c>
      <c r="N5463" s="4">
        <f t="shared" si="85"/>
        <v>-0.56030477606392859</v>
      </c>
      <c r="O5463" t="s">
        <v>83</v>
      </c>
      <c r="R5463">
        <v>2</v>
      </c>
      <c r="S5463" t="e">
        <f>VLOOKUP(Tabla3[[#This Row],[Nº]],[1]!NOMINA[#Data],4,FALSE)</f>
        <v>#REF!</v>
      </c>
      <c r="T5463" t="e">
        <f>VLOOKUP(Tabla3[[#This Row],[Nº]],[1]!NOMINA[#Data],5,FALSE)</f>
        <v>#REF!</v>
      </c>
    </row>
    <row r="5464" spans="1:20" x14ac:dyDescent="0.25">
      <c r="A5464" s="22">
        <v>45838</v>
      </c>
      <c r="B5464" s="1">
        <v>414681703</v>
      </c>
      <c r="C5464" t="s">
        <v>4202</v>
      </c>
      <c r="D5464" s="23">
        <v>-60.3</v>
      </c>
      <c r="E5464" s="76" t="s">
        <v>35</v>
      </c>
      <c r="F5464" s="2">
        <v>212901001</v>
      </c>
      <c r="G5464" s="2" t="s">
        <v>91</v>
      </c>
      <c r="I5464" s="95" t="s">
        <v>7231</v>
      </c>
      <c r="J5464" t="s">
        <v>61</v>
      </c>
      <c r="K5464" t="s">
        <v>62</v>
      </c>
      <c r="M5464">
        <v>107.62</v>
      </c>
      <c r="N5464" s="4">
        <f t="shared" si="85"/>
        <v>-0.56030477606392859</v>
      </c>
      <c r="O5464" t="s">
        <v>83</v>
      </c>
      <c r="R5464">
        <v>28</v>
      </c>
      <c r="S5464" t="e">
        <f>VLOOKUP(Tabla3[[#This Row],[Nº]],[1]!NOMINA[#Data],4,FALSE)</f>
        <v>#REF!</v>
      </c>
      <c r="T5464" t="e">
        <f>VLOOKUP(R5464,[1]!NOMINA[#Data],5,FALSE)</f>
        <v>#REF!</v>
      </c>
    </row>
    <row r="5465" spans="1:20" x14ac:dyDescent="0.25">
      <c r="A5465" s="22">
        <v>45838</v>
      </c>
      <c r="B5465" s="1">
        <v>414681702</v>
      </c>
      <c r="C5465" t="s">
        <v>4203</v>
      </c>
      <c r="D5465" s="23">
        <v>-60.3</v>
      </c>
      <c r="E5465" s="76" t="s">
        <v>35</v>
      </c>
      <c r="F5465" s="2">
        <v>212901001</v>
      </c>
      <c r="G5465" s="2" t="s">
        <v>91</v>
      </c>
      <c r="I5465" s="95" t="s">
        <v>7231</v>
      </c>
      <c r="J5465" t="s">
        <v>61</v>
      </c>
      <c r="K5465" t="s">
        <v>62</v>
      </c>
      <c r="M5465">
        <v>107.62</v>
      </c>
      <c r="N5465" s="4">
        <f t="shared" si="85"/>
        <v>-0.56030477606392859</v>
      </c>
      <c r="O5465" t="s">
        <v>83</v>
      </c>
      <c r="R5465">
        <v>6</v>
      </c>
      <c r="S5465" t="e">
        <f>VLOOKUP(Tabla3[[#This Row],[Nº]],[1]!NOMINA[#Data],4,FALSE)</f>
        <v>#REF!</v>
      </c>
      <c r="T5465" t="e">
        <f>VLOOKUP(R5465,[1]!NOMINA[#Data],5,FALSE)</f>
        <v>#REF!</v>
      </c>
    </row>
    <row r="5466" spans="1:20" x14ac:dyDescent="0.25">
      <c r="A5466" s="22">
        <v>45838</v>
      </c>
      <c r="B5466" s="1">
        <v>414681704</v>
      </c>
      <c r="C5466" t="s">
        <v>4204</v>
      </c>
      <c r="D5466" s="23">
        <v>-60.3</v>
      </c>
      <c r="E5466" s="76" t="s">
        <v>35</v>
      </c>
      <c r="F5466" s="2">
        <v>212901001</v>
      </c>
      <c r="G5466" s="2" t="s">
        <v>91</v>
      </c>
      <c r="I5466" s="95" t="s">
        <v>7231</v>
      </c>
      <c r="J5466" t="s">
        <v>61</v>
      </c>
      <c r="K5466" t="s">
        <v>62</v>
      </c>
      <c r="M5466">
        <v>107.62</v>
      </c>
      <c r="N5466" s="4">
        <f t="shared" si="85"/>
        <v>-0.56030477606392859</v>
      </c>
      <c r="O5466" t="s">
        <v>83</v>
      </c>
      <c r="R5466">
        <v>24</v>
      </c>
      <c r="S5466" t="e">
        <f>VLOOKUP(Tabla3[[#This Row],[Nº]],[1]!NOMINA[#Data],4,FALSE)</f>
        <v>#REF!</v>
      </c>
      <c r="T5466" t="e">
        <f>VLOOKUP(R5466,[1]!NOMINA[#Data],5,FALSE)</f>
        <v>#REF!</v>
      </c>
    </row>
    <row r="5467" spans="1:20" x14ac:dyDescent="0.25">
      <c r="A5467" s="22">
        <v>45838</v>
      </c>
      <c r="B5467" s="1">
        <v>514681706</v>
      </c>
      <c r="C5467" t="s">
        <v>4205</v>
      </c>
      <c r="D5467" s="23">
        <v>-60.3</v>
      </c>
      <c r="E5467" s="76" t="s">
        <v>35</v>
      </c>
      <c r="F5467" s="2">
        <v>212901001</v>
      </c>
      <c r="G5467" s="2" t="s">
        <v>91</v>
      </c>
      <c r="I5467" s="95" t="s">
        <v>7231</v>
      </c>
      <c r="J5467" t="s">
        <v>61</v>
      </c>
      <c r="K5467" t="s">
        <v>62</v>
      </c>
      <c r="M5467">
        <v>107.62</v>
      </c>
      <c r="N5467" s="4">
        <f t="shared" si="85"/>
        <v>-0.56030477606392859</v>
      </c>
      <c r="O5467" t="s">
        <v>83</v>
      </c>
      <c r="R5467">
        <v>3</v>
      </c>
      <c r="S5467" t="e">
        <f>VLOOKUP(Tabla3[[#This Row],[Nº]],[1]!NOMINA[#Data],4,FALSE)</f>
        <v>#REF!</v>
      </c>
      <c r="T5467" t="e">
        <f>VLOOKUP(R5467,[1]!NOMINA[#Data],5,FALSE)</f>
        <v>#REF!</v>
      </c>
    </row>
    <row r="5468" spans="1:20" x14ac:dyDescent="0.25">
      <c r="A5468" s="22">
        <v>45838</v>
      </c>
      <c r="B5468" s="1">
        <v>514681705</v>
      </c>
      <c r="C5468" t="s">
        <v>4206</v>
      </c>
      <c r="D5468" s="23">
        <v>-60.3</v>
      </c>
      <c r="E5468" s="76" t="s">
        <v>35</v>
      </c>
      <c r="F5468" s="2">
        <v>212901001</v>
      </c>
      <c r="G5468" s="2" t="s">
        <v>91</v>
      </c>
      <c r="I5468" s="95" t="s">
        <v>7231</v>
      </c>
      <c r="J5468" t="s">
        <v>61</v>
      </c>
      <c r="K5468" t="s">
        <v>62</v>
      </c>
      <c r="M5468">
        <v>107.62</v>
      </c>
      <c r="N5468" s="4">
        <f t="shared" si="85"/>
        <v>-0.56030477606392859</v>
      </c>
      <c r="O5468" t="s">
        <v>83</v>
      </c>
      <c r="R5468">
        <v>27</v>
      </c>
      <c r="S5468" t="e">
        <f>VLOOKUP(Tabla3[[#This Row],[Nº]],[1]!NOMINA[#Data],4,FALSE)</f>
        <v>#REF!</v>
      </c>
      <c r="T5468" t="e">
        <f>VLOOKUP(R5468,[1]!NOMINA[#Data],5,FALSE)</f>
        <v>#REF!</v>
      </c>
    </row>
    <row r="5469" spans="1:20" x14ac:dyDescent="0.25">
      <c r="A5469" s="22">
        <v>45838</v>
      </c>
      <c r="B5469" s="1">
        <v>514681707</v>
      </c>
      <c r="C5469" t="s">
        <v>4207</v>
      </c>
      <c r="D5469" s="23">
        <v>-60.3</v>
      </c>
      <c r="E5469" s="76" t="s">
        <v>35</v>
      </c>
      <c r="F5469" s="2">
        <v>212901001</v>
      </c>
      <c r="G5469" s="2" t="s">
        <v>91</v>
      </c>
      <c r="I5469" s="95" t="s">
        <v>7231</v>
      </c>
      <c r="J5469" t="s">
        <v>61</v>
      </c>
      <c r="K5469" t="s">
        <v>62</v>
      </c>
      <c r="M5469">
        <v>107.62</v>
      </c>
      <c r="N5469" s="4">
        <f t="shared" si="85"/>
        <v>-0.56030477606392859</v>
      </c>
      <c r="O5469" t="s">
        <v>83</v>
      </c>
      <c r="R5469">
        <v>19</v>
      </c>
      <c r="S5469" t="e">
        <f>VLOOKUP(Tabla3[[#This Row],[Nº]],[1]!NOMINA[#Data],4,FALSE)</f>
        <v>#REF!</v>
      </c>
      <c r="T5469" t="e">
        <f>VLOOKUP(R5469,[1]!NOMINA[#Data],5,FALSE)</f>
        <v>#REF!</v>
      </c>
    </row>
    <row r="5470" spans="1:20" x14ac:dyDescent="0.25">
      <c r="A5470" s="22">
        <v>45838</v>
      </c>
      <c r="B5470" s="1">
        <v>514681709</v>
      </c>
      <c r="C5470" t="s">
        <v>4208</v>
      </c>
      <c r="D5470" s="23">
        <v>-60.3</v>
      </c>
      <c r="E5470" s="76" t="s">
        <v>35</v>
      </c>
      <c r="F5470" s="2">
        <v>212901001</v>
      </c>
      <c r="G5470" s="2" t="s">
        <v>91</v>
      </c>
      <c r="I5470" s="95" t="s">
        <v>7231</v>
      </c>
      <c r="J5470" t="s">
        <v>61</v>
      </c>
      <c r="K5470" t="s">
        <v>62</v>
      </c>
      <c r="M5470">
        <v>107.62</v>
      </c>
      <c r="N5470" s="4">
        <f t="shared" si="85"/>
        <v>-0.56030477606392859</v>
      </c>
      <c r="O5470" t="s">
        <v>83</v>
      </c>
      <c r="R5470">
        <v>5</v>
      </c>
      <c r="S5470" t="e">
        <f>VLOOKUP(Tabla3[[#This Row],[Nº]],[1]!NOMINA[#Data],4,FALSE)</f>
        <v>#REF!</v>
      </c>
      <c r="T5470" t="e">
        <f>VLOOKUP(R5470,[1]!NOMINA[#Data],5,FALSE)</f>
        <v>#REF!</v>
      </c>
    </row>
    <row r="5471" spans="1:20" x14ac:dyDescent="0.25">
      <c r="A5471" s="22">
        <v>45838</v>
      </c>
      <c r="B5471" s="1">
        <v>514681708</v>
      </c>
      <c r="C5471" t="s">
        <v>4209</v>
      </c>
      <c r="D5471" s="23">
        <v>-60.3</v>
      </c>
      <c r="E5471" s="76" t="s">
        <v>35</v>
      </c>
      <c r="F5471" s="2">
        <v>212901001</v>
      </c>
      <c r="G5471" s="2" t="s">
        <v>91</v>
      </c>
      <c r="I5471" s="95" t="s">
        <v>7231</v>
      </c>
      <c r="J5471" t="s">
        <v>61</v>
      </c>
      <c r="K5471" t="s">
        <v>62</v>
      </c>
      <c r="M5471">
        <v>107.62</v>
      </c>
      <c r="N5471" s="4">
        <f t="shared" si="85"/>
        <v>-0.56030477606392859</v>
      </c>
      <c r="O5471" t="s">
        <v>83</v>
      </c>
      <c r="R5471">
        <v>16</v>
      </c>
      <c r="S5471" t="e">
        <f>VLOOKUP(Tabla3[[#This Row],[Nº]],[1]!NOMINA[#Data],4,FALSE)</f>
        <v>#REF!</v>
      </c>
      <c r="T5471" t="e">
        <f>VLOOKUP(Tabla3[[#This Row],[Nº]],[1]!NOMINA[#Data],5,FALSE)</f>
        <v>#REF!</v>
      </c>
    </row>
    <row r="5472" spans="1:20" x14ac:dyDescent="0.25">
      <c r="A5472" s="22">
        <v>45838</v>
      </c>
      <c r="B5472" s="1">
        <v>514681711</v>
      </c>
      <c r="C5472" t="s">
        <v>4210</v>
      </c>
      <c r="D5472" s="23">
        <v>-60.3</v>
      </c>
      <c r="E5472" s="76" t="s">
        <v>35</v>
      </c>
      <c r="F5472" s="2">
        <v>212901001</v>
      </c>
      <c r="G5472" s="2" t="s">
        <v>91</v>
      </c>
      <c r="I5472" s="95" t="s">
        <v>7231</v>
      </c>
      <c r="J5472" t="s">
        <v>61</v>
      </c>
      <c r="K5472" t="s">
        <v>62</v>
      </c>
      <c r="M5472">
        <v>107.62</v>
      </c>
      <c r="N5472" s="4">
        <f t="shared" si="85"/>
        <v>-0.56030477606392859</v>
      </c>
      <c r="O5472" t="s">
        <v>83</v>
      </c>
      <c r="R5472">
        <v>7</v>
      </c>
      <c r="S5472" t="e">
        <f>VLOOKUP(Tabla3[[#This Row],[Nº]],[1]!NOMINA[#Data],4,FALSE)</f>
        <v>#REF!</v>
      </c>
      <c r="T5472" t="e">
        <f>VLOOKUP(R5472,[1]!NOMINA[#Data],5,FALSE)</f>
        <v>#REF!</v>
      </c>
    </row>
    <row r="5473" spans="1:20" x14ac:dyDescent="0.25">
      <c r="A5473" s="22">
        <v>45838</v>
      </c>
      <c r="B5473" s="1">
        <v>514681710</v>
      </c>
      <c r="C5473" t="s">
        <v>4211</v>
      </c>
      <c r="D5473" s="23">
        <v>-60.3</v>
      </c>
      <c r="E5473" s="76" t="s">
        <v>35</v>
      </c>
      <c r="F5473" s="2">
        <v>212901001</v>
      </c>
      <c r="G5473" s="2" t="s">
        <v>91</v>
      </c>
      <c r="I5473" s="95" t="s">
        <v>7231</v>
      </c>
      <c r="J5473" t="s">
        <v>61</v>
      </c>
      <c r="K5473" t="s">
        <v>62</v>
      </c>
      <c r="M5473">
        <v>107.62</v>
      </c>
      <c r="N5473" s="4">
        <f t="shared" si="85"/>
        <v>-0.56030477606392859</v>
      </c>
      <c r="O5473" t="s">
        <v>83</v>
      </c>
      <c r="R5473">
        <v>1</v>
      </c>
      <c r="S5473" t="e">
        <f>VLOOKUP(R5473,[1]!NOMINA[#Data],4,FALSE)</f>
        <v>#REF!</v>
      </c>
      <c r="T5473" t="e">
        <f>VLOOKUP(R5473,[1]!NOMINA[#Data],5,FALSE)</f>
        <v>#REF!</v>
      </c>
    </row>
    <row r="5474" spans="1:20" x14ac:dyDescent="0.25">
      <c r="A5474" s="22">
        <v>45838</v>
      </c>
      <c r="B5474" s="1">
        <v>514681712</v>
      </c>
      <c r="C5474" t="s">
        <v>4212</v>
      </c>
      <c r="D5474" s="23">
        <v>-31851</v>
      </c>
      <c r="E5474" s="76" t="s">
        <v>35</v>
      </c>
      <c r="F5474" s="2">
        <v>212901001</v>
      </c>
      <c r="G5474" s="2" t="s">
        <v>91</v>
      </c>
      <c r="I5474" s="95" t="s">
        <v>7231</v>
      </c>
      <c r="J5474" t="s">
        <v>61</v>
      </c>
      <c r="K5474" t="s">
        <v>62</v>
      </c>
      <c r="M5474">
        <v>107.62</v>
      </c>
      <c r="N5474" s="4">
        <f t="shared" si="85"/>
        <v>-295.95800037167811</v>
      </c>
      <c r="O5474" t="s">
        <v>83</v>
      </c>
      <c r="R5474">
        <v>2</v>
      </c>
      <c r="S5474" t="e">
        <f>VLOOKUP(Tabla3[[#This Row],[Nº]],[1]!NOMINA[#Data],4,FALSE)</f>
        <v>#REF!</v>
      </c>
      <c r="T5474" t="e">
        <f>VLOOKUP(Tabla3[[#This Row],[Nº]],[1]!NOMINA[#Data],5,FALSE)</f>
        <v>#REF!</v>
      </c>
    </row>
    <row r="5475" spans="1:20" x14ac:dyDescent="0.25">
      <c r="A5475" s="22">
        <v>45838</v>
      </c>
      <c r="B5475" s="1">
        <v>614681713</v>
      </c>
      <c r="C5475" t="s">
        <v>4213</v>
      </c>
      <c r="D5475" s="23">
        <v>-1061.7</v>
      </c>
      <c r="E5475" s="76" t="s">
        <v>35</v>
      </c>
      <c r="F5475" s="2">
        <v>212901001</v>
      </c>
      <c r="G5475" s="2" t="s">
        <v>91</v>
      </c>
      <c r="I5475" s="95" t="s">
        <v>7231</v>
      </c>
      <c r="J5475" t="s">
        <v>61</v>
      </c>
      <c r="K5475" t="s">
        <v>62</v>
      </c>
      <c r="M5475">
        <v>107.62</v>
      </c>
      <c r="N5475" s="4">
        <f t="shared" si="85"/>
        <v>-9.8652666790559369</v>
      </c>
      <c r="O5475" t="s">
        <v>83</v>
      </c>
      <c r="R5475">
        <v>28</v>
      </c>
      <c r="S5475" t="e">
        <f>VLOOKUP(Tabla3[[#This Row],[Nº]],[1]!NOMINA[#Data],4,FALSE)</f>
        <v>#REF!</v>
      </c>
      <c r="T5475" t="e">
        <f>VLOOKUP(R5475,[1]!NOMINA[#Data],5,FALSE)</f>
        <v>#REF!</v>
      </c>
    </row>
    <row r="5476" spans="1:20" x14ac:dyDescent="0.25">
      <c r="A5476" s="22">
        <v>45838</v>
      </c>
      <c r="B5476" s="1">
        <v>614681715</v>
      </c>
      <c r="C5476" t="s">
        <v>4214</v>
      </c>
      <c r="D5476" s="23">
        <v>-1061.7</v>
      </c>
      <c r="E5476" s="76" t="s">
        <v>35</v>
      </c>
      <c r="F5476" s="2">
        <v>212901001</v>
      </c>
      <c r="G5476" s="2" t="s">
        <v>91</v>
      </c>
      <c r="I5476" s="95" t="s">
        <v>7231</v>
      </c>
      <c r="J5476" t="s">
        <v>61</v>
      </c>
      <c r="K5476" t="s">
        <v>62</v>
      </c>
      <c r="M5476">
        <v>107.62</v>
      </c>
      <c r="N5476" s="4">
        <f t="shared" si="85"/>
        <v>-9.8652666790559369</v>
      </c>
      <c r="O5476" t="s">
        <v>83</v>
      </c>
      <c r="R5476">
        <v>17</v>
      </c>
      <c r="S5476" t="e">
        <f>VLOOKUP(Tabla3[[#This Row],[Nº]],[1]!NOMINA[#Data],4,FALSE)</f>
        <v>#REF!</v>
      </c>
      <c r="T5476" t="e">
        <f>VLOOKUP(R5476,[1]!NOMINA[#Data],5,FALSE)</f>
        <v>#REF!</v>
      </c>
    </row>
    <row r="5477" spans="1:20" x14ac:dyDescent="0.25">
      <c r="A5477" s="22">
        <v>45838</v>
      </c>
      <c r="B5477" s="1">
        <v>614681716</v>
      </c>
      <c r="C5477" t="s">
        <v>4215</v>
      </c>
      <c r="D5477" s="23">
        <v>-1061.7</v>
      </c>
      <c r="E5477" s="76" t="s">
        <v>35</v>
      </c>
      <c r="F5477" s="2">
        <v>212901001</v>
      </c>
      <c r="G5477" s="2" t="s">
        <v>91</v>
      </c>
      <c r="I5477" s="95" t="s">
        <v>7231</v>
      </c>
      <c r="J5477" t="s">
        <v>61</v>
      </c>
      <c r="K5477" t="s">
        <v>62</v>
      </c>
      <c r="M5477">
        <v>107.62</v>
      </c>
      <c r="N5477" s="4">
        <f t="shared" si="85"/>
        <v>-9.8652666790559369</v>
      </c>
      <c r="O5477" t="s">
        <v>83</v>
      </c>
      <c r="R5477">
        <v>15</v>
      </c>
      <c r="S5477" t="e">
        <f>VLOOKUP(Tabla3[[#This Row],[Nº]],[1]!NOMINA[#Data],4,FALSE)</f>
        <v>#REF!</v>
      </c>
      <c r="T5477" t="e">
        <f>VLOOKUP(R5477,[1]!NOMINA[#Data],5,FALSE)</f>
        <v>#REF!</v>
      </c>
    </row>
    <row r="5478" spans="1:20" x14ac:dyDescent="0.25">
      <c r="A5478" s="22">
        <v>45838</v>
      </c>
      <c r="B5478" s="1">
        <v>614681714</v>
      </c>
      <c r="C5478" t="s">
        <v>4216</v>
      </c>
      <c r="D5478" s="23">
        <v>-6370.2</v>
      </c>
      <c r="E5478" s="76" t="s">
        <v>35</v>
      </c>
      <c r="F5478" s="2">
        <v>212901001</v>
      </c>
      <c r="G5478" s="2" t="s">
        <v>91</v>
      </c>
      <c r="I5478" s="95" t="s">
        <v>7231</v>
      </c>
      <c r="J5478" t="s">
        <v>61</v>
      </c>
      <c r="K5478" t="s">
        <v>62</v>
      </c>
      <c r="M5478">
        <v>107.62</v>
      </c>
      <c r="N5478" s="4">
        <f t="shared" si="85"/>
        <v>-59.191600074335618</v>
      </c>
      <c r="O5478" t="s">
        <v>83</v>
      </c>
      <c r="R5478">
        <v>19</v>
      </c>
      <c r="S5478" t="e">
        <f>VLOOKUP(Tabla3[[#This Row],[Nº]],[1]!NOMINA[#Data],4,FALSE)</f>
        <v>#REF!</v>
      </c>
      <c r="T5478" t="e">
        <f>VLOOKUP(R5478,[1]!NOMINA[#Data],5,FALSE)</f>
        <v>#REF!</v>
      </c>
    </row>
    <row r="5479" spans="1:20" x14ac:dyDescent="0.25">
      <c r="A5479" s="22">
        <v>45838</v>
      </c>
      <c r="B5479" s="1">
        <v>614681718</v>
      </c>
      <c r="C5479" t="s">
        <v>4217</v>
      </c>
      <c r="D5479" s="23">
        <v>-1061.7</v>
      </c>
      <c r="E5479" s="76" t="s">
        <v>35</v>
      </c>
      <c r="F5479" s="2">
        <v>212901001</v>
      </c>
      <c r="G5479" s="2" t="s">
        <v>91</v>
      </c>
      <c r="I5479" s="95" t="s">
        <v>7231</v>
      </c>
      <c r="J5479" t="s">
        <v>61</v>
      </c>
      <c r="K5479" t="s">
        <v>62</v>
      </c>
      <c r="M5479">
        <v>107.62</v>
      </c>
      <c r="N5479" s="4">
        <f t="shared" si="85"/>
        <v>-9.8652666790559369</v>
      </c>
      <c r="O5479" t="s">
        <v>83</v>
      </c>
      <c r="R5479">
        <v>14</v>
      </c>
      <c r="S5479" t="e">
        <f>VLOOKUP(Tabla3[[#This Row],[Nº]],[1]!NOMINA[#Data],4,FALSE)</f>
        <v>#REF!</v>
      </c>
      <c r="T5479" t="e">
        <f>VLOOKUP(R5479,[1]!NOMINA[#Data],5,FALSE)</f>
        <v>#REF!</v>
      </c>
    </row>
    <row r="5480" spans="1:20" x14ac:dyDescent="0.25">
      <c r="A5480" s="22">
        <v>45838</v>
      </c>
      <c r="B5480" s="1">
        <v>614681717</v>
      </c>
      <c r="C5480" t="s">
        <v>4218</v>
      </c>
      <c r="D5480" s="23">
        <v>-1061.7</v>
      </c>
      <c r="E5480" s="76" t="s">
        <v>35</v>
      </c>
      <c r="F5480" s="2">
        <v>212901001</v>
      </c>
      <c r="G5480" s="2" t="s">
        <v>91</v>
      </c>
      <c r="I5480" s="95" t="s">
        <v>7231</v>
      </c>
      <c r="J5480" t="s">
        <v>61</v>
      </c>
      <c r="K5480" t="s">
        <v>62</v>
      </c>
      <c r="M5480">
        <v>107.62</v>
      </c>
      <c r="N5480" s="4">
        <f t="shared" si="85"/>
        <v>-9.8652666790559369</v>
      </c>
      <c r="O5480" t="s">
        <v>83</v>
      </c>
      <c r="R5480">
        <v>8</v>
      </c>
      <c r="S5480" t="e">
        <f>VLOOKUP(Tabla3[[#This Row],[Nº]],[1]!NOMINA[#Data],4,FALSE)</f>
        <v>#REF!</v>
      </c>
      <c r="T5480" t="e">
        <f>VLOOKUP(R5480,[1]!NOMINA[#Data],5,FALSE)</f>
        <v>#REF!</v>
      </c>
    </row>
    <row r="5481" spans="1:20" x14ac:dyDescent="0.25">
      <c r="A5481" s="22">
        <v>45838</v>
      </c>
      <c r="B5481" s="1">
        <v>614681720</v>
      </c>
      <c r="C5481" t="s">
        <v>4219</v>
      </c>
      <c r="D5481" s="23">
        <v>-21234</v>
      </c>
      <c r="E5481" s="76" t="s">
        <v>35</v>
      </c>
      <c r="F5481" s="2">
        <v>212901001</v>
      </c>
      <c r="G5481" s="2" t="s">
        <v>91</v>
      </c>
      <c r="I5481" s="95" t="s">
        <v>7231</v>
      </c>
      <c r="J5481" t="s">
        <v>61</v>
      </c>
      <c r="K5481" t="s">
        <v>62</v>
      </c>
      <c r="M5481">
        <v>107.62</v>
      </c>
      <c r="N5481" s="4">
        <f t="shared" si="85"/>
        <v>-197.30533358111873</v>
      </c>
      <c r="O5481" t="s">
        <v>83</v>
      </c>
      <c r="R5481">
        <v>1</v>
      </c>
      <c r="S5481" t="e">
        <f>VLOOKUP(R5481,[1]!NOMINA[#Data],4,FALSE)</f>
        <v>#REF!</v>
      </c>
      <c r="T5481" t="e">
        <f>VLOOKUP(R5481,[1]!NOMINA[#Data],5,FALSE)</f>
        <v>#REF!</v>
      </c>
    </row>
    <row r="5482" spans="1:20" x14ac:dyDescent="0.25">
      <c r="A5482" s="22">
        <v>45838</v>
      </c>
      <c r="B5482" s="1">
        <v>614681719</v>
      </c>
      <c r="C5482" t="s">
        <v>4220</v>
      </c>
      <c r="D5482" s="23">
        <v>-1061.7</v>
      </c>
      <c r="E5482" s="76" t="s">
        <v>35</v>
      </c>
      <c r="F5482" s="2">
        <v>212901001</v>
      </c>
      <c r="G5482" s="2" t="s">
        <v>91</v>
      </c>
      <c r="I5482" s="95" t="s">
        <v>7231</v>
      </c>
      <c r="J5482" t="s">
        <v>61</v>
      </c>
      <c r="K5482" t="s">
        <v>62</v>
      </c>
      <c r="M5482">
        <v>107.62</v>
      </c>
      <c r="N5482" s="4">
        <f t="shared" si="85"/>
        <v>-9.8652666790559369</v>
      </c>
      <c r="O5482" t="s">
        <v>83</v>
      </c>
      <c r="R5482">
        <v>13</v>
      </c>
      <c r="S5482" t="e">
        <f>VLOOKUP(Tabla3[[#This Row],[Nº]],[1]!NOMINA[#Data],4,FALSE)</f>
        <v>#REF!</v>
      </c>
      <c r="T5482" t="e">
        <f>VLOOKUP(R5482,[1]!NOMINA[#Data],5,FALSE)</f>
        <v>#REF!</v>
      </c>
    </row>
    <row r="5483" spans="1:20" x14ac:dyDescent="0.25">
      <c r="A5483" s="22">
        <v>45838</v>
      </c>
      <c r="B5483" s="1">
        <v>714681722</v>
      </c>
      <c r="C5483" t="s">
        <v>4221</v>
      </c>
      <c r="D5483" s="23">
        <v>-1061.7</v>
      </c>
      <c r="E5483" s="76" t="s">
        <v>35</v>
      </c>
      <c r="F5483" s="2">
        <v>212901001</v>
      </c>
      <c r="G5483" s="2" t="s">
        <v>91</v>
      </c>
      <c r="I5483" s="95" t="s">
        <v>7231</v>
      </c>
      <c r="J5483" t="s">
        <v>61</v>
      </c>
      <c r="K5483" t="s">
        <v>62</v>
      </c>
      <c r="M5483">
        <v>107.62</v>
      </c>
      <c r="N5483" s="4">
        <f t="shared" si="85"/>
        <v>-9.8652666790559369</v>
      </c>
      <c r="O5483" t="s">
        <v>83</v>
      </c>
      <c r="R5483">
        <v>12</v>
      </c>
      <c r="S5483" t="e">
        <f>VLOOKUP(Tabla3[[#This Row],[Nº]],[1]!NOMINA[#Data],4,FALSE)</f>
        <v>#REF!</v>
      </c>
      <c r="T5483" t="e">
        <f>VLOOKUP(R5483,[1]!NOMINA[#Data],5,FALSE)</f>
        <v>#REF!</v>
      </c>
    </row>
    <row r="5484" spans="1:20" x14ac:dyDescent="0.25">
      <c r="A5484" s="22">
        <v>45838</v>
      </c>
      <c r="B5484" s="1">
        <v>614681721</v>
      </c>
      <c r="C5484" t="s">
        <v>4222</v>
      </c>
      <c r="D5484" s="23">
        <v>-1061.7</v>
      </c>
      <c r="E5484" s="76" t="s">
        <v>35</v>
      </c>
      <c r="F5484" s="2">
        <v>212901001</v>
      </c>
      <c r="G5484" s="2" t="s">
        <v>91</v>
      </c>
      <c r="I5484" s="95" t="s">
        <v>7231</v>
      </c>
      <c r="J5484" t="s">
        <v>61</v>
      </c>
      <c r="K5484" t="s">
        <v>62</v>
      </c>
      <c r="M5484">
        <v>107.62</v>
      </c>
      <c r="N5484" s="4">
        <f t="shared" si="85"/>
        <v>-9.8652666790559369</v>
      </c>
      <c r="O5484" t="s">
        <v>83</v>
      </c>
      <c r="R5484">
        <v>16</v>
      </c>
      <c r="S5484" t="e">
        <f>VLOOKUP(Tabla3[[#This Row],[Nº]],[1]!NOMINA[#Data],4,FALSE)</f>
        <v>#REF!</v>
      </c>
      <c r="T5484" t="e">
        <f>VLOOKUP(Tabla3[[#This Row],[Nº]],[1]!NOMINA[#Data],5,FALSE)</f>
        <v>#REF!</v>
      </c>
    </row>
    <row r="5485" spans="1:20" x14ac:dyDescent="0.25">
      <c r="A5485" s="22">
        <v>45838</v>
      </c>
      <c r="B5485" s="1">
        <v>714681723</v>
      </c>
      <c r="C5485" t="s">
        <v>4223</v>
      </c>
      <c r="D5485" s="23">
        <v>-1061.7</v>
      </c>
      <c r="E5485" s="76" t="s">
        <v>35</v>
      </c>
      <c r="F5485" s="2">
        <v>212901001</v>
      </c>
      <c r="G5485" s="2" t="s">
        <v>91</v>
      </c>
      <c r="I5485" s="95" t="s">
        <v>7231</v>
      </c>
      <c r="J5485" t="s">
        <v>61</v>
      </c>
      <c r="K5485" t="s">
        <v>62</v>
      </c>
      <c r="M5485">
        <v>107.62</v>
      </c>
      <c r="N5485" s="4">
        <f t="shared" si="85"/>
        <v>-9.8652666790559369</v>
      </c>
      <c r="O5485" t="s">
        <v>83</v>
      </c>
      <c r="R5485">
        <v>6</v>
      </c>
      <c r="S5485" t="e">
        <f>VLOOKUP(Tabla3[[#This Row],[Nº]],[1]!NOMINA[#Data],4,FALSE)</f>
        <v>#REF!</v>
      </c>
      <c r="T5485" t="e">
        <f>VLOOKUP(R5485,[1]!NOMINA[#Data],5,FALSE)</f>
        <v>#REF!</v>
      </c>
    </row>
    <row r="5486" spans="1:20" x14ac:dyDescent="0.25">
      <c r="A5486" s="22">
        <v>45838</v>
      </c>
      <c r="B5486" s="1">
        <v>714681726</v>
      </c>
      <c r="C5486" t="s">
        <v>4224</v>
      </c>
      <c r="D5486" s="23">
        <v>-1061.7</v>
      </c>
      <c r="E5486" s="76" t="s">
        <v>35</v>
      </c>
      <c r="F5486" s="2">
        <v>212901001</v>
      </c>
      <c r="G5486" s="2" t="s">
        <v>91</v>
      </c>
      <c r="I5486" s="95" t="s">
        <v>7231</v>
      </c>
      <c r="J5486" t="s">
        <v>61</v>
      </c>
      <c r="K5486" t="s">
        <v>62</v>
      </c>
      <c r="M5486">
        <v>107.62</v>
      </c>
      <c r="N5486" s="4">
        <f t="shared" si="85"/>
        <v>-9.8652666790559369</v>
      </c>
      <c r="O5486" t="s">
        <v>83</v>
      </c>
      <c r="R5486">
        <v>7</v>
      </c>
      <c r="S5486" t="e">
        <f>VLOOKUP(Tabla3[[#This Row],[Nº]],[1]!NOMINA[#Data],4,FALSE)</f>
        <v>#REF!</v>
      </c>
      <c r="T5486" t="e">
        <f>VLOOKUP(R5486,[1]!NOMINA[#Data],5,FALSE)</f>
        <v>#REF!</v>
      </c>
    </row>
    <row r="5487" spans="1:20" x14ac:dyDescent="0.25">
      <c r="A5487" s="22">
        <v>45838</v>
      </c>
      <c r="B5487" s="1">
        <v>714681725</v>
      </c>
      <c r="C5487" t="s">
        <v>4225</v>
      </c>
      <c r="D5487" s="23">
        <v>-6370.2</v>
      </c>
      <c r="E5487" s="76" t="s">
        <v>35</v>
      </c>
      <c r="F5487" s="2">
        <v>212901001</v>
      </c>
      <c r="G5487" s="2" t="s">
        <v>91</v>
      </c>
      <c r="I5487" s="95" t="s">
        <v>7231</v>
      </c>
      <c r="J5487" t="s">
        <v>61</v>
      </c>
      <c r="K5487" t="s">
        <v>62</v>
      </c>
      <c r="M5487">
        <v>107.62</v>
      </c>
      <c r="N5487" s="4">
        <f t="shared" si="85"/>
        <v>-59.191600074335618</v>
      </c>
      <c r="O5487" t="s">
        <v>83</v>
      </c>
      <c r="R5487">
        <v>3</v>
      </c>
      <c r="S5487" t="e">
        <f>VLOOKUP(Tabla3[[#This Row],[Nº]],[1]!NOMINA[#Data],4,FALSE)</f>
        <v>#REF!</v>
      </c>
      <c r="T5487" t="e">
        <f>VLOOKUP(R5487,[1]!NOMINA[#Data],5,FALSE)</f>
        <v>#REF!</v>
      </c>
    </row>
    <row r="5488" spans="1:20" x14ac:dyDescent="0.25">
      <c r="A5488" s="22">
        <v>45838</v>
      </c>
      <c r="B5488" s="1">
        <v>714681724</v>
      </c>
      <c r="C5488" t="s">
        <v>4226</v>
      </c>
      <c r="D5488" s="23">
        <v>-1061.7</v>
      </c>
      <c r="E5488" s="76" t="s">
        <v>35</v>
      </c>
      <c r="F5488" s="2">
        <v>212901001</v>
      </c>
      <c r="G5488" s="2" t="s">
        <v>91</v>
      </c>
      <c r="I5488" s="95" t="s">
        <v>7231</v>
      </c>
      <c r="J5488" t="s">
        <v>61</v>
      </c>
      <c r="K5488" t="s">
        <v>62</v>
      </c>
      <c r="M5488">
        <v>107.62</v>
      </c>
      <c r="N5488" s="4">
        <f t="shared" si="85"/>
        <v>-9.8652666790559369</v>
      </c>
      <c r="O5488" t="s">
        <v>83</v>
      </c>
      <c r="R5488">
        <v>11</v>
      </c>
      <c r="S5488" t="e">
        <f>VLOOKUP(Tabla3[[#This Row],[Nº]],[1]!NOMINA[#Data],4,FALSE)</f>
        <v>#REF!</v>
      </c>
      <c r="T5488" t="e">
        <f>VLOOKUP(R5488,[1]!NOMINA[#Data],5,FALSE)</f>
        <v>#REF!</v>
      </c>
    </row>
    <row r="5489" spans="1:20" x14ac:dyDescent="0.25">
      <c r="A5489" s="22">
        <v>45838</v>
      </c>
      <c r="B5489" s="1">
        <v>714681727</v>
      </c>
      <c r="C5489" t="s">
        <v>4227</v>
      </c>
      <c r="D5489" s="23">
        <v>-1061.7</v>
      </c>
      <c r="E5489" s="76" t="s">
        <v>35</v>
      </c>
      <c r="F5489" s="2">
        <v>212901001</v>
      </c>
      <c r="G5489" s="2" t="s">
        <v>91</v>
      </c>
      <c r="I5489" s="95" t="s">
        <v>7231</v>
      </c>
      <c r="J5489" t="s">
        <v>61</v>
      </c>
      <c r="K5489" t="s">
        <v>62</v>
      </c>
      <c r="M5489">
        <v>107.62</v>
      </c>
      <c r="N5489" s="4">
        <f t="shared" si="85"/>
        <v>-9.8652666790559369</v>
      </c>
      <c r="O5489" t="s">
        <v>83</v>
      </c>
      <c r="R5489">
        <v>29</v>
      </c>
      <c r="S5489" t="e">
        <f>VLOOKUP(R5489,[1]!NOMINA[#Data],4,FALSE)</f>
        <v>#REF!</v>
      </c>
      <c r="T5489" t="e">
        <f>VLOOKUP(R5489,[1]!NOMINA[#Data],5,FALSE)</f>
        <v>#REF!</v>
      </c>
    </row>
    <row r="5490" spans="1:20" x14ac:dyDescent="0.25">
      <c r="A5490" s="22">
        <v>45838</v>
      </c>
      <c r="B5490" s="1">
        <v>714681728</v>
      </c>
      <c r="C5490" t="s">
        <v>4228</v>
      </c>
      <c r="D5490" s="23">
        <v>-1061.7</v>
      </c>
      <c r="E5490" s="76" t="s">
        <v>35</v>
      </c>
      <c r="F5490" s="2">
        <v>212901001</v>
      </c>
      <c r="G5490" s="2" t="s">
        <v>91</v>
      </c>
      <c r="I5490" s="95" t="s">
        <v>7231</v>
      </c>
      <c r="J5490" t="s">
        <v>61</v>
      </c>
      <c r="K5490" t="s">
        <v>62</v>
      </c>
      <c r="M5490">
        <v>107.62</v>
      </c>
      <c r="N5490" s="4">
        <f t="shared" si="85"/>
        <v>-9.8652666790559369</v>
      </c>
      <c r="O5490" t="s">
        <v>83</v>
      </c>
      <c r="R5490">
        <v>10</v>
      </c>
      <c r="S5490" t="e">
        <f>VLOOKUP(Tabla3[[#This Row],[Nº]],[1]!NOMINA[#Data],4,FALSE)</f>
        <v>#REF!</v>
      </c>
      <c r="T5490" t="e">
        <f>VLOOKUP(R5490,[1]!NOMINA[#Data],5,FALSE)</f>
        <v>#REF!</v>
      </c>
    </row>
    <row r="5491" spans="1:20" x14ac:dyDescent="0.25">
      <c r="A5491" s="22">
        <v>45838</v>
      </c>
      <c r="B5491" s="1">
        <v>714681729</v>
      </c>
      <c r="C5491" t="s">
        <v>4229</v>
      </c>
      <c r="D5491" s="23">
        <v>-1061.7</v>
      </c>
      <c r="E5491" s="76" t="s">
        <v>35</v>
      </c>
      <c r="F5491" s="2">
        <v>212901001</v>
      </c>
      <c r="G5491" s="2" t="s">
        <v>91</v>
      </c>
      <c r="I5491" s="95" t="s">
        <v>7231</v>
      </c>
      <c r="J5491" t="s">
        <v>61</v>
      </c>
      <c r="K5491" t="s">
        <v>62</v>
      </c>
      <c r="M5491">
        <v>107.62</v>
      </c>
      <c r="N5491" s="4">
        <f t="shared" si="85"/>
        <v>-9.8652666790559369</v>
      </c>
      <c r="O5491" t="s">
        <v>83</v>
      </c>
      <c r="R5491">
        <v>9</v>
      </c>
      <c r="S5491" t="e">
        <f>VLOOKUP(Tabla3[[#This Row],[Nº]],[1]!NOMINA[#Data],4,FALSE)</f>
        <v>#REF!</v>
      </c>
      <c r="T5491" t="e">
        <f>VLOOKUP(R5491,[1]!NOMINA[#Data],5,FALSE)</f>
        <v>#REF!</v>
      </c>
    </row>
    <row r="5492" spans="1:20" x14ac:dyDescent="0.25">
      <c r="A5492" s="22">
        <v>45838</v>
      </c>
      <c r="B5492" s="1">
        <v>714681730</v>
      </c>
      <c r="C5492" t="s">
        <v>4230</v>
      </c>
      <c r="D5492" s="23">
        <v>-1061.7</v>
      </c>
      <c r="E5492" s="76" t="s">
        <v>35</v>
      </c>
      <c r="F5492" s="2">
        <v>212901001</v>
      </c>
      <c r="G5492" s="2" t="s">
        <v>91</v>
      </c>
      <c r="I5492" s="95" t="s">
        <v>7231</v>
      </c>
      <c r="J5492" t="s">
        <v>61</v>
      </c>
      <c r="K5492" t="s">
        <v>62</v>
      </c>
      <c r="M5492">
        <v>107.62</v>
      </c>
      <c r="N5492" s="4">
        <f t="shared" si="85"/>
        <v>-9.8652666790559369</v>
      </c>
      <c r="O5492" t="s">
        <v>83</v>
      </c>
      <c r="R5492">
        <v>18</v>
      </c>
      <c r="S5492" t="e">
        <f>VLOOKUP(Tabla3[[#This Row],[Nº]],[1]!NOMINA[#Data],4,FALSE)</f>
        <v>#REF!</v>
      </c>
      <c r="T5492" t="e">
        <f>VLOOKUP(Tabla3[[#This Row],[Nº]],[1]!NOMINA[#Data],5,FALSE)</f>
        <v>#REF!</v>
      </c>
    </row>
    <row r="5493" spans="1:20" x14ac:dyDescent="0.25">
      <c r="A5493" s="22">
        <v>45838</v>
      </c>
      <c r="B5493" s="1">
        <v>50695925</v>
      </c>
      <c r="C5493" t="s">
        <v>89</v>
      </c>
      <c r="D5493" s="23">
        <v>-1509.36</v>
      </c>
      <c r="E5493" s="76" t="s">
        <v>35</v>
      </c>
      <c r="F5493" s="2">
        <v>610148001</v>
      </c>
      <c r="G5493" s="2" t="s">
        <v>41</v>
      </c>
      <c r="I5493" s="95" t="s">
        <v>7231</v>
      </c>
      <c r="J5493" t="s">
        <v>42</v>
      </c>
      <c r="K5493" t="s">
        <v>41</v>
      </c>
      <c r="M5493">
        <v>107.62</v>
      </c>
      <c r="N5493" s="4">
        <f t="shared" si="85"/>
        <v>-14.024902434491729</v>
      </c>
      <c r="O5493" t="s">
        <v>83</v>
      </c>
      <c r="Q5493" s="24" t="s">
        <v>3649</v>
      </c>
    </row>
    <row r="5494" spans="1:20" x14ac:dyDescent="0.25">
      <c r="A5494" s="22">
        <v>45838</v>
      </c>
      <c r="B5494" s="1">
        <v>50695925</v>
      </c>
      <c r="C5494" t="s">
        <v>792</v>
      </c>
      <c r="D5494" s="23">
        <v>-0.39</v>
      </c>
      <c r="E5494" s="76" t="s">
        <v>35</v>
      </c>
      <c r="F5494" s="2">
        <v>610148001</v>
      </c>
      <c r="G5494" s="2" t="s">
        <v>41</v>
      </c>
      <c r="I5494" s="95" t="s">
        <v>7231</v>
      </c>
      <c r="J5494" t="s">
        <v>42</v>
      </c>
      <c r="K5494" t="s">
        <v>41</v>
      </c>
      <c r="M5494">
        <v>107.62</v>
      </c>
      <c r="N5494" s="4">
        <f t="shared" si="85"/>
        <v>-3.623861735736852E-3</v>
      </c>
      <c r="O5494" t="s">
        <v>83</v>
      </c>
      <c r="Q5494" s="24" t="s">
        <v>3649</v>
      </c>
    </row>
    <row r="5495" spans="1:20" x14ac:dyDescent="0.25">
      <c r="A5495" s="22">
        <v>45838</v>
      </c>
      <c r="B5495" s="1">
        <v>514682638</v>
      </c>
      <c r="C5495" t="s">
        <v>4231</v>
      </c>
      <c r="D5495" s="23">
        <v>-7867.2</v>
      </c>
      <c r="E5495" s="76" t="s">
        <v>35</v>
      </c>
      <c r="F5495" s="2">
        <v>212901001</v>
      </c>
      <c r="G5495" s="2" t="s">
        <v>91</v>
      </c>
      <c r="I5495" s="95" t="s">
        <v>7231</v>
      </c>
      <c r="J5495" t="s">
        <v>61</v>
      </c>
      <c r="K5495" t="s">
        <v>62</v>
      </c>
      <c r="M5495">
        <v>107.62</v>
      </c>
      <c r="N5495" s="4">
        <f t="shared" si="85"/>
        <v>-73.101653967663992</v>
      </c>
      <c r="O5495" t="s">
        <v>83</v>
      </c>
      <c r="R5495">
        <v>34</v>
      </c>
      <c r="S5495" t="e">
        <f>VLOOKUP(R5495,[1]!NOMINA[#Data],4,FALSE)</f>
        <v>#REF!</v>
      </c>
      <c r="T5495" t="e">
        <f>VLOOKUP(R5495,[1]!NOMINA[#Data],5,FALSE)</f>
        <v>#REF!</v>
      </c>
    </row>
    <row r="5496" spans="1:20" x14ac:dyDescent="0.25">
      <c r="A5496" s="22">
        <v>45838</v>
      </c>
      <c r="B5496" s="1">
        <v>514682640</v>
      </c>
      <c r="C5496" t="s">
        <v>4232</v>
      </c>
      <c r="D5496" s="23">
        <v>-56.01</v>
      </c>
      <c r="E5496" s="76" t="s">
        <v>35</v>
      </c>
      <c r="F5496" s="2">
        <v>212901001</v>
      </c>
      <c r="G5496" s="2" t="s">
        <v>91</v>
      </c>
      <c r="I5496" s="95" t="s">
        <v>7231</v>
      </c>
      <c r="J5496" t="s">
        <v>61</v>
      </c>
      <c r="K5496" t="s">
        <v>62</v>
      </c>
      <c r="M5496">
        <v>107.62</v>
      </c>
      <c r="N5496" s="4">
        <f t="shared" si="85"/>
        <v>-0.52044229697082323</v>
      </c>
      <c r="O5496" t="s">
        <v>83</v>
      </c>
      <c r="R5496">
        <v>12</v>
      </c>
      <c r="S5496" t="e">
        <f>VLOOKUP(Tabla3[[#This Row],[Nº]],[1]!NOMINA[#Data],4,FALSE)</f>
        <v>#REF!</v>
      </c>
      <c r="T5496" t="e">
        <f>VLOOKUP(R5496,[1]!NOMINA[#Data],5,FALSE)</f>
        <v>#REF!</v>
      </c>
    </row>
    <row r="5497" spans="1:20" x14ac:dyDescent="0.25">
      <c r="A5497" s="22">
        <v>45838</v>
      </c>
      <c r="B5497" s="1">
        <v>514682639</v>
      </c>
      <c r="C5497" t="s">
        <v>4233</v>
      </c>
      <c r="D5497" s="23">
        <v>-1981.84</v>
      </c>
      <c r="E5497" s="76" t="s">
        <v>35</v>
      </c>
      <c r="F5497" s="2">
        <v>212901001</v>
      </c>
      <c r="G5497" s="2" t="s">
        <v>91</v>
      </c>
      <c r="I5497" s="95" t="s">
        <v>7231</v>
      </c>
      <c r="J5497" t="s">
        <v>61</v>
      </c>
      <c r="K5497" t="s">
        <v>62</v>
      </c>
      <c r="M5497">
        <v>107.62</v>
      </c>
      <c r="N5497" s="4">
        <f t="shared" si="85"/>
        <v>-18.415164467571081</v>
      </c>
      <c r="O5497" t="s">
        <v>83</v>
      </c>
      <c r="R5497">
        <v>30</v>
      </c>
      <c r="S5497" t="e">
        <f>VLOOKUP(Tabla3[[#This Row],[Nº]],[1]!NOMINA[#Data],4,FALSE)</f>
        <v>#REF!</v>
      </c>
      <c r="T5497" t="e">
        <f>VLOOKUP(R5497,[1]!NOMINA[#Data],5,FALSE)</f>
        <v>#REF!</v>
      </c>
    </row>
    <row r="5498" spans="1:20" x14ac:dyDescent="0.25">
      <c r="A5498" s="22">
        <v>45838</v>
      </c>
      <c r="B5498" s="1">
        <v>50636328</v>
      </c>
      <c r="C5498" t="s">
        <v>89</v>
      </c>
      <c r="D5498" s="23">
        <v>-24.76</v>
      </c>
      <c r="E5498" s="76" t="s">
        <v>35</v>
      </c>
      <c r="F5498" s="2">
        <v>610148001</v>
      </c>
      <c r="G5498" s="2" t="s">
        <v>41</v>
      </c>
      <c r="I5498" s="95" t="s">
        <v>7231</v>
      </c>
      <c r="J5498" t="s">
        <v>42</v>
      </c>
      <c r="K5498" t="s">
        <v>41</v>
      </c>
      <c r="M5498">
        <v>107.62</v>
      </c>
      <c r="N5498" s="4">
        <f t="shared" si="85"/>
        <v>-0.23006876045344732</v>
      </c>
      <c r="O5498" t="s">
        <v>83</v>
      </c>
      <c r="Q5498" s="24" t="s">
        <v>3649</v>
      </c>
    </row>
    <row r="5499" spans="1:20" x14ac:dyDescent="0.25">
      <c r="A5499" s="22">
        <v>45838</v>
      </c>
      <c r="B5499" s="1">
        <v>0</v>
      </c>
      <c r="C5499" t="s">
        <v>602</v>
      </c>
      <c r="D5499" s="23">
        <v>-0.5</v>
      </c>
      <c r="E5499" s="76" t="s">
        <v>35</v>
      </c>
      <c r="F5499" s="2">
        <v>610148001</v>
      </c>
      <c r="G5499" s="2" t="s">
        <v>41</v>
      </c>
      <c r="I5499" s="95" t="s">
        <v>7231</v>
      </c>
      <c r="J5499" t="s">
        <v>42</v>
      </c>
      <c r="K5499" t="s">
        <v>41</v>
      </c>
      <c r="M5499">
        <v>107.62</v>
      </c>
      <c r="N5499" s="4">
        <f t="shared" si="85"/>
        <v>-4.6459765842780153E-3</v>
      </c>
      <c r="O5499" t="s">
        <v>83</v>
      </c>
      <c r="Q5499" s="24" t="s">
        <v>3649</v>
      </c>
    </row>
    <row r="5500" spans="1:20" x14ac:dyDescent="0.25">
      <c r="A5500" s="22">
        <v>45838</v>
      </c>
      <c r="B5500" s="1">
        <v>0</v>
      </c>
      <c r="C5500" t="s">
        <v>603</v>
      </c>
      <c r="D5500" s="23">
        <v>-0.5</v>
      </c>
      <c r="E5500" s="76" t="s">
        <v>35</v>
      </c>
      <c r="F5500" s="2">
        <v>610148001</v>
      </c>
      <c r="G5500" s="2" t="s">
        <v>41</v>
      </c>
      <c r="I5500" s="95" t="s">
        <v>7231</v>
      </c>
      <c r="J5500" t="s">
        <v>42</v>
      </c>
      <c r="K5500" t="s">
        <v>41</v>
      </c>
      <c r="M5500">
        <v>107.62</v>
      </c>
      <c r="N5500" s="4">
        <f t="shared" si="85"/>
        <v>-4.6459765842780153E-3</v>
      </c>
      <c r="O5500" t="s">
        <v>83</v>
      </c>
      <c r="Q5500" s="24" t="s">
        <v>3649</v>
      </c>
    </row>
    <row r="5501" spans="1:20" x14ac:dyDescent="0.25">
      <c r="A5501" s="22">
        <v>45809</v>
      </c>
      <c r="B5501" s="1">
        <v>120200002020</v>
      </c>
      <c r="C5501" t="s">
        <v>4234</v>
      </c>
      <c r="D5501" s="23">
        <v>-0.5</v>
      </c>
      <c r="E5501" t="s">
        <v>35</v>
      </c>
      <c r="F5501" s="2">
        <v>610148001</v>
      </c>
      <c r="G5501" s="2" t="s">
        <v>41</v>
      </c>
      <c r="I5501" s="95" t="s">
        <v>7231</v>
      </c>
      <c r="J5501" t="s">
        <v>42</v>
      </c>
      <c r="K5501" t="s">
        <v>41</v>
      </c>
      <c r="M5501">
        <v>97.31</v>
      </c>
      <c r="N5501" s="4">
        <f t="shared" si="85"/>
        <v>-5.1382180659747196E-3</v>
      </c>
      <c r="O5501" t="s">
        <v>605</v>
      </c>
      <c r="P5501" s="80"/>
      <c r="Q5501" s="42" t="s">
        <v>3649</v>
      </c>
    </row>
    <row r="5502" spans="1:20" x14ac:dyDescent="0.25">
      <c r="A5502" s="22">
        <v>45810</v>
      </c>
      <c r="B5502" s="1" t="s">
        <v>4235</v>
      </c>
      <c r="C5502" t="s">
        <v>293</v>
      </c>
      <c r="D5502" s="23">
        <v>100000</v>
      </c>
      <c r="E5502" t="s">
        <v>45</v>
      </c>
      <c r="F5502" s="2">
        <v>210115002</v>
      </c>
      <c r="G5502" s="2" t="s">
        <v>46</v>
      </c>
      <c r="I5502" s="95" t="s">
        <v>7231</v>
      </c>
      <c r="K5502" t="s">
        <v>293</v>
      </c>
      <c r="M5502">
        <v>97.31</v>
      </c>
      <c r="N5502" s="4">
        <f t="shared" si="85"/>
        <v>1027.643613194944</v>
      </c>
      <c r="O5502" t="s">
        <v>605</v>
      </c>
      <c r="Q5502" s="2"/>
    </row>
    <row r="5503" spans="1:20" x14ac:dyDescent="0.25">
      <c r="A5503" s="22">
        <v>45810</v>
      </c>
      <c r="B5503" s="1" t="s">
        <v>4236</v>
      </c>
      <c r="C5503" t="s">
        <v>293</v>
      </c>
      <c r="D5503" s="23">
        <v>300000</v>
      </c>
      <c r="E5503" t="s">
        <v>45</v>
      </c>
      <c r="F5503" s="2">
        <v>210115002</v>
      </c>
      <c r="G5503" s="2" t="s">
        <v>46</v>
      </c>
      <c r="I5503" s="95" t="s">
        <v>7231</v>
      </c>
      <c r="K5503" t="s">
        <v>293</v>
      </c>
      <c r="M5503">
        <v>97.31</v>
      </c>
      <c r="N5503" s="4">
        <f t="shared" si="85"/>
        <v>3082.930839584832</v>
      </c>
      <c r="O5503" t="s">
        <v>605</v>
      </c>
      <c r="Q5503" s="2"/>
    </row>
    <row r="5504" spans="1:20" x14ac:dyDescent="0.25">
      <c r="A5504" s="22">
        <v>45810</v>
      </c>
      <c r="B5504" s="1" t="s">
        <v>613</v>
      </c>
      <c r="C5504" t="s">
        <v>4237</v>
      </c>
      <c r="D5504" s="44">
        <v>-189750</v>
      </c>
      <c r="E5504" t="s">
        <v>35</v>
      </c>
      <c r="F5504" s="2">
        <v>110114001</v>
      </c>
      <c r="G5504" s="2" t="s">
        <v>181</v>
      </c>
      <c r="I5504" s="95" t="s">
        <v>7231</v>
      </c>
      <c r="K5504" t="s">
        <v>1256</v>
      </c>
      <c r="M5504">
        <v>97.31</v>
      </c>
      <c r="N5504" s="4">
        <f t="shared" si="85"/>
        <v>-1949.9537560374063</v>
      </c>
      <c r="O5504" t="s">
        <v>605</v>
      </c>
      <c r="Q5504" s="2"/>
    </row>
    <row r="5505" spans="1:17" x14ac:dyDescent="0.25">
      <c r="A5505" s="22">
        <v>45810</v>
      </c>
      <c r="B5505" s="1" t="s">
        <v>613</v>
      </c>
      <c r="C5505" t="s">
        <v>4238</v>
      </c>
      <c r="D5505" s="23">
        <v>-96671.87</v>
      </c>
      <c r="E5505" t="s">
        <v>35</v>
      </c>
      <c r="F5505" s="2">
        <v>210101001</v>
      </c>
      <c r="G5505" s="2" t="s">
        <v>36</v>
      </c>
      <c r="I5505" s="95" t="s">
        <v>7231</v>
      </c>
      <c r="J5505" t="s">
        <v>928</v>
      </c>
      <c r="K5505" t="s">
        <v>929</v>
      </c>
      <c r="M5505">
        <v>97.31</v>
      </c>
      <c r="N5505" s="4">
        <f t="shared" si="85"/>
        <v>-993.44229781111903</v>
      </c>
      <c r="O5505" t="s">
        <v>605</v>
      </c>
      <c r="Q5505" s="2"/>
    </row>
    <row r="5506" spans="1:17" x14ac:dyDescent="0.25">
      <c r="A5506" s="22">
        <v>45810</v>
      </c>
      <c r="B5506" s="1" t="s">
        <v>615</v>
      </c>
      <c r="C5506" t="s">
        <v>4009</v>
      </c>
      <c r="D5506" s="23">
        <v>-16715.849999999999</v>
      </c>
      <c r="E5506" t="s">
        <v>35</v>
      </c>
      <c r="F5506" s="2">
        <v>210101001</v>
      </c>
      <c r="G5506" s="2" t="s">
        <v>36</v>
      </c>
      <c r="I5506" s="95" t="s">
        <v>7231</v>
      </c>
      <c r="J5506" t="s">
        <v>599</v>
      </c>
      <c r="K5506" t="s">
        <v>600</v>
      </c>
      <c r="M5506">
        <v>97.31</v>
      </c>
      <c r="N5506" s="4">
        <f t="shared" si="85"/>
        <v>-171.77936491624703</v>
      </c>
      <c r="O5506" t="s">
        <v>605</v>
      </c>
      <c r="Q5506" s="2"/>
    </row>
    <row r="5507" spans="1:17" x14ac:dyDescent="0.25">
      <c r="A5507" s="22">
        <v>45810</v>
      </c>
      <c r="B5507" s="1" t="s">
        <v>617</v>
      </c>
      <c r="C5507" t="s">
        <v>4239</v>
      </c>
      <c r="D5507" s="44">
        <v>-34541.160000000003</v>
      </c>
      <c r="E5507" t="s">
        <v>35</v>
      </c>
      <c r="F5507" s="2">
        <v>110114001</v>
      </c>
      <c r="G5507" s="2" t="s">
        <v>181</v>
      </c>
      <c r="I5507" s="95" t="s">
        <v>7231</v>
      </c>
      <c r="K5507" t="s">
        <v>1256</v>
      </c>
      <c r="M5507">
        <v>97.31</v>
      </c>
      <c r="N5507" s="4">
        <f t="shared" si="85"/>
        <v>-354.96002466344675</v>
      </c>
      <c r="O5507" t="s">
        <v>605</v>
      </c>
      <c r="Q5507" s="2"/>
    </row>
    <row r="5508" spans="1:17" x14ac:dyDescent="0.25">
      <c r="A5508" s="22">
        <v>45810</v>
      </c>
      <c r="B5508" s="1" t="s">
        <v>617</v>
      </c>
      <c r="C5508" t="s">
        <v>4240</v>
      </c>
      <c r="D5508" s="23">
        <v>-101121.84</v>
      </c>
      <c r="E5508" t="s">
        <v>35</v>
      </c>
      <c r="F5508" s="2">
        <v>210101001</v>
      </c>
      <c r="G5508" s="2" t="s">
        <v>36</v>
      </c>
      <c r="I5508" s="95" t="s">
        <v>7231</v>
      </c>
      <c r="J5508" t="s">
        <v>928</v>
      </c>
      <c r="K5508" t="s">
        <v>929</v>
      </c>
      <c r="M5508">
        <v>97.31</v>
      </c>
      <c r="N5508" s="4">
        <f t="shared" si="85"/>
        <v>-1039.1721303052102</v>
      </c>
      <c r="O5508" t="s">
        <v>605</v>
      </c>
      <c r="Q5508" s="2"/>
    </row>
    <row r="5509" spans="1:17" x14ac:dyDescent="0.25">
      <c r="A5509" s="22">
        <v>45810</v>
      </c>
      <c r="B5509" s="1" t="s">
        <v>613</v>
      </c>
      <c r="C5509" t="s">
        <v>4241</v>
      </c>
      <c r="D5509" s="23">
        <v>-30561.27</v>
      </c>
      <c r="E5509" t="s">
        <v>35</v>
      </c>
      <c r="F5509" s="2">
        <v>210101001</v>
      </c>
      <c r="G5509" s="2" t="s">
        <v>36</v>
      </c>
      <c r="I5509" s="95" t="s">
        <v>7231</v>
      </c>
      <c r="J5509" t="s">
        <v>37</v>
      </c>
      <c r="K5509" t="s">
        <v>38</v>
      </c>
      <c r="M5509">
        <v>97.31</v>
      </c>
      <c r="N5509" s="4">
        <f t="shared" si="85"/>
        <v>-314.06093926626244</v>
      </c>
      <c r="O5509" t="s">
        <v>605</v>
      </c>
      <c r="Q5509" s="2"/>
    </row>
    <row r="5510" spans="1:17" x14ac:dyDescent="0.25">
      <c r="A5510" s="22">
        <v>45810</v>
      </c>
      <c r="B5510" s="1" t="s">
        <v>623</v>
      </c>
      <c r="C5510" t="s">
        <v>622</v>
      </c>
      <c r="D5510" s="23">
        <v>-76.400000000000006</v>
      </c>
      <c r="E5510" t="s">
        <v>35</v>
      </c>
      <c r="F5510" s="2">
        <v>610148001</v>
      </c>
      <c r="G5510" s="2" t="s">
        <v>41</v>
      </c>
      <c r="I5510" s="95" t="s">
        <v>7231</v>
      </c>
      <c r="J5510" t="s">
        <v>42</v>
      </c>
      <c r="K5510" t="s">
        <v>41</v>
      </c>
      <c r="M5510">
        <v>97.31</v>
      </c>
      <c r="N5510" s="4">
        <f t="shared" si="85"/>
        <v>-0.78511972048093726</v>
      </c>
      <c r="O5510" t="s">
        <v>605</v>
      </c>
      <c r="Q5510" s="42" t="s">
        <v>3649</v>
      </c>
    </row>
    <row r="5511" spans="1:17" x14ac:dyDescent="0.25">
      <c r="A5511" s="22">
        <v>45810</v>
      </c>
      <c r="B5511" s="1" t="s">
        <v>624</v>
      </c>
      <c r="C5511" t="s">
        <v>622</v>
      </c>
      <c r="D5511" s="23">
        <v>-252.8</v>
      </c>
      <c r="E5511" t="s">
        <v>35</v>
      </c>
      <c r="F5511" s="2">
        <v>610148001</v>
      </c>
      <c r="G5511" s="2" t="s">
        <v>41</v>
      </c>
      <c r="I5511" s="95" t="s">
        <v>7231</v>
      </c>
      <c r="J5511" t="s">
        <v>42</v>
      </c>
      <c r="K5511" t="s">
        <v>41</v>
      </c>
      <c r="M5511">
        <v>97.31</v>
      </c>
      <c r="N5511" s="4">
        <f t="shared" si="85"/>
        <v>-2.5978830541568185</v>
      </c>
      <c r="O5511" t="s">
        <v>605</v>
      </c>
      <c r="Q5511" s="42" t="s">
        <v>3649</v>
      </c>
    </row>
    <row r="5512" spans="1:17" x14ac:dyDescent="0.25">
      <c r="A5512" s="22">
        <v>45810</v>
      </c>
      <c r="B5512" s="1" t="s">
        <v>625</v>
      </c>
      <c r="C5512" t="s">
        <v>622</v>
      </c>
      <c r="D5512" s="23">
        <v>-41.78</v>
      </c>
      <c r="E5512" t="s">
        <v>35</v>
      </c>
      <c r="F5512" s="2">
        <v>610148001</v>
      </c>
      <c r="G5512" s="2" t="s">
        <v>41</v>
      </c>
      <c r="I5512" s="95" t="s">
        <v>7231</v>
      </c>
      <c r="J5512" t="s">
        <v>42</v>
      </c>
      <c r="K5512" t="s">
        <v>41</v>
      </c>
      <c r="M5512">
        <v>97.31</v>
      </c>
      <c r="N5512" s="4">
        <f t="shared" si="85"/>
        <v>-0.42934950159284763</v>
      </c>
      <c r="O5512" t="s">
        <v>605</v>
      </c>
      <c r="Q5512" s="42" t="s">
        <v>3649</v>
      </c>
    </row>
    <row r="5513" spans="1:17" x14ac:dyDescent="0.25">
      <c r="A5513" s="22">
        <v>45810</v>
      </c>
      <c r="B5513" s="1" t="s">
        <v>623</v>
      </c>
      <c r="C5513" t="s">
        <v>622</v>
      </c>
      <c r="D5513" s="23">
        <v>-241.67</v>
      </c>
      <c r="E5513" t="s">
        <v>35</v>
      </c>
      <c r="F5513" s="2">
        <v>610148001</v>
      </c>
      <c r="G5513" s="2" t="s">
        <v>41</v>
      </c>
      <c r="I5513" s="95" t="s">
        <v>7231</v>
      </c>
      <c r="J5513" t="s">
        <v>42</v>
      </c>
      <c r="K5513" t="s">
        <v>41</v>
      </c>
      <c r="M5513">
        <v>97.31</v>
      </c>
      <c r="N5513" s="4">
        <f t="shared" si="85"/>
        <v>-2.483506320008221</v>
      </c>
      <c r="O5513" t="s">
        <v>605</v>
      </c>
      <c r="Q5513" s="42" t="s">
        <v>3649</v>
      </c>
    </row>
    <row r="5514" spans="1:17" x14ac:dyDescent="0.25">
      <c r="A5514" s="22">
        <v>45810</v>
      </c>
      <c r="B5514" s="1" t="s">
        <v>624</v>
      </c>
      <c r="C5514" t="s">
        <v>622</v>
      </c>
      <c r="D5514" s="23">
        <v>-86.35</v>
      </c>
      <c r="E5514" t="s">
        <v>35</v>
      </c>
      <c r="F5514" s="2">
        <v>610148001</v>
      </c>
      <c r="G5514" s="2" t="s">
        <v>41</v>
      </c>
      <c r="I5514" s="95" t="s">
        <v>7231</v>
      </c>
      <c r="J5514" t="s">
        <v>42</v>
      </c>
      <c r="K5514" t="s">
        <v>41</v>
      </c>
      <c r="M5514">
        <v>97.31</v>
      </c>
      <c r="N5514" s="4">
        <f t="shared" si="85"/>
        <v>-0.88737025999383401</v>
      </c>
      <c r="O5514" t="s">
        <v>605</v>
      </c>
      <c r="Q5514" s="42" t="s">
        <v>3649</v>
      </c>
    </row>
    <row r="5515" spans="1:17" x14ac:dyDescent="0.25">
      <c r="A5515" s="22">
        <v>45810</v>
      </c>
      <c r="B5515" s="1" t="s">
        <v>623</v>
      </c>
      <c r="C5515" t="s">
        <v>622</v>
      </c>
      <c r="D5515" s="23">
        <v>-474.37</v>
      </c>
      <c r="E5515" t="s">
        <v>35</v>
      </c>
      <c r="F5515" s="2">
        <v>610148001</v>
      </c>
      <c r="G5515" s="2" t="s">
        <v>41</v>
      </c>
      <c r="I5515" s="95" t="s">
        <v>7231</v>
      </c>
      <c r="J5515" t="s">
        <v>42</v>
      </c>
      <c r="K5515" t="s">
        <v>41</v>
      </c>
      <c r="M5515">
        <v>97.31</v>
      </c>
      <c r="N5515" s="4">
        <f t="shared" si="85"/>
        <v>-4.8748330079128559</v>
      </c>
      <c r="O5515" t="s">
        <v>605</v>
      </c>
      <c r="Q5515" s="42" t="s">
        <v>3649</v>
      </c>
    </row>
    <row r="5516" spans="1:17" x14ac:dyDescent="0.25">
      <c r="A5516" s="22">
        <v>45811</v>
      </c>
      <c r="B5516" s="1" t="s">
        <v>4242</v>
      </c>
      <c r="C5516" t="s">
        <v>293</v>
      </c>
      <c r="D5516" s="23">
        <v>3750000</v>
      </c>
      <c r="E5516" t="s">
        <v>45</v>
      </c>
      <c r="F5516" s="2">
        <v>210115002</v>
      </c>
      <c r="G5516" s="2" t="s">
        <v>46</v>
      </c>
      <c r="I5516" s="95" t="s">
        <v>7231</v>
      </c>
      <c r="K5516" t="s">
        <v>293</v>
      </c>
      <c r="M5516">
        <v>97.31</v>
      </c>
      <c r="N5516" s="4">
        <f t="shared" ref="N5516:N5579" si="86">D5516/M5516</f>
        <v>38536.635494810398</v>
      </c>
      <c r="O5516" t="s">
        <v>605</v>
      </c>
      <c r="Q5516" s="2"/>
    </row>
    <row r="5517" spans="1:17" x14ac:dyDescent="0.25">
      <c r="A5517" s="22">
        <v>45811</v>
      </c>
      <c r="B5517" s="1" t="s">
        <v>1909</v>
      </c>
      <c r="C5517" t="s">
        <v>4243</v>
      </c>
      <c r="D5517" s="23">
        <v>-200000</v>
      </c>
      <c r="E5517" t="s">
        <v>35</v>
      </c>
      <c r="F5517" s="2">
        <v>210101001</v>
      </c>
      <c r="G5517" s="2" t="s">
        <v>36</v>
      </c>
      <c r="I5517" s="95" t="s">
        <v>7231</v>
      </c>
      <c r="J5517" t="s">
        <v>37</v>
      </c>
      <c r="K5517" t="s">
        <v>38</v>
      </c>
      <c r="M5517">
        <v>97.31</v>
      </c>
      <c r="N5517" s="4">
        <f t="shared" si="86"/>
        <v>-2055.287226389888</v>
      </c>
      <c r="O5517" t="s">
        <v>605</v>
      </c>
      <c r="Q5517" s="2"/>
    </row>
    <row r="5518" spans="1:17" x14ac:dyDescent="0.25">
      <c r="A5518" s="22">
        <v>45811</v>
      </c>
      <c r="B5518" s="1" t="s">
        <v>1936</v>
      </c>
      <c r="C5518" t="s">
        <v>4243</v>
      </c>
      <c r="D5518" s="23">
        <v>-200000</v>
      </c>
      <c r="E5518" t="s">
        <v>35</v>
      </c>
      <c r="F5518" s="2">
        <v>210101001</v>
      </c>
      <c r="G5518" s="2" t="s">
        <v>36</v>
      </c>
      <c r="I5518" s="95" t="s">
        <v>7231</v>
      </c>
      <c r="J5518" t="s">
        <v>37</v>
      </c>
      <c r="K5518" t="s">
        <v>38</v>
      </c>
      <c r="M5518">
        <v>97.31</v>
      </c>
      <c r="N5518" s="4">
        <f t="shared" si="86"/>
        <v>-2055.287226389888</v>
      </c>
      <c r="O5518" t="s">
        <v>605</v>
      </c>
      <c r="Q5518" s="2"/>
    </row>
    <row r="5519" spans="1:17" x14ac:dyDescent="0.25">
      <c r="A5519" s="22">
        <v>45811</v>
      </c>
      <c r="B5519" s="1" t="s">
        <v>2028</v>
      </c>
      <c r="C5519" t="s">
        <v>4243</v>
      </c>
      <c r="D5519" s="23">
        <v>-200000</v>
      </c>
      <c r="E5519" t="s">
        <v>35</v>
      </c>
      <c r="F5519" s="2">
        <v>210101001</v>
      </c>
      <c r="G5519" s="2" t="s">
        <v>36</v>
      </c>
      <c r="I5519" s="95" t="s">
        <v>7231</v>
      </c>
      <c r="J5519" t="s">
        <v>37</v>
      </c>
      <c r="K5519" t="s">
        <v>38</v>
      </c>
      <c r="M5519">
        <v>97.31</v>
      </c>
      <c r="N5519" s="4">
        <f t="shared" si="86"/>
        <v>-2055.287226389888</v>
      </c>
      <c r="O5519" t="s">
        <v>605</v>
      </c>
      <c r="Q5519" s="2"/>
    </row>
    <row r="5520" spans="1:17" x14ac:dyDescent="0.25">
      <c r="A5520" s="22">
        <v>45811</v>
      </c>
      <c r="B5520" s="1" t="s">
        <v>2006</v>
      </c>
      <c r="C5520" t="s">
        <v>4244</v>
      </c>
      <c r="D5520" s="44">
        <v>-200000</v>
      </c>
      <c r="E5520" t="s">
        <v>35</v>
      </c>
      <c r="F5520" s="2">
        <v>110114001</v>
      </c>
      <c r="G5520" s="2" t="s">
        <v>181</v>
      </c>
      <c r="I5520" s="95" t="s">
        <v>7231</v>
      </c>
      <c r="J5520" t="s">
        <v>1007</v>
      </c>
      <c r="K5520" t="s">
        <v>1008</v>
      </c>
      <c r="M5520">
        <v>97.31</v>
      </c>
      <c r="N5520" s="4">
        <f t="shared" si="86"/>
        <v>-2055.287226389888</v>
      </c>
      <c r="O5520" t="s">
        <v>605</v>
      </c>
      <c r="P5520" s="34" t="s">
        <v>1279</v>
      </c>
      <c r="Q5520" s="2"/>
    </row>
    <row r="5521" spans="1:17" x14ac:dyDescent="0.25">
      <c r="A5521" s="22">
        <v>45811</v>
      </c>
      <c r="B5521" s="1" t="s">
        <v>617</v>
      </c>
      <c r="C5521" t="s">
        <v>4244</v>
      </c>
      <c r="D5521" s="44">
        <v>-200000</v>
      </c>
      <c r="E5521" t="s">
        <v>35</v>
      </c>
      <c r="F5521" s="2">
        <v>110114001</v>
      </c>
      <c r="G5521" s="2" t="s">
        <v>181</v>
      </c>
      <c r="I5521" s="95" t="s">
        <v>7231</v>
      </c>
      <c r="J5521" t="s">
        <v>1007</v>
      </c>
      <c r="K5521" t="s">
        <v>1008</v>
      </c>
      <c r="M5521">
        <v>97.31</v>
      </c>
      <c r="N5521" s="4">
        <f t="shared" si="86"/>
        <v>-2055.287226389888</v>
      </c>
      <c r="O5521" t="s">
        <v>605</v>
      </c>
      <c r="P5521" s="34" t="s">
        <v>1279</v>
      </c>
      <c r="Q5521" s="2"/>
    </row>
    <row r="5522" spans="1:17" x14ac:dyDescent="0.25">
      <c r="A5522" s="22">
        <v>45811</v>
      </c>
      <c r="B5522" s="1" t="s">
        <v>1900</v>
      </c>
      <c r="C5522" t="s">
        <v>4245</v>
      </c>
      <c r="D5522" s="23">
        <v>-15486</v>
      </c>
      <c r="E5522" t="s">
        <v>35</v>
      </c>
      <c r="F5522" s="2">
        <v>210101001</v>
      </c>
      <c r="G5522" s="2" t="s">
        <v>36</v>
      </c>
      <c r="I5522" s="95" t="s">
        <v>7231</v>
      </c>
      <c r="J5522" t="s">
        <v>37</v>
      </c>
      <c r="K5522" t="s">
        <v>38</v>
      </c>
      <c r="M5522">
        <v>97.31</v>
      </c>
      <c r="N5522" s="4">
        <f t="shared" si="86"/>
        <v>-159.14088993936903</v>
      </c>
      <c r="O5522" t="s">
        <v>605</v>
      </c>
      <c r="Q5522" s="2"/>
    </row>
    <row r="5523" spans="1:17" x14ac:dyDescent="0.25">
      <c r="A5523" s="22">
        <v>45811</v>
      </c>
      <c r="B5523" s="1" t="s">
        <v>1898</v>
      </c>
      <c r="C5523" t="s">
        <v>4244</v>
      </c>
      <c r="D5523" s="44">
        <v>-200000</v>
      </c>
      <c r="E5523" t="s">
        <v>35</v>
      </c>
      <c r="F5523" s="2">
        <v>110114001</v>
      </c>
      <c r="G5523" s="2" t="s">
        <v>181</v>
      </c>
      <c r="I5523" s="95" t="s">
        <v>7231</v>
      </c>
      <c r="J5523" t="s">
        <v>1007</v>
      </c>
      <c r="K5523" t="s">
        <v>1008</v>
      </c>
      <c r="M5523">
        <v>97.31</v>
      </c>
      <c r="N5523" s="4">
        <f t="shared" si="86"/>
        <v>-2055.287226389888</v>
      </c>
      <c r="O5523" t="s">
        <v>605</v>
      </c>
      <c r="P5523" s="34" t="s">
        <v>1279</v>
      </c>
      <c r="Q5523" s="2"/>
    </row>
    <row r="5524" spans="1:17" x14ac:dyDescent="0.25">
      <c r="A5524" s="22">
        <v>45811</v>
      </c>
      <c r="B5524" s="1" t="s">
        <v>1267</v>
      </c>
      <c r="C5524" t="s">
        <v>4244</v>
      </c>
      <c r="D5524" s="44">
        <v>-200000</v>
      </c>
      <c r="E5524" t="s">
        <v>35</v>
      </c>
      <c r="F5524" s="2">
        <v>110114001</v>
      </c>
      <c r="G5524" s="2" t="s">
        <v>181</v>
      </c>
      <c r="I5524" s="95" t="s">
        <v>7231</v>
      </c>
      <c r="J5524" t="s">
        <v>1007</v>
      </c>
      <c r="K5524" t="s">
        <v>1008</v>
      </c>
      <c r="M5524">
        <v>97.31</v>
      </c>
      <c r="N5524" s="4">
        <f t="shared" si="86"/>
        <v>-2055.287226389888</v>
      </c>
      <c r="O5524" t="s">
        <v>605</v>
      </c>
      <c r="P5524" s="34" t="s">
        <v>1279</v>
      </c>
      <c r="Q5524" s="2"/>
    </row>
    <row r="5525" spans="1:17" x14ac:dyDescent="0.25">
      <c r="A5525" s="22">
        <v>45811</v>
      </c>
      <c r="B5525" s="1" t="s">
        <v>615</v>
      </c>
      <c r="C5525" t="s">
        <v>4244</v>
      </c>
      <c r="D5525" s="44">
        <v>-200000</v>
      </c>
      <c r="E5525" t="s">
        <v>35</v>
      </c>
      <c r="F5525" s="2">
        <v>110114001</v>
      </c>
      <c r="G5525" s="2" t="s">
        <v>181</v>
      </c>
      <c r="I5525" s="95" t="s">
        <v>7231</v>
      </c>
      <c r="J5525" t="s">
        <v>1007</v>
      </c>
      <c r="K5525" t="s">
        <v>1008</v>
      </c>
      <c r="M5525">
        <v>97.31</v>
      </c>
      <c r="N5525" s="4">
        <f t="shared" si="86"/>
        <v>-2055.287226389888</v>
      </c>
      <c r="O5525" t="s">
        <v>605</v>
      </c>
      <c r="P5525" s="34" t="s">
        <v>1279</v>
      </c>
      <c r="Q5525" s="2"/>
    </row>
    <row r="5526" spans="1:17" x14ac:dyDescent="0.25">
      <c r="A5526" s="22">
        <v>45811</v>
      </c>
      <c r="B5526" s="1" t="s">
        <v>1894</v>
      </c>
      <c r="C5526" t="s">
        <v>4244</v>
      </c>
      <c r="D5526" s="44">
        <v>-200000</v>
      </c>
      <c r="E5526" t="s">
        <v>35</v>
      </c>
      <c r="F5526" s="2">
        <v>110114001</v>
      </c>
      <c r="G5526" s="2" t="s">
        <v>181</v>
      </c>
      <c r="I5526" s="95" t="s">
        <v>7231</v>
      </c>
      <c r="J5526" t="s">
        <v>1007</v>
      </c>
      <c r="K5526" t="s">
        <v>1008</v>
      </c>
      <c r="M5526">
        <v>97.31</v>
      </c>
      <c r="N5526" s="4">
        <f t="shared" si="86"/>
        <v>-2055.287226389888</v>
      </c>
      <c r="O5526" t="s">
        <v>605</v>
      </c>
      <c r="P5526" s="34" t="s">
        <v>1279</v>
      </c>
      <c r="Q5526" s="2"/>
    </row>
    <row r="5527" spans="1:17" x14ac:dyDescent="0.25">
      <c r="A5527" s="22">
        <v>45811</v>
      </c>
      <c r="B5527" s="1" t="s">
        <v>1892</v>
      </c>
      <c r="C5527" t="s">
        <v>4244</v>
      </c>
      <c r="D5527" s="44">
        <v>-200000</v>
      </c>
      <c r="E5527" t="s">
        <v>35</v>
      </c>
      <c r="F5527" s="2">
        <v>110114001</v>
      </c>
      <c r="G5527" s="2" t="s">
        <v>181</v>
      </c>
      <c r="I5527" s="95" t="s">
        <v>7231</v>
      </c>
      <c r="J5527" t="s">
        <v>1007</v>
      </c>
      <c r="K5527" t="s">
        <v>1008</v>
      </c>
      <c r="M5527">
        <v>97.31</v>
      </c>
      <c r="N5527" s="4">
        <f t="shared" si="86"/>
        <v>-2055.287226389888</v>
      </c>
      <c r="O5527" t="s">
        <v>605</v>
      </c>
      <c r="P5527" s="34" t="s">
        <v>1279</v>
      </c>
      <c r="Q5527" s="2"/>
    </row>
    <row r="5528" spans="1:17" x14ac:dyDescent="0.25">
      <c r="A5528" s="22">
        <v>45811</v>
      </c>
      <c r="B5528" s="1" t="s">
        <v>613</v>
      </c>
      <c r="C5528" t="s">
        <v>4244</v>
      </c>
      <c r="D5528" s="44">
        <v>-200000</v>
      </c>
      <c r="E5528" t="s">
        <v>35</v>
      </c>
      <c r="F5528" s="2">
        <v>110114001</v>
      </c>
      <c r="G5528" s="2" t="s">
        <v>181</v>
      </c>
      <c r="I5528" s="95" t="s">
        <v>7231</v>
      </c>
      <c r="J5528" t="s">
        <v>1007</v>
      </c>
      <c r="K5528" t="s">
        <v>1008</v>
      </c>
      <c r="M5528">
        <v>97.31</v>
      </c>
      <c r="N5528" s="4">
        <f t="shared" si="86"/>
        <v>-2055.287226389888</v>
      </c>
      <c r="O5528" t="s">
        <v>605</v>
      </c>
      <c r="P5528" s="34" t="s">
        <v>1279</v>
      </c>
      <c r="Q5528" s="2"/>
    </row>
    <row r="5529" spans="1:17" x14ac:dyDescent="0.25">
      <c r="A5529" s="22">
        <v>45811</v>
      </c>
      <c r="B5529" s="1" t="s">
        <v>1888</v>
      </c>
      <c r="C5529" t="s">
        <v>4246</v>
      </c>
      <c r="D5529" s="23">
        <v>-200000</v>
      </c>
      <c r="E5529" t="s">
        <v>35</v>
      </c>
      <c r="F5529" s="2">
        <v>210101001</v>
      </c>
      <c r="G5529" s="2" t="s">
        <v>36</v>
      </c>
      <c r="I5529" s="95" t="s">
        <v>7231</v>
      </c>
      <c r="J5529" t="s">
        <v>37</v>
      </c>
      <c r="K5529" t="s">
        <v>38</v>
      </c>
      <c r="M5529">
        <v>97.31</v>
      </c>
      <c r="N5529" s="4">
        <f t="shared" si="86"/>
        <v>-2055.287226389888</v>
      </c>
      <c r="O5529" t="s">
        <v>605</v>
      </c>
      <c r="Q5529" s="81"/>
    </row>
    <row r="5530" spans="1:17" x14ac:dyDescent="0.25">
      <c r="A5530" s="22">
        <v>45811</v>
      </c>
      <c r="B5530" s="1" t="s">
        <v>1886</v>
      </c>
      <c r="C5530" t="s">
        <v>4244</v>
      </c>
      <c r="D5530" s="44">
        <v>-54270</v>
      </c>
      <c r="E5530" t="s">
        <v>35</v>
      </c>
      <c r="F5530" s="2">
        <v>110114001</v>
      </c>
      <c r="G5530" s="2" t="s">
        <v>181</v>
      </c>
      <c r="I5530" s="95" t="s">
        <v>7231</v>
      </c>
      <c r="J5530" t="s">
        <v>1007</v>
      </c>
      <c r="K5530" t="s">
        <v>1008</v>
      </c>
      <c r="M5530">
        <v>97.31</v>
      </c>
      <c r="N5530" s="4">
        <f t="shared" si="86"/>
        <v>-557.70218888089607</v>
      </c>
      <c r="O5530" t="s">
        <v>605</v>
      </c>
      <c r="P5530" s="34" t="s">
        <v>1279</v>
      </c>
      <c r="Q5530" s="2"/>
    </row>
    <row r="5531" spans="1:17" x14ac:dyDescent="0.25">
      <c r="A5531" s="22">
        <v>45811</v>
      </c>
      <c r="B5531" s="1" t="s">
        <v>1904</v>
      </c>
      <c r="C5531" t="s">
        <v>4247</v>
      </c>
      <c r="D5531" s="44">
        <v>-200000</v>
      </c>
      <c r="E5531" t="s">
        <v>35</v>
      </c>
      <c r="F5531" s="2">
        <v>110114001</v>
      </c>
      <c r="G5531" s="2" t="s">
        <v>181</v>
      </c>
      <c r="I5531" s="95" t="s">
        <v>7231</v>
      </c>
      <c r="K5531" t="s">
        <v>1256</v>
      </c>
      <c r="M5531">
        <v>97.31</v>
      </c>
      <c r="N5531" s="4">
        <f t="shared" si="86"/>
        <v>-2055.287226389888</v>
      </c>
      <c r="O5531" t="s">
        <v>605</v>
      </c>
      <c r="Q5531" s="2"/>
    </row>
    <row r="5532" spans="1:17" x14ac:dyDescent="0.25">
      <c r="A5532" s="22">
        <v>45811</v>
      </c>
      <c r="B5532" s="1" t="s">
        <v>1896</v>
      </c>
      <c r="C5532" t="s">
        <v>4247</v>
      </c>
      <c r="D5532" s="44">
        <v>-200000</v>
      </c>
      <c r="E5532" t="s">
        <v>35</v>
      </c>
      <c r="F5532" s="2">
        <v>110114001</v>
      </c>
      <c r="G5532" s="2" t="s">
        <v>181</v>
      </c>
      <c r="I5532" s="95" t="s">
        <v>7231</v>
      </c>
      <c r="K5532" t="s">
        <v>1256</v>
      </c>
      <c r="M5532">
        <v>97.31</v>
      </c>
      <c r="N5532" s="4">
        <f t="shared" si="86"/>
        <v>-2055.287226389888</v>
      </c>
      <c r="O5532" t="s">
        <v>605</v>
      </c>
      <c r="Q5532" s="2"/>
    </row>
    <row r="5533" spans="1:17" x14ac:dyDescent="0.25">
      <c r="A5533" s="22">
        <v>45811</v>
      </c>
      <c r="B5533" s="1" t="s">
        <v>1907</v>
      </c>
      <c r="C5533" t="s">
        <v>4248</v>
      </c>
      <c r="D5533" s="23">
        <v>-174276.37</v>
      </c>
      <c r="E5533" t="s">
        <v>35</v>
      </c>
      <c r="F5533" s="2">
        <v>210101001</v>
      </c>
      <c r="G5533" s="2" t="s">
        <v>36</v>
      </c>
      <c r="I5533" s="95" t="s">
        <v>7231</v>
      </c>
      <c r="J5533" t="s">
        <v>376</v>
      </c>
      <c r="K5533" t="s">
        <v>377</v>
      </c>
      <c r="M5533">
        <v>97.31</v>
      </c>
      <c r="N5533" s="4">
        <f t="shared" si="86"/>
        <v>-1790.9399856129894</v>
      </c>
      <c r="O5533" t="s">
        <v>605</v>
      </c>
      <c r="Q5533" s="2"/>
    </row>
    <row r="5534" spans="1:17" x14ac:dyDescent="0.25">
      <c r="A5534" s="22">
        <v>45811</v>
      </c>
      <c r="B5534" s="1" t="s">
        <v>1938</v>
      </c>
      <c r="C5534" t="s">
        <v>4247</v>
      </c>
      <c r="D5534" s="44">
        <v>-200000</v>
      </c>
      <c r="E5534" t="s">
        <v>35</v>
      </c>
      <c r="F5534" s="2">
        <v>110114001</v>
      </c>
      <c r="G5534" s="2" t="s">
        <v>181</v>
      </c>
      <c r="I5534" s="95" t="s">
        <v>7231</v>
      </c>
      <c r="K5534" t="s">
        <v>1256</v>
      </c>
      <c r="M5534">
        <v>97.31</v>
      </c>
      <c r="N5534" s="4">
        <f t="shared" si="86"/>
        <v>-2055.287226389888</v>
      </c>
      <c r="O5534" t="s">
        <v>605</v>
      </c>
      <c r="Q5534" s="2"/>
    </row>
    <row r="5535" spans="1:17" ht="15.75" x14ac:dyDescent="0.25">
      <c r="A5535" s="22">
        <v>45811</v>
      </c>
      <c r="B5535" s="1" t="s">
        <v>1981</v>
      </c>
      <c r="C5535" t="s">
        <v>4249</v>
      </c>
      <c r="D5535" s="23">
        <v>-196410.5</v>
      </c>
      <c r="E5535" t="s">
        <v>35</v>
      </c>
      <c r="F5535" s="2">
        <v>110114001</v>
      </c>
      <c r="G5535" s="2" t="s">
        <v>181</v>
      </c>
      <c r="I5535" s="95" t="s">
        <v>7231</v>
      </c>
      <c r="J5535" t="s">
        <v>37</v>
      </c>
      <c r="K5535" t="s">
        <v>38</v>
      </c>
      <c r="M5535">
        <v>97.31</v>
      </c>
      <c r="N5535" s="4">
        <f t="shared" si="86"/>
        <v>-2018.3999588942554</v>
      </c>
      <c r="O5535" t="s">
        <v>605</v>
      </c>
      <c r="P5535" s="37" t="s">
        <v>1279</v>
      </c>
      <c r="Q5535" s="2"/>
    </row>
    <row r="5536" spans="1:17" x14ac:dyDescent="0.25">
      <c r="A5536" s="22">
        <v>45811</v>
      </c>
      <c r="B5536" s="1" t="s">
        <v>1268</v>
      </c>
      <c r="C5536" t="s">
        <v>4247</v>
      </c>
      <c r="D5536" s="44">
        <v>-200000</v>
      </c>
      <c r="E5536" t="s">
        <v>35</v>
      </c>
      <c r="F5536" s="2">
        <v>110114001</v>
      </c>
      <c r="G5536" s="2" t="s">
        <v>181</v>
      </c>
      <c r="I5536" s="95" t="s">
        <v>7231</v>
      </c>
      <c r="K5536" t="s">
        <v>1256</v>
      </c>
      <c r="M5536">
        <v>97.31</v>
      </c>
      <c r="N5536" s="4">
        <f t="shared" si="86"/>
        <v>-2055.287226389888</v>
      </c>
      <c r="O5536" t="s">
        <v>605</v>
      </c>
      <c r="Q5536" s="2"/>
    </row>
    <row r="5537" spans="1:17" x14ac:dyDescent="0.25">
      <c r="A5537" s="22">
        <v>45811</v>
      </c>
      <c r="B5537" s="1" t="s">
        <v>619</v>
      </c>
      <c r="C5537" t="s">
        <v>4243</v>
      </c>
      <c r="D5537" s="23">
        <v>-25664.38</v>
      </c>
      <c r="E5537" t="s">
        <v>35</v>
      </c>
      <c r="F5537" s="2">
        <v>210101001</v>
      </c>
      <c r="G5537" s="2" t="s">
        <v>36</v>
      </c>
      <c r="I5537" s="95" t="s">
        <v>7231</v>
      </c>
      <c r="J5537" t="s">
        <v>37</v>
      </c>
      <c r="K5537" t="s">
        <v>38</v>
      </c>
      <c r="M5537">
        <v>97.31</v>
      </c>
      <c r="N5537" s="4">
        <f t="shared" si="86"/>
        <v>-263.73836193608059</v>
      </c>
      <c r="O5537" t="s">
        <v>605</v>
      </c>
      <c r="Q5537" s="2"/>
    </row>
    <row r="5538" spans="1:17" x14ac:dyDescent="0.25">
      <c r="A5538" s="22">
        <v>45811</v>
      </c>
      <c r="B5538" s="1" t="s">
        <v>1983</v>
      </c>
      <c r="C5538" t="s">
        <v>4247</v>
      </c>
      <c r="D5538" s="44">
        <v>-64000</v>
      </c>
      <c r="E5538" t="s">
        <v>35</v>
      </c>
      <c r="F5538" s="2">
        <v>110114001</v>
      </c>
      <c r="G5538" s="2" t="s">
        <v>181</v>
      </c>
      <c r="I5538" s="95" t="s">
        <v>7231</v>
      </c>
      <c r="K5538" t="s">
        <v>1256</v>
      </c>
      <c r="M5538">
        <v>97.31</v>
      </c>
      <c r="N5538" s="4">
        <f t="shared" si="86"/>
        <v>-657.69191244476417</v>
      </c>
      <c r="O5538" t="s">
        <v>605</v>
      </c>
      <c r="Q5538" s="2"/>
    </row>
    <row r="5539" spans="1:17" x14ac:dyDescent="0.25">
      <c r="A5539" s="22">
        <v>45811</v>
      </c>
      <c r="B5539" s="1" t="s">
        <v>1888</v>
      </c>
      <c r="C5539" t="s">
        <v>4246</v>
      </c>
      <c r="D5539" s="23" t="s">
        <v>4250</v>
      </c>
      <c r="E5539" t="s">
        <v>35</v>
      </c>
      <c r="F5539" s="2">
        <v>210101001</v>
      </c>
      <c r="G5539" s="2" t="s">
        <v>36</v>
      </c>
      <c r="I5539" s="95" t="s">
        <v>7231</v>
      </c>
      <c r="J5539" t="s">
        <v>37</v>
      </c>
      <c r="K5539" t="s">
        <v>38</v>
      </c>
      <c r="M5539">
        <v>97.31</v>
      </c>
      <c r="N5539" s="4">
        <f t="shared" si="86"/>
        <v>-82.786763950262042</v>
      </c>
      <c r="O5539" t="s">
        <v>605</v>
      </c>
      <c r="Q5539" s="2"/>
    </row>
    <row r="5540" spans="1:17" x14ac:dyDescent="0.25">
      <c r="A5540" s="22">
        <v>45811</v>
      </c>
      <c r="B5540" s="1" t="s">
        <v>2073</v>
      </c>
      <c r="C5540" t="s">
        <v>622</v>
      </c>
      <c r="D5540" s="23" t="s">
        <v>4251</v>
      </c>
      <c r="E5540" t="s">
        <v>35</v>
      </c>
      <c r="F5540" s="2">
        <v>610148001</v>
      </c>
      <c r="G5540" s="2" t="s">
        <v>41</v>
      </c>
      <c r="I5540" s="95" t="s">
        <v>7231</v>
      </c>
      <c r="J5540" t="s">
        <v>42</v>
      </c>
      <c r="K5540" t="s">
        <v>41</v>
      </c>
      <c r="M5540">
        <v>97.31</v>
      </c>
      <c r="N5540" s="4">
        <f t="shared" si="86"/>
        <v>-5.1382180659747201</v>
      </c>
      <c r="O5540" t="s">
        <v>605</v>
      </c>
      <c r="Q5540" s="42" t="s">
        <v>3649</v>
      </c>
    </row>
    <row r="5541" spans="1:17" x14ac:dyDescent="0.25">
      <c r="A5541" s="22">
        <v>45811</v>
      </c>
      <c r="B5541" s="1" t="s">
        <v>624</v>
      </c>
      <c r="C5541" t="s">
        <v>622</v>
      </c>
      <c r="D5541" s="23" t="s">
        <v>4251</v>
      </c>
      <c r="E5541" t="s">
        <v>35</v>
      </c>
      <c r="F5541" s="2">
        <v>610148001</v>
      </c>
      <c r="G5541" s="2" t="s">
        <v>41</v>
      </c>
      <c r="I5541" s="95" t="s">
        <v>7231</v>
      </c>
      <c r="J5541" t="s">
        <v>42</v>
      </c>
      <c r="K5541" t="s">
        <v>41</v>
      </c>
      <c r="M5541">
        <v>97.31</v>
      </c>
      <c r="N5541" s="4">
        <f t="shared" si="86"/>
        <v>-5.1382180659747201</v>
      </c>
      <c r="O5541" t="s">
        <v>605</v>
      </c>
      <c r="Q5541" s="42" t="s">
        <v>3649</v>
      </c>
    </row>
    <row r="5542" spans="1:17" x14ac:dyDescent="0.25">
      <c r="A5542" s="22">
        <v>45811</v>
      </c>
      <c r="B5542" s="1" t="s">
        <v>1915</v>
      </c>
      <c r="C5542" t="s">
        <v>622</v>
      </c>
      <c r="D5542" s="23" t="s">
        <v>4251</v>
      </c>
      <c r="E5542" t="s">
        <v>35</v>
      </c>
      <c r="F5542" s="2">
        <v>610148001</v>
      </c>
      <c r="G5542" s="2" t="s">
        <v>41</v>
      </c>
      <c r="I5542" s="95" t="s">
        <v>7231</v>
      </c>
      <c r="J5542" t="s">
        <v>42</v>
      </c>
      <c r="K5542" t="s">
        <v>41</v>
      </c>
      <c r="M5542">
        <v>97.31</v>
      </c>
      <c r="N5542" s="4">
        <f t="shared" si="86"/>
        <v>-5.1382180659747201</v>
      </c>
      <c r="O5542" t="s">
        <v>605</v>
      </c>
      <c r="Q5542" s="42" t="s">
        <v>3649</v>
      </c>
    </row>
    <row r="5543" spans="1:17" x14ac:dyDescent="0.25">
      <c r="A5543" s="22">
        <v>45811</v>
      </c>
      <c r="B5543" s="1" t="s">
        <v>1914</v>
      </c>
      <c r="C5543" t="s">
        <v>622</v>
      </c>
      <c r="D5543" s="23" t="s">
        <v>4252</v>
      </c>
      <c r="E5543" t="s">
        <v>35</v>
      </c>
      <c r="F5543" s="2">
        <v>610148001</v>
      </c>
      <c r="G5543" s="2" t="s">
        <v>41</v>
      </c>
      <c r="I5543" s="95" t="s">
        <v>7231</v>
      </c>
      <c r="J5543" t="s">
        <v>42</v>
      </c>
      <c r="K5543" t="s">
        <v>41</v>
      </c>
      <c r="M5543">
        <v>97.31</v>
      </c>
      <c r="N5543" s="4">
        <f t="shared" si="86"/>
        <v>-1.3942040900215804</v>
      </c>
      <c r="O5543" t="s">
        <v>605</v>
      </c>
      <c r="Q5543" s="42" t="s">
        <v>3649</v>
      </c>
    </row>
    <row r="5544" spans="1:17" x14ac:dyDescent="0.25">
      <c r="A5544" s="22">
        <v>45811</v>
      </c>
      <c r="B5544" s="1" t="s">
        <v>1920</v>
      </c>
      <c r="C5544" t="s">
        <v>622</v>
      </c>
      <c r="D5544" s="23" t="s">
        <v>4251</v>
      </c>
      <c r="E5544" t="s">
        <v>35</v>
      </c>
      <c r="F5544" s="2">
        <v>610148001</v>
      </c>
      <c r="G5544" s="2" t="s">
        <v>41</v>
      </c>
      <c r="I5544" s="95" t="s">
        <v>7231</v>
      </c>
      <c r="J5544" t="s">
        <v>42</v>
      </c>
      <c r="K5544" t="s">
        <v>41</v>
      </c>
      <c r="M5544">
        <v>97.31</v>
      </c>
      <c r="N5544" s="4">
        <f t="shared" si="86"/>
        <v>-5.1382180659747201</v>
      </c>
      <c r="O5544" t="s">
        <v>605</v>
      </c>
      <c r="Q5544" s="42" t="s">
        <v>3649</v>
      </c>
    </row>
    <row r="5545" spans="1:17" x14ac:dyDescent="0.25">
      <c r="A5545" s="22">
        <v>45811</v>
      </c>
      <c r="B5545" s="1" t="s">
        <v>625</v>
      </c>
      <c r="C5545" t="s">
        <v>622</v>
      </c>
      <c r="D5545" s="23" t="s">
        <v>4251</v>
      </c>
      <c r="E5545" t="s">
        <v>35</v>
      </c>
      <c r="F5545" s="2">
        <v>610148001</v>
      </c>
      <c r="G5545" s="2" t="s">
        <v>41</v>
      </c>
      <c r="I5545" s="95" t="s">
        <v>7231</v>
      </c>
      <c r="J5545" t="s">
        <v>42</v>
      </c>
      <c r="K5545" t="s">
        <v>41</v>
      </c>
      <c r="M5545">
        <v>97.31</v>
      </c>
      <c r="N5545" s="4">
        <f t="shared" si="86"/>
        <v>-5.1382180659747201</v>
      </c>
      <c r="O5545" t="s">
        <v>605</v>
      </c>
      <c r="Q5545" s="42" t="s">
        <v>3649</v>
      </c>
    </row>
    <row r="5546" spans="1:17" x14ac:dyDescent="0.25">
      <c r="A5546" s="22">
        <v>45811</v>
      </c>
      <c r="B5546" s="1" t="s">
        <v>1920</v>
      </c>
      <c r="C5546" t="s">
        <v>622</v>
      </c>
      <c r="D5546" s="23" t="s">
        <v>4253</v>
      </c>
      <c r="E5546" t="s">
        <v>35</v>
      </c>
      <c r="F5546" s="2">
        <v>610148001</v>
      </c>
      <c r="G5546" s="2" t="s">
        <v>41</v>
      </c>
      <c r="I5546" s="95" t="s">
        <v>7231</v>
      </c>
      <c r="J5546" t="s">
        <v>42</v>
      </c>
      <c r="K5546" t="s">
        <v>41</v>
      </c>
      <c r="M5546">
        <v>97.31</v>
      </c>
      <c r="N5546" s="4">
        <f t="shared" si="86"/>
        <v>-0.2068646593361422</v>
      </c>
      <c r="O5546" t="s">
        <v>605</v>
      </c>
      <c r="Q5546" s="42" t="s">
        <v>3649</v>
      </c>
    </row>
    <row r="5547" spans="1:17" x14ac:dyDescent="0.25">
      <c r="A5547" s="22">
        <v>45811</v>
      </c>
      <c r="B5547" s="1" t="s">
        <v>623</v>
      </c>
      <c r="C5547" t="s">
        <v>622</v>
      </c>
      <c r="D5547" s="23" t="s">
        <v>4251</v>
      </c>
      <c r="E5547" t="s">
        <v>35</v>
      </c>
      <c r="F5547" s="2">
        <v>610148001</v>
      </c>
      <c r="G5547" s="2" t="s">
        <v>41</v>
      </c>
      <c r="I5547" s="95" t="s">
        <v>7231</v>
      </c>
      <c r="J5547" t="s">
        <v>42</v>
      </c>
      <c r="K5547" t="s">
        <v>41</v>
      </c>
      <c r="M5547">
        <v>97.31</v>
      </c>
      <c r="N5547" s="4">
        <f t="shared" si="86"/>
        <v>-5.1382180659747201</v>
      </c>
      <c r="O5547" t="s">
        <v>605</v>
      </c>
      <c r="Q5547" s="42" t="s">
        <v>3649</v>
      </c>
    </row>
    <row r="5548" spans="1:17" x14ac:dyDescent="0.25">
      <c r="A5548" s="22">
        <v>45811</v>
      </c>
      <c r="B5548" s="1" t="s">
        <v>1271</v>
      </c>
      <c r="C5548" t="s">
        <v>622</v>
      </c>
      <c r="D5548" s="23" t="s">
        <v>4251</v>
      </c>
      <c r="E5548" t="s">
        <v>35</v>
      </c>
      <c r="F5548" s="2">
        <v>610148001</v>
      </c>
      <c r="G5548" s="2" t="s">
        <v>41</v>
      </c>
      <c r="I5548" s="95" t="s">
        <v>7231</v>
      </c>
      <c r="J5548" t="s">
        <v>42</v>
      </c>
      <c r="K5548" t="s">
        <v>41</v>
      </c>
      <c r="M5548">
        <v>97.31</v>
      </c>
      <c r="N5548" s="4">
        <f t="shared" si="86"/>
        <v>-5.1382180659747201</v>
      </c>
      <c r="O5548" t="s">
        <v>605</v>
      </c>
      <c r="Q5548" s="42" t="s">
        <v>3649</v>
      </c>
    </row>
    <row r="5549" spans="1:17" x14ac:dyDescent="0.25">
      <c r="A5549" s="22">
        <v>45811</v>
      </c>
      <c r="B5549" s="1" t="s">
        <v>1912</v>
      </c>
      <c r="C5549" t="s">
        <v>622</v>
      </c>
      <c r="D5549" s="23" t="s">
        <v>4251</v>
      </c>
      <c r="E5549" t="s">
        <v>35</v>
      </c>
      <c r="F5549" s="2">
        <v>610148001</v>
      </c>
      <c r="G5549" s="2" t="s">
        <v>41</v>
      </c>
      <c r="I5549" s="95" t="s">
        <v>7231</v>
      </c>
      <c r="J5549" t="s">
        <v>42</v>
      </c>
      <c r="K5549" t="s">
        <v>41</v>
      </c>
      <c r="M5549">
        <v>97.31</v>
      </c>
      <c r="N5549" s="4">
        <f t="shared" si="86"/>
        <v>-5.1382180659747201</v>
      </c>
      <c r="O5549" t="s">
        <v>605</v>
      </c>
      <c r="Q5549" s="42" t="s">
        <v>3649</v>
      </c>
    </row>
    <row r="5550" spans="1:17" x14ac:dyDescent="0.25">
      <c r="A5550" s="22">
        <v>45811</v>
      </c>
      <c r="B5550" s="1" t="s">
        <v>1916</v>
      </c>
      <c r="C5550" t="s">
        <v>622</v>
      </c>
      <c r="D5550" s="23" t="s">
        <v>4251</v>
      </c>
      <c r="E5550" t="s">
        <v>35</v>
      </c>
      <c r="F5550" s="2">
        <v>610148001</v>
      </c>
      <c r="G5550" s="2" t="s">
        <v>41</v>
      </c>
      <c r="I5550" s="95" t="s">
        <v>7231</v>
      </c>
      <c r="J5550" t="s">
        <v>42</v>
      </c>
      <c r="K5550" t="s">
        <v>41</v>
      </c>
      <c r="M5550">
        <v>97.31</v>
      </c>
      <c r="N5550" s="4">
        <f t="shared" si="86"/>
        <v>-5.1382180659747201</v>
      </c>
      <c r="O5550" t="s">
        <v>605</v>
      </c>
      <c r="Q5550" s="42" t="s">
        <v>3649</v>
      </c>
    </row>
    <row r="5551" spans="1:17" x14ac:dyDescent="0.25">
      <c r="A5551" s="22">
        <v>45811</v>
      </c>
      <c r="B5551" s="1" t="s">
        <v>1918</v>
      </c>
      <c r="C5551" t="s">
        <v>622</v>
      </c>
      <c r="D5551" s="23" t="s">
        <v>4254</v>
      </c>
      <c r="E5551" t="s">
        <v>35</v>
      </c>
      <c r="F5551" s="2">
        <v>610148001</v>
      </c>
      <c r="G5551" s="2" t="s">
        <v>41</v>
      </c>
      <c r="I5551" s="95" t="s">
        <v>7231</v>
      </c>
      <c r="J5551" t="s">
        <v>42</v>
      </c>
      <c r="K5551" t="s">
        <v>41</v>
      </c>
      <c r="M5551">
        <v>97.31</v>
      </c>
      <c r="N5551" s="4">
        <f t="shared" si="86"/>
        <v>-0.39780084266776283</v>
      </c>
      <c r="O5551" t="s">
        <v>605</v>
      </c>
      <c r="Q5551" s="42" t="s">
        <v>3649</v>
      </c>
    </row>
    <row r="5552" spans="1:17" x14ac:dyDescent="0.25">
      <c r="A5552" s="22">
        <v>45811</v>
      </c>
      <c r="B5552" s="1" t="s">
        <v>2103</v>
      </c>
      <c r="C5552" t="s">
        <v>622</v>
      </c>
      <c r="D5552" s="23" t="s">
        <v>4251</v>
      </c>
      <c r="E5552" t="s">
        <v>35</v>
      </c>
      <c r="F5552" s="2">
        <v>610148001</v>
      </c>
      <c r="G5552" s="2" t="s">
        <v>41</v>
      </c>
      <c r="I5552" s="95" t="s">
        <v>7231</v>
      </c>
      <c r="J5552" t="s">
        <v>42</v>
      </c>
      <c r="K5552" t="s">
        <v>41</v>
      </c>
      <c r="M5552">
        <v>97.31</v>
      </c>
      <c r="N5552" s="4">
        <f t="shared" si="86"/>
        <v>-5.1382180659747201</v>
      </c>
      <c r="O5552" t="s">
        <v>605</v>
      </c>
      <c r="Q5552" s="42" t="s">
        <v>3649</v>
      </c>
    </row>
    <row r="5553" spans="1:17" x14ac:dyDescent="0.25">
      <c r="A5553" s="22">
        <v>45811</v>
      </c>
      <c r="B5553" s="1" t="s">
        <v>621</v>
      </c>
      <c r="C5553" t="s">
        <v>622</v>
      </c>
      <c r="D5553" s="23" t="s">
        <v>4255</v>
      </c>
      <c r="E5553" t="s">
        <v>35</v>
      </c>
      <c r="F5553" s="2">
        <v>610148001</v>
      </c>
      <c r="G5553" s="2" t="s">
        <v>41</v>
      </c>
      <c r="I5553" s="95" t="s">
        <v>7231</v>
      </c>
      <c r="J5553" t="s">
        <v>42</v>
      </c>
      <c r="K5553" t="s">
        <v>41</v>
      </c>
      <c r="M5553">
        <v>97.31</v>
      </c>
      <c r="N5553" s="4">
        <f t="shared" si="86"/>
        <v>-0.659336142225876</v>
      </c>
      <c r="O5553" t="s">
        <v>605</v>
      </c>
      <c r="Q5553" s="42" t="s">
        <v>3649</v>
      </c>
    </row>
    <row r="5554" spans="1:17" x14ac:dyDescent="0.25">
      <c r="A5554" s="22">
        <v>45811</v>
      </c>
      <c r="B5554" s="1" t="s">
        <v>1272</v>
      </c>
      <c r="C5554" t="s">
        <v>622</v>
      </c>
      <c r="D5554" s="23" t="s">
        <v>4251</v>
      </c>
      <c r="E5554" t="s">
        <v>35</v>
      </c>
      <c r="F5554" s="2">
        <v>610148001</v>
      </c>
      <c r="G5554" s="2" t="s">
        <v>41</v>
      </c>
      <c r="I5554" s="95" t="s">
        <v>7231</v>
      </c>
      <c r="J5554" t="s">
        <v>42</v>
      </c>
      <c r="K5554" t="s">
        <v>41</v>
      </c>
      <c r="M5554">
        <v>97.31</v>
      </c>
      <c r="N5554" s="4">
        <f t="shared" si="86"/>
        <v>-5.1382180659747201</v>
      </c>
      <c r="O5554" t="s">
        <v>605</v>
      </c>
      <c r="Q5554" s="42" t="s">
        <v>3649</v>
      </c>
    </row>
    <row r="5555" spans="1:17" x14ac:dyDescent="0.25">
      <c r="A5555" s="22">
        <v>45811</v>
      </c>
      <c r="B5555" s="1" t="s">
        <v>1917</v>
      </c>
      <c r="C5555" t="s">
        <v>622</v>
      </c>
      <c r="D5555" s="23" t="s">
        <v>4251</v>
      </c>
      <c r="E5555" t="s">
        <v>35</v>
      </c>
      <c r="F5555" s="2">
        <v>610148001</v>
      </c>
      <c r="G5555" s="2" t="s">
        <v>41</v>
      </c>
      <c r="I5555" s="95" t="s">
        <v>7231</v>
      </c>
      <c r="J5555" t="s">
        <v>42</v>
      </c>
      <c r="K5555" t="s">
        <v>41</v>
      </c>
      <c r="M5555">
        <v>97.31</v>
      </c>
      <c r="N5555" s="4">
        <f t="shared" si="86"/>
        <v>-5.1382180659747201</v>
      </c>
      <c r="O5555" t="s">
        <v>605</v>
      </c>
      <c r="Q5555" s="42" t="s">
        <v>3649</v>
      </c>
    </row>
    <row r="5556" spans="1:17" x14ac:dyDescent="0.25">
      <c r="A5556" s="22">
        <v>45811</v>
      </c>
      <c r="B5556" s="1" t="s">
        <v>1913</v>
      </c>
      <c r="C5556" t="s">
        <v>622</v>
      </c>
      <c r="D5556" s="23" t="s">
        <v>4251</v>
      </c>
      <c r="E5556" t="s">
        <v>35</v>
      </c>
      <c r="F5556" s="2">
        <v>610148001</v>
      </c>
      <c r="G5556" s="2" t="s">
        <v>41</v>
      </c>
      <c r="I5556" s="95" t="s">
        <v>7231</v>
      </c>
      <c r="J5556" t="s">
        <v>42</v>
      </c>
      <c r="K5556" t="s">
        <v>41</v>
      </c>
      <c r="M5556">
        <v>97.31</v>
      </c>
      <c r="N5556" s="4">
        <f t="shared" si="86"/>
        <v>-5.1382180659747201</v>
      </c>
      <c r="O5556" t="s">
        <v>605</v>
      </c>
      <c r="Q5556" s="42" t="s">
        <v>3649</v>
      </c>
    </row>
    <row r="5557" spans="1:17" x14ac:dyDescent="0.25">
      <c r="A5557" s="22">
        <v>45811</v>
      </c>
      <c r="B5557" s="1" t="s">
        <v>2072</v>
      </c>
      <c r="C5557" t="s">
        <v>622</v>
      </c>
      <c r="D5557" s="23" t="s">
        <v>4256</v>
      </c>
      <c r="E5557" t="s">
        <v>35</v>
      </c>
      <c r="F5557" s="2">
        <v>610148001</v>
      </c>
      <c r="G5557" s="2" t="s">
        <v>41</v>
      </c>
      <c r="I5557" s="95" t="s">
        <v>7231</v>
      </c>
      <c r="J5557" t="s">
        <v>42</v>
      </c>
      <c r="K5557" t="s">
        <v>41</v>
      </c>
      <c r="M5557">
        <v>97.31</v>
      </c>
      <c r="N5557" s="4">
        <f t="shared" si="86"/>
        <v>-5.0459356695098139</v>
      </c>
      <c r="O5557" t="s">
        <v>605</v>
      </c>
      <c r="Q5557" s="42" t="s">
        <v>3649</v>
      </c>
    </row>
    <row r="5558" spans="1:17" x14ac:dyDescent="0.25">
      <c r="A5558" s="22">
        <v>45811</v>
      </c>
      <c r="B5558" s="1" t="s">
        <v>2061</v>
      </c>
      <c r="C5558" t="s">
        <v>622</v>
      </c>
      <c r="D5558" s="23" t="s">
        <v>4257</v>
      </c>
      <c r="E5558" t="s">
        <v>35</v>
      </c>
      <c r="F5558" s="2">
        <v>610148001</v>
      </c>
      <c r="G5558" s="2" t="s">
        <v>41</v>
      </c>
      <c r="I5558" s="95" t="s">
        <v>7231</v>
      </c>
      <c r="J5558" t="s">
        <v>42</v>
      </c>
      <c r="K5558" t="s">
        <v>41</v>
      </c>
      <c r="M5558">
        <v>97.31</v>
      </c>
      <c r="N5558" s="4">
        <f t="shared" si="86"/>
        <v>-1.6442297811119104</v>
      </c>
      <c r="O5558" t="s">
        <v>605</v>
      </c>
      <c r="Q5558" s="42" t="s">
        <v>3649</v>
      </c>
    </row>
    <row r="5559" spans="1:17" x14ac:dyDescent="0.25">
      <c r="A5559" s="22">
        <v>45811</v>
      </c>
      <c r="B5559" s="1" t="s">
        <v>1911</v>
      </c>
      <c r="C5559" t="s">
        <v>622</v>
      </c>
      <c r="D5559" s="23" t="s">
        <v>4258</v>
      </c>
      <c r="E5559" t="s">
        <v>35</v>
      </c>
      <c r="F5559" s="2">
        <v>610148001</v>
      </c>
      <c r="G5559" s="2" t="s">
        <v>41</v>
      </c>
      <c r="I5559" s="95" t="s">
        <v>7231</v>
      </c>
      <c r="J5559" t="s">
        <v>42</v>
      </c>
      <c r="K5559" t="s">
        <v>41</v>
      </c>
      <c r="M5559">
        <v>97.31</v>
      </c>
      <c r="N5559" s="4">
        <f t="shared" si="86"/>
        <v>-4.477340458329051</v>
      </c>
      <c r="O5559" t="s">
        <v>605</v>
      </c>
      <c r="Q5559" s="42" t="s">
        <v>3649</v>
      </c>
    </row>
    <row r="5560" spans="1:17" x14ac:dyDescent="0.25">
      <c r="A5560" s="22">
        <v>45811</v>
      </c>
      <c r="B5560" s="1" t="s">
        <v>2090</v>
      </c>
      <c r="C5560" t="s">
        <v>622</v>
      </c>
      <c r="D5560" s="23" t="s">
        <v>4251</v>
      </c>
      <c r="E5560" t="s">
        <v>35</v>
      </c>
      <c r="F5560" s="2">
        <v>610148001</v>
      </c>
      <c r="G5560" s="2" t="s">
        <v>41</v>
      </c>
      <c r="I5560" s="95" t="s">
        <v>7231</v>
      </c>
      <c r="J5560" t="s">
        <v>42</v>
      </c>
      <c r="K5560" t="s">
        <v>41</v>
      </c>
      <c r="M5560">
        <v>97.31</v>
      </c>
      <c r="N5560" s="4">
        <f t="shared" si="86"/>
        <v>-5.1382180659747201</v>
      </c>
      <c r="O5560" t="s">
        <v>605</v>
      </c>
      <c r="Q5560" s="42" t="s">
        <v>3649</v>
      </c>
    </row>
    <row r="5561" spans="1:17" x14ac:dyDescent="0.25">
      <c r="A5561" s="22">
        <v>45811</v>
      </c>
      <c r="B5561" s="1" t="s">
        <v>1919</v>
      </c>
      <c r="C5561" t="s">
        <v>622</v>
      </c>
      <c r="D5561" s="23" t="s">
        <v>4251</v>
      </c>
      <c r="E5561" t="s">
        <v>35</v>
      </c>
      <c r="F5561" s="2">
        <v>610148001</v>
      </c>
      <c r="G5561" s="2" t="s">
        <v>41</v>
      </c>
      <c r="I5561" s="95" t="s">
        <v>7231</v>
      </c>
      <c r="J5561" t="s">
        <v>42</v>
      </c>
      <c r="K5561" t="s">
        <v>41</v>
      </c>
      <c r="M5561">
        <v>97.31</v>
      </c>
      <c r="N5561" s="4">
        <f t="shared" si="86"/>
        <v>-5.1382180659747201</v>
      </c>
      <c r="O5561" t="s">
        <v>605</v>
      </c>
      <c r="Q5561" s="42" t="s">
        <v>3649</v>
      </c>
    </row>
    <row r="5562" spans="1:17" x14ac:dyDescent="0.25">
      <c r="A5562" s="22">
        <v>45811</v>
      </c>
      <c r="B5562" s="1" t="s">
        <v>2102</v>
      </c>
      <c r="C5562" t="s">
        <v>622</v>
      </c>
      <c r="D5562" s="23" t="s">
        <v>4251</v>
      </c>
      <c r="E5562" t="s">
        <v>35</v>
      </c>
      <c r="F5562" s="2">
        <v>610148001</v>
      </c>
      <c r="G5562" s="2" t="s">
        <v>41</v>
      </c>
      <c r="I5562" s="95" t="s">
        <v>7231</v>
      </c>
      <c r="J5562" t="s">
        <v>42</v>
      </c>
      <c r="K5562" t="s">
        <v>41</v>
      </c>
      <c r="M5562">
        <v>97.31</v>
      </c>
      <c r="N5562" s="4">
        <f t="shared" si="86"/>
        <v>-5.1382180659747201</v>
      </c>
      <c r="O5562" t="s">
        <v>605</v>
      </c>
      <c r="Q5562" s="42" t="s">
        <v>3649</v>
      </c>
    </row>
    <row r="5563" spans="1:17" x14ac:dyDescent="0.25">
      <c r="A5563" s="22">
        <v>45812</v>
      </c>
      <c r="B5563" s="1" t="s">
        <v>4259</v>
      </c>
      <c r="C5563" t="s">
        <v>293</v>
      </c>
      <c r="D5563" s="23">
        <v>1040000</v>
      </c>
      <c r="E5563" t="s">
        <v>45</v>
      </c>
      <c r="F5563" s="2">
        <v>210115002</v>
      </c>
      <c r="G5563" s="2" t="s">
        <v>46</v>
      </c>
      <c r="I5563" s="95" t="s">
        <v>7231</v>
      </c>
      <c r="K5563" t="s">
        <v>293</v>
      </c>
      <c r="M5563">
        <v>97.42</v>
      </c>
      <c r="N5563" s="4">
        <f t="shared" si="86"/>
        <v>10675.425990556354</v>
      </c>
      <c r="O5563" t="s">
        <v>605</v>
      </c>
      <c r="Q5563" s="2"/>
    </row>
    <row r="5564" spans="1:17" x14ac:dyDescent="0.25">
      <c r="A5564" s="22">
        <v>45812</v>
      </c>
      <c r="B5564" s="1" t="s">
        <v>1267</v>
      </c>
      <c r="C5564" t="s">
        <v>4260</v>
      </c>
      <c r="D5564" s="44">
        <v>-126500</v>
      </c>
      <c r="E5564" t="s">
        <v>35</v>
      </c>
      <c r="F5564" s="2">
        <v>110114001</v>
      </c>
      <c r="G5564" s="2" t="s">
        <v>181</v>
      </c>
      <c r="I5564" s="95" t="s">
        <v>7231</v>
      </c>
      <c r="K5564" t="s">
        <v>1256</v>
      </c>
      <c r="M5564">
        <v>97.42</v>
      </c>
      <c r="N5564" s="4">
        <f t="shared" si="86"/>
        <v>-1298.5013344282488</v>
      </c>
      <c r="O5564" t="s">
        <v>605</v>
      </c>
      <c r="Q5564" s="2"/>
    </row>
    <row r="5565" spans="1:17" x14ac:dyDescent="0.25">
      <c r="A5565" s="22">
        <v>45812</v>
      </c>
      <c r="B5565" s="1" t="s">
        <v>613</v>
      </c>
      <c r="C5565" t="s">
        <v>4261</v>
      </c>
      <c r="D5565" s="23">
        <v>-200000</v>
      </c>
      <c r="E5565" t="s">
        <v>35</v>
      </c>
      <c r="F5565" s="2">
        <v>210101001</v>
      </c>
      <c r="G5565" s="2" t="s">
        <v>36</v>
      </c>
      <c r="I5565" s="95" t="s">
        <v>7231</v>
      </c>
      <c r="J5565" t="s">
        <v>37</v>
      </c>
      <c r="K5565" t="s">
        <v>38</v>
      </c>
      <c r="M5565">
        <v>97.42</v>
      </c>
      <c r="N5565" s="4">
        <f t="shared" si="86"/>
        <v>-2052.9665366454528</v>
      </c>
      <c r="O5565" t="s">
        <v>605</v>
      </c>
      <c r="Q5565" s="2"/>
    </row>
    <row r="5566" spans="1:17" x14ac:dyDescent="0.25">
      <c r="A5566" s="22">
        <v>45812</v>
      </c>
      <c r="B5566" s="1" t="s">
        <v>613</v>
      </c>
      <c r="C5566" t="s">
        <v>4261</v>
      </c>
      <c r="D5566" s="23">
        <v>-68608</v>
      </c>
      <c r="E5566" t="s">
        <v>35</v>
      </c>
      <c r="F5566" s="2">
        <v>210101001</v>
      </c>
      <c r="G5566" s="2" t="s">
        <v>36</v>
      </c>
      <c r="I5566" s="95" t="s">
        <v>7231</v>
      </c>
      <c r="J5566" t="s">
        <v>37</v>
      </c>
      <c r="K5566" t="s">
        <v>38</v>
      </c>
      <c r="M5566">
        <v>97.42</v>
      </c>
      <c r="N5566" s="4">
        <f t="shared" si="86"/>
        <v>-704.24964073085607</v>
      </c>
      <c r="O5566" t="s">
        <v>605</v>
      </c>
      <c r="Q5566" s="2"/>
    </row>
    <row r="5567" spans="1:17" x14ac:dyDescent="0.25">
      <c r="A5567" s="22">
        <v>45812</v>
      </c>
      <c r="B5567" s="1" t="s">
        <v>1896</v>
      </c>
      <c r="C5567" t="s">
        <v>4262</v>
      </c>
      <c r="D5567" s="23">
        <v>-57228.4</v>
      </c>
      <c r="E5567" t="s">
        <v>35</v>
      </c>
      <c r="F5567" s="2">
        <v>210101001</v>
      </c>
      <c r="G5567" s="2" t="s">
        <v>36</v>
      </c>
      <c r="I5567" s="95" t="s">
        <v>7231</v>
      </c>
      <c r="J5567" t="s">
        <v>182</v>
      </c>
      <c r="K5567" t="s">
        <v>183</v>
      </c>
      <c r="M5567">
        <v>97.42</v>
      </c>
      <c r="N5567" s="4">
        <f t="shared" si="86"/>
        <v>-587.43995072880307</v>
      </c>
      <c r="O5567" t="s">
        <v>605</v>
      </c>
      <c r="Q5567" s="2"/>
    </row>
    <row r="5568" spans="1:17" x14ac:dyDescent="0.25">
      <c r="A5568" s="22">
        <v>45812</v>
      </c>
      <c r="B5568" s="1" t="s">
        <v>613</v>
      </c>
      <c r="C5568" t="s">
        <v>4261</v>
      </c>
      <c r="D5568" s="23">
        <v>-200000</v>
      </c>
      <c r="E5568" t="s">
        <v>35</v>
      </c>
      <c r="F5568" s="2">
        <v>210101001</v>
      </c>
      <c r="G5568" s="2" t="s">
        <v>36</v>
      </c>
      <c r="I5568" s="95" t="s">
        <v>7231</v>
      </c>
      <c r="J5568" t="s">
        <v>37</v>
      </c>
      <c r="K5568" t="s">
        <v>38</v>
      </c>
      <c r="M5568">
        <v>97.42</v>
      </c>
      <c r="N5568" s="4">
        <f t="shared" si="86"/>
        <v>-2052.9665366454528</v>
      </c>
      <c r="O5568" t="s">
        <v>605</v>
      </c>
      <c r="Q5568" s="2"/>
    </row>
    <row r="5569" spans="1:17" x14ac:dyDescent="0.25">
      <c r="A5569" s="22">
        <v>45812</v>
      </c>
      <c r="B5569" s="1" t="s">
        <v>613</v>
      </c>
      <c r="C5569" t="s">
        <v>4261</v>
      </c>
      <c r="D5569" s="23">
        <v>-200000</v>
      </c>
      <c r="E5569" t="s">
        <v>35</v>
      </c>
      <c r="F5569" s="2">
        <v>210101001</v>
      </c>
      <c r="G5569" s="2" t="s">
        <v>36</v>
      </c>
      <c r="I5569" s="95" t="s">
        <v>7231</v>
      </c>
      <c r="J5569" t="s">
        <v>37</v>
      </c>
      <c r="K5569" t="s">
        <v>38</v>
      </c>
      <c r="M5569">
        <v>97.42</v>
      </c>
      <c r="N5569" s="4">
        <f t="shared" si="86"/>
        <v>-2052.9665366454528</v>
      </c>
      <c r="O5569" t="s">
        <v>605</v>
      </c>
      <c r="Q5569" s="2"/>
    </row>
    <row r="5570" spans="1:17" x14ac:dyDescent="0.25">
      <c r="A5570" s="22">
        <v>45812</v>
      </c>
      <c r="B5570" s="1" t="s">
        <v>613</v>
      </c>
      <c r="C5570" t="s">
        <v>4261</v>
      </c>
      <c r="D5570" s="23">
        <v>-200000</v>
      </c>
      <c r="E5570" t="s">
        <v>35</v>
      </c>
      <c r="F5570" s="2">
        <v>210101001</v>
      </c>
      <c r="G5570" s="2" t="s">
        <v>36</v>
      </c>
      <c r="I5570" s="95" t="s">
        <v>7231</v>
      </c>
      <c r="J5570" t="s">
        <v>37</v>
      </c>
      <c r="K5570" t="s">
        <v>38</v>
      </c>
      <c r="M5570">
        <v>97.42</v>
      </c>
      <c r="N5570" s="4">
        <f t="shared" si="86"/>
        <v>-2052.9665366454528</v>
      </c>
      <c r="O5570" t="s">
        <v>605</v>
      </c>
      <c r="Q5570" s="2"/>
    </row>
    <row r="5571" spans="1:17" x14ac:dyDescent="0.25">
      <c r="A5571" s="22">
        <v>45812</v>
      </c>
      <c r="B5571" s="1" t="s">
        <v>1272</v>
      </c>
      <c r="C5571" t="s">
        <v>622</v>
      </c>
      <c r="D5571" s="23">
        <v>-316.25</v>
      </c>
      <c r="E5571" t="s">
        <v>35</v>
      </c>
      <c r="F5571" s="2">
        <v>610148001</v>
      </c>
      <c r="G5571" s="2" t="s">
        <v>41</v>
      </c>
      <c r="I5571" s="95" t="s">
        <v>7231</v>
      </c>
      <c r="J5571" t="s">
        <v>42</v>
      </c>
      <c r="K5571" t="s">
        <v>41</v>
      </c>
      <c r="M5571">
        <v>97.42</v>
      </c>
      <c r="N5571" s="4">
        <f t="shared" si="86"/>
        <v>-3.2462533360706218</v>
      </c>
      <c r="O5571" t="s">
        <v>605</v>
      </c>
      <c r="Q5571" s="42" t="s">
        <v>3649</v>
      </c>
    </row>
    <row r="5572" spans="1:17" x14ac:dyDescent="0.25">
      <c r="A5572" s="22">
        <v>45812</v>
      </c>
      <c r="B5572" s="1" t="s">
        <v>623</v>
      </c>
      <c r="C5572" t="s">
        <v>622</v>
      </c>
      <c r="D5572" s="23">
        <v>-500</v>
      </c>
      <c r="E5572" t="s">
        <v>35</v>
      </c>
      <c r="F5572" s="2">
        <v>610148001</v>
      </c>
      <c r="G5572" s="2" t="s">
        <v>41</v>
      </c>
      <c r="I5572" s="95" t="s">
        <v>7231</v>
      </c>
      <c r="J5572" t="s">
        <v>42</v>
      </c>
      <c r="K5572" t="s">
        <v>41</v>
      </c>
      <c r="M5572">
        <v>97.42</v>
      </c>
      <c r="N5572" s="4">
        <f t="shared" si="86"/>
        <v>-5.1324163416136317</v>
      </c>
      <c r="O5572" t="s">
        <v>605</v>
      </c>
      <c r="Q5572" s="42" t="s">
        <v>3649</v>
      </c>
    </row>
    <row r="5573" spans="1:17" x14ac:dyDescent="0.25">
      <c r="A5573" s="22">
        <v>45812</v>
      </c>
      <c r="B5573" s="1" t="s">
        <v>623</v>
      </c>
      <c r="C5573" t="s">
        <v>622</v>
      </c>
      <c r="D5573" s="23">
        <v>-500</v>
      </c>
      <c r="E5573" t="s">
        <v>35</v>
      </c>
      <c r="F5573" s="2">
        <v>610148001</v>
      </c>
      <c r="G5573" s="2" t="s">
        <v>41</v>
      </c>
      <c r="I5573" s="95" t="s">
        <v>7231</v>
      </c>
      <c r="J5573" t="s">
        <v>42</v>
      </c>
      <c r="K5573" t="s">
        <v>41</v>
      </c>
      <c r="M5573">
        <v>97.42</v>
      </c>
      <c r="N5573" s="4">
        <f t="shared" si="86"/>
        <v>-5.1324163416136317</v>
      </c>
      <c r="O5573" t="s">
        <v>605</v>
      </c>
      <c r="Q5573" s="42" t="s">
        <v>3649</v>
      </c>
    </row>
    <row r="5574" spans="1:17" x14ac:dyDescent="0.25">
      <c r="A5574" s="22">
        <v>45812</v>
      </c>
      <c r="B5574" s="1" t="s">
        <v>623</v>
      </c>
      <c r="C5574" t="s">
        <v>622</v>
      </c>
      <c r="D5574" s="23">
        <v>-500</v>
      </c>
      <c r="E5574" t="s">
        <v>35</v>
      </c>
      <c r="F5574" s="2">
        <v>610148001</v>
      </c>
      <c r="G5574" s="2" t="s">
        <v>41</v>
      </c>
      <c r="I5574" s="95" t="s">
        <v>7231</v>
      </c>
      <c r="J5574" t="s">
        <v>42</v>
      </c>
      <c r="K5574" t="s">
        <v>41</v>
      </c>
      <c r="M5574">
        <v>97.42</v>
      </c>
      <c r="N5574" s="4">
        <f t="shared" si="86"/>
        <v>-5.1324163416136317</v>
      </c>
      <c r="O5574" t="s">
        <v>605</v>
      </c>
      <c r="Q5574" s="42" t="s">
        <v>3649</v>
      </c>
    </row>
    <row r="5575" spans="1:17" x14ac:dyDescent="0.25">
      <c r="A5575" s="22">
        <v>45812</v>
      </c>
      <c r="B5575" s="1" t="s">
        <v>623</v>
      </c>
      <c r="C5575" t="s">
        <v>622</v>
      </c>
      <c r="D5575" s="23">
        <v>-500</v>
      </c>
      <c r="E5575" t="s">
        <v>35</v>
      </c>
      <c r="F5575" s="2">
        <v>610148001</v>
      </c>
      <c r="G5575" s="2" t="s">
        <v>41</v>
      </c>
      <c r="I5575" s="95" t="s">
        <v>7231</v>
      </c>
      <c r="J5575" t="s">
        <v>42</v>
      </c>
      <c r="K5575" t="s">
        <v>41</v>
      </c>
      <c r="M5575">
        <v>97.42</v>
      </c>
      <c r="N5575" s="4">
        <f t="shared" si="86"/>
        <v>-5.1324163416136317</v>
      </c>
      <c r="O5575" t="s">
        <v>605</v>
      </c>
      <c r="Q5575" s="42" t="s">
        <v>3649</v>
      </c>
    </row>
    <row r="5576" spans="1:17" x14ac:dyDescent="0.25">
      <c r="A5576" s="22">
        <v>45812</v>
      </c>
      <c r="B5576" s="1" t="s">
        <v>1917</v>
      </c>
      <c r="C5576" t="s">
        <v>622</v>
      </c>
      <c r="D5576" s="23">
        <v>-143.07</v>
      </c>
      <c r="E5576" t="s">
        <v>35</v>
      </c>
      <c r="F5576" s="2">
        <v>610148001</v>
      </c>
      <c r="G5576" s="2" t="s">
        <v>41</v>
      </c>
      <c r="I5576" s="95" t="s">
        <v>7231</v>
      </c>
      <c r="J5576" t="s">
        <v>42</v>
      </c>
      <c r="K5576" t="s">
        <v>41</v>
      </c>
      <c r="M5576">
        <v>97.42</v>
      </c>
      <c r="N5576" s="4">
        <f t="shared" si="86"/>
        <v>-1.4685896119893245</v>
      </c>
      <c r="O5576" t="s">
        <v>605</v>
      </c>
      <c r="Q5576" s="42" t="s">
        <v>3649</v>
      </c>
    </row>
    <row r="5577" spans="1:17" x14ac:dyDescent="0.25">
      <c r="A5577" s="22">
        <v>45812</v>
      </c>
      <c r="B5577" s="1" t="s">
        <v>623</v>
      </c>
      <c r="C5577" t="s">
        <v>622</v>
      </c>
      <c r="D5577" s="23">
        <v>-171.52</v>
      </c>
      <c r="E5577" t="s">
        <v>35</v>
      </c>
      <c r="F5577" s="2">
        <v>610148001</v>
      </c>
      <c r="G5577" s="2" t="s">
        <v>41</v>
      </c>
      <c r="I5577" s="95" t="s">
        <v>7231</v>
      </c>
      <c r="J5577" t="s">
        <v>42</v>
      </c>
      <c r="K5577" t="s">
        <v>41</v>
      </c>
      <c r="M5577">
        <v>97.42</v>
      </c>
      <c r="N5577" s="4">
        <f t="shared" si="86"/>
        <v>-1.7606241018271402</v>
      </c>
      <c r="O5577" t="s">
        <v>605</v>
      </c>
      <c r="Q5577" s="42" t="s">
        <v>3649</v>
      </c>
    </row>
    <row r="5578" spans="1:17" x14ac:dyDescent="0.25">
      <c r="A5578" s="22">
        <v>45812</v>
      </c>
      <c r="B5578" s="1" t="s">
        <v>4263</v>
      </c>
      <c r="C5578" t="s">
        <v>4264</v>
      </c>
      <c r="D5578" s="23">
        <v>-166.6</v>
      </c>
      <c r="E5578" t="s">
        <v>35</v>
      </c>
      <c r="F5578" s="2">
        <v>213201001</v>
      </c>
      <c r="G5578" s="2" t="s">
        <v>636</v>
      </c>
      <c r="I5578" s="95" t="s">
        <v>7231</v>
      </c>
      <c r="J5578" t="s">
        <v>637</v>
      </c>
      <c r="K5578" t="s">
        <v>638</v>
      </c>
      <c r="M5578">
        <v>97.42</v>
      </c>
      <c r="N5578" s="4">
        <f t="shared" si="86"/>
        <v>-1.710121125025662</v>
      </c>
      <c r="O5578" t="s">
        <v>605</v>
      </c>
      <c r="Q5578" s="42" t="s">
        <v>4265</v>
      </c>
    </row>
    <row r="5579" spans="1:17" x14ac:dyDescent="0.25">
      <c r="A5579" s="22">
        <v>45812</v>
      </c>
      <c r="B5579" s="1" t="s">
        <v>4266</v>
      </c>
      <c r="C5579" t="s">
        <v>4267</v>
      </c>
      <c r="D5579" s="23">
        <v>-693</v>
      </c>
      <c r="E5579" t="s">
        <v>35</v>
      </c>
      <c r="F5579" s="2">
        <v>213101001</v>
      </c>
      <c r="G5579" s="2" t="s">
        <v>642</v>
      </c>
      <c r="I5579" s="95" t="s">
        <v>7231</v>
      </c>
      <c r="J5579" t="s">
        <v>643</v>
      </c>
      <c r="K5579" t="s">
        <v>644</v>
      </c>
      <c r="M5579">
        <v>97.42</v>
      </c>
      <c r="N5579" s="4">
        <f t="shared" si="86"/>
        <v>-7.1135290494764938</v>
      </c>
      <c r="O5579" t="s">
        <v>605</v>
      </c>
      <c r="Q5579" s="42" t="s">
        <v>4265</v>
      </c>
    </row>
    <row r="5580" spans="1:17" x14ac:dyDescent="0.25">
      <c r="A5580" s="22">
        <v>45813</v>
      </c>
      <c r="B5580" s="1" t="s">
        <v>4268</v>
      </c>
      <c r="C5580" t="s">
        <v>3252</v>
      </c>
      <c r="D5580" s="23">
        <v>460000</v>
      </c>
      <c r="E5580" t="s">
        <v>45</v>
      </c>
      <c r="F5580" s="2">
        <v>210115002</v>
      </c>
      <c r="G5580" s="2" t="s">
        <v>46</v>
      </c>
      <c r="I5580" s="95" t="s">
        <v>7231</v>
      </c>
      <c r="K5580" t="s">
        <v>293</v>
      </c>
      <c r="M5580">
        <v>97.9</v>
      </c>
      <c r="N5580" s="4">
        <f t="shared" ref="N5580:N5643" si="87">D5580/M5580</f>
        <v>4698.6721144024514</v>
      </c>
      <c r="O5580" t="s">
        <v>605</v>
      </c>
      <c r="Q5580" s="2"/>
    </row>
    <row r="5581" spans="1:17" x14ac:dyDescent="0.25">
      <c r="A5581" s="22">
        <v>45813</v>
      </c>
      <c r="B5581" s="1" t="s">
        <v>613</v>
      </c>
      <c r="C5581" t="s">
        <v>4269</v>
      </c>
      <c r="D5581" s="23" t="s">
        <v>4270</v>
      </c>
      <c r="E5581" t="s">
        <v>35</v>
      </c>
      <c r="F5581" s="2">
        <v>210101001</v>
      </c>
      <c r="G5581" s="2" t="s">
        <v>36</v>
      </c>
      <c r="I5581" s="95" t="s">
        <v>7231</v>
      </c>
      <c r="J5581" t="s">
        <v>37</v>
      </c>
      <c r="K5581" t="s">
        <v>38</v>
      </c>
      <c r="M5581">
        <v>97.9</v>
      </c>
      <c r="N5581" s="4">
        <f t="shared" si="87"/>
        <v>-949.89908069458625</v>
      </c>
      <c r="O5581" t="s">
        <v>605</v>
      </c>
      <c r="P5581" s="82"/>
      <c r="Q5581" s="81"/>
    </row>
    <row r="5582" spans="1:17" x14ac:dyDescent="0.25">
      <c r="A5582" s="22">
        <v>45813</v>
      </c>
      <c r="B5582" s="1" t="s">
        <v>613</v>
      </c>
      <c r="C5582" t="s">
        <v>4271</v>
      </c>
      <c r="D5582" s="23" t="s">
        <v>4272</v>
      </c>
      <c r="E5582" t="s">
        <v>35</v>
      </c>
      <c r="F5582" s="2">
        <v>210101001</v>
      </c>
      <c r="G5582" s="2" t="s">
        <v>36</v>
      </c>
      <c r="I5582" s="95" t="s">
        <v>7231</v>
      </c>
      <c r="J5582" t="s">
        <v>414</v>
      </c>
      <c r="K5582" t="s">
        <v>415</v>
      </c>
      <c r="M5582">
        <v>97.9</v>
      </c>
      <c r="N5582" s="4">
        <f t="shared" si="87"/>
        <v>-71.501532175689476</v>
      </c>
      <c r="O5582" t="s">
        <v>605</v>
      </c>
      <c r="P5582" s="82"/>
      <c r="Q5582" s="81"/>
    </row>
    <row r="5583" spans="1:17" x14ac:dyDescent="0.25">
      <c r="A5583" s="22">
        <v>45813</v>
      </c>
      <c r="B5583" s="1" t="s">
        <v>613</v>
      </c>
      <c r="C5583" t="s">
        <v>4273</v>
      </c>
      <c r="D5583" s="23" t="s">
        <v>4274</v>
      </c>
      <c r="E5583" t="s">
        <v>35</v>
      </c>
      <c r="F5583" s="2">
        <v>210101001</v>
      </c>
      <c r="G5583" s="2" t="s">
        <v>36</v>
      </c>
      <c r="I5583" s="95" t="s">
        <v>7231</v>
      </c>
      <c r="J5583" t="s">
        <v>928</v>
      </c>
      <c r="K5583" t="s">
        <v>929</v>
      </c>
      <c r="M5583">
        <v>97.9</v>
      </c>
      <c r="N5583" s="4">
        <f t="shared" si="87"/>
        <v>-865.35995914198156</v>
      </c>
      <c r="O5583" t="s">
        <v>605</v>
      </c>
      <c r="P5583" s="82"/>
      <c r="Q5583" s="81"/>
    </row>
    <row r="5584" spans="1:17" x14ac:dyDescent="0.25">
      <c r="A5584" s="22">
        <v>45813</v>
      </c>
      <c r="B5584" s="1" t="s">
        <v>613</v>
      </c>
      <c r="C5584" t="s">
        <v>4275</v>
      </c>
      <c r="D5584" s="23" t="s">
        <v>4276</v>
      </c>
      <c r="E5584" t="s">
        <v>35</v>
      </c>
      <c r="F5584" s="2">
        <v>210101001</v>
      </c>
      <c r="G5584" s="2" t="s">
        <v>36</v>
      </c>
      <c r="I5584" s="95" t="s">
        <v>7231</v>
      </c>
      <c r="J5584" t="s">
        <v>414</v>
      </c>
      <c r="K5584" t="s">
        <v>415</v>
      </c>
      <c r="M5584">
        <v>97.9</v>
      </c>
      <c r="N5584" s="4">
        <f t="shared" si="87"/>
        <v>-342</v>
      </c>
      <c r="O5584" t="s">
        <v>605</v>
      </c>
      <c r="Q5584" s="2"/>
    </row>
    <row r="5585" spans="1:17" x14ac:dyDescent="0.25">
      <c r="A5585" s="22">
        <v>45813</v>
      </c>
      <c r="B5585" s="1" t="s">
        <v>613</v>
      </c>
      <c r="C5585" t="s">
        <v>4269</v>
      </c>
      <c r="D5585" s="23" t="s">
        <v>4277</v>
      </c>
      <c r="E5585" t="s">
        <v>35</v>
      </c>
      <c r="F5585" s="2">
        <v>210101001</v>
      </c>
      <c r="G5585" s="2" t="s">
        <v>36</v>
      </c>
      <c r="I5585" s="95" t="s">
        <v>7231</v>
      </c>
      <c r="J5585" t="s">
        <v>37</v>
      </c>
      <c r="K5585" t="s">
        <v>38</v>
      </c>
      <c r="M5585">
        <v>97.9</v>
      </c>
      <c r="N5585" s="4">
        <f t="shared" si="87"/>
        <v>-2042.9009193054135</v>
      </c>
      <c r="O5585" t="s">
        <v>605</v>
      </c>
      <c r="P5585" s="82"/>
      <c r="Q5585" s="81"/>
    </row>
    <row r="5586" spans="1:17" x14ac:dyDescent="0.25">
      <c r="A5586" s="22">
        <v>45813</v>
      </c>
      <c r="B5586" s="1" t="s">
        <v>1267</v>
      </c>
      <c r="C5586" t="s">
        <v>4013</v>
      </c>
      <c r="D5586" s="23" t="s">
        <v>4278</v>
      </c>
      <c r="E5586" t="s">
        <v>35</v>
      </c>
      <c r="F5586" s="2">
        <v>210101001</v>
      </c>
      <c r="G5586" s="2" t="s">
        <v>36</v>
      </c>
      <c r="I5586" s="95" t="s">
        <v>7231</v>
      </c>
      <c r="J5586" t="s">
        <v>376</v>
      </c>
      <c r="K5586" t="s">
        <v>377</v>
      </c>
      <c r="M5586">
        <v>97.9</v>
      </c>
      <c r="N5586" s="4">
        <f t="shared" si="87"/>
        <v>-437.07660878447393</v>
      </c>
      <c r="O5586" t="s">
        <v>605</v>
      </c>
      <c r="Q5586" s="2"/>
    </row>
    <row r="5587" spans="1:17" x14ac:dyDescent="0.25">
      <c r="A5587" s="22">
        <v>45813</v>
      </c>
      <c r="B5587" s="1" t="s">
        <v>623</v>
      </c>
      <c r="C5587" t="s">
        <v>622</v>
      </c>
      <c r="D5587" s="23" t="s">
        <v>4279</v>
      </c>
      <c r="E5587" t="s">
        <v>35</v>
      </c>
      <c r="F5587" s="2">
        <v>610148001</v>
      </c>
      <c r="G5587" s="2" t="s">
        <v>41</v>
      </c>
      <c r="I5587" s="95" t="s">
        <v>7231</v>
      </c>
      <c r="J5587" t="s">
        <v>42</v>
      </c>
      <c r="K5587" t="s">
        <v>41</v>
      </c>
      <c r="M5587">
        <v>97.9</v>
      </c>
      <c r="N5587" s="4">
        <f t="shared" si="87"/>
        <v>-2.3746680286006128</v>
      </c>
      <c r="O5587" t="s">
        <v>605</v>
      </c>
      <c r="Q5587" s="42" t="s">
        <v>3649</v>
      </c>
    </row>
    <row r="5588" spans="1:17" x14ac:dyDescent="0.25">
      <c r="A5588" s="22">
        <v>45813</v>
      </c>
      <c r="B5588" s="1" t="s">
        <v>623</v>
      </c>
      <c r="C5588" t="s">
        <v>622</v>
      </c>
      <c r="D5588" s="23" t="s">
        <v>4280</v>
      </c>
      <c r="E5588" t="s">
        <v>35</v>
      </c>
      <c r="F5588" s="2">
        <v>610148001</v>
      </c>
      <c r="G5588" s="2" t="s">
        <v>41</v>
      </c>
      <c r="I5588" s="95" t="s">
        <v>7231</v>
      </c>
      <c r="J5588" t="s">
        <v>42</v>
      </c>
      <c r="K5588" t="s">
        <v>41</v>
      </c>
      <c r="M5588">
        <v>97.9</v>
      </c>
      <c r="N5588" s="4">
        <f t="shared" si="87"/>
        <v>-2.1633299284984675</v>
      </c>
      <c r="O5588" t="s">
        <v>605</v>
      </c>
      <c r="Q5588" s="42" t="s">
        <v>3649</v>
      </c>
    </row>
    <row r="5589" spans="1:17" x14ac:dyDescent="0.25">
      <c r="A5589" s="22">
        <v>45813</v>
      </c>
      <c r="B5589" s="1" t="s">
        <v>623</v>
      </c>
      <c r="C5589" t="s">
        <v>622</v>
      </c>
      <c r="D5589" s="23" t="s">
        <v>4281</v>
      </c>
      <c r="E5589" t="s">
        <v>35</v>
      </c>
      <c r="F5589" s="2">
        <v>610148001</v>
      </c>
      <c r="G5589" s="2" t="s">
        <v>41</v>
      </c>
      <c r="I5589" s="95" t="s">
        <v>7231</v>
      </c>
      <c r="J5589" t="s">
        <v>42</v>
      </c>
      <c r="K5589" t="s">
        <v>41</v>
      </c>
      <c r="M5589">
        <v>97.9</v>
      </c>
      <c r="N5589" s="4">
        <f t="shared" si="87"/>
        <v>-0.17875383043922369</v>
      </c>
      <c r="O5589" t="s">
        <v>605</v>
      </c>
      <c r="Q5589" s="42" t="s">
        <v>3649</v>
      </c>
    </row>
    <row r="5590" spans="1:17" x14ac:dyDescent="0.25">
      <c r="A5590" s="22">
        <v>45813</v>
      </c>
      <c r="B5590" s="1" t="s">
        <v>623</v>
      </c>
      <c r="C5590" t="s">
        <v>622</v>
      </c>
      <c r="D5590" s="23" t="s">
        <v>4251</v>
      </c>
      <c r="E5590" t="s">
        <v>35</v>
      </c>
      <c r="F5590" s="2">
        <v>610148001</v>
      </c>
      <c r="G5590" s="2" t="s">
        <v>41</v>
      </c>
      <c r="I5590" s="95" t="s">
        <v>7231</v>
      </c>
      <c r="J5590" t="s">
        <v>42</v>
      </c>
      <c r="K5590" t="s">
        <v>41</v>
      </c>
      <c r="M5590">
        <v>97.9</v>
      </c>
      <c r="N5590" s="4">
        <f t="shared" si="87"/>
        <v>-5.1072522982635338</v>
      </c>
      <c r="O5590" t="s">
        <v>605</v>
      </c>
      <c r="Q5590" s="42" t="s">
        <v>3649</v>
      </c>
    </row>
    <row r="5591" spans="1:17" x14ac:dyDescent="0.25">
      <c r="A5591" s="22">
        <v>45813</v>
      </c>
      <c r="B5591" s="1" t="s">
        <v>1272</v>
      </c>
      <c r="C5591" t="s">
        <v>622</v>
      </c>
      <c r="D5591" s="23" t="s">
        <v>4282</v>
      </c>
      <c r="E5591" t="s">
        <v>35</v>
      </c>
      <c r="F5591" s="2">
        <v>610148001</v>
      </c>
      <c r="G5591" s="2" t="s">
        <v>41</v>
      </c>
      <c r="I5591" s="95" t="s">
        <v>7231</v>
      </c>
      <c r="J5591" t="s">
        <v>42</v>
      </c>
      <c r="K5591" t="s">
        <v>41</v>
      </c>
      <c r="M5591">
        <v>97.9</v>
      </c>
      <c r="N5591" s="4">
        <f t="shared" si="87"/>
        <v>-1.0926455566905005</v>
      </c>
      <c r="O5591" t="s">
        <v>605</v>
      </c>
      <c r="Q5591" s="42" t="s">
        <v>3649</v>
      </c>
    </row>
    <row r="5592" spans="1:17" x14ac:dyDescent="0.25">
      <c r="A5592" s="22">
        <v>45813</v>
      </c>
      <c r="B5592" s="1" t="s">
        <v>623</v>
      </c>
      <c r="C5592" t="s">
        <v>622</v>
      </c>
      <c r="D5592" s="23" t="s">
        <v>4283</v>
      </c>
      <c r="E5592" t="s">
        <v>35</v>
      </c>
      <c r="F5592" s="2">
        <v>610148001</v>
      </c>
      <c r="G5592" s="2" t="s">
        <v>41</v>
      </c>
      <c r="I5592" s="95" t="s">
        <v>7231</v>
      </c>
      <c r="J5592" t="s">
        <v>42</v>
      </c>
      <c r="K5592" t="s">
        <v>41</v>
      </c>
      <c r="M5592">
        <v>97.9</v>
      </c>
      <c r="N5592" s="4">
        <f t="shared" si="87"/>
        <v>-0.85495403472931564</v>
      </c>
      <c r="O5592" t="s">
        <v>605</v>
      </c>
      <c r="Q5592" s="42" t="s">
        <v>3649</v>
      </c>
    </row>
    <row r="5593" spans="1:17" x14ac:dyDescent="0.25">
      <c r="A5593" s="22">
        <v>45814</v>
      </c>
      <c r="B5593" s="1" t="s">
        <v>4284</v>
      </c>
      <c r="C5593" t="s">
        <v>293</v>
      </c>
      <c r="D5593" s="23">
        <v>1800000</v>
      </c>
      <c r="E5593" t="s">
        <v>45</v>
      </c>
      <c r="F5593" s="2">
        <v>210115002</v>
      </c>
      <c r="G5593" s="2" t="s">
        <v>46</v>
      </c>
      <c r="I5593" s="95" t="s">
        <v>7231</v>
      </c>
      <c r="K5593" t="s">
        <v>293</v>
      </c>
      <c r="M5593">
        <v>98.51</v>
      </c>
      <c r="N5593" s="4">
        <f t="shared" si="87"/>
        <v>18272.256623693025</v>
      </c>
      <c r="O5593" t="s">
        <v>605</v>
      </c>
      <c r="Q5593" s="2"/>
    </row>
    <row r="5594" spans="1:17" x14ac:dyDescent="0.25">
      <c r="A5594" s="22">
        <v>45814</v>
      </c>
      <c r="B5594" s="1" t="s">
        <v>4285</v>
      </c>
      <c r="C5594" t="s">
        <v>293</v>
      </c>
      <c r="D5594" s="23">
        <v>200000</v>
      </c>
      <c r="E5594" t="s">
        <v>45</v>
      </c>
      <c r="F5594" s="2">
        <v>210115002</v>
      </c>
      <c r="G5594" s="2" t="s">
        <v>46</v>
      </c>
      <c r="I5594" s="95" t="s">
        <v>7231</v>
      </c>
      <c r="K5594" t="s">
        <v>293</v>
      </c>
      <c r="M5594">
        <v>98.51</v>
      </c>
      <c r="N5594" s="4">
        <f t="shared" si="87"/>
        <v>2030.2507359658916</v>
      </c>
      <c r="O5594" t="s">
        <v>605</v>
      </c>
      <c r="Q5594" s="2"/>
    </row>
    <row r="5595" spans="1:17" x14ac:dyDescent="0.25">
      <c r="A5595" s="22">
        <v>45814</v>
      </c>
      <c r="B5595" s="1" t="s">
        <v>4286</v>
      </c>
      <c r="C5595" t="s">
        <v>293</v>
      </c>
      <c r="D5595" s="23">
        <v>100000</v>
      </c>
      <c r="E5595" t="s">
        <v>45</v>
      </c>
      <c r="F5595" s="2">
        <v>210115002</v>
      </c>
      <c r="G5595" s="2" t="s">
        <v>46</v>
      </c>
      <c r="I5595" s="95" t="s">
        <v>7231</v>
      </c>
      <c r="K5595" t="s">
        <v>293</v>
      </c>
      <c r="M5595">
        <v>98.51</v>
      </c>
      <c r="N5595" s="4">
        <f t="shared" si="87"/>
        <v>1015.1253679829458</v>
      </c>
      <c r="O5595" t="s">
        <v>605</v>
      </c>
      <c r="Q5595" s="2"/>
    </row>
    <row r="5596" spans="1:17" x14ac:dyDescent="0.25">
      <c r="A5596" s="22">
        <v>45814</v>
      </c>
      <c r="B5596" s="1" t="s">
        <v>613</v>
      </c>
      <c r="C5596" t="s">
        <v>4287</v>
      </c>
      <c r="D5596" s="23">
        <v>-25008.37</v>
      </c>
      <c r="E5596" t="s">
        <v>35</v>
      </c>
      <c r="F5596" s="2">
        <v>210101001</v>
      </c>
      <c r="G5596" s="2" t="s">
        <v>36</v>
      </c>
      <c r="I5596" s="95" t="s">
        <v>7231</v>
      </c>
      <c r="J5596" t="s">
        <v>804</v>
      </c>
      <c r="K5596" t="s">
        <v>805</v>
      </c>
      <c r="M5596">
        <v>98.51</v>
      </c>
      <c r="N5596" s="4">
        <f t="shared" si="87"/>
        <v>-253.86630798903661</v>
      </c>
      <c r="O5596" t="s">
        <v>605</v>
      </c>
      <c r="Q5596" s="2"/>
    </row>
    <row r="5597" spans="1:17" x14ac:dyDescent="0.25">
      <c r="A5597" s="22">
        <v>45814</v>
      </c>
      <c r="B5597" s="1" t="s">
        <v>1985</v>
      </c>
      <c r="C5597" t="s">
        <v>4288</v>
      </c>
      <c r="D5597" s="23">
        <v>-12192.35</v>
      </c>
      <c r="E5597" t="s">
        <v>35</v>
      </c>
      <c r="F5597" s="2">
        <v>210101001</v>
      </c>
      <c r="G5597" s="2" t="s">
        <v>36</v>
      </c>
      <c r="I5597" s="95" t="s">
        <v>7231</v>
      </c>
      <c r="J5597" t="s">
        <v>86</v>
      </c>
      <c r="K5597" t="s">
        <v>87</v>
      </c>
      <c r="M5597">
        <v>98.51</v>
      </c>
      <c r="N5597" s="4">
        <f t="shared" si="87"/>
        <v>-123.7676378032687</v>
      </c>
      <c r="O5597" t="s">
        <v>605</v>
      </c>
      <c r="Q5597" s="2"/>
    </row>
    <row r="5598" spans="1:17" x14ac:dyDescent="0.25">
      <c r="A5598" s="22">
        <v>45814</v>
      </c>
      <c r="B5598" s="1" t="s">
        <v>1969</v>
      </c>
      <c r="C5598" t="s">
        <v>4289</v>
      </c>
      <c r="D5598" s="44">
        <v>-98510</v>
      </c>
      <c r="E5598" t="s">
        <v>35</v>
      </c>
      <c r="F5598" s="2">
        <v>110114001</v>
      </c>
      <c r="G5598" s="2" t="s">
        <v>181</v>
      </c>
      <c r="I5598" s="95" t="s">
        <v>7231</v>
      </c>
      <c r="K5598" t="s">
        <v>1256</v>
      </c>
      <c r="M5598">
        <v>98.51</v>
      </c>
      <c r="N5598" s="4">
        <f t="shared" si="87"/>
        <v>-1000</v>
      </c>
      <c r="O5598" t="s">
        <v>605</v>
      </c>
      <c r="Q5598" s="2"/>
    </row>
    <row r="5599" spans="1:17" ht="15.75" x14ac:dyDescent="0.25">
      <c r="A5599" s="22">
        <v>45814</v>
      </c>
      <c r="B5599" s="1" t="s">
        <v>613</v>
      </c>
      <c r="C5599" t="s">
        <v>4290</v>
      </c>
      <c r="D5599" s="23">
        <v>-26514.44</v>
      </c>
      <c r="E5599" t="s">
        <v>35</v>
      </c>
      <c r="F5599" s="2">
        <v>110114001</v>
      </c>
      <c r="G5599" s="2" t="s">
        <v>181</v>
      </c>
      <c r="I5599" s="95" t="s">
        <v>7231</v>
      </c>
      <c r="J5599" t="s">
        <v>37</v>
      </c>
      <c r="K5599" t="s">
        <v>38</v>
      </c>
      <c r="M5599">
        <v>98.51</v>
      </c>
      <c r="N5599" s="4">
        <f t="shared" si="87"/>
        <v>-269.15480661861739</v>
      </c>
      <c r="O5599" t="s">
        <v>605</v>
      </c>
      <c r="P5599" s="37" t="s">
        <v>2492</v>
      </c>
      <c r="Q5599" s="2"/>
    </row>
    <row r="5600" spans="1:17" x14ac:dyDescent="0.25">
      <c r="A5600" s="22">
        <v>45814</v>
      </c>
      <c r="B5600" s="1" t="s">
        <v>1983</v>
      </c>
      <c r="C5600" t="s">
        <v>4291</v>
      </c>
      <c r="D5600" s="23">
        <v>-985.1</v>
      </c>
      <c r="E5600" t="s">
        <v>35</v>
      </c>
      <c r="F5600" s="2">
        <v>212901001</v>
      </c>
      <c r="G5600" s="2" t="s">
        <v>91</v>
      </c>
      <c r="I5600" s="95" t="s">
        <v>7231</v>
      </c>
      <c r="J5600" t="s">
        <v>61</v>
      </c>
      <c r="K5600" t="s">
        <v>62</v>
      </c>
      <c r="M5600">
        <v>98.51</v>
      </c>
      <c r="N5600" s="4">
        <f t="shared" si="87"/>
        <v>-10</v>
      </c>
      <c r="O5600" t="s">
        <v>605</v>
      </c>
      <c r="Q5600" s="2"/>
    </row>
    <row r="5601" spans="1:17" x14ac:dyDescent="0.25">
      <c r="A5601" s="33">
        <v>45814</v>
      </c>
      <c r="B5601" s="27" t="s">
        <v>613</v>
      </c>
      <c r="C5601" s="28" t="s">
        <v>52</v>
      </c>
      <c r="D5601" s="29">
        <v>-11821.2</v>
      </c>
      <c r="E5601" s="28" t="s">
        <v>35</v>
      </c>
      <c r="F5601" s="30">
        <v>610129001</v>
      </c>
      <c r="G5601" s="30" t="s">
        <v>53</v>
      </c>
      <c r="H5601" s="30"/>
      <c r="I5601" s="95" t="s">
        <v>7231</v>
      </c>
      <c r="J5601" s="28" t="s">
        <v>54</v>
      </c>
      <c r="K5601" s="28" t="s">
        <v>55</v>
      </c>
      <c r="L5601" s="28" t="s">
        <v>56</v>
      </c>
      <c r="M5601" s="28">
        <v>98.51</v>
      </c>
      <c r="N5601" s="4">
        <f t="shared" si="87"/>
        <v>-120</v>
      </c>
      <c r="O5601" t="s">
        <v>605</v>
      </c>
      <c r="Q5601" s="42" t="s">
        <v>4292</v>
      </c>
    </row>
    <row r="5602" spans="1:17" x14ac:dyDescent="0.25">
      <c r="A5602" s="22">
        <v>45814</v>
      </c>
      <c r="B5602" s="1" t="s">
        <v>1953</v>
      </c>
      <c r="C5602" t="s">
        <v>4293</v>
      </c>
      <c r="D5602" s="23">
        <v>-2617.98</v>
      </c>
      <c r="E5602" t="s">
        <v>35</v>
      </c>
      <c r="F5602" s="2">
        <v>210101001</v>
      </c>
      <c r="G5602" s="2" t="s">
        <v>36</v>
      </c>
      <c r="I5602" s="95" t="s">
        <v>7231</v>
      </c>
      <c r="J5602" t="s">
        <v>631</v>
      </c>
      <c r="K5602" t="s">
        <v>632</v>
      </c>
      <c r="M5602">
        <v>98.51</v>
      </c>
      <c r="N5602" s="4">
        <f t="shared" si="87"/>
        <v>-26.575779108719924</v>
      </c>
      <c r="O5602" t="s">
        <v>605</v>
      </c>
      <c r="P5602" s="68"/>
      <c r="Q5602" s="83"/>
    </row>
    <row r="5603" spans="1:17" ht="15.75" x14ac:dyDescent="0.25">
      <c r="A5603" s="22">
        <v>45814</v>
      </c>
      <c r="B5603" s="1" t="s">
        <v>1998</v>
      </c>
      <c r="C5603" t="s">
        <v>4294</v>
      </c>
      <c r="D5603" s="23">
        <v>-79990.12</v>
      </c>
      <c r="E5603" t="s">
        <v>35</v>
      </c>
      <c r="F5603" s="2">
        <v>110114001</v>
      </c>
      <c r="G5603" s="2" t="s">
        <v>181</v>
      </c>
      <c r="I5603" s="95" t="s">
        <v>7231</v>
      </c>
      <c r="J5603" t="s">
        <v>928</v>
      </c>
      <c r="K5603" t="s">
        <v>929</v>
      </c>
      <c r="M5603">
        <v>98.51</v>
      </c>
      <c r="N5603" s="4">
        <f t="shared" si="87"/>
        <v>-811.99999999999989</v>
      </c>
      <c r="O5603" t="s">
        <v>605</v>
      </c>
      <c r="P5603" s="37" t="s">
        <v>4295</v>
      </c>
      <c r="Q5603" s="2"/>
    </row>
    <row r="5604" spans="1:17" x14ac:dyDescent="0.25">
      <c r="A5604" s="22">
        <v>45814</v>
      </c>
      <c r="B5604" s="1" t="s">
        <v>1886</v>
      </c>
      <c r="C5604" t="s">
        <v>4296</v>
      </c>
      <c r="D5604" s="23">
        <v>-16740.900000000001</v>
      </c>
      <c r="E5604" t="s">
        <v>35</v>
      </c>
      <c r="F5604" s="2">
        <v>210101001</v>
      </c>
      <c r="G5604" s="2" t="s">
        <v>36</v>
      </c>
      <c r="I5604" s="95" t="s">
        <v>7231</v>
      </c>
      <c r="J5604" t="s">
        <v>414</v>
      </c>
      <c r="K5604" t="s">
        <v>415</v>
      </c>
      <c r="M5604">
        <v>98.51</v>
      </c>
      <c r="N5604" s="4">
        <f t="shared" si="87"/>
        <v>-169.94112272865701</v>
      </c>
      <c r="O5604" t="s">
        <v>605</v>
      </c>
      <c r="Q5604" s="2"/>
    </row>
    <row r="5605" spans="1:17" x14ac:dyDescent="0.25">
      <c r="A5605" s="22">
        <v>45814</v>
      </c>
      <c r="B5605" s="1" t="s">
        <v>1981</v>
      </c>
      <c r="C5605" t="s">
        <v>4297</v>
      </c>
      <c r="D5605" s="23">
        <v>-1970.2</v>
      </c>
      <c r="E5605" t="s">
        <v>35</v>
      </c>
      <c r="F5605" s="2">
        <v>212901001</v>
      </c>
      <c r="G5605" s="2" t="s">
        <v>91</v>
      </c>
      <c r="I5605" s="95" t="s">
        <v>7231</v>
      </c>
      <c r="J5605" t="s">
        <v>61</v>
      </c>
      <c r="K5605" t="s">
        <v>62</v>
      </c>
      <c r="M5605">
        <v>98.51</v>
      </c>
      <c r="N5605" s="4">
        <f t="shared" si="87"/>
        <v>-20</v>
      </c>
      <c r="O5605" t="s">
        <v>605</v>
      </c>
      <c r="Q5605" s="2"/>
    </row>
    <row r="5606" spans="1:17" x14ac:dyDescent="0.25">
      <c r="A5606" s="22">
        <v>45814</v>
      </c>
      <c r="B5606" s="1" t="s">
        <v>2028</v>
      </c>
      <c r="C5606" t="s">
        <v>4298</v>
      </c>
      <c r="D5606" s="23">
        <v>-1970.2</v>
      </c>
      <c r="E5606" t="s">
        <v>35</v>
      </c>
      <c r="F5606" s="2">
        <v>212901001</v>
      </c>
      <c r="G5606" s="2" t="s">
        <v>91</v>
      </c>
      <c r="I5606" s="95" t="s">
        <v>7231</v>
      </c>
      <c r="J5606" t="s">
        <v>61</v>
      </c>
      <c r="K5606" t="s">
        <v>62</v>
      </c>
      <c r="M5606">
        <v>98.51</v>
      </c>
      <c r="N5606" s="4">
        <f t="shared" si="87"/>
        <v>-20</v>
      </c>
      <c r="O5606" t="s">
        <v>605</v>
      </c>
      <c r="Q5606" s="2"/>
    </row>
    <row r="5607" spans="1:17" x14ac:dyDescent="0.25">
      <c r="A5607" s="22">
        <v>45814</v>
      </c>
      <c r="B5607" s="1" t="s">
        <v>1999</v>
      </c>
      <c r="C5607" t="s">
        <v>2772</v>
      </c>
      <c r="D5607" s="23">
        <v>-11677.29</v>
      </c>
      <c r="E5607" t="s">
        <v>35</v>
      </c>
      <c r="F5607" s="2">
        <v>110101002</v>
      </c>
      <c r="G5607" s="2" t="s">
        <v>2771</v>
      </c>
      <c r="I5607" s="95" t="s">
        <v>7231</v>
      </c>
      <c r="K5607" t="s">
        <v>2772</v>
      </c>
      <c r="M5607">
        <v>98.51</v>
      </c>
      <c r="N5607" s="4">
        <f t="shared" si="87"/>
        <v>-118.53913308293575</v>
      </c>
      <c r="O5607" t="s">
        <v>605</v>
      </c>
      <c r="Q5607" s="2"/>
    </row>
    <row r="5608" spans="1:17" x14ac:dyDescent="0.25">
      <c r="A5608" s="22">
        <v>45814</v>
      </c>
      <c r="B5608" s="1" t="s">
        <v>613</v>
      </c>
      <c r="C5608" t="s">
        <v>4299</v>
      </c>
      <c r="D5608" s="23">
        <v>-1970.2</v>
      </c>
      <c r="E5608" t="s">
        <v>35</v>
      </c>
      <c r="F5608" s="2">
        <v>212901001</v>
      </c>
      <c r="G5608" s="2" t="s">
        <v>91</v>
      </c>
      <c r="I5608" s="95" t="s">
        <v>7231</v>
      </c>
      <c r="J5608" t="s">
        <v>61</v>
      </c>
      <c r="K5608" t="s">
        <v>62</v>
      </c>
      <c r="M5608">
        <v>98.51</v>
      </c>
      <c r="N5608" s="4">
        <f t="shared" si="87"/>
        <v>-20</v>
      </c>
      <c r="O5608" t="s">
        <v>605</v>
      </c>
      <c r="Q5608" s="2"/>
    </row>
    <row r="5609" spans="1:17" ht="15.75" x14ac:dyDescent="0.25">
      <c r="A5609" s="22">
        <v>45814</v>
      </c>
      <c r="B5609" s="1" t="s">
        <v>613</v>
      </c>
      <c r="C5609" t="s">
        <v>4290</v>
      </c>
      <c r="D5609" s="23">
        <v>-200000</v>
      </c>
      <c r="E5609" t="s">
        <v>35</v>
      </c>
      <c r="F5609" s="2">
        <v>110114001</v>
      </c>
      <c r="G5609" s="2" t="s">
        <v>181</v>
      </c>
      <c r="I5609" s="95" t="s">
        <v>7231</v>
      </c>
      <c r="J5609" t="s">
        <v>37</v>
      </c>
      <c r="K5609" t="s">
        <v>38</v>
      </c>
      <c r="M5609">
        <v>98.51</v>
      </c>
      <c r="N5609" s="4">
        <f t="shared" si="87"/>
        <v>-2030.2507359658916</v>
      </c>
      <c r="O5609" t="s">
        <v>605</v>
      </c>
      <c r="P5609" s="37" t="s">
        <v>2492</v>
      </c>
      <c r="Q5609" s="2"/>
    </row>
    <row r="5610" spans="1:17" ht="15.75" x14ac:dyDescent="0.25">
      <c r="A5610" s="22">
        <v>45814</v>
      </c>
      <c r="B5610" s="1" t="s">
        <v>613</v>
      </c>
      <c r="C5610" t="s">
        <v>4290</v>
      </c>
      <c r="D5610" s="23">
        <v>-200000</v>
      </c>
      <c r="E5610" t="s">
        <v>35</v>
      </c>
      <c r="F5610" s="2">
        <v>110114001</v>
      </c>
      <c r="G5610" s="2" t="s">
        <v>181</v>
      </c>
      <c r="I5610" s="95" t="s">
        <v>7231</v>
      </c>
      <c r="J5610" t="s">
        <v>37</v>
      </c>
      <c r="K5610" t="s">
        <v>38</v>
      </c>
      <c r="M5610">
        <v>98.51</v>
      </c>
      <c r="N5610" s="4">
        <f t="shared" si="87"/>
        <v>-2030.2507359658916</v>
      </c>
      <c r="O5610" t="s">
        <v>605</v>
      </c>
      <c r="P5610" s="37" t="s">
        <v>2492</v>
      </c>
      <c r="Q5610" s="2"/>
    </row>
    <row r="5611" spans="1:17" ht="15.75" x14ac:dyDescent="0.25">
      <c r="A5611" s="22">
        <v>45814</v>
      </c>
      <c r="B5611" s="1" t="s">
        <v>1934</v>
      </c>
      <c r="C5611" t="s">
        <v>4300</v>
      </c>
      <c r="D5611" s="23">
        <v>-52335.23</v>
      </c>
      <c r="E5611" t="s">
        <v>35</v>
      </c>
      <c r="F5611" s="2">
        <v>110114001</v>
      </c>
      <c r="G5611" s="2" t="s">
        <v>181</v>
      </c>
      <c r="I5611" s="95" t="s">
        <v>7231</v>
      </c>
      <c r="J5611" t="s">
        <v>288</v>
      </c>
      <c r="K5611" t="s">
        <v>289</v>
      </c>
      <c r="M5611">
        <v>98.51</v>
      </c>
      <c r="N5611" s="4">
        <f t="shared" si="87"/>
        <v>-531.26819612222107</v>
      </c>
      <c r="O5611" t="s">
        <v>605</v>
      </c>
      <c r="P5611" s="37" t="s">
        <v>4295</v>
      </c>
      <c r="Q5611" s="2"/>
    </row>
    <row r="5612" spans="1:17" x14ac:dyDescent="0.25">
      <c r="A5612" s="22">
        <v>45814</v>
      </c>
      <c r="B5612" s="1" t="s">
        <v>1996</v>
      </c>
      <c r="C5612" t="s">
        <v>4301</v>
      </c>
      <c r="D5612" s="23">
        <v>-32111.360000000001</v>
      </c>
      <c r="E5612" t="s">
        <v>35</v>
      </c>
      <c r="F5612" s="2">
        <v>210101001</v>
      </c>
      <c r="G5612" s="2" t="s">
        <v>36</v>
      </c>
      <c r="I5612" s="95" t="s">
        <v>7231</v>
      </c>
      <c r="J5612" t="s">
        <v>182</v>
      </c>
      <c r="K5612" t="s">
        <v>183</v>
      </c>
      <c r="M5612">
        <v>98.51</v>
      </c>
      <c r="N5612" s="4">
        <f t="shared" si="87"/>
        <v>-325.97056136432849</v>
      </c>
      <c r="O5612" t="s">
        <v>605</v>
      </c>
      <c r="Q5612" s="2"/>
    </row>
    <row r="5613" spans="1:17" x14ac:dyDescent="0.25">
      <c r="A5613" s="22">
        <v>45814</v>
      </c>
      <c r="B5613" s="1" t="s">
        <v>1957</v>
      </c>
      <c r="C5613" t="s">
        <v>4302</v>
      </c>
      <c r="D5613" s="23">
        <v>-20810.009999999998</v>
      </c>
      <c r="E5613" t="s">
        <v>35</v>
      </c>
      <c r="F5613" s="2">
        <v>210101001</v>
      </c>
      <c r="G5613" s="2" t="s">
        <v>36</v>
      </c>
      <c r="I5613" s="95" t="s">
        <v>7231</v>
      </c>
      <c r="J5613" t="s">
        <v>928</v>
      </c>
      <c r="K5613" t="s">
        <v>929</v>
      </c>
      <c r="M5613">
        <v>98.51</v>
      </c>
      <c r="N5613" s="4">
        <f t="shared" si="87"/>
        <v>-211.24769058978782</v>
      </c>
      <c r="O5613" t="s">
        <v>605</v>
      </c>
      <c r="Q5613" s="2"/>
    </row>
    <row r="5614" spans="1:17" x14ac:dyDescent="0.25">
      <c r="A5614" s="22">
        <v>45814</v>
      </c>
      <c r="B5614" s="1" t="s">
        <v>1888</v>
      </c>
      <c r="C5614" t="s">
        <v>4303</v>
      </c>
      <c r="D5614" s="23">
        <v>-1970.2</v>
      </c>
      <c r="E5614" t="s">
        <v>35</v>
      </c>
      <c r="F5614" s="2">
        <v>212901001</v>
      </c>
      <c r="G5614" s="2" t="s">
        <v>91</v>
      </c>
      <c r="I5614" s="95" t="s">
        <v>7231</v>
      </c>
      <c r="J5614" t="s">
        <v>61</v>
      </c>
      <c r="K5614" t="s">
        <v>62</v>
      </c>
      <c r="M5614">
        <v>98.51</v>
      </c>
      <c r="N5614" s="4">
        <f t="shared" si="87"/>
        <v>-20</v>
      </c>
      <c r="O5614" t="s">
        <v>605</v>
      </c>
      <c r="Q5614" s="2"/>
    </row>
    <row r="5615" spans="1:17" x14ac:dyDescent="0.25">
      <c r="A5615" s="22">
        <v>45814</v>
      </c>
      <c r="B5615" s="1" t="s">
        <v>1888</v>
      </c>
      <c r="C5615" t="s">
        <v>4304</v>
      </c>
      <c r="D5615" s="23">
        <v>-1970.2</v>
      </c>
      <c r="E5615" t="s">
        <v>35</v>
      </c>
      <c r="F5615" s="2">
        <v>212901001</v>
      </c>
      <c r="G5615" s="2" t="s">
        <v>91</v>
      </c>
      <c r="I5615" s="95" t="s">
        <v>7231</v>
      </c>
      <c r="J5615" t="s">
        <v>61</v>
      </c>
      <c r="K5615" t="s">
        <v>62</v>
      </c>
      <c r="M5615">
        <v>98.51</v>
      </c>
      <c r="N5615" s="4">
        <f t="shared" si="87"/>
        <v>-20</v>
      </c>
      <c r="O5615" t="s">
        <v>605</v>
      </c>
      <c r="Q5615" s="2"/>
    </row>
    <row r="5616" spans="1:17" x14ac:dyDescent="0.25">
      <c r="A5616" s="22">
        <v>45814</v>
      </c>
      <c r="B5616" s="1" t="s">
        <v>1900</v>
      </c>
      <c r="C5616" t="s">
        <v>4305</v>
      </c>
      <c r="D5616" s="23">
        <v>-14776.5</v>
      </c>
      <c r="E5616" t="s">
        <v>35</v>
      </c>
      <c r="F5616" s="2">
        <v>212901001</v>
      </c>
      <c r="G5616" s="2" t="s">
        <v>91</v>
      </c>
      <c r="I5616" s="95" t="s">
        <v>7231</v>
      </c>
      <c r="J5616" t="s">
        <v>61</v>
      </c>
      <c r="K5616" t="s">
        <v>62</v>
      </c>
      <c r="M5616">
        <v>98.51</v>
      </c>
      <c r="N5616" s="4">
        <f t="shared" si="87"/>
        <v>-150</v>
      </c>
      <c r="O5616" t="s">
        <v>605</v>
      </c>
      <c r="Q5616" s="2"/>
    </row>
    <row r="5617" spans="1:17" x14ac:dyDescent="0.25">
      <c r="A5617" s="33">
        <v>45814</v>
      </c>
      <c r="B5617" s="27" t="s">
        <v>2006</v>
      </c>
      <c r="C5617" s="28" t="s">
        <v>4306</v>
      </c>
      <c r="D5617" s="29">
        <v>-1970.2</v>
      </c>
      <c r="E5617" s="28" t="s">
        <v>35</v>
      </c>
      <c r="F5617" s="30">
        <v>610125001</v>
      </c>
      <c r="G5617" s="30" t="s">
        <v>2536</v>
      </c>
      <c r="H5617" s="30"/>
      <c r="I5617" s="95" t="s">
        <v>7231</v>
      </c>
      <c r="J5617" s="28" t="s">
        <v>406</v>
      </c>
      <c r="K5617" s="28" t="s">
        <v>407</v>
      </c>
      <c r="L5617" s="28" t="s">
        <v>56</v>
      </c>
      <c r="M5617" s="28">
        <v>98.51</v>
      </c>
      <c r="N5617" s="4">
        <f t="shared" si="87"/>
        <v>-20</v>
      </c>
      <c r="O5617" t="s">
        <v>605</v>
      </c>
      <c r="Q5617" s="42" t="s">
        <v>4307</v>
      </c>
    </row>
    <row r="5618" spans="1:17" x14ac:dyDescent="0.25">
      <c r="A5618" s="22">
        <v>45814</v>
      </c>
      <c r="B5618" s="1" t="s">
        <v>1940</v>
      </c>
      <c r="C5618" t="s">
        <v>4308</v>
      </c>
      <c r="D5618" s="23">
        <v>-60644.73</v>
      </c>
      <c r="E5618" t="s">
        <v>35</v>
      </c>
      <c r="F5618" s="2">
        <v>210101001</v>
      </c>
      <c r="G5618" s="2" t="s">
        <v>36</v>
      </c>
      <c r="I5618" s="95" t="s">
        <v>7231</v>
      </c>
      <c r="J5618" t="s">
        <v>283</v>
      </c>
      <c r="K5618" t="s">
        <v>1628</v>
      </c>
      <c r="M5618">
        <v>98.51</v>
      </c>
      <c r="N5618" s="4">
        <f t="shared" si="87"/>
        <v>-615.62003857476395</v>
      </c>
      <c r="O5618" t="s">
        <v>605</v>
      </c>
      <c r="Q5618" s="2"/>
    </row>
    <row r="5619" spans="1:17" x14ac:dyDescent="0.25">
      <c r="A5619" s="22">
        <v>45814</v>
      </c>
      <c r="B5619" s="1" t="s">
        <v>1955</v>
      </c>
      <c r="C5619" t="s">
        <v>4309</v>
      </c>
      <c r="D5619" s="23">
        <v>-9598.81</v>
      </c>
      <c r="E5619" t="s">
        <v>35</v>
      </c>
      <c r="F5619" s="2">
        <v>210101001</v>
      </c>
      <c r="G5619" s="2" t="s">
        <v>36</v>
      </c>
      <c r="I5619" s="95" t="s">
        <v>7231</v>
      </c>
      <c r="J5619" t="s">
        <v>1424</v>
      </c>
      <c r="K5619" t="s">
        <v>1425</v>
      </c>
      <c r="M5619">
        <v>98.51</v>
      </c>
      <c r="N5619" s="4">
        <f t="shared" si="87"/>
        <v>-97.439955334483798</v>
      </c>
      <c r="O5619" t="s">
        <v>605</v>
      </c>
      <c r="Q5619" s="2"/>
    </row>
    <row r="5620" spans="1:17" ht="15.75" x14ac:dyDescent="0.25">
      <c r="A5620" s="22">
        <v>45814</v>
      </c>
      <c r="B5620" s="1" t="s">
        <v>613</v>
      </c>
      <c r="C5620" t="s">
        <v>4290</v>
      </c>
      <c r="D5620" s="23">
        <v>-200000</v>
      </c>
      <c r="E5620" t="s">
        <v>35</v>
      </c>
      <c r="F5620" s="2">
        <v>110114001</v>
      </c>
      <c r="G5620" s="2" t="s">
        <v>181</v>
      </c>
      <c r="I5620" s="95" t="s">
        <v>7231</v>
      </c>
      <c r="J5620" t="s">
        <v>37</v>
      </c>
      <c r="K5620" t="s">
        <v>38</v>
      </c>
      <c r="M5620">
        <v>98.51</v>
      </c>
      <c r="N5620" s="4">
        <f t="shared" si="87"/>
        <v>-2030.2507359658916</v>
      </c>
      <c r="O5620" t="s">
        <v>605</v>
      </c>
      <c r="P5620" s="37" t="s">
        <v>2492</v>
      </c>
      <c r="Q5620" s="2"/>
    </row>
    <row r="5621" spans="1:17" ht="15.75" x14ac:dyDescent="0.25">
      <c r="A5621" s="22">
        <v>45814</v>
      </c>
      <c r="B5621" s="1" t="s">
        <v>613</v>
      </c>
      <c r="C5621" t="s">
        <v>4290</v>
      </c>
      <c r="D5621" s="23">
        <v>-200000</v>
      </c>
      <c r="E5621" t="s">
        <v>35</v>
      </c>
      <c r="F5621" s="2">
        <v>110114001</v>
      </c>
      <c r="G5621" s="2" t="s">
        <v>181</v>
      </c>
      <c r="I5621" s="95" t="s">
        <v>7231</v>
      </c>
      <c r="J5621" t="s">
        <v>37</v>
      </c>
      <c r="K5621" t="s">
        <v>38</v>
      </c>
      <c r="M5621">
        <v>98.51</v>
      </c>
      <c r="N5621" s="4">
        <f t="shared" si="87"/>
        <v>-2030.2507359658916</v>
      </c>
      <c r="O5621" t="s">
        <v>605</v>
      </c>
      <c r="P5621" s="37" t="s">
        <v>2492</v>
      </c>
      <c r="Q5621" s="2"/>
    </row>
    <row r="5622" spans="1:17" ht="15.75" x14ac:dyDescent="0.25">
      <c r="A5622" s="22">
        <v>45814</v>
      </c>
      <c r="B5622" s="1" t="s">
        <v>613</v>
      </c>
      <c r="C5622" t="s">
        <v>4290</v>
      </c>
      <c r="D5622" s="23">
        <v>-200000</v>
      </c>
      <c r="E5622" t="s">
        <v>35</v>
      </c>
      <c r="F5622" s="2">
        <v>110114001</v>
      </c>
      <c r="G5622" s="2" t="s">
        <v>181</v>
      </c>
      <c r="I5622" s="95" t="s">
        <v>7231</v>
      </c>
      <c r="J5622" t="s">
        <v>37</v>
      </c>
      <c r="K5622" t="s">
        <v>38</v>
      </c>
      <c r="M5622">
        <v>98.51</v>
      </c>
      <c r="N5622" s="4">
        <f t="shared" si="87"/>
        <v>-2030.2507359658916</v>
      </c>
      <c r="O5622" t="s">
        <v>605</v>
      </c>
      <c r="P5622" s="37" t="s">
        <v>2492</v>
      </c>
      <c r="Q5622" s="2"/>
    </row>
    <row r="5623" spans="1:17" x14ac:dyDescent="0.25">
      <c r="A5623" s="22">
        <v>45814</v>
      </c>
      <c r="B5623" s="1" t="s">
        <v>1907</v>
      </c>
      <c r="C5623" t="s">
        <v>4310</v>
      </c>
      <c r="D5623" s="23">
        <v>-985.1</v>
      </c>
      <c r="E5623" t="s">
        <v>35</v>
      </c>
      <c r="F5623" s="2">
        <v>212901001</v>
      </c>
      <c r="G5623" s="2" t="s">
        <v>91</v>
      </c>
      <c r="I5623" s="95" t="s">
        <v>7231</v>
      </c>
      <c r="J5623" t="s">
        <v>61</v>
      </c>
      <c r="K5623" t="s">
        <v>62</v>
      </c>
      <c r="M5623">
        <v>98.51</v>
      </c>
      <c r="N5623" s="4">
        <f t="shared" si="87"/>
        <v>-10</v>
      </c>
      <c r="O5623" t="s">
        <v>605</v>
      </c>
      <c r="Q5623" s="2"/>
    </row>
    <row r="5624" spans="1:17" x14ac:dyDescent="0.25">
      <c r="A5624" s="33">
        <v>45814</v>
      </c>
      <c r="B5624" s="27" t="s">
        <v>1936</v>
      </c>
      <c r="C5624" s="28" t="s">
        <v>4311</v>
      </c>
      <c r="D5624" s="29">
        <v>-10639.08</v>
      </c>
      <c r="E5624" s="28" t="s">
        <v>35</v>
      </c>
      <c r="F5624" s="30">
        <v>610156001</v>
      </c>
      <c r="G5624" s="30" t="s">
        <v>72</v>
      </c>
      <c r="H5624" s="30"/>
      <c r="I5624" s="95" t="s">
        <v>7231</v>
      </c>
      <c r="J5624" s="28" t="s">
        <v>2398</v>
      </c>
      <c r="K5624" s="28" t="s">
        <v>632</v>
      </c>
      <c r="L5624" s="28" t="s">
        <v>56</v>
      </c>
      <c r="M5624" s="28">
        <v>98.51</v>
      </c>
      <c r="N5624" s="4">
        <f t="shared" si="87"/>
        <v>-108</v>
      </c>
      <c r="O5624" t="s">
        <v>605</v>
      </c>
      <c r="Q5624" s="42" t="s">
        <v>4312</v>
      </c>
    </row>
    <row r="5625" spans="1:17" x14ac:dyDescent="0.25">
      <c r="A5625" s="22">
        <v>45814</v>
      </c>
      <c r="B5625" s="1" t="s">
        <v>1959</v>
      </c>
      <c r="C5625" t="s">
        <v>4313</v>
      </c>
      <c r="D5625" s="23">
        <v>-111206.46</v>
      </c>
      <c r="E5625" t="s">
        <v>35</v>
      </c>
      <c r="F5625" s="2">
        <v>210101001</v>
      </c>
      <c r="G5625" s="2" t="s">
        <v>36</v>
      </c>
      <c r="I5625" s="95" t="s">
        <v>7231</v>
      </c>
      <c r="J5625" t="s">
        <v>502</v>
      </c>
      <c r="K5625" t="s">
        <v>503</v>
      </c>
      <c r="M5625">
        <v>98.51</v>
      </c>
      <c r="N5625" s="4">
        <f t="shared" si="87"/>
        <v>-1128.8849862958075</v>
      </c>
      <c r="O5625" t="s">
        <v>605</v>
      </c>
      <c r="Q5625" s="2"/>
    </row>
    <row r="5626" spans="1:17" ht="15.75" x14ac:dyDescent="0.25">
      <c r="A5626" s="22">
        <v>45814</v>
      </c>
      <c r="B5626" s="1" t="s">
        <v>613</v>
      </c>
      <c r="C5626" t="s">
        <v>4290</v>
      </c>
      <c r="D5626" s="23">
        <v>-200000</v>
      </c>
      <c r="E5626" t="s">
        <v>35</v>
      </c>
      <c r="F5626" s="2">
        <v>110114001</v>
      </c>
      <c r="G5626" s="2" t="s">
        <v>181</v>
      </c>
      <c r="I5626" s="95" t="s">
        <v>7231</v>
      </c>
      <c r="J5626" t="s">
        <v>37</v>
      </c>
      <c r="K5626" t="s">
        <v>38</v>
      </c>
      <c r="M5626">
        <v>98.51</v>
      </c>
      <c r="N5626" s="4">
        <f t="shared" si="87"/>
        <v>-2030.2507359658916</v>
      </c>
      <c r="O5626" t="s">
        <v>605</v>
      </c>
      <c r="P5626" s="37" t="s">
        <v>2492</v>
      </c>
      <c r="Q5626" s="2"/>
    </row>
    <row r="5627" spans="1:17" ht="15.75" x14ac:dyDescent="0.25">
      <c r="A5627" s="22">
        <v>45814</v>
      </c>
      <c r="B5627" s="1" t="s">
        <v>613</v>
      </c>
      <c r="C5627" t="s">
        <v>4290</v>
      </c>
      <c r="D5627" s="23">
        <v>-200000</v>
      </c>
      <c r="E5627" t="s">
        <v>35</v>
      </c>
      <c r="F5627" s="2">
        <v>110114001</v>
      </c>
      <c r="G5627" s="2" t="s">
        <v>181</v>
      </c>
      <c r="I5627" s="95" t="s">
        <v>7231</v>
      </c>
      <c r="J5627" t="s">
        <v>37</v>
      </c>
      <c r="K5627" t="s">
        <v>38</v>
      </c>
      <c r="M5627">
        <v>98.51</v>
      </c>
      <c r="N5627" s="4">
        <f t="shared" si="87"/>
        <v>-2030.2507359658916</v>
      </c>
      <c r="O5627" t="s">
        <v>605</v>
      </c>
      <c r="P5627" s="37" t="s">
        <v>2492</v>
      </c>
      <c r="Q5627" s="2"/>
    </row>
    <row r="5628" spans="1:17" x14ac:dyDescent="0.25">
      <c r="A5628" s="22">
        <v>45814</v>
      </c>
      <c r="B5628" s="1" t="s">
        <v>1894</v>
      </c>
      <c r="C5628" t="s">
        <v>4314</v>
      </c>
      <c r="D5628" s="23">
        <v>-45322.1</v>
      </c>
      <c r="E5628" t="s">
        <v>35</v>
      </c>
      <c r="F5628" s="2">
        <v>210101001</v>
      </c>
      <c r="G5628" s="2" t="s">
        <v>36</v>
      </c>
      <c r="I5628" s="95" t="s">
        <v>7231</v>
      </c>
      <c r="J5628" t="s">
        <v>37</v>
      </c>
      <c r="K5628" t="s">
        <v>38</v>
      </c>
      <c r="M5628">
        <v>98.51</v>
      </c>
      <c r="N5628" s="4">
        <f t="shared" si="87"/>
        <v>-460.07613440259865</v>
      </c>
      <c r="O5628" t="s">
        <v>605</v>
      </c>
      <c r="Q5628" s="81"/>
    </row>
    <row r="5629" spans="1:17" x14ac:dyDescent="0.25">
      <c r="A5629" s="33">
        <v>45814</v>
      </c>
      <c r="B5629" s="27" t="s">
        <v>1938</v>
      </c>
      <c r="C5629" s="28" t="s">
        <v>4315</v>
      </c>
      <c r="D5629" s="29">
        <v>-11821.2</v>
      </c>
      <c r="E5629" s="28" t="s">
        <v>35</v>
      </c>
      <c r="F5629" s="30">
        <v>610156001</v>
      </c>
      <c r="G5629" s="30" t="s">
        <v>72</v>
      </c>
      <c r="H5629" s="30"/>
      <c r="I5629" s="95" t="s">
        <v>7231</v>
      </c>
      <c r="J5629" s="28" t="s">
        <v>73</v>
      </c>
      <c r="K5629" s="28" t="s">
        <v>74</v>
      </c>
      <c r="L5629" s="28" t="s">
        <v>56</v>
      </c>
      <c r="M5629" s="28">
        <v>98.51</v>
      </c>
      <c r="N5629" s="4">
        <f t="shared" si="87"/>
        <v>-120</v>
      </c>
      <c r="O5629" t="s">
        <v>605</v>
      </c>
      <c r="Q5629" s="42" t="s">
        <v>4316</v>
      </c>
    </row>
    <row r="5630" spans="1:17" x14ac:dyDescent="0.25">
      <c r="A5630" s="22">
        <v>45814</v>
      </c>
      <c r="B5630" s="1" t="s">
        <v>623</v>
      </c>
      <c r="C5630" t="s">
        <v>622</v>
      </c>
      <c r="D5630" s="23">
        <v>-66.28</v>
      </c>
      <c r="E5630" t="s">
        <v>35</v>
      </c>
      <c r="F5630" s="2">
        <v>610148001</v>
      </c>
      <c r="G5630" s="2" t="s">
        <v>41</v>
      </c>
      <c r="I5630" s="95" t="s">
        <v>7231</v>
      </c>
      <c r="J5630" t="s">
        <v>42</v>
      </c>
      <c r="K5630" t="s">
        <v>41</v>
      </c>
      <c r="M5630">
        <v>98.51</v>
      </c>
      <c r="N5630" s="4">
        <f t="shared" si="87"/>
        <v>-0.6728250938990965</v>
      </c>
      <c r="O5630" t="s">
        <v>605</v>
      </c>
      <c r="Q5630" s="42" t="s">
        <v>3649</v>
      </c>
    </row>
    <row r="5631" spans="1:17" x14ac:dyDescent="0.25">
      <c r="A5631" s="22">
        <v>45814</v>
      </c>
      <c r="B5631" s="1" t="s">
        <v>2061</v>
      </c>
      <c r="C5631" t="s">
        <v>622</v>
      </c>
      <c r="D5631" s="23">
        <v>-2.46</v>
      </c>
      <c r="E5631" t="s">
        <v>35</v>
      </c>
      <c r="F5631" s="2">
        <v>610148001</v>
      </c>
      <c r="G5631" s="2" t="s">
        <v>41</v>
      </c>
      <c r="I5631" s="95" t="s">
        <v>7231</v>
      </c>
      <c r="J5631" t="s">
        <v>42</v>
      </c>
      <c r="K5631" t="s">
        <v>41</v>
      </c>
      <c r="M5631">
        <v>98.51</v>
      </c>
      <c r="N5631" s="4">
        <f t="shared" si="87"/>
        <v>-2.4972084052380467E-2</v>
      </c>
      <c r="O5631" t="s">
        <v>605</v>
      </c>
      <c r="Q5631" s="42" t="s">
        <v>3649</v>
      </c>
    </row>
    <row r="5632" spans="1:17" x14ac:dyDescent="0.25">
      <c r="A5632" s="22">
        <v>45814</v>
      </c>
      <c r="B5632" s="1" t="s">
        <v>2066</v>
      </c>
      <c r="C5632" t="s">
        <v>622</v>
      </c>
      <c r="D5632" s="23">
        <v>-29.19</v>
      </c>
      <c r="E5632" t="s">
        <v>35</v>
      </c>
      <c r="F5632" s="2">
        <v>610148001</v>
      </c>
      <c r="G5632" s="2" t="s">
        <v>41</v>
      </c>
      <c r="I5632" s="95" t="s">
        <v>7231</v>
      </c>
      <c r="J5632" t="s">
        <v>42</v>
      </c>
      <c r="K5632" t="s">
        <v>41</v>
      </c>
      <c r="M5632">
        <v>98.51</v>
      </c>
      <c r="N5632" s="4">
        <f t="shared" si="87"/>
        <v>-0.29631509491422192</v>
      </c>
      <c r="O5632" t="s">
        <v>605</v>
      </c>
      <c r="Q5632" s="42" t="s">
        <v>3649</v>
      </c>
    </row>
    <row r="5633" spans="1:17" x14ac:dyDescent="0.25">
      <c r="A5633" s="22">
        <v>45814</v>
      </c>
      <c r="B5633" s="1" t="s">
        <v>623</v>
      </c>
      <c r="C5633" t="s">
        <v>622</v>
      </c>
      <c r="D5633" s="23">
        <v>-500</v>
      </c>
      <c r="E5633" t="s">
        <v>35</v>
      </c>
      <c r="F5633" s="2">
        <v>610148001</v>
      </c>
      <c r="G5633" s="2" t="s">
        <v>41</v>
      </c>
      <c r="I5633" s="95" t="s">
        <v>7231</v>
      </c>
      <c r="J5633" t="s">
        <v>42</v>
      </c>
      <c r="K5633" t="s">
        <v>41</v>
      </c>
      <c r="M5633">
        <v>98.51</v>
      </c>
      <c r="N5633" s="4">
        <f t="shared" si="87"/>
        <v>-5.0756268399147295</v>
      </c>
      <c r="O5633" t="s">
        <v>605</v>
      </c>
      <c r="Q5633" s="42" t="s">
        <v>3649</v>
      </c>
    </row>
    <row r="5634" spans="1:17" x14ac:dyDescent="0.25">
      <c r="A5634" s="22">
        <v>45814</v>
      </c>
      <c r="B5634" s="1" t="s">
        <v>623</v>
      </c>
      <c r="C5634" t="s">
        <v>622</v>
      </c>
      <c r="D5634" s="23">
        <v>-500</v>
      </c>
      <c r="E5634" t="s">
        <v>35</v>
      </c>
      <c r="F5634" s="2">
        <v>610148001</v>
      </c>
      <c r="G5634" s="2" t="s">
        <v>41</v>
      </c>
      <c r="I5634" s="95" t="s">
        <v>7231</v>
      </c>
      <c r="J5634" t="s">
        <v>42</v>
      </c>
      <c r="K5634" t="s">
        <v>41</v>
      </c>
      <c r="M5634">
        <v>98.51</v>
      </c>
      <c r="N5634" s="4">
        <f t="shared" si="87"/>
        <v>-5.0756268399147295</v>
      </c>
      <c r="O5634" t="s">
        <v>605</v>
      </c>
      <c r="Q5634" s="42" t="s">
        <v>3649</v>
      </c>
    </row>
    <row r="5635" spans="1:17" x14ac:dyDescent="0.25">
      <c r="A5635" s="22">
        <v>45814</v>
      </c>
      <c r="B5635" s="1" t="s">
        <v>1913</v>
      </c>
      <c r="C5635" t="s">
        <v>622</v>
      </c>
      <c r="D5635" s="23">
        <v>-113.3</v>
      </c>
      <c r="E5635" t="s">
        <v>35</v>
      </c>
      <c r="F5635" s="2">
        <v>610148001</v>
      </c>
      <c r="G5635" s="2" t="s">
        <v>41</v>
      </c>
      <c r="I5635" s="95" t="s">
        <v>7231</v>
      </c>
      <c r="J5635" t="s">
        <v>42</v>
      </c>
      <c r="K5635" t="s">
        <v>41</v>
      </c>
      <c r="M5635">
        <v>98.51</v>
      </c>
      <c r="N5635" s="4">
        <f t="shared" si="87"/>
        <v>-1.1501370419246777</v>
      </c>
      <c r="O5635" t="s">
        <v>605</v>
      </c>
      <c r="Q5635" s="42" t="s">
        <v>3649</v>
      </c>
    </row>
    <row r="5636" spans="1:17" x14ac:dyDescent="0.25">
      <c r="A5636" s="22">
        <v>45814</v>
      </c>
      <c r="B5636" s="1" t="s">
        <v>1914</v>
      </c>
      <c r="C5636" t="s">
        <v>622</v>
      </c>
      <c r="D5636" s="23">
        <v>-41.85</v>
      </c>
      <c r="E5636" t="s">
        <v>35</v>
      </c>
      <c r="F5636" s="2">
        <v>610148001</v>
      </c>
      <c r="G5636" s="2" t="s">
        <v>41</v>
      </c>
      <c r="I5636" s="95" t="s">
        <v>7231</v>
      </c>
      <c r="J5636" t="s">
        <v>42</v>
      </c>
      <c r="K5636" t="s">
        <v>41</v>
      </c>
      <c r="M5636">
        <v>98.51</v>
      </c>
      <c r="N5636" s="4">
        <f t="shared" si="87"/>
        <v>-0.42482996650086285</v>
      </c>
      <c r="O5636" t="s">
        <v>605</v>
      </c>
      <c r="Q5636" s="42" t="s">
        <v>3649</v>
      </c>
    </row>
    <row r="5637" spans="1:17" x14ac:dyDescent="0.25">
      <c r="A5637" s="22">
        <v>45814</v>
      </c>
      <c r="B5637" s="1" t="s">
        <v>2074</v>
      </c>
      <c r="C5637" t="s">
        <v>622</v>
      </c>
      <c r="D5637" s="23">
        <v>-80.27</v>
      </c>
      <c r="E5637" t="s">
        <v>35</v>
      </c>
      <c r="F5637" s="2">
        <v>610148001</v>
      </c>
      <c r="G5637" s="2" t="s">
        <v>41</v>
      </c>
      <c r="I5637" s="95" t="s">
        <v>7231</v>
      </c>
      <c r="J5637" t="s">
        <v>42</v>
      </c>
      <c r="K5637" t="s">
        <v>41</v>
      </c>
      <c r="M5637">
        <v>98.51</v>
      </c>
      <c r="N5637" s="4">
        <f t="shared" si="87"/>
        <v>-0.81484113287991056</v>
      </c>
      <c r="O5637" t="s">
        <v>605</v>
      </c>
      <c r="Q5637" s="42" t="s">
        <v>3649</v>
      </c>
    </row>
    <row r="5638" spans="1:17" x14ac:dyDescent="0.25">
      <c r="A5638" s="22">
        <v>45814</v>
      </c>
      <c r="B5638" s="1" t="s">
        <v>623</v>
      </c>
      <c r="C5638" t="s">
        <v>622</v>
      </c>
      <c r="D5638" s="23">
        <v>-29.55</v>
      </c>
      <c r="E5638" t="s">
        <v>35</v>
      </c>
      <c r="F5638" s="2">
        <v>610148001</v>
      </c>
      <c r="G5638" s="2" t="s">
        <v>41</v>
      </c>
      <c r="I5638" s="95" t="s">
        <v>7231</v>
      </c>
      <c r="J5638" t="s">
        <v>42</v>
      </c>
      <c r="K5638" t="s">
        <v>41</v>
      </c>
      <c r="M5638">
        <v>98.51</v>
      </c>
      <c r="N5638" s="4">
        <f t="shared" si="87"/>
        <v>-0.29996954623896049</v>
      </c>
      <c r="O5638" t="s">
        <v>605</v>
      </c>
      <c r="Q5638" s="42" t="s">
        <v>3649</v>
      </c>
    </row>
    <row r="5639" spans="1:17" x14ac:dyDescent="0.25">
      <c r="A5639" s="22">
        <v>45814</v>
      </c>
      <c r="B5639" s="1" t="s">
        <v>623</v>
      </c>
      <c r="C5639" t="s">
        <v>622</v>
      </c>
      <c r="D5639" s="23">
        <v>-500</v>
      </c>
      <c r="E5639" t="s">
        <v>35</v>
      </c>
      <c r="F5639" s="2">
        <v>610148001</v>
      </c>
      <c r="G5639" s="2" t="s">
        <v>41</v>
      </c>
      <c r="I5639" s="95" t="s">
        <v>7231</v>
      </c>
      <c r="J5639" t="s">
        <v>42</v>
      </c>
      <c r="K5639" t="s">
        <v>41</v>
      </c>
      <c r="M5639">
        <v>98.51</v>
      </c>
      <c r="N5639" s="4">
        <f t="shared" si="87"/>
        <v>-5.0756268399147295</v>
      </c>
      <c r="O5639" t="s">
        <v>605</v>
      </c>
      <c r="Q5639" s="42" t="s">
        <v>3649</v>
      </c>
    </row>
    <row r="5640" spans="1:17" x14ac:dyDescent="0.25">
      <c r="A5640" s="22">
        <v>45814</v>
      </c>
      <c r="B5640" s="1" t="s">
        <v>2090</v>
      </c>
      <c r="C5640" t="s">
        <v>622</v>
      </c>
      <c r="D5640" s="23">
        <v>-4.92</v>
      </c>
      <c r="E5640" t="s">
        <v>35</v>
      </c>
      <c r="F5640" s="2">
        <v>610148001</v>
      </c>
      <c r="G5640" s="2" t="s">
        <v>41</v>
      </c>
      <c r="I5640" s="95" t="s">
        <v>7231</v>
      </c>
      <c r="J5640" t="s">
        <v>42</v>
      </c>
      <c r="K5640" t="s">
        <v>41</v>
      </c>
      <c r="M5640">
        <v>98.51</v>
      </c>
      <c r="N5640" s="4">
        <f t="shared" si="87"/>
        <v>-4.9944168104760933E-2</v>
      </c>
      <c r="O5640" t="s">
        <v>605</v>
      </c>
      <c r="Q5640" s="42" t="s">
        <v>3649</v>
      </c>
    </row>
    <row r="5641" spans="1:17" x14ac:dyDescent="0.25">
      <c r="A5641" s="22">
        <v>45814</v>
      </c>
      <c r="B5641" s="1" t="s">
        <v>2103</v>
      </c>
      <c r="C5641" t="s">
        <v>622</v>
      </c>
      <c r="D5641" s="23">
        <v>-29.55</v>
      </c>
      <c r="E5641" t="s">
        <v>35</v>
      </c>
      <c r="F5641" s="2">
        <v>610148001</v>
      </c>
      <c r="G5641" s="2" t="s">
        <v>41</v>
      </c>
      <c r="I5641" s="95" t="s">
        <v>7231</v>
      </c>
      <c r="J5641" t="s">
        <v>42</v>
      </c>
      <c r="K5641" t="s">
        <v>41</v>
      </c>
      <c r="M5641">
        <v>98.51</v>
      </c>
      <c r="N5641" s="4">
        <f t="shared" si="87"/>
        <v>-0.29996954623896049</v>
      </c>
      <c r="O5641" t="s">
        <v>605</v>
      </c>
      <c r="Q5641" s="42" t="s">
        <v>3649</v>
      </c>
    </row>
    <row r="5642" spans="1:17" x14ac:dyDescent="0.25">
      <c r="A5642" s="22">
        <v>45814</v>
      </c>
      <c r="B5642" s="1" t="s">
        <v>2062</v>
      </c>
      <c r="C5642" t="s">
        <v>622</v>
      </c>
      <c r="D5642" s="23">
        <v>-6.54</v>
      </c>
      <c r="E5642" t="s">
        <v>35</v>
      </c>
      <c r="F5642" s="2">
        <v>610148001</v>
      </c>
      <c r="G5642" s="2" t="s">
        <v>41</v>
      </c>
      <c r="I5642" s="95" t="s">
        <v>7231</v>
      </c>
      <c r="J5642" t="s">
        <v>42</v>
      </c>
      <c r="K5642" t="s">
        <v>41</v>
      </c>
      <c r="M5642">
        <v>98.51</v>
      </c>
      <c r="N5642" s="4">
        <f t="shared" si="87"/>
        <v>-6.6389199066084661E-2</v>
      </c>
      <c r="O5642" t="s">
        <v>605</v>
      </c>
      <c r="Q5642" s="42" t="s">
        <v>3649</v>
      </c>
    </row>
    <row r="5643" spans="1:17" x14ac:dyDescent="0.25">
      <c r="A5643" s="22">
        <v>45814</v>
      </c>
      <c r="B5643" s="1" t="s">
        <v>623</v>
      </c>
      <c r="C5643" t="s">
        <v>622</v>
      </c>
      <c r="D5643" s="23">
        <v>-500</v>
      </c>
      <c r="E5643" t="s">
        <v>35</v>
      </c>
      <c r="F5643" s="2">
        <v>610148001</v>
      </c>
      <c r="G5643" s="2" t="s">
        <v>41</v>
      </c>
      <c r="I5643" s="95" t="s">
        <v>7231</v>
      </c>
      <c r="J5643" t="s">
        <v>42</v>
      </c>
      <c r="K5643" t="s">
        <v>41</v>
      </c>
      <c r="M5643">
        <v>98.51</v>
      </c>
      <c r="N5643" s="4">
        <f t="shared" si="87"/>
        <v>-5.0756268399147295</v>
      </c>
      <c r="O5643" t="s">
        <v>605</v>
      </c>
      <c r="Q5643" s="42" t="s">
        <v>3649</v>
      </c>
    </row>
    <row r="5644" spans="1:17" x14ac:dyDescent="0.25">
      <c r="A5644" s="22">
        <v>45814</v>
      </c>
      <c r="B5644" s="1" t="s">
        <v>2072</v>
      </c>
      <c r="C5644" t="s">
        <v>622</v>
      </c>
      <c r="D5644" s="23">
        <v>-4.92</v>
      </c>
      <c r="E5644" t="s">
        <v>35</v>
      </c>
      <c r="F5644" s="2">
        <v>610148001</v>
      </c>
      <c r="G5644" s="2" t="s">
        <v>41</v>
      </c>
      <c r="I5644" s="95" t="s">
        <v>7231</v>
      </c>
      <c r="J5644" t="s">
        <v>42</v>
      </c>
      <c r="K5644" t="s">
        <v>41</v>
      </c>
      <c r="M5644">
        <v>98.51</v>
      </c>
      <c r="N5644" s="4">
        <f t="shared" ref="N5644:N5707" si="88">D5644/M5644</f>
        <v>-4.9944168104760933E-2</v>
      </c>
      <c r="O5644" t="s">
        <v>605</v>
      </c>
      <c r="Q5644" s="42" t="s">
        <v>3649</v>
      </c>
    </row>
    <row r="5645" spans="1:17" x14ac:dyDescent="0.25">
      <c r="A5645" s="22">
        <v>45814</v>
      </c>
      <c r="B5645" s="1" t="s">
        <v>2113</v>
      </c>
      <c r="C5645" t="s">
        <v>622</v>
      </c>
      <c r="D5645" s="23">
        <v>-151.61000000000001</v>
      </c>
      <c r="E5645" t="s">
        <v>35</v>
      </c>
      <c r="F5645" s="2">
        <v>610148001</v>
      </c>
      <c r="G5645" s="2" t="s">
        <v>41</v>
      </c>
      <c r="I5645" s="95" t="s">
        <v>7231</v>
      </c>
      <c r="J5645" t="s">
        <v>42</v>
      </c>
      <c r="K5645" t="s">
        <v>41</v>
      </c>
      <c r="M5645">
        <v>98.51</v>
      </c>
      <c r="N5645" s="4">
        <f t="shared" si="88"/>
        <v>-1.5390315703989443</v>
      </c>
      <c r="O5645" t="s">
        <v>605</v>
      </c>
      <c r="Q5645" s="42" t="s">
        <v>3649</v>
      </c>
    </row>
    <row r="5646" spans="1:17" x14ac:dyDescent="0.25">
      <c r="A5646" s="22">
        <v>45814</v>
      </c>
      <c r="B5646" s="1" t="s">
        <v>1911</v>
      </c>
      <c r="C5646" t="s">
        <v>622</v>
      </c>
      <c r="D5646" s="23">
        <v>-2.46</v>
      </c>
      <c r="E5646" t="s">
        <v>35</v>
      </c>
      <c r="F5646" s="2">
        <v>610148001</v>
      </c>
      <c r="G5646" s="2" t="s">
        <v>41</v>
      </c>
      <c r="I5646" s="95" t="s">
        <v>7231</v>
      </c>
      <c r="J5646" t="s">
        <v>42</v>
      </c>
      <c r="K5646" t="s">
        <v>41</v>
      </c>
      <c r="M5646">
        <v>98.51</v>
      </c>
      <c r="N5646" s="4">
        <f t="shared" si="88"/>
        <v>-2.4972084052380467E-2</v>
      </c>
      <c r="O5646" t="s">
        <v>605</v>
      </c>
      <c r="Q5646" s="42" t="s">
        <v>3649</v>
      </c>
    </row>
    <row r="5647" spans="1:17" x14ac:dyDescent="0.25">
      <c r="A5647" s="22">
        <v>45814</v>
      </c>
      <c r="B5647" s="1" t="s">
        <v>1920</v>
      </c>
      <c r="C5647" t="s">
        <v>622</v>
      </c>
      <c r="D5647" s="23">
        <v>-4.92</v>
      </c>
      <c r="E5647" t="s">
        <v>35</v>
      </c>
      <c r="F5647" s="2">
        <v>610148001</v>
      </c>
      <c r="G5647" s="2" t="s">
        <v>41</v>
      </c>
      <c r="I5647" s="95" t="s">
        <v>7231</v>
      </c>
      <c r="J5647" t="s">
        <v>42</v>
      </c>
      <c r="K5647" t="s">
        <v>41</v>
      </c>
      <c r="M5647">
        <v>98.51</v>
      </c>
      <c r="N5647" s="4">
        <f t="shared" si="88"/>
        <v>-4.9944168104760933E-2</v>
      </c>
      <c r="O5647" t="s">
        <v>605</v>
      </c>
      <c r="Q5647" s="42" t="s">
        <v>3649</v>
      </c>
    </row>
    <row r="5648" spans="1:17" x14ac:dyDescent="0.25">
      <c r="A5648" s="22">
        <v>45814</v>
      </c>
      <c r="B5648" s="1" t="s">
        <v>2105</v>
      </c>
      <c r="C5648" t="s">
        <v>622</v>
      </c>
      <c r="D5648" s="23">
        <v>-130.83000000000001</v>
      </c>
      <c r="E5648" t="s">
        <v>35</v>
      </c>
      <c r="F5648" s="2">
        <v>610148001</v>
      </c>
      <c r="G5648" s="2" t="s">
        <v>41</v>
      </c>
      <c r="I5648" s="95" t="s">
        <v>7231</v>
      </c>
      <c r="J5648" t="s">
        <v>42</v>
      </c>
      <c r="K5648" t="s">
        <v>41</v>
      </c>
      <c r="M5648">
        <v>98.51</v>
      </c>
      <c r="N5648" s="4">
        <f t="shared" si="88"/>
        <v>-1.3280885189320881</v>
      </c>
      <c r="O5648" t="s">
        <v>605</v>
      </c>
      <c r="Q5648" s="42" t="s">
        <v>3649</v>
      </c>
    </row>
    <row r="5649" spans="1:17" x14ac:dyDescent="0.25">
      <c r="A5649" s="22">
        <v>45814</v>
      </c>
      <c r="B5649" s="1" t="s">
        <v>1918</v>
      </c>
      <c r="C5649" t="s">
        <v>622</v>
      </c>
      <c r="D5649" s="23">
        <v>-36.94</v>
      </c>
      <c r="E5649" t="s">
        <v>35</v>
      </c>
      <c r="F5649" s="2">
        <v>610148001</v>
      </c>
      <c r="G5649" s="2" t="s">
        <v>41</v>
      </c>
      <c r="I5649" s="95" t="s">
        <v>7231</v>
      </c>
      <c r="J5649" t="s">
        <v>42</v>
      </c>
      <c r="K5649" t="s">
        <v>41</v>
      </c>
      <c r="M5649">
        <v>98.51</v>
      </c>
      <c r="N5649" s="4">
        <f t="shared" si="88"/>
        <v>-0.37498731093290016</v>
      </c>
      <c r="O5649" t="s">
        <v>605</v>
      </c>
      <c r="Q5649" s="42" t="s">
        <v>3649</v>
      </c>
    </row>
    <row r="5650" spans="1:17" x14ac:dyDescent="0.25">
      <c r="A5650" s="22">
        <v>45814</v>
      </c>
      <c r="B5650" s="1" t="s">
        <v>2112</v>
      </c>
      <c r="C5650" t="s">
        <v>622</v>
      </c>
      <c r="D5650" s="23">
        <v>-23.99</v>
      </c>
      <c r="E5650" t="s">
        <v>35</v>
      </c>
      <c r="F5650" s="2">
        <v>610148001</v>
      </c>
      <c r="G5650" s="2" t="s">
        <v>41</v>
      </c>
      <c r="I5650" s="95" t="s">
        <v>7231</v>
      </c>
      <c r="J5650" t="s">
        <v>42</v>
      </c>
      <c r="K5650" t="s">
        <v>41</v>
      </c>
      <c r="M5650">
        <v>98.51</v>
      </c>
      <c r="N5650" s="4">
        <f t="shared" si="88"/>
        <v>-0.24352857577910869</v>
      </c>
      <c r="O5650" t="s">
        <v>605</v>
      </c>
      <c r="Q5650" s="42" t="s">
        <v>3649</v>
      </c>
    </row>
    <row r="5651" spans="1:17" x14ac:dyDescent="0.25">
      <c r="A5651" s="22">
        <v>45814</v>
      </c>
      <c r="B5651" s="1" t="s">
        <v>2063</v>
      </c>
      <c r="C5651" t="s">
        <v>622</v>
      </c>
      <c r="D5651" s="23">
        <v>-30.48</v>
      </c>
      <c r="E5651" t="s">
        <v>35</v>
      </c>
      <c r="F5651" s="2">
        <v>610148001</v>
      </c>
      <c r="G5651" s="2" t="s">
        <v>41</v>
      </c>
      <c r="I5651" s="95" t="s">
        <v>7231</v>
      </c>
      <c r="J5651" t="s">
        <v>42</v>
      </c>
      <c r="K5651" t="s">
        <v>41</v>
      </c>
      <c r="M5651">
        <v>98.51</v>
      </c>
      <c r="N5651" s="4">
        <f t="shared" si="88"/>
        <v>-0.3094102121612019</v>
      </c>
      <c r="O5651" t="s">
        <v>605</v>
      </c>
      <c r="Q5651" s="42" t="s">
        <v>3649</v>
      </c>
    </row>
    <row r="5652" spans="1:17" x14ac:dyDescent="0.25">
      <c r="A5652" s="22">
        <v>45814</v>
      </c>
      <c r="B5652" s="1" t="s">
        <v>2104</v>
      </c>
      <c r="C5652" t="s">
        <v>622</v>
      </c>
      <c r="D5652" s="23">
        <v>-52.02</v>
      </c>
      <c r="E5652" t="s">
        <v>35</v>
      </c>
      <c r="F5652" s="2">
        <v>610148001</v>
      </c>
      <c r="G5652" s="2" t="s">
        <v>41</v>
      </c>
      <c r="I5652" s="95" t="s">
        <v>7231</v>
      </c>
      <c r="J5652" t="s">
        <v>42</v>
      </c>
      <c r="K5652" t="s">
        <v>41</v>
      </c>
      <c r="M5652">
        <v>98.51</v>
      </c>
      <c r="N5652" s="4">
        <f t="shared" si="88"/>
        <v>-0.52806821642472845</v>
      </c>
      <c r="O5652" t="s">
        <v>605</v>
      </c>
      <c r="Q5652" s="42" t="s">
        <v>3649</v>
      </c>
    </row>
    <row r="5653" spans="1:17" x14ac:dyDescent="0.25">
      <c r="A5653" s="22">
        <v>45814</v>
      </c>
      <c r="B5653" s="1" t="s">
        <v>623</v>
      </c>
      <c r="C5653" t="s">
        <v>622</v>
      </c>
      <c r="D5653" s="23">
        <v>-500</v>
      </c>
      <c r="E5653" t="s">
        <v>35</v>
      </c>
      <c r="F5653" s="2">
        <v>610148001</v>
      </c>
      <c r="G5653" s="2" t="s">
        <v>41</v>
      </c>
      <c r="I5653" s="95" t="s">
        <v>7231</v>
      </c>
      <c r="J5653" t="s">
        <v>42</v>
      </c>
      <c r="K5653" t="s">
        <v>41</v>
      </c>
      <c r="M5653">
        <v>98.51</v>
      </c>
      <c r="N5653" s="4">
        <f t="shared" si="88"/>
        <v>-5.0756268399147295</v>
      </c>
      <c r="O5653" t="s">
        <v>605</v>
      </c>
      <c r="Q5653" s="42" t="s">
        <v>3649</v>
      </c>
    </row>
    <row r="5654" spans="1:17" x14ac:dyDescent="0.25">
      <c r="A5654" s="22">
        <v>45814</v>
      </c>
      <c r="B5654" s="1" t="s">
        <v>623</v>
      </c>
      <c r="C5654" t="s">
        <v>622</v>
      </c>
      <c r="D5654" s="23">
        <v>-500</v>
      </c>
      <c r="E5654" t="s">
        <v>35</v>
      </c>
      <c r="F5654" s="2">
        <v>610148001</v>
      </c>
      <c r="G5654" s="2" t="s">
        <v>41</v>
      </c>
      <c r="I5654" s="95" t="s">
        <v>7231</v>
      </c>
      <c r="J5654" t="s">
        <v>42</v>
      </c>
      <c r="K5654" t="s">
        <v>41</v>
      </c>
      <c r="M5654">
        <v>98.51</v>
      </c>
      <c r="N5654" s="4">
        <f t="shared" si="88"/>
        <v>-5.0756268399147295</v>
      </c>
      <c r="O5654" t="s">
        <v>605</v>
      </c>
      <c r="Q5654" s="42" t="s">
        <v>3649</v>
      </c>
    </row>
    <row r="5655" spans="1:17" x14ac:dyDescent="0.25">
      <c r="A5655" s="22">
        <v>45814</v>
      </c>
      <c r="B5655" s="1" t="s">
        <v>1920</v>
      </c>
      <c r="C5655" t="s">
        <v>622</v>
      </c>
      <c r="D5655" s="23">
        <v>-4.92</v>
      </c>
      <c r="E5655" t="s">
        <v>35</v>
      </c>
      <c r="F5655" s="2">
        <v>610148001</v>
      </c>
      <c r="G5655" s="2" t="s">
        <v>41</v>
      </c>
      <c r="I5655" s="95" t="s">
        <v>7231</v>
      </c>
      <c r="J5655" t="s">
        <v>42</v>
      </c>
      <c r="K5655" t="s">
        <v>41</v>
      </c>
      <c r="M5655">
        <v>98.51</v>
      </c>
      <c r="N5655" s="4">
        <f t="shared" si="88"/>
        <v>-4.9944168104760933E-2</v>
      </c>
      <c r="O5655" t="s">
        <v>605</v>
      </c>
      <c r="Q5655" s="42" t="s">
        <v>3649</v>
      </c>
    </row>
    <row r="5656" spans="1:17" x14ac:dyDescent="0.25">
      <c r="A5656" s="22">
        <v>45814</v>
      </c>
      <c r="B5656" s="1" t="s">
        <v>2102</v>
      </c>
      <c r="C5656" t="s">
        <v>622</v>
      </c>
      <c r="D5656" s="23">
        <v>-4.92</v>
      </c>
      <c r="E5656" t="s">
        <v>35</v>
      </c>
      <c r="F5656" s="2">
        <v>610148001</v>
      </c>
      <c r="G5656" s="2" t="s">
        <v>41</v>
      </c>
      <c r="I5656" s="95" t="s">
        <v>7231</v>
      </c>
      <c r="J5656" t="s">
        <v>42</v>
      </c>
      <c r="K5656" t="s">
        <v>41</v>
      </c>
      <c r="M5656">
        <v>98.51</v>
      </c>
      <c r="N5656" s="4">
        <f t="shared" si="88"/>
        <v>-4.9944168104760933E-2</v>
      </c>
      <c r="O5656" t="s">
        <v>605</v>
      </c>
      <c r="Q5656" s="42" t="s">
        <v>3649</v>
      </c>
    </row>
    <row r="5657" spans="1:17" x14ac:dyDescent="0.25">
      <c r="A5657" s="22">
        <v>45814</v>
      </c>
      <c r="B5657" s="1" t="s">
        <v>2073</v>
      </c>
      <c r="C5657" t="s">
        <v>622</v>
      </c>
      <c r="D5657" s="23">
        <v>-26.59</v>
      </c>
      <c r="E5657" t="s">
        <v>35</v>
      </c>
      <c r="F5657" s="2">
        <v>610148001</v>
      </c>
      <c r="G5657" s="2" t="s">
        <v>41</v>
      </c>
      <c r="I5657" s="95" t="s">
        <v>7231</v>
      </c>
      <c r="J5657" t="s">
        <v>42</v>
      </c>
      <c r="K5657" t="s">
        <v>41</v>
      </c>
      <c r="M5657">
        <v>98.51</v>
      </c>
      <c r="N5657" s="4">
        <f t="shared" si="88"/>
        <v>-0.26992183534666531</v>
      </c>
      <c r="O5657" t="s">
        <v>605</v>
      </c>
      <c r="Q5657" s="42" t="s">
        <v>3649</v>
      </c>
    </row>
    <row r="5658" spans="1:17" x14ac:dyDescent="0.25">
      <c r="A5658" s="22">
        <v>45814</v>
      </c>
      <c r="B5658" s="1" t="s">
        <v>2091</v>
      </c>
      <c r="C5658" t="s">
        <v>622</v>
      </c>
      <c r="D5658" s="23">
        <v>-199.97</v>
      </c>
      <c r="E5658" t="s">
        <v>35</v>
      </c>
      <c r="F5658" s="2">
        <v>610148001</v>
      </c>
      <c r="G5658" s="2" t="s">
        <v>41</v>
      </c>
      <c r="I5658" s="95" t="s">
        <v>7231</v>
      </c>
      <c r="J5658" t="s">
        <v>42</v>
      </c>
      <c r="K5658" t="s">
        <v>41</v>
      </c>
      <c r="M5658">
        <v>98.51</v>
      </c>
      <c r="N5658" s="4">
        <f t="shared" si="88"/>
        <v>-2.0299461983554967</v>
      </c>
      <c r="O5658" t="s">
        <v>605</v>
      </c>
      <c r="Q5658" s="42" t="s">
        <v>3649</v>
      </c>
    </row>
    <row r="5659" spans="1:17" x14ac:dyDescent="0.25">
      <c r="A5659" s="22">
        <v>45814</v>
      </c>
      <c r="B5659" s="1" t="s">
        <v>2065</v>
      </c>
      <c r="C5659" t="s">
        <v>622</v>
      </c>
      <c r="D5659" s="23">
        <v>-278.01</v>
      </c>
      <c r="E5659" t="s">
        <v>35</v>
      </c>
      <c r="F5659" s="2">
        <v>610148001</v>
      </c>
      <c r="G5659" s="2" t="s">
        <v>41</v>
      </c>
      <c r="I5659" s="95" t="s">
        <v>7231</v>
      </c>
      <c r="J5659" t="s">
        <v>42</v>
      </c>
      <c r="K5659" t="s">
        <v>41</v>
      </c>
      <c r="M5659">
        <v>98.51</v>
      </c>
      <c r="N5659" s="4">
        <f t="shared" si="88"/>
        <v>-2.8221500355293876</v>
      </c>
      <c r="O5659" t="s">
        <v>605</v>
      </c>
      <c r="Q5659" s="42" t="s">
        <v>3649</v>
      </c>
    </row>
    <row r="5660" spans="1:17" x14ac:dyDescent="0.25">
      <c r="A5660" s="22">
        <v>45814</v>
      </c>
      <c r="B5660" s="1" t="s">
        <v>623</v>
      </c>
      <c r="C5660" t="s">
        <v>622</v>
      </c>
      <c r="D5660" s="23">
        <v>-62.52</v>
      </c>
      <c r="E5660" t="s">
        <v>35</v>
      </c>
      <c r="F5660" s="2">
        <v>610148001</v>
      </c>
      <c r="G5660" s="2" t="s">
        <v>41</v>
      </c>
      <c r="I5660" s="95" t="s">
        <v>7231</v>
      </c>
      <c r="J5660" t="s">
        <v>42</v>
      </c>
      <c r="K5660" t="s">
        <v>41</v>
      </c>
      <c r="M5660">
        <v>98.51</v>
      </c>
      <c r="N5660" s="4">
        <f t="shared" si="88"/>
        <v>-0.63465638006293779</v>
      </c>
      <c r="O5660" t="s">
        <v>605</v>
      </c>
      <c r="Q5660" s="42" t="s">
        <v>3649</v>
      </c>
    </row>
    <row r="5661" spans="1:17" x14ac:dyDescent="0.25">
      <c r="A5661" s="22">
        <v>45814</v>
      </c>
      <c r="B5661" s="1" t="s">
        <v>623</v>
      </c>
      <c r="C5661" t="s">
        <v>622</v>
      </c>
      <c r="D5661" s="23">
        <v>-500</v>
      </c>
      <c r="E5661" t="s">
        <v>35</v>
      </c>
      <c r="F5661" s="2">
        <v>610148001</v>
      </c>
      <c r="G5661" s="2" t="s">
        <v>41</v>
      </c>
      <c r="I5661" s="95" t="s">
        <v>7231</v>
      </c>
      <c r="J5661" t="s">
        <v>42</v>
      </c>
      <c r="K5661" t="s">
        <v>41</v>
      </c>
      <c r="M5661">
        <v>98.51</v>
      </c>
      <c r="N5661" s="4">
        <f t="shared" si="88"/>
        <v>-5.0756268399147295</v>
      </c>
      <c r="O5661" t="s">
        <v>605</v>
      </c>
      <c r="Q5661" s="42" t="s">
        <v>3649</v>
      </c>
    </row>
    <row r="5662" spans="1:17" x14ac:dyDescent="0.25">
      <c r="A5662" s="22">
        <v>45814</v>
      </c>
      <c r="B5662" s="1" t="s">
        <v>2080</v>
      </c>
      <c r="C5662" t="s">
        <v>622</v>
      </c>
      <c r="D5662" s="23">
        <v>-246.27</v>
      </c>
      <c r="E5662" t="s">
        <v>35</v>
      </c>
      <c r="F5662" s="2">
        <v>610148001</v>
      </c>
      <c r="G5662" s="2" t="s">
        <v>41</v>
      </c>
      <c r="I5662" s="95" t="s">
        <v>7231</v>
      </c>
      <c r="J5662" t="s">
        <v>42</v>
      </c>
      <c r="K5662" t="s">
        <v>41</v>
      </c>
      <c r="M5662">
        <v>98.51</v>
      </c>
      <c r="N5662" s="4">
        <f t="shared" si="88"/>
        <v>-2.4999492437316007</v>
      </c>
      <c r="O5662" t="s">
        <v>605</v>
      </c>
      <c r="Q5662" s="42" t="s">
        <v>3649</v>
      </c>
    </row>
    <row r="5663" spans="1:17" x14ac:dyDescent="0.25">
      <c r="A5663" s="22">
        <v>45814</v>
      </c>
      <c r="B5663" s="1" t="s">
        <v>623</v>
      </c>
      <c r="C5663" t="s">
        <v>622</v>
      </c>
      <c r="D5663" s="23">
        <v>-4.92</v>
      </c>
      <c r="E5663" t="s">
        <v>35</v>
      </c>
      <c r="F5663" s="2">
        <v>610148001</v>
      </c>
      <c r="G5663" s="2" t="s">
        <v>41</v>
      </c>
      <c r="I5663" s="95" t="s">
        <v>7231</v>
      </c>
      <c r="J5663" t="s">
        <v>42</v>
      </c>
      <c r="K5663" t="s">
        <v>41</v>
      </c>
      <c r="M5663">
        <v>98.51</v>
      </c>
      <c r="N5663" s="4">
        <f t="shared" si="88"/>
        <v>-4.9944168104760933E-2</v>
      </c>
      <c r="O5663" t="s">
        <v>605</v>
      </c>
      <c r="Q5663" s="42" t="s">
        <v>3649</v>
      </c>
    </row>
    <row r="5664" spans="1:17" x14ac:dyDescent="0.25">
      <c r="A5664" s="22">
        <v>45817</v>
      </c>
      <c r="B5664" s="1" t="s">
        <v>4317</v>
      </c>
      <c r="C5664" t="s">
        <v>293</v>
      </c>
      <c r="D5664" s="23">
        <v>750000</v>
      </c>
      <c r="E5664" t="s">
        <v>45</v>
      </c>
      <c r="F5664" s="2">
        <v>210115002</v>
      </c>
      <c r="G5664" s="2" t="s">
        <v>46</v>
      </c>
      <c r="I5664" s="95" t="s">
        <v>7231</v>
      </c>
      <c r="K5664" t="s">
        <v>293</v>
      </c>
      <c r="M5664">
        <v>99.09</v>
      </c>
      <c r="N5664" s="4">
        <f t="shared" si="88"/>
        <v>7568.8767786860426</v>
      </c>
      <c r="O5664" t="s">
        <v>605</v>
      </c>
      <c r="Q5664" s="2"/>
    </row>
    <row r="5665" spans="1:17" x14ac:dyDescent="0.25">
      <c r="A5665" s="22">
        <v>45817</v>
      </c>
      <c r="B5665" s="1" t="s">
        <v>1909</v>
      </c>
      <c r="C5665" t="s">
        <v>4318</v>
      </c>
      <c r="D5665" s="23">
        <v>-3494.31</v>
      </c>
      <c r="E5665" t="s">
        <v>35</v>
      </c>
      <c r="F5665" s="2">
        <v>210101001</v>
      </c>
      <c r="G5665" s="2" t="s">
        <v>36</v>
      </c>
      <c r="I5665" s="95" t="s">
        <v>7231</v>
      </c>
      <c r="J5665" t="s">
        <v>804</v>
      </c>
      <c r="K5665" t="s">
        <v>805</v>
      </c>
      <c r="M5665">
        <v>99.09</v>
      </c>
      <c r="N5665" s="4">
        <f t="shared" si="88"/>
        <v>-35.264002422040569</v>
      </c>
      <c r="O5665" t="s">
        <v>605</v>
      </c>
      <c r="Q5665" s="2"/>
    </row>
    <row r="5666" spans="1:17" x14ac:dyDescent="0.25">
      <c r="A5666" s="22">
        <v>45817</v>
      </c>
      <c r="B5666" s="1" t="s">
        <v>1267</v>
      </c>
      <c r="C5666" t="s">
        <v>4319</v>
      </c>
      <c r="D5666" s="23">
        <v>-13815.6</v>
      </c>
      <c r="E5666" t="s">
        <v>35</v>
      </c>
      <c r="F5666" s="2">
        <v>210101001</v>
      </c>
      <c r="G5666" s="2" t="s">
        <v>36</v>
      </c>
      <c r="I5666" s="95" t="s">
        <v>7231</v>
      </c>
      <c r="J5666" t="s">
        <v>414</v>
      </c>
      <c r="K5666" t="s">
        <v>415</v>
      </c>
      <c r="M5666">
        <v>99.09</v>
      </c>
      <c r="N5666" s="4">
        <f t="shared" si="88"/>
        <v>-139.42476536481985</v>
      </c>
      <c r="O5666" t="s">
        <v>605</v>
      </c>
      <c r="Q5666" s="2"/>
    </row>
    <row r="5667" spans="1:17" x14ac:dyDescent="0.25">
      <c r="A5667" s="22">
        <v>45817</v>
      </c>
      <c r="B5667" s="1" t="s">
        <v>1268</v>
      </c>
      <c r="C5667" t="s">
        <v>4320</v>
      </c>
      <c r="D5667" s="23">
        <v>-42926.48</v>
      </c>
      <c r="E5667" t="s">
        <v>35</v>
      </c>
      <c r="F5667" s="2">
        <v>210101001</v>
      </c>
      <c r="G5667" s="2" t="s">
        <v>36</v>
      </c>
      <c r="I5667" s="95" t="s">
        <v>7231</v>
      </c>
      <c r="J5667" t="s">
        <v>701</v>
      </c>
      <c r="K5667" t="s">
        <v>702</v>
      </c>
      <c r="M5667">
        <v>99.09</v>
      </c>
      <c r="N5667" s="4">
        <f t="shared" si="88"/>
        <v>-433.20698355030783</v>
      </c>
      <c r="O5667" t="s">
        <v>605</v>
      </c>
      <c r="Q5667" s="2"/>
    </row>
    <row r="5668" spans="1:17" x14ac:dyDescent="0.25">
      <c r="A5668" s="22">
        <v>45817</v>
      </c>
      <c r="B5668" s="1" t="s">
        <v>1892</v>
      </c>
      <c r="C5668" t="s">
        <v>4321</v>
      </c>
      <c r="D5668" s="44">
        <v>-10345</v>
      </c>
      <c r="E5668" t="s">
        <v>35</v>
      </c>
      <c r="F5668" s="2">
        <v>110114001</v>
      </c>
      <c r="G5668" s="2" t="s">
        <v>181</v>
      </c>
      <c r="I5668" s="95" t="s">
        <v>7231</v>
      </c>
      <c r="K5668" t="s">
        <v>1256</v>
      </c>
      <c r="M5668">
        <v>99.09</v>
      </c>
      <c r="N5668" s="4">
        <f t="shared" si="88"/>
        <v>-104.40004036734281</v>
      </c>
      <c r="O5668" t="s">
        <v>605</v>
      </c>
      <c r="Q5668" s="2"/>
    </row>
    <row r="5669" spans="1:17" ht="15.75" x14ac:dyDescent="0.25">
      <c r="A5669" s="22">
        <v>45817</v>
      </c>
      <c r="B5669" s="1" t="s">
        <v>619</v>
      </c>
      <c r="C5669" t="s">
        <v>4322</v>
      </c>
      <c r="D5669" s="23">
        <v>-103053.6</v>
      </c>
      <c r="E5669" t="s">
        <v>35</v>
      </c>
      <c r="F5669" s="2">
        <v>110114001</v>
      </c>
      <c r="G5669" s="2" t="s">
        <v>181</v>
      </c>
      <c r="I5669" s="95" t="s">
        <v>7231</v>
      </c>
      <c r="J5669" t="s">
        <v>376</v>
      </c>
      <c r="K5669" t="s">
        <v>377</v>
      </c>
      <c r="M5669">
        <v>99.09</v>
      </c>
      <c r="N5669" s="4">
        <f t="shared" si="88"/>
        <v>-1040</v>
      </c>
      <c r="O5669" t="s">
        <v>605</v>
      </c>
      <c r="P5669" s="37" t="s">
        <v>2492</v>
      </c>
      <c r="Q5669" s="2"/>
    </row>
    <row r="5670" spans="1:17" x14ac:dyDescent="0.25">
      <c r="A5670" s="22">
        <v>45817</v>
      </c>
      <c r="B5670" s="1" t="s">
        <v>613</v>
      </c>
      <c r="C5670" t="s">
        <v>4323</v>
      </c>
      <c r="D5670" s="23">
        <v>-200000</v>
      </c>
      <c r="E5670" t="s">
        <v>35</v>
      </c>
      <c r="F5670" s="2">
        <v>210101001</v>
      </c>
      <c r="G5670" s="2" t="s">
        <v>36</v>
      </c>
      <c r="I5670" s="95" t="s">
        <v>7231</v>
      </c>
      <c r="J5670" t="s">
        <v>1424</v>
      </c>
      <c r="K5670" t="s">
        <v>1425</v>
      </c>
      <c r="M5670">
        <v>99.09</v>
      </c>
      <c r="N5670" s="4">
        <f t="shared" si="88"/>
        <v>-2018.3671409829446</v>
      </c>
      <c r="O5670" t="s">
        <v>605</v>
      </c>
      <c r="Q5670" s="2"/>
    </row>
    <row r="5671" spans="1:17" x14ac:dyDescent="0.25">
      <c r="A5671" s="22">
        <v>45817</v>
      </c>
      <c r="B5671" s="1" t="s">
        <v>615</v>
      </c>
      <c r="C5671" t="s">
        <v>4323</v>
      </c>
      <c r="D5671" s="23">
        <v>-200000</v>
      </c>
      <c r="E5671" t="s">
        <v>35</v>
      </c>
      <c r="F5671" s="2">
        <v>210101001</v>
      </c>
      <c r="G5671" s="2" t="s">
        <v>36</v>
      </c>
      <c r="I5671" s="95" t="s">
        <v>7231</v>
      </c>
      <c r="J5671" t="s">
        <v>1424</v>
      </c>
      <c r="K5671" t="s">
        <v>1425</v>
      </c>
      <c r="M5671">
        <v>99.09</v>
      </c>
      <c r="N5671" s="4">
        <f t="shared" si="88"/>
        <v>-2018.3671409829446</v>
      </c>
      <c r="O5671" t="s">
        <v>605</v>
      </c>
      <c r="Q5671" s="2"/>
    </row>
    <row r="5672" spans="1:17" x14ac:dyDescent="0.25">
      <c r="A5672" s="22">
        <v>45817</v>
      </c>
      <c r="B5672" s="1" t="s">
        <v>1896</v>
      </c>
      <c r="C5672" t="s">
        <v>4324</v>
      </c>
      <c r="D5672" s="23">
        <v>-18691.349999999999</v>
      </c>
      <c r="E5672" t="s">
        <v>35</v>
      </c>
      <c r="F5672" s="2">
        <v>210101001</v>
      </c>
      <c r="G5672" s="2" t="s">
        <v>36</v>
      </c>
      <c r="I5672" s="95" t="s">
        <v>7231</v>
      </c>
      <c r="J5672" t="s">
        <v>1424</v>
      </c>
      <c r="K5672" t="s">
        <v>1425</v>
      </c>
      <c r="M5672">
        <v>99.09</v>
      </c>
      <c r="N5672" s="4">
        <f t="shared" si="88"/>
        <v>-188.63003330305781</v>
      </c>
      <c r="O5672" t="s">
        <v>605</v>
      </c>
      <c r="Q5672" s="2"/>
    </row>
    <row r="5673" spans="1:17" x14ac:dyDescent="0.25">
      <c r="A5673" s="22">
        <v>45817</v>
      </c>
      <c r="B5673" s="1" t="s">
        <v>617</v>
      </c>
      <c r="C5673" t="s">
        <v>4323</v>
      </c>
      <c r="D5673" s="23">
        <v>-184492.27</v>
      </c>
      <c r="E5673" t="s">
        <v>35</v>
      </c>
      <c r="F5673" s="2">
        <v>210101001</v>
      </c>
      <c r="G5673" s="2" t="s">
        <v>36</v>
      </c>
      <c r="I5673" s="95" t="s">
        <v>7231</v>
      </c>
      <c r="J5673" t="s">
        <v>1424</v>
      </c>
      <c r="K5673" t="s">
        <v>1425</v>
      </c>
      <c r="M5673">
        <v>99.09</v>
      </c>
      <c r="N5673" s="4">
        <f t="shared" si="88"/>
        <v>-1861.8656776667674</v>
      </c>
      <c r="O5673" t="s">
        <v>605</v>
      </c>
      <c r="Q5673" s="2"/>
    </row>
    <row r="5674" spans="1:17" x14ac:dyDescent="0.25">
      <c r="A5674" s="22">
        <v>45817</v>
      </c>
      <c r="B5674" s="1" t="s">
        <v>1272</v>
      </c>
      <c r="C5674" t="s">
        <v>622</v>
      </c>
      <c r="D5674" s="23">
        <v>-34.53</v>
      </c>
      <c r="E5674" t="s">
        <v>35</v>
      </c>
      <c r="F5674" s="2">
        <v>610148001</v>
      </c>
      <c r="G5674" s="2" t="s">
        <v>41</v>
      </c>
      <c r="I5674" s="95" t="s">
        <v>7231</v>
      </c>
      <c r="J5674" t="s">
        <v>42</v>
      </c>
      <c r="K5674" t="s">
        <v>41</v>
      </c>
      <c r="M5674">
        <v>99.09</v>
      </c>
      <c r="N5674" s="4">
        <f t="shared" si="88"/>
        <v>-0.34847108689070544</v>
      </c>
      <c r="O5674" t="s">
        <v>605</v>
      </c>
      <c r="Q5674" s="42" t="s">
        <v>3649</v>
      </c>
    </row>
    <row r="5675" spans="1:17" x14ac:dyDescent="0.25">
      <c r="A5675" s="22">
        <v>45817</v>
      </c>
      <c r="B5675" s="1" t="s">
        <v>1912</v>
      </c>
      <c r="C5675" t="s">
        <v>622</v>
      </c>
      <c r="D5675" s="23">
        <v>-8.73</v>
      </c>
      <c r="E5675" t="s">
        <v>35</v>
      </c>
      <c r="F5675" s="2">
        <v>610148001</v>
      </c>
      <c r="G5675" s="2" t="s">
        <v>41</v>
      </c>
      <c r="I5675" s="95" t="s">
        <v>7231</v>
      </c>
      <c r="J5675" t="s">
        <v>42</v>
      </c>
      <c r="K5675" t="s">
        <v>41</v>
      </c>
      <c r="M5675">
        <v>99.09</v>
      </c>
      <c r="N5675" s="4">
        <f t="shared" si="88"/>
        <v>-8.8101725703905537E-2</v>
      </c>
      <c r="O5675" t="s">
        <v>605</v>
      </c>
      <c r="Q5675" s="42" t="s">
        <v>3649</v>
      </c>
    </row>
    <row r="5676" spans="1:17" x14ac:dyDescent="0.25">
      <c r="A5676" s="22">
        <v>45817</v>
      </c>
      <c r="B5676" s="1" t="s">
        <v>624</v>
      </c>
      <c r="C5676" t="s">
        <v>622</v>
      </c>
      <c r="D5676" s="23">
        <v>-461.23</v>
      </c>
      <c r="E5676" t="s">
        <v>35</v>
      </c>
      <c r="F5676" s="2">
        <v>610148001</v>
      </c>
      <c r="G5676" s="2" t="s">
        <v>41</v>
      </c>
      <c r="I5676" s="95" t="s">
        <v>7231</v>
      </c>
      <c r="J5676" t="s">
        <v>42</v>
      </c>
      <c r="K5676" t="s">
        <v>41</v>
      </c>
      <c r="M5676">
        <v>99.09</v>
      </c>
      <c r="N5676" s="4">
        <f t="shared" si="88"/>
        <v>-4.6546573821778185</v>
      </c>
      <c r="O5676" t="s">
        <v>605</v>
      </c>
      <c r="Q5676" s="42" t="s">
        <v>3649</v>
      </c>
    </row>
    <row r="5677" spans="1:17" x14ac:dyDescent="0.25">
      <c r="A5677" s="22">
        <v>45817</v>
      </c>
      <c r="B5677" s="1" t="s">
        <v>621</v>
      </c>
      <c r="C5677" t="s">
        <v>622</v>
      </c>
      <c r="D5677" s="23">
        <v>-257.63</v>
      </c>
      <c r="E5677" t="s">
        <v>35</v>
      </c>
      <c r="F5677" s="2">
        <v>610148001</v>
      </c>
      <c r="G5677" s="2" t="s">
        <v>41</v>
      </c>
      <c r="I5677" s="95" t="s">
        <v>7231</v>
      </c>
      <c r="J5677" t="s">
        <v>42</v>
      </c>
      <c r="K5677" t="s">
        <v>41</v>
      </c>
      <c r="M5677">
        <v>99.09</v>
      </c>
      <c r="N5677" s="4">
        <f t="shared" si="88"/>
        <v>-2.5999596326571801</v>
      </c>
      <c r="O5677" t="s">
        <v>605</v>
      </c>
      <c r="Q5677" s="42" t="s">
        <v>3649</v>
      </c>
    </row>
    <row r="5678" spans="1:17" x14ac:dyDescent="0.25">
      <c r="A5678" s="22">
        <v>45817</v>
      </c>
      <c r="B5678" s="1" t="s">
        <v>1917</v>
      </c>
      <c r="C5678" t="s">
        <v>622</v>
      </c>
      <c r="D5678" s="23">
        <v>-46.72</v>
      </c>
      <c r="E5678" t="s">
        <v>35</v>
      </c>
      <c r="F5678" s="2">
        <v>610148001</v>
      </c>
      <c r="G5678" s="2" t="s">
        <v>41</v>
      </c>
      <c r="I5678" s="95" t="s">
        <v>7231</v>
      </c>
      <c r="J5678" t="s">
        <v>42</v>
      </c>
      <c r="K5678" t="s">
        <v>41</v>
      </c>
      <c r="M5678">
        <v>99.09</v>
      </c>
      <c r="N5678" s="4">
        <f t="shared" si="88"/>
        <v>-0.4714905641336159</v>
      </c>
      <c r="O5678" t="s">
        <v>605</v>
      </c>
      <c r="Q5678" s="42" t="s">
        <v>3649</v>
      </c>
    </row>
    <row r="5679" spans="1:17" x14ac:dyDescent="0.25">
      <c r="A5679" s="22">
        <v>45817</v>
      </c>
      <c r="B5679" s="1" t="s">
        <v>623</v>
      </c>
      <c r="C5679" t="s">
        <v>622</v>
      </c>
      <c r="D5679" s="23">
        <v>-500</v>
      </c>
      <c r="E5679" t="s">
        <v>35</v>
      </c>
      <c r="F5679" s="2">
        <v>610148001</v>
      </c>
      <c r="G5679" s="2" t="s">
        <v>41</v>
      </c>
      <c r="I5679" s="95" t="s">
        <v>7231</v>
      </c>
      <c r="J5679" t="s">
        <v>42</v>
      </c>
      <c r="K5679" t="s">
        <v>41</v>
      </c>
      <c r="M5679">
        <v>99.09</v>
      </c>
      <c r="N5679" s="4">
        <f t="shared" si="88"/>
        <v>-5.0459178524573618</v>
      </c>
      <c r="O5679" t="s">
        <v>605</v>
      </c>
      <c r="Q5679" s="42" t="s">
        <v>3649</v>
      </c>
    </row>
    <row r="5680" spans="1:17" x14ac:dyDescent="0.25">
      <c r="A5680" s="22">
        <v>45817</v>
      </c>
      <c r="B5680" s="1" t="s">
        <v>625</v>
      </c>
      <c r="C5680" t="s">
        <v>622</v>
      </c>
      <c r="D5680" s="23">
        <v>-500</v>
      </c>
      <c r="E5680" t="s">
        <v>35</v>
      </c>
      <c r="F5680" s="2">
        <v>610148001</v>
      </c>
      <c r="G5680" s="2" t="s">
        <v>41</v>
      </c>
      <c r="I5680" s="95" t="s">
        <v>7231</v>
      </c>
      <c r="J5680" t="s">
        <v>42</v>
      </c>
      <c r="K5680" t="s">
        <v>41</v>
      </c>
      <c r="M5680">
        <v>99.09</v>
      </c>
      <c r="N5680" s="4">
        <f t="shared" si="88"/>
        <v>-5.0459178524573618</v>
      </c>
      <c r="O5680" t="s">
        <v>605</v>
      </c>
      <c r="Q5680" s="42" t="s">
        <v>3649</v>
      </c>
    </row>
    <row r="5681" spans="1:17" x14ac:dyDescent="0.25">
      <c r="A5681" s="22">
        <v>45817</v>
      </c>
      <c r="B5681" s="1" t="s">
        <v>1915</v>
      </c>
      <c r="C5681" t="s">
        <v>622</v>
      </c>
      <c r="D5681" s="23">
        <v>-25.86</v>
      </c>
      <c r="E5681" t="s">
        <v>35</v>
      </c>
      <c r="F5681" s="2">
        <v>610148001</v>
      </c>
      <c r="G5681" s="2" t="s">
        <v>41</v>
      </c>
      <c r="I5681" s="95" t="s">
        <v>7231</v>
      </c>
      <c r="J5681" t="s">
        <v>42</v>
      </c>
      <c r="K5681" t="s">
        <v>41</v>
      </c>
      <c r="M5681">
        <v>99.09</v>
      </c>
      <c r="N5681" s="4">
        <f t="shared" si="88"/>
        <v>-0.26097487132909475</v>
      </c>
      <c r="O5681" t="s">
        <v>605</v>
      </c>
      <c r="Q5681" s="42" t="s">
        <v>3649</v>
      </c>
    </row>
    <row r="5682" spans="1:17" x14ac:dyDescent="0.25">
      <c r="A5682" s="22">
        <v>45817</v>
      </c>
      <c r="B5682" s="1" t="s">
        <v>1271</v>
      </c>
      <c r="C5682" t="s">
        <v>622</v>
      </c>
      <c r="D5682" s="23">
        <v>-107.31</v>
      </c>
      <c r="E5682" t="s">
        <v>35</v>
      </c>
      <c r="F5682" s="2">
        <v>610148001</v>
      </c>
      <c r="G5682" s="2" t="s">
        <v>41</v>
      </c>
      <c r="I5682" s="95" t="s">
        <v>7231</v>
      </c>
      <c r="J5682" t="s">
        <v>42</v>
      </c>
      <c r="K5682" t="s">
        <v>41</v>
      </c>
      <c r="M5682">
        <v>99.09</v>
      </c>
      <c r="N5682" s="4">
        <f t="shared" si="88"/>
        <v>-1.082954889494399</v>
      </c>
      <c r="O5682" t="s">
        <v>605</v>
      </c>
      <c r="Q5682" s="42" t="s">
        <v>3649</v>
      </c>
    </row>
    <row r="5683" spans="1:17" x14ac:dyDescent="0.25">
      <c r="A5683" s="22">
        <v>45819</v>
      </c>
      <c r="B5683" s="1" t="s">
        <v>4325</v>
      </c>
      <c r="C5683" t="s">
        <v>293</v>
      </c>
      <c r="D5683" s="23">
        <v>3700000</v>
      </c>
      <c r="E5683" t="s">
        <v>45</v>
      </c>
      <c r="F5683" s="2">
        <v>210115002</v>
      </c>
      <c r="G5683" s="2" t="s">
        <v>46</v>
      </c>
      <c r="I5683" s="95" t="s">
        <v>7231</v>
      </c>
      <c r="K5683" t="s">
        <v>293</v>
      </c>
      <c r="M5683">
        <v>99.7</v>
      </c>
      <c r="N5683" s="4">
        <f t="shared" si="88"/>
        <v>37111.33400200602</v>
      </c>
      <c r="O5683" t="s">
        <v>605</v>
      </c>
      <c r="Q5683" s="2"/>
    </row>
    <row r="5684" spans="1:17" x14ac:dyDescent="0.25">
      <c r="A5684" s="22">
        <v>45819</v>
      </c>
      <c r="B5684" s="1" t="s">
        <v>619</v>
      </c>
      <c r="C5684" t="s">
        <v>4243</v>
      </c>
      <c r="D5684" s="23">
        <v>-200000</v>
      </c>
      <c r="E5684" t="s">
        <v>35</v>
      </c>
      <c r="F5684" s="2">
        <v>210101001</v>
      </c>
      <c r="G5684" s="2" t="s">
        <v>36</v>
      </c>
      <c r="I5684" s="95" t="s">
        <v>7231</v>
      </c>
      <c r="J5684" t="s">
        <v>37</v>
      </c>
      <c r="K5684" t="s">
        <v>38</v>
      </c>
      <c r="M5684">
        <v>99.7</v>
      </c>
      <c r="N5684" s="4">
        <f t="shared" si="88"/>
        <v>-2006.0180541624875</v>
      </c>
      <c r="O5684" t="s">
        <v>605</v>
      </c>
      <c r="Q5684" s="2"/>
    </row>
    <row r="5685" spans="1:17" x14ac:dyDescent="0.25">
      <c r="A5685" s="22">
        <v>45819</v>
      </c>
      <c r="B5685" s="1" t="s">
        <v>613</v>
      </c>
      <c r="C5685" t="s">
        <v>4243</v>
      </c>
      <c r="D5685" s="23">
        <v>-200000</v>
      </c>
      <c r="E5685" t="s">
        <v>35</v>
      </c>
      <c r="F5685" s="2">
        <v>210101001</v>
      </c>
      <c r="G5685" s="2" t="s">
        <v>36</v>
      </c>
      <c r="I5685" s="95" t="s">
        <v>7231</v>
      </c>
      <c r="J5685" t="s">
        <v>37</v>
      </c>
      <c r="K5685" t="s">
        <v>38</v>
      </c>
      <c r="M5685">
        <v>99.7</v>
      </c>
      <c r="N5685" s="4">
        <f t="shared" si="88"/>
        <v>-2006.0180541624875</v>
      </c>
      <c r="O5685" t="s">
        <v>605</v>
      </c>
      <c r="Q5685" s="2"/>
    </row>
    <row r="5686" spans="1:17" x14ac:dyDescent="0.25">
      <c r="A5686" s="22">
        <v>45819</v>
      </c>
      <c r="B5686" s="1" t="s">
        <v>619</v>
      </c>
      <c r="C5686" t="s">
        <v>4326</v>
      </c>
      <c r="D5686" s="23">
        <v>-200000</v>
      </c>
      <c r="E5686" t="s">
        <v>35</v>
      </c>
      <c r="F5686" s="2">
        <v>210101001</v>
      </c>
      <c r="G5686" s="2" t="s">
        <v>36</v>
      </c>
      <c r="I5686" s="95" t="s">
        <v>7231</v>
      </c>
      <c r="J5686" t="s">
        <v>37</v>
      </c>
      <c r="K5686" t="s">
        <v>38</v>
      </c>
      <c r="M5686">
        <v>99.7</v>
      </c>
      <c r="N5686" s="4">
        <f t="shared" si="88"/>
        <v>-2006.0180541624875</v>
      </c>
      <c r="O5686" t="s">
        <v>605</v>
      </c>
      <c r="Q5686" s="2"/>
    </row>
    <row r="5687" spans="1:17" x14ac:dyDescent="0.25">
      <c r="A5687" s="22">
        <v>45819</v>
      </c>
      <c r="B5687" s="1" t="s">
        <v>619</v>
      </c>
      <c r="C5687" t="s">
        <v>4326</v>
      </c>
      <c r="D5687" s="23">
        <v>-200000</v>
      </c>
      <c r="E5687" t="s">
        <v>35</v>
      </c>
      <c r="F5687" s="2">
        <v>210101001</v>
      </c>
      <c r="G5687" s="2" t="s">
        <v>36</v>
      </c>
      <c r="I5687" s="95" t="s">
        <v>7231</v>
      </c>
      <c r="J5687" t="s">
        <v>37</v>
      </c>
      <c r="K5687" t="s">
        <v>38</v>
      </c>
      <c r="M5687">
        <v>99.7</v>
      </c>
      <c r="N5687" s="4">
        <f t="shared" si="88"/>
        <v>-2006.0180541624875</v>
      </c>
      <c r="O5687" t="s">
        <v>605</v>
      </c>
      <c r="Q5687" s="2"/>
    </row>
    <row r="5688" spans="1:17" x14ac:dyDescent="0.25">
      <c r="A5688" s="22">
        <v>45819</v>
      </c>
      <c r="B5688" s="1" t="s">
        <v>1981</v>
      </c>
      <c r="C5688" t="s">
        <v>4327</v>
      </c>
      <c r="D5688" s="44">
        <v>-200000</v>
      </c>
      <c r="E5688" t="s">
        <v>35</v>
      </c>
      <c r="F5688" s="2">
        <v>110114001</v>
      </c>
      <c r="G5688" s="2" t="s">
        <v>181</v>
      </c>
      <c r="I5688" s="95" t="s">
        <v>7231</v>
      </c>
      <c r="K5688" t="s">
        <v>1256</v>
      </c>
      <c r="M5688">
        <v>99.7</v>
      </c>
      <c r="N5688" s="4">
        <f t="shared" si="88"/>
        <v>-2006.0180541624875</v>
      </c>
      <c r="O5688" t="s">
        <v>605</v>
      </c>
      <c r="Q5688" s="2"/>
    </row>
    <row r="5689" spans="1:17" x14ac:dyDescent="0.25">
      <c r="A5689" s="22">
        <v>45819</v>
      </c>
      <c r="B5689" s="1" t="s">
        <v>619</v>
      </c>
      <c r="C5689" t="s">
        <v>4327</v>
      </c>
      <c r="D5689" s="44">
        <v>-200000</v>
      </c>
      <c r="E5689" t="s">
        <v>35</v>
      </c>
      <c r="F5689" s="2">
        <v>110114001</v>
      </c>
      <c r="G5689" s="2" t="s">
        <v>181</v>
      </c>
      <c r="I5689" s="95" t="s">
        <v>7231</v>
      </c>
      <c r="K5689" t="s">
        <v>1256</v>
      </c>
      <c r="M5689">
        <v>99.7</v>
      </c>
      <c r="N5689" s="4">
        <f t="shared" si="88"/>
        <v>-2006.0180541624875</v>
      </c>
      <c r="O5689" t="s">
        <v>605</v>
      </c>
      <c r="Q5689" s="2"/>
    </row>
    <row r="5690" spans="1:17" x14ac:dyDescent="0.25">
      <c r="A5690" s="22">
        <v>45819</v>
      </c>
      <c r="B5690" s="1" t="s">
        <v>619</v>
      </c>
      <c r="C5690" t="s">
        <v>4327</v>
      </c>
      <c r="D5690" s="44">
        <v>-200000</v>
      </c>
      <c r="E5690" t="s">
        <v>35</v>
      </c>
      <c r="F5690" s="2">
        <v>110114001</v>
      </c>
      <c r="G5690" s="2" t="s">
        <v>181</v>
      </c>
      <c r="I5690" s="95" t="s">
        <v>7231</v>
      </c>
      <c r="K5690" t="s">
        <v>1256</v>
      </c>
      <c r="M5690">
        <v>99.7</v>
      </c>
      <c r="N5690" s="4">
        <f t="shared" si="88"/>
        <v>-2006.0180541624875</v>
      </c>
      <c r="O5690" t="s">
        <v>605</v>
      </c>
      <c r="Q5690" s="2"/>
    </row>
    <row r="5691" spans="1:17" x14ac:dyDescent="0.25">
      <c r="A5691" s="22">
        <v>45819</v>
      </c>
      <c r="B5691" s="1" t="s">
        <v>619</v>
      </c>
      <c r="C5691" t="s">
        <v>4327</v>
      </c>
      <c r="D5691" s="44">
        <v>-200000</v>
      </c>
      <c r="E5691" t="s">
        <v>35</v>
      </c>
      <c r="F5691" s="2">
        <v>110114001</v>
      </c>
      <c r="G5691" s="2" t="s">
        <v>181</v>
      </c>
      <c r="I5691" s="95" t="s">
        <v>7231</v>
      </c>
      <c r="K5691" t="s">
        <v>1256</v>
      </c>
      <c r="M5691">
        <v>99.7</v>
      </c>
      <c r="N5691" s="4">
        <f t="shared" si="88"/>
        <v>-2006.0180541624875</v>
      </c>
      <c r="O5691" t="s">
        <v>605</v>
      </c>
      <c r="Q5691" s="2"/>
    </row>
    <row r="5692" spans="1:17" x14ac:dyDescent="0.25">
      <c r="A5692" s="22">
        <v>45819</v>
      </c>
      <c r="B5692" s="1" t="s">
        <v>619</v>
      </c>
      <c r="C5692" t="s">
        <v>4327</v>
      </c>
      <c r="D5692" s="44">
        <v>-200000</v>
      </c>
      <c r="E5692" t="s">
        <v>35</v>
      </c>
      <c r="F5692" s="2">
        <v>110114001</v>
      </c>
      <c r="G5692" s="2" t="s">
        <v>181</v>
      </c>
      <c r="I5692" s="95" t="s">
        <v>7231</v>
      </c>
      <c r="K5692" t="s">
        <v>1256</v>
      </c>
      <c r="M5692">
        <v>99.7</v>
      </c>
      <c r="N5692" s="4">
        <f t="shared" si="88"/>
        <v>-2006.0180541624875</v>
      </c>
      <c r="O5692" t="s">
        <v>605</v>
      </c>
      <c r="Q5692" s="2"/>
    </row>
    <row r="5693" spans="1:17" x14ac:dyDescent="0.25">
      <c r="A5693" s="22">
        <v>45819</v>
      </c>
      <c r="B5693" s="1" t="s">
        <v>619</v>
      </c>
      <c r="C5693" t="s">
        <v>4327</v>
      </c>
      <c r="D5693" s="44">
        <v>-200000</v>
      </c>
      <c r="E5693" t="s">
        <v>35</v>
      </c>
      <c r="F5693" s="2">
        <v>110114001</v>
      </c>
      <c r="G5693" s="2" t="s">
        <v>181</v>
      </c>
      <c r="I5693" s="95" t="s">
        <v>7231</v>
      </c>
      <c r="K5693" t="s">
        <v>1256</v>
      </c>
      <c r="M5693">
        <v>99.7</v>
      </c>
      <c r="N5693" s="4">
        <f t="shared" si="88"/>
        <v>-2006.0180541624875</v>
      </c>
      <c r="O5693" t="s">
        <v>605</v>
      </c>
      <c r="Q5693" s="2"/>
    </row>
    <row r="5694" spans="1:17" x14ac:dyDescent="0.25">
      <c r="A5694" s="22">
        <v>45819</v>
      </c>
      <c r="B5694" s="1" t="s">
        <v>1981</v>
      </c>
      <c r="C5694" t="s">
        <v>4327</v>
      </c>
      <c r="D5694" s="44">
        <v>-200000</v>
      </c>
      <c r="E5694" t="s">
        <v>35</v>
      </c>
      <c r="F5694" s="2">
        <v>110114001</v>
      </c>
      <c r="G5694" s="2" t="s">
        <v>181</v>
      </c>
      <c r="I5694" s="95" t="s">
        <v>7231</v>
      </c>
      <c r="K5694" t="s">
        <v>1256</v>
      </c>
      <c r="M5694">
        <v>99.7</v>
      </c>
      <c r="N5694" s="4">
        <f t="shared" si="88"/>
        <v>-2006.0180541624875</v>
      </c>
      <c r="O5694" t="s">
        <v>605</v>
      </c>
      <c r="Q5694" s="2"/>
    </row>
    <row r="5695" spans="1:17" x14ac:dyDescent="0.25">
      <c r="A5695" s="22">
        <v>45819</v>
      </c>
      <c r="B5695" s="1" t="s">
        <v>619</v>
      </c>
      <c r="C5695" t="s">
        <v>4327</v>
      </c>
      <c r="D5695" s="44">
        <v>-200000</v>
      </c>
      <c r="E5695" t="s">
        <v>35</v>
      </c>
      <c r="F5695" s="2">
        <v>110114001</v>
      </c>
      <c r="G5695" s="2" t="s">
        <v>181</v>
      </c>
      <c r="I5695" s="95" t="s">
        <v>7231</v>
      </c>
      <c r="K5695" t="s">
        <v>1256</v>
      </c>
      <c r="M5695">
        <v>99.7</v>
      </c>
      <c r="N5695" s="4">
        <f t="shared" si="88"/>
        <v>-2006.0180541624875</v>
      </c>
      <c r="O5695" t="s">
        <v>605</v>
      </c>
      <c r="Q5695" s="2"/>
    </row>
    <row r="5696" spans="1:17" x14ac:dyDescent="0.25">
      <c r="A5696" s="22">
        <v>45819</v>
      </c>
      <c r="B5696" s="1" t="s">
        <v>619</v>
      </c>
      <c r="C5696" t="s">
        <v>4327</v>
      </c>
      <c r="D5696" s="44">
        <v>-200000</v>
      </c>
      <c r="E5696" t="s">
        <v>35</v>
      </c>
      <c r="F5696" s="2">
        <v>110114001</v>
      </c>
      <c r="G5696" s="2" t="s">
        <v>181</v>
      </c>
      <c r="I5696" s="95" t="s">
        <v>7231</v>
      </c>
      <c r="K5696" t="s">
        <v>1256</v>
      </c>
      <c r="M5696">
        <v>99.7</v>
      </c>
      <c r="N5696" s="4">
        <f t="shared" si="88"/>
        <v>-2006.0180541624875</v>
      </c>
      <c r="O5696" t="s">
        <v>605</v>
      </c>
      <c r="Q5696" s="2"/>
    </row>
    <row r="5697" spans="1:17" x14ac:dyDescent="0.25">
      <c r="A5697" s="22">
        <v>45819</v>
      </c>
      <c r="B5697" s="1" t="s">
        <v>613</v>
      </c>
      <c r="C5697" t="s">
        <v>4243</v>
      </c>
      <c r="D5697" s="23">
        <v>-3660.49</v>
      </c>
      <c r="E5697" t="s">
        <v>35</v>
      </c>
      <c r="F5697" s="2">
        <v>210101001</v>
      </c>
      <c r="G5697" s="2" t="s">
        <v>36</v>
      </c>
      <c r="I5697" s="95" t="s">
        <v>7231</v>
      </c>
      <c r="J5697" t="s">
        <v>37</v>
      </c>
      <c r="K5697" t="s">
        <v>38</v>
      </c>
      <c r="M5697">
        <v>99.7</v>
      </c>
      <c r="N5697" s="4">
        <f t="shared" si="88"/>
        <v>-36.715045135406214</v>
      </c>
      <c r="O5697" t="s">
        <v>605</v>
      </c>
      <c r="Q5697" s="2"/>
    </row>
    <row r="5698" spans="1:17" x14ac:dyDescent="0.25">
      <c r="A5698" s="22">
        <v>45819</v>
      </c>
      <c r="B5698" s="1" t="s">
        <v>613</v>
      </c>
      <c r="C5698" t="s">
        <v>4327</v>
      </c>
      <c r="D5698" s="44">
        <v>-200000</v>
      </c>
      <c r="E5698" t="s">
        <v>35</v>
      </c>
      <c r="F5698" s="2">
        <v>110114001</v>
      </c>
      <c r="G5698" s="2" t="s">
        <v>181</v>
      </c>
      <c r="I5698" s="95" t="s">
        <v>7231</v>
      </c>
      <c r="K5698" t="s">
        <v>1256</v>
      </c>
      <c r="M5698">
        <v>99.7</v>
      </c>
      <c r="N5698" s="4">
        <f t="shared" si="88"/>
        <v>-2006.0180541624875</v>
      </c>
      <c r="O5698" t="s">
        <v>605</v>
      </c>
      <c r="Q5698" s="2"/>
    </row>
    <row r="5699" spans="1:17" x14ac:dyDescent="0.25">
      <c r="A5699" s="22">
        <v>45819</v>
      </c>
      <c r="B5699" s="1" t="s">
        <v>1981</v>
      </c>
      <c r="C5699" t="s">
        <v>4326</v>
      </c>
      <c r="D5699" s="23">
        <v>-47573.24</v>
      </c>
      <c r="E5699" t="s">
        <v>35</v>
      </c>
      <c r="F5699" s="2">
        <v>210101001</v>
      </c>
      <c r="G5699" s="2" t="s">
        <v>36</v>
      </c>
      <c r="I5699" s="95" t="s">
        <v>7231</v>
      </c>
      <c r="J5699" t="s">
        <v>37</v>
      </c>
      <c r="K5699" t="s">
        <v>38</v>
      </c>
      <c r="M5699">
        <v>99.7</v>
      </c>
      <c r="N5699" s="4">
        <f t="shared" si="88"/>
        <v>-477.16389167502501</v>
      </c>
      <c r="O5699" t="s">
        <v>605</v>
      </c>
      <c r="Q5699" s="2"/>
    </row>
    <row r="5700" spans="1:17" x14ac:dyDescent="0.25">
      <c r="A5700" s="22">
        <v>45819</v>
      </c>
      <c r="B5700" s="1" t="s">
        <v>1936</v>
      </c>
      <c r="C5700" t="s">
        <v>4328</v>
      </c>
      <c r="D5700" s="23">
        <v>-61295.56</v>
      </c>
      <c r="E5700" t="s">
        <v>35</v>
      </c>
      <c r="F5700" s="2">
        <v>210101001</v>
      </c>
      <c r="G5700" s="2" t="s">
        <v>36</v>
      </c>
      <c r="I5700" s="95" t="s">
        <v>7231</v>
      </c>
      <c r="J5700" t="s">
        <v>37</v>
      </c>
      <c r="K5700" t="s">
        <v>38</v>
      </c>
      <c r="M5700">
        <v>99.7</v>
      </c>
      <c r="N5700" s="4">
        <f t="shared" si="88"/>
        <v>-614.79999999999995</v>
      </c>
      <c r="O5700" t="s">
        <v>605</v>
      </c>
      <c r="Q5700" s="2"/>
    </row>
    <row r="5701" spans="1:17" x14ac:dyDescent="0.25">
      <c r="A5701" s="22">
        <v>45819</v>
      </c>
      <c r="B5701" s="1" t="s">
        <v>619</v>
      </c>
      <c r="C5701" t="s">
        <v>4327</v>
      </c>
      <c r="D5701" s="44">
        <v>-200000</v>
      </c>
      <c r="E5701" t="s">
        <v>35</v>
      </c>
      <c r="F5701" s="2">
        <v>110114001</v>
      </c>
      <c r="G5701" s="2" t="s">
        <v>181</v>
      </c>
      <c r="I5701" s="95" t="s">
        <v>7231</v>
      </c>
      <c r="K5701" t="s">
        <v>1256</v>
      </c>
      <c r="M5701">
        <v>99.7</v>
      </c>
      <c r="N5701" s="4">
        <f t="shared" si="88"/>
        <v>-2006.0180541624875</v>
      </c>
      <c r="O5701" t="s">
        <v>605</v>
      </c>
      <c r="Q5701" s="2"/>
    </row>
    <row r="5702" spans="1:17" x14ac:dyDescent="0.25">
      <c r="A5702" s="22">
        <v>45819</v>
      </c>
      <c r="B5702" s="1" t="s">
        <v>1938</v>
      </c>
      <c r="C5702" t="s">
        <v>4329</v>
      </c>
      <c r="D5702" s="23">
        <v>-25443.439999999999</v>
      </c>
      <c r="E5702" t="s">
        <v>35</v>
      </c>
      <c r="F5702" s="2">
        <v>210101001</v>
      </c>
      <c r="G5702" s="2" t="s">
        <v>36</v>
      </c>
      <c r="I5702" s="95" t="s">
        <v>7231</v>
      </c>
      <c r="J5702" t="s">
        <v>414</v>
      </c>
      <c r="K5702" t="s">
        <v>415</v>
      </c>
      <c r="M5702">
        <v>99.7</v>
      </c>
      <c r="N5702" s="4">
        <f t="shared" si="88"/>
        <v>-255.2</v>
      </c>
      <c r="O5702" t="s">
        <v>605</v>
      </c>
      <c r="Q5702" s="2"/>
    </row>
    <row r="5703" spans="1:17" x14ac:dyDescent="0.25">
      <c r="A5703" s="22">
        <v>45819</v>
      </c>
      <c r="B5703" s="1" t="s">
        <v>619</v>
      </c>
      <c r="C5703" t="s">
        <v>4327</v>
      </c>
      <c r="D5703" s="44">
        <v>-152517.6</v>
      </c>
      <c r="E5703" t="s">
        <v>35</v>
      </c>
      <c r="F5703" s="2">
        <v>110114001</v>
      </c>
      <c r="G5703" s="2" t="s">
        <v>181</v>
      </c>
      <c r="I5703" s="95" t="s">
        <v>7231</v>
      </c>
      <c r="K5703" t="s">
        <v>1256</v>
      </c>
      <c r="M5703">
        <v>99.7</v>
      </c>
      <c r="N5703" s="4">
        <f t="shared" si="88"/>
        <v>-1529.7652958876631</v>
      </c>
      <c r="O5703" t="s">
        <v>605</v>
      </c>
      <c r="Q5703" s="2"/>
    </row>
    <row r="5704" spans="1:17" x14ac:dyDescent="0.25">
      <c r="A5704" s="22">
        <v>45819</v>
      </c>
      <c r="B5704" s="1" t="s">
        <v>619</v>
      </c>
      <c r="C5704" t="s">
        <v>4327</v>
      </c>
      <c r="D5704" s="44">
        <v>-200000</v>
      </c>
      <c r="E5704" t="s">
        <v>35</v>
      </c>
      <c r="F5704" s="2">
        <v>110114001</v>
      </c>
      <c r="G5704" s="2" t="s">
        <v>181</v>
      </c>
      <c r="I5704" s="95" t="s">
        <v>7231</v>
      </c>
      <c r="K5704" t="s">
        <v>1256</v>
      </c>
      <c r="M5704">
        <v>99.7</v>
      </c>
      <c r="N5704" s="4">
        <f t="shared" si="88"/>
        <v>-2006.0180541624875</v>
      </c>
      <c r="O5704" t="s">
        <v>605</v>
      </c>
      <c r="Q5704" s="2"/>
    </row>
    <row r="5705" spans="1:17" x14ac:dyDescent="0.25">
      <c r="A5705" s="22">
        <v>45819</v>
      </c>
      <c r="B5705" s="1" t="s">
        <v>619</v>
      </c>
      <c r="C5705" t="s">
        <v>4327</v>
      </c>
      <c r="D5705" s="44">
        <v>-200000</v>
      </c>
      <c r="E5705" t="s">
        <v>35</v>
      </c>
      <c r="F5705" s="2">
        <v>110114001</v>
      </c>
      <c r="G5705" s="2" t="s">
        <v>181</v>
      </c>
      <c r="I5705" s="95" t="s">
        <v>7231</v>
      </c>
      <c r="K5705" t="s">
        <v>1256</v>
      </c>
      <c r="M5705">
        <v>99.7</v>
      </c>
      <c r="N5705" s="4">
        <f t="shared" si="88"/>
        <v>-2006.0180541624875</v>
      </c>
      <c r="O5705" t="s">
        <v>605</v>
      </c>
      <c r="Q5705" s="2"/>
    </row>
    <row r="5706" spans="1:17" x14ac:dyDescent="0.25">
      <c r="A5706" s="22">
        <v>45819</v>
      </c>
      <c r="B5706" s="1" t="s">
        <v>621</v>
      </c>
      <c r="C5706" t="s">
        <v>622</v>
      </c>
      <c r="D5706" s="23">
        <v>-500</v>
      </c>
      <c r="E5706" t="s">
        <v>35</v>
      </c>
      <c r="F5706" s="2">
        <v>610148001</v>
      </c>
      <c r="G5706" s="2" t="s">
        <v>41</v>
      </c>
      <c r="I5706" s="95" t="s">
        <v>7231</v>
      </c>
      <c r="J5706" t="s">
        <v>42</v>
      </c>
      <c r="K5706" t="s">
        <v>41</v>
      </c>
      <c r="M5706">
        <v>99.7</v>
      </c>
      <c r="N5706" s="4">
        <f t="shared" si="88"/>
        <v>-5.0150451354062184</v>
      </c>
      <c r="O5706" t="s">
        <v>605</v>
      </c>
      <c r="Q5706" s="42" t="s">
        <v>3649</v>
      </c>
    </row>
    <row r="5707" spans="1:17" x14ac:dyDescent="0.25">
      <c r="A5707" s="22">
        <v>45819</v>
      </c>
      <c r="B5707" s="1" t="s">
        <v>623</v>
      </c>
      <c r="C5707" t="s">
        <v>622</v>
      </c>
      <c r="D5707" s="23">
        <v>-9.15</v>
      </c>
      <c r="E5707" t="s">
        <v>35</v>
      </c>
      <c r="F5707" s="2">
        <v>610148001</v>
      </c>
      <c r="G5707" s="2" t="s">
        <v>41</v>
      </c>
      <c r="I5707" s="95" t="s">
        <v>7231</v>
      </c>
      <c r="J5707" t="s">
        <v>42</v>
      </c>
      <c r="K5707" t="s">
        <v>41</v>
      </c>
      <c r="M5707">
        <v>99.7</v>
      </c>
      <c r="N5707" s="4">
        <f t="shared" si="88"/>
        <v>-9.1775325977933808E-2</v>
      </c>
      <c r="O5707" t="s">
        <v>605</v>
      </c>
      <c r="Q5707" s="42" t="s">
        <v>3649</v>
      </c>
    </row>
    <row r="5708" spans="1:17" x14ac:dyDescent="0.25">
      <c r="A5708" s="22">
        <v>45819</v>
      </c>
      <c r="B5708" s="1" t="s">
        <v>621</v>
      </c>
      <c r="C5708" t="s">
        <v>622</v>
      </c>
      <c r="D5708" s="23">
        <v>-500</v>
      </c>
      <c r="E5708" t="s">
        <v>35</v>
      </c>
      <c r="F5708" s="2">
        <v>610148001</v>
      </c>
      <c r="G5708" s="2" t="s">
        <v>41</v>
      </c>
      <c r="I5708" s="95" t="s">
        <v>7231</v>
      </c>
      <c r="J5708" t="s">
        <v>42</v>
      </c>
      <c r="K5708" t="s">
        <v>41</v>
      </c>
      <c r="M5708">
        <v>99.7</v>
      </c>
      <c r="N5708" s="4">
        <f t="shared" ref="N5708:N5771" si="89">D5708/M5708</f>
        <v>-5.0150451354062184</v>
      </c>
      <c r="O5708" t="s">
        <v>605</v>
      </c>
      <c r="Q5708" s="42" t="s">
        <v>3649</v>
      </c>
    </row>
    <row r="5709" spans="1:17" x14ac:dyDescent="0.25">
      <c r="A5709" s="22">
        <v>45819</v>
      </c>
      <c r="B5709" s="1" t="s">
        <v>621</v>
      </c>
      <c r="C5709" t="s">
        <v>622</v>
      </c>
      <c r="D5709" s="23">
        <v>-500</v>
      </c>
      <c r="E5709" t="s">
        <v>35</v>
      </c>
      <c r="F5709" s="2">
        <v>610148001</v>
      </c>
      <c r="G5709" s="2" t="s">
        <v>41</v>
      </c>
      <c r="I5709" s="95" t="s">
        <v>7231</v>
      </c>
      <c r="J5709" t="s">
        <v>42</v>
      </c>
      <c r="K5709" t="s">
        <v>41</v>
      </c>
      <c r="M5709">
        <v>99.7</v>
      </c>
      <c r="N5709" s="4">
        <f t="shared" si="89"/>
        <v>-5.0150451354062184</v>
      </c>
      <c r="O5709" t="s">
        <v>605</v>
      </c>
      <c r="Q5709" s="42" t="s">
        <v>3649</v>
      </c>
    </row>
    <row r="5710" spans="1:17" x14ac:dyDescent="0.25">
      <c r="A5710" s="22">
        <v>45819</v>
      </c>
      <c r="B5710" s="1" t="s">
        <v>621</v>
      </c>
      <c r="C5710" t="s">
        <v>622</v>
      </c>
      <c r="D5710" s="23">
        <v>-381.29</v>
      </c>
      <c r="E5710" t="s">
        <v>35</v>
      </c>
      <c r="F5710" s="2">
        <v>610148001</v>
      </c>
      <c r="G5710" s="2" t="s">
        <v>41</v>
      </c>
      <c r="I5710" s="95" t="s">
        <v>7231</v>
      </c>
      <c r="J5710" t="s">
        <v>42</v>
      </c>
      <c r="K5710" t="s">
        <v>41</v>
      </c>
      <c r="M5710">
        <v>99.7</v>
      </c>
      <c r="N5710" s="4">
        <f t="shared" si="89"/>
        <v>-3.8243731193580741</v>
      </c>
      <c r="O5710" t="s">
        <v>605</v>
      </c>
      <c r="Q5710" s="42" t="s">
        <v>3649</v>
      </c>
    </row>
    <row r="5711" spans="1:17" x14ac:dyDescent="0.25">
      <c r="A5711" s="22">
        <v>45819</v>
      </c>
      <c r="B5711" s="1" t="s">
        <v>621</v>
      </c>
      <c r="C5711" t="s">
        <v>622</v>
      </c>
      <c r="D5711" s="23">
        <v>-500</v>
      </c>
      <c r="E5711" t="s">
        <v>35</v>
      </c>
      <c r="F5711" s="2">
        <v>610148001</v>
      </c>
      <c r="G5711" s="2" t="s">
        <v>41</v>
      </c>
      <c r="I5711" s="95" t="s">
        <v>7231</v>
      </c>
      <c r="J5711" t="s">
        <v>42</v>
      </c>
      <c r="K5711" t="s">
        <v>41</v>
      </c>
      <c r="M5711">
        <v>99.7</v>
      </c>
      <c r="N5711" s="4">
        <f t="shared" si="89"/>
        <v>-5.0150451354062184</v>
      </c>
      <c r="O5711" t="s">
        <v>605</v>
      </c>
      <c r="Q5711" s="42" t="s">
        <v>3649</v>
      </c>
    </row>
    <row r="5712" spans="1:17" x14ac:dyDescent="0.25">
      <c r="A5712" s="22">
        <v>45819</v>
      </c>
      <c r="B5712" s="1" t="s">
        <v>621</v>
      </c>
      <c r="C5712" t="s">
        <v>622</v>
      </c>
      <c r="D5712" s="23">
        <v>-500</v>
      </c>
      <c r="E5712" t="s">
        <v>35</v>
      </c>
      <c r="F5712" s="2">
        <v>610148001</v>
      </c>
      <c r="G5712" s="2" t="s">
        <v>41</v>
      </c>
      <c r="I5712" s="95" t="s">
        <v>7231</v>
      </c>
      <c r="J5712" t="s">
        <v>42</v>
      </c>
      <c r="K5712" t="s">
        <v>41</v>
      </c>
      <c r="M5712">
        <v>99.7</v>
      </c>
      <c r="N5712" s="4">
        <f t="shared" si="89"/>
        <v>-5.0150451354062184</v>
      </c>
      <c r="O5712" t="s">
        <v>605</v>
      </c>
      <c r="Q5712" s="42" t="s">
        <v>3649</v>
      </c>
    </row>
    <row r="5713" spans="1:17" x14ac:dyDescent="0.25">
      <c r="A5713" s="22">
        <v>45819</v>
      </c>
      <c r="B5713" s="1" t="s">
        <v>621</v>
      </c>
      <c r="C5713" t="s">
        <v>622</v>
      </c>
      <c r="D5713" s="23">
        <v>-500</v>
      </c>
      <c r="E5713" t="s">
        <v>35</v>
      </c>
      <c r="F5713" s="2">
        <v>610148001</v>
      </c>
      <c r="G5713" s="2" t="s">
        <v>41</v>
      </c>
      <c r="I5713" s="95" t="s">
        <v>7231</v>
      </c>
      <c r="J5713" t="s">
        <v>42</v>
      </c>
      <c r="K5713" t="s">
        <v>41</v>
      </c>
      <c r="M5713">
        <v>99.7</v>
      </c>
      <c r="N5713" s="4">
        <f t="shared" si="89"/>
        <v>-5.0150451354062184</v>
      </c>
      <c r="O5713" t="s">
        <v>605</v>
      </c>
      <c r="Q5713" s="42" t="s">
        <v>3649</v>
      </c>
    </row>
    <row r="5714" spans="1:17" x14ac:dyDescent="0.25">
      <c r="A5714" s="22">
        <v>45819</v>
      </c>
      <c r="B5714" s="1" t="s">
        <v>621</v>
      </c>
      <c r="C5714" t="s">
        <v>622</v>
      </c>
      <c r="D5714" s="23">
        <v>-500</v>
      </c>
      <c r="E5714" t="s">
        <v>35</v>
      </c>
      <c r="F5714" s="2">
        <v>610148001</v>
      </c>
      <c r="G5714" s="2" t="s">
        <v>41</v>
      </c>
      <c r="I5714" s="95" t="s">
        <v>7231</v>
      </c>
      <c r="J5714" t="s">
        <v>42</v>
      </c>
      <c r="K5714" t="s">
        <v>41</v>
      </c>
      <c r="M5714">
        <v>99.7</v>
      </c>
      <c r="N5714" s="4">
        <f t="shared" si="89"/>
        <v>-5.0150451354062184</v>
      </c>
      <c r="O5714" t="s">
        <v>605</v>
      </c>
      <c r="Q5714" s="42" t="s">
        <v>3649</v>
      </c>
    </row>
    <row r="5715" spans="1:17" x14ac:dyDescent="0.25">
      <c r="A5715" s="22">
        <v>45819</v>
      </c>
      <c r="B5715" s="1" t="s">
        <v>2103</v>
      </c>
      <c r="C5715" t="s">
        <v>622</v>
      </c>
      <c r="D5715" s="23">
        <v>-63.6</v>
      </c>
      <c r="E5715" t="s">
        <v>35</v>
      </c>
      <c r="F5715" s="2">
        <v>610148001</v>
      </c>
      <c r="G5715" s="2" t="s">
        <v>41</v>
      </c>
      <c r="I5715" s="95" t="s">
        <v>7231</v>
      </c>
      <c r="J5715" t="s">
        <v>42</v>
      </c>
      <c r="K5715" t="s">
        <v>41</v>
      </c>
      <c r="M5715">
        <v>99.7</v>
      </c>
      <c r="N5715" s="4">
        <f t="shared" si="89"/>
        <v>-0.63791374122367106</v>
      </c>
      <c r="O5715" t="s">
        <v>605</v>
      </c>
      <c r="Q5715" s="42" t="s">
        <v>3649</v>
      </c>
    </row>
    <row r="5716" spans="1:17" x14ac:dyDescent="0.25">
      <c r="A5716" s="22">
        <v>45819</v>
      </c>
      <c r="B5716" s="1" t="s">
        <v>621</v>
      </c>
      <c r="C5716" t="s">
        <v>622</v>
      </c>
      <c r="D5716" s="23">
        <v>-500</v>
      </c>
      <c r="E5716" t="s">
        <v>35</v>
      </c>
      <c r="F5716" s="2">
        <v>610148001</v>
      </c>
      <c r="G5716" s="2" t="s">
        <v>41</v>
      </c>
      <c r="I5716" s="95" t="s">
        <v>7231</v>
      </c>
      <c r="J5716" t="s">
        <v>42</v>
      </c>
      <c r="K5716" t="s">
        <v>41</v>
      </c>
      <c r="M5716">
        <v>99.7</v>
      </c>
      <c r="N5716" s="4">
        <f t="shared" si="89"/>
        <v>-5.0150451354062184</v>
      </c>
      <c r="O5716" t="s">
        <v>605</v>
      </c>
      <c r="Q5716" s="42" t="s">
        <v>3649</v>
      </c>
    </row>
    <row r="5717" spans="1:17" x14ac:dyDescent="0.25">
      <c r="A5717" s="22">
        <v>45819</v>
      </c>
      <c r="B5717" s="1" t="s">
        <v>2072</v>
      </c>
      <c r="C5717" t="s">
        <v>622</v>
      </c>
      <c r="D5717" s="23">
        <v>-500</v>
      </c>
      <c r="E5717" t="s">
        <v>35</v>
      </c>
      <c r="F5717" s="2">
        <v>610148001</v>
      </c>
      <c r="G5717" s="2" t="s">
        <v>41</v>
      </c>
      <c r="I5717" s="95" t="s">
        <v>7231</v>
      </c>
      <c r="J5717" t="s">
        <v>42</v>
      </c>
      <c r="K5717" t="s">
        <v>41</v>
      </c>
      <c r="M5717">
        <v>99.7</v>
      </c>
      <c r="N5717" s="4">
        <f t="shared" si="89"/>
        <v>-5.0150451354062184</v>
      </c>
      <c r="O5717" t="s">
        <v>605</v>
      </c>
      <c r="Q5717" s="42" t="s">
        <v>3649</v>
      </c>
    </row>
    <row r="5718" spans="1:17" x14ac:dyDescent="0.25">
      <c r="A5718" s="22">
        <v>45819</v>
      </c>
      <c r="B5718" s="1" t="s">
        <v>621</v>
      </c>
      <c r="C5718" t="s">
        <v>622</v>
      </c>
      <c r="D5718" s="23">
        <v>-500</v>
      </c>
      <c r="E5718" t="s">
        <v>35</v>
      </c>
      <c r="F5718" s="2">
        <v>610148001</v>
      </c>
      <c r="G5718" s="2" t="s">
        <v>41</v>
      </c>
      <c r="I5718" s="95" t="s">
        <v>7231</v>
      </c>
      <c r="J5718" t="s">
        <v>42</v>
      </c>
      <c r="K5718" t="s">
        <v>41</v>
      </c>
      <c r="M5718">
        <v>99.7</v>
      </c>
      <c r="N5718" s="4">
        <f t="shared" si="89"/>
        <v>-5.0150451354062184</v>
      </c>
      <c r="O5718" t="s">
        <v>605</v>
      </c>
      <c r="Q5718" s="42" t="s">
        <v>3649</v>
      </c>
    </row>
    <row r="5719" spans="1:17" x14ac:dyDescent="0.25">
      <c r="A5719" s="22">
        <v>45819</v>
      </c>
      <c r="B5719" s="1" t="s">
        <v>2072</v>
      </c>
      <c r="C5719" t="s">
        <v>622</v>
      </c>
      <c r="D5719" s="23">
        <v>-500</v>
      </c>
      <c r="E5719" t="s">
        <v>35</v>
      </c>
      <c r="F5719" s="2">
        <v>610148001</v>
      </c>
      <c r="G5719" s="2" t="s">
        <v>41</v>
      </c>
      <c r="I5719" s="95" t="s">
        <v>7231</v>
      </c>
      <c r="J5719" t="s">
        <v>42</v>
      </c>
      <c r="K5719" t="s">
        <v>41</v>
      </c>
      <c r="M5719">
        <v>99.7</v>
      </c>
      <c r="N5719" s="4">
        <f t="shared" si="89"/>
        <v>-5.0150451354062184</v>
      </c>
      <c r="O5719" t="s">
        <v>605</v>
      </c>
      <c r="Q5719" s="42" t="s">
        <v>3649</v>
      </c>
    </row>
    <row r="5720" spans="1:17" x14ac:dyDescent="0.25">
      <c r="A5720" s="22">
        <v>45819</v>
      </c>
      <c r="B5720" s="1" t="s">
        <v>2072</v>
      </c>
      <c r="C5720" t="s">
        <v>622</v>
      </c>
      <c r="D5720" s="23">
        <v>-118.93</v>
      </c>
      <c r="E5720" t="s">
        <v>35</v>
      </c>
      <c r="F5720" s="2">
        <v>610148001</v>
      </c>
      <c r="G5720" s="2" t="s">
        <v>41</v>
      </c>
      <c r="I5720" s="95" t="s">
        <v>7231</v>
      </c>
      <c r="J5720" t="s">
        <v>42</v>
      </c>
      <c r="K5720" t="s">
        <v>41</v>
      </c>
      <c r="M5720">
        <v>99.7</v>
      </c>
      <c r="N5720" s="4">
        <f t="shared" si="89"/>
        <v>-1.1928786359077233</v>
      </c>
      <c r="O5720" t="s">
        <v>605</v>
      </c>
      <c r="Q5720" s="42" t="s">
        <v>3649</v>
      </c>
    </row>
    <row r="5721" spans="1:17" x14ac:dyDescent="0.25">
      <c r="A5721" s="22">
        <v>45819</v>
      </c>
      <c r="B5721" s="1" t="s">
        <v>621</v>
      </c>
      <c r="C5721" t="s">
        <v>622</v>
      </c>
      <c r="D5721" s="23">
        <v>-500</v>
      </c>
      <c r="E5721" t="s">
        <v>35</v>
      </c>
      <c r="F5721" s="2">
        <v>610148001</v>
      </c>
      <c r="G5721" s="2" t="s">
        <v>41</v>
      </c>
      <c r="I5721" s="95" t="s">
        <v>7231</v>
      </c>
      <c r="J5721" t="s">
        <v>42</v>
      </c>
      <c r="K5721" t="s">
        <v>41</v>
      </c>
      <c r="M5721">
        <v>99.7</v>
      </c>
      <c r="N5721" s="4">
        <f t="shared" si="89"/>
        <v>-5.0150451354062184</v>
      </c>
      <c r="O5721" t="s">
        <v>605</v>
      </c>
      <c r="Q5721" s="42" t="s">
        <v>3649</v>
      </c>
    </row>
    <row r="5722" spans="1:17" x14ac:dyDescent="0.25">
      <c r="A5722" s="22">
        <v>45819</v>
      </c>
      <c r="B5722" s="1" t="s">
        <v>2073</v>
      </c>
      <c r="C5722" t="s">
        <v>622</v>
      </c>
      <c r="D5722" s="23">
        <v>-153.22999999999999</v>
      </c>
      <c r="E5722" t="s">
        <v>35</v>
      </c>
      <c r="F5722" s="2">
        <v>610148001</v>
      </c>
      <c r="G5722" s="2" t="s">
        <v>41</v>
      </c>
      <c r="I5722" s="95" t="s">
        <v>7231</v>
      </c>
      <c r="J5722" t="s">
        <v>42</v>
      </c>
      <c r="K5722" t="s">
        <v>41</v>
      </c>
      <c r="M5722">
        <v>99.7</v>
      </c>
      <c r="N5722" s="4">
        <f t="shared" si="89"/>
        <v>-1.5369107321965896</v>
      </c>
      <c r="O5722" t="s">
        <v>605</v>
      </c>
      <c r="Q5722" s="42" t="s">
        <v>3649</v>
      </c>
    </row>
    <row r="5723" spans="1:17" x14ac:dyDescent="0.25">
      <c r="A5723" s="22">
        <v>45819</v>
      </c>
      <c r="B5723" s="1" t="s">
        <v>623</v>
      </c>
      <c r="C5723" t="s">
        <v>622</v>
      </c>
      <c r="D5723" s="23">
        <v>-500</v>
      </c>
      <c r="E5723" t="s">
        <v>35</v>
      </c>
      <c r="F5723" s="2">
        <v>610148001</v>
      </c>
      <c r="G5723" s="2" t="s">
        <v>41</v>
      </c>
      <c r="I5723" s="95" t="s">
        <v>7231</v>
      </c>
      <c r="J5723" t="s">
        <v>42</v>
      </c>
      <c r="K5723" t="s">
        <v>41</v>
      </c>
      <c r="M5723">
        <v>99.7</v>
      </c>
      <c r="N5723" s="4">
        <f t="shared" si="89"/>
        <v>-5.0150451354062184</v>
      </c>
      <c r="O5723" t="s">
        <v>605</v>
      </c>
      <c r="Q5723" s="42" t="s">
        <v>3649</v>
      </c>
    </row>
    <row r="5724" spans="1:17" x14ac:dyDescent="0.25">
      <c r="A5724" s="22">
        <v>45819</v>
      </c>
      <c r="B5724" s="1" t="s">
        <v>623</v>
      </c>
      <c r="C5724" t="s">
        <v>622</v>
      </c>
      <c r="D5724" s="23">
        <v>-500</v>
      </c>
      <c r="E5724" t="s">
        <v>35</v>
      </c>
      <c r="F5724" s="2">
        <v>610148001</v>
      </c>
      <c r="G5724" s="2" t="s">
        <v>41</v>
      </c>
      <c r="I5724" s="95" t="s">
        <v>7231</v>
      </c>
      <c r="J5724" t="s">
        <v>42</v>
      </c>
      <c r="K5724" t="s">
        <v>41</v>
      </c>
      <c r="M5724">
        <v>99.7</v>
      </c>
      <c r="N5724" s="4">
        <f t="shared" si="89"/>
        <v>-5.0150451354062184</v>
      </c>
      <c r="O5724" t="s">
        <v>605</v>
      </c>
      <c r="Q5724" s="42" t="s">
        <v>3649</v>
      </c>
    </row>
    <row r="5725" spans="1:17" x14ac:dyDescent="0.25">
      <c r="A5725" s="22">
        <v>45819</v>
      </c>
      <c r="B5725" s="1" t="s">
        <v>621</v>
      </c>
      <c r="C5725" t="s">
        <v>622</v>
      </c>
      <c r="D5725" s="23">
        <v>-500</v>
      </c>
      <c r="E5725" t="s">
        <v>35</v>
      </c>
      <c r="F5725" s="2">
        <v>610148001</v>
      </c>
      <c r="G5725" s="2" t="s">
        <v>41</v>
      </c>
      <c r="I5725" s="95" t="s">
        <v>7231</v>
      </c>
      <c r="J5725" t="s">
        <v>42</v>
      </c>
      <c r="K5725" t="s">
        <v>41</v>
      </c>
      <c r="M5725">
        <v>99.7</v>
      </c>
      <c r="N5725" s="4">
        <f t="shared" si="89"/>
        <v>-5.0150451354062184</v>
      </c>
      <c r="O5725" t="s">
        <v>605</v>
      </c>
      <c r="Q5725" s="42" t="s">
        <v>3649</v>
      </c>
    </row>
    <row r="5726" spans="1:17" x14ac:dyDescent="0.25">
      <c r="A5726" s="22">
        <v>45819</v>
      </c>
      <c r="B5726" s="1" t="s">
        <v>621</v>
      </c>
      <c r="C5726" t="s">
        <v>622</v>
      </c>
      <c r="D5726" s="23">
        <v>-500</v>
      </c>
      <c r="E5726" t="s">
        <v>35</v>
      </c>
      <c r="F5726" s="2">
        <v>610148001</v>
      </c>
      <c r="G5726" s="2" t="s">
        <v>41</v>
      </c>
      <c r="I5726" s="95" t="s">
        <v>7231</v>
      </c>
      <c r="J5726" t="s">
        <v>42</v>
      </c>
      <c r="K5726" t="s">
        <v>41</v>
      </c>
      <c r="M5726">
        <v>99.7</v>
      </c>
      <c r="N5726" s="4">
        <f t="shared" si="89"/>
        <v>-5.0150451354062184</v>
      </c>
      <c r="O5726" t="s">
        <v>605</v>
      </c>
      <c r="Q5726" s="42" t="s">
        <v>3649</v>
      </c>
    </row>
    <row r="5727" spans="1:17" x14ac:dyDescent="0.25">
      <c r="A5727" s="22">
        <v>45819</v>
      </c>
      <c r="B5727" s="1" t="s">
        <v>621</v>
      </c>
      <c r="C5727" t="s">
        <v>622</v>
      </c>
      <c r="D5727" s="23">
        <v>-500</v>
      </c>
      <c r="E5727" t="s">
        <v>35</v>
      </c>
      <c r="F5727" s="2">
        <v>610148001</v>
      </c>
      <c r="G5727" s="2" t="s">
        <v>41</v>
      </c>
      <c r="I5727" s="95" t="s">
        <v>7231</v>
      </c>
      <c r="J5727" t="s">
        <v>42</v>
      </c>
      <c r="K5727" t="s">
        <v>41</v>
      </c>
      <c r="M5727">
        <v>99.7</v>
      </c>
      <c r="N5727" s="4">
        <f t="shared" si="89"/>
        <v>-5.0150451354062184</v>
      </c>
      <c r="O5727" t="s">
        <v>605</v>
      </c>
      <c r="Q5727" s="42" t="s">
        <v>3649</v>
      </c>
    </row>
    <row r="5728" spans="1:17" x14ac:dyDescent="0.25">
      <c r="A5728" s="22">
        <v>45820</v>
      </c>
      <c r="B5728" s="1" t="s">
        <v>4330</v>
      </c>
      <c r="C5728" t="s">
        <v>293</v>
      </c>
      <c r="D5728" s="23">
        <v>300000</v>
      </c>
      <c r="E5728" t="s">
        <v>45</v>
      </c>
      <c r="F5728" s="2">
        <v>210115002</v>
      </c>
      <c r="G5728" s="2" t="s">
        <v>46</v>
      </c>
      <c r="I5728" s="95" t="s">
        <v>7231</v>
      </c>
      <c r="K5728" t="s">
        <v>293</v>
      </c>
      <c r="M5728">
        <v>100.34</v>
      </c>
      <c r="N5728" s="4">
        <f t="shared" si="89"/>
        <v>2989.8345624875424</v>
      </c>
      <c r="O5728" t="s">
        <v>605</v>
      </c>
      <c r="Q5728" s="2"/>
    </row>
    <row r="5729" spans="1:17" x14ac:dyDescent="0.25">
      <c r="A5729" s="22">
        <v>45820</v>
      </c>
      <c r="B5729" s="1" t="s">
        <v>617</v>
      </c>
      <c r="C5729" t="s">
        <v>4331</v>
      </c>
      <c r="D5729" s="23">
        <v>-32596</v>
      </c>
      <c r="E5729" t="s">
        <v>35</v>
      </c>
      <c r="F5729" s="2">
        <v>210101001</v>
      </c>
      <c r="G5729" s="2" t="s">
        <v>36</v>
      </c>
      <c r="I5729" s="95" t="s">
        <v>7231</v>
      </c>
      <c r="J5729" t="s">
        <v>414</v>
      </c>
      <c r="K5729" t="s">
        <v>415</v>
      </c>
      <c r="M5729">
        <v>100.34</v>
      </c>
      <c r="N5729" s="4">
        <f t="shared" si="89"/>
        <v>-324.85549132947978</v>
      </c>
      <c r="O5729" t="s">
        <v>605</v>
      </c>
      <c r="Q5729" s="2"/>
    </row>
    <row r="5730" spans="1:17" ht="15.75" x14ac:dyDescent="0.25">
      <c r="A5730" s="22">
        <v>45820</v>
      </c>
      <c r="B5730" s="1" t="s">
        <v>1267</v>
      </c>
      <c r="C5730" t="s">
        <v>4332</v>
      </c>
      <c r="D5730" s="23">
        <v>-26168.39</v>
      </c>
      <c r="E5730" t="s">
        <v>35</v>
      </c>
      <c r="F5730" s="2">
        <v>110114001</v>
      </c>
      <c r="G5730" s="2" t="s">
        <v>181</v>
      </c>
      <c r="I5730" s="95" t="s">
        <v>7231</v>
      </c>
      <c r="J5730" t="s">
        <v>37</v>
      </c>
      <c r="K5730" t="s">
        <v>38</v>
      </c>
      <c r="M5730">
        <v>100.34</v>
      </c>
      <c r="N5730" s="4">
        <f t="shared" si="89"/>
        <v>-260.79718955551124</v>
      </c>
      <c r="O5730" t="s">
        <v>605</v>
      </c>
      <c r="P5730" s="37" t="s">
        <v>1279</v>
      </c>
      <c r="Q5730" s="2"/>
    </row>
    <row r="5731" spans="1:17" x14ac:dyDescent="0.25">
      <c r="A5731" s="22">
        <v>45820</v>
      </c>
      <c r="B5731" s="1" t="s">
        <v>619</v>
      </c>
      <c r="C5731" t="s">
        <v>4333</v>
      </c>
      <c r="D5731" s="23">
        <v>-28808.23</v>
      </c>
      <c r="E5731" t="s">
        <v>35</v>
      </c>
      <c r="F5731" s="2">
        <v>210101001</v>
      </c>
      <c r="G5731" s="2" t="s">
        <v>36</v>
      </c>
      <c r="I5731" s="95" t="s">
        <v>7231</v>
      </c>
      <c r="J5731" t="s">
        <v>414</v>
      </c>
      <c r="K5731" t="s">
        <v>415</v>
      </c>
      <c r="M5731">
        <v>100.34</v>
      </c>
      <c r="N5731" s="4">
        <f t="shared" si="89"/>
        <v>-287.10613912696829</v>
      </c>
      <c r="O5731" t="s">
        <v>605</v>
      </c>
      <c r="Q5731" s="2"/>
    </row>
    <row r="5732" spans="1:17" ht="15.75" x14ac:dyDescent="0.25">
      <c r="A5732" s="22">
        <v>45820</v>
      </c>
      <c r="B5732" s="1" t="s">
        <v>1268</v>
      </c>
      <c r="C5732" t="s">
        <v>4332</v>
      </c>
      <c r="D5732" s="23">
        <v>-200000</v>
      </c>
      <c r="E5732" t="s">
        <v>35</v>
      </c>
      <c r="F5732" s="2">
        <v>110114001</v>
      </c>
      <c r="G5732" s="2" t="s">
        <v>181</v>
      </c>
      <c r="I5732" s="95" t="s">
        <v>7231</v>
      </c>
      <c r="J5732" t="s">
        <v>37</v>
      </c>
      <c r="K5732" t="s">
        <v>38</v>
      </c>
      <c r="M5732">
        <v>100.34</v>
      </c>
      <c r="N5732" s="4">
        <f t="shared" si="89"/>
        <v>-1993.2230416583616</v>
      </c>
      <c r="O5732" t="s">
        <v>605</v>
      </c>
      <c r="P5732" s="37" t="s">
        <v>1279</v>
      </c>
      <c r="Q5732" s="2"/>
    </row>
    <row r="5733" spans="1:17" x14ac:dyDescent="0.25">
      <c r="A5733" s="22">
        <v>45820</v>
      </c>
      <c r="B5733" s="1" t="s">
        <v>615</v>
      </c>
      <c r="C5733" t="s">
        <v>4334</v>
      </c>
      <c r="D5733" s="23">
        <v>-5429.84</v>
      </c>
      <c r="E5733" t="s">
        <v>35</v>
      </c>
      <c r="F5733" s="2">
        <v>210101001</v>
      </c>
      <c r="G5733" s="2" t="s">
        <v>36</v>
      </c>
      <c r="I5733" s="95" t="s">
        <v>7231</v>
      </c>
      <c r="J5733" t="s">
        <v>928</v>
      </c>
      <c r="K5733" t="s">
        <v>929</v>
      </c>
      <c r="M5733">
        <v>100.34</v>
      </c>
      <c r="N5733" s="4">
        <f t="shared" si="89"/>
        <v>-54.11441100259119</v>
      </c>
      <c r="O5733" t="s">
        <v>605</v>
      </c>
      <c r="Q5733" s="2"/>
    </row>
    <row r="5734" spans="1:17" x14ac:dyDescent="0.25">
      <c r="A5734" s="22">
        <v>45820</v>
      </c>
      <c r="B5734" s="1" t="s">
        <v>1896</v>
      </c>
      <c r="C5734" t="s">
        <v>4335</v>
      </c>
      <c r="D5734" s="23">
        <v>-26628.639999999999</v>
      </c>
      <c r="E5734" t="s">
        <v>35</v>
      </c>
      <c r="F5734" s="2">
        <v>210101001</v>
      </c>
      <c r="G5734" s="2" t="s">
        <v>36</v>
      </c>
      <c r="I5734" s="95" t="s">
        <v>7231</v>
      </c>
      <c r="J5734" t="s">
        <v>1301</v>
      </c>
      <c r="K5734" t="s">
        <v>1302</v>
      </c>
      <c r="M5734">
        <v>100.34</v>
      </c>
      <c r="N5734" s="4">
        <f t="shared" si="89"/>
        <v>-265.38409408012757</v>
      </c>
      <c r="O5734" t="s">
        <v>605</v>
      </c>
      <c r="Q5734" s="2"/>
    </row>
    <row r="5735" spans="1:17" x14ac:dyDescent="0.25">
      <c r="A5735" s="22">
        <v>45820</v>
      </c>
      <c r="B5735" s="1" t="s">
        <v>613</v>
      </c>
      <c r="C5735" t="s">
        <v>4336</v>
      </c>
      <c r="D5735" s="23">
        <v>-11173.86</v>
      </c>
      <c r="E5735" t="s">
        <v>35</v>
      </c>
      <c r="F5735" s="2">
        <v>210101001</v>
      </c>
      <c r="G5735" s="2" t="s">
        <v>36</v>
      </c>
      <c r="I5735" s="95" t="s">
        <v>7231</v>
      </c>
      <c r="J5735" t="s">
        <v>928</v>
      </c>
      <c r="K5735" t="s">
        <v>929</v>
      </c>
      <c r="M5735">
        <v>100.34</v>
      </c>
      <c r="N5735" s="4">
        <f t="shared" si="89"/>
        <v>-111.3599760813235</v>
      </c>
      <c r="O5735" t="s">
        <v>605</v>
      </c>
      <c r="Q5735" s="2"/>
    </row>
    <row r="5736" spans="1:17" x14ac:dyDescent="0.25">
      <c r="A5736" s="22">
        <v>45820</v>
      </c>
      <c r="B5736" s="1" t="s">
        <v>624</v>
      </c>
      <c r="C5736" t="s">
        <v>622</v>
      </c>
      <c r="D5736" s="23">
        <v>-81.489999999999995</v>
      </c>
      <c r="E5736" t="s">
        <v>35</v>
      </c>
      <c r="F5736" s="2">
        <v>610148001</v>
      </c>
      <c r="G5736" s="2" t="s">
        <v>41</v>
      </c>
      <c r="I5736" s="95" t="s">
        <v>7231</v>
      </c>
      <c r="J5736" t="s">
        <v>42</v>
      </c>
      <c r="K5736" t="s">
        <v>41</v>
      </c>
      <c r="M5736">
        <v>100.34</v>
      </c>
      <c r="N5736" s="4">
        <f t="shared" si="89"/>
        <v>-0.81213872832369938</v>
      </c>
      <c r="O5736" t="s">
        <v>605</v>
      </c>
      <c r="Q5736" s="42" t="s">
        <v>3649</v>
      </c>
    </row>
    <row r="5737" spans="1:17" x14ac:dyDescent="0.25">
      <c r="A5737" s="22">
        <v>45820</v>
      </c>
      <c r="B5737" s="1" t="s">
        <v>623</v>
      </c>
      <c r="C5737" t="s">
        <v>622</v>
      </c>
      <c r="D5737" s="23">
        <v>-27.93</v>
      </c>
      <c r="E5737" t="s">
        <v>35</v>
      </c>
      <c r="F5737" s="2">
        <v>610148001</v>
      </c>
      <c r="G5737" s="2" t="s">
        <v>41</v>
      </c>
      <c r="I5737" s="95" t="s">
        <v>7231</v>
      </c>
      <c r="J5737" t="s">
        <v>42</v>
      </c>
      <c r="K5737" t="s">
        <v>41</v>
      </c>
      <c r="M5737">
        <v>100.34</v>
      </c>
      <c r="N5737" s="4">
        <f t="shared" si="89"/>
        <v>-0.27835359776759017</v>
      </c>
      <c r="O5737" t="s">
        <v>605</v>
      </c>
      <c r="Q5737" s="42" t="s">
        <v>3649</v>
      </c>
    </row>
    <row r="5738" spans="1:17" x14ac:dyDescent="0.25">
      <c r="A5738" s="22">
        <v>45820</v>
      </c>
      <c r="B5738" s="1" t="s">
        <v>625</v>
      </c>
      <c r="C5738" t="s">
        <v>622</v>
      </c>
      <c r="D5738" s="23">
        <v>-13.57</v>
      </c>
      <c r="E5738" t="s">
        <v>35</v>
      </c>
      <c r="F5738" s="2">
        <v>610148001</v>
      </c>
      <c r="G5738" s="2" t="s">
        <v>41</v>
      </c>
      <c r="I5738" s="95" t="s">
        <v>7231</v>
      </c>
      <c r="J5738" t="s">
        <v>42</v>
      </c>
      <c r="K5738" t="s">
        <v>41</v>
      </c>
      <c r="M5738">
        <v>100.34</v>
      </c>
      <c r="N5738" s="4">
        <f t="shared" si="89"/>
        <v>-0.13524018337651983</v>
      </c>
      <c r="O5738" t="s">
        <v>605</v>
      </c>
      <c r="Q5738" s="42" t="s">
        <v>3649</v>
      </c>
    </row>
    <row r="5739" spans="1:17" x14ac:dyDescent="0.25">
      <c r="A5739" s="22">
        <v>45820</v>
      </c>
      <c r="B5739" s="1" t="s">
        <v>1272</v>
      </c>
      <c r="C5739" t="s">
        <v>622</v>
      </c>
      <c r="D5739" s="23">
        <v>-65.42</v>
      </c>
      <c r="E5739" t="s">
        <v>35</v>
      </c>
      <c r="F5739" s="2">
        <v>610148001</v>
      </c>
      <c r="G5739" s="2" t="s">
        <v>41</v>
      </c>
      <c r="I5739" s="95" t="s">
        <v>7231</v>
      </c>
      <c r="J5739" t="s">
        <v>42</v>
      </c>
      <c r="K5739" t="s">
        <v>41</v>
      </c>
      <c r="M5739">
        <v>100.34</v>
      </c>
      <c r="N5739" s="4">
        <f t="shared" si="89"/>
        <v>-0.65198325692645009</v>
      </c>
      <c r="O5739" t="s">
        <v>605</v>
      </c>
      <c r="Q5739" s="42" t="s">
        <v>3649</v>
      </c>
    </row>
    <row r="5740" spans="1:17" x14ac:dyDescent="0.25">
      <c r="A5740" s="22">
        <v>45820</v>
      </c>
      <c r="B5740" s="1" t="s">
        <v>1271</v>
      </c>
      <c r="C5740" t="s">
        <v>622</v>
      </c>
      <c r="D5740" s="23">
        <v>-500</v>
      </c>
      <c r="E5740" t="s">
        <v>35</v>
      </c>
      <c r="F5740" s="2">
        <v>610148001</v>
      </c>
      <c r="G5740" s="2" t="s">
        <v>41</v>
      </c>
      <c r="I5740" s="95" t="s">
        <v>7231</v>
      </c>
      <c r="J5740" t="s">
        <v>42</v>
      </c>
      <c r="K5740" t="s">
        <v>41</v>
      </c>
      <c r="M5740">
        <v>100.34</v>
      </c>
      <c r="N5740" s="4">
        <f t="shared" si="89"/>
        <v>-4.9830576041459036</v>
      </c>
      <c r="O5740" t="s">
        <v>605</v>
      </c>
      <c r="Q5740" s="42" t="s">
        <v>3649</v>
      </c>
    </row>
    <row r="5741" spans="1:17" x14ac:dyDescent="0.25">
      <c r="A5741" s="22">
        <v>45820</v>
      </c>
      <c r="B5741" s="1" t="s">
        <v>621</v>
      </c>
      <c r="C5741" t="s">
        <v>622</v>
      </c>
      <c r="D5741" s="23">
        <v>-72.02</v>
      </c>
      <c r="E5741" t="s">
        <v>35</v>
      </c>
      <c r="F5741" s="2">
        <v>610148001</v>
      </c>
      <c r="G5741" s="2" t="s">
        <v>41</v>
      </c>
      <c r="I5741" s="95" t="s">
        <v>7231</v>
      </c>
      <c r="J5741" t="s">
        <v>42</v>
      </c>
      <c r="K5741" t="s">
        <v>41</v>
      </c>
      <c r="M5741">
        <v>100.34</v>
      </c>
      <c r="N5741" s="4">
        <f t="shared" si="89"/>
        <v>-0.71775961730117599</v>
      </c>
      <c r="O5741" t="s">
        <v>605</v>
      </c>
      <c r="Q5741" s="42" t="s">
        <v>3649</v>
      </c>
    </row>
    <row r="5742" spans="1:17" x14ac:dyDescent="0.25">
      <c r="A5742" s="22">
        <v>45820</v>
      </c>
      <c r="B5742" s="1" t="s">
        <v>1917</v>
      </c>
      <c r="C5742" t="s">
        <v>622</v>
      </c>
      <c r="D5742" s="23">
        <v>-66.569999999999993</v>
      </c>
      <c r="E5742" t="s">
        <v>35</v>
      </c>
      <c r="F5742" s="2">
        <v>610148001</v>
      </c>
      <c r="G5742" s="2" t="s">
        <v>41</v>
      </c>
      <c r="I5742" s="95" t="s">
        <v>7231</v>
      </c>
      <c r="J5742" t="s">
        <v>42</v>
      </c>
      <c r="K5742" t="s">
        <v>41</v>
      </c>
      <c r="M5742">
        <v>100.34</v>
      </c>
      <c r="N5742" s="4">
        <f t="shared" si="89"/>
        <v>-0.66344428941598554</v>
      </c>
      <c r="O5742" t="s">
        <v>605</v>
      </c>
      <c r="Q5742" s="42" t="s">
        <v>3649</v>
      </c>
    </row>
    <row r="5743" spans="1:17" x14ac:dyDescent="0.25">
      <c r="A5743" s="22">
        <v>45821</v>
      </c>
      <c r="B5743" s="1" t="s">
        <v>4337</v>
      </c>
      <c r="C5743" t="s">
        <v>293</v>
      </c>
      <c r="D5743" s="23">
        <v>1060000</v>
      </c>
      <c r="E5743" t="s">
        <v>45</v>
      </c>
      <c r="F5743" s="2">
        <v>210115002</v>
      </c>
      <c r="G5743" s="2" t="s">
        <v>46</v>
      </c>
      <c r="I5743" s="95" t="s">
        <v>7231</v>
      </c>
      <c r="K5743" t="s">
        <v>293</v>
      </c>
      <c r="M5743">
        <v>101.08</v>
      </c>
      <c r="N5743" s="4">
        <f t="shared" si="89"/>
        <v>10486.743173723784</v>
      </c>
      <c r="O5743" t="s">
        <v>605</v>
      </c>
      <c r="Q5743" s="2"/>
    </row>
    <row r="5744" spans="1:17" x14ac:dyDescent="0.25">
      <c r="A5744" s="22">
        <v>45821</v>
      </c>
      <c r="B5744" s="1" t="s">
        <v>4338</v>
      </c>
      <c r="C5744" t="s">
        <v>3646</v>
      </c>
      <c r="D5744" s="23">
        <v>40000</v>
      </c>
      <c r="E5744" t="s">
        <v>45</v>
      </c>
      <c r="F5744" s="2">
        <v>210115002</v>
      </c>
      <c r="G5744" s="2" t="s">
        <v>46</v>
      </c>
      <c r="I5744" s="95" t="s">
        <v>7231</v>
      </c>
      <c r="K5744" t="s">
        <v>3646</v>
      </c>
      <c r="M5744">
        <v>101.08</v>
      </c>
      <c r="N5744" s="4">
        <f t="shared" si="89"/>
        <v>395.7261574990107</v>
      </c>
      <c r="O5744" t="s">
        <v>605</v>
      </c>
      <c r="Q5744" s="2"/>
    </row>
    <row r="5745" spans="1:17" x14ac:dyDescent="0.25">
      <c r="A5745" s="22">
        <v>45821</v>
      </c>
      <c r="B5745" s="1" t="s">
        <v>615</v>
      </c>
      <c r="C5745" t="s">
        <v>4339</v>
      </c>
      <c r="D5745" s="23">
        <v>-6064.8</v>
      </c>
      <c r="E5745" t="s">
        <v>35</v>
      </c>
      <c r="F5745" s="2">
        <v>212901001</v>
      </c>
      <c r="G5745" s="2" t="s">
        <v>91</v>
      </c>
      <c r="I5745" s="95" t="s">
        <v>7231</v>
      </c>
      <c r="J5745" t="s">
        <v>61</v>
      </c>
      <c r="K5745" t="s">
        <v>62</v>
      </c>
      <c r="M5745">
        <v>101.08</v>
      </c>
      <c r="N5745" s="4">
        <f t="shared" si="89"/>
        <v>-60</v>
      </c>
      <c r="O5745" t="s">
        <v>605</v>
      </c>
      <c r="Q5745" s="2"/>
    </row>
    <row r="5746" spans="1:17" x14ac:dyDescent="0.25">
      <c r="A5746" s="22">
        <v>45821</v>
      </c>
      <c r="B5746" s="1" t="s">
        <v>1994</v>
      </c>
      <c r="C5746" t="s">
        <v>4340</v>
      </c>
      <c r="D5746" s="23">
        <v>-64048.72</v>
      </c>
      <c r="E5746" t="s">
        <v>35</v>
      </c>
      <c r="F5746" s="2">
        <v>210101001</v>
      </c>
      <c r="G5746" s="2" t="s">
        <v>36</v>
      </c>
      <c r="I5746" s="95" t="s">
        <v>7231</v>
      </c>
      <c r="J5746" t="s">
        <v>502</v>
      </c>
      <c r="K5746" t="s">
        <v>503</v>
      </c>
      <c r="M5746">
        <v>101.08</v>
      </c>
      <c r="N5746" s="4">
        <f t="shared" si="89"/>
        <v>-633.64384645825089</v>
      </c>
      <c r="O5746" t="s">
        <v>605</v>
      </c>
      <c r="Q5746" s="2"/>
    </row>
    <row r="5747" spans="1:17" x14ac:dyDescent="0.25">
      <c r="A5747" s="22">
        <v>45821</v>
      </c>
      <c r="B5747" s="1" t="s">
        <v>1900</v>
      </c>
      <c r="C5747" t="s">
        <v>4341</v>
      </c>
      <c r="D5747" s="23">
        <v>-326.11</v>
      </c>
      <c r="E5747" t="s">
        <v>35</v>
      </c>
      <c r="F5747" s="2">
        <v>210101001</v>
      </c>
      <c r="G5747" s="2" t="s">
        <v>36</v>
      </c>
      <c r="I5747" s="95" t="s">
        <v>7231</v>
      </c>
      <c r="J5747" t="s">
        <v>631</v>
      </c>
      <c r="K5747" t="s">
        <v>632</v>
      </c>
      <c r="M5747">
        <v>101.08</v>
      </c>
      <c r="N5747" s="4">
        <f t="shared" si="89"/>
        <v>-3.2262564305500594</v>
      </c>
      <c r="O5747" t="s">
        <v>605</v>
      </c>
      <c r="Q5747" s="2"/>
    </row>
    <row r="5748" spans="1:17" x14ac:dyDescent="0.25">
      <c r="A5748" s="33">
        <v>45821</v>
      </c>
      <c r="B5748" s="27" t="s">
        <v>613</v>
      </c>
      <c r="C5748" s="28" t="s">
        <v>52</v>
      </c>
      <c r="D5748" s="29">
        <v>-12129.6</v>
      </c>
      <c r="E5748" s="28" t="s">
        <v>35</v>
      </c>
      <c r="F5748" s="30">
        <v>610129001</v>
      </c>
      <c r="G5748" s="30" t="s">
        <v>53</v>
      </c>
      <c r="H5748" s="30"/>
      <c r="I5748" s="95" t="s">
        <v>7231</v>
      </c>
      <c r="J5748" s="28" t="s">
        <v>54</v>
      </c>
      <c r="K5748" s="28" t="s">
        <v>55</v>
      </c>
      <c r="L5748" s="28" t="s">
        <v>56</v>
      </c>
      <c r="M5748" s="28">
        <v>101.08</v>
      </c>
      <c r="N5748" s="4">
        <f t="shared" si="89"/>
        <v>-120</v>
      </c>
      <c r="O5748" t="s">
        <v>605</v>
      </c>
      <c r="Q5748" s="42" t="s">
        <v>4342</v>
      </c>
    </row>
    <row r="5749" spans="1:17" x14ac:dyDescent="0.25">
      <c r="A5749" s="22">
        <v>45821</v>
      </c>
      <c r="B5749" s="1" t="s">
        <v>1886</v>
      </c>
      <c r="C5749" t="s">
        <v>4343</v>
      </c>
      <c r="D5749" s="23">
        <v>-1304.44</v>
      </c>
      <c r="E5749" t="s">
        <v>35</v>
      </c>
      <c r="F5749" s="2">
        <v>210101001</v>
      </c>
      <c r="G5749" s="2" t="s">
        <v>36</v>
      </c>
      <c r="I5749" s="95" t="s">
        <v>7231</v>
      </c>
      <c r="J5749" t="s">
        <v>631</v>
      </c>
      <c r="K5749" t="s">
        <v>632</v>
      </c>
      <c r="M5749">
        <v>101.08</v>
      </c>
      <c r="N5749" s="4">
        <f t="shared" si="89"/>
        <v>-12.905025722200238</v>
      </c>
      <c r="O5749" t="s">
        <v>605</v>
      </c>
      <c r="Q5749" s="2"/>
    </row>
    <row r="5750" spans="1:17" x14ac:dyDescent="0.25">
      <c r="A5750" s="33">
        <v>45821</v>
      </c>
      <c r="B5750" s="27" t="s">
        <v>1898</v>
      </c>
      <c r="C5750" s="28" t="s">
        <v>4344</v>
      </c>
      <c r="D5750" s="29">
        <v>-10108</v>
      </c>
      <c r="E5750" s="28" t="s">
        <v>35</v>
      </c>
      <c r="F5750" s="30">
        <v>610156001</v>
      </c>
      <c r="G5750" s="30" t="s">
        <v>72</v>
      </c>
      <c r="H5750" s="30"/>
      <c r="I5750" s="95" t="s">
        <v>7231</v>
      </c>
      <c r="J5750" s="28" t="s">
        <v>73</v>
      </c>
      <c r="K5750" s="28" t="s">
        <v>74</v>
      </c>
      <c r="L5750" s="28" t="s">
        <v>56</v>
      </c>
      <c r="M5750" s="28">
        <v>101.08</v>
      </c>
      <c r="N5750" s="4">
        <f t="shared" si="89"/>
        <v>-100</v>
      </c>
      <c r="O5750" t="s">
        <v>605</v>
      </c>
      <c r="Q5750" s="42" t="s">
        <v>4345</v>
      </c>
    </row>
    <row r="5751" spans="1:17" x14ac:dyDescent="0.25">
      <c r="A5751" s="22">
        <v>45821</v>
      </c>
      <c r="B5751" s="1" t="s">
        <v>1983</v>
      </c>
      <c r="C5751" t="s">
        <v>3285</v>
      </c>
      <c r="D5751" s="23">
        <v>-11087.17</v>
      </c>
      <c r="E5751" t="s">
        <v>35</v>
      </c>
      <c r="F5751" s="2">
        <v>110101002</v>
      </c>
      <c r="G5751" s="2" t="s">
        <v>2771</v>
      </c>
      <c r="I5751" s="95" t="s">
        <v>7231</v>
      </c>
      <c r="K5751" t="s">
        <v>3285</v>
      </c>
      <c r="M5751">
        <v>101.08</v>
      </c>
      <c r="N5751" s="4">
        <f t="shared" si="89"/>
        <v>-109.68707954095765</v>
      </c>
      <c r="O5751" t="s">
        <v>605</v>
      </c>
      <c r="Q5751" s="2"/>
    </row>
    <row r="5752" spans="1:17" x14ac:dyDescent="0.25">
      <c r="A5752" s="22">
        <v>45821</v>
      </c>
      <c r="B5752" s="1" t="s">
        <v>1907</v>
      </c>
      <c r="C5752" t="s">
        <v>4340</v>
      </c>
      <c r="D5752" s="23">
        <v>-200000</v>
      </c>
      <c r="E5752" t="s">
        <v>35</v>
      </c>
      <c r="F5752" s="2">
        <v>210101001</v>
      </c>
      <c r="G5752" s="2" t="s">
        <v>36</v>
      </c>
      <c r="I5752" s="95" t="s">
        <v>7231</v>
      </c>
      <c r="J5752" t="s">
        <v>502</v>
      </c>
      <c r="K5752" t="s">
        <v>503</v>
      </c>
      <c r="M5752">
        <v>101.08</v>
      </c>
      <c r="N5752" s="4">
        <f t="shared" si="89"/>
        <v>-1978.6307874950535</v>
      </c>
      <c r="O5752" t="s">
        <v>605</v>
      </c>
      <c r="Q5752" s="2"/>
    </row>
    <row r="5753" spans="1:17" ht="15.75" x14ac:dyDescent="0.25">
      <c r="A5753" s="22">
        <v>45821</v>
      </c>
      <c r="B5753" s="1" t="s">
        <v>1894</v>
      </c>
      <c r="C5753" t="s">
        <v>4346</v>
      </c>
      <c r="D5753" s="23">
        <v>-62932.32</v>
      </c>
      <c r="E5753" t="s">
        <v>35</v>
      </c>
      <c r="F5753" s="2">
        <v>110114001</v>
      </c>
      <c r="G5753" s="2" t="s">
        <v>181</v>
      </c>
      <c r="I5753" s="95" t="s">
        <v>7231</v>
      </c>
      <c r="J5753" t="s">
        <v>37</v>
      </c>
      <c r="K5753" t="s">
        <v>38</v>
      </c>
      <c r="M5753">
        <v>101.08</v>
      </c>
      <c r="N5753" s="4">
        <f t="shared" si="89"/>
        <v>-622.59912940245351</v>
      </c>
      <c r="O5753" t="s">
        <v>605</v>
      </c>
      <c r="P5753" s="37" t="s">
        <v>1279</v>
      </c>
      <c r="Q5753" s="2"/>
    </row>
    <row r="5754" spans="1:17" x14ac:dyDescent="0.25">
      <c r="A5754" s="22">
        <v>45821</v>
      </c>
      <c r="B5754" s="1" t="s">
        <v>1904</v>
      </c>
      <c r="C5754" t="s">
        <v>4347</v>
      </c>
      <c r="D5754" s="23">
        <v>-1010.8</v>
      </c>
      <c r="E5754" t="s">
        <v>35</v>
      </c>
      <c r="F5754" s="2">
        <v>212901001</v>
      </c>
      <c r="G5754" s="2" t="s">
        <v>91</v>
      </c>
      <c r="I5754" s="95" t="s">
        <v>7231</v>
      </c>
      <c r="J5754" t="s">
        <v>61</v>
      </c>
      <c r="K5754" t="s">
        <v>62</v>
      </c>
      <c r="M5754">
        <v>101.08</v>
      </c>
      <c r="N5754" s="4">
        <f t="shared" si="89"/>
        <v>-10</v>
      </c>
      <c r="O5754" t="s">
        <v>605</v>
      </c>
      <c r="Q5754" s="2"/>
    </row>
    <row r="5755" spans="1:17" x14ac:dyDescent="0.25">
      <c r="A5755" s="22">
        <v>45821</v>
      </c>
      <c r="B5755" s="1" t="s">
        <v>1267</v>
      </c>
      <c r="C5755" t="s">
        <v>4348</v>
      </c>
      <c r="D5755" s="23">
        <v>-2021.6</v>
      </c>
      <c r="E5755" t="s">
        <v>35</v>
      </c>
      <c r="F5755" s="2">
        <v>212901001</v>
      </c>
      <c r="G5755" s="2" t="s">
        <v>91</v>
      </c>
      <c r="I5755" s="95" t="s">
        <v>7231</v>
      </c>
      <c r="J5755" t="s">
        <v>61</v>
      </c>
      <c r="K5755" t="s">
        <v>62</v>
      </c>
      <c r="M5755">
        <v>101.08</v>
      </c>
      <c r="N5755" s="4">
        <f t="shared" si="89"/>
        <v>-20</v>
      </c>
      <c r="O5755" t="s">
        <v>605</v>
      </c>
      <c r="Q5755" s="2"/>
    </row>
    <row r="5756" spans="1:17" x14ac:dyDescent="0.25">
      <c r="A5756" s="22">
        <v>45821</v>
      </c>
      <c r="B5756" s="1" t="s">
        <v>617</v>
      </c>
      <c r="C5756" t="s">
        <v>4349</v>
      </c>
      <c r="D5756" s="23">
        <v>-3032.4</v>
      </c>
      <c r="E5756" t="s">
        <v>35</v>
      </c>
      <c r="F5756" s="2">
        <v>212901001</v>
      </c>
      <c r="G5756" s="2" t="s">
        <v>91</v>
      </c>
      <c r="I5756" s="95" t="s">
        <v>7231</v>
      </c>
      <c r="J5756" t="s">
        <v>61</v>
      </c>
      <c r="K5756" t="s">
        <v>62</v>
      </c>
      <c r="M5756">
        <v>101.08</v>
      </c>
      <c r="N5756" s="4">
        <f t="shared" si="89"/>
        <v>-30</v>
      </c>
      <c r="O5756" t="s">
        <v>605</v>
      </c>
      <c r="Q5756" s="2"/>
    </row>
    <row r="5757" spans="1:17" ht="15.75" x14ac:dyDescent="0.25">
      <c r="A5757" s="22">
        <v>45821</v>
      </c>
      <c r="B5757" s="1" t="s">
        <v>2028</v>
      </c>
      <c r="C5757" t="s">
        <v>4350</v>
      </c>
      <c r="D5757" s="23">
        <v>-183753.28</v>
      </c>
      <c r="E5757" t="s">
        <v>35</v>
      </c>
      <c r="F5757" s="2">
        <v>110114001</v>
      </c>
      <c r="G5757" s="2" t="s">
        <v>181</v>
      </c>
      <c r="I5757" s="95" t="s">
        <v>7231</v>
      </c>
      <c r="J5757" t="s">
        <v>37</v>
      </c>
      <c r="K5757" t="s">
        <v>38</v>
      </c>
      <c r="M5757">
        <v>101.08</v>
      </c>
      <c r="N5757" s="4">
        <f t="shared" si="89"/>
        <v>-1817.8994855559952</v>
      </c>
      <c r="O5757" t="s">
        <v>605</v>
      </c>
      <c r="P5757" s="37" t="s">
        <v>1279</v>
      </c>
      <c r="Q5757" s="2"/>
    </row>
    <row r="5758" spans="1:17" x14ac:dyDescent="0.25">
      <c r="A5758" s="22">
        <v>45821</v>
      </c>
      <c r="B5758" s="1" t="s">
        <v>619</v>
      </c>
      <c r="C5758" t="s">
        <v>4351</v>
      </c>
      <c r="D5758" s="23">
        <v>-4043.2</v>
      </c>
      <c r="E5758" t="s">
        <v>35</v>
      </c>
      <c r="F5758" s="2">
        <v>212901001</v>
      </c>
      <c r="G5758" s="2" t="s">
        <v>91</v>
      </c>
      <c r="I5758" s="95" t="s">
        <v>7231</v>
      </c>
      <c r="J5758" t="s">
        <v>61</v>
      </c>
      <c r="K5758" t="s">
        <v>62</v>
      </c>
      <c r="M5758">
        <v>101.08</v>
      </c>
      <c r="N5758" s="4">
        <f t="shared" si="89"/>
        <v>-40</v>
      </c>
      <c r="O5758" t="s">
        <v>605</v>
      </c>
      <c r="Q5758" s="2"/>
    </row>
    <row r="5759" spans="1:17" x14ac:dyDescent="0.25">
      <c r="A5759" s="22">
        <v>45821</v>
      </c>
      <c r="B5759" s="1" t="s">
        <v>1936</v>
      </c>
      <c r="C5759" t="s">
        <v>4352</v>
      </c>
      <c r="D5759" s="23">
        <v>-4043.2</v>
      </c>
      <c r="E5759" t="s">
        <v>35</v>
      </c>
      <c r="F5759" s="2">
        <v>212901001</v>
      </c>
      <c r="G5759" s="2" t="s">
        <v>91</v>
      </c>
      <c r="I5759" s="95" t="s">
        <v>7231</v>
      </c>
      <c r="J5759" t="s">
        <v>61</v>
      </c>
      <c r="K5759" t="s">
        <v>62</v>
      </c>
      <c r="M5759">
        <v>101.08</v>
      </c>
      <c r="N5759" s="4">
        <f t="shared" si="89"/>
        <v>-40</v>
      </c>
      <c r="O5759" t="s">
        <v>605</v>
      </c>
      <c r="Q5759" s="2"/>
    </row>
    <row r="5760" spans="1:17" x14ac:dyDescent="0.25">
      <c r="A5760" s="22">
        <v>45821</v>
      </c>
      <c r="B5760" s="1" t="s">
        <v>1938</v>
      </c>
      <c r="C5760" t="s">
        <v>4353</v>
      </c>
      <c r="D5760" s="23">
        <v>-26520</v>
      </c>
      <c r="E5760" t="s">
        <v>35</v>
      </c>
      <c r="F5760" s="2">
        <v>210101001</v>
      </c>
      <c r="G5760" s="2" t="s">
        <v>36</v>
      </c>
      <c r="I5760" s="95" t="s">
        <v>7231</v>
      </c>
      <c r="J5760" t="s">
        <v>414</v>
      </c>
      <c r="K5760" t="s">
        <v>415</v>
      </c>
      <c r="M5760">
        <v>101.08</v>
      </c>
      <c r="N5760" s="4">
        <f t="shared" si="89"/>
        <v>-262.36644242184411</v>
      </c>
      <c r="O5760" t="s">
        <v>605</v>
      </c>
      <c r="Q5760" s="2"/>
    </row>
    <row r="5761" spans="1:17" x14ac:dyDescent="0.25">
      <c r="A5761" s="33">
        <v>45821</v>
      </c>
      <c r="B5761" s="27" t="s">
        <v>1909</v>
      </c>
      <c r="C5761" s="28" t="s">
        <v>4354</v>
      </c>
      <c r="D5761" s="29">
        <v>-4548.6000000000004</v>
      </c>
      <c r="E5761" s="28" t="s">
        <v>35</v>
      </c>
      <c r="F5761" s="30">
        <v>610156001</v>
      </c>
      <c r="G5761" s="30" t="s">
        <v>72</v>
      </c>
      <c r="H5761" s="30"/>
      <c r="I5761" s="95" t="s">
        <v>7231</v>
      </c>
      <c r="J5761" s="28" t="s">
        <v>2398</v>
      </c>
      <c r="K5761" s="28" t="s">
        <v>632</v>
      </c>
      <c r="L5761" s="28" t="s">
        <v>56</v>
      </c>
      <c r="M5761" s="28">
        <v>101.08</v>
      </c>
      <c r="N5761" s="4">
        <f t="shared" si="89"/>
        <v>-45.000000000000007</v>
      </c>
      <c r="O5761" t="s">
        <v>605</v>
      </c>
      <c r="Q5761" s="42" t="s">
        <v>4355</v>
      </c>
    </row>
    <row r="5762" spans="1:17" x14ac:dyDescent="0.25">
      <c r="A5762" s="22">
        <v>45821</v>
      </c>
      <c r="B5762" s="1" t="s">
        <v>1888</v>
      </c>
      <c r="C5762" t="s">
        <v>4356</v>
      </c>
      <c r="D5762" s="23">
        <v>-88020.06</v>
      </c>
      <c r="E5762" t="s">
        <v>35</v>
      </c>
      <c r="F5762" s="2">
        <v>210101001</v>
      </c>
      <c r="G5762" s="2" t="s">
        <v>36</v>
      </c>
      <c r="I5762" s="95" t="s">
        <v>7231</v>
      </c>
      <c r="J5762" t="s">
        <v>37</v>
      </c>
      <c r="K5762" t="s">
        <v>38</v>
      </c>
      <c r="M5762">
        <v>101.08</v>
      </c>
      <c r="N5762" s="4">
        <f t="shared" si="89"/>
        <v>-870.79600316580922</v>
      </c>
      <c r="O5762" t="s">
        <v>605</v>
      </c>
      <c r="Q5762" s="2"/>
    </row>
    <row r="5763" spans="1:17" x14ac:dyDescent="0.25">
      <c r="A5763" s="22">
        <v>45821</v>
      </c>
      <c r="B5763" s="1" t="s">
        <v>1994</v>
      </c>
      <c r="C5763" t="s">
        <v>4340</v>
      </c>
      <c r="D5763" s="23">
        <v>-200000</v>
      </c>
      <c r="E5763" t="s">
        <v>35</v>
      </c>
      <c r="F5763" s="2">
        <v>210101001</v>
      </c>
      <c r="G5763" s="2" t="s">
        <v>36</v>
      </c>
      <c r="I5763" s="95" t="s">
        <v>7231</v>
      </c>
      <c r="J5763" t="s">
        <v>502</v>
      </c>
      <c r="K5763" t="s">
        <v>503</v>
      </c>
      <c r="M5763">
        <v>101.08</v>
      </c>
      <c r="N5763" s="4">
        <f t="shared" si="89"/>
        <v>-1978.6307874950535</v>
      </c>
      <c r="O5763" t="s">
        <v>605</v>
      </c>
      <c r="Q5763" s="2"/>
    </row>
    <row r="5764" spans="1:17" x14ac:dyDescent="0.25">
      <c r="A5764" s="33">
        <v>45821</v>
      </c>
      <c r="B5764" s="27" t="s">
        <v>1268</v>
      </c>
      <c r="C5764" s="28" t="s">
        <v>4357</v>
      </c>
      <c r="D5764" s="29">
        <v>-4043.2</v>
      </c>
      <c r="E5764" s="28" t="s">
        <v>35</v>
      </c>
      <c r="F5764" s="30">
        <v>610125001</v>
      </c>
      <c r="G5764" s="30" t="s">
        <v>2536</v>
      </c>
      <c r="H5764" s="30"/>
      <c r="I5764" s="95" t="s">
        <v>7231</v>
      </c>
      <c r="J5764" s="28" t="s">
        <v>406</v>
      </c>
      <c r="K5764" s="28" t="s">
        <v>407</v>
      </c>
      <c r="L5764" s="28" t="s">
        <v>56</v>
      </c>
      <c r="M5764" s="28">
        <v>101.08</v>
      </c>
      <c r="N5764" s="4">
        <f t="shared" si="89"/>
        <v>-40</v>
      </c>
      <c r="O5764" t="s">
        <v>605</v>
      </c>
      <c r="Q5764" s="42" t="s">
        <v>4358</v>
      </c>
    </row>
    <row r="5765" spans="1:17" x14ac:dyDescent="0.25">
      <c r="A5765" s="22">
        <v>45821</v>
      </c>
      <c r="B5765" s="1" t="s">
        <v>1896</v>
      </c>
      <c r="C5765" t="s">
        <v>4359</v>
      </c>
      <c r="D5765" s="23">
        <v>-2021.6</v>
      </c>
      <c r="E5765" t="s">
        <v>35</v>
      </c>
      <c r="F5765" s="2">
        <v>212901001</v>
      </c>
      <c r="G5765" s="2" t="s">
        <v>91</v>
      </c>
      <c r="I5765" s="95" t="s">
        <v>7231</v>
      </c>
      <c r="J5765" t="s">
        <v>61</v>
      </c>
      <c r="K5765" t="s">
        <v>62</v>
      </c>
      <c r="M5765">
        <v>101.08</v>
      </c>
      <c r="N5765" s="4">
        <f t="shared" si="89"/>
        <v>-20</v>
      </c>
      <c r="O5765" t="s">
        <v>605</v>
      </c>
      <c r="Q5765" s="2"/>
    </row>
    <row r="5766" spans="1:17" x14ac:dyDescent="0.25">
      <c r="A5766" s="22">
        <v>45821</v>
      </c>
      <c r="B5766" s="1" t="s">
        <v>1892</v>
      </c>
      <c r="C5766" t="s">
        <v>4360</v>
      </c>
      <c r="D5766" s="23">
        <v>-2021.6</v>
      </c>
      <c r="E5766" t="s">
        <v>35</v>
      </c>
      <c r="F5766" s="2">
        <v>212901001</v>
      </c>
      <c r="G5766" s="2" t="s">
        <v>91</v>
      </c>
      <c r="I5766" s="95" t="s">
        <v>7231</v>
      </c>
      <c r="J5766" t="s">
        <v>61</v>
      </c>
      <c r="K5766" t="s">
        <v>62</v>
      </c>
      <c r="M5766">
        <v>101.08</v>
      </c>
      <c r="N5766" s="4">
        <f t="shared" si="89"/>
        <v>-20</v>
      </c>
      <c r="O5766" t="s">
        <v>605</v>
      </c>
      <c r="Q5766" s="2"/>
    </row>
    <row r="5767" spans="1:17" x14ac:dyDescent="0.25">
      <c r="A5767" s="22">
        <v>45821</v>
      </c>
      <c r="B5767" s="1" t="s">
        <v>1994</v>
      </c>
      <c r="C5767" t="s">
        <v>4356</v>
      </c>
      <c r="D5767" s="23">
        <v>-200000</v>
      </c>
      <c r="E5767" t="s">
        <v>35</v>
      </c>
      <c r="F5767" s="2">
        <v>210101001</v>
      </c>
      <c r="G5767" s="2" t="s">
        <v>36</v>
      </c>
      <c r="I5767" s="95" t="s">
        <v>7231</v>
      </c>
      <c r="J5767" t="s">
        <v>37</v>
      </c>
      <c r="K5767" t="s">
        <v>38</v>
      </c>
      <c r="M5767">
        <v>101.08</v>
      </c>
      <c r="N5767" s="4">
        <f t="shared" si="89"/>
        <v>-1978.6307874950535</v>
      </c>
      <c r="O5767" t="s">
        <v>605</v>
      </c>
      <c r="Q5767" s="2"/>
    </row>
    <row r="5768" spans="1:17" x14ac:dyDescent="0.25">
      <c r="A5768" s="22">
        <v>45821</v>
      </c>
      <c r="B5768" s="1" t="s">
        <v>624</v>
      </c>
      <c r="C5768" t="s">
        <v>622</v>
      </c>
      <c r="D5768" s="23">
        <v>-7.58</v>
      </c>
      <c r="E5768" t="s">
        <v>35</v>
      </c>
      <c r="F5768" s="2">
        <v>610148001</v>
      </c>
      <c r="G5768" s="2" t="s">
        <v>41</v>
      </c>
      <c r="I5768" s="95" t="s">
        <v>7231</v>
      </c>
      <c r="J5768" t="s">
        <v>42</v>
      </c>
      <c r="K5768" t="s">
        <v>41</v>
      </c>
      <c r="M5768">
        <v>101.08</v>
      </c>
      <c r="N5768" s="4">
        <f t="shared" si="89"/>
        <v>-7.4990106846062526E-2</v>
      </c>
      <c r="O5768" t="s">
        <v>605</v>
      </c>
      <c r="Q5768" s="42" t="s">
        <v>3649</v>
      </c>
    </row>
    <row r="5769" spans="1:17" x14ac:dyDescent="0.25">
      <c r="A5769" s="22">
        <v>45821</v>
      </c>
      <c r="B5769" s="1" t="s">
        <v>1271</v>
      </c>
      <c r="C5769" t="s">
        <v>622</v>
      </c>
      <c r="D5769" s="23">
        <v>-10.1</v>
      </c>
      <c r="E5769" t="s">
        <v>35</v>
      </c>
      <c r="F5769" s="2">
        <v>610148001</v>
      </c>
      <c r="G5769" s="2" t="s">
        <v>41</v>
      </c>
      <c r="I5769" s="95" t="s">
        <v>7231</v>
      </c>
      <c r="J5769" t="s">
        <v>42</v>
      </c>
      <c r="K5769" t="s">
        <v>41</v>
      </c>
      <c r="M5769">
        <v>101.08</v>
      </c>
      <c r="N5769" s="4">
        <f t="shared" si="89"/>
        <v>-9.9920854768500197E-2</v>
      </c>
      <c r="O5769" t="s">
        <v>605</v>
      </c>
      <c r="Q5769" s="42" t="s">
        <v>3649</v>
      </c>
    </row>
    <row r="5770" spans="1:17" x14ac:dyDescent="0.25">
      <c r="A5770" s="22">
        <v>45821</v>
      </c>
      <c r="B5770" s="1" t="s">
        <v>1914</v>
      </c>
      <c r="C5770" t="s">
        <v>622</v>
      </c>
      <c r="D5770" s="23">
        <v>-3.26</v>
      </c>
      <c r="E5770" t="s">
        <v>35</v>
      </c>
      <c r="F5770" s="2">
        <v>610148001</v>
      </c>
      <c r="G5770" s="2" t="s">
        <v>41</v>
      </c>
      <c r="I5770" s="95" t="s">
        <v>7231</v>
      </c>
      <c r="J5770" t="s">
        <v>42</v>
      </c>
      <c r="K5770" t="s">
        <v>41</v>
      </c>
      <c r="M5770">
        <v>101.08</v>
      </c>
      <c r="N5770" s="4">
        <f t="shared" si="89"/>
        <v>-3.2251681836169367E-2</v>
      </c>
      <c r="O5770" t="s">
        <v>605</v>
      </c>
      <c r="Q5770" s="42" t="s">
        <v>3649</v>
      </c>
    </row>
    <row r="5771" spans="1:17" x14ac:dyDescent="0.25">
      <c r="A5771" s="22">
        <v>45821</v>
      </c>
      <c r="B5771" s="1" t="s">
        <v>2076</v>
      </c>
      <c r="C5771" t="s">
        <v>622</v>
      </c>
      <c r="D5771" s="23">
        <v>-160.12</v>
      </c>
      <c r="E5771" t="s">
        <v>35</v>
      </c>
      <c r="F5771" s="2">
        <v>610148001</v>
      </c>
      <c r="G5771" s="2" t="s">
        <v>41</v>
      </c>
      <c r="I5771" s="95" t="s">
        <v>7231</v>
      </c>
      <c r="J5771" t="s">
        <v>42</v>
      </c>
      <c r="K5771" t="s">
        <v>41</v>
      </c>
      <c r="M5771">
        <v>101.08</v>
      </c>
      <c r="N5771" s="4">
        <f t="shared" si="89"/>
        <v>-1.5840918084685398</v>
      </c>
      <c r="O5771" t="s">
        <v>605</v>
      </c>
      <c r="Q5771" s="42" t="s">
        <v>3649</v>
      </c>
    </row>
    <row r="5772" spans="1:17" x14ac:dyDescent="0.25">
      <c r="A5772" s="22">
        <v>45821</v>
      </c>
      <c r="B5772" s="1" t="s">
        <v>2061</v>
      </c>
      <c r="C5772" t="s">
        <v>622</v>
      </c>
      <c r="D5772" s="23">
        <v>-27.71</v>
      </c>
      <c r="E5772" t="s">
        <v>35</v>
      </c>
      <c r="F5772" s="2">
        <v>610148001</v>
      </c>
      <c r="G5772" s="2" t="s">
        <v>41</v>
      </c>
      <c r="I5772" s="95" t="s">
        <v>7231</v>
      </c>
      <c r="J5772" t="s">
        <v>42</v>
      </c>
      <c r="K5772" t="s">
        <v>41</v>
      </c>
      <c r="M5772">
        <v>101.08</v>
      </c>
      <c r="N5772" s="4">
        <f t="shared" ref="N5772:N5835" si="90">D5772/M5772</f>
        <v>-0.27413929560743966</v>
      </c>
      <c r="O5772" t="s">
        <v>605</v>
      </c>
      <c r="Q5772" s="42" t="s">
        <v>3649</v>
      </c>
    </row>
    <row r="5773" spans="1:17" x14ac:dyDescent="0.25">
      <c r="A5773" s="22">
        <v>45821</v>
      </c>
      <c r="B5773" s="1" t="s">
        <v>623</v>
      </c>
      <c r="C5773" t="s">
        <v>622</v>
      </c>
      <c r="D5773" s="23">
        <v>-30.32</v>
      </c>
      <c r="E5773" t="s">
        <v>35</v>
      </c>
      <c r="F5773" s="2">
        <v>610148001</v>
      </c>
      <c r="G5773" s="2" t="s">
        <v>41</v>
      </c>
      <c r="I5773" s="95" t="s">
        <v>7231</v>
      </c>
      <c r="J5773" t="s">
        <v>42</v>
      </c>
      <c r="K5773" t="s">
        <v>41</v>
      </c>
      <c r="M5773">
        <v>101.08</v>
      </c>
      <c r="N5773" s="4">
        <f t="shared" si="90"/>
        <v>-0.29996042738425011</v>
      </c>
      <c r="O5773" t="s">
        <v>605</v>
      </c>
      <c r="Q5773" s="42" t="s">
        <v>3649</v>
      </c>
    </row>
    <row r="5774" spans="1:17" x14ac:dyDescent="0.25">
      <c r="A5774" s="22">
        <v>45821</v>
      </c>
      <c r="B5774" s="1" t="s">
        <v>1272</v>
      </c>
      <c r="C5774" t="s">
        <v>622</v>
      </c>
      <c r="D5774" s="23">
        <v>-5.05</v>
      </c>
      <c r="E5774" t="s">
        <v>35</v>
      </c>
      <c r="F5774" s="2">
        <v>610148001</v>
      </c>
      <c r="G5774" s="2" t="s">
        <v>41</v>
      </c>
      <c r="I5774" s="95" t="s">
        <v>7231</v>
      </c>
      <c r="J5774" t="s">
        <v>42</v>
      </c>
      <c r="K5774" t="s">
        <v>41</v>
      </c>
      <c r="M5774">
        <v>101.08</v>
      </c>
      <c r="N5774" s="4">
        <f t="shared" si="90"/>
        <v>-4.9960427384250099E-2</v>
      </c>
      <c r="O5774" t="s">
        <v>605</v>
      </c>
      <c r="Q5774" s="42" t="s">
        <v>3649</v>
      </c>
    </row>
    <row r="5775" spans="1:17" x14ac:dyDescent="0.25">
      <c r="A5775" s="22">
        <v>45821</v>
      </c>
      <c r="B5775" s="1" t="s">
        <v>1912</v>
      </c>
      <c r="C5775" t="s">
        <v>622</v>
      </c>
      <c r="D5775" s="23">
        <v>-11.37</v>
      </c>
      <c r="E5775" t="s">
        <v>35</v>
      </c>
      <c r="F5775" s="2">
        <v>610148001</v>
      </c>
      <c r="G5775" s="2" t="s">
        <v>41</v>
      </c>
      <c r="I5775" s="95" t="s">
        <v>7231</v>
      </c>
      <c r="J5775" t="s">
        <v>42</v>
      </c>
      <c r="K5775" t="s">
        <v>41</v>
      </c>
      <c r="M5775">
        <v>101.08</v>
      </c>
      <c r="N5775" s="4">
        <f t="shared" si="90"/>
        <v>-0.11248516026909378</v>
      </c>
      <c r="O5775" t="s">
        <v>605</v>
      </c>
      <c r="Q5775" s="42" t="s">
        <v>3649</v>
      </c>
    </row>
    <row r="5776" spans="1:17" x14ac:dyDescent="0.25">
      <c r="A5776" s="22">
        <v>45821</v>
      </c>
      <c r="B5776" s="1" t="s">
        <v>1917</v>
      </c>
      <c r="C5776" t="s">
        <v>622</v>
      </c>
      <c r="D5776" s="23">
        <v>-5.05</v>
      </c>
      <c r="E5776" t="s">
        <v>35</v>
      </c>
      <c r="F5776" s="2">
        <v>610148001</v>
      </c>
      <c r="G5776" s="2" t="s">
        <v>41</v>
      </c>
      <c r="I5776" s="95" t="s">
        <v>7231</v>
      </c>
      <c r="J5776" t="s">
        <v>42</v>
      </c>
      <c r="K5776" t="s">
        <v>41</v>
      </c>
      <c r="M5776">
        <v>101.08</v>
      </c>
      <c r="N5776" s="4">
        <f t="shared" si="90"/>
        <v>-4.9960427384250099E-2</v>
      </c>
      <c r="O5776" t="s">
        <v>605</v>
      </c>
      <c r="Q5776" s="42" t="s">
        <v>3649</v>
      </c>
    </row>
    <row r="5777" spans="1:17" x14ac:dyDescent="0.25">
      <c r="A5777" s="22">
        <v>45821</v>
      </c>
      <c r="B5777" s="1" t="s">
        <v>1915</v>
      </c>
      <c r="C5777" t="s">
        <v>622</v>
      </c>
      <c r="D5777" s="23">
        <v>-5.05</v>
      </c>
      <c r="E5777" t="s">
        <v>35</v>
      </c>
      <c r="F5777" s="2">
        <v>610148001</v>
      </c>
      <c r="G5777" s="2" t="s">
        <v>41</v>
      </c>
      <c r="I5777" s="95" t="s">
        <v>7231</v>
      </c>
      <c r="J5777" t="s">
        <v>42</v>
      </c>
      <c r="K5777" t="s">
        <v>41</v>
      </c>
      <c r="M5777">
        <v>101.08</v>
      </c>
      <c r="N5777" s="4">
        <f t="shared" si="90"/>
        <v>-4.9960427384250099E-2</v>
      </c>
      <c r="O5777" t="s">
        <v>605</v>
      </c>
      <c r="Q5777" s="42" t="s">
        <v>3649</v>
      </c>
    </row>
    <row r="5778" spans="1:17" x14ac:dyDescent="0.25">
      <c r="A5778" s="22">
        <v>45821</v>
      </c>
      <c r="B5778" s="1" t="s">
        <v>1918</v>
      </c>
      <c r="C5778" t="s">
        <v>622</v>
      </c>
      <c r="D5778" s="23">
        <v>-0.81</v>
      </c>
      <c r="E5778" t="s">
        <v>35</v>
      </c>
      <c r="F5778" s="2">
        <v>610148001</v>
      </c>
      <c r="G5778" s="2" t="s">
        <v>41</v>
      </c>
      <c r="I5778" s="95" t="s">
        <v>7231</v>
      </c>
      <c r="J5778" t="s">
        <v>42</v>
      </c>
      <c r="K5778" t="s">
        <v>41</v>
      </c>
      <c r="M5778">
        <v>101.08</v>
      </c>
      <c r="N5778" s="4">
        <f t="shared" si="90"/>
        <v>-8.0134546893549669E-3</v>
      </c>
      <c r="O5778" t="s">
        <v>605</v>
      </c>
      <c r="Q5778" s="42" t="s">
        <v>3649</v>
      </c>
    </row>
    <row r="5779" spans="1:17" x14ac:dyDescent="0.25">
      <c r="A5779" s="22">
        <v>45821</v>
      </c>
      <c r="B5779" s="1" t="s">
        <v>1913</v>
      </c>
      <c r="C5779" t="s">
        <v>622</v>
      </c>
      <c r="D5779" s="23">
        <v>-157.33000000000001</v>
      </c>
      <c r="E5779" t="s">
        <v>35</v>
      </c>
      <c r="F5779" s="2">
        <v>610148001</v>
      </c>
      <c r="G5779" s="2" t="s">
        <v>41</v>
      </c>
      <c r="I5779" s="95" t="s">
        <v>7231</v>
      </c>
      <c r="J5779" t="s">
        <v>42</v>
      </c>
      <c r="K5779" t="s">
        <v>41</v>
      </c>
      <c r="M5779">
        <v>101.08</v>
      </c>
      <c r="N5779" s="4">
        <f t="shared" si="90"/>
        <v>-1.556489908982984</v>
      </c>
      <c r="O5779" t="s">
        <v>605</v>
      </c>
      <c r="Q5779" s="42" t="s">
        <v>3649</v>
      </c>
    </row>
    <row r="5780" spans="1:17" x14ac:dyDescent="0.25">
      <c r="A5780" s="22">
        <v>45821</v>
      </c>
      <c r="B5780" s="1" t="s">
        <v>2076</v>
      </c>
      <c r="C5780" t="s">
        <v>622</v>
      </c>
      <c r="D5780" s="23">
        <v>-500</v>
      </c>
      <c r="E5780" t="s">
        <v>35</v>
      </c>
      <c r="F5780" s="2">
        <v>610148001</v>
      </c>
      <c r="G5780" s="2" t="s">
        <v>41</v>
      </c>
      <c r="I5780" s="95" t="s">
        <v>7231</v>
      </c>
      <c r="J5780" t="s">
        <v>42</v>
      </c>
      <c r="K5780" t="s">
        <v>41</v>
      </c>
      <c r="M5780">
        <v>101.08</v>
      </c>
      <c r="N5780" s="4">
        <f t="shared" si="90"/>
        <v>-4.9465769687376335</v>
      </c>
      <c r="O5780" t="s">
        <v>605</v>
      </c>
      <c r="Q5780" s="42" t="s">
        <v>3649</v>
      </c>
    </row>
    <row r="5781" spans="1:17" x14ac:dyDescent="0.25">
      <c r="A5781" s="22">
        <v>45821</v>
      </c>
      <c r="B5781" s="1" t="s">
        <v>1919</v>
      </c>
      <c r="C5781" t="s">
        <v>622</v>
      </c>
      <c r="D5781" s="23">
        <v>-2.52</v>
      </c>
      <c r="E5781" t="s">
        <v>35</v>
      </c>
      <c r="F5781" s="2">
        <v>610148001</v>
      </c>
      <c r="G5781" s="2" t="s">
        <v>41</v>
      </c>
      <c r="I5781" s="95" t="s">
        <v>7231</v>
      </c>
      <c r="J5781" t="s">
        <v>42</v>
      </c>
      <c r="K5781" t="s">
        <v>41</v>
      </c>
      <c r="M5781">
        <v>101.08</v>
      </c>
      <c r="N5781" s="4">
        <f t="shared" si="90"/>
        <v>-2.4930747922437674E-2</v>
      </c>
      <c r="O5781" t="s">
        <v>605</v>
      </c>
      <c r="Q5781" s="42" t="s">
        <v>3649</v>
      </c>
    </row>
    <row r="5782" spans="1:17" x14ac:dyDescent="0.25">
      <c r="A5782" s="22">
        <v>45821</v>
      </c>
      <c r="B5782" s="1" t="s">
        <v>1911</v>
      </c>
      <c r="C5782" t="s">
        <v>622</v>
      </c>
      <c r="D5782" s="23">
        <v>-500</v>
      </c>
      <c r="E5782" t="s">
        <v>35</v>
      </c>
      <c r="F5782" s="2">
        <v>610148001</v>
      </c>
      <c r="G5782" s="2" t="s">
        <v>41</v>
      </c>
      <c r="I5782" s="95" t="s">
        <v>7231</v>
      </c>
      <c r="J5782" t="s">
        <v>42</v>
      </c>
      <c r="K5782" t="s">
        <v>41</v>
      </c>
      <c r="M5782">
        <v>101.08</v>
      </c>
      <c r="N5782" s="4">
        <f t="shared" si="90"/>
        <v>-4.9465769687376335</v>
      </c>
      <c r="O5782" t="s">
        <v>605</v>
      </c>
      <c r="Q5782" s="42" t="s">
        <v>3649</v>
      </c>
    </row>
    <row r="5783" spans="1:17" x14ac:dyDescent="0.25">
      <c r="A5783" s="22">
        <v>45821</v>
      </c>
      <c r="B5783" s="1" t="s">
        <v>2102</v>
      </c>
      <c r="C5783" t="s">
        <v>622</v>
      </c>
      <c r="D5783" s="23">
        <v>-459.38</v>
      </c>
      <c r="E5783" t="s">
        <v>35</v>
      </c>
      <c r="F5783" s="2">
        <v>610148001</v>
      </c>
      <c r="G5783" s="2" t="s">
        <v>41</v>
      </c>
      <c r="I5783" s="95" t="s">
        <v>7231</v>
      </c>
      <c r="J5783" t="s">
        <v>42</v>
      </c>
      <c r="K5783" t="s">
        <v>41</v>
      </c>
      <c r="M5783">
        <v>101.08</v>
      </c>
      <c r="N5783" s="4">
        <f t="shared" si="90"/>
        <v>-4.5447170557973884</v>
      </c>
      <c r="O5783" t="s">
        <v>605</v>
      </c>
      <c r="Q5783" s="42" t="s">
        <v>3649</v>
      </c>
    </row>
    <row r="5784" spans="1:17" x14ac:dyDescent="0.25">
      <c r="A5784" s="22">
        <v>45821</v>
      </c>
      <c r="B5784" s="1" t="s">
        <v>2103</v>
      </c>
      <c r="C5784" t="s">
        <v>622</v>
      </c>
      <c r="D5784" s="23">
        <v>-66.3</v>
      </c>
      <c r="E5784" t="s">
        <v>35</v>
      </c>
      <c r="F5784" s="2">
        <v>610148001</v>
      </c>
      <c r="G5784" s="2" t="s">
        <v>41</v>
      </c>
      <c r="I5784" s="95" t="s">
        <v>7231</v>
      </c>
      <c r="J5784" t="s">
        <v>42</v>
      </c>
      <c r="K5784" t="s">
        <v>41</v>
      </c>
      <c r="M5784">
        <v>101.08</v>
      </c>
      <c r="N5784" s="4">
        <f t="shared" si="90"/>
        <v>-0.65591610605461015</v>
      </c>
      <c r="O5784" t="s">
        <v>605</v>
      </c>
      <c r="Q5784" s="42" t="s">
        <v>3649</v>
      </c>
    </row>
    <row r="5785" spans="1:17" x14ac:dyDescent="0.25">
      <c r="A5785" s="22">
        <v>45821</v>
      </c>
      <c r="B5785" s="1" t="s">
        <v>621</v>
      </c>
      <c r="C5785" t="s">
        <v>622</v>
      </c>
      <c r="D5785" s="23">
        <v>-10.1</v>
      </c>
      <c r="E5785" t="s">
        <v>35</v>
      </c>
      <c r="F5785" s="2">
        <v>610148001</v>
      </c>
      <c r="G5785" s="2" t="s">
        <v>41</v>
      </c>
      <c r="I5785" s="95" t="s">
        <v>7231</v>
      </c>
      <c r="J5785" t="s">
        <v>42</v>
      </c>
      <c r="K5785" t="s">
        <v>41</v>
      </c>
      <c r="M5785">
        <v>101.08</v>
      </c>
      <c r="N5785" s="4">
        <f t="shared" si="90"/>
        <v>-9.9920854768500197E-2</v>
      </c>
      <c r="O5785" t="s">
        <v>605</v>
      </c>
      <c r="Q5785" s="42" t="s">
        <v>3649</v>
      </c>
    </row>
    <row r="5786" spans="1:17" x14ac:dyDescent="0.25">
      <c r="A5786" s="22">
        <v>45821</v>
      </c>
      <c r="B5786" s="1" t="s">
        <v>1916</v>
      </c>
      <c r="C5786" t="s">
        <v>622</v>
      </c>
      <c r="D5786" s="23">
        <v>-25.27</v>
      </c>
      <c r="E5786" t="s">
        <v>35</v>
      </c>
      <c r="F5786" s="2">
        <v>610148001</v>
      </c>
      <c r="G5786" s="2" t="s">
        <v>41</v>
      </c>
      <c r="I5786" s="95" t="s">
        <v>7231</v>
      </c>
      <c r="J5786" t="s">
        <v>42</v>
      </c>
      <c r="K5786" t="s">
        <v>41</v>
      </c>
      <c r="M5786">
        <v>101.08</v>
      </c>
      <c r="N5786" s="4">
        <f t="shared" si="90"/>
        <v>-0.25</v>
      </c>
      <c r="O5786" t="s">
        <v>605</v>
      </c>
      <c r="Q5786" s="42" t="s">
        <v>3649</v>
      </c>
    </row>
    <row r="5787" spans="1:17" x14ac:dyDescent="0.25">
      <c r="A5787" s="22">
        <v>45821</v>
      </c>
      <c r="B5787" s="1" t="s">
        <v>2073</v>
      </c>
      <c r="C5787" t="s">
        <v>622</v>
      </c>
      <c r="D5787" s="23">
        <v>-10.1</v>
      </c>
      <c r="E5787" t="s">
        <v>35</v>
      </c>
      <c r="F5787" s="2">
        <v>610148001</v>
      </c>
      <c r="G5787" s="2" t="s">
        <v>41</v>
      </c>
      <c r="I5787" s="95" t="s">
        <v>7231</v>
      </c>
      <c r="J5787" t="s">
        <v>42</v>
      </c>
      <c r="K5787" t="s">
        <v>41</v>
      </c>
      <c r="M5787">
        <v>101.08</v>
      </c>
      <c r="N5787" s="4">
        <f t="shared" si="90"/>
        <v>-9.9920854768500197E-2</v>
      </c>
      <c r="O5787" t="s">
        <v>605</v>
      </c>
      <c r="Q5787" s="42" t="s">
        <v>3649</v>
      </c>
    </row>
    <row r="5788" spans="1:17" x14ac:dyDescent="0.25">
      <c r="A5788" s="22">
        <v>45821</v>
      </c>
      <c r="B5788" s="1" t="s">
        <v>625</v>
      </c>
      <c r="C5788" t="s">
        <v>622</v>
      </c>
      <c r="D5788" s="23">
        <v>-15.16</v>
      </c>
      <c r="E5788" t="s">
        <v>35</v>
      </c>
      <c r="F5788" s="2">
        <v>610148001</v>
      </c>
      <c r="G5788" s="2" t="s">
        <v>41</v>
      </c>
      <c r="I5788" s="95" t="s">
        <v>7231</v>
      </c>
      <c r="J5788" t="s">
        <v>42</v>
      </c>
      <c r="K5788" t="s">
        <v>41</v>
      </c>
      <c r="M5788">
        <v>101.08</v>
      </c>
      <c r="N5788" s="4">
        <f t="shared" si="90"/>
        <v>-0.14998021369212505</v>
      </c>
      <c r="O5788" t="s">
        <v>605</v>
      </c>
      <c r="Q5788" s="42" t="s">
        <v>3649</v>
      </c>
    </row>
    <row r="5789" spans="1:17" x14ac:dyDescent="0.25">
      <c r="A5789" s="22">
        <v>45821</v>
      </c>
      <c r="B5789" s="1" t="s">
        <v>1920</v>
      </c>
      <c r="C5789" t="s">
        <v>622</v>
      </c>
      <c r="D5789" s="23">
        <v>-220.05</v>
      </c>
      <c r="E5789" t="s">
        <v>35</v>
      </c>
      <c r="F5789" s="2">
        <v>610148001</v>
      </c>
      <c r="G5789" s="2" t="s">
        <v>41</v>
      </c>
      <c r="I5789" s="95" t="s">
        <v>7231</v>
      </c>
      <c r="J5789" t="s">
        <v>42</v>
      </c>
      <c r="K5789" t="s">
        <v>41</v>
      </c>
      <c r="M5789">
        <v>101.08</v>
      </c>
      <c r="N5789" s="4">
        <f t="shared" si="90"/>
        <v>-2.1769885239414326</v>
      </c>
      <c r="O5789" t="s">
        <v>605</v>
      </c>
      <c r="Q5789" s="42" t="s">
        <v>3649</v>
      </c>
    </row>
    <row r="5790" spans="1:17" x14ac:dyDescent="0.25">
      <c r="A5790" s="22">
        <v>45821</v>
      </c>
      <c r="B5790" s="1" t="s">
        <v>2076</v>
      </c>
      <c r="C5790" t="s">
        <v>622</v>
      </c>
      <c r="D5790" s="23">
        <v>-500</v>
      </c>
      <c r="E5790" t="s">
        <v>35</v>
      </c>
      <c r="F5790" s="2">
        <v>610148001</v>
      </c>
      <c r="G5790" s="2" t="s">
        <v>41</v>
      </c>
      <c r="I5790" s="95" t="s">
        <v>7231</v>
      </c>
      <c r="J5790" t="s">
        <v>42</v>
      </c>
      <c r="K5790" t="s">
        <v>41</v>
      </c>
      <c r="M5790">
        <v>101.08</v>
      </c>
      <c r="N5790" s="4">
        <f t="shared" si="90"/>
        <v>-4.9465769687376335</v>
      </c>
      <c r="O5790" t="s">
        <v>605</v>
      </c>
      <c r="Q5790" s="42" t="s">
        <v>3649</v>
      </c>
    </row>
    <row r="5791" spans="1:17" x14ac:dyDescent="0.25">
      <c r="A5791" s="22">
        <v>45833</v>
      </c>
      <c r="B5791" s="1" t="s">
        <v>4361</v>
      </c>
      <c r="C5791" t="s">
        <v>4362</v>
      </c>
      <c r="D5791" s="23">
        <v>582032.31999999995</v>
      </c>
      <c r="E5791" t="s">
        <v>45</v>
      </c>
      <c r="F5791" s="2">
        <v>110106001</v>
      </c>
      <c r="G5791" s="2" t="s">
        <v>1011</v>
      </c>
      <c r="I5791" s="95" t="s">
        <v>7231</v>
      </c>
      <c r="K5791" t="s">
        <v>4363</v>
      </c>
      <c r="M5791">
        <v>105.45</v>
      </c>
      <c r="N5791" s="4">
        <f t="shared" si="90"/>
        <v>5519.5099099099089</v>
      </c>
      <c r="O5791" t="s">
        <v>605</v>
      </c>
      <c r="Q5791" s="2"/>
    </row>
    <row r="5792" spans="1:17" x14ac:dyDescent="0.25">
      <c r="A5792" s="22">
        <v>45835</v>
      </c>
      <c r="B5792" s="1" t="s">
        <v>4364</v>
      </c>
      <c r="C5792" t="s">
        <v>293</v>
      </c>
      <c r="D5792" s="23">
        <v>100000</v>
      </c>
      <c r="E5792" t="s">
        <v>45</v>
      </c>
      <c r="F5792" s="2">
        <v>210115002</v>
      </c>
      <c r="G5792" s="2" t="s">
        <v>46</v>
      </c>
      <c r="I5792" s="95" t="s">
        <v>7231</v>
      </c>
      <c r="K5792" t="s">
        <v>293</v>
      </c>
      <c r="M5792">
        <v>106.86</v>
      </c>
      <c r="N5792" s="4">
        <f t="shared" si="90"/>
        <v>935.80385551188476</v>
      </c>
      <c r="O5792" t="s">
        <v>605</v>
      </c>
      <c r="Q5792" s="2"/>
    </row>
    <row r="5793" spans="1:17" x14ac:dyDescent="0.25">
      <c r="A5793" s="22">
        <v>45835</v>
      </c>
      <c r="B5793" s="1" t="s">
        <v>1894</v>
      </c>
      <c r="C5793" t="s">
        <v>4365</v>
      </c>
      <c r="D5793" s="23">
        <v>-2137.1999999999998</v>
      </c>
      <c r="E5793" t="s">
        <v>35</v>
      </c>
      <c r="F5793" s="2">
        <v>212901001</v>
      </c>
      <c r="G5793" s="2" t="s">
        <v>91</v>
      </c>
      <c r="I5793" s="95" t="s">
        <v>7231</v>
      </c>
      <c r="J5793" t="s">
        <v>61</v>
      </c>
      <c r="K5793" t="s">
        <v>62</v>
      </c>
      <c r="M5793">
        <v>106.86</v>
      </c>
      <c r="N5793" s="4">
        <f t="shared" si="90"/>
        <v>-20</v>
      </c>
      <c r="O5793" t="s">
        <v>605</v>
      </c>
      <c r="Q5793" s="2"/>
    </row>
    <row r="5794" spans="1:17" x14ac:dyDescent="0.25">
      <c r="A5794" s="33">
        <v>45835</v>
      </c>
      <c r="B5794" s="27" t="s">
        <v>1907</v>
      </c>
      <c r="C5794" s="28" t="s">
        <v>4366</v>
      </c>
      <c r="D5794" s="29">
        <v>-21372</v>
      </c>
      <c r="E5794" s="28" t="s">
        <v>35</v>
      </c>
      <c r="F5794" s="30">
        <v>610156001</v>
      </c>
      <c r="G5794" s="30" t="s">
        <v>72</v>
      </c>
      <c r="H5794" s="30"/>
      <c r="I5794" s="95" t="s">
        <v>7231</v>
      </c>
      <c r="J5794" s="28" t="s">
        <v>2398</v>
      </c>
      <c r="K5794" s="28" t="s">
        <v>632</v>
      </c>
      <c r="L5794" s="28" t="s">
        <v>56</v>
      </c>
      <c r="M5794" s="28">
        <v>106.86</v>
      </c>
      <c r="N5794" s="4">
        <f t="shared" si="90"/>
        <v>-200</v>
      </c>
      <c r="O5794" t="s">
        <v>605</v>
      </c>
      <c r="Q5794" s="42" t="s">
        <v>4367</v>
      </c>
    </row>
    <row r="5795" spans="1:17" x14ac:dyDescent="0.25">
      <c r="A5795" s="22">
        <v>45835</v>
      </c>
      <c r="B5795" s="1" t="s">
        <v>1267</v>
      </c>
      <c r="C5795" t="s">
        <v>4368</v>
      </c>
      <c r="D5795" s="23">
        <v>-16029</v>
      </c>
      <c r="E5795" t="s">
        <v>35</v>
      </c>
      <c r="F5795" s="2">
        <v>212901001</v>
      </c>
      <c r="G5795" s="2" t="s">
        <v>91</v>
      </c>
      <c r="I5795" s="95" t="s">
        <v>7231</v>
      </c>
      <c r="J5795" t="s">
        <v>61</v>
      </c>
      <c r="K5795" t="s">
        <v>62</v>
      </c>
      <c r="M5795">
        <v>106.86</v>
      </c>
      <c r="N5795" s="4">
        <f t="shared" si="90"/>
        <v>-150</v>
      </c>
      <c r="O5795" t="s">
        <v>605</v>
      </c>
      <c r="Q5795" s="2"/>
    </row>
    <row r="5796" spans="1:17" ht="15.75" x14ac:dyDescent="0.25">
      <c r="A5796" s="22">
        <v>45835</v>
      </c>
      <c r="B5796" s="1" t="s">
        <v>613</v>
      </c>
      <c r="C5796" t="s">
        <v>4290</v>
      </c>
      <c r="D5796" s="23">
        <v>-200000</v>
      </c>
      <c r="E5796" t="s">
        <v>35</v>
      </c>
      <c r="F5796" s="2">
        <v>110114001</v>
      </c>
      <c r="G5796" s="2" t="s">
        <v>181</v>
      </c>
      <c r="I5796" s="95" t="s">
        <v>7231</v>
      </c>
      <c r="J5796" t="s">
        <v>37</v>
      </c>
      <c r="K5796" t="s">
        <v>38</v>
      </c>
      <c r="M5796">
        <v>106.86</v>
      </c>
      <c r="N5796" s="4">
        <f t="shared" si="90"/>
        <v>-1871.6077110237695</v>
      </c>
      <c r="O5796" t="s">
        <v>605</v>
      </c>
      <c r="P5796" s="37" t="s">
        <v>1279</v>
      </c>
      <c r="Q5796" s="2"/>
    </row>
    <row r="5797" spans="1:17" ht="15.75" x14ac:dyDescent="0.25">
      <c r="A5797" s="22">
        <v>45835</v>
      </c>
      <c r="B5797" s="1" t="s">
        <v>1888</v>
      </c>
      <c r="C5797" t="s">
        <v>4369</v>
      </c>
      <c r="D5797" s="23">
        <v>-30296.43</v>
      </c>
      <c r="E5797" t="s">
        <v>35</v>
      </c>
      <c r="F5797" s="2">
        <v>110114001</v>
      </c>
      <c r="G5797" s="2" t="s">
        <v>181</v>
      </c>
      <c r="I5797" s="95" t="s">
        <v>7231</v>
      </c>
      <c r="J5797" t="s">
        <v>288</v>
      </c>
      <c r="K5797" t="s">
        <v>289</v>
      </c>
      <c r="M5797">
        <v>106.86</v>
      </c>
      <c r="N5797" s="4">
        <f t="shared" si="90"/>
        <v>-283.51516002245927</v>
      </c>
      <c r="O5797" t="s">
        <v>605</v>
      </c>
      <c r="P5797" s="37" t="s">
        <v>1279</v>
      </c>
      <c r="Q5797" s="2"/>
    </row>
    <row r="5798" spans="1:17" x14ac:dyDescent="0.25">
      <c r="A5798" s="22">
        <v>45835</v>
      </c>
      <c r="B5798" s="1" t="s">
        <v>1909</v>
      </c>
      <c r="C5798" t="s">
        <v>4370</v>
      </c>
      <c r="D5798" s="23">
        <v>-3205.8</v>
      </c>
      <c r="E5798" t="s">
        <v>35</v>
      </c>
      <c r="F5798" s="2">
        <v>212901001</v>
      </c>
      <c r="G5798" s="2" t="s">
        <v>91</v>
      </c>
      <c r="I5798" s="95" t="s">
        <v>7231</v>
      </c>
      <c r="J5798" t="s">
        <v>61</v>
      </c>
      <c r="K5798" t="s">
        <v>62</v>
      </c>
      <c r="M5798">
        <v>106.86</v>
      </c>
      <c r="N5798" s="4">
        <f t="shared" si="90"/>
        <v>-30.000000000000004</v>
      </c>
      <c r="O5798" t="s">
        <v>605</v>
      </c>
      <c r="Q5798" s="2"/>
    </row>
    <row r="5799" spans="1:17" x14ac:dyDescent="0.25">
      <c r="A5799" s="33">
        <v>45835</v>
      </c>
      <c r="B5799" s="27" t="s">
        <v>619</v>
      </c>
      <c r="C5799" s="28" t="s">
        <v>52</v>
      </c>
      <c r="D5799" s="29">
        <v>-12823.2</v>
      </c>
      <c r="E5799" s="28" t="s">
        <v>35</v>
      </c>
      <c r="F5799" s="30">
        <v>610129001</v>
      </c>
      <c r="G5799" s="30" t="s">
        <v>53</v>
      </c>
      <c r="H5799" s="30"/>
      <c r="I5799" s="95" t="s">
        <v>7231</v>
      </c>
      <c r="J5799" s="28" t="s">
        <v>54</v>
      </c>
      <c r="K5799" s="28" t="s">
        <v>55</v>
      </c>
      <c r="L5799" s="28" t="s">
        <v>56</v>
      </c>
      <c r="M5799" s="28">
        <v>106.86</v>
      </c>
      <c r="N5799" s="4">
        <f t="shared" si="90"/>
        <v>-120.00000000000001</v>
      </c>
      <c r="O5799" t="s">
        <v>605</v>
      </c>
      <c r="Q5799" s="42" t="s">
        <v>4371</v>
      </c>
    </row>
    <row r="5800" spans="1:17" ht="15.75" x14ac:dyDescent="0.25">
      <c r="A5800" s="22">
        <v>45835</v>
      </c>
      <c r="B5800" s="1" t="s">
        <v>617</v>
      </c>
      <c r="C5800" t="s">
        <v>4290</v>
      </c>
      <c r="D5800" s="23">
        <v>-42122.559999999998</v>
      </c>
      <c r="E5800" t="s">
        <v>35</v>
      </c>
      <c r="F5800" s="2">
        <v>110114001</v>
      </c>
      <c r="G5800" s="2" t="s">
        <v>181</v>
      </c>
      <c r="I5800" s="95" t="s">
        <v>7231</v>
      </c>
      <c r="J5800" t="s">
        <v>37</v>
      </c>
      <c r="K5800" t="s">
        <v>38</v>
      </c>
      <c r="M5800">
        <v>106.86</v>
      </c>
      <c r="N5800" s="4">
        <f t="shared" si="90"/>
        <v>-394.18454052030694</v>
      </c>
      <c r="O5800" t="s">
        <v>605</v>
      </c>
      <c r="P5800" s="37" t="s">
        <v>1279</v>
      </c>
      <c r="Q5800" s="2"/>
    </row>
    <row r="5801" spans="1:17" ht="15.75" x14ac:dyDescent="0.25">
      <c r="A5801" s="22">
        <v>45835</v>
      </c>
      <c r="B5801" s="1" t="s">
        <v>1994</v>
      </c>
      <c r="C5801" t="s">
        <v>4372</v>
      </c>
      <c r="D5801" s="23">
        <v>-55335.88</v>
      </c>
      <c r="E5801" t="s">
        <v>35</v>
      </c>
      <c r="F5801" s="2">
        <v>110114001</v>
      </c>
      <c r="G5801" s="2" t="s">
        <v>181</v>
      </c>
      <c r="I5801" s="95" t="s">
        <v>7231</v>
      </c>
      <c r="J5801" t="s">
        <v>414</v>
      </c>
      <c r="K5801" t="s">
        <v>415</v>
      </c>
      <c r="M5801">
        <v>106.86</v>
      </c>
      <c r="N5801" s="4">
        <f t="shared" si="90"/>
        <v>-517.83529852142988</v>
      </c>
      <c r="O5801" t="s">
        <v>605</v>
      </c>
      <c r="P5801" s="37" t="s">
        <v>1279</v>
      </c>
      <c r="Q5801" s="2"/>
    </row>
    <row r="5802" spans="1:17" x14ac:dyDescent="0.25">
      <c r="A5802" s="22">
        <v>45835</v>
      </c>
      <c r="B5802" s="1" t="s">
        <v>1892</v>
      </c>
      <c r="C5802" t="s">
        <v>4373</v>
      </c>
      <c r="D5802" s="23">
        <v>-3205.8</v>
      </c>
      <c r="E5802" t="s">
        <v>35</v>
      </c>
      <c r="F5802" s="2">
        <v>212901001</v>
      </c>
      <c r="G5802" s="2" t="s">
        <v>91</v>
      </c>
      <c r="I5802" s="95" t="s">
        <v>7231</v>
      </c>
      <c r="J5802" t="s">
        <v>61</v>
      </c>
      <c r="K5802" t="s">
        <v>62</v>
      </c>
      <c r="M5802">
        <v>106.86</v>
      </c>
      <c r="N5802" s="4">
        <f t="shared" si="90"/>
        <v>-30.000000000000004</v>
      </c>
      <c r="O5802" t="s">
        <v>605</v>
      </c>
      <c r="Q5802" s="2"/>
    </row>
    <row r="5803" spans="1:17" x14ac:dyDescent="0.25">
      <c r="A5803" s="22">
        <v>45835</v>
      </c>
      <c r="B5803" s="1" t="s">
        <v>1896</v>
      </c>
      <c r="C5803" t="s">
        <v>4374</v>
      </c>
      <c r="D5803" s="23">
        <v>-3205.8</v>
      </c>
      <c r="E5803" t="s">
        <v>35</v>
      </c>
      <c r="F5803" s="2">
        <v>212901001</v>
      </c>
      <c r="G5803" s="2" t="s">
        <v>91</v>
      </c>
      <c r="I5803" s="95" t="s">
        <v>7231</v>
      </c>
      <c r="J5803" t="s">
        <v>61</v>
      </c>
      <c r="K5803" t="s">
        <v>62</v>
      </c>
      <c r="M5803">
        <v>106.86</v>
      </c>
      <c r="N5803" s="4">
        <f t="shared" si="90"/>
        <v>-30.000000000000004</v>
      </c>
      <c r="O5803" t="s">
        <v>605</v>
      </c>
      <c r="Q5803" s="2"/>
    </row>
    <row r="5804" spans="1:17" x14ac:dyDescent="0.25">
      <c r="A5804" s="22">
        <v>45835</v>
      </c>
      <c r="B5804" s="1" t="s">
        <v>1898</v>
      </c>
      <c r="C5804" t="s">
        <v>4375</v>
      </c>
      <c r="D5804" s="23">
        <v>-2137.1999999999998</v>
      </c>
      <c r="E5804" t="s">
        <v>35</v>
      </c>
      <c r="F5804" s="2">
        <v>212901001</v>
      </c>
      <c r="G5804" s="2" t="s">
        <v>91</v>
      </c>
      <c r="I5804" s="95" t="s">
        <v>7231</v>
      </c>
      <c r="J5804" t="s">
        <v>61</v>
      </c>
      <c r="K5804" t="s">
        <v>62</v>
      </c>
      <c r="M5804">
        <v>106.86</v>
      </c>
      <c r="N5804" s="4">
        <f t="shared" si="90"/>
        <v>-20</v>
      </c>
      <c r="O5804" t="s">
        <v>605</v>
      </c>
      <c r="Q5804" s="2"/>
    </row>
    <row r="5805" spans="1:17" x14ac:dyDescent="0.25">
      <c r="A5805" s="22">
        <v>45835</v>
      </c>
      <c r="B5805" s="1" t="s">
        <v>1904</v>
      </c>
      <c r="C5805" t="s">
        <v>4376</v>
      </c>
      <c r="D5805" s="23">
        <v>-2137.1999999999998</v>
      </c>
      <c r="E5805" t="s">
        <v>35</v>
      </c>
      <c r="F5805" s="2">
        <v>212901001</v>
      </c>
      <c r="G5805" s="2" t="s">
        <v>91</v>
      </c>
      <c r="I5805" s="95" t="s">
        <v>7231</v>
      </c>
      <c r="J5805" t="s">
        <v>61</v>
      </c>
      <c r="K5805" t="s">
        <v>62</v>
      </c>
      <c r="M5805">
        <v>106.86</v>
      </c>
      <c r="N5805" s="4">
        <f t="shared" si="90"/>
        <v>-20</v>
      </c>
      <c r="O5805" t="s">
        <v>605</v>
      </c>
      <c r="Q5805" s="2"/>
    </row>
    <row r="5806" spans="1:17" x14ac:dyDescent="0.25">
      <c r="A5806" s="22">
        <v>45835</v>
      </c>
      <c r="B5806" s="1" t="s">
        <v>1268</v>
      </c>
      <c r="C5806" t="s">
        <v>3285</v>
      </c>
      <c r="D5806" s="23">
        <v>-10978.35</v>
      </c>
      <c r="E5806" t="s">
        <v>35</v>
      </c>
      <c r="F5806" s="2">
        <v>110101002</v>
      </c>
      <c r="G5806" s="2" t="s">
        <v>2771</v>
      </c>
      <c r="I5806" s="95" t="s">
        <v>7231</v>
      </c>
      <c r="K5806" t="s">
        <v>3285</v>
      </c>
      <c r="M5806">
        <v>106.86</v>
      </c>
      <c r="N5806" s="4">
        <f t="shared" si="90"/>
        <v>-102.735822571589</v>
      </c>
      <c r="O5806" t="s">
        <v>605</v>
      </c>
      <c r="Q5806" s="2"/>
    </row>
    <row r="5807" spans="1:17" x14ac:dyDescent="0.25">
      <c r="A5807" s="22">
        <v>45835</v>
      </c>
      <c r="B5807" s="1" t="s">
        <v>1900</v>
      </c>
      <c r="C5807" t="s">
        <v>4377</v>
      </c>
      <c r="D5807" s="23">
        <v>-1068.5999999999999</v>
      </c>
      <c r="E5807" t="s">
        <v>35</v>
      </c>
      <c r="F5807" s="2">
        <v>212901001</v>
      </c>
      <c r="G5807" s="2" t="s">
        <v>91</v>
      </c>
      <c r="I5807" s="95" t="s">
        <v>7231</v>
      </c>
      <c r="J5807" t="s">
        <v>61</v>
      </c>
      <c r="K5807" t="s">
        <v>62</v>
      </c>
      <c r="M5807">
        <v>106.86</v>
      </c>
      <c r="N5807" s="4">
        <f t="shared" si="90"/>
        <v>-10</v>
      </c>
      <c r="O5807" t="s">
        <v>605</v>
      </c>
      <c r="Q5807" s="2"/>
    </row>
    <row r="5808" spans="1:17" ht="15.75" x14ac:dyDescent="0.25">
      <c r="A5808" s="22">
        <v>45835</v>
      </c>
      <c r="B5808" s="1" t="s">
        <v>1981</v>
      </c>
      <c r="C5808" t="s">
        <v>4378</v>
      </c>
      <c r="D5808" s="23">
        <v>-49873.97</v>
      </c>
      <c r="E5808" t="s">
        <v>35</v>
      </c>
      <c r="F5808" s="2">
        <v>110114001</v>
      </c>
      <c r="G5808" s="2" t="s">
        <v>181</v>
      </c>
      <c r="I5808" s="95" t="s">
        <v>7231</v>
      </c>
      <c r="J5808" t="s">
        <v>37</v>
      </c>
      <c r="K5808" t="s">
        <v>38</v>
      </c>
      <c r="M5808">
        <v>106.86</v>
      </c>
      <c r="N5808" s="4">
        <f t="shared" si="90"/>
        <v>-466.72253415684077</v>
      </c>
      <c r="O5808" t="s">
        <v>605</v>
      </c>
      <c r="P5808" s="37" t="s">
        <v>1279</v>
      </c>
      <c r="Q5808" s="2"/>
    </row>
    <row r="5809" spans="1:17" x14ac:dyDescent="0.25">
      <c r="A5809" s="33">
        <v>45835</v>
      </c>
      <c r="B5809" s="27" t="s">
        <v>1886</v>
      </c>
      <c r="C5809" s="28" t="s">
        <v>4379</v>
      </c>
      <c r="D5809" s="29">
        <v>-9617.4</v>
      </c>
      <c r="E5809" s="28" t="s">
        <v>35</v>
      </c>
      <c r="F5809" s="30">
        <v>610156001</v>
      </c>
      <c r="G5809" s="30" t="s">
        <v>72</v>
      </c>
      <c r="H5809" s="30"/>
      <c r="I5809" s="95" t="s">
        <v>7231</v>
      </c>
      <c r="J5809" s="28" t="s">
        <v>73</v>
      </c>
      <c r="K5809" s="28" t="s">
        <v>74</v>
      </c>
      <c r="L5809" s="28" t="s">
        <v>56</v>
      </c>
      <c r="M5809" s="28">
        <v>106.86</v>
      </c>
      <c r="N5809" s="4">
        <f t="shared" si="90"/>
        <v>-90</v>
      </c>
      <c r="O5809" t="s">
        <v>605</v>
      </c>
      <c r="Q5809" s="42" t="s">
        <v>4380</v>
      </c>
    </row>
    <row r="5810" spans="1:17" ht="15.75" x14ac:dyDescent="0.25">
      <c r="A5810" s="22">
        <v>45835</v>
      </c>
      <c r="B5810" s="1" t="s">
        <v>615</v>
      </c>
      <c r="C5810" t="s">
        <v>4290</v>
      </c>
      <c r="D5810" s="23">
        <v>-200000</v>
      </c>
      <c r="E5810" t="s">
        <v>35</v>
      </c>
      <c r="F5810" s="2">
        <v>110114001</v>
      </c>
      <c r="G5810" s="2" t="s">
        <v>181</v>
      </c>
      <c r="I5810" s="95" t="s">
        <v>7231</v>
      </c>
      <c r="J5810" t="s">
        <v>37</v>
      </c>
      <c r="K5810" t="s">
        <v>38</v>
      </c>
      <c r="M5810">
        <v>106.86</v>
      </c>
      <c r="N5810" s="4">
        <f t="shared" si="90"/>
        <v>-1871.6077110237695</v>
      </c>
      <c r="O5810" t="s">
        <v>605</v>
      </c>
      <c r="P5810" s="37" t="s">
        <v>1279</v>
      </c>
      <c r="Q5810" s="2"/>
    </row>
    <row r="5811" spans="1:17" x14ac:dyDescent="0.25">
      <c r="A5811" s="22">
        <v>45835</v>
      </c>
      <c r="B5811" s="1" t="s">
        <v>1917</v>
      </c>
      <c r="C5811" t="s">
        <v>622</v>
      </c>
      <c r="D5811" s="23">
        <v>-8.01</v>
      </c>
      <c r="E5811" t="s">
        <v>35</v>
      </c>
      <c r="F5811" s="2">
        <v>610148001</v>
      </c>
      <c r="G5811" s="2" t="s">
        <v>41</v>
      </c>
      <c r="I5811" s="95" t="s">
        <v>7231</v>
      </c>
      <c r="J5811" t="s">
        <v>42</v>
      </c>
      <c r="K5811" t="s">
        <v>41</v>
      </c>
      <c r="M5811">
        <v>106.86</v>
      </c>
      <c r="N5811" s="4">
        <f t="shared" si="90"/>
        <v>-7.4957888826501964E-2</v>
      </c>
      <c r="O5811" t="s">
        <v>605</v>
      </c>
      <c r="Q5811" s="42" t="s">
        <v>3649</v>
      </c>
    </row>
    <row r="5812" spans="1:17" x14ac:dyDescent="0.25">
      <c r="A5812" s="22">
        <v>45835</v>
      </c>
      <c r="B5812" s="1" t="s">
        <v>625</v>
      </c>
      <c r="C5812" t="s">
        <v>622</v>
      </c>
      <c r="D5812" s="23">
        <v>-500</v>
      </c>
      <c r="E5812" t="s">
        <v>35</v>
      </c>
      <c r="F5812" s="2">
        <v>610148001</v>
      </c>
      <c r="G5812" s="2" t="s">
        <v>41</v>
      </c>
      <c r="I5812" s="95" t="s">
        <v>7231</v>
      </c>
      <c r="J5812" t="s">
        <v>42</v>
      </c>
      <c r="K5812" t="s">
        <v>41</v>
      </c>
      <c r="M5812">
        <v>106.86</v>
      </c>
      <c r="N5812" s="4">
        <f t="shared" si="90"/>
        <v>-4.6790192775594237</v>
      </c>
      <c r="O5812" t="s">
        <v>605</v>
      </c>
      <c r="Q5812" s="42" t="s">
        <v>3649</v>
      </c>
    </row>
    <row r="5813" spans="1:17" x14ac:dyDescent="0.25">
      <c r="A5813" s="22">
        <v>45835</v>
      </c>
      <c r="B5813" s="1" t="s">
        <v>1272</v>
      </c>
      <c r="C5813" t="s">
        <v>622</v>
      </c>
      <c r="D5813" s="23">
        <v>-40.07</v>
      </c>
      <c r="E5813" t="s">
        <v>35</v>
      </c>
      <c r="F5813" s="2">
        <v>610148001</v>
      </c>
      <c r="G5813" s="2" t="s">
        <v>41</v>
      </c>
      <c r="I5813" s="95" t="s">
        <v>7231</v>
      </c>
      <c r="J5813" t="s">
        <v>42</v>
      </c>
      <c r="K5813" t="s">
        <v>41</v>
      </c>
      <c r="M5813">
        <v>106.86</v>
      </c>
      <c r="N5813" s="4">
        <f t="shared" si="90"/>
        <v>-0.37497660490361223</v>
      </c>
      <c r="O5813" t="s">
        <v>605</v>
      </c>
      <c r="Q5813" s="42" t="s">
        <v>3649</v>
      </c>
    </row>
    <row r="5814" spans="1:17" x14ac:dyDescent="0.25">
      <c r="A5814" s="22">
        <v>45835</v>
      </c>
      <c r="B5814" s="1" t="s">
        <v>1914</v>
      </c>
      <c r="C5814" t="s">
        <v>622</v>
      </c>
      <c r="D5814" s="23">
        <v>-24.04</v>
      </c>
      <c r="E5814" t="s">
        <v>35</v>
      </c>
      <c r="F5814" s="2">
        <v>610148001</v>
      </c>
      <c r="G5814" s="2" t="s">
        <v>41</v>
      </c>
      <c r="I5814" s="95" t="s">
        <v>7231</v>
      </c>
      <c r="J5814" t="s">
        <v>42</v>
      </c>
      <c r="K5814" t="s">
        <v>41</v>
      </c>
      <c r="M5814">
        <v>106.86</v>
      </c>
      <c r="N5814" s="4">
        <f t="shared" si="90"/>
        <v>-0.22496724686505709</v>
      </c>
      <c r="O5814" t="s">
        <v>605</v>
      </c>
      <c r="Q5814" s="42" t="s">
        <v>3649</v>
      </c>
    </row>
    <row r="5815" spans="1:17" x14ac:dyDescent="0.25">
      <c r="A5815" s="22">
        <v>45835</v>
      </c>
      <c r="B5815" s="1" t="s">
        <v>1919</v>
      </c>
      <c r="C5815" t="s">
        <v>622</v>
      </c>
      <c r="D5815" s="23">
        <v>-5.34</v>
      </c>
      <c r="E5815" t="s">
        <v>35</v>
      </c>
      <c r="F5815" s="2">
        <v>610148001</v>
      </c>
      <c r="G5815" s="2" t="s">
        <v>41</v>
      </c>
      <c r="I5815" s="95" t="s">
        <v>7231</v>
      </c>
      <c r="J5815" t="s">
        <v>42</v>
      </c>
      <c r="K5815" t="s">
        <v>41</v>
      </c>
      <c r="M5815">
        <v>106.86</v>
      </c>
      <c r="N5815" s="4">
        <f t="shared" si="90"/>
        <v>-4.9971925884334641E-2</v>
      </c>
      <c r="O5815" t="s">
        <v>605</v>
      </c>
      <c r="Q5815" s="42" t="s">
        <v>3649</v>
      </c>
    </row>
    <row r="5816" spans="1:17" x14ac:dyDescent="0.25">
      <c r="A5816" s="22">
        <v>45835</v>
      </c>
      <c r="B5816" s="1" t="s">
        <v>1920</v>
      </c>
      <c r="C5816" t="s">
        <v>622</v>
      </c>
      <c r="D5816" s="23">
        <v>-75.739999999999995</v>
      </c>
      <c r="E5816" t="s">
        <v>35</v>
      </c>
      <c r="F5816" s="2">
        <v>610148001</v>
      </c>
      <c r="G5816" s="2" t="s">
        <v>41</v>
      </c>
      <c r="I5816" s="95" t="s">
        <v>7231</v>
      </c>
      <c r="J5816" t="s">
        <v>42</v>
      </c>
      <c r="K5816" t="s">
        <v>41</v>
      </c>
      <c r="M5816">
        <v>106.86</v>
      </c>
      <c r="N5816" s="4">
        <f t="shared" si="90"/>
        <v>-0.70877784016470147</v>
      </c>
      <c r="O5816" t="s">
        <v>605</v>
      </c>
      <c r="Q5816" s="42" t="s">
        <v>3649</v>
      </c>
    </row>
    <row r="5817" spans="1:17" x14ac:dyDescent="0.25">
      <c r="A5817" s="22">
        <v>45835</v>
      </c>
      <c r="B5817" s="1" t="s">
        <v>1918</v>
      </c>
      <c r="C5817" t="s">
        <v>622</v>
      </c>
      <c r="D5817" s="23">
        <v>-2.67</v>
      </c>
      <c r="E5817" t="s">
        <v>35</v>
      </c>
      <c r="F5817" s="2">
        <v>610148001</v>
      </c>
      <c r="G5817" s="2" t="s">
        <v>41</v>
      </c>
      <c r="I5817" s="95" t="s">
        <v>7231</v>
      </c>
      <c r="J5817" t="s">
        <v>42</v>
      </c>
      <c r="K5817" t="s">
        <v>41</v>
      </c>
      <c r="M5817">
        <v>106.86</v>
      </c>
      <c r="N5817" s="4">
        <f t="shared" si="90"/>
        <v>-2.498596294216732E-2</v>
      </c>
      <c r="O5817" t="s">
        <v>605</v>
      </c>
      <c r="Q5817" s="42" t="s">
        <v>3649</v>
      </c>
    </row>
    <row r="5818" spans="1:17" x14ac:dyDescent="0.25">
      <c r="A5818" s="22">
        <v>45835</v>
      </c>
      <c r="B5818" s="1" t="s">
        <v>1916</v>
      </c>
      <c r="C5818" t="s">
        <v>622</v>
      </c>
      <c r="D5818" s="23">
        <v>-5.34</v>
      </c>
      <c r="E5818" t="s">
        <v>35</v>
      </c>
      <c r="F5818" s="2">
        <v>610148001</v>
      </c>
      <c r="G5818" s="2" t="s">
        <v>41</v>
      </c>
      <c r="I5818" s="95" t="s">
        <v>7231</v>
      </c>
      <c r="J5818" t="s">
        <v>42</v>
      </c>
      <c r="K5818" t="s">
        <v>41</v>
      </c>
      <c r="M5818">
        <v>106.86</v>
      </c>
      <c r="N5818" s="4">
        <f t="shared" si="90"/>
        <v>-4.9971925884334641E-2</v>
      </c>
      <c r="O5818" t="s">
        <v>605</v>
      </c>
      <c r="Q5818" s="42" t="s">
        <v>3649</v>
      </c>
    </row>
    <row r="5819" spans="1:17" x14ac:dyDescent="0.25">
      <c r="A5819" s="22">
        <v>45835</v>
      </c>
      <c r="B5819" s="1" t="s">
        <v>1912</v>
      </c>
      <c r="C5819" t="s">
        <v>622</v>
      </c>
      <c r="D5819" s="23">
        <v>-8.01</v>
      </c>
      <c r="E5819" t="s">
        <v>35</v>
      </c>
      <c r="F5819" s="2">
        <v>610148001</v>
      </c>
      <c r="G5819" s="2" t="s">
        <v>41</v>
      </c>
      <c r="I5819" s="95" t="s">
        <v>7231</v>
      </c>
      <c r="J5819" t="s">
        <v>42</v>
      </c>
      <c r="K5819" t="s">
        <v>41</v>
      </c>
      <c r="M5819">
        <v>106.86</v>
      </c>
      <c r="N5819" s="4">
        <f t="shared" si="90"/>
        <v>-7.4957888826501964E-2</v>
      </c>
      <c r="O5819" t="s">
        <v>605</v>
      </c>
      <c r="Q5819" s="42" t="s">
        <v>3649</v>
      </c>
    </row>
    <row r="5820" spans="1:17" x14ac:dyDescent="0.25">
      <c r="A5820" s="22">
        <v>45835</v>
      </c>
      <c r="B5820" s="1" t="s">
        <v>1913</v>
      </c>
      <c r="C5820" t="s">
        <v>622</v>
      </c>
      <c r="D5820" s="23">
        <v>-5.34</v>
      </c>
      <c r="E5820" t="s">
        <v>35</v>
      </c>
      <c r="F5820" s="2">
        <v>610148001</v>
      </c>
      <c r="G5820" s="2" t="s">
        <v>41</v>
      </c>
      <c r="I5820" s="95" t="s">
        <v>7231</v>
      </c>
      <c r="J5820" t="s">
        <v>42</v>
      </c>
      <c r="K5820" t="s">
        <v>41</v>
      </c>
      <c r="M5820">
        <v>106.86</v>
      </c>
      <c r="N5820" s="4">
        <f t="shared" si="90"/>
        <v>-4.9971925884334641E-2</v>
      </c>
      <c r="O5820" t="s">
        <v>605</v>
      </c>
      <c r="Q5820" s="42" t="s">
        <v>3649</v>
      </c>
    </row>
    <row r="5821" spans="1:17" x14ac:dyDescent="0.25">
      <c r="A5821" s="22">
        <v>45835</v>
      </c>
      <c r="B5821" s="1" t="s">
        <v>2072</v>
      </c>
      <c r="C5821" t="s">
        <v>622</v>
      </c>
      <c r="D5821" s="23">
        <v>-124.68</v>
      </c>
      <c r="E5821" t="s">
        <v>35</v>
      </c>
      <c r="F5821" s="2">
        <v>610148001</v>
      </c>
      <c r="G5821" s="2" t="s">
        <v>41</v>
      </c>
      <c r="I5821" s="95" t="s">
        <v>7231</v>
      </c>
      <c r="J5821" t="s">
        <v>42</v>
      </c>
      <c r="K5821" t="s">
        <v>41</v>
      </c>
      <c r="M5821">
        <v>106.86</v>
      </c>
      <c r="N5821" s="4">
        <f t="shared" si="90"/>
        <v>-1.166760247052218</v>
      </c>
      <c r="O5821" t="s">
        <v>605</v>
      </c>
      <c r="Q5821" s="42" t="s">
        <v>3649</v>
      </c>
    </row>
    <row r="5822" spans="1:17" x14ac:dyDescent="0.25">
      <c r="A5822" s="22">
        <v>45835</v>
      </c>
      <c r="B5822" s="1" t="s">
        <v>624</v>
      </c>
      <c r="C5822" t="s">
        <v>622</v>
      </c>
      <c r="D5822" s="23">
        <v>-105.3</v>
      </c>
      <c r="E5822" t="s">
        <v>35</v>
      </c>
      <c r="F5822" s="2">
        <v>610148001</v>
      </c>
      <c r="G5822" s="2" t="s">
        <v>41</v>
      </c>
      <c r="I5822" s="95" t="s">
        <v>7231</v>
      </c>
      <c r="J5822" t="s">
        <v>42</v>
      </c>
      <c r="K5822" t="s">
        <v>41</v>
      </c>
      <c r="M5822">
        <v>106.86</v>
      </c>
      <c r="N5822" s="4">
        <f t="shared" si="90"/>
        <v>-0.98540145985401462</v>
      </c>
      <c r="O5822" t="s">
        <v>605</v>
      </c>
      <c r="Q5822" s="42" t="s">
        <v>3649</v>
      </c>
    </row>
    <row r="5823" spans="1:17" x14ac:dyDescent="0.25">
      <c r="A5823" s="22">
        <v>45835</v>
      </c>
      <c r="B5823" s="1" t="s">
        <v>1915</v>
      </c>
      <c r="C5823" t="s">
        <v>622</v>
      </c>
      <c r="D5823" s="23">
        <v>-8.01</v>
      </c>
      <c r="E5823" t="s">
        <v>35</v>
      </c>
      <c r="F5823" s="2">
        <v>610148001</v>
      </c>
      <c r="G5823" s="2" t="s">
        <v>41</v>
      </c>
      <c r="I5823" s="95" t="s">
        <v>7231</v>
      </c>
      <c r="J5823" t="s">
        <v>42</v>
      </c>
      <c r="K5823" t="s">
        <v>41</v>
      </c>
      <c r="M5823">
        <v>106.86</v>
      </c>
      <c r="N5823" s="4">
        <f t="shared" si="90"/>
        <v>-7.4957888826501964E-2</v>
      </c>
      <c r="O5823" t="s">
        <v>605</v>
      </c>
      <c r="Q5823" s="42" t="s">
        <v>3649</v>
      </c>
    </row>
    <row r="5824" spans="1:17" x14ac:dyDescent="0.25">
      <c r="A5824" s="22">
        <v>45835</v>
      </c>
      <c r="B5824" s="1" t="s">
        <v>1911</v>
      </c>
      <c r="C5824" t="s">
        <v>622</v>
      </c>
      <c r="D5824" s="23">
        <v>-53.43</v>
      </c>
      <c r="E5824" t="s">
        <v>35</v>
      </c>
      <c r="F5824" s="2">
        <v>610148001</v>
      </c>
      <c r="G5824" s="2" t="s">
        <v>41</v>
      </c>
      <c r="I5824" s="95" t="s">
        <v>7231</v>
      </c>
      <c r="J5824" t="s">
        <v>42</v>
      </c>
      <c r="K5824" t="s">
        <v>41</v>
      </c>
      <c r="M5824">
        <v>106.86</v>
      </c>
      <c r="N5824" s="4">
        <f t="shared" si="90"/>
        <v>-0.5</v>
      </c>
      <c r="O5824" t="s">
        <v>605</v>
      </c>
      <c r="Q5824" s="42" t="s">
        <v>3649</v>
      </c>
    </row>
    <row r="5825" spans="1:17" x14ac:dyDescent="0.25">
      <c r="A5825" s="22">
        <v>45835</v>
      </c>
      <c r="B5825" s="1" t="s">
        <v>623</v>
      </c>
      <c r="C5825" t="s">
        <v>622</v>
      </c>
      <c r="D5825" s="23">
        <v>-500</v>
      </c>
      <c r="E5825" t="s">
        <v>35</v>
      </c>
      <c r="F5825" s="2">
        <v>610148001</v>
      </c>
      <c r="G5825" s="2" t="s">
        <v>41</v>
      </c>
      <c r="I5825" s="95" t="s">
        <v>7231</v>
      </c>
      <c r="J5825" t="s">
        <v>42</v>
      </c>
      <c r="K5825" t="s">
        <v>41</v>
      </c>
      <c r="M5825">
        <v>106.86</v>
      </c>
      <c r="N5825" s="4">
        <f t="shared" si="90"/>
        <v>-4.6790192775594237</v>
      </c>
      <c r="O5825" t="s">
        <v>605</v>
      </c>
      <c r="Q5825" s="42" t="s">
        <v>3649</v>
      </c>
    </row>
    <row r="5826" spans="1:17" x14ac:dyDescent="0.25">
      <c r="A5826" s="22">
        <v>45835</v>
      </c>
      <c r="B5826" s="1" t="s">
        <v>621</v>
      </c>
      <c r="C5826" t="s">
        <v>622</v>
      </c>
      <c r="D5826" s="23">
        <v>-32.049999999999997</v>
      </c>
      <c r="E5826" t="s">
        <v>35</v>
      </c>
      <c r="F5826" s="2">
        <v>610148001</v>
      </c>
      <c r="G5826" s="2" t="s">
        <v>41</v>
      </c>
      <c r="I5826" s="95" t="s">
        <v>7231</v>
      </c>
      <c r="J5826" t="s">
        <v>42</v>
      </c>
      <c r="K5826" t="s">
        <v>41</v>
      </c>
      <c r="M5826">
        <v>106.86</v>
      </c>
      <c r="N5826" s="4">
        <f t="shared" si="90"/>
        <v>-0.29992513569155904</v>
      </c>
      <c r="O5826" t="s">
        <v>605</v>
      </c>
      <c r="Q5826" s="42" t="s">
        <v>3649</v>
      </c>
    </row>
    <row r="5827" spans="1:17" x14ac:dyDescent="0.25">
      <c r="A5827" s="22">
        <v>45835</v>
      </c>
      <c r="B5827" s="1" t="s">
        <v>1271</v>
      </c>
      <c r="C5827" t="s">
        <v>622</v>
      </c>
      <c r="D5827" s="23">
        <v>-27.44</v>
      </c>
      <c r="E5827" t="s">
        <v>35</v>
      </c>
      <c r="F5827" s="2">
        <v>610148001</v>
      </c>
      <c r="G5827" s="2" t="s">
        <v>41</v>
      </c>
      <c r="I5827" s="95" t="s">
        <v>7231</v>
      </c>
      <c r="J5827" t="s">
        <v>42</v>
      </c>
      <c r="K5827" t="s">
        <v>41</v>
      </c>
      <c r="M5827">
        <v>106.86</v>
      </c>
      <c r="N5827" s="4">
        <f t="shared" si="90"/>
        <v>-0.25678457795246118</v>
      </c>
      <c r="O5827" t="s">
        <v>605</v>
      </c>
      <c r="Q5827" s="42" t="s">
        <v>3649</v>
      </c>
    </row>
    <row r="5828" spans="1:17" x14ac:dyDescent="0.25">
      <c r="A5828" s="22">
        <v>45835</v>
      </c>
      <c r="B5828" s="1" t="s">
        <v>2076</v>
      </c>
      <c r="C5828" t="s">
        <v>622</v>
      </c>
      <c r="D5828" s="23">
        <v>-138.33000000000001</v>
      </c>
      <c r="E5828" t="s">
        <v>35</v>
      </c>
      <c r="F5828" s="2">
        <v>610148001</v>
      </c>
      <c r="G5828" s="2" t="s">
        <v>41</v>
      </c>
      <c r="I5828" s="95" t="s">
        <v>7231</v>
      </c>
      <c r="J5828" t="s">
        <v>42</v>
      </c>
      <c r="K5828" t="s">
        <v>41</v>
      </c>
      <c r="M5828">
        <v>106.86</v>
      </c>
      <c r="N5828" s="4">
        <f t="shared" si="90"/>
        <v>-1.2944974733295902</v>
      </c>
      <c r="O5828" t="s">
        <v>605</v>
      </c>
      <c r="Q5828" s="42" t="s">
        <v>3649</v>
      </c>
    </row>
    <row r="5829" spans="1:17" x14ac:dyDescent="0.25">
      <c r="A5829" s="22">
        <v>45838</v>
      </c>
      <c r="B5829" s="1" t="s">
        <v>4381</v>
      </c>
      <c r="C5829" t="s">
        <v>4382</v>
      </c>
      <c r="D5829" s="23">
        <v>630000</v>
      </c>
      <c r="E5829" t="s">
        <v>45</v>
      </c>
      <c r="F5829" s="2">
        <v>210115002</v>
      </c>
      <c r="G5829" s="2" t="s">
        <v>46</v>
      </c>
      <c r="I5829" s="95" t="s">
        <v>7231</v>
      </c>
      <c r="K5829" t="s">
        <v>293</v>
      </c>
      <c r="M5829">
        <v>107.62</v>
      </c>
      <c r="N5829" s="4">
        <f t="shared" si="90"/>
        <v>5853.930496190299</v>
      </c>
      <c r="O5829" t="s">
        <v>605</v>
      </c>
      <c r="Q5829" s="2"/>
    </row>
    <row r="5830" spans="1:17" x14ac:dyDescent="0.25">
      <c r="A5830" s="22">
        <v>45838</v>
      </c>
      <c r="B5830" s="1" t="s">
        <v>1892</v>
      </c>
      <c r="C5830" t="s">
        <v>3897</v>
      </c>
      <c r="D5830" s="23">
        <v>-200000</v>
      </c>
      <c r="E5830" t="s">
        <v>35</v>
      </c>
      <c r="F5830" s="2">
        <v>210101001</v>
      </c>
      <c r="G5830" s="2" t="s">
        <v>36</v>
      </c>
      <c r="I5830" s="95" t="s">
        <v>7231</v>
      </c>
      <c r="J5830" t="s">
        <v>414</v>
      </c>
      <c r="K5830" t="s">
        <v>415</v>
      </c>
      <c r="M5830">
        <v>107.62</v>
      </c>
      <c r="N5830" s="4">
        <f t="shared" si="90"/>
        <v>-1858.390633711206</v>
      </c>
      <c r="O5830" t="s">
        <v>605</v>
      </c>
      <c r="Q5830" s="2"/>
    </row>
    <row r="5831" spans="1:17" ht="15.75" x14ac:dyDescent="0.25">
      <c r="A5831" s="22">
        <v>45838</v>
      </c>
      <c r="B5831" s="1" t="s">
        <v>1268</v>
      </c>
      <c r="C5831" t="s">
        <v>4383</v>
      </c>
      <c r="D5831" s="23">
        <v>-142316.69</v>
      </c>
      <c r="E5831" t="s">
        <v>35</v>
      </c>
      <c r="F5831" s="2">
        <v>110114001</v>
      </c>
      <c r="G5831" s="2" t="s">
        <v>181</v>
      </c>
      <c r="I5831" s="95" t="s">
        <v>7231</v>
      </c>
      <c r="J5831" t="s">
        <v>928</v>
      </c>
      <c r="K5831" t="s">
        <v>929</v>
      </c>
      <c r="M5831">
        <v>107.62</v>
      </c>
      <c r="N5831" s="4">
        <f t="shared" si="90"/>
        <v>-1322.4000185839063</v>
      </c>
      <c r="O5831" t="s">
        <v>605</v>
      </c>
      <c r="P5831" s="37" t="s">
        <v>1279</v>
      </c>
      <c r="Q5831" s="2"/>
    </row>
    <row r="5832" spans="1:17" x14ac:dyDescent="0.25">
      <c r="A5832" s="22">
        <v>45838</v>
      </c>
      <c r="B5832" s="1" t="s">
        <v>613</v>
      </c>
      <c r="C5832" t="s">
        <v>77</v>
      </c>
      <c r="D5832" s="31">
        <v>-10762</v>
      </c>
      <c r="E5832" t="s">
        <v>35</v>
      </c>
      <c r="F5832" s="2">
        <v>610124003</v>
      </c>
      <c r="G5832" s="2" t="s">
        <v>78</v>
      </c>
      <c r="I5832" s="95" t="s">
        <v>7231</v>
      </c>
      <c r="J5832" t="s">
        <v>79</v>
      </c>
      <c r="K5832" t="s">
        <v>80</v>
      </c>
      <c r="L5832" s="28" t="s">
        <v>56</v>
      </c>
      <c r="M5832">
        <v>107.62</v>
      </c>
      <c r="N5832" s="4">
        <f t="shared" si="90"/>
        <v>-100</v>
      </c>
      <c r="O5832" t="s">
        <v>605</v>
      </c>
      <c r="Q5832" s="42" t="s">
        <v>4384</v>
      </c>
    </row>
    <row r="5833" spans="1:17" x14ac:dyDescent="0.25">
      <c r="A5833" s="33">
        <v>45838</v>
      </c>
      <c r="B5833" s="27" t="s">
        <v>615</v>
      </c>
      <c r="C5833" s="28" t="s">
        <v>4385</v>
      </c>
      <c r="D5833" s="29">
        <v>-16143</v>
      </c>
      <c r="E5833" s="28" t="s">
        <v>35</v>
      </c>
      <c r="F5833" s="30">
        <v>610156001</v>
      </c>
      <c r="G5833" s="30" t="s">
        <v>72</v>
      </c>
      <c r="H5833" s="30"/>
      <c r="I5833" s="95" t="s">
        <v>7231</v>
      </c>
      <c r="J5833" s="28" t="s">
        <v>73</v>
      </c>
      <c r="K5833" s="28" t="s">
        <v>74</v>
      </c>
      <c r="L5833" s="28" t="s">
        <v>56</v>
      </c>
      <c r="M5833" s="28">
        <v>107.62</v>
      </c>
      <c r="N5833" s="4">
        <f t="shared" si="90"/>
        <v>-150</v>
      </c>
      <c r="O5833" t="s">
        <v>605</v>
      </c>
      <c r="Q5833" s="42" t="s">
        <v>4386</v>
      </c>
    </row>
    <row r="5834" spans="1:17" ht="15.75" x14ac:dyDescent="0.25">
      <c r="A5834" s="22">
        <v>45838</v>
      </c>
      <c r="B5834" s="1" t="s">
        <v>1267</v>
      </c>
      <c r="C5834" t="s">
        <v>4387</v>
      </c>
      <c r="D5834" s="23">
        <v>-41196.94</v>
      </c>
      <c r="E5834" t="s">
        <v>35</v>
      </c>
      <c r="F5834" s="2">
        <v>110114001</v>
      </c>
      <c r="G5834" s="2" t="s">
        <v>181</v>
      </c>
      <c r="I5834" s="95" t="s">
        <v>7231</v>
      </c>
      <c r="J5834" t="s">
        <v>398</v>
      </c>
      <c r="K5834" t="s">
        <v>399</v>
      </c>
      <c r="M5834">
        <v>107.62</v>
      </c>
      <c r="N5834" s="4">
        <f t="shared" si="90"/>
        <v>-382.80003716781266</v>
      </c>
      <c r="O5834" t="s">
        <v>605</v>
      </c>
      <c r="P5834" s="37" t="s">
        <v>1279</v>
      </c>
      <c r="Q5834" s="2"/>
    </row>
    <row r="5835" spans="1:17" x14ac:dyDescent="0.25">
      <c r="A5835" s="22">
        <v>45838</v>
      </c>
      <c r="B5835" s="1" t="s">
        <v>1896</v>
      </c>
      <c r="C5835" t="s">
        <v>3897</v>
      </c>
      <c r="D5835" s="23">
        <v>-200000</v>
      </c>
      <c r="E5835" t="s">
        <v>35</v>
      </c>
      <c r="F5835" s="2">
        <v>210101001</v>
      </c>
      <c r="G5835" s="2" t="s">
        <v>36</v>
      </c>
      <c r="I5835" s="95" t="s">
        <v>7231</v>
      </c>
      <c r="J5835" t="s">
        <v>414</v>
      </c>
      <c r="K5835" t="s">
        <v>415</v>
      </c>
      <c r="M5835">
        <v>107.62</v>
      </c>
      <c r="N5835" s="4">
        <f t="shared" si="90"/>
        <v>-1858.390633711206</v>
      </c>
      <c r="O5835" t="s">
        <v>605</v>
      </c>
      <c r="Q5835" s="2"/>
    </row>
    <row r="5836" spans="1:17" x14ac:dyDescent="0.25">
      <c r="A5836" s="33">
        <v>45838</v>
      </c>
      <c r="B5836" s="27" t="s">
        <v>617</v>
      </c>
      <c r="C5836" s="28" t="s">
        <v>4388</v>
      </c>
      <c r="D5836" s="29">
        <v>-2152.4</v>
      </c>
      <c r="E5836" s="28" t="s">
        <v>35</v>
      </c>
      <c r="F5836" s="30">
        <v>610125001</v>
      </c>
      <c r="G5836" s="30" t="s">
        <v>2536</v>
      </c>
      <c r="H5836" s="30"/>
      <c r="I5836" s="95" t="s">
        <v>7231</v>
      </c>
      <c r="J5836" s="28" t="s">
        <v>406</v>
      </c>
      <c r="K5836" s="28" t="s">
        <v>407</v>
      </c>
      <c r="L5836" s="28" t="s">
        <v>56</v>
      </c>
      <c r="M5836" s="28">
        <v>107.62</v>
      </c>
      <c r="N5836" s="4">
        <f t="shared" ref="N5836:N5899" si="91">D5836/M5836</f>
        <v>-20</v>
      </c>
      <c r="O5836" t="s">
        <v>605</v>
      </c>
      <c r="Q5836" s="42" t="s">
        <v>4389</v>
      </c>
    </row>
    <row r="5837" spans="1:17" x14ac:dyDescent="0.25">
      <c r="A5837" s="22">
        <v>45838</v>
      </c>
      <c r="B5837" s="1" t="s">
        <v>619</v>
      </c>
      <c r="C5837" t="s">
        <v>3897</v>
      </c>
      <c r="D5837" s="23">
        <v>-22510.39</v>
      </c>
      <c r="E5837" t="s">
        <v>35</v>
      </c>
      <c r="F5837" s="2">
        <v>210101001</v>
      </c>
      <c r="G5837" s="2" t="s">
        <v>36</v>
      </c>
      <c r="I5837" s="95" t="s">
        <v>7231</v>
      </c>
      <c r="J5837" t="s">
        <v>414</v>
      </c>
      <c r="K5837" t="s">
        <v>415</v>
      </c>
      <c r="M5837">
        <v>107.62</v>
      </c>
      <c r="N5837" s="4">
        <f t="shared" si="91"/>
        <v>-209.16548968593196</v>
      </c>
      <c r="O5837" t="s">
        <v>605</v>
      </c>
      <c r="Q5837" s="2"/>
    </row>
    <row r="5838" spans="1:17" x14ac:dyDescent="0.25">
      <c r="A5838" s="22">
        <v>45838</v>
      </c>
      <c r="B5838" s="1" t="s">
        <v>623</v>
      </c>
      <c r="C5838" t="s">
        <v>622</v>
      </c>
      <c r="D5838" s="23">
        <v>-26.9</v>
      </c>
      <c r="E5838" t="s">
        <v>35</v>
      </c>
      <c r="F5838" s="2">
        <v>610148001</v>
      </c>
      <c r="G5838" s="2" t="s">
        <v>41</v>
      </c>
      <c r="I5838" s="95" t="s">
        <v>7231</v>
      </c>
      <c r="J5838" t="s">
        <v>42</v>
      </c>
      <c r="K5838" t="s">
        <v>41</v>
      </c>
      <c r="M5838">
        <v>107.62</v>
      </c>
      <c r="N5838" s="4">
        <f t="shared" si="91"/>
        <v>-0.2499535402341572</v>
      </c>
      <c r="O5838" t="s">
        <v>605</v>
      </c>
      <c r="Q5838" s="42" t="s">
        <v>3649</v>
      </c>
    </row>
    <row r="5839" spans="1:17" x14ac:dyDescent="0.25">
      <c r="A5839" s="22">
        <v>45838</v>
      </c>
      <c r="B5839" s="1" t="s">
        <v>1917</v>
      </c>
      <c r="C5839" t="s">
        <v>622</v>
      </c>
      <c r="D5839" s="23">
        <v>-500</v>
      </c>
      <c r="E5839" t="s">
        <v>35</v>
      </c>
      <c r="F5839" s="2">
        <v>610148001</v>
      </c>
      <c r="G5839" s="2" t="s">
        <v>41</v>
      </c>
      <c r="I5839" s="95" t="s">
        <v>7231</v>
      </c>
      <c r="J5839" t="s">
        <v>42</v>
      </c>
      <c r="K5839" t="s">
        <v>41</v>
      </c>
      <c r="M5839">
        <v>107.62</v>
      </c>
      <c r="N5839" s="4">
        <f t="shared" si="91"/>
        <v>-4.6459765842780154</v>
      </c>
      <c r="O5839" t="s">
        <v>605</v>
      </c>
      <c r="Q5839" s="42" t="s">
        <v>3649</v>
      </c>
    </row>
    <row r="5840" spans="1:17" x14ac:dyDescent="0.25">
      <c r="A5840" s="22">
        <v>45838</v>
      </c>
      <c r="B5840" s="1" t="s">
        <v>624</v>
      </c>
      <c r="C5840" t="s">
        <v>622</v>
      </c>
      <c r="D5840" s="23">
        <v>-5.38</v>
      </c>
      <c r="E5840" t="s">
        <v>35</v>
      </c>
      <c r="F5840" s="2">
        <v>610148001</v>
      </c>
      <c r="G5840" s="2" t="s">
        <v>41</v>
      </c>
      <c r="I5840" s="95" t="s">
        <v>7231</v>
      </c>
      <c r="J5840" t="s">
        <v>42</v>
      </c>
      <c r="K5840" t="s">
        <v>41</v>
      </c>
      <c r="M5840">
        <v>107.62</v>
      </c>
      <c r="N5840" s="4">
        <f t="shared" si="91"/>
        <v>-4.9990708046831443E-2</v>
      </c>
      <c r="O5840" t="s">
        <v>605</v>
      </c>
      <c r="Q5840" s="42" t="s">
        <v>3649</v>
      </c>
    </row>
    <row r="5841" spans="1:17" x14ac:dyDescent="0.25">
      <c r="A5841" s="22">
        <v>45838</v>
      </c>
      <c r="B5841" s="1" t="s">
        <v>621</v>
      </c>
      <c r="C5841" t="s">
        <v>622</v>
      </c>
      <c r="D5841" s="23">
        <v>-56.27</v>
      </c>
      <c r="E5841" t="s">
        <v>35</v>
      </c>
      <c r="F5841" s="2">
        <v>610148001</v>
      </c>
      <c r="G5841" s="2" t="s">
        <v>41</v>
      </c>
      <c r="I5841" s="95" t="s">
        <v>7231</v>
      </c>
      <c r="J5841" t="s">
        <v>42</v>
      </c>
      <c r="K5841" t="s">
        <v>41</v>
      </c>
      <c r="M5841">
        <v>107.62</v>
      </c>
      <c r="N5841" s="4">
        <f t="shared" si="91"/>
        <v>-0.52285820479464784</v>
      </c>
      <c r="O5841" t="s">
        <v>605</v>
      </c>
      <c r="Q5841" s="42" t="s">
        <v>3649</v>
      </c>
    </row>
    <row r="5842" spans="1:17" x14ac:dyDescent="0.25">
      <c r="A5842" s="22">
        <v>45838</v>
      </c>
      <c r="B5842" s="1" t="s">
        <v>1271</v>
      </c>
      <c r="C5842" t="s">
        <v>622</v>
      </c>
      <c r="D5842" s="23">
        <v>-355.79</v>
      </c>
      <c r="E5842" t="s">
        <v>35</v>
      </c>
      <c r="F5842" s="2">
        <v>610148001</v>
      </c>
      <c r="G5842" s="2" t="s">
        <v>41</v>
      </c>
      <c r="I5842" s="95" t="s">
        <v>7231</v>
      </c>
      <c r="J5842" t="s">
        <v>42</v>
      </c>
      <c r="K5842" t="s">
        <v>41</v>
      </c>
      <c r="M5842">
        <v>107.62</v>
      </c>
      <c r="N5842" s="4">
        <f t="shared" si="91"/>
        <v>-3.30598401784055</v>
      </c>
      <c r="O5842" t="s">
        <v>605</v>
      </c>
      <c r="Q5842" s="42" t="s">
        <v>3649</v>
      </c>
    </row>
    <row r="5843" spans="1:17" x14ac:dyDescent="0.25">
      <c r="A5843" s="22">
        <v>45838</v>
      </c>
      <c r="B5843" s="1" t="s">
        <v>1272</v>
      </c>
      <c r="C5843" t="s">
        <v>622</v>
      </c>
      <c r="D5843" s="23">
        <v>-102.99</v>
      </c>
      <c r="E5843" t="s">
        <v>35</v>
      </c>
      <c r="F5843" s="2">
        <v>610148001</v>
      </c>
      <c r="G5843" s="2" t="s">
        <v>41</v>
      </c>
      <c r="I5843" s="95" t="s">
        <v>7231</v>
      </c>
      <c r="J5843" t="s">
        <v>42</v>
      </c>
      <c r="K5843" t="s">
        <v>41</v>
      </c>
      <c r="M5843">
        <v>107.62</v>
      </c>
      <c r="N5843" s="4">
        <f t="shared" si="91"/>
        <v>-0.95697825682958548</v>
      </c>
      <c r="O5843" t="s">
        <v>605</v>
      </c>
      <c r="Q5843" s="42" t="s">
        <v>3649</v>
      </c>
    </row>
    <row r="5844" spans="1:17" x14ac:dyDescent="0.25">
      <c r="A5844" s="22">
        <v>45838</v>
      </c>
      <c r="B5844" s="1" t="s">
        <v>1915</v>
      </c>
      <c r="C5844" t="s">
        <v>622</v>
      </c>
      <c r="D5844" s="23">
        <v>-500</v>
      </c>
      <c r="E5844" t="s">
        <v>35</v>
      </c>
      <c r="F5844" s="2">
        <v>610148001</v>
      </c>
      <c r="G5844" s="2" t="s">
        <v>41</v>
      </c>
      <c r="I5844" s="95" t="s">
        <v>7231</v>
      </c>
      <c r="J5844" t="s">
        <v>42</v>
      </c>
      <c r="K5844" t="s">
        <v>41</v>
      </c>
      <c r="M5844">
        <v>107.62</v>
      </c>
      <c r="N5844" s="4">
        <f t="shared" si="91"/>
        <v>-4.6459765842780154</v>
      </c>
      <c r="O5844" t="s">
        <v>605</v>
      </c>
      <c r="Q5844" s="42" t="s">
        <v>3649</v>
      </c>
    </row>
    <row r="5845" spans="1:17" x14ac:dyDescent="0.25">
      <c r="A5845" s="22">
        <v>45838</v>
      </c>
      <c r="B5845" s="1" t="s">
        <v>625</v>
      </c>
      <c r="C5845" t="s">
        <v>622</v>
      </c>
      <c r="D5845" s="23">
        <v>-40.35</v>
      </c>
      <c r="E5845" t="s">
        <v>35</v>
      </c>
      <c r="F5845" s="2">
        <v>610148001</v>
      </c>
      <c r="G5845" s="2" t="s">
        <v>41</v>
      </c>
      <c r="I5845" s="95" t="s">
        <v>7231</v>
      </c>
      <c r="J5845" t="s">
        <v>42</v>
      </c>
      <c r="K5845" t="s">
        <v>41</v>
      </c>
      <c r="M5845">
        <v>107.62</v>
      </c>
      <c r="N5845" s="4">
        <f t="shared" si="91"/>
        <v>-0.37493031035123581</v>
      </c>
      <c r="O5845" t="s">
        <v>605</v>
      </c>
      <c r="Q5845" s="42" t="s">
        <v>3649</v>
      </c>
    </row>
    <row r="5846" spans="1:17" x14ac:dyDescent="0.25">
      <c r="A5846" s="22">
        <v>45842</v>
      </c>
      <c r="C5846" t="s">
        <v>4390</v>
      </c>
      <c r="D5846" s="44" t="s">
        <v>4391</v>
      </c>
      <c r="E5846" t="s">
        <v>35</v>
      </c>
      <c r="F5846" s="2">
        <v>610148001</v>
      </c>
      <c r="G5846" s="2" t="s">
        <v>41</v>
      </c>
      <c r="I5846" s="95" t="s">
        <v>7231</v>
      </c>
      <c r="J5846" t="s">
        <v>42</v>
      </c>
      <c r="K5846" t="s">
        <v>41</v>
      </c>
      <c r="M5846">
        <v>110.56</v>
      </c>
      <c r="N5846" s="4">
        <f t="shared" si="91"/>
        <v>-5.4269175108538352</v>
      </c>
      <c r="O5846" t="s">
        <v>39</v>
      </c>
      <c r="Q5846" s="24" t="s">
        <v>4392</v>
      </c>
    </row>
    <row r="5847" spans="1:17" x14ac:dyDescent="0.25">
      <c r="A5847" s="22">
        <v>45842</v>
      </c>
      <c r="C5847" t="s">
        <v>3305</v>
      </c>
      <c r="D5847" s="44" t="s">
        <v>4277</v>
      </c>
      <c r="E5847" t="s">
        <v>35</v>
      </c>
      <c r="F5847" s="2">
        <v>110101003</v>
      </c>
      <c r="G5847" s="2" t="s">
        <v>2945</v>
      </c>
      <c r="I5847" s="95" t="s">
        <v>7231</v>
      </c>
      <c r="K5847" t="s">
        <v>3305</v>
      </c>
      <c r="M5847">
        <v>110.56</v>
      </c>
      <c r="N5847" s="4">
        <f t="shared" si="91"/>
        <v>-1808.972503617945</v>
      </c>
      <c r="O5847" t="s">
        <v>39</v>
      </c>
    </row>
    <row r="5848" spans="1:17" x14ac:dyDescent="0.25">
      <c r="A5848" s="22">
        <v>45842</v>
      </c>
      <c r="C5848" t="s">
        <v>4393</v>
      </c>
      <c r="D5848" s="44" t="s">
        <v>4394</v>
      </c>
      <c r="E5848" t="s">
        <v>45</v>
      </c>
      <c r="F5848" s="2">
        <v>210115002</v>
      </c>
      <c r="G5848" s="2" t="s">
        <v>46</v>
      </c>
      <c r="I5848" s="95" t="s">
        <v>7231</v>
      </c>
      <c r="K5848" t="s">
        <v>4393</v>
      </c>
      <c r="M5848">
        <v>110.56</v>
      </c>
      <c r="N5848" s="4">
        <f t="shared" si="91"/>
        <v>2170.7670043415342</v>
      </c>
      <c r="O5848" t="s">
        <v>39</v>
      </c>
    </row>
    <row r="5849" spans="1:17" x14ac:dyDescent="0.25">
      <c r="A5849" s="22">
        <v>45852</v>
      </c>
      <c r="C5849" t="s">
        <v>4390</v>
      </c>
      <c r="D5849" s="44" t="s">
        <v>4395</v>
      </c>
      <c r="E5849" t="s">
        <v>35</v>
      </c>
      <c r="F5849" s="2">
        <v>610148001</v>
      </c>
      <c r="G5849" s="2" t="s">
        <v>41</v>
      </c>
      <c r="I5849" s="95" t="s">
        <v>7231</v>
      </c>
      <c r="J5849" t="s">
        <v>42</v>
      </c>
      <c r="K5849" t="s">
        <v>41</v>
      </c>
      <c r="M5849">
        <v>115.33</v>
      </c>
      <c r="N5849" s="4">
        <f t="shared" si="91"/>
        <v>-26.012312494580769</v>
      </c>
      <c r="O5849" t="s">
        <v>39</v>
      </c>
      <c r="Q5849" s="24" t="s">
        <v>4392</v>
      </c>
    </row>
    <row r="5850" spans="1:17" x14ac:dyDescent="0.25">
      <c r="A5850" s="22">
        <v>45852</v>
      </c>
      <c r="C5850" t="s">
        <v>4396</v>
      </c>
      <c r="D5850" s="44">
        <v>200000</v>
      </c>
      <c r="E5850" t="s">
        <v>45</v>
      </c>
      <c r="F5850" s="2">
        <v>110106001</v>
      </c>
      <c r="G5850" s="2" t="s">
        <v>1011</v>
      </c>
      <c r="I5850" s="95" t="s">
        <v>7231</v>
      </c>
      <c r="K5850" t="s">
        <v>4397</v>
      </c>
      <c r="M5850">
        <v>115.33</v>
      </c>
      <c r="N5850" s="4">
        <f t="shared" si="91"/>
        <v>1734.1541663053845</v>
      </c>
      <c r="O5850" t="s">
        <v>39</v>
      </c>
      <c r="P5850" t="s">
        <v>4398</v>
      </c>
    </row>
    <row r="5851" spans="1:17" x14ac:dyDescent="0.25">
      <c r="A5851" s="22">
        <v>45852</v>
      </c>
      <c r="C5851" t="s">
        <v>4390</v>
      </c>
      <c r="D5851" s="44">
        <v>-750</v>
      </c>
      <c r="E5851" t="s">
        <v>35</v>
      </c>
      <c r="F5851" s="2">
        <v>610148001</v>
      </c>
      <c r="G5851" s="2" t="s">
        <v>41</v>
      </c>
      <c r="I5851" s="95" t="s">
        <v>7231</v>
      </c>
      <c r="J5851" t="s">
        <v>42</v>
      </c>
      <c r="K5851" t="s">
        <v>41</v>
      </c>
      <c r="M5851">
        <v>115.33</v>
      </c>
      <c r="N5851" s="4">
        <f t="shared" si="91"/>
        <v>-6.5030781236451922</v>
      </c>
      <c r="O5851" t="s">
        <v>39</v>
      </c>
      <c r="Q5851" s="24" t="s">
        <v>4392</v>
      </c>
    </row>
    <row r="5852" spans="1:17" x14ac:dyDescent="0.25">
      <c r="A5852" s="22">
        <v>45852</v>
      </c>
      <c r="C5852" t="s">
        <v>4396</v>
      </c>
      <c r="D5852" s="44">
        <v>50000</v>
      </c>
      <c r="E5852" t="s">
        <v>45</v>
      </c>
      <c r="F5852" s="2">
        <v>110106001</v>
      </c>
      <c r="G5852" s="2" t="s">
        <v>1011</v>
      </c>
      <c r="I5852" s="95" t="s">
        <v>7231</v>
      </c>
      <c r="K5852" t="s">
        <v>4397</v>
      </c>
      <c r="M5852">
        <v>115.33</v>
      </c>
      <c r="N5852" s="4">
        <f t="shared" si="91"/>
        <v>433.53854157634612</v>
      </c>
      <c r="O5852" t="s">
        <v>39</v>
      </c>
      <c r="P5852" t="s">
        <v>4398</v>
      </c>
    </row>
    <row r="5853" spans="1:17" x14ac:dyDescent="0.25">
      <c r="A5853" s="22">
        <v>45852</v>
      </c>
      <c r="C5853" t="s">
        <v>4390</v>
      </c>
      <c r="D5853" s="44">
        <v>-2250</v>
      </c>
      <c r="E5853" t="s">
        <v>35</v>
      </c>
      <c r="F5853" s="2">
        <v>610148001</v>
      </c>
      <c r="G5853" s="2" t="s">
        <v>41</v>
      </c>
      <c r="I5853" s="95" t="s">
        <v>7231</v>
      </c>
      <c r="J5853" t="s">
        <v>42</v>
      </c>
      <c r="K5853" t="s">
        <v>41</v>
      </c>
      <c r="M5853">
        <v>115.33</v>
      </c>
      <c r="N5853" s="4">
        <f t="shared" si="91"/>
        <v>-19.509234370935577</v>
      </c>
      <c r="O5853" t="s">
        <v>39</v>
      </c>
      <c r="Q5853" s="24" t="s">
        <v>4392</v>
      </c>
    </row>
    <row r="5854" spans="1:17" x14ac:dyDescent="0.25">
      <c r="A5854" s="22">
        <v>45852</v>
      </c>
      <c r="C5854" t="s">
        <v>4396</v>
      </c>
      <c r="D5854" s="44">
        <v>150000</v>
      </c>
      <c r="E5854" t="s">
        <v>45</v>
      </c>
      <c r="F5854" s="2">
        <v>110106001</v>
      </c>
      <c r="G5854" s="2" t="s">
        <v>1011</v>
      </c>
      <c r="I5854" s="95" t="s">
        <v>7231</v>
      </c>
      <c r="K5854" t="s">
        <v>4397</v>
      </c>
      <c r="M5854">
        <v>115.33</v>
      </c>
      <c r="N5854" s="4">
        <f t="shared" si="91"/>
        <v>1300.6156247290385</v>
      </c>
      <c r="O5854" t="s">
        <v>39</v>
      </c>
      <c r="P5854" t="s">
        <v>4398</v>
      </c>
    </row>
    <row r="5855" spans="1:17" x14ac:dyDescent="0.25">
      <c r="A5855" s="22">
        <v>45852</v>
      </c>
      <c r="C5855" t="s">
        <v>4390</v>
      </c>
      <c r="D5855" s="44">
        <v>-750</v>
      </c>
      <c r="E5855" t="s">
        <v>35</v>
      </c>
      <c r="F5855" s="2">
        <v>610148001</v>
      </c>
      <c r="G5855" s="84" t="s">
        <v>41</v>
      </c>
      <c r="H5855" s="84"/>
      <c r="I5855" s="95" t="s">
        <v>7231</v>
      </c>
      <c r="J5855" t="s">
        <v>42</v>
      </c>
      <c r="K5855" t="s">
        <v>41</v>
      </c>
      <c r="M5855">
        <v>115.33</v>
      </c>
      <c r="N5855" s="4">
        <f t="shared" si="91"/>
        <v>-6.5030781236451922</v>
      </c>
      <c r="O5855" t="s">
        <v>39</v>
      </c>
      <c r="Q5855" s="24" t="s">
        <v>4392</v>
      </c>
    </row>
    <row r="5856" spans="1:17" x14ac:dyDescent="0.25">
      <c r="A5856" s="22">
        <v>45852</v>
      </c>
      <c r="C5856" t="s">
        <v>4396</v>
      </c>
      <c r="D5856" s="44">
        <v>50000</v>
      </c>
      <c r="E5856" t="s">
        <v>45</v>
      </c>
      <c r="F5856" s="2">
        <v>110106001</v>
      </c>
      <c r="G5856" s="84" t="s">
        <v>1011</v>
      </c>
      <c r="H5856" s="84"/>
      <c r="I5856" s="95" t="s">
        <v>7231</v>
      </c>
      <c r="K5856" t="s">
        <v>4397</v>
      </c>
      <c r="M5856">
        <v>115.33</v>
      </c>
      <c r="N5856" s="4">
        <f t="shared" si="91"/>
        <v>433.53854157634612</v>
      </c>
      <c r="O5856" t="s">
        <v>39</v>
      </c>
      <c r="P5856" t="s">
        <v>4398</v>
      </c>
    </row>
    <row r="5857" spans="1:17" x14ac:dyDescent="0.25">
      <c r="A5857" s="22">
        <v>45852</v>
      </c>
      <c r="C5857" t="s">
        <v>4390</v>
      </c>
      <c r="D5857" s="44">
        <v>-1500</v>
      </c>
      <c r="E5857" t="s">
        <v>35</v>
      </c>
      <c r="F5857" s="2">
        <v>610148001</v>
      </c>
      <c r="G5857" s="84" t="s">
        <v>41</v>
      </c>
      <c r="H5857" s="84"/>
      <c r="I5857" s="95" t="s">
        <v>7231</v>
      </c>
      <c r="J5857" t="s">
        <v>42</v>
      </c>
      <c r="K5857" t="s">
        <v>41</v>
      </c>
      <c r="M5857">
        <v>115.33</v>
      </c>
      <c r="N5857" s="4">
        <f t="shared" si="91"/>
        <v>-13.006156247290384</v>
      </c>
      <c r="O5857" t="s">
        <v>39</v>
      </c>
      <c r="Q5857" s="24" t="s">
        <v>4392</v>
      </c>
    </row>
    <row r="5858" spans="1:17" x14ac:dyDescent="0.25">
      <c r="A5858" s="22">
        <v>45852</v>
      </c>
      <c r="C5858" t="s">
        <v>4396</v>
      </c>
      <c r="D5858" s="44">
        <v>100000</v>
      </c>
      <c r="E5858" t="s">
        <v>45</v>
      </c>
      <c r="F5858" s="2">
        <v>110106001</v>
      </c>
      <c r="G5858" s="2" t="s">
        <v>1011</v>
      </c>
      <c r="I5858" s="95" t="s">
        <v>7231</v>
      </c>
      <c r="K5858" t="s">
        <v>4397</v>
      </c>
      <c r="M5858">
        <v>115.33</v>
      </c>
      <c r="N5858" s="4">
        <f t="shared" si="91"/>
        <v>867.07708315269224</v>
      </c>
      <c r="O5858" t="s">
        <v>39</v>
      </c>
      <c r="P5858" t="s">
        <v>4398</v>
      </c>
    </row>
    <row r="5859" spans="1:17" x14ac:dyDescent="0.25">
      <c r="A5859" s="22">
        <v>45853</v>
      </c>
      <c r="C5859" t="s">
        <v>4390</v>
      </c>
      <c r="D5859" s="44">
        <v>-130.88</v>
      </c>
      <c r="E5859" t="s">
        <v>35</v>
      </c>
      <c r="F5859" s="2">
        <v>610148001</v>
      </c>
      <c r="G5859" s="2" t="s">
        <v>41</v>
      </c>
      <c r="I5859" s="95" t="s">
        <v>7231</v>
      </c>
      <c r="J5859" t="s">
        <v>42</v>
      </c>
      <c r="K5859" t="s">
        <v>41</v>
      </c>
      <c r="M5859">
        <v>115.84</v>
      </c>
      <c r="N5859" s="4">
        <f t="shared" si="91"/>
        <v>-1.1298342541436464</v>
      </c>
      <c r="O5859" t="s">
        <v>39</v>
      </c>
      <c r="Q5859" s="24" t="s">
        <v>4392</v>
      </c>
    </row>
    <row r="5860" spans="1:17" x14ac:dyDescent="0.25">
      <c r="A5860" s="22">
        <v>45853</v>
      </c>
      <c r="C5860" t="s">
        <v>4396</v>
      </c>
      <c r="D5860" s="44">
        <v>8725.4</v>
      </c>
      <c r="E5860" t="s">
        <v>45</v>
      </c>
      <c r="F5860" s="2">
        <v>110106001</v>
      </c>
      <c r="G5860" s="2" t="s">
        <v>1011</v>
      </c>
      <c r="I5860" s="95" t="s">
        <v>7231</v>
      </c>
      <c r="K5860" t="s">
        <v>4397</v>
      </c>
      <c r="M5860">
        <v>115.84</v>
      </c>
      <c r="N5860" s="4">
        <f t="shared" si="91"/>
        <v>75.322859116022087</v>
      </c>
      <c r="O5860" t="s">
        <v>39</v>
      </c>
      <c r="P5860" t="s">
        <v>4398</v>
      </c>
    </row>
    <row r="5861" spans="1:17" x14ac:dyDescent="0.25">
      <c r="A5861" s="22">
        <v>45867</v>
      </c>
      <c r="C5861" t="s">
        <v>4390</v>
      </c>
      <c r="D5861" s="44" t="s">
        <v>4399</v>
      </c>
      <c r="E5861" t="s">
        <v>35</v>
      </c>
      <c r="F5861" s="2">
        <v>610148001</v>
      </c>
      <c r="G5861" s="2" t="s">
        <v>41</v>
      </c>
      <c r="I5861" s="95" t="s">
        <v>7231</v>
      </c>
      <c r="J5861" t="s">
        <v>42</v>
      </c>
      <c r="K5861" t="s">
        <v>41</v>
      </c>
      <c r="M5861">
        <v>122.84</v>
      </c>
      <c r="N5861" s="4">
        <f t="shared" si="91"/>
        <v>-1.805275154672745</v>
      </c>
      <c r="O5861" t="s">
        <v>39</v>
      </c>
      <c r="Q5861" s="24" t="s">
        <v>4392</v>
      </c>
    </row>
    <row r="5862" spans="1:17" x14ac:dyDescent="0.25">
      <c r="A5862" s="22">
        <v>45867</v>
      </c>
      <c r="C5862" t="s">
        <v>4400</v>
      </c>
      <c r="D5862" s="44" t="s">
        <v>4401</v>
      </c>
      <c r="E5862" t="s">
        <v>35</v>
      </c>
      <c r="F5862" s="2">
        <v>210101001</v>
      </c>
      <c r="G5862" s="2" t="s">
        <v>36</v>
      </c>
      <c r="I5862" s="95" t="s">
        <v>7231</v>
      </c>
      <c r="J5862" t="s">
        <v>1301</v>
      </c>
      <c r="K5862" t="s">
        <v>1302</v>
      </c>
      <c r="M5862">
        <v>122.84</v>
      </c>
      <c r="N5862" s="4">
        <f t="shared" si="91"/>
        <v>-601.77263106479973</v>
      </c>
      <c r="O5862" t="s">
        <v>39</v>
      </c>
    </row>
    <row r="5863" spans="1:17" x14ac:dyDescent="0.25">
      <c r="A5863" s="22">
        <v>45867</v>
      </c>
      <c r="C5863" t="s">
        <v>4390</v>
      </c>
      <c r="D5863" s="44" t="s">
        <v>4402</v>
      </c>
      <c r="E5863" t="s">
        <v>35</v>
      </c>
      <c r="F5863" s="2">
        <v>610148001</v>
      </c>
      <c r="G5863" s="2" t="s">
        <v>41</v>
      </c>
      <c r="I5863" s="95" t="s">
        <v>7231</v>
      </c>
      <c r="J5863" t="s">
        <v>42</v>
      </c>
      <c r="K5863" t="s">
        <v>41</v>
      </c>
      <c r="M5863">
        <v>122.84</v>
      </c>
      <c r="N5863" s="4">
        <f t="shared" si="91"/>
        <v>-0.50830348420709859</v>
      </c>
      <c r="O5863" t="s">
        <v>39</v>
      </c>
      <c r="Q5863" s="24" t="s">
        <v>4392</v>
      </c>
    </row>
    <row r="5864" spans="1:17" x14ac:dyDescent="0.25">
      <c r="A5864" s="22">
        <v>45867</v>
      </c>
      <c r="C5864" t="s">
        <v>4403</v>
      </c>
      <c r="D5864" s="44" t="s">
        <v>4404</v>
      </c>
      <c r="E5864" t="s">
        <v>35</v>
      </c>
      <c r="F5864" s="2">
        <v>110114001</v>
      </c>
      <c r="G5864" s="2" t="s">
        <v>181</v>
      </c>
      <c r="I5864" s="95" t="s">
        <v>7231</v>
      </c>
      <c r="J5864" t="s">
        <v>4405</v>
      </c>
      <c r="K5864" t="s">
        <v>4406</v>
      </c>
      <c r="M5864">
        <v>122.84</v>
      </c>
      <c r="N5864" s="4">
        <f t="shared" si="91"/>
        <v>-169.45066753500487</v>
      </c>
      <c r="O5864" t="s">
        <v>39</v>
      </c>
    </row>
    <row r="5865" spans="1:17" x14ac:dyDescent="0.25">
      <c r="A5865" s="22">
        <v>45867</v>
      </c>
      <c r="C5865" t="s">
        <v>4390</v>
      </c>
      <c r="D5865" s="44" t="s">
        <v>4407</v>
      </c>
      <c r="E5865" t="s">
        <v>35</v>
      </c>
      <c r="F5865" s="2">
        <v>610148001</v>
      </c>
      <c r="G5865" s="2" t="s">
        <v>41</v>
      </c>
      <c r="I5865" s="95" t="s">
        <v>7231</v>
      </c>
      <c r="J5865" t="s">
        <v>42</v>
      </c>
      <c r="K5865" t="s">
        <v>41</v>
      </c>
      <c r="M5865">
        <v>122.84</v>
      </c>
      <c r="N5865" s="4">
        <f t="shared" si="91"/>
        <v>-8.9954412243568871E-2</v>
      </c>
      <c r="O5865" t="s">
        <v>39</v>
      </c>
      <c r="Q5865" s="24" t="s">
        <v>4392</v>
      </c>
    </row>
    <row r="5866" spans="1:17" x14ac:dyDescent="0.25">
      <c r="A5866" s="33">
        <v>45867</v>
      </c>
      <c r="B5866" s="27"/>
      <c r="C5866" s="28" t="s">
        <v>4408</v>
      </c>
      <c r="D5866" s="47">
        <v>-3685.2</v>
      </c>
      <c r="E5866" s="28" t="s">
        <v>35</v>
      </c>
      <c r="F5866" s="30">
        <v>610122005</v>
      </c>
      <c r="G5866" s="30" t="s">
        <v>401</v>
      </c>
      <c r="H5866" s="30"/>
      <c r="I5866" s="95" t="s">
        <v>7231</v>
      </c>
      <c r="J5866" s="28" t="s">
        <v>608</v>
      </c>
      <c r="K5866" s="28" t="s">
        <v>609</v>
      </c>
      <c r="L5866" s="28" t="s">
        <v>56</v>
      </c>
      <c r="M5866" s="28">
        <v>122.84</v>
      </c>
      <c r="N5866" s="4">
        <f t="shared" si="91"/>
        <v>-29.999999999999996</v>
      </c>
      <c r="O5866" t="s">
        <v>39</v>
      </c>
      <c r="Q5866" s="24" t="s">
        <v>4409</v>
      </c>
    </row>
    <row r="5867" spans="1:17" x14ac:dyDescent="0.25">
      <c r="A5867" s="22">
        <v>45869</v>
      </c>
      <c r="C5867" t="s">
        <v>4410</v>
      </c>
      <c r="D5867" s="44" t="s">
        <v>4411</v>
      </c>
      <c r="E5867" t="s">
        <v>35</v>
      </c>
      <c r="F5867" s="2">
        <v>610148001</v>
      </c>
      <c r="G5867" s="2" t="s">
        <v>41</v>
      </c>
      <c r="I5867" s="95" t="s">
        <v>7231</v>
      </c>
      <c r="J5867" t="s">
        <v>42</v>
      </c>
      <c r="K5867" t="s">
        <v>41</v>
      </c>
      <c r="M5867">
        <v>124.51</v>
      </c>
      <c r="N5867" s="4">
        <f t="shared" si="91"/>
        <v>-4.0157417074933735E-3</v>
      </c>
      <c r="O5867" t="s">
        <v>39</v>
      </c>
      <c r="Q5867" s="24" t="s">
        <v>4392</v>
      </c>
    </row>
    <row r="5868" spans="1:17" x14ac:dyDescent="0.25">
      <c r="A5868" s="22">
        <v>45869</v>
      </c>
      <c r="C5868" t="s">
        <v>4412</v>
      </c>
      <c r="D5868" s="44" t="s">
        <v>4411</v>
      </c>
      <c r="E5868" t="s">
        <v>35</v>
      </c>
      <c r="F5868" s="2">
        <v>610148001</v>
      </c>
      <c r="G5868" s="2" t="s">
        <v>41</v>
      </c>
      <c r="I5868" s="95" t="s">
        <v>7231</v>
      </c>
      <c r="J5868" t="s">
        <v>42</v>
      </c>
      <c r="K5868" t="s">
        <v>41</v>
      </c>
      <c r="M5868">
        <v>124.51</v>
      </c>
      <c r="N5868" s="4">
        <f t="shared" si="91"/>
        <v>-4.0157417074933735E-3</v>
      </c>
      <c r="O5868" t="s">
        <v>39</v>
      </c>
      <c r="Q5868" s="24" t="s">
        <v>4392</v>
      </c>
    </row>
    <row r="5869" spans="1:17" x14ac:dyDescent="0.25">
      <c r="A5869" s="22">
        <v>45869</v>
      </c>
      <c r="C5869" t="s">
        <v>4390</v>
      </c>
      <c r="D5869" s="44" t="s">
        <v>4413</v>
      </c>
      <c r="E5869" t="s">
        <v>35</v>
      </c>
      <c r="F5869" s="2">
        <v>610148001</v>
      </c>
      <c r="G5869" s="2" t="s">
        <v>41</v>
      </c>
      <c r="I5869" s="95" t="s">
        <v>7231</v>
      </c>
      <c r="J5869" t="s">
        <v>42</v>
      </c>
      <c r="K5869" t="s">
        <v>41</v>
      </c>
      <c r="M5869">
        <v>124.51</v>
      </c>
      <c r="N5869" s="4">
        <f t="shared" si="91"/>
        <v>-2.4094450244960242</v>
      </c>
      <c r="O5869" t="s">
        <v>39</v>
      </c>
      <c r="Q5869" s="24" t="s">
        <v>4392</v>
      </c>
    </row>
    <row r="5870" spans="1:17" x14ac:dyDescent="0.25">
      <c r="A5870" s="22">
        <v>45869</v>
      </c>
      <c r="C5870" t="s">
        <v>3305</v>
      </c>
      <c r="D5870" s="44" t="s">
        <v>4414</v>
      </c>
      <c r="E5870" t="s">
        <v>35</v>
      </c>
      <c r="F5870" s="2">
        <v>110101003</v>
      </c>
      <c r="G5870" s="2" t="s">
        <v>2945</v>
      </c>
      <c r="I5870" s="95" t="s">
        <v>7231</v>
      </c>
      <c r="K5870" t="s">
        <v>3305</v>
      </c>
      <c r="M5870">
        <v>124.51</v>
      </c>
      <c r="N5870" s="4">
        <f t="shared" si="91"/>
        <v>-803.14834149867477</v>
      </c>
      <c r="O5870" t="s">
        <v>39</v>
      </c>
    </row>
    <row r="5871" spans="1:17" x14ac:dyDescent="0.25">
      <c r="A5871" s="22">
        <v>45852</v>
      </c>
      <c r="C5871" t="s">
        <v>50</v>
      </c>
      <c r="D5871" s="44">
        <v>-85.8</v>
      </c>
      <c r="E5871" t="s">
        <v>35</v>
      </c>
      <c r="F5871" s="2">
        <v>610148001</v>
      </c>
      <c r="G5871" s="2" t="s">
        <v>41</v>
      </c>
      <c r="I5871" s="95" t="s">
        <v>7231</v>
      </c>
      <c r="J5871" t="s">
        <v>42</v>
      </c>
      <c r="K5871" t="s">
        <v>41</v>
      </c>
      <c r="M5871">
        <v>115.33</v>
      </c>
      <c r="N5871" s="4">
        <f t="shared" si="91"/>
        <v>-0.74395213734500998</v>
      </c>
      <c r="O5871" t="s">
        <v>51</v>
      </c>
      <c r="Q5871" s="24" t="s">
        <v>4392</v>
      </c>
    </row>
    <row r="5872" spans="1:17" x14ac:dyDescent="0.25">
      <c r="A5872" s="22">
        <v>45852</v>
      </c>
      <c r="C5872" t="s">
        <v>4415</v>
      </c>
      <c r="D5872" s="44">
        <v>-28602.5</v>
      </c>
      <c r="E5872" t="s">
        <v>35</v>
      </c>
      <c r="F5872" s="2">
        <v>840101001</v>
      </c>
      <c r="G5872" s="2" t="s">
        <v>60</v>
      </c>
      <c r="I5872" s="95" t="s">
        <v>7231</v>
      </c>
      <c r="J5872" t="s">
        <v>61</v>
      </c>
      <c r="K5872" t="s">
        <v>62</v>
      </c>
      <c r="M5872">
        <v>115.33</v>
      </c>
      <c r="N5872" s="4">
        <f t="shared" si="91"/>
        <v>-248.00572270874881</v>
      </c>
      <c r="O5872" t="s">
        <v>51</v>
      </c>
    </row>
    <row r="5873" spans="1:17" x14ac:dyDescent="0.25">
      <c r="A5873" s="22">
        <v>45852</v>
      </c>
      <c r="C5873" t="s">
        <v>50</v>
      </c>
      <c r="D5873" s="44">
        <v>-85.8</v>
      </c>
      <c r="E5873" t="s">
        <v>35</v>
      </c>
      <c r="F5873" s="2">
        <v>610148001</v>
      </c>
      <c r="G5873" s="2" t="s">
        <v>41</v>
      </c>
      <c r="I5873" s="95" t="s">
        <v>7231</v>
      </c>
      <c r="J5873" t="s">
        <v>42</v>
      </c>
      <c r="K5873" t="s">
        <v>41</v>
      </c>
      <c r="M5873">
        <v>115.33</v>
      </c>
      <c r="N5873" s="4">
        <f t="shared" si="91"/>
        <v>-0.74395213734500998</v>
      </c>
      <c r="O5873" t="s">
        <v>51</v>
      </c>
      <c r="Q5873" s="24" t="s">
        <v>4392</v>
      </c>
    </row>
    <row r="5874" spans="1:17" x14ac:dyDescent="0.25">
      <c r="A5874" s="22">
        <v>45852</v>
      </c>
      <c r="C5874" t="s">
        <v>4416</v>
      </c>
      <c r="D5874" s="44">
        <v>-28602.5</v>
      </c>
      <c r="E5874" t="s">
        <v>35</v>
      </c>
      <c r="F5874" s="2">
        <v>840101001</v>
      </c>
      <c r="G5874" s="2" t="s">
        <v>60</v>
      </c>
      <c r="I5874" s="95" t="s">
        <v>7231</v>
      </c>
      <c r="J5874" t="s">
        <v>61</v>
      </c>
      <c r="K5874" t="s">
        <v>62</v>
      </c>
      <c r="M5874">
        <v>115.33</v>
      </c>
      <c r="N5874" s="4">
        <f t="shared" si="91"/>
        <v>-248.00572270874881</v>
      </c>
      <c r="O5874" t="s">
        <v>51</v>
      </c>
    </row>
    <row r="5875" spans="1:17" x14ac:dyDescent="0.25">
      <c r="A5875" s="22">
        <v>45852</v>
      </c>
      <c r="C5875" t="s">
        <v>82</v>
      </c>
      <c r="D5875" s="44">
        <v>58000</v>
      </c>
      <c r="E5875" t="s">
        <v>45</v>
      </c>
      <c r="F5875" s="2">
        <v>210115002</v>
      </c>
      <c r="G5875" s="2" t="s">
        <v>46</v>
      </c>
      <c r="I5875" s="95" t="s">
        <v>7231</v>
      </c>
      <c r="K5875" t="s">
        <v>82</v>
      </c>
      <c r="M5875">
        <v>115.33</v>
      </c>
      <c r="N5875" s="4">
        <f t="shared" si="91"/>
        <v>502.9047082285615</v>
      </c>
      <c r="O5875" t="s">
        <v>51</v>
      </c>
    </row>
    <row r="5876" spans="1:17" x14ac:dyDescent="0.25">
      <c r="A5876" s="22">
        <v>45867</v>
      </c>
      <c r="C5876" t="s">
        <v>50</v>
      </c>
      <c r="D5876" s="44">
        <v>-91.62</v>
      </c>
      <c r="E5876" t="s">
        <v>35</v>
      </c>
      <c r="F5876" s="2">
        <v>610148001</v>
      </c>
      <c r="G5876" s="2" t="s">
        <v>41</v>
      </c>
      <c r="I5876" s="95" t="s">
        <v>7231</v>
      </c>
      <c r="J5876" t="s">
        <v>42</v>
      </c>
      <c r="K5876" t="s">
        <v>41</v>
      </c>
      <c r="M5876">
        <v>122.84</v>
      </c>
      <c r="N5876" s="4">
        <f t="shared" si="91"/>
        <v>-0.74584825789645071</v>
      </c>
      <c r="O5876" t="s">
        <v>51</v>
      </c>
      <c r="Q5876" s="24" t="s">
        <v>4392</v>
      </c>
    </row>
    <row r="5877" spans="1:17" x14ac:dyDescent="0.25">
      <c r="A5877" s="22">
        <v>45867</v>
      </c>
      <c r="C5877" t="s">
        <v>4417</v>
      </c>
      <c r="D5877" s="44">
        <v>-30542.5</v>
      </c>
      <c r="E5877" t="s">
        <v>35</v>
      </c>
      <c r="F5877" s="2">
        <v>840101001</v>
      </c>
      <c r="G5877" s="2" t="s">
        <v>60</v>
      </c>
      <c r="I5877" s="95" t="s">
        <v>7231</v>
      </c>
      <c r="J5877" t="s">
        <v>61</v>
      </c>
      <c r="K5877" t="s">
        <v>62</v>
      </c>
      <c r="M5877">
        <v>122.84</v>
      </c>
      <c r="N5877" s="4">
        <f t="shared" si="91"/>
        <v>-248.63643764246174</v>
      </c>
      <c r="O5877" t="s">
        <v>51</v>
      </c>
    </row>
    <row r="5878" spans="1:17" x14ac:dyDescent="0.25">
      <c r="A5878" s="22">
        <v>45867</v>
      </c>
      <c r="C5878" t="s">
        <v>50</v>
      </c>
      <c r="D5878" s="44">
        <v>-91.62</v>
      </c>
      <c r="E5878" t="s">
        <v>35</v>
      </c>
      <c r="F5878" s="2">
        <v>610148001</v>
      </c>
      <c r="G5878" s="2" t="s">
        <v>41</v>
      </c>
      <c r="I5878" s="95" t="s">
        <v>7231</v>
      </c>
      <c r="J5878" t="s">
        <v>42</v>
      </c>
      <c r="K5878" t="s">
        <v>41</v>
      </c>
      <c r="M5878">
        <v>122.84</v>
      </c>
      <c r="N5878" s="4">
        <f t="shared" si="91"/>
        <v>-0.74584825789645071</v>
      </c>
      <c r="O5878" t="s">
        <v>51</v>
      </c>
      <c r="Q5878" s="24" t="s">
        <v>4392</v>
      </c>
    </row>
    <row r="5879" spans="1:17" x14ac:dyDescent="0.25">
      <c r="A5879" s="22">
        <v>45867</v>
      </c>
      <c r="C5879" t="s">
        <v>4418</v>
      </c>
      <c r="D5879" s="44">
        <v>-30542.5</v>
      </c>
      <c r="E5879" t="s">
        <v>35</v>
      </c>
      <c r="F5879" s="2">
        <v>840101001</v>
      </c>
      <c r="G5879" s="2" t="s">
        <v>60</v>
      </c>
      <c r="I5879" s="95" t="s">
        <v>7231</v>
      </c>
      <c r="J5879" t="s">
        <v>61</v>
      </c>
      <c r="K5879" t="s">
        <v>62</v>
      </c>
      <c r="M5879">
        <v>122.84</v>
      </c>
      <c r="N5879" s="4">
        <f t="shared" si="91"/>
        <v>-248.63643764246174</v>
      </c>
      <c r="O5879" t="s">
        <v>51</v>
      </c>
    </row>
    <row r="5880" spans="1:17" x14ac:dyDescent="0.25">
      <c r="A5880" s="22">
        <v>45867</v>
      </c>
      <c r="C5880" t="s">
        <v>4021</v>
      </c>
      <c r="D5880" s="44">
        <v>65000</v>
      </c>
      <c r="E5880" t="s">
        <v>45</v>
      </c>
      <c r="F5880" s="2">
        <v>210115002</v>
      </c>
      <c r="G5880" s="2" t="s">
        <v>46</v>
      </c>
      <c r="I5880" s="95" t="s">
        <v>7231</v>
      </c>
      <c r="K5880" t="s">
        <v>4021</v>
      </c>
      <c r="M5880">
        <v>122.84</v>
      </c>
      <c r="N5880" s="4">
        <f t="shared" si="91"/>
        <v>529.14360143275803</v>
      </c>
      <c r="O5880" t="s">
        <v>51</v>
      </c>
    </row>
    <row r="5881" spans="1:17" x14ac:dyDescent="0.25">
      <c r="A5881" s="22">
        <v>45869</v>
      </c>
      <c r="C5881" t="s">
        <v>68</v>
      </c>
      <c r="D5881" s="44">
        <v>-0.5</v>
      </c>
      <c r="E5881" t="s">
        <v>35</v>
      </c>
      <c r="F5881" s="2">
        <v>610148001</v>
      </c>
      <c r="G5881" s="2" t="s">
        <v>41</v>
      </c>
      <c r="I5881" s="95" t="s">
        <v>7231</v>
      </c>
      <c r="J5881" t="s">
        <v>42</v>
      </c>
      <c r="K5881" t="s">
        <v>41</v>
      </c>
      <c r="M5881">
        <v>124.51</v>
      </c>
      <c r="N5881" s="4">
        <f t="shared" si="91"/>
        <v>-4.0157417074933735E-3</v>
      </c>
      <c r="O5881" t="s">
        <v>51</v>
      </c>
      <c r="Q5881" s="24" t="s">
        <v>4392</v>
      </c>
    </row>
    <row r="5882" spans="1:17" x14ac:dyDescent="0.25">
      <c r="A5882" s="22">
        <v>45869</v>
      </c>
      <c r="C5882" t="s">
        <v>69</v>
      </c>
      <c r="D5882" s="44">
        <v>-0.5</v>
      </c>
      <c r="E5882" t="s">
        <v>35</v>
      </c>
      <c r="F5882" s="2">
        <v>610148001</v>
      </c>
      <c r="G5882" s="2" t="s">
        <v>41</v>
      </c>
      <c r="I5882" s="95" t="s">
        <v>7231</v>
      </c>
      <c r="J5882" t="s">
        <v>42</v>
      </c>
      <c r="K5882" t="s">
        <v>41</v>
      </c>
      <c r="M5882">
        <v>124.51</v>
      </c>
      <c r="N5882" s="4">
        <f t="shared" si="91"/>
        <v>-4.0157417074933735E-3</v>
      </c>
      <c r="O5882" t="s">
        <v>51</v>
      </c>
      <c r="Q5882" s="24" t="s">
        <v>4392</v>
      </c>
    </row>
    <row r="5883" spans="1:17" x14ac:dyDescent="0.25">
      <c r="A5883" s="22">
        <v>45839</v>
      </c>
      <c r="B5883" s="1">
        <v>114116391</v>
      </c>
      <c r="C5883" t="s">
        <v>82</v>
      </c>
      <c r="D5883" s="44">
        <v>550000</v>
      </c>
      <c r="E5883" t="s">
        <v>45</v>
      </c>
      <c r="F5883" s="2">
        <v>210115002</v>
      </c>
      <c r="G5883" s="2" t="s">
        <v>46</v>
      </c>
      <c r="I5883" s="95" t="s">
        <v>7231</v>
      </c>
      <c r="K5883" t="s">
        <v>82</v>
      </c>
      <c r="M5883">
        <v>108.19</v>
      </c>
      <c r="N5883" s="4">
        <f t="shared" si="91"/>
        <v>5083.6491357796467</v>
      </c>
      <c r="O5883" t="s">
        <v>83</v>
      </c>
    </row>
    <row r="5884" spans="1:17" x14ac:dyDescent="0.25">
      <c r="A5884" s="22">
        <v>45839</v>
      </c>
      <c r="B5884" s="1">
        <v>714704197</v>
      </c>
      <c r="C5884" t="s">
        <v>4419</v>
      </c>
      <c r="D5884" s="44">
        <v>-200000</v>
      </c>
      <c r="E5884" t="s">
        <v>35</v>
      </c>
      <c r="F5884" s="2">
        <v>210101001</v>
      </c>
      <c r="G5884" s="2" t="s">
        <v>36</v>
      </c>
      <c r="I5884" s="95" t="s">
        <v>7231</v>
      </c>
      <c r="J5884" t="s">
        <v>37</v>
      </c>
      <c r="K5884" t="s">
        <v>38</v>
      </c>
      <c r="M5884">
        <v>108.19</v>
      </c>
      <c r="N5884" s="4">
        <f t="shared" si="91"/>
        <v>-1848.5996857380535</v>
      </c>
      <c r="O5884" t="s">
        <v>83</v>
      </c>
    </row>
    <row r="5885" spans="1:17" x14ac:dyDescent="0.25">
      <c r="A5885" s="22">
        <v>45839</v>
      </c>
      <c r="B5885" s="1">
        <v>714704197</v>
      </c>
      <c r="C5885" t="s">
        <v>185</v>
      </c>
      <c r="D5885" s="44">
        <v>-600</v>
      </c>
      <c r="E5885" t="s">
        <v>35</v>
      </c>
      <c r="F5885" s="2">
        <v>610148001</v>
      </c>
      <c r="G5885" s="2" t="s">
        <v>41</v>
      </c>
      <c r="I5885" s="95" t="s">
        <v>7231</v>
      </c>
      <c r="J5885" t="s">
        <v>42</v>
      </c>
      <c r="K5885" t="s">
        <v>41</v>
      </c>
      <c r="M5885">
        <v>108.19</v>
      </c>
      <c r="N5885" s="4">
        <f t="shared" si="91"/>
        <v>-5.5457990572141602</v>
      </c>
      <c r="O5885" t="s">
        <v>83</v>
      </c>
      <c r="Q5885" s="24" t="s">
        <v>4392</v>
      </c>
    </row>
    <row r="5886" spans="1:17" x14ac:dyDescent="0.25">
      <c r="A5886" s="22">
        <v>45839</v>
      </c>
      <c r="B5886" s="1">
        <v>114547366</v>
      </c>
      <c r="C5886" t="s">
        <v>82</v>
      </c>
      <c r="D5886" s="44">
        <v>584000</v>
      </c>
      <c r="E5886" t="s">
        <v>45</v>
      </c>
      <c r="F5886" s="2">
        <v>210115002</v>
      </c>
      <c r="G5886" s="2" t="s">
        <v>46</v>
      </c>
      <c r="I5886" s="95" t="s">
        <v>7231</v>
      </c>
      <c r="K5886" t="s">
        <v>82</v>
      </c>
      <c r="M5886">
        <v>108.19</v>
      </c>
      <c r="N5886" s="4">
        <f t="shared" si="91"/>
        <v>5397.9110823551164</v>
      </c>
      <c r="O5886" t="s">
        <v>83</v>
      </c>
    </row>
    <row r="5887" spans="1:17" x14ac:dyDescent="0.25">
      <c r="A5887" s="22">
        <v>45839</v>
      </c>
      <c r="B5887" s="1">
        <v>414704271</v>
      </c>
      <c r="C5887" t="s">
        <v>4419</v>
      </c>
      <c r="D5887" s="44">
        <v>-200000</v>
      </c>
      <c r="E5887" t="s">
        <v>35</v>
      </c>
      <c r="F5887" s="2">
        <v>210101001</v>
      </c>
      <c r="G5887" s="2" t="s">
        <v>36</v>
      </c>
      <c r="I5887" s="95" t="s">
        <v>7231</v>
      </c>
      <c r="J5887" t="s">
        <v>37</v>
      </c>
      <c r="K5887" t="s">
        <v>38</v>
      </c>
      <c r="M5887">
        <v>108.19</v>
      </c>
      <c r="N5887" s="4">
        <f t="shared" si="91"/>
        <v>-1848.5996857380535</v>
      </c>
      <c r="O5887" t="s">
        <v>83</v>
      </c>
    </row>
    <row r="5888" spans="1:17" x14ac:dyDescent="0.25">
      <c r="A5888" s="22">
        <v>45839</v>
      </c>
      <c r="B5888" s="1">
        <v>414704271</v>
      </c>
      <c r="C5888" t="s">
        <v>185</v>
      </c>
      <c r="D5888" s="44">
        <v>-600</v>
      </c>
      <c r="E5888" t="s">
        <v>35</v>
      </c>
      <c r="F5888" s="2">
        <v>610148001</v>
      </c>
      <c r="G5888" s="2" t="s">
        <v>41</v>
      </c>
      <c r="I5888" s="95" t="s">
        <v>7231</v>
      </c>
      <c r="J5888" t="s">
        <v>42</v>
      </c>
      <c r="K5888" t="s">
        <v>41</v>
      </c>
      <c r="M5888">
        <v>108.19</v>
      </c>
      <c r="N5888" s="4">
        <f t="shared" si="91"/>
        <v>-5.5457990572141602</v>
      </c>
      <c r="O5888" t="s">
        <v>83</v>
      </c>
      <c r="Q5888" s="24" t="s">
        <v>4392</v>
      </c>
    </row>
    <row r="5889" spans="1:17" x14ac:dyDescent="0.25">
      <c r="A5889" s="22">
        <v>45839</v>
      </c>
      <c r="B5889" s="1">
        <v>414704279</v>
      </c>
      <c r="C5889" t="s">
        <v>4420</v>
      </c>
      <c r="D5889" s="44">
        <v>-140950</v>
      </c>
      <c r="E5889" t="s">
        <v>35</v>
      </c>
      <c r="F5889" s="2">
        <v>610122005</v>
      </c>
      <c r="G5889" s="2" t="s">
        <v>401</v>
      </c>
      <c r="I5889" s="95" t="s">
        <v>7231</v>
      </c>
      <c r="J5889" t="s">
        <v>608</v>
      </c>
      <c r="K5889" s="3" t="s">
        <v>609</v>
      </c>
      <c r="L5889" s="28" t="s">
        <v>56</v>
      </c>
      <c r="M5889">
        <v>108.19</v>
      </c>
      <c r="N5889" s="4">
        <f t="shared" si="91"/>
        <v>-1302.8006285238932</v>
      </c>
      <c r="O5889" t="s">
        <v>83</v>
      </c>
    </row>
    <row r="5890" spans="1:17" x14ac:dyDescent="0.25">
      <c r="A5890" s="22">
        <v>45839</v>
      </c>
      <c r="B5890" s="1">
        <v>414704279</v>
      </c>
      <c r="C5890" t="s">
        <v>185</v>
      </c>
      <c r="D5890" s="44">
        <v>-422.85</v>
      </c>
      <c r="E5890" t="s">
        <v>35</v>
      </c>
      <c r="F5890" s="2">
        <v>610148001</v>
      </c>
      <c r="G5890" s="2" t="s">
        <v>41</v>
      </c>
      <c r="I5890" s="95" t="s">
        <v>7231</v>
      </c>
      <c r="J5890" t="s">
        <v>42</v>
      </c>
      <c r="K5890" t="s">
        <v>41</v>
      </c>
      <c r="M5890">
        <v>108.19</v>
      </c>
      <c r="N5890" s="4">
        <f t="shared" si="91"/>
        <v>-3.9084018855716796</v>
      </c>
      <c r="O5890" t="s">
        <v>83</v>
      </c>
      <c r="Q5890" s="24" t="s">
        <v>4392</v>
      </c>
    </row>
    <row r="5891" spans="1:17" x14ac:dyDescent="0.25">
      <c r="A5891" s="22">
        <v>45839</v>
      </c>
      <c r="B5891" s="1">
        <v>714704327</v>
      </c>
      <c r="C5891" t="s">
        <v>4420</v>
      </c>
      <c r="D5891" s="44">
        <v>-200000</v>
      </c>
      <c r="E5891" t="s">
        <v>35</v>
      </c>
      <c r="F5891" s="2">
        <v>610122005</v>
      </c>
      <c r="G5891" s="2" t="s">
        <v>401</v>
      </c>
      <c r="I5891" s="95" t="s">
        <v>7231</v>
      </c>
      <c r="J5891" t="s">
        <v>608</v>
      </c>
      <c r="K5891" s="3" t="s">
        <v>609</v>
      </c>
      <c r="L5891" s="28" t="s">
        <v>56</v>
      </c>
      <c r="M5891">
        <v>108.19</v>
      </c>
      <c r="N5891" s="4">
        <f t="shared" si="91"/>
        <v>-1848.5996857380535</v>
      </c>
      <c r="O5891" t="s">
        <v>83</v>
      </c>
    </row>
    <row r="5892" spans="1:17" x14ac:dyDescent="0.25">
      <c r="A5892" s="22">
        <v>45839</v>
      </c>
      <c r="B5892" s="1">
        <v>714704328</v>
      </c>
      <c r="C5892" t="s">
        <v>4420</v>
      </c>
      <c r="D5892" s="44">
        <v>-200000</v>
      </c>
      <c r="E5892" t="s">
        <v>35</v>
      </c>
      <c r="F5892" s="2">
        <v>610122005</v>
      </c>
      <c r="G5892" s="2" t="s">
        <v>401</v>
      </c>
      <c r="I5892" s="95" t="s">
        <v>7231</v>
      </c>
      <c r="J5892" t="s">
        <v>608</v>
      </c>
      <c r="K5892" s="3" t="s">
        <v>609</v>
      </c>
      <c r="L5892" s="28" t="s">
        <v>56</v>
      </c>
      <c r="M5892">
        <v>108.19</v>
      </c>
      <c r="N5892" s="4">
        <f t="shared" si="91"/>
        <v>-1848.5996857380535</v>
      </c>
      <c r="O5892" t="s">
        <v>83</v>
      </c>
    </row>
    <row r="5893" spans="1:17" x14ac:dyDescent="0.25">
      <c r="A5893" s="22">
        <v>45839</v>
      </c>
      <c r="B5893" s="1">
        <v>714704331</v>
      </c>
      <c r="C5893" t="s">
        <v>4421</v>
      </c>
      <c r="D5893" s="44">
        <v>-51712.800000000003</v>
      </c>
      <c r="E5893" t="s">
        <v>35</v>
      </c>
      <c r="F5893" s="2">
        <v>210101001</v>
      </c>
      <c r="G5893" s="2" t="s">
        <v>36</v>
      </c>
      <c r="I5893" s="95" t="s">
        <v>7231</v>
      </c>
      <c r="J5893" t="s">
        <v>414</v>
      </c>
      <c r="K5893" t="s">
        <v>415</v>
      </c>
      <c r="M5893">
        <v>108.19</v>
      </c>
      <c r="N5893" s="4">
        <f t="shared" si="91"/>
        <v>-477.98132914317409</v>
      </c>
      <c r="O5893" t="s">
        <v>83</v>
      </c>
    </row>
    <row r="5894" spans="1:17" x14ac:dyDescent="0.25">
      <c r="A5894" s="22">
        <v>45839</v>
      </c>
      <c r="B5894" s="1">
        <v>714704329</v>
      </c>
      <c r="C5894" t="s">
        <v>4419</v>
      </c>
      <c r="D5894" s="44">
        <v>-128373.99</v>
      </c>
      <c r="E5894" t="s">
        <v>35</v>
      </c>
      <c r="F5894" s="2">
        <v>210101001</v>
      </c>
      <c r="G5894" s="2" t="s">
        <v>36</v>
      </c>
      <c r="I5894" s="95" t="s">
        <v>7231</v>
      </c>
      <c r="J5894" t="s">
        <v>37</v>
      </c>
      <c r="K5894" t="s">
        <v>38</v>
      </c>
      <c r="M5894">
        <v>108.19</v>
      </c>
      <c r="N5894" s="4">
        <f t="shared" si="91"/>
        <v>-1186.5605878547001</v>
      </c>
      <c r="O5894" t="s">
        <v>83</v>
      </c>
    </row>
    <row r="5895" spans="1:17" x14ac:dyDescent="0.25">
      <c r="A5895" s="33">
        <v>45839</v>
      </c>
      <c r="B5895" s="27">
        <v>714704330</v>
      </c>
      <c r="C5895" s="28" t="s">
        <v>4422</v>
      </c>
      <c r="D5895" s="47">
        <v>-2163.8000000000002</v>
      </c>
      <c r="E5895" s="28" t="s">
        <v>35</v>
      </c>
      <c r="F5895" s="30">
        <v>610125001</v>
      </c>
      <c r="G5895" s="30" t="s">
        <v>2536</v>
      </c>
      <c r="H5895" s="30"/>
      <c r="I5895" s="95" t="s">
        <v>7231</v>
      </c>
      <c r="J5895" s="28" t="s">
        <v>406</v>
      </c>
      <c r="K5895" s="28" t="s">
        <v>407</v>
      </c>
      <c r="L5895" s="28" t="s">
        <v>56</v>
      </c>
      <c r="M5895" s="28">
        <v>108.19</v>
      </c>
      <c r="N5895" s="4">
        <f t="shared" si="91"/>
        <v>-20.000000000000004</v>
      </c>
      <c r="O5895" t="s">
        <v>83</v>
      </c>
      <c r="Q5895" s="24" t="s">
        <v>4423</v>
      </c>
    </row>
    <row r="5896" spans="1:17" x14ac:dyDescent="0.25">
      <c r="A5896" s="22">
        <v>45839</v>
      </c>
      <c r="B5896" s="1">
        <v>50718804</v>
      </c>
      <c r="C5896" t="s">
        <v>89</v>
      </c>
      <c r="D5896" s="44">
        <v>-1455.62</v>
      </c>
      <c r="E5896" t="s">
        <v>35</v>
      </c>
      <c r="F5896" s="2">
        <v>610148001</v>
      </c>
      <c r="G5896" s="2" t="s">
        <v>41</v>
      </c>
      <c r="I5896" s="95" t="s">
        <v>7231</v>
      </c>
      <c r="J5896" t="s">
        <v>42</v>
      </c>
      <c r="K5896" t="s">
        <v>41</v>
      </c>
      <c r="M5896">
        <v>108.19</v>
      </c>
      <c r="N5896" s="4">
        <f t="shared" si="91"/>
        <v>-13.454293372770126</v>
      </c>
      <c r="O5896" t="s">
        <v>83</v>
      </c>
      <c r="Q5896" s="24" t="s">
        <v>4392</v>
      </c>
    </row>
    <row r="5897" spans="1:17" x14ac:dyDescent="0.25">
      <c r="A5897" s="22">
        <v>45839</v>
      </c>
      <c r="B5897" s="1">
        <v>142540106</v>
      </c>
      <c r="C5897" t="s">
        <v>82</v>
      </c>
      <c r="D5897" s="44">
        <v>700000</v>
      </c>
      <c r="E5897" t="s">
        <v>45</v>
      </c>
      <c r="F5897" s="2">
        <v>210115002</v>
      </c>
      <c r="G5897" s="2" t="s">
        <v>46</v>
      </c>
      <c r="I5897" s="95" t="s">
        <v>7231</v>
      </c>
      <c r="K5897" t="s">
        <v>82</v>
      </c>
      <c r="M5897">
        <v>108.19</v>
      </c>
      <c r="N5897" s="4">
        <f t="shared" si="91"/>
        <v>6470.0989000831869</v>
      </c>
      <c r="O5897" t="s">
        <v>83</v>
      </c>
    </row>
    <row r="5898" spans="1:17" x14ac:dyDescent="0.25">
      <c r="A5898" s="22">
        <v>45839</v>
      </c>
      <c r="B5898" s="1">
        <v>814707609</v>
      </c>
      <c r="C5898" t="s">
        <v>4424</v>
      </c>
      <c r="D5898" s="44">
        <v>-43046.64</v>
      </c>
      <c r="E5898" t="s">
        <v>35</v>
      </c>
      <c r="F5898" s="2">
        <v>110114001</v>
      </c>
      <c r="G5898" s="2" t="s">
        <v>181</v>
      </c>
      <c r="I5898" s="95" t="s">
        <v>7231</v>
      </c>
      <c r="J5898" t="s">
        <v>928</v>
      </c>
      <c r="K5898" t="s">
        <v>929</v>
      </c>
      <c r="M5898">
        <v>108.19</v>
      </c>
      <c r="N5898" s="4">
        <f t="shared" si="91"/>
        <v>-397.88002588039558</v>
      </c>
      <c r="O5898" t="s">
        <v>83</v>
      </c>
      <c r="P5898" s="34" t="s">
        <v>3907</v>
      </c>
    </row>
    <row r="5899" spans="1:17" x14ac:dyDescent="0.25">
      <c r="A5899" s="22">
        <v>45839</v>
      </c>
      <c r="B5899" s="1">
        <v>814707610</v>
      </c>
      <c r="C5899" t="s">
        <v>4425</v>
      </c>
      <c r="D5899" s="44">
        <v>-35767.61</v>
      </c>
      <c r="E5899" t="s">
        <v>35</v>
      </c>
      <c r="F5899" s="2">
        <v>110114001</v>
      </c>
      <c r="G5899" s="2" t="s">
        <v>181</v>
      </c>
      <c r="I5899" s="95" t="s">
        <v>7231</v>
      </c>
      <c r="J5899" t="s">
        <v>414</v>
      </c>
      <c r="K5899" t="s">
        <v>415</v>
      </c>
      <c r="M5899">
        <v>108.19</v>
      </c>
      <c r="N5899" s="4">
        <f t="shared" si="91"/>
        <v>-330.5999630280063</v>
      </c>
      <c r="O5899" t="s">
        <v>83</v>
      </c>
      <c r="P5899" s="34" t="s">
        <v>3907</v>
      </c>
    </row>
    <row r="5900" spans="1:17" x14ac:dyDescent="0.25">
      <c r="A5900" s="22">
        <v>45839</v>
      </c>
      <c r="B5900" s="1">
        <v>814707611</v>
      </c>
      <c r="C5900" t="s">
        <v>4290</v>
      </c>
      <c r="D5900" s="44">
        <v>-61554.95</v>
      </c>
      <c r="E5900" t="s">
        <v>35</v>
      </c>
      <c r="F5900" s="2">
        <v>110114001</v>
      </c>
      <c r="G5900" s="2" t="s">
        <v>181</v>
      </c>
      <c r="I5900" s="95" t="s">
        <v>7231</v>
      </c>
      <c r="J5900" t="s">
        <v>37</v>
      </c>
      <c r="K5900" t="s">
        <v>38</v>
      </c>
      <c r="M5900">
        <v>108.19</v>
      </c>
      <c r="N5900" s="4">
        <f t="shared" ref="N5900:N5963" si="92">D5900/M5900</f>
        <v>-568.95230612810792</v>
      </c>
      <c r="O5900" t="s">
        <v>83</v>
      </c>
    </row>
    <row r="5901" spans="1:17" x14ac:dyDescent="0.25">
      <c r="A5901" s="22">
        <v>45839</v>
      </c>
      <c r="B5901" s="1">
        <v>914707613</v>
      </c>
      <c r="C5901" t="s">
        <v>4290</v>
      </c>
      <c r="D5901" s="44">
        <v>-200000</v>
      </c>
      <c r="E5901" t="s">
        <v>35</v>
      </c>
      <c r="F5901" s="2">
        <v>110114001</v>
      </c>
      <c r="G5901" s="2" t="s">
        <v>181</v>
      </c>
      <c r="I5901" s="95" t="s">
        <v>7231</v>
      </c>
      <c r="J5901" t="s">
        <v>37</v>
      </c>
      <c r="K5901" t="s">
        <v>38</v>
      </c>
      <c r="M5901">
        <v>108.19</v>
      </c>
      <c r="N5901" s="4">
        <f t="shared" si="92"/>
        <v>-1848.5996857380535</v>
      </c>
      <c r="O5901" t="s">
        <v>83</v>
      </c>
    </row>
    <row r="5902" spans="1:17" x14ac:dyDescent="0.25">
      <c r="A5902" s="22">
        <v>45839</v>
      </c>
      <c r="B5902" s="1">
        <v>914707612</v>
      </c>
      <c r="C5902" t="s">
        <v>4290</v>
      </c>
      <c r="D5902" s="44">
        <v>-200000</v>
      </c>
      <c r="E5902" t="s">
        <v>35</v>
      </c>
      <c r="F5902" s="2">
        <v>110114001</v>
      </c>
      <c r="G5902" s="2" t="s">
        <v>181</v>
      </c>
      <c r="I5902" s="95" t="s">
        <v>7231</v>
      </c>
      <c r="J5902" t="s">
        <v>37</v>
      </c>
      <c r="K5902" t="s">
        <v>38</v>
      </c>
      <c r="M5902">
        <v>108.19</v>
      </c>
      <c r="N5902" s="4">
        <f t="shared" si="92"/>
        <v>-1848.5996857380535</v>
      </c>
      <c r="O5902" t="s">
        <v>83</v>
      </c>
    </row>
    <row r="5903" spans="1:17" x14ac:dyDescent="0.25">
      <c r="A5903" s="22">
        <v>45839</v>
      </c>
      <c r="B5903" s="1">
        <v>914707614</v>
      </c>
      <c r="C5903" t="s">
        <v>4426</v>
      </c>
      <c r="D5903" s="44">
        <v>-49085.4</v>
      </c>
      <c r="E5903" t="s">
        <v>35</v>
      </c>
      <c r="F5903" s="2">
        <v>210101001</v>
      </c>
      <c r="G5903" s="2" t="s">
        <v>36</v>
      </c>
      <c r="I5903" s="95" t="s">
        <v>7231</v>
      </c>
      <c r="J5903" t="s">
        <v>37</v>
      </c>
      <c r="K5903" t="s">
        <v>38</v>
      </c>
      <c r="M5903">
        <v>108.19</v>
      </c>
      <c r="N5903" s="4">
        <f t="shared" si="92"/>
        <v>-453.69627507163324</v>
      </c>
      <c r="O5903" t="s">
        <v>83</v>
      </c>
    </row>
    <row r="5904" spans="1:17" x14ac:dyDescent="0.25">
      <c r="A5904" s="22">
        <v>45839</v>
      </c>
      <c r="B5904" s="1">
        <v>914707615</v>
      </c>
      <c r="C5904" t="s">
        <v>4427</v>
      </c>
      <c r="D5904" s="44">
        <v>-111067.85</v>
      </c>
      <c r="E5904" t="s">
        <v>35</v>
      </c>
      <c r="F5904" s="2">
        <v>210101001</v>
      </c>
      <c r="G5904" s="2" t="s">
        <v>36</v>
      </c>
      <c r="I5904" s="95" t="s">
        <v>7231</v>
      </c>
      <c r="J5904" t="s">
        <v>37</v>
      </c>
      <c r="K5904" t="s">
        <v>38</v>
      </c>
      <c r="M5904">
        <v>108.19</v>
      </c>
      <c r="N5904" s="4">
        <f t="shared" si="92"/>
        <v>-1026.5999630280064</v>
      </c>
      <c r="O5904" t="s">
        <v>83</v>
      </c>
    </row>
    <row r="5905" spans="1:17" x14ac:dyDescent="0.25">
      <c r="A5905" s="22">
        <v>45839</v>
      </c>
      <c r="B5905" s="1">
        <v>50764975</v>
      </c>
      <c r="C5905" t="s">
        <v>89</v>
      </c>
      <c r="D5905" s="44">
        <v>-1751.3</v>
      </c>
      <c r="E5905" t="s">
        <v>35</v>
      </c>
      <c r="F5905" s="2">
        <v>610148001</v>
      </c>
      <c r="G5905" s="2" t="s">
        <v>41</v>
      </c>
      <c r="I5905" s="95" t="s">
        <v>7231</v>
      </c>
      <c r="J5905" t="s">
        <v>42</v>
      </c>
      <c r="K5905" t="s">
        <v>41</v>
      </c>
      <c r="M5905">
        <v>108.19</v>
      </c>
      <c r="N5905" s="4">
        <f t="shared" si="92"/>
        <v>-16.187263148165265</v>
      </c>
      <c r="O5905" t="s">
        <v>83</v>
      </c>
      <c r="Q5905" s="24" t="s">
        <v>4392</v>
      </c>
    </row>
    <row r="5906" spans="1:17" x14ac:dyDescent="0.25">
      <c r="A5906" s="22">
        <v>45839</v>
      </c>
      <c r="B5906" s="1">
        <v>151648713</v>
      </c>
      <c r="C5906" t="s">
        <v>82</v>
      </c>
      <c r="D5906" s="44">
        <v>50000</v>
      </c>
      <c r="E5906" t="s">
        <v>45</v>
      </c>
      <c r="F5906" s="2">
        <v>210115002</v>
      </c>
      <c r="G5906" s="2" t="s">
        <v>46</v>
      </c>
      <c r="I5906" s="95" t="s">
        <v>7231</v>
      </c>
      <c r="K5906" t="s">
        <v>82</v>
      </c>
      <c r="M5906">
        <v>108.19</v>
      </c>
      <c r="N5906" s="4">
        <f t="shared" si="92"/>
        <v>462.14992143451337</v>
      </c>
      <c r="O5906" t="s">
        <v>83</v>
      </c>
    </row>
    <row r="5907" spans="1:17" x14ac:dyDescent="0.25">
      <c r="A5907" s="22">
        <v>45839</v>
      </c>
      <c r="B5907" s="1">
        <v>0</v>
      </c>
      <c r="C5907" t="s">
        <v>3739</v>
      </c>
      <c r="D5907" s="44">
        <v>-99.12</v>
      </c>
      <c r="E5907" t="s">
        <v>35</v>
      </c>
      <c r="F5907" s="2">
        <v>610148001</v>
      </c>
      <c r="G5907" s="2" t="s">
        <v>41</v>
      </c>
      <c r="I5907" s="95" t="s">
        <v>7231</v>
      </c>
      <c r="J5907" t="s">
        <v>42</v>
      </c>
      <c r="K5907" t="s">
        <v>41</v>
      </c>
      <c r="M5907">
        <v>108.19</v>
      </c>
      <c r="N5907" s="4">
        <f t="shared" si="92"/>
        <v>-0.9161660042517793</v>
      </c>
      <c r="O5907" t="s">
        <v>83</v>
      </c>
      <c r="Q5907" s="24" t="s">
        <v>4392</v>
      </c>
    </row>
    <row r="5908" spans="1:17" x14ac:dyDescent="0.25">
      <c r="A5908" s="22">
        <v>45839</v>
      </c>
      <c r="B5908" s="1">
        <v>163975</v>
      </c>
      <c r="C5908" t="s">
        <v>4428</v>
      </c>
      <c r="D5908" s="44">
        <v>-86881.63</v>
      </c>
      <c r="E5908" t="s">
        <v>35</v>
      </c>
      <c r="F5908" s="2">
        <v>213401001</v>
      </c>
      <c r="G5908" s="2" t="s">
        <v>94</v>
      </c>
      <c r="I5908" s="95" t="s">
        <v>7231</v>
      </c>
      <c r="J5908" t="s">
        <v>95</v>
      </c>
      <c r="K5908" t="s">
        <v>96</v>
      </c>
      <c r="M5908">
        <v>108.19</v>
      </c>
      <c r="N5908" s="4">
        <f t="shared" si="92"/>
        <v>-803.04676957204924</v>
      </c>
      <c r="O5908" t="s">
        <v>83</v>
      </c>
      <c r="Q5908" s="24" t="s">
        <v>4429</v>
      </c>
    </row>
    <row r="5909" spans="1:17" x14ac:dyDescent="0.25">
      <c r="A5909" s="22">
        <v>45840</v>
      </c>
      <c r="B5909" s="1">
        <v>114616401</v>
      </c>
      <c r="C5909" t="s">
        <v>4430</v>
      </c>
      <c r="D5909" s="44">
        <v>25867.49</v>
      </c>
      <c r="E5909" t="s">
        <v>45</v>
      </c>
      <c r="F5909" s="2">
        <v>110106001</v>
      </c>
      <c r="G5909" s="2" t="s">
        <v>1011</v>
      </c>
      <c r="I5909" s="95" t="s">
        <v>7231</v>
      </c>
      <c r="K5909" t="s">
        <v>4431</v>
      </c>
      <c r="M5909">
        <v>108.98</v>
      </c>
      <c r="N5909" s="4">
        <f t="shared" si="92"/>
        <v>237.35997430721233</v>
      </c>
      <c r="O5909" t="s">
        <v>83</v>
      </c>
    </row>
    <row r="5910" spans="1:17" x14ac:dyDescent="0.25">
      <c r="A5910" s="22">
        <v>45840</v>
      </c>
      <c r="B5910" s="1">
        <v>50786701</v>
      </c>
      <c r="C5910" t="s">
        <v>4432</v>
      </c>
      <c r="D5910" s="44">
        <v>81412.42</v>
      </c>
      <c r="E5910" t="s">
        <v>45</v>
      </c>
      <c r="F5910" s="2">
        <v>110106001</v>
      </c>
      <c r="G5910" s="2" t="s">
        <v>1011</v>
      </c>
      <c r="I5910" s="95" t="s">
        <v>7231</v>
      </c>
      <c r="K5910" t="s">
        <v>4433</v>
      </c>
      <c r="M5910">
        <v>108.98</v>
      </c>
      <c r="N5910" s="4">
        <f t="shared" si="92"/>
        <v>747.04000734079648</v>
      </c>
      <c r="O5910" t="s">
        <v>83</v>
      </c>
    </row>
    <row r="5911" spans="1:17" x14ac:dyDescent="0.25">
      <c r="A5911" s="22">
        <v>45840</v>
      </c>
      <c r="B5911" s="1">
        <v>143516278</v>
      </c>
      <c r="C5911" t="s">
        <v>82</v>
      </c>
      <c r="D5911" s="44">
        <v>200000</v>
      </c>
      <c r="E5911" t="s">
        <v>45</v>
      </c>
      <c r="F5911" s="2">
        <v>210101001</v>
      </c>
      <c r="G5911" s="2" t="s">
        <v>36</v>
      </c>
      <c r="I5911" s="95" t="s">
        <v>7231</v>
      </c>
      <c r="K5911" t="s">
        <v>82</v>
      </c>
      <c r="M5911">
        <v>108.98</v>
      </c>
      <c r="N5911" s="4">
        <f t="shared" si="92"/>
        <v>1835.1991191044228</v>
      </c>
      <c r="O5911" t="s">
        <v>83</v>
      </c>
    </row>
    <row r="5912" spans="1:17" x14ac:dyDescent="0.25">
      <c r="A5912" s="22">
        <v>45840</v>
      </c>
      <c r="B5912" s="1">
        <v>114723823</v>
      </c>
      <c r="C5912" t="s">
        <v>4434</v>
      </c>
      <c r="D5912" s="44">
        <v>-36946.639999999999</v>
      </c>
      <c r="E5912" t="s">
        <v>35</v>
      </c>
      <c r="F5912" s="2">
        <v>210101001</v>
      </c>
      <c r="G5912" s="2" t="s">
        <v>36</v>
      </c>
      <c r="I5912" s="95" t="s">
        <v>7231</v>
      </c>
      <c r="J5912" t="s">
        <v>182</v>
      </c>
      <c r="K5912" t="s">
        <v>183</v>
      </c>
      <c r="M5912">
        <v>108.98</v>
      </c>
      <c r="N5912" s="4">
        <f t="shared" si="92"/>
        <v>-339.02220590934115</v>
      </c>
      <c r="O5912" t="s">
        <v>83</v>
      </c>
    </row>
    <row r="5913" spans="1:17" x14ac:dyDescent="0.25">
      <c r="A5913" s="22">
        <v>45840</v>
      </c>
      <c r="B5913" s="1">
        <v>114723824</v>
      </c>
      <c r="C5913" t="s">
        <v>4435</v>
      </c>
      <c r="D5913" s="44">
        <v>-91036.800000000003</v>
      </c>
      <c r="E5913" t="s">
        <v>35</v>
      </c>
      <c r="F5913" s="2">
        <v>210101001</v>
      </c>
      <c r="G5913" s="2" t="s">
        <v>36</v>
      </c>
      <c r="I5913" s="95" t="s">
        <v>7231</v>
      </c>
      <c r="J5913" t="s">
        <v>37</v>
      </c>
      <c r="K5913" t="s">
        <v>38</v>
      </c>
      <c r="M5913">
        <v>108.98</v>
      </c>
      <c r="N5913" s="4">
        <f t="shared" si="92"/>
        <v>-835.35327583042761</v>
      </c>
      <c r="O5913" t="s">
        <v>83</v>
      </c>
    </row>
    <row r="5914" spans="1:17" x14ac:dyDescent="0.25">
      <c r="A5914" s="22">
        <v>45840</v>
      </c>
      <c r="B5914" s="1">
        <v>114723826</v>
      </c>
      <c r="C5914" t="s">
        <v>4436</v>
      </c>
      <c r="D5914" s="44">
        <v>-89503.09</v>
      </c>
      <c r="E5914" t="s">
        <v>35</v>
      </c>
      <c r="F5914" s="2">
        <v>210101001</v>
      </c>
      <c r="G5914" s="2" t="s">
        <v>36</v>
      </c>
      <c r="I5914" s="95" t="s">
        <v>7231</v>
      </c>
      <c r="J5914" t="s">
        <v>414</v>
      </c>
      <c r="K5914" t="s">
        <v>415</v>
      </c>
      <c r="M5914">
        <v>108.98</v>
      </c>
      <c r="N5914" s="4">
        <f t="shared" si="92"/>
        <v>-821.27995962561931</v>
      </c>
      <c r="O5914" t="s">
        <v>83</v>
      </c>
    </row>
    <row r="5915" spans="1:17" x14ac:dyDescent="0.25">
      <c r="A5915" s="22">
        <v>45840</v>
      </c>
      <c r="B5915" s="1">
        <v>114723828</v>
      </c>
      <c r="C5915" t="s">
        <v>4437</v>
      </c>
      <c r="D5915" s="44">
        <v>-42427</v>
      </c>
      <c r="E5915" t="s">
        <v>35</v>
      </c>
      <c r="F5915" s="2">
        <v>210101001</v>
      </c>
      <c r="G5915" s="2" t="s">
        <v>36</v>
      </c>
      <c r="I5915" s="95" t="s">
        <v>7231</v>
      </c>
      <c r="J5915" t="s">
        <v>182</v>
      </c>
      <c r="K5915" t="s">
        <v>183</v>
      </c>
      <c r="M5915">
        <v>108.98</v>
      </c>
      <c r="N5915" s="4">
        <f t="shared" si="92"/>
        <v>-389.3099651312167</v>
      </c>
      <c r="O5915" t="s">
        <v>83</v>
      </c>
    </row>
    <row r="5916" spans="1:17" x14ac:dyDescent="0.25">
      <c r="A5916" s="22">
        <v>45840</v>
      </c>
      <c r="B5916" s="1">
        <v>114723827</v>
      </c>
      <c r="C5916" t="s">
        <v>4438</v>
      </c>
      <c r="D5916" s="44">
        <v>-64472.57</v>
      </c>
      <c r="E5916" t="s">
        <v>35</v>
      </c>
      <c r="F5916" s="2">
        <v>210101001</v>
      </c>
      <c r="G5916" s="2" t="s">
        <v>36</v>
      </c>
      <c r="I5916" s="95" t="s">
        <v>7231</v>
      </c>
      <c r="J5916" t="s">
        <v>414</v>
      </c>
      <c r="K5916" t="s">
        <v>415</v>
      </c>
      <c r="M5916">
        <v>108.98</v>
      </c>
      <c r="N5916" s="4">
        <f t="shared" si="92"/>
        <v>-591.60001835199114</v>
      </c>
      <c r="O5916" t="s">
        <v>83</v>
      </c>
    </row>
    <row r="5917" spans="1:17" x14ac:dyDescent="0.25">
      <c r="A5917" s="22">
        <v>45840</v>
      </c>
      <c r="B5917" s="1">
        <v>50745420</v>
      </c>
      <c r="C5917" t="s">
        <v>89</v>
      </c>
      <c r="D5917" s="44">
        <v>-810.96</v>
      </c>
      <c r="E5917" t="s">
        <v>35</v>
      </c>
      <c r="F5917" s="2">
        <v>610148001</v>
      </c>
      <c r="G5917" s="2" t="s">
        <v>41</v>
      </c>
      <c r="I5917" s="95" t="s">
        <v>7231</v>
      </c>
      <c r="J5917" t="s">
        <v>42</v>
      </c>
      <c r="K5917" t="s">
        <v>41</v>
      </c>
      <c r="M5917">
        <v>108.98</v>
      </c>
      <c r="N5917" s="4">
        <f t="shared" si="92"/>
        <v>-7.4413653881446136</v>
      </c>
      <c r="O5917" t="s">
        <v>83</v>
      </c>
      <c r="Q5917" s="24" t="s">
        <v>4392</v>
      </c>
    </row>
    <row r="5918" spans="1:17" x14ac:dyDescent="0.25">
      <c r="A5918" s="22">
        <v>45841</v>
      </c>
      <c r="B5918" s="1">
        <v>133759626</v>
      </c>
      <c r="C5918" t="s">
        <v>4439</v>
      </c>
      <c r="D5918" s="44">
        <v>20000</v>
      </c>
      <c r="E5918" t="s">
        <v>45</v>
      </c>
      <c r="F5918" s="2">
        <v>210115002</v>
      </c>
      <c r="G5918" s="2" t="s">
        <v>46</v>
      </c>
      <c r="I5918" s="95" t="s">
        <v>7231</v>
      </c>
      <c r="K5918" t="s">
        <v>4439</v>
      </c>
      <c r="M5918">
        <v>109.77</v>
      </c>
      <c r="N5918" s="4">
        <f t="shared" si="92"/>
        <v>182.19914366402477</v>
      </c>
      <c r="O5918" t="s">
        <v>83</v>
      </c>
    </row>
    <row r="5919" spans="1:17" x14ac:dyDescent="0.25">
      <c r="A5919" s="22">
        <v>45841</v>
      </c>
      <c r="B5919" s="1">
        <v>134604366</v>
      </c>
      <c r="C5919" t="s">
        <v>4439</v>
      </c>
      <c r="D5919" s="44">
        <v>10000</v>
      </c>
      <c r="E5919" t="s">
        <v>45</v>
      </c>
      <c r="F5919" s="2">
        <v>210115002</v>
      </c>
      <c r="G5919" s="2" t="s">
        <v>46</v>
      </c>
      <c r="I5919" s="95" t="s">
        <v>7231</v>
      </c>
      <c r="K5919" t="s">
        <v>4439</v>
      </c>
      <c r="M5919">
        <v>109.77</v>
      </c>
      <c r="N5919" s="4">
        <f t="shared" si="92"/>
        <v>91.099571832012387</v>
      </c>
      <c r="O5919" t="s">
        <v>83</v>
      </c>
    </row>
    <row r="5920" spans="1:17" x14ac:dyDescent="0.25">
      <c r="A5920" s="22">
        <v>45841</v>
      </c>
      <c r="B5920" s="1">
        <v>14739860</v>
      </c>
      <c r="C5920" t="s">
        <v>4440</v>
      </c>
      <c r="D5920" s="44">
        <v>-12477.68</v>
      </c>
      <c r="E5920" t="s">
        <v>35</v>
      </c>
      <c r="F5920" s="2">
        <v>210101001</v>
      </c>
      <c r="G5920" s="2" t="s">
        <v>36</v>
      </c>
      <c r="I5920" s="95" t="s">
        <v>7231</v>
      </c>
      <c r="J5920" t="s">
        <v>283</v>
      </c>
      <c r="K5920" t="s">
        <v>1628</v>
      </c>
      <c r="M5920">
        <v>109.77</v>
      </c>
      <c r="N5920" s="4">
        <f t="shared" si="92"/>
        <v>-113.67113054568644</v>
      </c>
      <c r="O5920" t="s">
        <v>83</v>
      </c>
    </row>
    <row r="5921" spans="1:17" x14ac:dyDescent="0.25">
      <c r="A5921" s="22">
        <v>45841</v>
      </c>
      <c r="B5921" s="1">
        <v>14739859</v>
      </c>
      <c r="C5921" t="s">
        <v>4441</v>
      </c>
      <c r="D5921" s="44">
        <v>-9438.1299999999992</v>
      </c>
      <c r="E5921" t="s">
        <v>35</v>
      </c>
      <c r="F5921" s="2">
        <v>210101001</v>
      </c>
      <c r="G5921" s="2" t="s">
        <v>36</v>
      </c>
      <c r="I5921" s="95" t="s">
        <v>7231</v>
      </c>
      <c r="J5921" t="s">
        <v>414</v>
      </c>
      <c r="K5921" t="s">
        <v>415</v>
      </c>
      <c r="M5921">
        <v>109.77</v>
      </c>
      <c r="N5921" s="4">
        <f t="shared" si="92"/>
        <v>-85.980960189487107</v>
      </c>
      <c r="O5921" t="s">
        <v>83</v>
      </c>
    </row>
    <row r="5922" spans="1:17" x14ac:dyDescent="0.25">
      <c r="A5922" s="22">
        <v>45841</v>
      </c>
      <c r="B5922" s="1">
        <v>50742927</v>
      </c>
      <c r="C5922" t="s">
        <v>89</v>
      </c>
      <c r="D5922" s="44">
        <v>-54.78</v>
      </c>
      <c r="E5922" t="s">
        <v>35</v>
      </c>
      <c r="F5922" s="2">
        <v>610148001</v>
      </c>
      <c r="G5922" s="2" t="s">
        <v>41</v>
      </c>
      <c r="I5922" s="95" t="s">
        <v>7231</v>
      </c>
      <c r="J5922" t="s">
        <v>42</v>
      </c>
      <c r="K5922" t="s">
        <v>41</v>
      </c>
      <c r="M5922">
        <v>109.77</v>
      </c>
      <c r="N5922" s="4">
        <f t="shared" si="92"/>
        <v>-0.49904345449576387</v>
      </c>
      <c r="O5922" t="s">
        <v>83</v>
      </c>
      <c r="Q5922" s="24" t="s">
        <v>4392</v>
      </c>
    </row>
    <row r="5923" spans="1:17" x14ac:dyDescent="0.25">
      <c r="A5923" s="22">
        <v>45841</v>
      </c>
      <c r="B5923" s="1">
        <v>143514555</v>
      </c>
      <c r="C5923" t="s">
        <v>4439</v>
      </c>
      <c r="D5923" s="44">
        <v>35000</v>
      </c>
      <c r="E5923" t="s">
        <v>45</v>
      </c>
      <c r="F5923" s="2">
        <v>210115002</v>
      </c>
      <c r="G5923" s="2" t="s">
        <v>46</v>
      </c>
      <c r="I5923" s="95" t="s">
        <v>7231</v>
      </c>
      <c r="K5923" t="s">
        <v>4439</v>
      </c>
      <c r="M5923">
        <v>109.77</v>
      </c>
      <c r="N5923" s="4">
        <f t="shared" si="92"/>
        <v>318.84850141204339</v>
      </c>
      <c r="O5923" t="s">
        <v>83</v>
      </c>
    </row>
    <row r="5924" spans="1:17" x14ac:dyDescent="0.25">
      <c r="A5924" s="22">
        <v>45841</v>
      </c>
      <c r="B5924" s="1">
        <v>14741513</v>
      </c>
      <c r="C5924" t="s">
        <v>4442</v>
      </c>
      <c r="D5924" s="44">
        <v>-34364.300000000003</v>
      </c>
      <c r="E5924" t="s">
        <v>35</v>
      </c>
      <c r="F5924" s="2">
        <v>210101001</v>
      </c>
      <c r="G5924" s="2" t="s">
        <v>36</v>
      </c>
      <c r="I5924" s="95" t="s">
        <v>7231</v>
      </c>
      <c r="J5924" t="s">
        <v>37</v>
      </c>
      <c r="K5924" t="s">
        <v>38</v>
      </c>
      <c r="M5924">
        <v>109.77</v>
      </c>
      <c r="N5924" s="4">
        <f t="shared" si="92"/>
        <v>-313.05730163068239</v>
      </c>
      <c r="O5924" t="s">
        <v>83</v>
      </c>
    </row>
    <row r="5925" spans="1:17" x14ac:dyDescent="0.25">
      <c r="A5925" s="22">
        <v>45841</v>
      </c>
      <c r="B5925" s="1">
        <v>14741513</v>
      </c>
      <c r="C5925" t="s">
        <v>185</v>
      </c>
      <c r="D5925" s="44">
        <v>-103.09</v>
      </c>
      <c r="E5925" t="s">
        <v>35</v>
      </c>
      <c r="F5925" s="2">
        <v>610148001</v>
      </c>
      <c r="G5925" s="2" t="s">
        <v>41</v>
      </c>
      <c r="I5925" s="95" t="s">
        <v>7231</v>
      </c>
      <c r="J5925" t="s">
        <v>42</v>
      </c>
      <c r="K5925" t="s">
        <v>41</v>
      </c>
      <c r="M5925">
        <v>109.77</v>
      </c>
      <c r="N5925" s="4">
        <f t="shared" si="92"/>
        <v>-0.93914548601621584</v>
      </c>
      <c r="O5925" t="s">
        <v>83</v>
      </c>
      <c r="Q5925" s="24" t="s">
        <v>4392</v>
      </c>
    </row>
    <row r="5926" spans="1:17" x14ac:dyDescent="0.25">
      <c r="A5926" s="22">
        <v>45842</v>
      </c>
      <c r="B5926" s="1">
        <v>115721423</v>
      </c>
      <c r="C5926" t="s">
        <v>82</v>
      </c>
      <c r="D5926" s="44">
        <v>75000</v>
      </c>
      <c r="E5926" t="s">
        <v>45</v>
      </c>
      <c r="F5926" s="2">
        <v>210115002</v>
      </c>
      <c r="G5926" s="2" t="s">
        <v>46</v>
      </c>
      <c r="I5926" s="95" t="s">
        <v>7231</v>
      </c>
      <c r="K5926" t="s">
        <v>82</v>
      </c>
      <c r="M5926">
        <v>110.56</v>
      </c>
      <c r="N5926" s="4">
        <f t="shared" si="92"/>
        <v>678.36468885672934</v>
      </c>
      <c r="O5926" t="s">
        <v>83</v>
      </c>
    </row>
    <row r="5927" spans="1:17" x14ac:dyDescent="0.25">
      <c r="A5927" s="22">
        <v>45842</v>
      </c>
      <c r="B5927" s="1">
        <v>514758210</v>
      </c>
      <c r="C5927" t="s">
        <v>4443</v>
      </c>
      <c r="D5927" s="44">
        <v>-13267.2</v>
      </c>
      <c r="E5927" t="s">
        <v>35</v>
      </c>
      <c r="F5927" s="2">
        <v>212901001</v>
      </c>
      <c r="G5927" s="2" t="s">
        <v>91</v>
      </c>
      <c r="I5927" s="95" t="s">
        <v>7231</v>
      </c>
      <c r="J5927" t="s">
        <v>61</v>
      </c>
      <c r="K5927" t="s">
        <v>62</v>
      </c>
      <c r="M5927">
        <v>110.56</v>
      </c>
      <c r="N5927" s="4">
        <f t="shared" si="92"/>
        <v>-120</v>
      </c>
      <c r="O5927" t="s">
        <v>83</v>
      </c>
    </row>
    <row r="5928" spans="1:17" x14ac:dyDescent="0.25">
      <c r="A5928" s="22">
        <v>45842</v>
      </c>
      <c r="B5928" s="1">
        <v>614758213</v>
      </c>
      <c r="C5928" t="s">
        <v>4444</v>
      </c>
      <c r="D5928" s="44">
        <v>-10960.71</v>
      </c>
      <c r="E5928" t="s">
        <v>35</v>
      </c>
      <c r="F5928" s="2">
        <v>110101002</v>
      </c>
      <c r="G5928" s="2" t="s">
        <v>2771</v>
      </c>
      <c r="I5928" s="95" t="s">
        <v>7231</v>
      </c>
      <c r="K5928" t="s">
        <v>3285</v>
      </c>
      <c r="M5928">
        <v>110.56</v>
      </c>
      <c r="N5928" s="4">
        <f t="shared" si="92"/>
        <v>-99.138115050651223</v>
      </c>
      <c r="O5928" t="s">
        <v>83</v>
      </c>
    </row>
    <row r="5929" spans="1:17" x14ac:dyDescent="0.25">
      <c r="A5929" s="33">
        <v>45842</v>
      </c>
      <c r="B5929" s="27">
        <v>614758214</v>
      </c>
      <c r="C5929" s="28" t="s">
        <v>4445</v>
      </c>
      <c r="D5929" s="47">
        <v>-13267.2</v>
      </c>
      <c r="E5929" s="28" t="s">
        <v>35</v>
      </c>
      <c r="F5929" s="30">
        <v>610129001</v>
      </c>
      <c r="G5929" s="30" t="s">
        <v>53</v>
      </c>
      <c r="H5929" s="30"/>
      <c r="I5929" s="95" t="s">
        <v>7231</v>
      </c>
      <c r="J5929" s="28" t="s">
        <v>54</v>
      </c>
      <c r="K5929" s="28" t="s">
        <v>55</v>
      </c>
      <c r="L5929" s="28" t="s">
        <v>56</v>
      </c>
      <c r="M5929" s="28">
        <v>110.56</v>
      </c>
      <c r="N5929" s="4">
        <f t="shared" si="92"/>
        <v>-120</v>
      </c>
      <c r="O5929" t="s">
        <v>83</v>
      </c>
      <c r="Q5929" s="24" t="s">
        <v>4446</v>
      </c>
    </row>
    <row r="5930" spans="1:17" x14ac:dyDescent="0.25">
      <c r="A5930" s="22">
        <v>45842</v>
      </c>
      <c r="B5930" s="1">
        <v>614758215</v>
      </c>
      <c r="C5930" t="s">
        <v>4447</v>
      </c>
      <c r="D5930" s="44">
        <v>-1105.5999999999999</v>
      </c>
      <c r="E5930" t="s">
        <v>35</v>
      </c>
      <c r="F5930" s="2">
        <v>212901001</v>
      </c>
      <c r="G5930" s="2" t="s">
        <v>91</v>
      </c>
      <c r="I5930" s="95" t="s">
        <v>7231</v>
      </c>
      <c r="J5930" t="s">
        <v>61</v>
      </c>
      <c r="K5930" t="s">
        <v>62</v>
      </c>
      <c r="M5930">
        <v>110.56</v>
      </c>
      <c r="N5930" s="4">
        <f t="shared" si="92"/>
        <v>-9.9999999999999982</v>
      </c>
      <c r="O5930" t="s">
        <v>83</v>
      </c>
    </row>
    <row r="5931" spans="1:17" x14ac:dyDescent="0.25">
      <c r="A5931" s="22">
        <v>45842</v>
      </c>
      <c r="B5931" s="1">
        <v>614758212</v>
      </c>
      <c r="C5931" t="s">
        <v>4448</v>
      </c>
      <c r="D5931" s="44">
        <v>-3403.44</v>
      </c>
      <c r="E5931" t="s">
        <v>35</v>
      </c>
      <c r="F5931" s="2">
        <v>210101001</v>
      </c>
      <c r="G5931" s="2" t="s">
        <v>36</v>
      </c>
      <c r="I5931" s="95" t="s">
        <v>7231</v>
      </c>
      <c r="J5931" t="s">
        <v>86</v>
      </c>
      <c r="K5931" t="s">
        <v>87</v>
      </c>
      <c r="M5931">
        <v>110.56</v>
      </c>
      <c r="N5931" s="4">
        <f t="shared" si="92"/>
        <v>-30.783646888567294</v>
      </c>
      <c r="O5931" t="s">
        <v>83</v>
      </c>
    </row>
    <row r="5932" spans="1:17" x14ac:dyDescent="0.25">
      <c r="A5932" s="22">
        <v>45842</v>
      </c>
      <c r="B5932" s="1">
        <v>614758216</v>
      </c>
      <c r="C5932" t="s">
        <v>4449</v>
      </c>
      <c r="D5932" s="44">
        <v>-2211.1999999999998</v>
      </c>
      <c r="E5932" t="s">
        <v>35</v>
      </c>
      <c r="F5932" s="2">
        <v>212901001</v>
      </c>
      <c r="G5932" s="2" t="s">
        <v>91</v>
      </c>
      <c r="I5932" s="95" t="s">
        <v>7231</v>
      </c>
      <c r="J5932" t="s">
        <v>61</v>
      </c>
      <c r="K5932" t="s">
        <v>62</v>
      </c>
      <c r="M5932">
        <v>110.56</v>
      </c>
      <c r="N5932" s="4">
        <f t="shared" si="92"/>
        <v>-19.999999999999996</v>
      </c>
      <c r="O5932" t="s">
        <v>83</v>
      </c>
    </row>
    <row r="5933" spans="1:17" x14ac:dyDescent="0.25">
      <c r="A5933" s="22">
        <v>45842</v>
      </c>
      <c r="B5933" s="1">
        <v>614758217</v>
      </c>
      <c r="C5933" t="s">
        <v>4450</v>
      </c>
      <c r="D5933" s="44">
        <v>-2211.1999999999998</v>
      </c>
      <c r="E5933" t="s">
        <v>35</v>
      </c>
      <c r="F5933" s="2">
        <v>212901001</v>
      </c>
      <c r="G5933" s="2" t="s">
        <v>91</v>
      </c>
      <c r="I5933" s="95" t="s">
        <v>7231</v>
      </c>
      <c r="J5933" t="s">
        <v>61</v>
      </c>
      <c r="K5933" t="s">
        <v>62</v>
      </c>
      <c r="M5933">
        <v>110.56</v>
      </c>
      <c r="N5933" s="4">
        <f t="shared" si="92"/>
        <v>-19.999999999999996</v>
      </c>
      <c r="O5933" t="s">
        <v>83</v>
      </c>
    </row>
    <row r="5934" spans="1:17" x14ac:dyDescent="0.25">
      <c r="A5934" s="22">
        <v>45842</v>
      </c>
      <c r="B5934" s="1">
        <v>614758219</v>
      </c>
      <c r="C5934" t="s">
        <v>4451</v>
      </c>
      <c r="D5934" s="44">
        <v>-17689.599999999999</v>
      </c>
      <c r="E5934" t="s">
        <v>35</v>
      </c>
      <c r="F5934" s="2">
        <v>212901001</v>
      </c>
      <c r="G5934" s="2" t="s">
        <v>91</v>
      </c>
      <c r="I5934" s="95" t="s">
        <v>7231</v>
      </c>
      <c r="J5934" t="s">
        <v>61</v>
      </c>
      <c r="K5934" t="s">
        <v>62</v>
      </c>
      <c r="M5934">
        <v>110.56</v>
      </c>
      <c r="N5934" s="4">
        <f t="shared" si="92"/>
        <v>-159.99999999999997</v>
      </c>
      <c r="O5934" t="s">
        <v>83</v>
      </c>
    </row>
    <row r="5935" spans="1:17" x14ac:dyDescent="0.25">
      <c r="A5935" s="22">
        <v>45842</v>
      </c>
      <c r="B5935" s="1">
        <v>614758218</v>
      </c>
      <c r="C5935" t="s">
        <v>4452</v>
      </c>
      <c r="D5935" s="44">
        <v>-2211.1999999999998</v>
      </c>
      <c r="E5935" t="s">
        <v>35</v>
      </c>
      <c r="F5935" s="2">
        <v>212901001</v>
      </c>
      <c r="G5935" s="2" t="s">
        <v>91</v>
      </c>
      <c r="I5935" s="95" t="s">
        <v>7231</v>
      </c>
      <c r="J5935" t="s">
        <v>61</v>
      </c>
      <c r="K5935" t="s">
        <v>62</v>
      </c>
      <c r="M5935">
        <v>110.56</v>
      </c>
      <c r="N5935" s="4">
        <f t="shared" si="92"/>
        <v>-19.999999999999996</v>
      </c>
      <c r="O5935" t="s">
        <v>83</v>
      </c>
    </row>
    <row r="5936" spans="1:17" x14ac:dyDescent="0.25">
      <c r="A5936" s="22">
        <v>45842</v>
      </c>
      <c r="B5936" s="1">
        <v>614758220</v>
      </c>
      <c r="C5936" t="s">
        <v>4453</v>
      </c>
      <c r="D5936" s="44">
        <v>-8844.7999999999993</v>
      </c>
      <c r="E5936" t="s">
        <v>35</v>
      </c>
      <c r="F5936" s="2">
        <v>212901001</v>
      </c>
      <c r="G5936" s="2" t="s">
        <v>91</v>
      </c>
      <c r="I5936" s="95" t="s">
        <v>7231</v>
      </c>
      <c r="J5936" t="s">
        <v>61</v>
      </c>
      <c r="K5936" t="s">
        <v>62</v>
      </c>
      <c r="M5936">
        <v>110.56</v>
      </c>
      <c r="N5936" s="4">
        <f t="shared" si="92"/>
        <v>-79.999999999999986</v>
      </c>
      <c r="O5936" t="s">
        <v>83</v>
      </c>
    </row>
    <row r="5937" spans="1:17" x14ac:dyDescent="0.25">
      <c r="A5937" s="22">
        <v>45842</v>
      </c>
      <c r="B5937" s="1">
        <v>50764795</v>
      </c>
      <c r="C5937" t="s">
        <v>89</v>
      </c>
      <c r="D5937" s="44">
        <v>-187.93</v>
      </c>
      <c r="E5937" t="s">
        <v>35</v>
      </c>
      <c r="F5937" s="2">
        <v>610148001</v>
      </c>
      <c r="G5937" s="2" t="s">
        <v>41</v>
      </c>
      <c r="I5937" s="95" t="s">
        <v>7231</v>
      </c>
      <c r="J5937" t="s">
        <v>42</v>
      </c>
      <c r="K5937" t="s">
        <v>41</v>
      </c>
      <c r="M5937">
        <v>110.56</v>
      </c>
      <c r="N5937" s="4">
        <f t="shared" si="92"/>
        <v>-1.699801013024602</v>
      </c>
      <c r="O5937" t="s">
        <v>83</v>
      </c>
      <c r="Q5937" s="24" t="s">
        <v>4392</v>
      </c>
    </row>
    <row r="5938" spans="1:17" x14ac:dyDescent="0.25">
      <c r="A5938" s="22">
        <v>45842</v>
      </c>
      <c r="B5938" s="1">
        <v>131457978</v>
      </c>
      <c r="C5938" t="s">
        <v>82</v>
      </c>
      <c r="D5938" s="44">
        <v>510000</v>
      </c>
      <c r="E5938" t="s">
        <v>45</v>
      </c>
      <c r="F5938" s="2">
        <v>210115002</v>
      </c>
      <c r="G5938" s="2" t="s">
        <v>46</v>
      </c>
      <c r="I5938" s="95" t="s">
        <v>7231</v>
      </c>
      <c r="K5938" t="s">
        <v>82</v>
      </c>
      <c r="M5938">
        <v>110.56</v>
      </c>
      <c r="N5938" s="4">
        <f t="shared" si="92"/>
        <v>4612.8798842257593</v>
      </c>
      <c r="O5938" t="s">
        <v>83</v>
      </c>
    </row>
    <row r="5939" spans="1:17" x14ac:dyDescent="0.25">
      <c r="A5939" s="22">
        <v>45842</v>
      </c>
      <c r="B5939" s="1">
        <v>614760860</v>
      </c>
      <c r="C5939" t="s">
        <v>4454</v>
      </c>
      <c r="D5939" s="44">
        <v>-6633.6</v>
      </c>
      <c r="E5939" t="s">
        <v>35</v>
      </c>
      <c r="F5939" s="2">
        <v>212901001</v>
      </c>
      <c r="G5939" s="2" t="s">
        <v>91</v>
      </c>
      <c r="I5939" s="95" t="s">
        <v>7231</v>
      </c>
      <c r="J5939" t="s">
        <v>61</v>
      </c>
      <c r="K5939" t="s">
        <v>62</v>
      </c>
      <c r="M5939">
        <v>110.56</v>
      </c>
      <c r="N5939" s="4">
        <f t="shared" si="92"/>
        <v>-60</v>
      </c>
      <c r="O5939" t="s">
        <v>83</v>
      </c>
    </row>
    <row r="5940" spans="1:17" x14ac:dyDescent="0.25">
      <c r="A5940" s="22">
        <v>45842</v>
      </c>
      <c r="B5940" s="1">
        <v>614760859</v>
      </c>
      <c r="C5940" t="s">
        <v>4455</v>
      </c>
      <c r="D5940" s="44">
        <v>-8844.7999999999993</v>
      </c>
      <c r="E5940" t="s">
        <v>35</v>
      </c>
      <c r="F5940" s="2">
        <v>212901001</v>
      </c>
      <c r="G5940" s="2" t="s">
        <v>91</v>
      </c>
      <c r="I5940" s="95" t="s">
        <v>7231</v>
      </c>
      <c r="J5940" t="s">
        <v>61</v>
      </c>
      <c r="K5940" t="s">
        <v>62</v>
      </c>
      <c r="M5940">
        <v>110.56</v>
      </c>
      <c r="N5940" s="4">
        <f t="shared" si="92"/>
        <v>-79.999999999999986</v>
      </c>
      <c r="O5940" t="s">
        <v>83</v>
      </c>
    </row>
    <row r="5941" spans="1:17" x14ac:dyDescent="0.25">
      <c r="A5941" s="22">
        <v>45842</v>
      </c>
      <c r="B5941" s="1">
        <v>614760861</v>
      </c>
      <c r="C5941" t="s">
        <v>4456</v>
      </c>
      <c r="D5941" s="44">
        <v>-6633.6</v>
      </c>
      <c r="E5941" t="s">
        <v>35</v>
      </c>
      <c r="F5941" s="2">
        <v>212901001</v>
      </c>
      <c r="G5941" s="2" t="s">
        <v>91</v>
      </c>
      <c r="I5941" s="95" t="s">
        <v>7231</v>
      </c>
      <c r="J5941" t="s">
        <v>61</v>
      </c>
      <c r="K5941" t="s">
        <v>62</v>
      </c>
      <c r="M5941">
        <v>110.56</v>
      </c>
      <c r="N5941" s="4">
        <f t="shared" si="92"/>
        <v>-60</v>
      </c>
      <c r="O5941" t="s">
        <v>83</v>
      </c>
    </row>
    <row r="5942" spans="1:17" x14ac:dyDescent="0.25">
      <c r="A5942" s="22">
        <v>45842</v>
      </c>
      <c r="B5942" s="1">
        <v>614760862</v>
      </c>
      <c r="C5942" t="s">
        <v>4457</v>
      </c>
      <c r="D5942" s="44">
        <v>-6633.6</v>
      </c>
      <c r="E5942" t="s">
        <v>35</v>
      </c>
      <c r="F5942" s="2">
        <v>212901001</v>
      </c>
      <c r="G5942" s="2" t="s">
        <v>91</v>
      </c>
      <c r="I5942" s="95" t="s">
        <v>7231</v>
      </c>
      <c r="J5942" t="s">
        <v>61</v>
      </c>
      <c r="K5942" t="s">
        <v>62</v>
      </c>
      <c r="M5942">
        <v>110.56</v>
      </c>
      <c r="N5942" s="4">
        <f t="shared" si="92"/>
        <v>-60</v>
      </c>
      <c r="O5942" t="s">
        <v>83</v>
      </c>
    </row>
    <row r="5943" spans="1:17" x14ac:dyDescent="0.25">
      <c r="A5943" s="22">
        <v>45842</v>
      </c>
      <c r="B5943" s="1">
        <v>614760863</v>
      </c>
      <c r="C5943" t="s">
        <v>4458</v>
      </c>
      <c r="D5943" s="44">
        <v>-6633.6</v>
      </c>
      <c r="E5943" t="s">
        <v>35</v>
      </c>
      <c r="F5943" s="2">
        <v>212901001</v>
      </c>
      <c r="G5943" s="2" t="s">
        <v>91</v>
      </c>
      <c r="I5943" s="95" t="s">
        <v>7231</v>
      </c>
      <c r="J5943" t="s">
        <v>61</v>
      </c>
      <c r="K5943" t="s">
        <v>62</v>
      </c>
      <c r="M5943">
        <v>110.56</v>
      </c>
      <c r="N5943" s="4">
        <f t="shared" si="92"/>
        <v>-60</v>
      </c>
      <c r="O5943" t="s">
        <v>83</v>
      </c>
    </row>
    <row r="5944" spans="1:17" x14ac:dyDescent="0.25">
      <c r="A5944" s="22">
        <v>45842</v>
      </c>
      <c r="B5944" s="1">
        <v>614760864</v>
      </c>
      <c r="C5944" t="s">
        <v>4459</v>
      </c>
      <c r="D5944" s="44">
        <v>-6633.6</v>
      </c>
      <c r="E5944" t="s">
        <v>35</v>
      </c>
      <c r="F5944" s="2">
        <v>212901001</v>
      </c>
      <c r="G5944" s="2" t="s">
        <v>91</v>
      </c>
      <c r="I5944" s="95" t="s">
        <v>7231</v>
      </c>
      <c r="J5944" t="s">
        <v>61</v>
      </c>
      <c r="K5944" t="s">
        <v>62</v>
      </c>
      <c r="M5944">
        <v>110.56</v>
      </c>
      <c r="N5944" s="4">
        <f t="shared" si="92"/>
        <v>-60</v>
      </c>
      <c r="O5944" t="s">
        <v>83</v>
      </c>
    </row>
    <row r="5945" spans="1:17" x14ac:dyDescent="0.25">
      <c r="A5945" s="22">
        <v>45842</v>
      </c>
      <c r="B5945" s="1">
        <v>714760867</v>
      </c>
      <c r="C5945" t="s">
        <v>4460</v>
      </c>
      <c r="D5945" s="44">
        <v>-6633.6</v>
      </c>
      <c r="E5945" t="s">
        <v>35</v>
      </c>
      <c r="F5945" s="2">
        <v>212901001</v>
      </c>
      <c r="G5945" s="2" t="s">
        <v>91</v>
      </c>
      <c r="I5945" s="95" t="s">
        <v>7231</v>
      </c>
      <c r="J5945" t="s">
        <v>61</v>
      </c>
      <c r="K5945" t="s">
        <v>62</v>
      </c>
      <c r="M5945">
        <v>110.56</v>
      </c>
      <c r="N5945" s="4">
        <f t="shared" si="92"/>
        <v>-60</v>
      </c>
      <c r="O5945" t="s">
        <v>83</v>
      </c>
    </row>
    <row r="5946" spans="1:17" x14ac:dyDescent="0.25">
      <c r="A5946" s="22">
        <v>45842</v>
      </c>
      <c r="B5946" s="1">
        <v>714760869</v>
      </c>
      <c r="C5946" t="s">
        <v>4461</v>
      </c>
      <c r="D5946" s="44">
        <v>-6633.6</v>
      </c>
      <c r="E5946" t="s">
        <v>35</v>
      </c>
      <c r="F5946" s="2">
        <v>212901001</v>
      </c>
      <c r="G5946" s="2" t="s">
        <v>91</v>
      </c>
      <c r="I5946" s="95" t="s">
        <v>7231</v>
      </c>
      <c r="J5946" t="s">
        <v>61</v>
      </c>
      <c r="K5946" t="s">
        <v>62</v>
      </c>
      <c r="M5946">
        <v>110.56</v>
      </c>
      <c r="N5946" s="4">
        <f t="shared" si="92"/>
        <v>-60</v>
      </c>
      <c r="O5946" t="s">
        <v>83</v>
      </c>
    </row>
    <row r="5947" spans="1:17" x14ac:dyDescent="0.25">
      <c r="A5947" s="22">
        <v>45842</v>
      </c>
      <c r="B5947" s="1">
        <v>714760870</v>
      </c>
      <c r="C5947" t="s">
        <v>4462</v>
      </c>
      <c r="D5947" s="44">
        <v>-6633.6</v>
      </c>
      <c r="E5947" t="s">
        <v>35</v>
      </c>
      <c r="F5947" s="2">
        <v>212901001</v>
      </c>
      <c r="G5947" s="2" t="s">
        <v>91</v>
      </c>
      <c r="I5947" s="95" t="s">
        <v>7231</v>
      </c>
      <c r="J5947" t="s">
        <v>61</v>
      </c>
      <c r="K5947" t="s">
        <v>62</v>
      </c>
      <c r="M5947">
        <v>110.56</v>
      </c>
      <c r="N5947" s="4">
        <f t="shared" si="92"/>
        <v>-60</v>
      </c>
      <c r="O5947" t="s">
        <v>83</v>
      </c>
    </row>
    <row r="5948" spans="1:17" x14ac:dyDescent="0.25">
      <c r="A5948" s="22">
        <v>45842</v>
      </c>
      <c r="B5948" s="1">
        <v>714760866</v>
      </c>
      <c r="C5948" t="s">
        <v>4463</v>
      </c>
      <c r="D5948" s="44">
        <v>-6633.6</v>
      </c>
      <c r="E5948" t="s">
        <v>35</v>
      </c>
      <c r="F5948" s="2">
        <v>212901001</v>
      </c>
      <c r="G5948" s="2" t="s">
        <v>91</v>
      </c>
      <c r="I5948" s="95" t="s">
        <v>7231</v>
      </c>
      <c r="J5948" t="s">
        <v>61</v>
      </c>
      <c r="K5948" t="s">
        <v>62</v>
      </c>
      <c r="M5948">
        <v>110.56</v>
      </c>
      <c r="N5948" s="4">
        <f t="shared" si="92"/>
        <v>-60</v>
      </c>
      <c r="O5948" t="s">
        <v>83</v>
      </c>
    </row>
    <row r="5949" spans="1:17" x14ac:dyDescent="0.25">
      <c r="A5949" s="22">
        <v>45842</v>
      </c>
      <c r="B5949" s="1">
        <v>714760868</v>
      </c>
      <c r="C5949" t="s">
        <v>4464</v>
      </c>
      <c r="D5949" s="44">
        <v>-6633.6</v>
      </c>
      <c r="E5949" t="s">
        <v>35</v>
      </c>
      <c r="F5949" s="2">
        <v>212901001</v>
      </c>
      <c r="G5949" s="2" t="s">
        <v>91</v>
      </c>
      <c r="I5949" s="95" t="s">
        <v>7231</v>
      </c>
      <c r="J5949" t="s">
        <v>61</v>
      </c>
      <c r="K5949" t="s">
        <v>62</v>
      </c>
      <c r="M5949">
        <v>110.56</v>
      </c>
      <c r="N5949" s="4">
        <f t="shared" si="92"/>
        <v>-60</v>
      </c>
      <c r="O5949" t="s">
        <v>83</v>
      </c>
    </row>
    <row r="5950" spans="1:17" x14ac:dyDescent="0.25">
      <c r="A5950" s="22">
        <v>45842</v>
      </c>
      <c r="B5950" s="1">
        <v>714760871</v>
      </c>
      <c r="C5950" t="s">
        <v>4465</v>
      </c>
      <c r="D5950" s="44">
        <v>-6633.6</v>
      </c>
      <c r="E5950" t="s">
        <v>35</v>
      </c>
      <c r="F5950" s="2">
        <v>212901001</v>
      </c>
      <c r="G5950" s="2" t="s">
        <v>91</v>
      </c>
      <c r="I5950" s="95" t="s">
        <v>7231</v>
      </c>
      <c r="J5950" t="s">
        <v>61</v>
      </c>
      <c r="K5950" t="s">
        <v>62</v>
      </c>
      <c r="M5950">
        <v>110.56</v>
      </c>
      <c r="N5950" s="4">
        <f t="shared" si="92"/>
        <v>-60</v>
      </c>
      <c r="O5950" t="s">
        <v>83</v>
      </c>
    </row>
    <row r="5951" spans="1:17" x14ac:dyDescent="0.25">
      <c r="A5951" s="22">
        <v>45842</v>
      </c>
      <c r="B5951" s="1">
        <v>714760872</v>
      </c>
      <c r="C5951" t="s">
        <v>4466</v>
      </c>
      <c r="D5951" s="44">
        <v>-6633.6</v>
      </c>
      <c r="E5951" t="s">
        <v>35</v>
      </c>
      <c r="F5951" s="2">
        <v>212901001</v>
      </c>
      <c r="G5951" s="2" t="s">
        <v>91</v>
      </c>
      <c r="I5951" s="95" t="s">
        <v>7231</v>
      </c>
      <c r="J5951" t="s">
        <v>61</v>
      </c>
      <c r="K5951" t="s">
        <v>62</v>
      </c>
      <c r="M5951">
        <v>110.56</v>
      </c>
      <c r="N5951" s="4">
        <f t="shared" si="92"/>
        <v>-60</v>
      </c>
      <c r="O5951" t="s">
        <v>83</v>
      </c>
    </row>
    <row r="5952" spans="1:17" x14ac:dyDescent="0.25">
      <c r="A5952" s="22">
        <v>45842</v>
      </c>
      <c r="B5952" s="1">
        <v>714760874</v>
      </c>
      <c r="C5952" t="s">
        <v>4467</v>
      </c>
      <c r="D5952" s="44">
        <v>-6633.6</v>
      </c>
      <c r="E5952" t="s">
        <v>35</v>
      </c>
      <c r="F5952" s="2">
        <v>212901001</v>
      </c>
      <c r="G5952" s="2" t="s">
        <v>91</v>
      </c>
      <c r="I5952" s="95" t="s">
        <v>7231</v>
      </c>
      <c r="J5952" t="s">
        <v>61</v>
      </c>
      <c r="K5952" t="s">
        <v>62</v>
      </c>
      <c r="M5952">
        <v>110.56</v>
      </c>
      <c r="N5952" s="4">
        <f t="shared" si="92"/>
        <v>-60</v>
      </c>
      <c r="O5952" t="s">
        <v>83</v>
      </c>
    </row>
    <row r="5953" spans="1:15" x14ac:dyDescent="0.25">
      <c r="A5953" s="22">
        <v>45842</v>
      </c>
      <c r="B5953" s="1">
        <v>714760873</v>
      </c>
      <c r="C5953" t="s">
        <v>4468</v>
      </c>
      <c r="D5953" s="44">
        <v>-6633.6</v>
      </c>
      <c r="E5953" t="s">
        <v>35</v>
      </c>
      <c r="F5953" s="2">
        <v>212901001</v>
      </c>
      <c r="G5953" s="2" t="s">
        <v>91</v>
      </c>
      <c r="I5953" s="95" t="s">
        <v>7231</v>
      </c>
      <c r="J5953" t="s">
        <v>61</v>
      </c>
      <c r="K5953" t="s">
        <v>62</v>
      </c>
      <c r="M5953">
        <v>110.56</v>
      </c>
      <c r="N5953" s="4">
        <f t="shared" si="92"/>
        <v>-60</v>
      </c>
      <c r="O5953" t="s">
        <v>83</v>
      </c>
    </row>
    <row r="5954" spans="1:15" x14ac:dyDescent="0.25">
      <c r="A5954" s="22">
        <v>45842</v>
      </c>
      <c r="B5954" s="1">
        <v>714760875</v>
      </c>
      <c r="C5954" t="s">
        <v>4469</v>
      </c>
      <c r="D5954" s="44">
        <v>-6633.6</v>
      </c>
      <c r="E5954" t="s">
        <v>35</v>
      </c>
      <c r="F5954" s="2">
        <v>212901001</v>
      </c>
      <c r="G5954" s="2" t="s">
        <v>91</v>
      </c>
      <c r="I5954" s="95" t="s">
        <v>7231</v>
      </c>
      <c r="J5954" t="s">
        <v>61</v>
      </c>
      <c r="K5954" t="s">
        <v>62</v>
      </c>
      <c r="M5954">
        <v>110.56</v>
      </c>
      <c r="N5954" s="4">
        <f t="shared" si="92"/>
        <v>-60</v>
      </c>
      <c r="O5954" t="s">
        <v>83</v>
      </c>
    </row>
    <row r="5955" spans="1:15" x14ac:dyDescent="0.25">
      <c r="A5955" s="22">
        <v>45842</v>
      </c>
      <c r="B5955" s="1">
        <v>814760876</v>
      </c>
      <c r="C5955" t="s">
        <v>4470</v>
      </c>
      <c r="D5955" s="44">
        <v>-16584</v>
      </c>
      <c r="E5955" t="s">
        <v>35</v>
      </c>
      <c r="F5955" s="2">
        <v>212901001</v>
      </c>
      <c r="G5955" s="2" t="s">
        <v>91</v>
      </c>
      <c r="I5955" s="95" t="s">
        <v>7231</v>
      </c>
      <c r="J5955" t="s">
        <v>61</v>
      </c>
      <c r="K5955" t="s">
        <v>62</v>
      </c>
      <c r="M5955">
        <v>110.56</v>
      </c>
      <c r="N5955" s="4">
        <f t="shared" si="92"/>
        <v>-150</v>
      </c>
      <c r="O5955" t="s">
        <v>83</v>
      </c>
    </row>
    <row r="5956" spans="1:15" x14ac:dyDescent="0.25">
      <c r="A5956" s="22">
        <v>45842</v>
      </c>
      <c r="B5956" s="1">
        <v>814760878</v>
      </c>
      <c r="C5956" t="s">
        <v>4471</v>
      </c>
      <c r="D5956" s="44">
        <v>-11056</v>
      </c>
      <c r="E5956" t="s">
        <v>35</v>
      </c>
      <c r="F5956" s="2">
        <v>212901001</v>
      </c>
      <c r="G5956" s="2" t="s">
        <v>91</v>
      </c>
      <c r="I5956" s="95" t="s">
        <v>7231</v>
      </c>
      <c r="J5956" t="s">
        <v>61</v>
      </c>
      <c r="K5956" t="s">
        <v>62</v>
      </c>
      <c r="M5956">
        <v>110.56</v>
      </c>
      <c r="N5956" s="4">
        <f t="shared" si="92"/>
        <v>-100</v>
      </c>
      <c r="O5956" t="s">
        <v>83</v>
      </c>
    </row>
    <row r="5957" spans="1:15" x14ac:dyDescent="0.25">
      <c r="A5957" s="22">
        <v>45842</v>
      </c>
      <c r="B5957" s="1">
        <v>814760882</v>
      </c>
      <c r="C5957" t="s">
        <v>4472</v>
      </c>
      <c r="D5957" s="44">
        <v>-8844.7999999999993</v>
      </c>
      <c r="E5957" t="s">
        <v>35</v>
      </c>
      <c r="F5957" s="2">
        <v>212901001</v>
      </c>
      <c r="G5957" s="2" t="s">
        <v>91</v>
      </c>
      <c r="I5957" s="95" t="s">
        <v>7231</v>
      </c>
      <c r="J5957" t="s">
        <v>61</v>
      </c>
      <c r="K5957" t="s">
        <v>62</v>
      </c>
      <c r="M5957">
        <v>110.56</v>
      </c>
      <c r="N5957" s="4">
        <f t="shared" si="92"/>
        <v>-79.999999999999986</v>
      </c>
      <c r="O5957" t="s">
        <v>83</v>
      </c>
    </row>
    <row r="5958" spans="1:15" x14ac:dyDescent="0.25">
      <c r="A5958" s="22">
        <v>45842</v>
      </c>
      <c r="B5958" s="1">
        <v>814760883</v>
      </c>
      <c r="C5958" t="s">
        <v>4473</v>
      </c>
      <c r="D5958" s="44">
        <v>-8844.7999999999993</v>
      </c>
      <c r="E5958" t="s">
        <v>35</v>
      </c>
      <c r="F5958" s="2">
        <v>212901001</v>
      </c>
      <c r="G5958" s="2" t="s">
        <v>91</v>
      </c>
      <c r="I5958" s="95" t="s">
        <v>7231</v>
      </c>
      <c r="J5958" t="s">
        <v>61</v>
      </c>
      <c r="K5958" t="s">
        <v>62</v>
      </c>
      <c r="M5958">
        <v>110.56</v>
      </c>
      <c r="N5958" s="4">
        <f t="shared" si="92"/>
        <v>-79.999999999999986</v>
      </c>
      <c r="O5958" t="s">
        <v>83</v>
      </c>
    </row>
    <row r="5959" spans="1:15" x14ac:dyDescent="0.25">
      <c r="A5959" s="22">
        <v>45842</v>
      </c>
      <c r="B5959" s="1">
        <v>814760881</v>
      </c>
      <c r="C5959" t="s">
        <v>4474</v>
      </c>
      <c r="D5959" s="44">
        <v>-8844.7999999999993</v>
      </c>
      <c r="E5959" t="s">
        <v>35</v>
      </c>
      <c r="F5959" s="2">
        <v>212901001</v>
      </c>
      <c r="G5959" s="2" t="s">
        <v>91</v>
      </c>
      <c r="I5959" s="95" t="s">
        <v>7231</v>
      </c>
      <c r="J5959" t="s">
        <v>61</v>
      </c>
      <c r="K5959" t="s">
        <v>62</v>
      </c>
      <c r="M5959">
        <v>110.56</v>
      </c>
      <c r="N5959" s="4">
        <f t="shared" si="92"/>
        <v>-79.999999999999986</v>
      </c>
      <c r="O5959" t="s">
        <v>83</v>
      </c>
    </row>
    <row r="5960" spans="1:15" x14ac:dyDescent="0.25">
      <c r="A5960" s="22">
        <v>45842</v>
      </c>
      <c r="B5960" s="1">
        <v>814760884</v>
      </c>
      <c r="C5960" t="s">
        <v>4475</v>
      </c>
      <c r="D5960" s="44">
        <v>-8844.7999999999993</v>
      </c>
      <c r="E5960" t="s">
        <v>35</v>
      </c>
      <c r="F5960" s="2">
        <v>212901001</v>
      </c>
      <c r="G5960" s="2" t="s">
        <v>91</v>
      </c>
      <c r="I5960" s="95" t="s">
        <v>7231</v>
      </c>
      <c r="J5960" t="s">
        <v>61</v>
      </c>
      <c r="K5960" t="s">
        <v>62</v>
      </c>
      <c r="M5960">
        <v>110.56</v>
      </c>
      <c r="N5960" s="4">
        <f t="shared" si="92"/>
        <v>-79.999999999999986</v>
      </c>
      <c r="O5960" t="s">
        <v>83</v>
      </c>
    </row>
    <row r="5961" spans="1:15" x14ac:dyDescent="0.25">
      <c r="A5961" s="22">
        <v>45842</v>
      </c>
      <c r="B5961" s="1">
        <v>814760885</v>
      </c>
      <c r="C5961" t="s">
        <v>4476</v>
      </c>
      <c r="D5961" s="44">
        <v>-8844.7999999999993</v>
      </c>
      <c r="E5961" t="s">
        <v>35</v>
      </c>
      <c r="F5961" s="2">
        <v>212901001</v>
      </c>
      <c r="G5961" s="2" t="s">
        <v>91</v>
      </c>
      <c r="I5961" s="95" t="s">
        <v>7231</v>
      </c>
      <c r="J5961" t="s">
        <v>61</v>
      </c>
      <c r="K5961" t="s">
        <v>62</v>
      </c>
      <c r="M5961">
        <v>110.56</v>
      </c>
      <c r="N5961" s="4">
        <f t="shared" si="92"/>
        <v>-79.999999999999986</v>
      </c>
      <c r="O5961" t="s">
        <v>83</v>
      </c>
    </row>
    <row r="5962" spans="1:15" x14ac:dyDescent="0.25">
      <c r="A5962" s="22">
        <v>45842</v>
      </c>
      <c r="B5962" s="1">
        <v>814760886</v>
      </c>
      <c r="C5962" t="s">
        <v>4477</v>
      </c>
      <c r="D5962" s="44">
        <v>-5528</v>
      </c>
      <c r="E5962" t="s">
        <v>35</v>
      </c>
      <c r="F5962" s="2">
        <v>212901001</v>
      </c>
      <c r="G5962" s="2" t="s">
        <v>91</v>
      </c>
      <c r="I5962" s="95" t="s">
        <v>7231</v>
      </c>
      <c r="J5962" t="s">
        <v>61</v>
      </c>
      <c r="K5962" t="s">
        <v>62</v>
      </c>
      <c r="M5962">
        <v>110.56</v>
      </c>
      <c r="N5962" s="4">
        <f t="shared" si="92"/>
        <v>-50</v>
      </c>
      <c r="O5962" t="s">
        <v>83</v>
      </c>
    </row>
    <row r="5963" spans="1:15" x14ac:dyDescent="0.25">
      <c r="A5963" s="22">
        <v>45842</v>
      </c>
      <c r="B5963" s="1">
        <v>814760880</v>
      </c>
      <c r="C5963" t="s">
        <v>4478</v>
      </c>
      <c r="D5963" s="44">
        <v>-8844.7999999999993</v>
      </c>
      <c r="E5963" t="s">
        <v>35</v>
      </c>
      <c r="F5963" s="2">
        <v>212901001</v>
      </c>
      <c r="G5963" s="2" t="s">
        <v>91</v>
      </c>
      <c r="I5963" s="95" t="s">
        <v>7231</v>
      </c>
      <c r="J5963" t="s">
        <v>61</v>
      </c>
      <c r="K5963" t="s">
        <v>62</v>
      </c>
      <c r="M5963">
        <v>110.56</v>
      </c>
      <c r="N5963" s="4">
        <f t="shared" si="92"/>
        <v>-79.999999999999986</v>
      </c>
      <c r="O5963" t="s">
        <v>83</v>
      </c>
    </row>
    <row r="5964" spans="1:15" x14ac:dyDescent="0.25">
      <c r="A5964" s="22">
        <v>45842</v>
      </c>
      <c r="B5964" s="1">
        <v>914760888</v>
      </c>
      <c r="C5964" t="s">
        <v>4479</v>
      </c>
      <c r="D5964" s="44">
        <v>-5528</v>
      </c>
      <c r="E5964" t="s">
        <v>35</v>
      </c>
      <c r="F5964" s="2">
        <v>212901001</v>
      </c>
      <c r="G5964" s="2" t="s">
        <v>91</v>
      </c>
      <c r="I5964" s="95" t="s">
        <v>7231</v>
      </c>
      <c r="J5964" t="s">
        <v>61</v>
      </c>
      <c r="K5964" t="s">
        <v>62</v>
      </c>
      <c r="M5964">
        <v>110.56</v>
      </c>
      <c r="N5964" s="4">
        <f t="shared" ref="N5964:N6027" si="93">D5964/M5964</f>
        <v>-50</v>
      </c>
      <c r="O5964" t="s">
        <v>83</v>
      </c>
    </row>
    <row r="5965" spans="1:15" x14ac:dyDescent="0.25">
      <c r="A5965" s="22">
        <v>45842</v>
      </c>
      <c r="B5965" s="1">
        <v>914760889</v>
      </c>
      <c r="C5965" t="s">
        <v>4480</v>
      </c>
      <c r="D5965" s="44">
        <v>-5528</v>
      </c>
      <c r="E5965" t="s">
        <v>35</v>
      </c>
      <c r="F5965" s="2">
        <v>212901001</v>
      </c>
      <c r="G5965" s="2" t="s">
        <v>91</v>
      </c>
      <c r="I5965" s="95" t="s">
        <v>7231</v>
      </c>
      <c r="J5965" t="s">
        <v>61</v>
      </c>
      <c r="K5965" t="s">
        <v>62</v>
      </c>
      <c r="M5965">
        <v>110.56</v>
      </c>
      <c r="N5965" s="4">
        <f t="shared" si="93"/>
        <v>-50</v>
      </c>
      <c r="O5965" t="s">
        <v>83</v>
      </c>
    </row>
    <row r="5966" spans="1:15" x14ac:dyDescent="0.25">
      <c r="A5966" s="22">
        <v>45842</v>
      </c>
      <c r="B5966" s="1">
        <v>914760891</v>
      </c>
      <c r="C5966" t="s">
        <v>4481</v>
      </c>
      <c r="D5966" s="44">
        <v>-5528</v>
      </c>
      <c r="E5966" t="s">
        <v>35</v>
      </c>
      <c r="F5966" s="2">
        <v>212901001</v>
      </c>
      <c r="G5966" s="2" t="s">
        <v>91</v>
      </c>
      <c r="I5966" s="95" t="s">
        <v>7231</v>
      </c>
      <c r="J5966" t="s">
        <v>61</v>
      </c>
      <c r="K5966" t="s">
        <v>62</v>
      </c>
      <c r="M5966">
        <v>110.56</v>
      </c>
      <c r="N5966" s="4">
        <f t="shared" si="93"/>
        <v>-50</v>
      </c>
      <c r="O5966" t="s">
        <v>83</v>
      </c>
    </row>
    <row r="5967" spans="1:15" x14ac:dyDescent="0.25">
      <c r="A5967" s="22">
        <v>45842</v>
      </c>
      <c r="B5967" s="1">
        <v>914760893</v>
      </c>
      <c r="C5967" t="s">
        <v>4482</v>
      </c>
      <c r="D5967" s="44">
        <v>-4422.3999999999996</v>
      </c>
      <c r="E5967" t="s">
        <v>35</v>
      </c>
      <c r="F5967" s="2">
        <v>212901001</v>
      </c>
      <c r="G5967" s="2" t="s">
        <v>91</v>
      </c>
      <c r="I5967" s="95" t="s">
        <v>7231</v>
      </c>
      <c r="J5967" t="s">
        <v>61</v>
      </c>
      <c r="K5967" t="s">
        <v>62</v>
      </c>
      <c r="M5967">
        <v>110.56</v>
      </c>
      <c r="N5967" s="4">
        <f t="shared" si="93"/>
        <v>-39.999999999999993</v>
      </c>
      <c r="O5967" t="s">
        <v>83</v>
      </c>
    </row>
    <row r="5968" spans="1:15" x14ac:dyDescent="0.25">
      <c r="A5968" s="22">
        <v>45842</v>
      </c>
      <c r="B5968" s="1">
        <v>914760887</v>
      </c>
      <c r="C5968" t="s">
        <v>4483</v>
      </c>
      <c r="D5968" s="44">
        <v>-5528</v>
      </c>
      <c r="E5968" t="s">
        <v>35</v>
      </c>
      <c r="F5968" s="2">
        <v>212901001</v>
      </c>
      <c r="G5968" s="2" t="s">
        <v>91</v>
      </c>
      <c r="I5968" s="95" t="s">
        <v>7231</v>
      </c>
      <c r="J5968" t="s">
        <v>61</v>
      </c>
      <c r="K5968" t="s">
        <v>62</v>
      </c>
      <c r="M5968">
        <v>110.56</v>
      </c>
      <c r="N5968" s="4">
        <f t="shared" si="93"/>
        <v>-50</v>
      </c>
      <c r="O5968" t="s">
        <v>83</v>
      </c>
    </row>
    <row r="5969" spans="1:17" x14ac:dyDescent="0.25">
      <c r="A5969" s="22">
        <v>45842</v>
      </c>
      <c r="B5969" s="1">
        <v>14760899</v>
      </c>
      <c r="C5969" t="s">
        <v>4484</v>
      </c>
      <c r="D5969" s="44">
        <v>-4422.3999999999996</v>
      </c>
      <c r="E5969" t="s">
        <v>35</v>
      </c>
      <c r="F5969" s="2">
        <v>212901001</v>
      </c>
      <c r="G5969" s="2" t="s">
        <v>91</v>
      </c>
      <c r="I5969" s="95" t="s">
        <v>7231</v>
      </c>
      <c r="J5969" t="s">
        <v>61</v>
      </c>
      <c r="K5969" t="s">
        <v>62</v>
      </c>
      <c r="M5969">
        <v>110.56</v>
      </c>
      <c r="N5969" s="4">
        <f t="shared" si="93"/>
        <v>-39.999999999999993</v>
      </c>
      <c r="O5969" t="s">
        <v>83</v>
      </c>
    </row>
    <row r="5970" spans="1:17" x14ac:dyDescent="0.25">
      <c r="A5970" s="22">
        <v>45842</v>
      </c>
      <c r="B5970" s="1">
        <v>914760895</v>
      </c>
      <c r="C5970" t="s">
        <v>4485</v>
      </c>
      <c r="D5970" s="44">
        <v>-4422.3999999999996</v>
      </c>
      <c r="E5970" t="s">
        <v>35</v>
      </c>
      <c r="F5970" s="2">
        <v>212901001</v>
      </c>
      <c r="G5970" s="2" t="s">
        <v>91</v>
      </c>
      <c r="I5970" s="95" t="s">
        <v>7231</v>
      </c>
      <c r="J5970" t="s">
        <v>61</v>
      </c>
      <c r="K5970" t="s">
        <v>62</v>
      </c>
      <c r="M5970">
        <v>110.56</v>
      </c>
      <c r="N5970" s="4">
        <f t="shared" si="93"/>
        <v>-39.999999999999993</v>
      </c>
      <c r="O5970" t="s">
        <v>83</v>
      </c>
    </row>
    <row r="5971" spans="1:17" x14ac:dyDescent="0.25">
      <c r="A5971" s="22">
        <v>45842</v>
      </c>
      <c r="B5971" s="1">
        <v>14760900</v>
      </c>
      <c r="C5971" t="s">
        <v>4486</v>
      </c>
      <c r="D5971" s="44">
        <v>-4422.3999999999996</v>
      </c>
      <c r="E5971" t="s">
        <v>35</v>
      </c>
      <c r="F5971" s="2">
        <v>212901001</v>
      </c>
      <c r="G5971" s="2" t="s">
        <v>91</v>
      </c>
      <c r="I5971" s="95" t="s">
        <v>7231</v>
      </c>
      <c r="J5971" t="s">
        <v>61</v>
      </c>
      <c r="K5971" t="s">
        <v>62</v>
      </c>
      <c r="M5971">
        <v>110.56</v>
      </c>
      <c r="N5971" s="4">
        <f t="shared" si="93"/>
        <v>-39.999999999999993</v>
      </c>
      <c r="O5971" t="s">
        <v>83</v>
      </c>
    </row>
    <row r="5972" spans="1:17" x14ac:dyDescent="0.25">
      <c r="A5972" s="22">
        <v>45842</v>
      </c>
      <c r="B5972" s="1">
        <v>14760901</v>
      </c>
      <c r="C5972" t="s">
        <v>4487</v>
      </c>
      <c r="D5972" s="44">
        <v>-4422.3999999999996</v>
      </c>
      <c r="E5972" t="s">
        <v>35</v>
      </c>
      <c r="F5972" s="2">
        <v>212901001</v>
      </c>
      <c r="G5972" s="2" t="s">
        <v>91</v>
      </c>
      <c r="I5972" s="95" t="s">
        <v>7231</v>
      </c>
      <c r="J5972" t="s">
        <v>61</v>
      </c>
      <c r="K5972" t="s">
        <v>62</v>
      </c>
      <c r="M5972">
        <v>110.56</v>
      </c>
      <c r="N5972" s="4">
        <f t="shared" si="93"/>
        <v>-39.999999999999993</v>
      </c>
      <c r="O5972" t="s">
        <v>83</v>
      </c>
    </row>
    <row r="5973" spans="1:17" x14ac:dyDescent="0.25">
      <c r="A5973" s="22">
        <v>45842</v>
      </c>
      <c r="B5973" s="1">
        <v>14760898</v>
      </c>
      <c r="C5973" t="s">
        <v>4488</v>
      </c>
      <c r="D5973" s="44">
        <v>-4422.3999999999996</v>
      </c>
      <c r="E5973" t="s">
        <v>35</v>
      </c>
      <c r="F5973" s="2">
        <v>212901001</v>
      </c>
      <c r="G5973" s="2" t="s">
        <v>91</v>
      </c>
      <c r="I5973" s="95" t="s">
        <v>7231</v>
      </c>
      <c r="J5973" t="s">
        <v>61</v>
      </c>
      <c r="K5973" t="s">
        <v>62</v>
      </c>
      <c r="M5973">
        <v>110.56</v>
      </c>
      <c r="N5973" s="4">
        <f t="shared" si="93"/>
        <v>-39.999999999999993</v>
      </c>
      <c r="O5973" t="s">
        <v>83</v>
      </c>
    </row>
    <row r="5974" spans="1:17" x14ac:dyDescent="0.25">
      <c r="A5974" s="22">
        <v>45842</v>
      </c>
      <c r="B5974" s="1">
        <v>914760897</v>
      </c>
      <c r="C5974" t="s">
        <v>4489</v>
      </c>
      <c r="D5974" s="44">
        <v>-4422.3999999999996</v>
      </c>
      <c r="E5974" t="s">
        <v>35</v>
      </c>
      <c r="F5974" s="2">
        <v>212901001</v>
      </c>
      <c r="G5974" s="2" t="s">
        <v>91</v>
      </c>
      <c r="I5974" s="95" t="s">
        <v>7231</v>
      </c>
      <c r="J5974" t="s">
        <v>61</v>
      </c>
      <c r="K5974" t="s">
        <v>62</v>
      </c>
      <c r="M5974">
        <v>110.56</v>
      </c>
      <c r="N5974" s="4">
        <f t="shared" si="93"/>
        <v>-39.999999999999993</v>
      </c>
      <c r="O5974" t="s">
        <v>83</v>
      </c>
    </row>
    <row r="5975" spans="1:17" x14ac:dyDescent="0.25">
      <c r="A5975" s="22">
        <v>45842</v>
      </c>
      <c r="B5975" s="1">
        <v>914760892</v>
      </c>
      <c r="C5975" t="s">
        <v>4490</v>
      </c>
      <c r="D5975" s="44">
        <v>-5528</v>
      </c>
      <c r="E5975" t="s">
        <v>35</v>
      </c>
      <c r="F5975" s="2">
        <v>212901001</v>
      </c>
      <c r="G5975" s="2" t="s">
        <v>91</v>
      </c>
      <c r="I5975" s="95" t="s">
        <v>7231</v>
      </c>
      <c r="J5975" t="s">
        <v>61</v>
      </c>
      <c r="K5975" t="s">
        <v>62</v>
      </c>
      <c r="M5975">
        <v>110.56</v>
      </c>
      <c r="N5975" s="4">
        <f t="shared" si="93"/>
        <v>-50</v>
      </c>
      <c r="O5975" t="s">
        <v>83</v>
      </c>
    </row>
    <row r="5976" spans="1:17" x14ac:dyDescent="0.25">
      <c r="A5976" s="22">
        <v>45842</v>
      </c>
      <c r="B5976" s="1">
        <v>14760905</v>
      </c>
      <c r="C5976" t="s">
        <v>4491</v>
      </c>
      <c r="D5976" s="44">
        <v>-12161.6</v>
      </c>
      <c r="E5976" t="s">
        <v>35</v>
      </c>
      <c r="F5976" s="2">
        <v>212901001</v>
      </c>
      <c r="G5976" s="2" t="s">
        <v>91</v>
      </c>
      <c r="I5976" s="95" t="s">
        <v>7231</v>
      </c>
      <c r="J5976" t="s">
        <v>61</v>
      </c>
      <c r="K5976" t="s">
        <v>62</v>
      </c>
      <c r="M5976">
        <v>110.56</v>
      </c>
      <c r="N5976" s="4">
        <f t="shared" si="93"/>
        <v>-110</v>
      </c>
      <c r="O5976" t="s">
        <v>83</v>
      </c>
    </row>
    <row r="5977" spans="1:17" x14ac:dyDescent="0.25">
      <c r="A5977" s="22">
        <v>45842</v>
      </c>
      <c r="B5977" s="1">
        <v>14760902</v>
      </c>
      <c r="C5977" t="s">
        <v>4492</v>
      </c>
      <c r="D5977" s="44">
        <v>-11056</v>
      </c>
      <c r="E5977" t="s">
        <v>35</v>
      </c>
      <c r="F5977" s="2">
        <v>212901001</v>
      </c>
      <c r="G5977" s="2" t="s">
        <v>91</v>
      </c>
      <c r="I5977" s="95" t="s">
        <v>7231</v>
      </c>
      <c r="J5977" t="s">
        <v>61</v>
      </c>
      <c r="K5977" t="s">
        <v>62</v>
      </c>
      <c r="M5977">
        <v>110.56</v>
      </c>
      <c r="N5977" s="4">
        <f t="shared" si="93"/>
        <v>-100</v>
      </c>
      <c r="O5977" t="s">
        <v>83</v>
      </c>
    </row>
    <row r="5978" spans="1:17" x14ac:dyDescent="0.25">
      <c r="A5978" s="22">
        <v>45842</v>
      </c>
      <c r="B5978" s="1">
        <v>114760908</v>
      </c>
      <c r="C5978" t="s">
        <v>4493</v>
      </c>
      <c r="D5978" s="44">
        <v>-11056</v>
      </c>
      <c r="E5978" t="s">
        <v>35</v>
      </c>
      <c r="F5978" s="2">
        <v>212901001</v>
      </c>
      <c r="G5978" s="2" t="s">
        <v>91</v>
      </c>
      <c r="I5978" s="95" t="s">
        <v>7231</v>
      </c>
      <c r="J5978" t="s">
        <v>61</v>
      </c>
      <c r="K5978" t="s">
        <v>62</v>
      </c>
      <c r="M5978">
        <v>110.56</v>
      </c>
      <c r="N5978" s="4">
        <f t="shared" si="93"/>
        <v>-100</v>
      </c>
      <c r="O5978" t="s">
        <v>83</v>
      </c>
    </row>
    <row r="5979" spans="1:17" x14ac:dyDescent="0.25">
      <c r="A5979" s="22">
        <v>45842</v>
      </c>
      <c r="B5979" s="1">
        <v>114760909</v>
      </c>
      <c r="C5979" t="s">
        <v>4494</v>
      </c>
      <c r="D5979" s="44">
        <v>-7739.2</v>
      </c>
      <c r="E5979" t="s">
        <v>35</v>
      </c>
      <c r="F5979" s="2">
        <v>212901001</v>
      </c>
      <c r="G5979" s="2" t="s">
        <v>91</v>
      </c>
      <c r="I5979" s="95" t="s">
        <v>7231</v>
      </c>
      <c r="J5979" t="s">
        <v>61</v>
      </c>
      <c r="K5979" t="s">
        <v>62</v>
      </c>
      <c r="M5979">
        <v>110.56</v>
      </c>
      <c r="N5979" s="4">
        <f t="shared" si="93"/>
        <v>-70</v>
      </c>
      <c r="O5979" t="s">
        <v>83</v>
      </c>
    </row>
    <row r="5980" spans="1:17" x14ac:dyDescent="0.25">
      <c r="A5980" s="33">
        <v>45842</v>
      </c>
      <c r="B5980" s="27">
        <v>14760907</v>
      </c>
      <c r="C5980" s="28" t="s">
        <v>4495</v>
      </c>
      <c r="D5980" s="47">
        <v>-8844.7999999999993</v>
      </c>
      <c r="E5980" s="28" t="s">
        <v>35</v>
      </c>
      <c r="F5980" s="30">
        <v>610156001</v>
      </c>
      <c r="G5980" s="30" t="s">
        <v>72</v>
      </c>
      <c r="H5980" s="30"/>
      <c r="I5980" s="95" t="s">
        <v>7231</v>
      </c>
      <c r="J5980" s="28" t="s">
        <v>73</v>
      </c>
      <c r="K5980" s="28" t="s">
        <v>74</v>
      </c>
      <c r="L5980" s="28" t="s">
        <v>56</v>
      </c>
      <c r="M5980" s="28">
        <v>110.56</v>
      </c>
      <c r="N5980" s="4">
        <f t="shared" si="93"/>
        <v>-79.999999999999986</v>
      </c>
      <c r="O5980" t="s">
        <v>83</v>
      </c>
      <c r="Q5980" s="24" t="s">
        <v>4496</v>
      </c>
    </row>
    <row r="5981" spans="1:17" x14ac:dyDescent="0.25">
      <c r="A5981" s="22">
        <v>45842</v>
      </c>
      <c r="B5981" s="1">
        <v>114760911</v>
      </c>
      <c r="C5981" t="s">
        <v>4497</v>
      </c>
      <c r="D5981" s="44">
        <v>-7739.2</v>
      </c>
      <c r="E5981" t="s">
        <v>35</v>
      </c>
      <c r="F5981" s="2">
        <v>212901001</v>
      </c>
      <c r="G5981" s="2" t="s">
        <v>91</v>
      </c>
      <c r="I5981" s="95" t="s">
        <v>7231</v>
      </c>
      <c r="J5981" t="s">
        <v>61</v>
      </c>
      <c r="K5981" t="s">
        <v>62</v>
      </c>
      <c r="M5981">
        <v>110.56</v>
      </c>
      <c r="N5981" s="4">
        <f t="shared" si="93"/>
        <v>-70</v>
      </c>
      <c r="O5981" t="s">
        <v>83</v>
      </c>
    </row>
    <row r="5982" spans="1:17" x14ac:dyDescent="0.25">
      <c r="A5982" s="22">
        <v>45842</v>
      </c>
      <c r="B5982" s="1">
        <v>14760904</v>
      </c>
      <c r="C5982" t="s">
        <v>4498</v>
      </c>
      <c r="D5982" s="44">
        <v>-16584</v>
      </c>
      <c r="E5982" t="s">
        <v>35</v>
      </c>
      <c r="F5982" s="2">
        <v>212901001</v>
      </c>
      <c r="G5982" s="2" t="s">
        <v>91</v>
      </c>
      <c r="I5982" s="95" t="s">
        <v>7231</v>
      </c>
      <c r="J5982" t="s">
        <v>61</v>
      </c>
      <c r="K5982" t="s">
        <v>62</v>
      </c>
      <c r="M5982">
        <v>110.56</v>
      </c>
      <c r="N5982" s="4">
        <f t="shared" si="93"/>
        <v>-150</v>
      </c>
      <c r="O5982" t="s">
        <v>83</v>
      </c>
    </row>
    <row r="5983" spans="1:17" x14ac:dyDescent="0.25">
      <c r="A5983" s="22">
        <v>45842</v>
      </c>
      <c r="B5983" s="1">
        <v>14760903</v>
      </c>
      <c r="C5983" t="s">
        <v>4499</v>
      </c>
      <c r="D5983" s="44">
        <v>-11056</v>
      </c>
      <c r="E5983" t="s">
        <v>35</v>
      </c>
      <c r="F5983" s="2">
        <v>212901001</v>
      </c>
      <c r="G5983" s="2" t="s">
        <v>91</v>
      </c>
      <c r="I5983" s="95" t="s">
        <v>7231</v>
      </c>
      <c r="J5983" t="s">
        <v>61</v>
      </c>
      <c r="K5983" t="s">
        <v>62</v>
      </c>
      <c r="M5983">
        <v>110.56</v>
      </c>
      <c r="N5983" s="4">
        <f t="shared" si="93"/>
        <v>-100</v>
      </c>
      <c r="O5983" t="s">
        <v>83</v>
      </c>
    </row>
    <row r="5984" spans="1:17" x14ac:dyDescent="0.25">
      <c r="A5984" s="22">
        <v>45842</v>
      </c>
      <c r="B5984" s="1">
        <v>114760912</v>
      </c>
      <c r="C5984" t="s">
        <v>4500</v>
      </c>
      <c r="D5984" s="44">
        <v>-6633.6</v>
      </c>
      <c r="E5984" t="s">
        <v>35</v>
      </c>
      <c r="F5984" s="2">
        <v>212901001</v>
      </c>
      <c r="G5984" s="2" t="s">
        <v>91</v>
      </c>
      <c r="I5984" s="95" t="s">
        <v>7231</v>
      </c>
      <c r="J5984" t="s">
        <v>61</v>
      </c>
      <c r="K5984" t="s">
        <v>62</v>
      </c>
      <c r="M5984">
        <v>110.56</v>
      </c>
      <c r="N5984" s="4">
        <f t="shared" si="93"/>
        <v>-60</v>
      </c>
      <c r="O5984" t="s">
        <v>83</v>
      </c>
    </row>
    <row r="5985" spans="1:15" x14ac:dyDescent="0.25">
      <c r="A5985" s="22">
        <v>45842</v>
      </c>
      <c r="B5985" s="1">
        <v>114760913</v>
      </c>
      <c r="C5985" t="s">
        <v>4501</v>
      </c>
      <c r="D5985" s="44">
        <v>-4643.5200000000004</v>
      </c>
      <c r="E5985" t="s">
        <v>35</v>
      </c>
      <c r="F5985" s="2">
        <v>212901001</v>
      </c>
      <c r="G5985" s="2" t="s">
        <v>91</v>
      </c>
      <c r="I5985" s="95" t="s">
        <v>7231</v>
      </c>
      <c r="J5985" t="s">
        <v>61</v>
      </c>
      <c r="K5985" t="s">
        <v>62</v>
      </c>
      <c r="M5985">
        <v>110.56</v>
      </c>
      <c r="N5985" s="4">
        <f t="shared" si="93"/>
        <v>-42</v>
      </c>
      <c r="O5985" t="s">
        <v>83</v>
      </c>
    </row>
    <row r="5986" spans="1:15" x14ac:dyDescent="0.25">
      <c r="A5986" s="22">
        <v>45842</v>
      </c>
      <c r="B5986" s="1">
        <v>114760917</v>
      </c>
      <c r="C5986" t="s">
        <v>4502</v>
      </c>
      <c r="D5986" s="44">
        <v>-5528</v>
      </c>
      <c r="E5986" t="s">
        <v>35</v>
      </c>
      <c r="F5986" s="2">
        <v>212901001</v>
      </c>
      <c r="G5986" s="2" t="s">
        <v>91</v>
      </c>
      <c r="I5986" s="95" t="s">
        <v>7231</v>
      </c>
      <c r="J5986" t="s">
        <v>61</v>
      </c>
      <c r="K5986" t="s">
        <v>62</v>
      </c>
      <c r="M5986">
        <v>110.56</v>
      </c>
      <c r="N5986" s="4">
        <f t="shared" si="93"/>
        <v>-50</v>
      </c>
      <c r="O5986" t="s">
        <v>83</v>
      </c>
    </row>
    <row r="5987" spans="1:15" x14ac:dyDescent="0.25">
      <c r="A5987" s="22">
        <v>45842</v>
      </c>
      <c r="B5987" s="1">
        <v>114760916</v>
      </c>
      <c r="C5987" t="s">
        <v>4503</v>
      </c>
      <c r="D5987" s="44">
        <v>-5528</v>
      </c>
      <c r="E5987" t="s">
        <v>35</v>
      </c>
      <c r="F5987" s="2">
        <v>212901001</v>
      </c>
      <c r="G5987" s="2" t="s">
        <v>91</v>
      </c>
      <c r="I5987" s="95" t="s">
        <v>7231</v>
      </c>
      <c r="J5987" t="s">
        <v>61</v>
      </c>
      <c r="K5987" t="s">
        <v>62</v>
      </c>
      <c r="M5987">
        <v>110.56</v>
      </c>
      <c r="N5987" s="4">
        <f t="shared" si="93"/>
        <v>-50</v>
      </c>
      <c r="O5987" t="s">
        <v>83</v>
      </c>
    </row>
    <row r="5988" spans="1:15" x14ac:dyDescent="0.25">
      <c r="A5988" s="22">
        <v>45842</v>
      </c>
      <c r="B5988" s="1">
        <v>114760914</v>
      </c>
      <c r="C5988" t="s">
        <v>4504</v>
      </c>
      <c r="D5988" s="44">
        <v>-7739.2</v>
      </c>
      <c r="E5988" t="s">
        <v>35</v>
      </c>
      <c r="F5988" s="2">
        <v>212901001</v>
      </c>
      <c r="G5988" s="2" t="s">
        <v>91</v>
      </c>
      <c r="I5988" s="95" t="s">
        <v>7231</v>
      </c>
      <c r="J5988" t="s">
        <v>61</v>
      </c>
      <c r="K5988" t="s">
        <v>62</v>
      </c>
      <c r="M5988">
        <v>110.56</v>
      </c>
      <c r="N5988" s="4">
        <f t="shared" si="93"/>
        <v>-70</v>
      </c>
      <c r="O5988" t="s">
        <v>83</v>
      </c>
    </row>
    <row r="5989" spans="1:15" x14ac:dyDescent="0.25">
      <c r="A5989" s="22">
        <v>45842</v>
      </c>
      <c r="B5989" s="1">
        <v>114760919</v>
      </c>
      <c r="C5989" t="s">
        <v>4505</v>
      </c>
      <c r="D5989" s="44">
        <v>-5528</v>
      </c>
      <c r="E5989" t="s">
        <v>35</v>
      </c>
      <c r="F5989" s="2">
        <v>212901001</v>
      </c>
      <c r="G5989" s="2" t="s">
        <v>91</v>
      </c>
      <c r="I5989" s="95" t="s">
        <v>7231</v>
      </c>
      <c r="J5989" t="s">
        <v>61</v>
      </c>
      <c r="K5989" t="s">
        <v>62</v>
      </c>
      <c r="M5989">
        <v>110.56</v>
      </c>
      <c r="N5989" s="4">
        <f t="shared" si="93"/>
        <v>-50</v>
      </c>
      <c r="O5989" t="s">
        <v>83</v>
      </c>
    </row>
    <row r="5990" spans="1:15" x14ac:dyDescent="0.25">
      <c r="A5990" s="22">
        <v>45842</v>
      </c>
      <c r="B5990" s="1">
        <v>214760922</v>
      </c>
      <c r="C5990" t="s">
        <v>4506</v>
      </c>
      <c r="D5990" s="44">
        <v>-4643.5200000000004</v>
      </c>
      <c r="E5990" t="s">
        <v>35</v>
      </c>
      <c r="F5990" s="2">
        <v>212901001</v>
      </c>
      <c r="G5990" s="2" t="s">
        <v>91</v>
      </c>
      <c r="I5990" s="95" t="s">
        <v>7231</v>
      </c>
      <c r="J5990" t="s">
        <v>61</v>
      </c>
      <c r="K5990" t="s">
        <v>62</v>
      </c>
      <c r="M5990">
        <v>110.56</v>
      </c>
      <c r="N5990" s="4">
        <f t="shared" si="93"/>
        <v>-42</v>
      </c>
      <c r="O5990" t="s">
        <v>83</v>
      </c>
    </row>
    <row r="5991" spans="1:15" x14ac:dyDescent="0.25">
      <c r="A5991" s="22">
        <v>45842</v>
      </c>
      <c r="B5991" s="1">
        <v>214760925</v>
      </c>
      <c r="C5991" t="s">
        <v>4504</v>
      </c>
      <c r="D5991" s="44">
        <v>-5528</v>
      </c>
      <c r="E5991" t="s">
        <v>35</v>
      </c>
      <c r="F5991" s="2">
        <v>212901001</v>
      </c>
      <c r="G5991" s="2" t="s">
        <v>91</v>
      </c>
      <c r="I5991" s="95" t="s">
        <v>7231</v>
      </c>
      <c r="J5991" t="s">
        <v>61</v>
      </c>
      <c r="K5991" t="s">
        <v>62</v>
      </c>
      <c r="M5991">
        <v>110.56</v>
      </c>
      <c r="N5991" s="4">
        <f t="shared" si="93"/>
        <v>-50</v>
      </c>
      <c r="O5991" t="s">
        <v>83</v>
      </c>
    </row>
    <row r="5992" spans="1:15" x14ac:dyDescent="0.25">
      <c r="A5992" s="22">
        <v>45842</v>
      </c>
      <c r="B5992" s="1">
        <v>214760921</v>
      </c>
      <c r="C5992" t="s">
        <v>4507</v>
      </c>
      <c r="D5992" s="44">
        <v>-5528</v>
      </c>
      <c r="E5992" t="s">
        <v>35</v>
      </c>
      <c r="F5992" s="2">
        <v>212901001</v>
      </c>
      <c r="G5992" s="2" t="s">
        <v>91</v>
      </c>
      <c r="I5992" s="95" t="s">
        <v>7231</v>
      </c>
      <c r="J5992" t="s">
        <v>61</v>
      </c>
      <c r="K5992" t="s">
        <v>62</v>
      </c>
      <c r="M5992">
        <v>110.56</v>
      </c>
      <c r="N5992" s="4">
        <f t="shared" si="93"/>
        <v>-50</v>
      </c>
      <c r="O5992" t="s">
        <v>83</v>
      </c>
    </row>
    <row r="5993" spans="1:15" x14ac:dyDescent="0.25">
      <c r="A5993" s="22">
        <v>45842</v>
      </c>
      <c r="B5993" s="1">
        <v>114760918</v>
      </c>
      <c r="C5993" t="s">
        <v>4508</v>
      </c>
      <c r="D5993" s="44">
        <v>-5528</v>
      </c>
      <c r="E5993" t="s">
        <v>35</v>
      </c>
      <c r="F5993" s="2">
        <v>212901001</v>
      </c>
      <c r="G5993" s="2" t="s">
        <v>91</v>
      </c>
      <c r="I5993" s="95" t="s">
        <v>7231</v>
      </c>
      <c r="J5993" t="s">
        <v>61</v>
      </c>
      <c r="K5993" t="s">
        <v>62</v>
      </c>
      <c r="M5993">
        <v>110.56</v>
      </c>
      <c r="N5993" s="4">
        <f t="shared" si="93"/>
        <v>-50</v>
      </c>
      <c r="O5993" t="s">
        <v>83</v>
      </c>
    </row>
    <row r="5994" spans="1:15" x14ac:dyDescent="0.25">
      <c r="A5994" s="22">
        <v>45842</v>
      </c>
      <c r="B5994" s="1">
        <v>214760923</v>
      </c>
      <c r="C5994" t="s">
        <v>4509</v>
      </c>
      <c r="D5994" s="44">
        <v>-5528</v>
      </c>
      <c r="E5994" t="s">
        <v>35</v>
      </c>
      <c r="F5994" s="2">
        <v>212901001</v>
      </c>
      <c r="G5994" s="2" t="s">
        <v>91</v>
      </c>
      <c r="I5994" s="95" t="s">
        <v>7231</v>
      </c>
      <c r="J5994" t="s">
        <v>61</v>
      </c>
      <c r="K5994" t="s">
        <v>62</v>
      </c>
      <c r="M5994">
        <v>110.56</v>
      </c>
      <c r="N5994" s="4">
        <f t="shared" si="93"/>
        <v>-50</v>
      </c>
      <c r="O5994" t="s">
        <v>83</v>
      </c>
    </row>
    <row r="5995" spans="1:15" x14ac:dyDescent="0.25">
      <c r="A5995" s="22">
        <v>45842</v>
      </c>
      <c r="B5995" s="1">
        <v>214760924</v>
      </c>
      <c r="C5995" t="s">
        <v>4510</v>
      </c>
      <c r="D5995" s="44">
        <v>-5528</v>
      </c>
      <c r="E5995" t="s">
        <v>35</v>
      </c>
      <c r="F5995" s="2">
        <v>212901001</v>
      </c>
      <c r="G5995" s="2" t="s">
        <v>91</v>
      </c>
      <c r="I5995" s="95" t="s">
        <v>7231</v>
      </c>
      <c r="J5995" t="s">
        <v>61</v>
      </c>
      <c r="K5995" t="s">
        <v>62</v>
      </c>
      <c r="M5995">
        <v>110.56</v>
      </c>
      <c r="N5995" s="4">
        <f t="shared" si="93"/>
        <v>-50</v>
      </c>
      <c r="O5995" t="s">
        <v>83</v>
      </c>
    </row>
    <row r="5996" spans="1:15" x14ac:dyDescent="0.25">
      <c r="A5996" s="22">
        <v>45842</v>
      </c>
      <c r="B5996" s="1">
        <v>214760927</v>
      </c>
      <c r="C5996" t="s">
        <v>4511</v>
      </c>
      <c r="D5996" s="44">
        <v>-5528</v>
      </c>
      <c r="E5996" t="s">
        <v>35</v>
      </c>
      <c r="F5996" s="2">
        <v>212901001</v>
      </c>
      <c r="G5996" s="2" t="s">
        <v>91</v>
      </c>
      <c r="I5996" s="95" t="s">
        <v>7231</v>
      </c>
      <c r="J5996" t="s">
        <v>61</v>
      </c>
      <c r="K5996" t="s">
        <v>62</v>
      </c>
      <c r="M5996">
        <v>110.56</v>
      </c>
      <c r="N5996" s="4">
        <f t="shared" si="93"/>
        <v>-50</v>
      </c>
      <c r="O5996" t="s">
        <v>83</v>
      </c>
    </row>
    <row r="5997" spans="1:15" x14ac:dyDescent="0.25">
      <c r="A5997" s="22">
        <v>45842</v>
      </c>
      <c r="B5997" s="1">
        <v>214760920</v>
      </c>
      <c r="C5997" t="s">
        <v>4512</v>
      </c>
      <c r="D5997" s="44">
        <v>-5528</v>
      </c>
      <c r="E5997" t="s">
        <v>35</v>
      </c>
      <c r="F5997" s="2">
        <v>212901001</v>
      </c>
      <c r="G5997" s="2" t="s">
        <v>91</v>
      </c>
      <c r="I5997" s="95" t="s">
        <v>7231</v>
      </c>
      <c r="J5997" t="s">
        <v>61</v>
      </c>
      <c r="K5997" t="s">
        <v>62</v>
      </c>
      <c r="M5997">
        <v>110.56</v>
      </c>
      <c r="N5997" s="4">
        <f t="shared" si="93"/>
        <v>-50</v>
      </c>
      <c r="O5997" t="s">
        <v>83</v>
      </c>
    </row>
    <row r="5998" spans="1:15" x14ac:dyDescent="0.25">
      <c r="A5998" s="22">
        <v>45842</v>
      </c>
      <c r="B5998" s="1">
        <v>314760930</v>
      </c>
      <c r="C5998" t="s">
        <v>4513</v>
      </c>
      <c r="D5998" s="44">
        <v>-2211.1999999999998</v>
      </c>
      <c r="E5998" t="s">
        <v>35</v>
      </c>
      <c r="F5998" s="2">
        <v>212901001</v>
      </c>
      <c r="G5998" s="2" t="s">
        <v>91</v>
      </c>
      <c r="I5998" s="95" t="s">
        <v>7231</v>
      </c>
      <c r="J5998" t="s">
        <v>61</v>
      </c>
      <c r="K5998" t="s">
        <v>62</v>
      </c>
      <c r="M5998">
        <v>110.56</v>
      </c>
      <c r="N5998" s="4">
        <f t="shared" si="93"/>
        <v>-19.999999999999996</v>
      </c>
      <c r="O5998" t="s">
        <v>83</v>
      </c>
    </row>
    <row r="5999" spans="1:15" x14ac:dyDescent="0.25">
      <c r="A5999" s="22">
        <v>45842</v>
      </c>
      <c r="B5999" s="1">
        <v>214760928</v>
      </c>
      <c r="C5999" t="s">
        <v>4514</v>
      </c>
      <c r="D5999" s="44">
        <v>-5528</v>
      </c>
      <c r="E5999" t="s">
        <v>35</v>
      </c>
      <c r="F5999" s="2">
        <v>212901001</v>
      </c>
      <c r="G5999" s="2" t="s">
        <v>91</v>
      </c>
      <c r="I5999" s="95" t="s">
        <v>7231</v>
      </c>
      <c r="J5999" t="s">
        <v>61</v>
      </c>
      <c r="K5999" t="s">
        <v>62</v>
      </c>
      <c r="M5999">
        <v>110.56</v>
      </c>
      <c r="N5999" s="4">
        <f t="shared" si="93"/>
        <v>-50</v>
      </c>
      <c r="O5999" t="s">
        <v>83</v>
      </c>
    </row>
    <row r="6000" spans="1:15" x14ac:dyDescent="0.25">
      <c r="A6000" s="22">
        <v>45842</v>
      </c>
      <c r="B6000" s="1">
        <v>214760926</v>
      </c>
      <c r="C6000" t="s">
        <v>4515</v>
      </c>
      <c r="D6000" s="44">
        <v>-5528</v>
      </c>
      <c r="E6000" t="s">
        <v>35</v>
      </c>
      <c r="F6000" s="2">
        <v>212901001</v>
      </c>
      <c r="G6000" s="2" t="s">
        <v>91</v>
      </c>
      <c r="I6000" s="95" t="s">
        <v>7231</v>
      </c>
      <c r="J6000" t="s">
        <v>61</v>
      </c>
      <c r="K6000" t="s">
        <v>62</v>
      </c>
      <c r="M6000">
        <v>110.56</v>
      </c>
      <c r="N6000" s="4">
        <f t="shared" si="93"/>
        <v>-50</v>
      </c>
      <c r="O6000" t="s">
        <v>83</v>
      </c>
    </row>
    <row r="6001" spans="1:17" x14ac:dyDescent="0.25">
      <c r="A6001" s="22">
        <v>45842</v>
      </c>
      <c r="B6001" s="1">
        <v>314760929</v>
      </c>
      <c r="C6001" t="s">
        <v>4516</v>
      </c>
      <c r="D6001" s="44">
        <v>-2211.1999999999998</v>
      </c>
      <c r="E6001" t="s">
        <v>35</v>
      </c>
      <c r="F6001" s="2">
        <v>212901001</v>
      </c>
      <c r="G6001" s="2" t="s">
        <v>91</v>
      </c>
      <c r="I6001" s="95" t="s">
        <v>7231</v>
      </c>
      <c r="J6001" t="s">
        <v>61</v>
      </c>
      <c r="K6001" t="s">
        <v>62</v>
      </c>
      <c r="M6001">
        <v>110.56</v>
      </c>
      <c r="N6001" s="4">
        <f t="shared" si="93"/>
        <v>-19.999999999999996</v>
      </c>
      <c r="O6001" t="s">
        <v>83</v>
      </c>
    </row>
    <row r="6002" spans="1:17" x14ac:dyDescent="0.25">
      <c r="A6002" s="22">
        <v>45842</v>
      </c>
      <c r="B6002" s="1">
        <v>314760935</v>
      </c>
      <c r="C6002" t="s">
        <v>4517</v>
      </c>
      <c r="D6002" s="44">
        <v>-13488.32</v>
      </c>
      <c r="E6002" t="s">
        <v>35</v>
      </c>
      <c r="F6002" s="2">
        <v>212901001</v>
      </c>
      <c r="G6002" s="2" t="s">
        <v>91</v>
      </c>
      <c r="I6002" s="95" t="s">
        <v>7231</v>
      </c>
      <c r="J6002" t="s">
        <v>61</v>
      </c>
      <c r="K6002" t="s">
        <v>62</v>
      </c>
      <c r="M6002">
        <v>110.56</v>
      </c>
      <c r="N6002" s="4">
        <f t="shared" si="93"/>
        <v>-122</v>
      </c>
      <c r="O6002" t="s">
        <v>83</v>
      </c>
    </row>
    <row r="6003" spans="1:17" x14ac:dyDescent="0.25">
      <c r="A6003" s="22">
        <v>45842</v>
      </c>
      <c r="B6003" s="1">
        <v>314760934</v>
      </c>
      <c r="C6003" t="s">
        <v>4518</v>
      </c>
      <c r="D6003" s="44">
        <v>-22112</v>
      </c>
      <c r="E6003" t="s">
        <v>35</v>
      </c>
      <c r="F6003" s="2">
        <v>212901001</v>
      </c>
      <c r="G6003" s="2" t="s">
        <v>91</v>
      </c>
      <c r="I6003" s="95" t="s">
        <v>7231</v>
      </c>
      <c r="J6003" t="s">
        <v>61</v>
      </c>
      <c r="K6003" t="s">
        <v>62</v>
      </c>
      <c r="M6003">
        <v>110.56</v>
      </c>
      <c r="N6003" s="4">
        <f t="shared" si="93"/>
        <v>-200</v>
      </c>
      <c r="O6003" t="s">
        <v>83</v>
      </c>
    </row>
    <row r="6004" spans="1:17" x14ac:dyDescent="0.25">
      <c r="A6004" s="22">
        <v>45842</v>
      </c>
      <c r="B6004" s="1">
        <v>314760931</v>
      </c>
      <c r="C6004" t="s">
        <v>4519</v>
      </c>
      <c r="D6004" s="44">
        <v>-2211.1999999999998</v>
      </c>
      <c r="E6004" t="s">
        <v>35</v>
      </c>
      <c r="F6004" s="2">
        <v>212901001</v>
      </c>
      <c r="G6004" s="2" t="s">
        <v>91</v>
      </c>
      <c r="I6004" s="95" t="s">
        <v>7231</v>
      </c>
      <c r="J6004" t="s">
        <v>61</v>
      </c>
      <c r="K6004" t="s">
        <v>62</v>
      </c>
      <c r="M6004">
        <v>110.56</v>
      </c>
      <c r="N6004" s="4">
        <f t="shared" si="93"/>
        <v>-19.999999999999996</v>
      </c>
      <c r="O6004" t="s">
        <v>83</v>
      </c>
    </row>
    <row r="6005" spans="1:17" x14ac:dyDescent="0.25">
      <c r="A6005" s="22">
        <v>45842</v>
      </c>
      <c r="B6005" s="1">
        <v>314760932</v>
      </c>
      <c r="C6005" t="s">
        <v>4520</v>
      </c>
      <c r="D6005" s="44">
        <v>-2211.1999999999998</v>
      </c>
      <c r="E6005" t="s">
        <v>35</v>
      </c>
      <c r="F6005" s="2">
        <v>212901001</v>
      </c>
      <c r="G6005" s="2" t="s">
        <v>91</v>
      </c>
      <c r="I6005" s="95" t="s">
        <v>7231</v>
      </c>
      <c r="J6005" t="s">
        <v>61</v>
      </c>
      <c r="K6005" t="s">
        <v>62</v>
      </c>
      <c r="M6005">
        <v>110.56</v>
      </c>
      <c r="N6005" s="4">
        <f t="shared" si="93"/>
        <v>-19.999999999999996</v>
      </c>
      <c r="O6005" t="s">
        <v>83</v>
      </c>
    </row>
    <row r="6006" spans="1:17" x14ac:dyDescent="0.25">
      <c r="A6006" s="22">
        <v>45842</v>
      </c>
      <c r="B6006" s="1">
        <v>314760936</v>
      </c>
      <c r="C6006" t="s">
        <v>4521</v>
      </c>
      <c r="D6006" s="44">
        <v>-3316.8</v>
      </c>
      <c r="E6006" t="s">
        <v>35</v>
      </c>
      <c r="F6006" s="2">
        <v>212901001</v>
      </c>
      <c r="G6006" s="2" t="s">
        <v>91</v>
      </c>
      <c r="I6006" s="95" t="s">
        <v>7231</v>
      </c>
      <c r="J6006" t="s">
        <v>61</v>
      </c>
      <c r="K6006" t="s">
        <v>62</v>
      </c>
      <c r="M6006">
        <v>110.56</v>
      </c>
      <c r="N6006" s="4">
        <f t="shared" si="93"/>
        <v>-30</v>
      </c>
      <c r="O6006" t="s">
        <v>83</v>
      </c>
    </row>
    <row r="6007" spans="1:17" x14ac:dyDescent="0.25">
      <c r="A6007" s="22">
        <v>45842</v>
      </c>
      <c r="B6007" s="1">
        <v>314760933</v>
      </c>
      <c r="C6007" t="s">
        <v>4522</v>
      </c>
      <c r="D6007" s="44">
        <v>-11056</v>
      </c>
      <c r="E6007" t="s">
        <v>35</v>
      </c>
      <c r="F6007" s="2">
        <v>212901001</v>
      </c>
      <c r="G6007" s="2" t="s">
        <v>91</v>
      </c>
      <c r="I6007" s="95" t="s">
        <v>7231</v>
      </c>
      <c r="J6007" t="s">
        <v>61</v>
      </c>
      <c r="K6007" t="s">
        <v>62</v>
      </c>
      <c r="M6007">
        <v>110.56</v>
      </c>
      <c r="N6007" s="4">
        <f t="shared" si="93"/>
        <v>-100</v>
      </c>
      <c r="O6007" t="s">
        <v>83</v>
      </c>
    </row>
    <row r="6008" spans="1:17" x14ac:dyDescent="0.25">
      <c r="A6008" s="22">
        <v>45842</v>
      </c>
      <c r="B6008" s="1">
        <v>314760937</v>
      </c>
      <c r="C6008" t="s">
        <v>4521</v>
      </c>
      <c r="D6008" s="44">
        <v>-4422.3999999999996</v>
      </c>
      <c r="E6008" t="s">
        <v>35</v>
      </c>
      <c r="F6008" s="2">
        <v>212901001</v>
      </c>
      <c r="G6008" s="2" t="s">
        <v>91</v>
      </c>
      <c r="I6008" s="95" t="s">
        <v>7231</v>
      </c>
      <c r="J6008" t="s">
        <v>61</v>
      </c>
      <c r="K6008" t="s">
        <v>62</v>
      </c>
      <c r="M6008">
        <v>110.56</v>
      </c>
      <c r="N6008" s="4">
        <f t="shared" si="93"/>
        <v>-39.999999999999993</v>
      </c>
      <c r="O6008" t="s">
        <v>83</v>
      </c>
    </row>
    <row r="6009" spans="1:17" x14ac:dyDescent="0.25">
      <c r="A6009" s="22">
        <v>45842</v>
      </c>
      <c r="B6009" s="1">
        <v>50755666</v>
      </c>
      <c r="C6009" t="s">
        <v>4523</v>
      </c>
      <c r="D6009" s="44">
        <v>-15478.4</v>
      </c>
      <c r="E6009" t="s">
        <v>35</v>
      </c>
      <c r="F6009" s="2">
        <v>212901001</v>
      </c>
      <c r="G6009" s="2" t="s">
        <v>91</v>
      </c>
      <c r="I6009" s="95" t="s">
        <v>7231</v>
      </c>
      <c r="J6009" t="s">
        <v>61</v>
      </c>
      <c r="K6009" t="s">
        <v>62</v>
      </c>
      <c r="M6009">
        <v>110.56</v>
      </c>
      <c r="N6009" s="4">
        <f t="shared" si="93"/>
        <v>-140</v>
      </c>
      <c r="O6009" t="s">
        <v>83</v>
      </c>
    </row>
    <row r="6010" spans="1:17" x14ac:dyDescent="0.25">
      <c r="A6010" s="22">
        <v>45842</v>
      </c>
      <c r="B6010" s="1">
        <v>50755666</v>
      </c>
      <c r="C6010" t="s">
        <v>179</v>
      </c>
      <c r="D6010" s="44">
        <v>-23.21</v>
      </c>
      <c r="E6010" t="s">
        <v>35</v>
      </c>
      <c r="F6010" s="2">
        <v>610148001</v>
      </c>
      <c r="G6010" s="2" t="s">
        <v>41</v>
      </c>
      <c r="I6010" s="95" t="s">
        <v>7231</v>
      </c>
      <c r="J6010" t="s">
        <v>42</v>
      </c>
      <c r="K6010" t="s">
        <v>41</v>
      </c>
      <c r="M6010">
        <v>110.56</v>
      </c>
      <c r="N6010" s="4">
        <f t="shared" si="93"/>
        <v>-0.20993125904486251</v>
      </c>
      <c r="O6010" t="s">
        <v>83</v>
      </c>
      <c r="Q6010" s="24" t="s">
        <v>4392</v>
      </c>
    </row>
    <row r="6011" spans="1:17" x14ac:dyDescent="0.25">
      <c r="A6011" s="22">
        <v>45842</v>
      </c>
      <c r="B6011" s="1">
        <v>50755666</v>
      </c>
      <c r="C6011" t="s">
        <v>89</v>
      </c>
      <c r="D6011" s="44">
        <v>-1231.6300000000001</v>
      </c>
      <c r="E6011" t="s">
        <v>35</v>
      </c>
      <c r="F6011" s="2">
        <v>610148001</v>
      </c>
      <c r="G6011" s="2" t="s">
        <v>41</v>
      </c>
      <c r="I6011" s="95" t="s">
        <v>7231</v>
      </c>
      <c r="J6011" t="s">
        <v>42</v>
      </c>
      <c r="K6011" t="s">
        <v>41</v>
      </c>
      <c r="M6011">
        <v>110.56</v>
      </c>
      <c r="N6011" s="4">
        <f t="shared" si="93"/>
        <v>-11.139924023154849</v>
      </c>
      <c r="O6011" t="s">
        <v>83</v>
      </c>
      <c r="Q6011" s="24" t="s">
        <v>4392</v>
      </c>
    </row>
    <row r="6012" spans="1:17" x14ac:dyDescent="0.25">
      <c r="A6012" s="22">
        <v>45842</v>
      </c>
      <c r="B6012" s="1">
        <v>523156567</v>
      </c>
      <c r="C6012" t="s">
        <v>2944</v>
      </c>
      <c r="D6012" s="44">
        <v>200000</v>
      </c>
      <c r="E6012" t="s">
        <v>45</v>
      </c>
      <c r="F6012" s="2">
        <v>110101003</v>
      </c>
      <c r="G6012" s="2" t="s">
        <v>2945</v>
      </c>
      <c r="I6012" s="95" t="s">
        <v>7231</v>
      </c>
      <c r="K6012" t="s">
        <v>2944</v>
      </c>
      <c r="M6012">
        <v>110.56</v>
      </c>
      <c r="N6012" s="4">
        <f t="shared" si="93"/>
        <v>1808.972503617945</v>
      </c>
      <c r="O6012" t="s">
        <v>83</v>
      </c>
    </row>
    <row r="6013" spans="1:17" x14ac:dyDescent="0.25">
      <c r="A6013" s="22">
        <v>45842</v>
      </c>
      <c r="B6013" s="1">
        <v>142357965</v>
      </c>
      <c r="C6013" t="s">
        <v>82</v>
      </c>
      <c r="D6013" s="44">
        <v>160000</v>
      </c>
      <c r="E6013" t="s">
        <v>45</v>
      </c>
      <c r="F6013" s="2">
        <v>210115002</v>
      </c>
      <c r="G6013" s="2" t="s">
        <v>46</v>
      </c>
      <c r="I6013" s="95" t="s">
        <v>7231</v>
      </c>
      <c r="K6013" t="s">
        <v>82</v>
      </c>
      <c r="M6013">
        <v>110.56</v>
      </c>
      <c r="N6013" s="4">
        <f t="shared" si="93"/>
        <v>1447.178002894356</v>
      </c>
      <c r="O6013" t="s">
        <v>83</v>
      </c>
    </row>
    <row r="6014" spans="1:17" x14ac:dyDescent="0.25">
      <c r="A6014" s="22">
        <v>45842</v>
      </c>
      <c r="B6014" s="1">
        <v>314766266</v>
      </c>
      <c r="C6014" t="s">
        <v>4524</v>
      </c>
      <c r="D6014" s="44">
        <v>-118155.11</v>
      </c>
      <c r="E6014" t="s">
        <v>35</v>
      </c>
      <c r="F6014" s="2">
        <v>210101001</v>
      </c>
      <c r="G6014" s="2" t="s">
        <v>36</v>
      </c>
      <c r="I6014" s="95" t="s">
        <v>7231</v>
      </c>
      <c r="J6014" t="s">
        <v>182</v>
      </c>
      <c r="K6014" t="s">
        <v>183</v>
      </c>
      <c r="M6014">
        <v>110.56</v>
      </c>
      <c r="N6014" s="4">
        <f t="shared" si="93"/>
        <v>-1068.6967257597685</v>
      </c>
      <c r="O6014" t="s">
        <v>83</v>
      </c>
    </row>
    <row r="6015" spans="1:17" x14ac:dyDescent="0.25">
      <c r="A6015" s="22">
        <v>45842</v>
      </c>
      <c r="B6015" s="1">
        <v>314766268</v>
      </c>
      <c r="C6015" t="s">
        <v>4322</v>
      </c>
      <c r="D6015" s="44">
        <v>-36484</v>
      </c>
      <c r="E6015" t="s">
        <v>35</v>
      </c>
      <c r="F6015" s="2">
        <v>110114001</v>
      </c>
      <c r="G6015" s="2" t="s">
        <v>181</v>
      </c>
      <c r="I6015" s="95" t="s">
        <v>7231</v>
      </c>
      <c r="J6015" t="s">
        <v>376</v>
      </c>
      <c r="K6015" t="s">
        <v>377</v>
      </c>
      <c r="M6015">
        <v>110.56</v>
      </c>
      <c r="N6015" s="4">
        <f t="shared" si="93"/>
        <v>-329.9927641099855</v>
      </c>
      <c r="O6015" t="s">
        <v>83</v>
      </c>
    </row>
    <row r="6016" spans="1:17" x14ac:dyDescent="0.25">
      <c r="A6016" s="22">
        <v>45842</v>
      </c>
      <c r="B6016" s="1">
        <v>314766267</v>
      </c>
      <c r="C6016" t="s">
        <v>4322</v>
      </c>
      <c r="D6016" s="44">
        <v>-200000</v>
      </c>
      <c r="E6016" t="s">
        <v>35</v>
      </c>
      <c r="F6016" s="2">
        <v>110114001</v>
      </c>
      <c r="G6016" s="2" t="s">
        <v>181</v>
      </c>
      <c r="I6016" s="95" t="s">
        <v>7231</v>
      </c>
      <c r="J6016" t="s">
        <v>376</v>
      </c>
      <c r="K6016" t="s">
        <v>377</v>
      </c>
      <c r="M6016">
        <v>110.56</v>
      </c>
      <c r="N6016" s="4">
        <f t="shared" si="93"/>
        <v>-1808.972503617945</v>
      </c>
      <c r="O6016" t="s">
        <v>83</v>
      </c>
    </row>
    <row r="6017" spans="1:17" x14ac:dyDescent="0.25">
      <c r="A6017" s="22">
        <v>45842</v>
      </c>
      <c r="B6017" s="1">
        <v>50763600</v>
      </c>
      <c r="C6017" t="s">
        <v>89</v>
      </c>
      <c r="D6017" s="44">
        <v>-886.59</v>
      </c>
      <c r="E6017" t="s">
        <v>35</v>
      </c>
      <c r="F6017" s="2">
        <v>610148001</v>
      </c>
      <c r="G6017" s="2" t="s">
        <v>41</v>
      </c>
      <c r="I6017" s="95" t="s">
        <v>7231</v>
      </c>
      <c r="J6017" t="s">
        <v>42</v>
      </c>
      <c r="K6017" t="s">
        <v>41</v>
      </c>
      <c r="M6017">
        <v>110.56</v>
      </c>
      <c r="N6017" s="4">
        <f t="shared" si="93"/>
        <v>-8.0190846599131689</v>
      </c>
      <c r="O6017" t="s">
        <v>83</v>
      </c>
      <c r="Q6017" s="24" t="s">
        <v>4392</v>
      </c>
    </row>
    <row r="6018" spans="1:17" x14ac:dyDescent="0.25">
      <c r="A6018" s="22">
        <v>45842</v>
      </c>
      <c r="B6018" s="1">
        <v>151754574</v>
      </c>
      <c r="C6018" t="s">
        <v>82</v>
      </c>
      <c r="D6018" s="44">
        <v>20000</v>
      </c>
      <c r="E6018" t="s">
        <v>45</v>
      </c>
      <c r="F6018" s="2">
        <v>210115002</v>
      </c>
      <c r="G6018" s="2" t="s">
        <v>46</v>
      </c>
      <c r="I6018" s="95" t="s">
        <v>7231</v>
      </c>
      <c r="K6018" t="s">
        <v>82</v>
      </c>
      <c r="M6018">
        <v>110.56</v>
      </c>
      <c r="N6018" s="4">
        <f t="shared" si="93"/>
        <v>180.89725036179451</v>
      </c>
      <c r="O6018" t="s">
        <v>83</v>
      </c>
    </row>
    <row r="6019" spans="1:17" x14ac:dyDescent="0.25">
      <c r="A6019" s="22">
        <v>45842</v>
      </c>
      <c r="B6019" s="1">
        <v>114770838</v>
      </c>
      <c r="C6019" t="s">
        <v>4525</v>
      </c>
      <c r="D6019" s="44">
        <v>-22088.95</v>
      </c>
      <c r="E6019" t="s">
        <v>35</v>
      </c>
      <c r="F6019" s="2">
        <v>210101001</v>
      </c>
      <c r="G6019" s="2" t="s">
        <v>36</v>
      </c>
      <c r="I6019" s="95" t="s">
        <v>7231</v>
      </c>
      <c r="J6019" t="s">
        <v>283</v>
      </c>
      <c r="K6019" t="s">
        <v>1628</v>
      </c>
      <c r="M6019">
        <v>110.56</v>
      </c>
      <c r="N6019" s="4">
        <f t="shared" si="93"/>
        <v>-199.79151591895803</v>
      </c>
      <c r="O6019" t="s">
        <v>83</v>
      </c>
    </row>
    <row r="6020" spans="1:17" x14ac:dyDescent="0.25">
      <c r="A6020" s="22">
        <v>45842</v>
      </c>
      <c r="B6020" s="1">
        <v>114770838</v>
      </c>
      <c r="C6020" t="s">
        <v>185</v>
      </c>
      <c r="D6020" s="44">
        <v>-66.27</v>
      </c>
      <c r="E6020" t="s">
        <v>35</v>
      </c>
      <c r="F6020" s="2">
        <v>610148001</v>
      </c>
      <c r="G6020" s="2" t="s">
        <v>41</v>
      </c>
      <c r="I6020" s="95" t="s">
        <v>7231</v>
      </c>
      <c r="J6020" t="s">
        <v>42</v>
      </c>
      <c r="K6020" t="s">
        <v>41</v>
      </c>
      <c r="M6020">
        <v>110.56</v>
      </c>
      <c r="N6020" s="4">
        <f t="shared" si="93"/>
        <v>-0.59940303907380599</v>
      </c>
      <c r="O6020" t="s">
        <v>83</v>
      </c>
      <c r="Q6020" s="24" t="s">
        <v>4392</v>
      </c>
    </row>
    <row r="6021" spans="1:17" x14ac:dyDescent="0.25">
      <c r="A6021" s="22">
        <v>45848</v>
      </c>
      <c r="B6021" s="1">
        <v>93049438</v>
      </c>
      <c r="C6021" t="s">
        <v>82</v>
      </c>
      <c r="D6021" s="44">
        <v>80000</v>
      </c>
      <c r="E6021" t="s">
        <v>45</v>
      </c>
      <c r="F6021" s="2">
        <v>210115002</v>
      </c>
      <c r="G6021" s="2" t="s">
        <v>46</v>
      </c>
      <c r="I6021" s="95" t="s">
        <v>7231</v>
      </c>
      <c r="K6021" t="s">
        <v>82</v>
      </c>
      <c r="M6021">
        <v>113.75</v>
      </c>
      <c r="N6021" s="4">
        <f t="shared" si="93"/>
        <v>703.2967032967033</v>
      </c>
      <c r="O6021" t="s">
        <v>83</v>
      </c>
    </row>
    <row r="6022" spans="1:17" x14ac:dyDescent="0.25">
      <c r="A6022" s="22">
        <v>45848</v>
      </c>
      <c r="B6022" s="1">
        <v>475016</v>
      </c>
      <c r="C6022" t="s">
        <v>4526</v>
      </c>
      <c r="D6022" s="44">
        <v>-77673.279999999999</v>
      </c>
      <c r="E6022" t="s">
        <v>35</v>
      </c>
      <c r="F6022" s="2">
        <v>210601001</v>
      </c>
      <c r="G6022" s="2" t="s">
        <v>272</v>
      </c>
      <c r="I6022" s="95" t="s">
        <v>7231</v>
      </c>
      <c r="J6022" t="s">
        <v>273</v>
      </c>
      <c r="K6022" t="s">
        <v>274</v>
      </c>
      <c r="M6022">
        <v>113.75</v>
      </c>
      <c r="N6022" s="4">
        <f t="shared" si="93"/>
        <v>-682.84202197802199</v>
      </c>
      <c r="O6022" t="s">
        <v>83</v>
      </c>
      <c r="Q6022" s="24" t="s">
        <v>4527</v>
      </c>
    </row>
    <row r="6023" spans="1:17" x14ac:dyDescent="0.25">
      <c r="A6023" s="22">
        <v>45848</v>
      </c>
      <c r="B6023" s="1">
        <v>0</v>
      </c>
      <c r="C6023" t="s">
        <v>3739</v>
      </c>
      <c r="D6023" s="44">
        <v>-108.97</v>
      </c>
      <c r="E6023" t="s">
        <v>35</v>
      </c>
      <c r="F6023" s="2">
        <v>610148001</v>
      </c>
      <c r="G6023" s="2" t="s">
        <v>41</v>
      </c>
      <c r="I6023" s="95" t="s">
        <v>7231</v>
      </c>
      <c r="J6023" t="s">
        <v>42</v>
      </c>
      <c r="K6023" t="s">
        <v>41</v>
      </c>
      <c r="M6023">
        <v>113.75</v>
      </c>
      <c r="N6023" s="4">
        <f t="shared" si="93"/>
        <v>-0.95797802197802195</v>
      </c>
      <c r="O6023" t="s">
        <v>83</v>
      </c>
      <c r="Q6023" s="24" t="s">
        <v>4392</v>
      </c>
    </row>
    <row r="6024" spans="1:17" x14ac:dyDescent="0.25">
      <c r="A6024" s="22">
        <v>45849</v>
      </c>
      <c r="B6024" s="1">
        <v>104059630</v>
      </c>
      <c r="C6024" t="s">
        <v>82</v>
      </c>
      <c r="D6024" s="44">
        <v>30000</v>
      </c>
      <c r="E6024" t="s">
        <v>45</v>
      </c>
      <c r="F6024" s="2">
        <v>210115002</v>
      </c>
      <c r="G6024" s="2" t="s">
        <v>46</v>
      </c>
      <c r="I6024" s="95" t="s">
        <v>7231</v>
      </c>
      <c r="K6024" t="s">
        <v>82</v>
      </c>
      <c r="M6024">
        <v>114.41</v>
      </c>
      <c r="N6024" s="4">
        <f t="shared" si="93"/>
        <v>262.21484136002101</v>
      </c>
      <c r="O6024" t="s">
        <v>83</v>
      </c>
    </row>
    <row r="6025" spans="1:17" x14ac:dyDescent="0.25">
      <c r="A6025" s="22">
        <v>45849</v>
      </c>
      <c r="B6025" s="1">
        <v>915032715</v>
      </c>
      <c r="C6025" t="s">
        <v>4528</v>
      </c>
      <c r="D6025" s="44">
        <v>-25612.799999999999</v>
      </c>
      <c r="E6025" t="s">
        <v>35</v>
      </c>
      <c r="F6025" s="2">
        <v>210101001</v>
      </c>
      <c r="G6025" s="2" t="s">
        <v>36</v>
      </c>
      <c r="I6025" s="95" t="s">
        <v>7231</v>
      </c>
      <c r="J6025" t="s">
        <v>398</v>
      </c>
      <c r="K6025" t="s">
        <v>399</v>
      </c>
      <c r="M6025">
        <v>114.41</v>
      </c>
      <c r="N6025" s="4">
        <f t="shared" si="93"/>
        <v>-223.86854295953151</v>
      </c>
      <c r="O6025" t="s">
        <v>83</v>
      </c>
    </row>
    <row r="6026" spans="1:17" x14ac:dyDescent="0.25">
      <c r="A6026" s="22">
        <v>45849</v>
      </c>
      <c r="B6026" s="1">
        <v>915032715</v>
      </c>
      <c r="C6026" t="s">
        <v>185</v>
      </c>
      <c r="D6026" s="44">
        <v>-76.84</v>
      </c>
      <c r="E6026" t="s">
        <v>35</v>
      </c>
      <c r="F6026" s="2">
        <v>610148001</v>
      </c>
      <c r="G6026" s="2" t="s">
        <v>41</v>
      </c>
      <c r="I6026" s="95" t="s">
        <v>7231</v>
      </c>
      <c r="J6026" t="s">
        <v>42</v>
      </c>
      <c r="K6026" t="s">
        <v>41</v>
      </c>
      <c r="M6026">
        <v>114.41</v>
      </c>
      <c r="N6026" s="4">
        <f t="shared" si="93"/>
        <v>-0.67161961367013379</v>
      </c>
      <c r="O6026" t="s">
        <v>83</v>
      </c>
      <c r="Q6026" s="24" t="s">
        <v>4392</v>
      </c>
    </row>
    <row r="6027" spans="1:17" x14ac:dyDescent="0.25">
      <c r="A6027" s="22">
        <v>45849</v>
      </c>
      <c r="B6027" s="1">
        <v>130809076</v>
      </c>
      <c r="C6027" t="s">
        <v>82</v>
      </c>
      <c r="D6027" s="44">
        <v>520000</v>
      </c>
      <c r="E6027" t="s">
        <v>45</v>
      </c>
      <c r="F6027" s="2">
        <v>210115002</v>
      </c>
      <c r="G6027" s="2" t="s">
        <v>46</v>
      </c>
      <c r="I6027" s="95" t="s">
        <v>7231</v>
      </c>
      <c r="K6027" t="s">
        <v>82</v>
      </c>
      <c r="M6027">
        <v>114.41</v>
      </c>
      <c r="N6027" s="4">
        <f t="shared" si="93"/>
        <v>4545.0572502403638</v>
      </c>
      <c r="O6027" t="s">
        <v>83</v>
      </c>
    </row>
    <row r="6028" spans="1:17" x14ac:dyDescent="0.25">
      <c r="A6028" s="22">
        <v>45849</v>
      </c>
      <c r="B6028" s="1">
        <v>315042519</v>
      </c>
      <c r="C6028" t="s">
        <v>4529</v>
      </c>
      <c r="D6028" s="44">
        <v>-9152.7999999999993</v>
      </c>
      <c r="E6028" t="s">
        <v>35</v>
      </c>
      <c r="F6028" s="2">
        <v>212901001</v>
      </c>
      <c r="G6028" s="2" t="s">
        <v>91</v>
      </c>
      <c r="I6028" s="95" t="s">
        <v>7231</v>
      </c>
      <c r="J6028" t="s">
        <v>61</v>
      </c>
      <c r="K6028" t="s">
        <v>62</v>
      </c>
      <c r="M6028">
        <v>114.41</v>
      </c>
      <c r="N6028" s="4">
        <f t="shared" ref="N6028:N6091" si="94">D6028/M6028</f>
        <v>-80</v>
      </c>
      <c r="O6028" t="s">
        <v>83</v>
      </c>
    </row>
    <row r="6029" spans="1:17" x14ac:dyDescent="0.25">
      <c r="A6029" s="22">
        <v>45849</v>
      </c>
      <c r="B6029" s="1">
        <v>415042521</v>
      </c>
      <c r="C6029" t="s">
        <v>4530</v>
      </c>
      <c r="D6029" s="44">
        <v>-6864.6</v>
      </c>
      <c r="E6029" t="s">
        <v>35</v>
      </c>
      <c r="F6029" s="2">
        <v>212901001</v>
      </c>
      <c r="G6029" s="2" t="s">
        <v>91</v>
      </c>
      <c r="I6029" s="95" t="s">
        <v>7231</v>
      </c>
      <c r="J6029" t="s">
        <v>61</v>
      </c>
      <c r="K6029" t="s">
        <v>62</v>
      </c>
      <c r="M6029">
        <v>114.41</v>
      </c>
      <c r="N6029" s="4">
        <f t="shared" si="94"/>
        <v>-60.000000000000007</v>
      </c>
      <c r="O6029" t="s">
        <v>83</v>
      </c>
    </row>
    <row r="6030" spans="1:17" x14ac:dyDescent="0.25">
      <c r="A6030" s="22">
        <v>45849</v>
      </c>
      <c r="B6030" s="1">
        <v>315042520</v>
      </c>
      <c r="C6030" t="s">
        <v>4531</v>
      </c>
      <c r="D6030" s="44">
        <v>-6864.6</v>
      </c>
      <c r="E6030" t="s">
        <v>35</v>
      </c>
      <c r="F6030" s="2">
        <v>212901001</v>
      </c>
      <c r="G6030" s="2" t="s">
        <v>91</v>
      </c>
      <c r="I6030" s="95" t="s">
        <v>7231</v>
      </c>
      <c r="J6030" t="s">
        <v>61</v>
      </c>
      <c r="K6030" t="s">
        <v>62</v>
      </c>
      <c r="M6030">
        <v>114.41</v>
      </c>
      <c r="N6030" s="4">
        <f t="shared" si="94"/>
        <v>-60.000000000000007</v>
      </c>
      <c r="O6030" t="s">
        <v>83</v>
      </c>
    </row>
    <row r="6031" spans="1:17" x14ac:dyDescent="0.25">
      <c r="A6031" s="22">
        <v>45849</v>
      </c>
      <c r="B6031" s="1">
        <v>415042522</v>
      </c>
      <c r="C6031" t="s">
        <v>4532</v>
      </c>
      <c r="D6031" s="44">
        <v>-6864.6</v>
      </c>
      <c r="E6031" t="s">
        <v>35</v>
      </c>
      <c r="F6031" s="2">
        <v>212901001</v>
      </c>
      <c r="G6031" s="2" t="s">
        <v>91</v>
      </c>
      <c r="I6031" s="95" t="s">
        <v>7231</v>
      </c>
      <c r="J6031" t="s">
        <v>61</v>
      </c>
      <c r="K6031" t="s">
        <v>62</v>
      </c>
      <c r="M6031">
        <v>114.41</v>
      </c>
      <c r="N6031" s="4">
        <f t="shared" si="94"/>
        <v>-60.000000000000007</v>
      </c>
      <c r="O6031" t="s">
        <v>83</v>
      </c>
    </row>
    <row r="6032" spans="1:17" x14ac:dyDescent="0.25">
      <c r="A6032" s="22">
        <v>45849</v>
      </c>
      <c r="B6032" s="1">
        <v>415042528</v>
      </c>
      <c r="C6032" t="s">
        <v>4533</v>
      </c>
      <c r="D6032" s="44">
        <v>-6864.6</v>
      </c>
      <c r="E6032" t="s">
        <v>35</v>
      </c>
      <c r="F6032" s="2">
        <v>212901001</v>
      </c>
      <c r="G6032" s="2" t="s">
        <v>91</v>
      </c>
      <c r="I6032" s="95" t="s">
        <v>7231</v>
      </c>
      <c r="J6032" t="s">
        <v>61</v>
      </c>
      <c r="K6032" t="s">
        <v>62</v>
      </c>
      <c r="M6032">
        <v>114.41</v>
      </c>
      <c r="N6032" s="4">
        <f t="shared" si="94"/>
        <v>-60.000000000000007</v>
      </c>
      <c r="O6032" t="s">
        <v>83</v>
      </c>
    </row>
    <row r="6033" spans="1:15" x14ac:dyDescent="0.25">
      <c r="A6033" s="22">
        <v>45849</v>
      </c>
      <c r="B6033" s="1">
        <v>515042532</v>
      </c>
      <c r="C6033" t="s">
        <v>4534</v>
      </c>
      <c r="D6033" s="44">
        <v>-6864.6</v>
      </c>
      <c r="E6033" t="s">
        <v>35</v>
      </c>
      <c r="F6033" s="2">
        <v>212901001</v>
      </c>
      <c r="G6033" s="2" t="s">
        <v>91</v>
      </c>
      <c r="I6033" s="95" t="s">
        <v>7231</v>
      </c>
      <c r="J6033" t="s">
        <v>61</v>
      </c>
      <c r="K6033" t="s">
        <v>62</v>
      </c>
      <c r="M6033">
        <v>114.41</v>
      </c>
      <c r="N6033" s="4">
        <f t="shared" si="94"/>
        <v>-60.000000000000007</v>
      </c>
      <c r="O6033" t="s">
        <v>83</v>
      </c>
    </row>
    <row r="6034" spans="1:15" x14ac:dyDescent="0.25">
      <c r="A6034" s="22">
        <v>45849</v>
      </c>
      <c r="B6034" s="1">
        <v>515042534</v>
      </c>
      <c r="C6034" t="s">
        <v>4535</v>
      </c>
      <c r="D6034" s="44">
        <v>-6864.6</v>
      </c>
      <c r="E6034" t="s">
        <v>35</v>
      </c>
      <c r="F6034" s="2">
        <v>212901001</v>
      </c>
      <c r="G6034" s="2" t="s">
        <v>91</v>
      </c>
      <c r="I6034" s="95" t="s">
        <v>7231</v>
      </c>
      <c r="J6034" t="s">
        <v>61</v>
      </c>
      <c r="K6034" t="s">
        <v>62</v>
      </c>
      <c r="M6034">
        <v>114.41</v>
      </c>
      <c r="N6034" s="4">
        <f t="shared" si="94"/>
        <v>-60.000000000000007</v>
      </c>
      <c r="O6034" t="s">
        <v>83</v>
      </c>
    </row>
    <row r="6035" spans="1:15" x14ac:dyDescent="0.25">
      <c r="A6035" s="22">
        <v>45849</v>
      </c>
      <c r="B6035" s="1">
        <v>515042538</v>
      </c>
      <c r="C6035" t="s">
        <v>4536</v>
      </c>
      <c r="D6035" s="44">
        <v>-6864.6</v>
      </c>
      <c r="E6035" t="s">
        <v>35</v>
      </c>
      <c r="F6035" s="2">
        <v>212901001</v>
      </c>
      <c r="G6035" s="2" t="s">
        <v>91</v>
      </c>
      <c r="I6035" s="95" t="s">
        <v>7231</v>
      </c>
      <c r="J6035" t="s">
        <v>61</v>
      </c>
      <c r="K6035" t="s">
        <v>62</v>
      </c>
      <c r="M6035">
        <v>114.41</v>
      </c>
      <c r="N6035" s="4">
        <f t="shared" si="94"/>
        <v>-60.000000000000007</v>
      </c>
      <c r="O6035" t="s">
        <v>83</v>
      </c>
    </row>
    <row r="6036" spans="1:15" x14ac:dyDescent="0.25">
      <c r="A6036" s="22">
        <v>45849</v>
      </c>
      <c r="B6036" s="1">
        <v>515042537</v>
      </c>
      <c r="C6036" t="s">
        <v>4537</v>
      </c>
      <c r="D6036" s="44">
        <v>-6864.6</v>
      </c>
      <c r="E6036" t="s">
        <v>35</v>
      </c>
      <c r="F6036" s="2">
        <v>212901001</v>
      </c>
      <c r="G6036" s="2" t="s">
        <v>91</v>
      </c>
      <c r="I6036" s="95" t="s">
        <v>7231</v>
      </c>
      <c r="J6036" t="s">
        <v>61</v>
      </c>
      <c r="K6036" t="s">
        <v>62</v>
      </c>
      <c r="M6036">
        <v>114.41</v>
      </c>
      <c r="N6036" s="4">
        <f t="shared" si="94"/>
        <v>-60.000000000000007</v>
      </c>
      <c r="O6036" t="s">
        <v>83</v>
      </c>
    </row>
    <row r="6037" spans="1:15" x14ac:dyDescent="0.25">
      <c r="A6037" s="22">
        <v>45849</v>
      </c>
      <c r="B6037" s="1">
        <v>515042533</v>
      </c>
      <c r="C6037" t="s">
        <v>4538</v>
      </c>
      <c r="D6037" s="44">
        <v>-6864.6</v>
      </c>
      <c r="E6037" t="s">
        <v>35</v>
      </c>
      <c r="F6037" s="2">
        <v>212901001</v>
      </c>
      <c r="G6037" s="2" t="s">
        <v>91</v>
      </c>
      <c r="I6037" s="95" t="s">
        <v>7231</v>
      </c>
      <c r="J6037" t="s">
        <v>61</v>
      </c>
      <c r="K6037" t="s">
        <v>62</v>
      </c>
      <c r="M6037">
        <v>114.41</v>
      </c>
      <c r="N6037" s="4">
        <f t="shared" si="94"/>
        <v>-60.000000000000007</v>
      </c>
      <c r="O6037" t="s">
        <v>83</v>
      </c>
    </row>
    <row r="6038" spans="1:15" x14ac:dyDescent="0.25">
      <c r="A6038" s="22">
        <v>45849</v>
      </c>
      <c r="B6038" s="1">
        <v>615042542</v>
      </c>
      <c r="C6038" t="s">
        <v>4539</v>
      </c>
      <c r="D6038" s="44">
        <v>-9152.7999999999993</v>
      </c>
      <c r="E6038" t="s">
        <v>35</v>
      </c>
      <c r="F6038" s="2">
        <v>212901001</v>
      </c>
      <c r="G6038" s="2" t="s">
        <v>91</v>
      </c>
      <c r="I6038" s="95" t="s">
        <v>7231</v>
      </c>
      <c r="J6038" t="s">
        <v>61</v>
      </c>
      <c r="K6038" t="s">
        <v>62</v>
      </c>
      <c r="M6038">
        <v>114.41</v>
      </c>
      <c r="N6038" s="4">
        <f t="shared" si="94"/>
        <v>-80</v>
      </c>
      <c r="O6038" t="s">
        <v>83</v>
      </c>
    </row>
    <row r="6039" spans="1:15" x14ac:dyDescent="0.25">
      <c r="A6039" s="22">
        <v>45849</v>
      </c>
      <c r="B6039" s="1">
        <v>515042539</v>
      </c>
      <c r="C6039" t="s">
        <v>4540</v>
      </c>
      <c r="D6039" s="44">
        <v>-17161.5</v>
      </c>
      <c r="E6039" t="s">
        <v>35</v>
      </c>
      <c r="F6039" s="2">
        <v>212901001</v>
      </c>
      <c r="G6039" s="2" t="s">
        <v>91</v>
      </c>
      <c r="I6039" s="95" t="s">
        <v>7231</v>
      </c>
      <c r="J6039" t="s">
        <v>61</v>
      </c>
      <c r="K6039" t="s">
        <v>62</v>
      </c>
      <c r="M6039">
        <v>114.41</v>
      </c>
      <c r="N6039" s="4">
        <f t="shared" si="94"/>
        <v>-150</v>
      </c>
      <c r="O6039" t="s">
        <v>83</v>
      </c>
    </row>
    <row r="6040" spans="1:15" x14ac:dyDescent="0.25">
      <c r="A6040" s="22">
        <v>45849</v>
      </c>
      <c r="B6040" s="1">
        <v>515042541</v>
      </c>
      <c r="C6040" t="s">
        <v>4541</v>
      </c>
      <c r="D6040" s="44">
        <v>-9152.7999999999993</v>
      </c>
      <c r="E6040" t="s">
        <v>35</v>
      </c>
      <c r="F6040" s="2">
        <v>212901001</v>
      </c>
      <c r="G6040" s="2" t="s">
        <v>91</v>
      </c>
      <c r="I6040" s="95" t="s">
        <v>7231</v>
      </c>
      <c r="J6040" t="s">
        <v>61</v>
      </c>
      <c r="K6040" t="s">
        <v>62</v>
      </c>
      <c r="M6040">
        <v>114.41</v>
      </c>
      <c r="N6040" s="4">
        <f t="shared" si="94"/>
        <v>-80</v>
      </c>
      <c r="O6040" t="s">
        <v>83</v>
      </c>
    </row>
    <row r="6041" spans="1:15" x14ac:dyDescent="0.25">
      <c r="A6041" s="22">
        <v>45849</v>
      </c>
      <c r="B6041" s="1">
        <v>615042544</v>
      </c>
      <c r="C6041" t="s">
        <v>4542</v>
      </c>
      <c r="D6041" s="44">
        <v>-9152.7999999999993</v>
      </c>
      <c r="E6041" t="s">
        <v>35</v>
      </c>
      <c r="F6041" s="2">
        <v>212901001</v>
      </c>
      <c r="G6041" s="2" t="s">
        <v>91</v>
      </c>
      <c r="I6041" s="95" t="s">
        <v>7231</v>
      </c>
      <c r="J6041" t="s">
        <v>61</v>
      </c>
      <c r="K6041" t="s">
        <v>62</v>
      </c>
      <c r="M6041">
        <v>114.41</v>
      </c>
      <c r="N6041" s="4">
        <f t="shared" si="94"/>
        <v>-80</v>
      </c>
      <c r="O6041" t="s">
        <v>83</v>
      </c>
    </row>
    <row r="6042" spans="1:15" x14ac:dyDescent="0.25">
      <c r="A6042" s="22">
        <v>45849</v>
      </c>
      <c r="B6042" s="1">
        <v>515042540</v>
      </c>
      <c r="C6042" t="s">
        <v>4543</v>
      </c>
      <c r="D6042" s="44">
        <v>-11441</v>
      </c>
      <c r="E6042" t="s">
        <v>35</v>
      </c>
      <c r="F6042" s="2">
        <v>212901001</v>
      </c>
      <c r="G6042" s="2" t="s">
        <v>91</v>
      </c>
      <c r="I6042" s="95" t="s">
        <v>7231</v>
      </c>
      <c r="J6042" t="s">
        <v>61</v>
      </c>
      <c r="K6042" t="s">
        <v>62</v>
      </c>
      <c r="M6042">
        <v>114.41</v>
      </c>
      <c r="N6042" s="4">
        <f t="shared" si="94"/>
        <v>-100</v>
      </c>
      <c r="O6042" t="s">
        <v>83</v>
      </c>
    </row>
    <row r="6043" spans="1:15" x14ac:dyDescent="0.25">
      <c r="A6043" s="22">
        <v>45849</v>
      </c>
      <c r="B6043" s="1">
        <v>615042545</v>
      </c>
      <c r="C6043" t="s">
        <v>4544</v>
      </c>
      <c r="D6043" s="44">
        <v>-9152.7999999999993</v>
      </c>
      <c r="E6043" t="s">
        <v>35</v>
      </c>
      <c r="F6043" s="2">
        <v>212901001</v>
      </c>
      <c r="G6043" s="2" t="s">
        <v>91</v>
      </c>
      <c r="I6043" s="95" t="s">
        <v>7231</v>
      </c>
      <c r="J6043" t="s">
        <v>61</v>
      </c>
      <c r="K6043" t="s">
        <v>62</v>
      </c>
      <c r="M6043">
        <v>114.41</v>
      </c>
      <c r="N6043" s="4">
        <f t="shared" si="94"/>
        <v>-80</v>
      </c>
      <c r="O6043" t="s">
        <v>83</v>
      </c>
    </row>
    <row r="6044" spans="1:15" x14ac:dyDescent="0.25">
      <c r="A6044" s="22">
        <v>45849</v>
      </c>
      <c r="B6044" s="1">
        <v>615042546</v>
      </c>
      <c r="C6044" t="s">
        <v>4545</v>
      </c>
      <c r="D6044" s="44">
        <v>-9152.7999999999993</v>
      </c>
      <c r="E6044" t="s">
        <v>35</v>
      </c>
      <c r="F6044" s="2">
        <v>212901001</v>
      </c>
      <c r="G6044" s="2" t="s">
        <v>91</v>
      </c>
      <c r="I6044" s="95" t="s">
        <v>7231</v>
      </c>
      <c r="J6044" t="s">
        <v>61</v>
      </c>
      <c r="K6044" t="s">
        <v>62</v>
      </c>
      <c r="M6044">
        <v>114.41</v>
      </c>
      <c r="N6044" s="4">
        <f t="shared" si="94"/>
        <v>-80</v>
      </c>
      <c r="O6044" t="s">
        <v>83</v>
      </c>
    </row>
    <row r="6045" spans="1:15" x14ac:dyDescent="0.25">
      <c r="A6045" s="22">
        <v>45849</v>
      </c>
      <c r="B6045" s="1">
        <v>615042547</v>
      </c>
      <c r="C6045" t="s">
        <v>4546</v>
      </c>
      <c r="D6045" s="44">
        <v>-5720.5</v>
      </c>
      <c r="E6045" t="s">
        <v>35</v>
      </c>
      <c r="F6045" s="2">
        <v>212901001</v>
      </c>
      <c r="G6045" s="2" t="s">
        <v>91</v>
      </c>
      <c r="I6045" s="95" t="s">
        <v>7231</v>
      </c>
      <c r="J6045" t="s">
        <v>61</v>
      </c>
      <c r="K6045" t="s">
        <v>62</v>
      </c>
      <c r="M6045">
        <v>114.41</v>
      </c>
      <c r="N6045" s="4">
        <f t="shared" si="94"/>
        <v>-50</v>
      </c>
      <c r="O6045" t="s">
        <v>83</v>
      </c>
    </row>
    <row r="6046" spans="1:15" x14ac:dyDescent="0.25">
      <c r="A6046" s="22">
        <v>45849</v>
      </c>
      <c r="B6046" s="1">
        <v>715042553</v>
      </c>
      <c r="C6046" t="s">
        <v>4547</v>
      </c>
      <c r="D6046" s="44">
        <v>-5720.5</v>
      </c>
      <c r="E6046" t="s">
        <v>35</v>
      </c>
      <c r="F6046" s="2">
        <v>212901001</v>
      </c>
      <c r="G6046" s="2" t="s">
        <v>91</v>
      </c>
      <c r="I6046" s="95" t="s">
        <v>7231</v>
      </c>
      <c r="J6046" t="s">
        <v>61</v>
      </c>
      <c r="K6046" t="s">
        <v>62</v>
      </c>
      <c r="M6046">
        <v>114.41</v>
      </c>
      <c r="N6046" s="4">
        <f t="shared" si="94"/>
        <v>-50</v>
      </c>
      <c r="O6046" t="s">
        <v>83</v>
      </c>
    </row>
    <row r="6047" spans="1:15" x14ac:dyDescent="0.25">
      <c r="A6047" s="22">
        <v>45849</v>
      </c>
      <c r="B6047" s="1">
        <v>615042548</v>
      </c>
      <c r="C6047" t="s">
        <v>4548</v>
      </c>
      <c r="D6047" s="44">
        <v>-4805.22</v>
      </c>
      <c r="E6047" t="s">
        <v>35</v>
      </c>
      <c r="F6047" s="2">
        <v>212901001</v>
      </c>
      <c r="G6047" s="2" t="s">
        <v>91</v>
      </c>
      <c r="I6047" s="95" t="s">
        <v>7231</v>
      </c>
      <c r="J6047" t="s">
        <v>61</v>
      </c>
      <c r="K6047" t="s">
        <v>62</v>
      </c>
      <c r="M6047">
        <v>114.41</v>
      </c>
      <c r="N6047" s="4">
        <f t="shared" si="94"/>
        <v>-42</v>
      </c>
      <c r="O6047" t="s">
        <v>83</v>
      </c>
    </row>
    <row r="6048" spans="1:15" x14ac:dyDescent="0.25">
      <c r="A6048" s="22">
        <v>45849</v>
      </c>
      <c r="B6048" s="1">
        <v>715042552</v>
      </c>
      <c r="C6048" t="s">
        <v>4549</v>
      </c>
      <c r="D6048" s="44">
        <v>-5720.5</v>
      </c>
      <c r="E6048" t="s">
        <v>35</v>
      </c>
      <c r="F6048" s="2">
        <v>212901001</v>
      </c>
      <c r="G6048" s="2" t="s">
        <v>91</v>
      </c>
      <c r="I6048" s="95" t="s">
        <v>7231</v>
      </c>
      <c r="J6048" t="s">
        <v>61</v>
      </c>
      <c r="K6048" t="s">
        <v>62</v>
      </c>
      <c r="M6048">
        <v>114.41</v>
      </c>
      <c r="N6048" s="4">
        <f t="shared" si="94"/>
        <v>-50</v>
      </c>
      <c r="O6048" t="s">
        <v>83</v>
      </c>
    </row>
    <row r="6049" spans="1:15" x14ac:dyDescent="0.25">
      <c r="A6049" s="22">
        <v>45849</v>
      </c>
      <c r="B6049" s="1">
        <v>715042555</v>
      </c>
      <c r="C6049" t="s">
        <v>4550</v>
      </c>
      <c r="D6049" s="44">
        <v>-4576.3999999999996</v>
      </c>
      <c r="E6049" t="s">
        <v>35</v>
      </c>
      <c r="F6049" s="2">
        <v>212901001</v>
      </c>
      <c r="G6049" s="2" t="s">
        <v>91</v>
      </c>
      <c r="I6049" s="95" t="s">
        <v>7231</v>
      </c>
      <c r="J6049" t="s">
        <v>61</v>
      </c>
      <c r="K6049" t="s">
        <v>62</v>
      </c>
      <c r="M6049">
        <v>114.41</v>
      </c>
      <c r="N6049" s="4">
        <f t="shared" si="94"/>
        <v>-40</v>
      </c>
      <c r="O6049" t="s">
        <v>83</v>
      </c>
    </row>
    <row r="6050" spans="1:15" x14ac:dyDescent="0.25">
      <c r="A6050" s="22">
        <v>45849</v>
      </c>
      <c r="B6050" s="1">
        <v>715042557</v>
      </c>
      <c r="C6050" t="s">
        <v>4551</v>
      </c>
      <c r="D6050" s="44">
        <v>-4576.3999999999996</v>
      </c>
      <c r="E6050" t="s">
        <v>35</v>
      </c>
      <c r="F6050" s="2">
        <v>212901001</v>
      </c>
      <c r="G6050" s="2" t="s">
        <v>91</v>
      </c>
      <c r="I6050" s="95" t="s">
        <v>7231</v>
      </c>
      <c r="J6050" t="s">
        <v>61</v>
      </c>
      <c r="K6050" t="s">
        <v>62</v>
      </c>
      <c r="M6050">
        <v>114.41</v>
      </c>
      <c r="N6050" s="4">
        <f t="shared" si="94"/>
        <v>-40</v>
      </c>
      <c r="O6050" t="s">
        <v>83</v>
      </c>
    </row>
    <row r="6051" spans="1:15" x14ac:dyDescent="0.25">
      <c r="A6051" s="22">
        <v>45849</v>
      </c>
      <c r="B6051" s="1">
        <v>715042556</v>
      </c>
      <c r="C6051" t="s">
        <v>4552</v>
      </c>
      <c r="D6051" s="44">
        <v>-4576.3999999999996</v>
      </c>
      <c r="E6051" t="s">
        <v>35</v>
      </c>
      <c r="F6051" s="2">
        <v>212901001</v>
      </c>
      <c r="G6051" s="2" t="s">
        <v>91</v>
      </c>
      <c r="I6051" s="95" t="s">
        <v>7231</v>
      </c>
      <c r="J6051" t="s">
        <v>61</v>
      </c>
      <c r="K6051" t="s">
        <v>62</v>
      </c>
      <c r="M6051">
        <v>114.41</v>
      </c>
      <c r="N6051" s="4">
        <f t="shared" si="94"/>
        <v>-40</v>
      </c>
      <c r="O6051" t="s">
        <v>83</v>
      </c>
    </row>
    <row r="6052" spans="1:15" x14ac:dyDescent="0.25">
      <c r="A6052" s="22">
        <v>45849</v>
      </c>
      <c r="B6052" s="1">
        <v>415042530</v>
      </c>
      <c r="C6052" t="s">
        <v>4553</v>
      </c>
      <c r="D6052" s="44">
        <v>-6864.6</v>
      </c>
      <c r="E6052" t="s">
        <v>35</v>
      </c>
      <c r="F6052" s="2">
        <v>212901001</v>
      </c>
      <c r="G6052" s="2" t="s">
        <v>91</v>
      </c>
      <c r="I6052" s="95" t="s">
        <v>7231</v>
      </c>
      <c r="J6052" t="s">
        <v>61</v>
      </c>
      <c r="K6052" t="s">
        <v>62</v>
      </c>
      <c r="M6052">
        <v>114.41</v>
      </c>
      <c r="N6052" s="4">
        <f t="shared" si="94"/>
        <v>-60.000000000000007</v>
      </c>
      <c r="O6052" t="s">
        <v>83</v>
      </c>
    </row>
    <row r="6053" spans="1:15" x14ac:dyDescent="0.25">
      <c r="A6053" s="22">
        <v>45849</v>
      </c>
      <c r="B6053" s="1">
        <v>415042531</v>
      </c>
      <c r="C6053" t="s">
        <v>4554</v>
      </c>
      <c r="D6053" s="44">
        <v>-6864.6</v>
      </c>
      <c r="E6053" t="s">
        <v>35</v>
      </c>
      <c r="F6053" s="2">
        <v>212901001</v>
      </c>
      <c r="G6053" s="2" t="s">
        <v>91</v>
      </c>
      <c r="I6053" s="95" t="s">
        <v>7231</v>
      </c>
      <c r="J6053" t="s">
        <v>61</v>
      </c>
      <c r="K6053" t="s">
        <v>62</v>
      </c>
      <c r="M6053">
        <v>114.41</v>
      </c>
      <c r="N6053" s="4">
        <f t="shared" si="94"/>
        <v>-60.000000000000007</v>
      </c>
      <c r="O6053" t="s">
        <v>83</v>
      </c>
    </row>
    <row r="6054" spans="1:15" x14ac:dyDescent="0.25">
      <c r="A6054" s="22">
        <v>45849</v>
      </c>
      <c r="B6054" s="1">
        <v>815042562</v>
      </c>
      <c r="C6054" t="s">
        <v>4555</v>
      </c>
      <c r="D6054" s="44">
        <v>-11441</v>
      </c>
      <c r="E6054" t="s">
        <v>35</v>
      </c>
      <c r="F6054" s="2">
        <v>212901001</v>
      </c>
      <c r="G6054" s="2" t="s">
        <v>91</v>
      </c>
      <c r="I6054" s="95" t="s">
        <v>7231</v>
      </c>
      <c r="J6054" t="s">
        <v>61</v>
      </c>
      <c r="K6054" t="s">
        <v>62</v>
      </c>
      <c r="M6054">
        <v>114.41</v>
      </c>
      <c r="N6054" s="4">
        <f t="shared" si="94"/>
        <v>-100</v>
      </c>
      <c r="O6054" t="s">
        <v>83</v>
      </c>
    </row>
    <row r="6055" spans="1:15" x14ac:dyDescent="0.25">
      <c r="A6055" s="22">
        <v>45849</v>
      </c>
      <c r="B6055" s="1">
        <v>815042563</v>
      </c>
      <c r="C6055" t="s">
        <v>4556</v>
      </c>
      <c r="D6055" s="44">
        <v>-17161.5</v>
      </c>
      <c r="E6055" t="s">
        <v>35</v>
      </c>
      <c r="F6055" s="2">
        <v>212901001</v>
      </c>
      <c r="G6055" s="2" t="s">
        <v>91</v>
      </c>
      <c r="I6055" s="95" t="s">
        <v>7231</v>
      </c>
      <c r="J6055" t="s">
        <v>61</v>
      </c>
      <c r="K6055" t="s">
        <v>62</v>
      </c>
      <c r="M6055">
        <v>114.41</v>
      </c>
      <c r="N6055" s="4">
        <f t="shared" si="94"/>
        <v>-150</v>
      </c>
      <c r="O6055" t="s">
        <v>83</v>
      </c>
    </row>
    <row r="6056" spans="1:15" x14ac:dyDescent="0.25">
      <c r="A6056" s="22">
        <v>45849</v>
      </c>
      <c r="B6056" s="1">
        <v>815042566</v>
      </c>
      <c r="C6056" t="s">
        <v>4557</v>
      </c>
      <c r="D6056" s="44">
        <v>-11441</v>
      </c>
      <c r="E6056" t="s">
        <v>35</v>
      </c>
      <c r="F6056" s="2">
        <v>212901001</v>
      </c>
      <c r="G6056" s="2" t="s">
        <v>91</v>
      </c>
      <c r="I6056" s="95" t="s">
        <v>7231</v>
      </c>
      <c r="J6056" t="s">
        <v>61</v>
      </c>
      <c r="K6056" t="s">
        <v>62</v>
      </c>
      <c r="M6056">
        <v>114.41</v>
      </c>
      <c r="N6056" s="4">
        <f t="shared" si="94"/>
        <v>-100</v>
      </c>
      <c r="O6056" t="s">
        <v>83</v>
      </c>
    </row>
    <row r="6057" spans="1:15" x14ac:dyDescent="0.25">
      <c r="A6057" s="22">
        <v>45849</v>
      </c>
      <c r="B6057" s="1">
        <v>815042569</v>
      </c>
      <c r="C6057" t="s">
        <v>4558</v>
      </c>
      <c r="D6057" s="44">
        <v>-8008.7</v>
      </c>
      <c r="E6057" t="s">
        <v>35</v>
      </c>
      <c r="F6057" s="2">
        <v>212901001</v>
      </c>
      <c r="G6057" s="2" t="s">
        <v>91</v>
      </c>
      <c r="I6057" s="95" t="s">
        <v>7231</v>
      </c>
      <c r="J6057" t="s">
        <v>61</v>
      </c>
      <c r="K6057" t="s">
        <v>62</v>
      </c>
      <c r="M6057">
        <v>114.41</v>
      </c>
      <c r="N6057" s="4">
        <f t="shared" si="94"/>
        <v>-70</v>
      </c>
      <c r="O6057" t="s">
        <v>83</v>
      </c>
    </row>
    <row r="6058" spans="1:15" x14ac:dyDescent="0.25">
      <c r="A6058" s="22">
        <v>45849</v>
      </c>
      <c r="B6058" s="1">
        <v>915042572</v>
      </c>
      <c r="C6058" t="s">
        <v>4559</v>
      </c>
      <c r="D6058" s="44">
        <v>-8008.7</v>
      </c>
      <c r="E6058" t="s">
        <v>35</v>
      </c>
      <c r="F6058" s="2">
        <v>212901001</v>
      </c>
      <c r="G6058" s="2" t="s">
        <v>91</v>
      </c>
      <c r="I6058" s="95" t="s">
        <v>7231</v>
      </c>
      <c r="J6058" t="s">
        <v>61</v>
      </c>
      <c r="K6058" t="s">
        <v>62</v>
      </c>
      <c r="M6058">
        <v>114.41</v>
      </c>
      <c r="N6058" s="4">
        <f t="shared" si="94"/>
        <v>-70</v>
      </c>
      <c r="O6058" t="s">
        <v>83</v>
      </c>
    </row>
    <row r="6059" spans="1:15" x14ac:dyDescent="0.25">
      <c r="A6059" s="22">
        <v>45849</v>
      </c>
      <c r="B6059" s="1">
        <v>915042574</v>
      </c>
      <c r="C6059" t="s">
        <v>4560</v>
      </c>
      <c r="D6059" s="44">
        <v>-5720.5</v>
      </c>
      <c r="E6059" t="s">
        <v>35</v>
      </c>
      <c r="F6059" s="2">
        <v>212901001</v>
      </c>
      <c r="G6059" s="2" t="s">
        <v>91</v>
      </c>
      <c r="I6059" s="95" t="s">
        <v>7231</v>
      </c>
      <c r="J6059" t="s">
        <v>61</v>
      </c>
      <c r="K6059" t="s">
        <v>62</v>
      </c>
      <c r="M6059">
        <v>114.41</v>
      </c>
      <c r="N6059" s="4">
        <f t="shared" si="94"/>
        <v>-50</v>
      </c>
      <c r="O6059" t="s">
        <v>83</v>
      </c>
    </row>
    <row r="6060" spans="1:15" x14ac:dyDescent="0.25">
      <c r="A6060" s="22">
        <v>45849</v>
      </c>
      <c r="B6060" s="1">
        <v>915042575</v>
      </c>
      <c r="C6060" t="s">
        <v>4561</v>
      </c>
      <c r="D6060" s="44">
        <v>-5720.5</v>
      </c>
      <c r="E6060" t="s">
        <v>35</v>
      </c>
      <c r="F6060" s="2">
        <v>212901001</v>
      </c>
      <c r="G6060" s="2" t="s">
        <v>91</v>
      </c>
      <c r="I6060" s="95" t="s">
        <v>7231</v>
      </c>
      <c r="J6060" t="s">
        <v>61</v>
      </c>
      <c r="K6060" t="s">
        <v>62</v>
      </c>
      <c r="M6060">
        <v>114.41</v>
      </c>
      <c r="N6060" s="4">
        <f t="shared" si="94"/>
        <v>-50</v>
      </c>
      <c r="O6060" t="s">
        <v>83</v>
      </c>
    </row>
    <row r="6061" spans="1:15" x14ac:dyDescent="0.25">
      <c r="A6061" s="22">
        <v>45849</v>
      </c>
      <c r="B6061" s="1">
        <v>915042578</v>
      </c>
      <c r="C6061" t="s">
        <v>4562</v>
      </c>
      <c r="D6061" s="44">
        <v>-5720.5</v>
      </c>
      <c r="E6061" t="s">
        <v>35</v>
      </c>
      <c r="F6061" s="2">
        <v>212901001</v>
      </c>
      <c r="G6061" s="2" t="s">
        <v>91</v>
      </c>
      <c r="I6061" s="95" t="s">
        <v>7231</v>
      </c>
      <c r="J6061" t="s">
        <v>61</v>
      </c>
      <c r="K6061" t="s">
        <v>62</v>
      </c>
      <c r="M6061">
        <v>114.41</v>
      </c>
      <c r="N6061" s="4">
        <f t="shared" si="94"/>
        <v>-50</v>
      </c>
      <c r="O6061" t="s">
        <v>83</v>
      </c>
    </row>
    <row r="6062" spans="1:15" x14ac:dyDescent="0.25">
      <c r="A6062" s="22">
        <v>45849</v>
      </c>
      <c r="B6062" s="1">
        <v>915042576</v>
      </c>
      <c r="C6062" t="s">
        <v>4563</v>
      </c>
      <c r="D6062" s="44">
        <v>-5720.5</v>
      </c>
      <c r="E6062" t="s">
        <v>35</v>
      </c>
      <c r="F6062" s="2">
        <v>212901001</v>
      </c>
      <c r="G6062" s="2" t="s">
        <v>91</v>
      </c>
      <c r="I6062" s="95" t="s">
        <v>7231</v>
      </c>
      <c r="J6062" t="s">
        <v>61</v>
      </c>
      <c r="K6062" t="s">
        <v>62</v>
      </c>
      <c r="M6062">
        <v>114.41</v>
      </c>
      <c r="N6062" s="4">
        <f t="shared" si="94"/>
        <v>-50</v>
      </c>
      <c r="O6062" t="s">
        <v>83</v>
      </c>
    </row>
    <row r="6063" spans="1:15" x14ac:dyDescent="0.25">
      <c r="A6063" s="22">
        <v>45849</v>
      </c>
      <c r="B6063" s="1">
        <v>15042582</v>
      </c>
      <c r="C6063" t="s">
        <v>4564</v>
      </c>
      <c r="D6063" s="44">
        <v>-5720.5</v>
      </c>
      <c r="E6063" t="s">
        <v>35</v>
      </c>
      <c r="F6063" s="2">
        <v>212901001</v>
      </c>
      <c r="G6063" s="2" t="s">
        <v>91</v>
      </c>
      <c r="I6063" s="95" t="s">
        <v>7231</v>
      </c>
      <c r="J6063" t="s">
        <v>61</v>
      </c>
      <c r="K6063" t="s">
        <v>62</v>
      </c>
      <c r="M6063">
        <v>114.41</v>
      </c>
      <c r="N6063" s="4">
        <f t="shared" si="94"/>
        <v>-50</v>
      </c>
      <c r="O6063" t="s">
        <v>83</v>
      </c>
    </row>
    <row r="6064" spans="1:15" x14ac:dyDescent="0.25">
      <c r="A6064" s="22">
        <v>45849</v>
      </c>
      <c r="B6064" s="1">
        <v>15042580</v>
      </c>
      <c r="C6064" t="s">
        <v>4565</v>
      </c>
      <c r="D6064" s="44">
        <v>-5720.5</v>
      </c>
      <c r="E6064" t="s">
        <v>35</v>
      </c>
      <c r="F6064" s="2">
        <v>212901001</v>
      </c>
      <c r="G6064" s="2" t="s">
        <v>91</v>
      </c>
      <c r="I6064" s="95" t="s">
        <v>7231</v>
      </c>
      <c r="J6064" t="s">
        <v>61</v>
      </c>
      <c r="K6064" t="s">
        <v>62</v>
      </c>
      <c r="M6064">
        <v>114.41</v>
      </c>
      <c r="N6064" s="4">
        <f t="shared" si="94"/>
        <v>-50</v>
      </c>
      <c r="O6064" t="s">
        <v>83</v>
      </c>
    </row>
    <row r="6065" spans="1:15" x14ac:dyDescent="0.25">
      <c r="A6065" s="22">
        <v>45849</v>
      </c>
      <c r="B6065" s="1">
        <v>15042585</v>
      </c>
      <c r="C6065" t="s">
        <v>4566</v>
      </c>
      <c r="D6065" s="44">
        <v>-5720.5</v>
      </c>
      <c r="E6065" t="s">
        <v>35</v>
      </c>
      <c r="F6065" s="2">
        <v>212901001</v>
      </c>
      <c r="G6065" s="2" t="s">
        <v>91</v>
      </c>
      <c r="I6065" s="95" t="s">
        <v>7231</v>
      </c>
      <c r="J6065" t="s">
        <v>61</v>
      </c>
      <c r="K6065" t="s">
        <v>62</v>
      </c>
      <c r="M6065">
        <v>114.41</v>
      </c>
      <c r="N6065" s="4">
        <f t="shared" si="94"/>
        <v>-50</v>
      </c>
      <c r="O6065" t="s">
        <v>83</v>
      </c>
    </row>
    <row r="6066" spans="1:15" x14ac:dyDescent="0.25">
      <c r="A6066" s="22">
        <v>45849</v>
      </c>
      <c r="B6066" s="1">
        <v>15042584</v>
      </c>
      <c r="C6066" t="s">
        <v>4567</v>
      </c>
      <c r="D6066" s="44">
        <v>-5720.5</v>
      </c>
      <c r="E6066" t="s">
        <v>35</v>
      </c>
      <c r="F6066" s="2">
        <v>212901001</v>
      </c>
      <c r="G6066" s="2" t="s">
        <v>91</v>
      </c>
      <c r="I6066" s="95" t="s">
        <v>7231</v>
      </c>
      <c r="J6066" t="s">
        <v>61</v>
      </c>
      <c r="K6066" t="s">
        <v>62</v>
      </c>
      <c r="M6066">
        <v>114.41</v>
      </c>
      <c r="N6066" s="4">
        <f t="shared" si="94"/>
        <v>-50</v>
      </c>
      <c r="O6066" t="s">
        <v>83</v>
      </c>
    </row>
    <row r="6067" spans="1:15" x14ac:dyDescent="0.25">
      <c r="A6067" s="22">
        <v>45849</v>
      </c>
      <c r="B6067" s="1">
        <v>115042589</v>
      </c>
      <c r="C6067" t="s">
        <v>4568</v>
      </c>
      <c r="D6067" s="44">
        <v>-2288.1999999999998</v>
      </c>
      <c r="E6067" t="s">
        <v>35</v>
      </c>
      <c r="F6067" s="2">
        <v>212901001</v>
      </c>
      <c r="G6067" s="2" t="s">
        <v>91</v>
      </c>
      <c r="I6067" s="95" t="s">
        <v>7231</v>
      </c>
      <c r="J6067" t="s">
        <v>61</v>
      </c>
      <c r="K6067" t="s">
        <v>62</v>
      </c>
      <c r="M6067">
        <v>114.41</v>
      </c>
      <c r="N6067" s="4">
        <f t="shared" si="94"/>
        <v>-20</v>
      </c>
      <c r="O6067" t="s">
        <v>83</v>
      </c>
    </row>
    <row r="6068" spans="1:15" x14ac:dyDescent="0.25">
      <c r="A6068" s="22">
        <v>45849</v>
      </c>
      <c r="B6068" s="1">
        <v>15042586</v>
      </c>
      <c r="C6068" t="s">
        <v>4569</v>
      </c>
      <c r="D6068" s="44">
        <v>-5720.5</v>
      </c>
      <c r="E6068" t="s">
        <v>35</v>
      </c>
      <c r="F6068" s="2">
        <v>212901001</v>
      </c>
      <c r="G6068" s="2" t="s">
        <v>91</v>
      </c>
      <c r="I6068" s="95" t="s">
        <v>7231</v>
      </c>
      <c r="J6068" t="s">
        <v>61</v>
      </c>
      <c r="K6068" t="s">
        <v>62</v>
      </c>
      <c r="M6068">
        <v>114.41</v>
      </c>
      <c r="N6068" s="4">
        <f t="shared" si="94"/>
        <v>-50</v>
      </c>
      <c r="O6068" t="s">
        <v>83</v>
      </c>
    </row>
    <row r="6069" spans="1:15" x14ac:dyDescent="0.25">
      <c r="A6069" s="22">
        <v>45849</v>
      </c>
      <c r="B6069" s="1">
        <v>115042592</v>
      </c>
      <c r="C6069" t="s">
        <v>4570</v>
      </c>
      <c r="D6069" s="44">
        <v>-22882</v>
      </c>
      <c r="E6069" t="s">
        <v>35</v>
      </c>
      <c r="F6069" s="2">
        <v>212901001</v>
      </c>
      <c r="G6069" s="2" t="s">
        <v>91</v>
      </c>
      <c r="I6069" s="95" t="s">
        <v>7231</v>
      </c>
      <c r="J6069" t="s">
        <v>61</v>
      </c>
      <c r="K6069" t="s">
        <v>62</v>
      </c>
      <c r="M6069">
        <v>114.41</v>
      </c>
      <c r="N6069" s="4">
        <f t="shared" si="94"/>
        <v>-200</v>
      </c>
      <c r="O6069" t="s">
        <v>83</v>
      </c>
    </row>
    <row r="6070" spans="1:15" x14ac:dyDescent="0.25">
      <c r="A6070" s="22">
        <v>45849</v>
      </c>
      <c r="B6070" s="1">
        <v>115042590</v>
      </c>
      <c r="C6070" t="s">
        <v>4571</v>
      </c>
      <c r="D6070" s="44">
        <v>-2288.1999999999998</v>
      </c>
      <c r="E6070" t="s">
        <v>35</v>
      </c>
      <c r="F6070" s="2">
        <v>212901001</v>
      </c>
      <c r="G6070" s="2" t="s">
        <v>91</v>
      </c>
      <c r="I6070" s="95" t="s">
        <v>7231</v>
      </c>
      <c r="J6070" t="s">
        <v>61</v>
      </c>
      <c r="K6070" t="s">
        <v>62</v>
      </c>
      <c r="M6070">
        <v>114.41</v>
      </c>
      <c r="N6070" s="4">
        <f t="shared" si="94"/>
        <v>-20</v>
      </c>
      <c r="O6070" t="s">
        <v>83</v>
      </c>
    </row>
    <row r="6071" spans="1:15" x14ac:dyDescent="0.25">
      <c r="A6071" s="22">
        <v>45849</v>
      </c>
      <c r="B6071" s="1">
        <v>115042591</v>
      </c>
      <c r="C6071" t="s">
        <v>4572</v>
      </c>
      <c r="D6071" s="44">
        <v>-11441</v>
      </c>
      <c r="E6071" t="s">
        <v>35</v>
      </c>
      <c r="F6071" s="2">
        <v>212901001</v>
      </c>
      <c r="G6071" s="2" t="s">
        <v>91</v>
      </c>
      <c r="I6071" s="95" t="s">
        <v>7231</v>
      </c>
      <c r="J6071" t="s">
        <v>61</v>
      </c>
      <c r="K6071" t="s">
        <v>62</v>
      </c>
      <c r="M6071">
        <v>114.41</v>
      </c>
      <c r="N6071" s="4">
        <f t="shared" si="94"/>
        <v>-100</v>
      </c>
      <c r="O6071" t="s">
        <v>83</v>
      </c>
    </row>
    <row r="6072" spans="1:15" x14ac:dyDescent="0.25">
      <c r="A6072" s="22">
        <v>45849</v>
      </c>
      <c r="B6072" s="1">
        <v>115042594</v>
      </c>
      <c r="C6072" t="s">
        <v>4573</v>
      </c>
      <c r="D6072" s="44">
        <v>-3432.3</v>
      </c>
      <c r="E6072" t="s">
        <v>35</v>
      </c>
      <c r="F6072" s="2">
        <v>212901001</v>
      </c>
      <c r="G6072" s="2" t="s">
        <v>91</v>
      </c>
      <c r="I6072" s="95" t="s">
        <v>7231</v>
      </c>
      <c r="J6072" t="s">
        <v>61</v>
      </c>
      <c r="K6072" t="s">
        <v>62</v>
      </c>
      <c r="M6072">
        <v>114.41</v>
      </c>
      <c r="N6072" s="4">
        <f t="shared" si="94"/>
        <v>-30.000000000000004</v>
      </c>
      <c r="O6072" t="s">
        <v>83</v>
      </c>
    </row>
    <row r="6073" spans="1:15" x14ac:dyDescent="0.25">
      <c r="A6073" s="22">
        <v>45849</v>
      </c>
      <c r="B6073" s="1">
        <v>115042593</v>
      </c>
      <c r="C6073" t="s">
        <v>4574</v>
      </c>
      <c r="D6073" s="44">
        <v>-13843.61</v>
      </c>
      <c r="E6073" t="s">
        <v>35</v>
      </c>
      <c r="F6073" s="2">
        <v>212901001</v>
      </c>
      <c r="G6073" s="2" t="s">
        <v>91</v>
      </c>
      <c r="I6073" s="95" t="s">
        <v>7231</v>
      </c>
      <c r="J6073" t="s">
        <v>61</v>
      </c>
      <c r="K6073" t="s">
        <v>62</v>
      </c>
      <c r="M6073">
        <v>114.41</v>
      </c>
      <c r="N6073" s="4">
        <f t="shared" si="94"/>
        <v>-121.00000000000001</v>
      </c>
      <c r="O6073" t="s">
        <v>83</v>
      </c>
    </row>
    <row r="6074" spans="1:15" x14ac:dyDescent="0.25">
      <c r="A6074" s="22">
        <v>45849</v>
      </c>
      <c r="B6074" s="1">
        <v>115042595</v>
      </c>
      <c r="C6074" t="s">
        <v>4575</v>
      </c>
      <c r="D6074" s="44">
        <v>-4576.3999999999996</v>
      </c>
      <c r="E6074" t="s">
        <v>35</v>
      </c>
      <c r="F6074" s="2">
        <v>212901001</v>
      </c>
      <c r="G6074" s="2" t="s">
        <v>91</v>
      </c>
      <c r="I6074" s="95" t="s">
        <v>7231</v>
      </c>
      <c r="J6074" t="s">
        <v>61</v>
      </c>
      <c r="K6074" t="s">
        <v>62</v>
      </c>
      <c r="M6074">
        <v>114.41</v>
      </c>
      <c r="N6074" s="4">
        <f t="shared" si="94"/>
        <v>-40</v>
      </c>
      <c r="O6074" t="s">
        <v>83</v>
      </c>
    </row>
    <row r="6075" spans="1:15" x14ac:dyDescent="0.25">
      <c r="A6075" s="22">
        <v>45849</v>
      </c>
      <c r="B6075" s="1">
        <v>815042568</v>
      </c>
      <c r="C6075" t="s">
        <v>4567</v>
      </c>
      <c r="D6075" s="44">
        <v>-8008.7</v>
      </c>
      <c r="E6075" t="s">
        <v>35</v>
      </c>
      <c r="F6075" s="2">
        <v>212901001</v>
      </c>
      <c r="G6075" s="2" t="s">
        <v>91</v>
      </c>
      <c r="I6075" s="95" t="s">
        <v>7231</v>
      </c>
      <c r="J6075" t="s">
        <v>61</v>
      </c>
      <c r="K6075" t="s">
        <v>62</v>
      </c>
      <c r="M6075">
        <v>114.41</v>
      </c>
      <c r="N6075" s="4">
        <f t="shared" si="94"/>
        <v>-70</v>
      </c>
      <c r="O6075" t="s">
        <v>83</v>
      </c>
    </row>
    <row r="6076" spans="1:15" x14ac:dyDescent="0.25">
      <c r="A6076" s="22">
        <v>45849</v>
      </c>
      <c r="B6076" s="1">
        <v>815042565</v>
      </c>
      <c r="C6076" t="s">
        <v>4576</v>
      </c>
      <c r="D6076" s="44">
        <v>-9152.7999999999993</v>
      </c>
      <c r="E6076" t="s">
        <v>35</v>
      </c>
      <c r="F6076" s="2">
        <v>212901001</v>
      </c>
      <c r="G6076" s="2" t="s">
        <v>91</v>
      </c>
      <c r="I6076" s="95" t="s">
        <v>7231</v>
      </c>
      <c r="J6076" t="s">
        <v>61</v>
      </c>
      <c r="K6076" t="s">
        <v>62</v>
      </c>
      <c r="M6076">
        <v>114.41</v>
      </c>
      <c r="N6076" s="4">
        <f t="shared" si="94"/>
        <v>-80</v>
      </c>
      <c r="O6076" t="s">
        <v>83</v>
      </c>
    </row>
    <row r="6077" spans="1:15" x14ac:dyDescent="0.25">
      <c r="A6077" s="22">
        <v>45849</v>
      </c>
      <c r="B6077" s="1">
        <v>715042559</v>
      </c>
      <c r="C6077" t="s">
        <v>4577</v>
      </c>
      <c r="D6077" s="44">
        <v>-4576.3999999999996</v>
      </c>
      <c r="E6077" t="s">
        <v>35</v>
      </c>
      <c r="F6077" s="2">
        <v>212901001</v>
      </c>
      <c r="G6077" s="2" t="s">
        <v>91</v>
      </c>
      <c r="I6077" s="95" t="s">
        <v>7231</v>
      </c>
      <c r="J6077" t="s">
        <v>61</v>
      </c>
      <c r="K6077" t="s">
        <v>62</v>
      </c>
      <c r="M6077">
        <v>114.41</v>
      </c>
      <c r="N6077" s="4">
        <f t="shared" si="94"/>
        <v>-40</v>
      </c>
      <c r="O6077" t="s">
        <v>83</v>
      </c>
    </row>
    <row r="6078" spans="1:15" x14ac:dyDescent="0.25">
      <c r="A6078" s="22">
        <v>45849</v>
      </c>
      <c r="B6078" s="1">
        <v>415042526</v>
      </c>
      <c r="C6078" t="s">
        <v>4578</v>
      </c>
      <c r="D6078" s="44">
        <v>-6864.6</v>
      </c>
      <c r="E6078" t="s">
        <v>35</v>
      </c>
      <c r="F6078" s="2">
        <v>212901001</v>
      </c>
      <c r="G6078" s="2" t="s">
        <v>91</v>
      </c>
      <c r="I6078" s="95" t="s">
        <v>7231</v>
      </c>
      <c r="J6078" t="s">
        <v>61</v>
      </c>
      <c r="K6078" t="s">
        <v>62</v>
      </c>
      <c r="M6078">
        <v>114.41</v>
      </c>
      <c r="N6078" s="4">
        <f t="shared" si="94"/>
        <v>-60.000000000000007</v>
      </c>
      <c r="O6078" t="s">
        <v>83</v>
      </c>
    </row>
    <row r="6079" spans="1:15" x14ac:dyDescent="0.25">
      <c r="A6079" s="22">
        <v>45849</v>
      </c>
      <c r="B6079" s="1">
        <v>15042587</v>
      </c>
      <c r="C6079" t="s">
        <v>4579</v>
      </c>
      <c r="D6079" s="44">
        <v>-2288.1999999999998</v>
      </c>
      <c r="E6079" t="s">
        <v>35</v>
      </c>
      <c r="F6079" s="2">
        <v>212901001</v>
      </c>
      <c r="G6079" s="2" t="s">
        <v>91</v>
      </c>
      <c r="I6079" s="95" t="s">
        <v>7231</v>
      </c>
      <c r="J6079" t="s">
        <v>61</v>
      </c>
      <c r="K6079" t="s">
        <v>62</v>
      </c>
      <c r="M6079">
        <v>114.41</v>
      </c>
      <c r="N6079" s="4">
        <f t="shared" si="94"/>
        <v>-20</v>
      </c>
      <c r="O6079" t="s">
        <v>83</v>
      </c>
    </row>
    <row r="6080" spans="1:15" x14ac:dyDescent="0.25">
      <c r="A6080" s="22">
        <v>45849</v>
      </c>
      <c r="B6080" s="1">
        <v>15042581</v>
      </c>
      <c r="C6080" t="s">
        <v>4580</v>
      </c>
      <c r="D6080" s="44">
        <v>-5720.5</v>
      </c>
      <c r="E6080" t="s">
        <v>35</v>
      </c>
      <c r="F6080" s="2">
        <v>212901001</v>
      </c>
      <c r="G6080" s="2" t="s">
        <v>91</v>
      </c>
      <c r="I6080" s="95" t="s">
        <v>7231</v>
      </c>
      <c r="J6080" t="s">
        <v>61</v>
      </c>
      <c r="K6080" t="s">
        <v>62</v>
      </c>
      <c r="M6080">
        <v>114.41</v>
      </c>
      <c r="N6080" s="4">
        <f t="shared" si="94"/>
        <v>-50</v>
      </c>
      <c r="O6080" t="s">
        <v>83</v>
      </c>
    </row>
    <row r="6081" spans="1:17" x14ac:dyDescent="0.25">
      <c r="A6081" s="22">
        <v>45849</v>
      </c>
      <c r="B6081" s="1">
        <v>815042561</v>
      </c>
      <c r="C6081" t="s">
        <v>4581</v>
      </c>
      <c r="D6081" s="44">
        <v>-11441</v>
      </c>
      <c r="E6081" t="s">
        <v>35</v>
      </c>
      <c r="F6081" s="2">
        <v>212901001</v>
      </c>
      <c r="G6081" s="2" t="s">
        <v>91</v>
      </c>
      <c r="I6081" s="95" t="s">
        <v>7231</v>
      </c>
      <c r="J6081" t="s">
        <v>61</v>
      </c>
      <c r="K6081" t="s">
        <v>62</v>
      </c>
      <c r="M6081">
        <v>114.41</v>
      </c>
      <c r="N6081" s="4">
        <f t="shared" si="94"/>
        <v>-100</v>
      </c>
      <c r="O6081" t="s">
        <v>83</v>
      </c>
    </row>
    <row r="6082" spans="1:17" x14ac:dyDescent="0.25">
      <c r="A6082" s="22">
        <v>45849</v>
      </c>
      <c r="B6082" s="1">
        <v>415042524</v>
      </c>
      <c r="C6082" t="s">
        <v>4582</v>
      </c>
      <c r="D6082" s="44">
        <v>-6864.6</v>
      </c>
      <c r="E6082" t="s">
        <v>35</v>
      </c>
      <c r="F6082" s="2">
        <v>212901001</v>
      </c>
      <c r="G6082" s="2" t="s">
        <v>91</v>
      </c>
      <c r="I6082" s="95" t="s">
        <v>7231</v>
      </c>
      <c r="J6082" t="s">
        <v>61</v>
      </c>
      <c r="K6082" t="s">
        <v>62</v>
      </c>
      <c r="M6082">
        <v>114.41</v>
      </c>
      <c r="N6082" s="4">
        <f t="shared" si="94"/>
        <v>-60.000000000000007</v>
      </c>
      <c r="O6082" t="s">
        <v>83</v>
      </c>
    </row>
    <row r="6083" spans="1:17" x14ac:dyDescent="0.25">
      <c r="A6083" s="22">
        <v>45849</v>
      </c>
      <c r="B6083" s="1">
        <v>915042577</v>
      </c>
      <c r="C6083" t="s">
        <v>4583</v>
      </c>
      <c r="D6083" s="44">
        <v>-5720.5</v>
      </c>
      <c r="E6083" t="s">
        <v>35</v>
      </c>
      <c r="F6083" s="2">
        <v>212901001</v>
      </c>
      <c r="G6083" s="2" t="s">
        <v>91</v>
      </c>
      <c r="I6083" s="95" t="s">
        <v>7231</v>
      </c>
      <c r="J6083" t="s">
        <v>61</v>
      </c>
      <c r="K6083" t="s">
        <v>62</v>
      </c>
      <c r="M6083">
        <v>114.41</v>
      </c>
      <c r="N6083" s="4">
        <f t="shared" si="94"/>
        <v>-50</v>
      </c>
      <c r="O6083" t="s">
        <v>83</v>
      </c>
    </row>
    <row r="6084" spans="1:17" x14ac:dyDescent="0.25">
      <c r="A6084" s="22">
        <v>45849</v>
      </c>
      <c r="B6084" s="1">
        <v>615042543</v>
      </c>
      <c r="C6084" t="s">
        <v>4584</v>
      </c>
      <c r="D6084" s="44">
        <v>-9152.7999999999993</v>
      </c>
      <c r="E6084" t="s">
        <v>35</v>
      </c>
      <c r="F6084" s="2">
        <v>212901001</v>
      </c>
      <c r="G6084" s="2" t="s">
        <v>91</v>
      </c>
      <c r="I6084" s="95" t="s">
        <v>7231</v>
      </c>
      <c r="J6084" t="s">
        <v>61</v>
      </c>
      <c r="K6084" t="s">
        <v>62</v>
      </c>
      <c r="M6084">
        <v>114.41</v>
      </c>
      <c r="N6084" s="4">
        <f t="shared" si="94"/>
        <v>-80</v>
      </c>
      <c r="O6084" t="s">
        <v>83</v>
      </c>
    </row>
    <row r="6085" spans="1:17" x14ac:dyDescent="0.25">
      <c r="A6085" s="22">
        <v>45849</v>
      </c>
      <c r="B6085" s="1">
        <v>50767850</v>
      </c>
      <c r="C6085" t="s">
        <v>4585</v>
      </c>
      <c r="D6085" s="44">
        <v>-16017.4</v>
      </c>
      <c r="E6085" t="s">
        <v>35</v>
      </c>
      <c r="F6085" s="2">
        <v>212901001</v>
      </c>
      <c r="G6085" s="2" t="s">
        <v>91</v>
      </c>
      <c r="I6085" s="95" t="s">
        <v>7231</v>
      </c>
      <c r="J6085" t="s">
        <v>61</v>
      </c>
      <c r="K6085" t="s">
        <v>62</v>
      </c>
      <c r="M6085">
        <v>114.41</v>
      </c>
      <c r="N6085" s="4">
        <f t="shared" si="94"/>
        <v>-140</v>
      </c>
      <c r="O6085" t="s">
        <v>83</v>
      </c>
    </row>
    <row r="6086" spans="1:17" x14ac:dyDescent="0.25">
      <c r="A6086" s="22">
        <v>45849</v>
      </c>
      <c r="B6086" s="1">
        <v>50767850</v>
      </c>
      <c r="C6086" t="s">
        <v>179</v>
      </c>
      <c r="D6086" s="44">
        <v>-24.02</v>
      </c>
      <c r="E6086" t="s">
        <v>35</v>
      </c>
      <c r="F6086" s="2">
        <v>610148001</v>
      </c>
      <c r="G6086" s="2" t="s">
        <v>41</v>
      </c>
      <c r="I6086" s="95" t="s">
        <v>7231</v>
      </c>
      <c r="J6086" t="s">
        <v>42</v>
      </c>
      <c r="K6086" t="s">
        <v>41</v>
      </c>
      <c r="M6086">
        <v>114.41</v>
      </c>
      <c r="N6086" s="4">
        <f t="shared" si="94"/>
        <v>-0.2099466829822568</v>
      </c>
      <c r="O6086" t="s">
        <v>83</v>
      </c>
      <c r="Q6086" s="24" t="s">
        <v>4392</v>
      </c>
    </row>
    <row r="6087" spans="1:17" x14ac:dyDescent="0.25">
      <c r="A6087" s="22">
        <v>45849</v>
      </c>
      <c r="B6087" s="1">
        <v>50767850</v>
      </c>
      <c r="C6087" t="s">
        <v>89</v>
      </c>
      <c r="D6087" s="44">
        <v>-1082.03</v>
      </c>
      <c r="E6087" t="s">
        <v>35</v>
      </c>
      <c r="F6087" s="2">
        <v>610148001</v>
      </c>
      <c r="G6087" s="2" t="s">
        <v>41</v>
      </c>
      <c r="I6087" s="95" t="s">
        <v>7231</v>
      </c>
      <c r="J6087" t="s">
        <v>42</v>
      </c>
      <c r="K6087" t="s">
        <v>41</v>
      </c>
      <c r="M6087">
        <v>114.41</v>
      </c>
      <c r="N6087" s="4">
        <f t="shared" si="94"/>
        <v>-9.4574774932261167</v>
      </c>
      <c r="O6087" t="s">
        <v>83</v>
      </c>
      <c r="Q6087" s="24" t="s">
        <v>4392</v>
      </c>
    </row>
    <row r="6088" spans="1:17" x14ac:dyDescent="0.25">
      <c r="A6088" s="22">
        <v>45849</v>
      </c>
      <c r="B6088" s="1">
        <v>50767850</v>
      </c>
      <c r="C6088" t="s">
        <v>792</v>
      </c>
      <c r="D6088" s="44">
        <v>-1.69</v>
      </c>
      <c r="E6088" t="s">
        <v>35</v>
      </c>
      <c r="F6088" s="2">
        <v>610148001</v>
      </c>
      <c r="G6088" s="2" t="s">
        <v>41</v>
      </c>
      <c r="I6088" s="95" t="s">
        <v>7231</v>
      </c>
      <c r="J6088" t="s">
        <v>42</v>
      </c>
      <c r="K6088" t="s">
        <v>41</v>
      </c>
      <c r="M6088">
        <v>114.41</v>
      </c>
      <c r="N6088" s="4">
        <f t="shared" si="94"/>
        <v>-1.4771436063281181E-2</v>
      </c>
      <c r="O6088" t="s">
        <v>83</v>
      </c>
      <c r="Q6088" s="24" t="s">
        <v>4392</v>
      </c>
    </row>
    <row r="6089" spans="1:17" x14ac:dyDescent="0.25">
      <c r="A6089" s="22">
        <v>45849</v>
      </c>
      <c r="B6089" s="1">
        <v>615043223</v>
      </c>
      <c r="C6089" t="s">
        <v>2946</v>
      </c>
      <c r="D6089" s="44">
        <v>-80000</v>
      </c>
      <c r="E6089" t="s">
        <v>35</v>
      </c>
      <c r="F6089" s="2">
        <v>110101003</v>
      </c>
      <c r="G6089" s="2" t="s">
        <v>2945</v>
      </c>
      <c r="I6089" s="95" t="s">
        <v>7231</v>
      </c>
      <c r="K6089" t="s">
        <v>2946</v>
      </c>
      <c r="M6089">
        <v>114.41</v>
      </c>
      <c r="N6089" s="4">
        <f t="shared" si="94"/>
        <v>-699.23957696005596</v>
      </c>
      <c r="O6089" t="s">
        <v>83</v>
      </c>
    </row>
    <row r="6090" spans="1:17" x14ac:dyDescent="0.25">
      <c r="A6090" s="22">
        <v>45849</v>
      </c>
      <c r="B6090" s="1">
        <v>615043223</v>
      </c>
      <c r="C6090" t="s">
        <v>185</v>
      </c>
      <c r="D6090" s="44">
        <v>-240</v>
      </c>
      <c r="E6090" t="s">
        <v>35</v>
      </c>
      <c r="F6090" s="2">
        <v>610148001</v>
      </c>
      <c r="G6090" s="2" t="s">
        <v>41</v>
      </c>
      <c r="I6090" s="95" t="s">
        <v>7231</v>
      </c>
      <c r="J6090" t="s">
        <v>42</v>
      </c>
      <c r="K6090" t="s">
        <v>41</v>
      </c>
      <c r="M6090">
        <v>114.41</v>
      </c>
      <c r="N6090" s="4">
        <f t="shared" si="94"/>
        <v>-2.0977187308801679</v>
      </c>
      <c r="O6090" t="s">
        <v>83</v>
      </c>
      <c r="Q6090" s="24" t="s">
        <v>4392</v>
      </c>
    </row>
    <row r="6091" spans="1:17" x14ac:dyDescent="0.25">
      <c r="A6091" s="22">
        <v>45849</v>
      </c>
      <c r="B6091" s="1">
        <v>144938494</v>
      </c>
      <c r="C6091" t="s">
        <v>82</v>
      </c>
      <c r="D6091" s="44">
        <v>565000</v>
      </c>
      <c r="E6091" t="s">
        <v>45</v>
      </c>
      <c r="F6091" s="2">
        <v>210115002</v>
      </c>
      <c r="G6091" s="2" t="s">
        <v>46</v>
      </c>
      <c r="I6091" s="95" t="s">
        <v>7231</v>
      </c>
      <c r="K6091" t="s">
        <v>82</v>
      </c>
      <c r="M6091">
        <v>114.41</v>
      </c>
      <c r="N6091" s="4">
        <f t="shared" si="94"/>
        <v>4938.3795122803949</v>
      </c>
      <c r="O6091" t="s">
        <v>83</v>
      </c>
    </row>
    <row r="6092" spans="1:17" x14ac:dyDescent="0.25">
      <c r="A6092" s="22">
        <v>45849</v>
      </c>
      <c r="B6092" s="1">
        <v>815048477</v>
      </c>
      <c r="C6092" t="s">
        <v>4586</v>
      </c>
      <c r="D6092" s="44">
        <v>-3890.25</v>
      </c>
      <c r="E6092" t="s">
        <v>35</v>
      </c>
      <c r="F6092" s="2">
        <v>210101001</v>
      </c>
      <c r="G6092" s="2" t="s">
        <v>36</v>
      </c>
      <c r="I6092" s="95" t="s">
        <v>7231</v>
      </c>
      <c r="J6092" t="s">
        <v>182</v>
      </c>
      <c r="K6092" t="s">
        <v>183</v>
      </c>
      <c r="M6092">
        <v>114.41</v>
      </c>
      <c r="N6092" s="4">
        <f t="shared" ref="N6092:N6155" si="95">D6092/M6092</f>
        <v>-34.002709553360724</v>
      </c>
      <c r="O6092" t="s">
        <v>83</v>
      </c>
    </row>
    <row r="6093" spans="1:17" x14ac:dyDescent="0.25">
      <c r="A6093" s="22">
        <v>45849</v>
      </c>
      <c r="B6093" s="1">
        <v>815048480</v>
      </c>
      <c r="C6093" t="s">
        <v>4587</v>
      </c>
      <c r="D6093" s="44">
        <v>-31072</v>
      </c>
      <c r="E6093" t="s">
        <v>35</v>
      </c>
      <c r="F6093" s="2">
        <v>210101001</v>
      </c>
      <c r="G6093" s="2" t="s">
        <v>36</v>
      </c>
      <c r="I6093" s="95" t="s">
        <v>7231</v>
      </c>
      <c r="J6093" t="s">
        <v>37</v>
      </c>
      <c r="K6093" t="s">
        <v>38</v>
      </c>
      <c r="M6093">
        <v>114.41</v>
      </c>
      <c r="N6093" s="4">
        <f t="shared" si="95"/>
        <v>-271.58465169128573</v>
      </c>
      <c r="O6093" t="s">
        <v>83</v>
      </c>
    </row>
    <row r="6094" spans="1:17" x14ac:dyDescent="0.25">
      <c r="A6094" s="22">
        <v>45849</v>
      </c>
      <c r="B6094" s="1">
        <v>815048478</v>
      </c>
      <c r="C6094" t="s">
        <v>4588</v>
      </c>
      <c r="D6094" s="44">
        <v>-31302.99</v>
      </c>
      <c r="E6094" t="s">
        <v>35</v>
      </c>
      <c r="F6094" s="2">
        <v>210101001</v>
      </c>
      <c r="G6094" s="2" t="s">
        <v>36</v>
      </c>
      <c r="I6094" s="95" t="s">
        <v>7231</v>
      </c>
      <c r="J6094" t="s">
        <v>182</v>
      </c>
      <c r="K6094" t="s">
        <v>183</v>
      </c>
      <c r="M6094">
        <v>114.41</v>
      </c>
      <c r="N6094" s="4">
        <f t="shared" si="95"/>
        <v>-273.6036185648108</v>
      </c>
      <c r="O6094" t="s">
        <v>83</v>
      </c>
    </row>
    <row r="6095" spans="1:17" x14ac:dyDescent="0.25">
      <c r="A6095" s="22">
        <v>45849</v>
      </c>
      <c r="B6095" s="1">
        <v>815048481</v>
      </c>
      <c r="C6095" t="s">
        <v>4587</v>
      </c>
      <c r="D6095" s="44">
        <v>-200000</v>
      </c>
      <c r="E6095" t="s">
        <v>35</v>
      </c>
      <c r="F6095" s="2">
        <v>210101001</v>
      </c>
      <c r="G6095" s="2" t="s">
        <v>36</v>
      </c>
      <c r="I6095" s="95" t="s">
        <v>7231</v>
      </c>
      <c r="J6095" t="s">
        <v>37</v>
      </c>
      <c r="K6095" t="s">
        <v>38</v>
      </c>
      <c r="M6095">
        <v>114.41</v>
      </c>
      <c r="N6095" s="4">
        <f t="shared" si="95"/>
        <v>-1748.09894240014</v>
      </c>
      <c r="O6095" t="s">
        <v>83</v>
      </c>
    </row>
    <row r="6096" spans="1:17" x14ac:dyDescent="0.25">
      <c r="A6096" s="22">
        <v>45849</v>
      </c>
      <c r="B6096" s="1">
        <v>815048483</v>
      </c>
      <c r="C6096" t="s">
        <v>4589</v>
      </c>
      <c r="D6096" s="44">
        <v>-174388.29</v>
      </c>
      <c r="E6096" t="s">
        <v>35</v>
      </c>
      <c r="F6096" s="2">
        <v>210101001</v>
      </c>
      <c r="G6096" s="2" t="s">
        <v>36</v>
      </c>
      <c r="I6096" s="95" t="s">
        <v>7231</v>
      </c>
      <c r="J6096" t="s">
        <v>37</v>
      </c>
      <c r="K6096" t="s">
        <v>38</v>
      </c>
      <c r="M6096">
        <v>114.41</v>
      </c>
      <c r="N6096" s="4">
        <f t="shared" si="95"/>
        <v>-1524.2399265798445</v>
      </c>
      <c r="O6096" t="s">
        <v>83</v>
      </c>
    </row>
    <row r="6097" spans="1:17" x14ac:dyDescent="0.25">
      <c r="A6097" s="22">
        <v>45849</v>
      </c>
      <c r="B6097" s="1">
        <v>815048484</v>
      </c>
      <c r="C6097" t="s">
        <v>4590</v>
      </c>
      <c r="D6097" s="44">
        <v>-7047.2</v>
      </c>
      <c r="E6097" t="s">
        <v>35</v>
      </c>
      <c r="F6097" s="2">
        <v>210101001</v>
      </c>
      <c r="G6097" s="2" t="s">
        <v>36</v>
      </c>
      <c r="I6097" s="95" t="s">
        <v>7231</v>
      </c>
      <c r="J6097" t="s">
        <v>414</v>
      </c>
      <c r="K6097" t="s">
        <v>415</v>
      </c>
      <c r="M6097">
        <v>114.41</v>
      </c>
      <c r="N6097" s="4">
        <f t="shared" si="95"/>
        <v>-61.596014334411329</v>
      </c>
      <c r="O6097" t="s">
        <v>83</v>
      </c>
    </row>
    <row r="6098" spans="1:17" x14ac:dyDescent="0.25">
      <c r="A6098" s="22">
        <v>45849</v>
      </c>
      <c r="B6098" s="1">
        <v>815048482</v>
      </c>
      <c r="C6098" t="s">
        <v>4591</v>
      </c>
      <c r="D6098" s="44">
        <v>-112808.26</v>
      </c>
      <c r="E6098" t="s">
        <v>35</v>
      </c>
      <c r="F6098" s="2">
        <v>210101001</v>
      </c>
      <c r="G6098" s="2" t="s">
        <v>36</v>
      </c>
      <c r="I6098" s="95" t="s">
        <v>7231</v>
      </c>
      <c r="J6098" t="s">
        <v>37</v>
      </c>
      <c r="K6098" t="s">
        <v>38</v>
      </c>
      <c r="M6098">
        <v>114.41</v>
      </c>
      <c r="N6098" s="4">
        <f t="shared" si="95"/>
        <v>-986</v>
      </c>
      <c r="O6098" t="s">
        <v>83</v>
      </c>
    </row>
    <row r="6099" spans="1:17" x14ac:dyDescent="0.25">
      <c r="A6099" s="22">
        <v>45849</v>
      </c>
      <c r="B6099" s="1">
        <v>50763377</v>
      </c>
      <c r="C6099" t="s">
        <v>89</v>
      </c>
      <c r="D6099" s="44">
        <v>-1401.27</v>
      </c>
      <c r="E6099" t="s">
        <v>35</v>
      </c>
      <c r="F6099" s="2">
        <v>610148001</v>
      </c>
      <c r="G6099" s="2" t="s">
        <v>41</v>
      </c>
      <c r="I6099" s="95" t="s">
        <v>7231</v>
      </c>
      <c r="J6099" t="s">
        <v>42</v>
      </c>
      <c r="K6099" t="s">
        <v>41</v>
      </c>
      <c r="M6099">
        <v>114.41</v>
      </c>
      <c r="N6099" s="4">
        <f t="shared" si="95"/>
        <v>-12.247793025085221</v>
      </c>
      <c r="O6099" t="s">
        <v>83</v>
      </c>
      <c r="Q6099" s="24" t="s">
        <v>4392</v>
      </c>
    </row>
    <row r="6100" spans="1:17" x14ac:dyDescent="0.25">
      <c r="A6100" s="22">
        <v>45852</v>
      </c>
      <c r="B6100" s="1">
        <v>115440735</v>
      </c>
      <c r="C6100" t="s">
        <v>4592</v>
      </c>
      <c r="D6100" s="44">
        <v>81412.42</v>
      </c>
      <c r="E6100" t="s">
        <v>45</v>
      </c>
      <c r="F6100" s="2">
        <v>110106001</v>
      </c>
      <c r="G6100" s="2" t="s">
        <v>1011</v>
      </c>
      <c r="I6100" s="95" t="s">
        <v>7231</v>
      </c>
      <c r="K6100" t="s">
        <v>1862</v>
      </c>
      <c r="M6100">
        <v>115.33</v>
      </c>
      <c r="N6100" s="4">
        <f t="shared" si="95"/>
        <v>705.90843666001911</v>
      </c>
      <c r="O6100" t="s">
        <v>83</v>
      </c>
    </row>
    <row r="6101" spans="1:17" x14ac:dyDescent="0.25">
      <c r="A6101" s="22">
        <v>45852</v>
      </c>
      <c r="B6101" s="1">
        <v>124335874</v>
      </c>
      <c r="C6101" t="s">
        <v>4593</v>
      </c>
      <c r="D6101" s="44">
        <v>-34351.94</v>
      </c>
      <c r="E6101" t="s">
        <v>35</v>
      </c>
      <c r="F6101" s="2">
        <v>210101001</v>
      </c>
      <c r="G6101" s="2" t="s">
        <v>36</v>
      </c>
      <c r="I6101" s="95" t="s">
        <v>7231</v>
      </c>
      <c r="J6101" t="s">
        <v>1301</v>
      </c>
      <c r="K6101" t="s">
        <v>1302</v>
      </c>
      <c r="M6101">
        <v>115.33</v>
      </c>
      <c r="N6101" s="4">
        <f t="shared" si="95"/>
        <v>-297.85779935836297</v>
      </c>
      <c r="O6101" t="s">
        <v>83</v>
      </c>
    </row>
    <row r="6102" spans="1:17" x14ac:dyDescent="0.25">
      <c r="A6102" s="22">
        <v>45852</v>
      </c>
      <c r="B6102" s="1">
        <v>133112737</v>
      </c>
      <c r="C6102" t="s">
        <v>82</v>
      </c>
      <c r="D6102" s="44">
        <v>830000</v>
      </c>
      <c r="E6102" t="s">
        <v>45</v>
      </c>
      <c r="F6102" s="2">
        <v>210115002</v>
      </c>
      <c r="G6102" s="2" t="s">
        <v>46</v>
      </c>
      <c r="I6102" s="95" t="s">
        <v>7231</v>
      </c>
      <c r="K6102" t="s">
        <v>82</v>
      </c>
      <c r="M6102">
        <v>115.33</v>
      </c>
      <c r="N6102" s="4">
        <f t="shared" si="95"/>
        <v>7196.7397901673457</v>
      </c>
      <c r="O6102" t="s">
        <v>83</v>
      </c>
    </row>
    <row r="6103" spans="1:17" x14ac:dyDescent="0.25">
      <c r="A6103" s="22">
        <v>45852</v>
      </c>
      <c r="B6103" s="1">
        <v>915151477</v>
      </c>
      <c r="C6103" t="s">
        <v>4419</v>
      </c>
      <c r="D6103" s="44">
        <v>-200000</v>
      </c>
      <c r="E6103" t="s">
        <v>35</v>
      </c>
      <c r="F6103" s="2">
        <v>210101001</v>
      </c>
      <c r="G6103" s="2" t="s">
        <v>36</v>
      </c>
      <c r="I6103" s="95" t="s">
        <v>7231</v>
      </c>
      <c r="J6103" t="s">
        <v>37</v>
      </c>
      <c r="K6103" t="s">
        <v>38</v>
      </c>
      <c r="M6103">
        <v>115.33</v>
      </c>
      <c r="N6103" s="4">
        <f t="shared" si="95"/>
        <v>-1734.1541663053845</v>
      </c>
      <c r="O6103" t="s">
        <v>83</v>
      </c>
    </row>
    <row r="6104" spans="1:17" x14ac:dyDescent="0.25">
      <c r="A6104" s="22">
        <v>45852</v>
      </c>
      <c r="B6104" s="1">
        <v>15151480</v>
      </c>
      <c r="C6104" t="s">
        <v>4419</v>
      </c>
      <c r="D6104" s="44">
        <v>-200000</v>
      </c>
      <c r="E6104" t="s">
        <v>35</v>
      </c>
      <c r="F6104" s="2">
        <v>210101001</v>
      </c>
      <c r="G6104" s="2" t="s">
        <v>36</v>
      </c>
      <c r="I6104" s="95" t="s">
        <v>7231</v>
      </c>
      <c r="J6104" t="s">
        <v>37</v>
      </c>
      <c r="K6104" t="s">
        <v>38</v>
      </c>
      <c r="M6104">
        <v>115.33</v>
      </c>
      <c r="N6104" s="4">
        <f t="shared" si="95"/>
        <v>-1734.1541663053845</v>
      </c>
      <c r="O6104" t="s">
        <v>83</v>
      </c>
    </row>
    <row r="6105" spans="1:17" x14ac:dyDescent="0.25">
      <c r="A6105" s="22">
        <v>45852</v>
      </c>
      <c r="B6105" s="1">
        <v>915151478</v>
      </c>
      <c r="C6105" t="s">
        <v>4419</v>
      </c>
      <c r="D6105" s="44">
        <v>-200000</v>
      </c>
      <c r="E6105" t="s">
        <v>35</v>
      </c>
      <c r="F6105" s="2">
        <v>210101001</v>
      </c>
      <c r="G6105" s="2" t="s">
        <v>36</v>
      </c>
      <c r="I6105" s="95" t="s">
        <v>7231</v>
      </c>
      <c r="J6105" t="s">
        <v>37</v>
      </c>
      <c r="K6105" t="s">
        <v>38</v>
      </c>
      <c r="M6105">
        <v>115.33</v>
      </c>
      <c r="N6105" s="4">
        <f t="shared" si="95"/>
        <v>-1734.1541663053845</v>
      </c>
      <c r="O6105" t="s">
        <v>83</v>
      </c>
    </row>
    <row r="6106" spans="1:17" x14ac:dyDescent="0.25">
      <c r="A6106" s="22">
        <v>45852</v>
      </c>
      <c r="B6106" s="1">
        <v>15151479</v>
      </c>
      <c r="C6106" t="s">
        <v>4419</v>
      </c>
      <c r="D6106" s="44">
        <v>-200000</v>
      </c>
      <c r="E6106" t="s">
        <v>35</v>
      </c>
      <c r="F6106" s="2">
        <v>210101001</v>
      </c>
      <c r="G6106" s="2" t="s">
        <v>36</v>
      </c>
      <c r="I6106" s="95" t="s">
        <v>7231</v>
      </c>
      <c r="J6106" t="s">
        <v>37</v>
      </c>
      <c r="K6106" t="s">
        <v>38</v>
      </c>
      <c r="M6106">
        <v>115.33</v>
      </c>
      <c r="N6106" s="4">
        <f t="shared" si="95"/>
        <v>-1734.1541663053845</v>
      </c>
      <c r="O6106" t="s">
        <v>83</v>
      </c>
    </row>
    <row r="6107" spans="1:17" x14ac:dyDescent="0.25">
      <c r="A6107" s="22">
        <v>45852</v>
      </c>
      <c r="B6107" s="1">
        <v>15151481</v>
      </c>
      <c r="C6107" t="s">
        <v>4419</v>
      </c>
      <c r="D6107" s="44">
        <v>-19464.28</v>
      </c>
      <c r="E6107" t="s">
        <v>35</v>
      </c>
      <c r="F6107" s="2">
        <v>210101001</v>
      </c>
      <c r="G6107" s="2" t="s">
        <v>36</v>
      </c>
      <c r="I6107" s="95" t="s">
        <v>7231</v>
      </c>
      <c r="J6107" t="s">
        <v>37</v>
      </c>
      <c r="K6107" t="s">
        <v>38</v>
      </c>
      <c r="M6107">
        <v>115.33</v>
      </c>
      <c r="N6107" s="4">
        <f t="shared" si="95"/>
        <v>-168.77031128067284</v>
      </c>
      <c r="O6107" t="s">
        <v>83</v>
      </c>
    </row>
    <row r="6108" spans="1:17" x14ac:dyDescent="0.25">
      <c r="A6108" s="22">
        <v>45852</v>
      </c>
      <c r="B6108" s="1">
        <v>50713823</v>
      </c>
      <c r="C6108" t="s">
        <v>89</v>
      </c>
      <c r="D6108" s="44">
        <v>-2048.66</v>
      </c>
      <c r="E6108" t="s">
        <v>35</v>
      </c>
      <c r="F6108" s="2">
        <v>610148001</v>
      </c>
      <c r="G6108" s="2" t="s">
        <v>41</v>
      </c>
      <c r="I6108" s="95" t="s">
        <v>7231</v>
      </c>
      <c r="J6108" t="s">
        <v>42</v>
      </c>
      <c r="K6108" t="s">
        <v>41</v>
      </c>
      <c r="M6108">
        <v>115.33</v>
      </c>
      <c r="N6108" s="4">
        <f t="shared" si="95"/>
        <v>-17.763461371715945</v>
      </c>
      <c r="O6108" t="s">
        <v>83</v>
      </c>
      <c r="Q6108" s="24" t="s">
        <v>4392</v>
      </c>
    </row>
    <row r="6109" spans="1:17" x14ac:dyDescent="0.25">
      <c r="A6109" s="22">
        <v>45852</v>
      </c>
      <c r="B6109" s="1">
        <v>141551213</v>
      </c>
      <c r="C6109" t="s">
        <v>82</v>
      </c>
      <c r="D6109" s="44">
        <v>90000</v>
      </c>
      <c r="E6109" t="s">
        <v>45</v>
      </c>
      <c r="F6109" s="2">
        <v>210115002</v>
      </c>
      <c r="G6109" s="2" t="s">
        <v>46</v>
      </c>
      <c r="I6109" s="95" t="s">
        <v>7231</v>
      </c>
      <c r="K6109" t="s">
        <v>82</v>
      </c>
      <c r="M6109">
        <v>115.33</v>
      </c>
      <c r="N6109" s="4">
        <f t="shared" si="95"/>
        <v>780.36937483742304</v>
      </c>
      <c r="O6109" t="s">
        <v>83</v>
      </c>
    </row>
    <row r="6110" spans="1:17" x14ac:dyDescent="0.25">
      <c r="A6110" s="22">
        <v>45852</v>
      </c>
      <c r="B6110" s="1">
        <v>141851300</v>
      </c>
      <c r="C6110" t="s">
        <v>4594</v>
      </c>
      <c r="D6110" s="44">
        <v>-81412.42</v>
      </c>
      <c r="E6110" t="s">
        <v>35</v>
      </c>
      <c r="F6110" s="2">
        <v>110106001</v>
      </c>
      <c r="G6110" s="2" t="s">
        <v>1011</v>
      </c>
      <c r="I6110" s="95" t="s">
        <v>7231</v>
      </c>
      <c r="K6110" t="s">
        <v>4595</v>
      </c>
      <c r="M6110">
        <v>115.33</v>
      </c>
      <c r="N6110" s="4">
        <f t="shared" si="95"/>
        <v>-705.90843666001911</v>
      </c>
      <c r="O6110" t="s">
        <v>83</v>
      </c>
    </row>
    <row r="6111" spans="1:17" x14ac:dyDescent="0.25">
      <c r="A6111" s="22">
        <v>45852</v>
      </c>
      <c r="B6111" s="1">
        <v>915154738</v>
      </c>
      <c r="C6111" t="s">
        <v>4596</v>
      </c>
      <c r="D6111" s="44">
        <v>-10518.09</v>
      </c>
      <c r="E6111" t="s">
        <v>35</v>
      </c>
      <c r="F6111" s="2">
        <v>210101001</v>
      </c>
      <c r="G6111" s="2" t="s">
        <v>36</v>
      </c>
      <c r="I6111" s="95" t="s">
        <v>7231</v>
      </c>
      <c r="J6111" t="s">
        <v>3254</v>
      </c>
      <c r="K6111" t="s">
        <v>3255</v>
      </c>
      <c r="M6111">
        <v>115.33</v>
      </c>
      <c r="N6111" s="4">
        <f t="shared" si="95"/>
        <v>-91.199947975375011</v>
      </c>
      <c r="O6111" t="s">
        <v>83</v>
      </c>
    </row>
    <row r="6112" spans="1:17" x14ac:dyDescent="0.25">
      <c r="A6112" s="22">
        <v>45852</v>
      </c>
      <c r="B6112" s="1">
        <v>915154738</v>
      </c>
      <c r="C6112" t="s">
        <v>185</v>
      </c>
      <c r="D6112" s="44">
        <v>-31.55</v>
      </c>
      <c r="E6112" t="s">
        <v>35</v>
      </c>
      <c r="F6112" s="2">
        <v>610148001</v>
      </c>
      <c r="G6112" s="2" t="s">
        <v>41</v>
      </c>
      <c r="I6112" s="95" t="s">
        <v>7231</v>
      </c>
      <c r="J6112" t="s">
        <v>42</v>
      </c>
      <c r="K6112" t="s">
        <v>41</v>
      </c>
      <c r="M6112">
        <v>115.33</v>
      </c>
      <c r="N6112" s="4">
        <f t="shared" si="95"/>
        <v>-0.27356281973467445</v>
      </c>
      <c r="O6112" t="s">
        <v>83</v>
      </c>
      <c r="Q6112" s="24" t="s">
        <v>4392</v>
      </c>
    </row>
    <row r="6113" spans="1:20" x14ac:dyDescent="0.25">
      <c r="A6113" s="22">
        <v>45852</v>
      </c>
      <c r="B6113" s="1">
        <v>153131473</v>
      </c>
      <c r="C6113" t="s">
        <v>4597</v>
      </c>
      <c r="D6113" s="44">
        <v>-9014.6200000000008</v>
      </c>
      <c r="E6113" t="s">
        <v>35</v>
      </c>
      <c r="F6113" s="2">
        <v>210101001</v>
      </c>
      <c r="G6113" s="2" t="s">
        <v>36</v>
      </c>
      <c r="I6113" s="95" t="s">
        <v>7231</v>
      </c>
      <c r="J6113" t="s">
        <v>1306</v>
      </c>
      <c r="K6113" t="s">
        <v>600</v>
      </c>
      <c r="M6113">
        <v>115.33</v>
      </c>
      <c r="N6113" s="4">
        <f t="shared" si="95"/>
        <v>-78.163704153299236</v>
      </c>
      <c r="O6113" t="s">
        <v>83</v>
      </c>
    </row>
    <row r="6114" spans="1:20" x14ac:dyDescent="0.25">
      <c r="A6114" s="22">
        <v>45852</v>
      </c>
      <c r="B6114" s="1">
        <v>175511853</v>
      </c>
      <c r="C6114" t="s">
        <v>82</v>
      </c>
      <c r="D6114" s="44">
        <v>400000</v>
      </c>
      <c r="E6114" t="s">
        <v>45</v>
      </c>
      <c r="F6114" s="2">
        <v>210115002</v>
      </c>
      <c r="G6114" s="2" t="s">
        <v>46</v>
      </c>
      <c r="I6114" s="95" t="s">
        <v>7231</v>
      </c>
      <c r="K6114" t="s">
        <v>82</v>
      </c>
      <c r="M6114">
        <v>115.33</v>
      </c>
      <c r="N6114" s="4">
        <f t="shared" si="95"/>
        <v>3468.308332610769</v>
      </c>
      <c r="O6114" t="s">
        <v>83</v>
      </c>
    </row>
    <row r="6115" spans="1:20" x14ac:dyDescent="0.25">
      <c r="A6115" s="22">
        <v>45852</v>
      </c>
      <c r="B6115" s="1">
        <v>715167758</v>
      </c>
      <c r="C6115" t="s">
        <v>4598</v>
      </c>
      <c r="D6115" s="44">
        <v>-8546.43</v>
      </c>
      <c r="E6115" t="s">
        <v>35</v>
      </c>
      <c r="F6115" s="2">
        <v>212901001</v>
      </c>
      <c r="G6115" s="2" t="s">
        <v>91</v>
      </c>
      <c r="I6115" s="95" t="s">
        <v>7231</v>
      </c>
      <c r="J6115" t="s">
        <v>61</v>
      </c>
      <c r="K6115" t="s">
        <v>62</v>
      </c>
      <c r="M6115">
        <v>115.33</v>
      </c>
      <c r="N6115" s="4">
        <f t="shared" si="95"/>
        <v>-74.104135957686637</v>
      </c>
      <c r="O6115" t="s">
        <v>83</v>
      </c>
      <c r="R6115">
        <v>9</v>
      </c>
      <c r="S6115" t="e">
        <f>VLOOKUP(Tabla3[[#This Row],[Nº]],[1]!NOMINA[#Data],4,FALSE)</f>
        <v>#REF!</v>
      </c>
      <c r="T6115" t="e">
        <f>VLOOKUP(R6115,[1]!NOMINA[#Data],5,FALSE)</f>
        <v>#REF!</v>
      </c>
    </row>
    <row r="6116" spans="1:20" x14ac:dyDescent="0.25">
      <c r="A6116" s="22">
        <v>45852</v>
      </c>
      <c r="B6116" s="1">
        <v>715167759</v>
      </c>
      <c r="C6116" t="s">
        <v>4599</v>
      </c>
      <c r="D6116" s="44">
        <v>-14250.91</v>
      </c>
      <c r="E6116" t="s">
        <v>35</v>
      </c>
      <c r="F6116" s="2">
        <v>212901001</v>
      </c>
      <c r="G6116" s="2" t="s">
        <v>91</v>
      </c>
      <c r="I6116" s="95" t="s">
        <v>7231</v>
      </c>
      <c r="J6116" t="s">
        <v>61</v>
      </c>
      <c r="K6116" t="s">
        <v>62</v>
      </c>
      <c r="M6116">
        <v>115.33</v>
      </c>
      <c r="N6116" s="4">
        <f t="shared" si="95"/>
        <v>-123.56637475071534</v>
      </c>
      <c r="O6116" t="s">
        <v>83</v>
      </c>
      <c r="R6116">
        <v>30</v>
      </c>
      <c r="S6116" t="s">
        <v>4600</v>
      </c>
      <c r="T6116" t="e">
        <f>VLOOKUP(R6116,[1]!NOMINA[#Data],5,FALSE)</f>
        <v>#REF!</v>
      </c>
    </row>
    <row r="6117" spans="1:20" x14ac:dyDescent="0.25">
      <c r="A6117" s="22">
        <v>45852</v>
      </c>
      <c r="B6117" s="1">
        <v>715167762</v>
      </c>
      <c r="C6117" t="s">
        <v>4601</v>
      </c>
      <c r="D6117" s="44">
        <v>-8546.43</v>
      </c>
      <c r="E6117" t="s">
        <v>35</v>
      </c>
      <c r="F6117" s="2">
        <v>212901001</v>
      </c>
      <c r="G6117" s="2" t="s">
        <v>91</v>
      </c>
      <c r="I6117" s="95" t="s">
        <v>7231</v>
      </c>
      <c r="J6117" t="s">
        <v>61</v>
      </c>
      <c r="K6117" t="s">
        <v>62</v>
      </c>
      <c r="M6117">
        <v>115.33</v>
      </c>
      <c r="N6117" s="4">
        <f t="shared" si="95"/>
        <v>-74.104135957686637</v>
      </c>
      <c r="O6117" t="s">
        <v>83</v>
      </c>
      <c r="R6117">
        <v>10</v>
      </c>
      <c r="S6117" t="s">
        <v>4600</v>
      </c>
      <c r="T6117" t="e">
        <f>VLOOKUP(R6117,[1]!NOMINA[#Data],5,FALSE)</f>
        <v>#REF!</v>
      </c>
    </row>
    <row r="6118" spans="1:20" x14ac:dyDescent="0.25">
      <c r="A6118" s="22">
        <v>45852</v>
      </c>
      <c r="B6118" s="1">
        <v>715167760</v>
      </c>
      <c r="C6118" t="s">
        <v>4602</v>
      </c>
      <c r="D6118" s="44">
        <v>-3955.15</v>
      </c>
      <c r="E6118" t="s">
        <v>35</v>
      </c>
      <c r="F6118" s="2">
        <v>212901001</v>
      </c>
      <c r="G6118" s="2" t="s">
        <v>91</v>
      </c>
      <c r="I6118" s="95" t="s">
        <v>7231</v>
      </c>
      <c r="J6118" t="s">
        <v>61</v>
      </c>
      <c r="K6118" t="s">
        <v>62</v>
      </c>
      <c r="M6118">
        <v>115.33</v>
      </c>
      <c r="N6118" s="4">
        <f t="shared" si="95"/>
        <v>-34.29419925431371</v>
      </c>
      <c r="O6118" t="s">
        <v>83</v>
      </c>
      <c r="R6118">
        <v>26</v>
      </c>
      <c r="S6118" t="e">
        <f>VLOOKUP(Tabla3[[#This Row],[Nº]],[1]!NOMINA[#Data],4,FALSE)</f>
        <v>#REF!</v>
      </c>
      <c r="T6118" t="e">
        <f>VLOOKUP(Tabla3[[#This Row],[Nº]],[1]!NOMINA[#Data],5,FALSE)</f>
        <v>#REF!</v>
      </c>
    </row>
    <row r="6119" spans="1:20" x14ac:dyDescent="0.25">
      <c r="A6119" s="22">
        <v>45852</v>
      </c>
      <c r="B6119" s="1">
        <v>715167761</v>
      </c>
      <c r="C6119" t="s">
        <v>4603</v>
      </c>
      <c r="D6119" s="44">
        <v>-5140.4399999999996</v>
      </c>
      <c r="E6119" t="s">
        <v>35</v>
      </c>
      <c r="F6119" s="2">
        <v>212901001</v>
      </c>
      <c r="G6119" s="2" t="s">
        <v>91</v>
      </c>
      <c r="I6119" s="95" t="s">
        <v>7231</v>
      </c>
      <c r="J6119" t="s">
        <v>61</v>
      </c>
      <c r="K6119" t="s">
        <v>62</v>
      </c>
      <c r="M6119">
        <v>115.33</v>
      </c>
      <c r="N6119" s="4">
        <f t="shared" si="95"/>
        <v>-44.571577213214255</v>
      </c>
      <c r="O6119" t="s">
        <v>83</v>
      </c>
      <c r="R6119">
        <v>29</v>
      </c>
      <c r="S6119" t="e">
        <f>VLOOKUP(R6119,[1]!NOMINA[#Data],4,FALSE)</f>
        <v>#REF!</v>
      </c>
      <c r="T6119" t="e">
        <f>VLOOKUP(R6119,[1]!NOMINA[#Data],5,FALSE)</f>
        <v>#REF!</v>
      </c>
    </row>
    <row r="6120" spans="1:20" x14ac:dyDescent="0.25">
      <c r="A6120" s="22">
        <v>45852</v>
      </c>
      <c r="B6120" s="1">
        <v>715167764</v>
      </c>
      <c r="C6120" t="s">
        <v>4604</v>
      </c>
      <c r="D6120" s="44">
        <v>-17096.29</v>
      </c>
      <c r="E6120" t="s">
        <v>35</v>
      </c>
      <c r="F6120" s="2">
        <v>212901001</v>
      </c>
      <c r="G6120" s="2" t="s">
        <v>91</v>
      </c>
      <c r="I6120" s="95" t="s">
        <v>7231</v>
      </c>
      <c r="J6120" t="s">
        <v>61</v>
      </c>
      <c r="K6120" t="s">
        <v>62</v>
      </c>
      <c r="M6120">
        <v>115.33</v>
      </c>
      <c r="N6120" s="4">
        <f t="shared" si="95"/>
        <v>-148.23801265932542</v>
      </c>
      <c r="O6120" t="s">
        <v>83</v>
      </c>
      <c r="R6120">
        <v>35</v>
      </c>
      <c r="S6120" t="s">
        <v>4600</v>
      </c>
      <c r="T6120" t="e">
        <f>VLOOKUP(R6120,[1]!NOMINA[#Data],5,FALSE)</f>
        <v>#REF!</v>
      </c>
    </row>
    <row r="6121" spans="1:20" x14ac:dyDescent="0.25">
      <c r="A6121" s="22">
        <v>45852</v>
      </c>
      <c r="B6121" s="1">
        <v>715167763</v>
      </c>
      <c r="C6121" t="s">
        <v>4605</v>
      </c>
      <c r="D6121" s="44">
        <v>-8562.44</v>
      </c>
      <c r="E6121" t="s">
        <v>35</v>
      </c>
      <c r="F6121" s="2">
        <v>212901001</v>
      </c>
      <c r="G6121" s="2" t="s">
        <v>91</v>
      </c>
      <c r="I6121" s="95" t="s">
        <v>7231</v>
      </c>
      <c r="J6121" t="s">
        <v>61</v>
      </c>
      <c r="K6121" t="s">
        <v>62</v>
      </c>
      <c r="M6121">
        <v>115.33</v>
      </c>
      <c r="N6121" s="4">
        <f t="shared" si="95"/>
        <v>-74.242954998699389</v>
      </c>
      <c r="O6121" t="s">
        <v>83</v>
      </c>
      <c r="R6121">
        <v>18</v>
      </c>
      <c r="S6121" t="e">
        <f>VLOOKUP(Tabla3[[#This Row],[Nº]],[1]!NOMINA[#Data],4,FALSE)</f>
        <v>#REF!</v>
      </c>
      <c r="T6121" t="e">
        <f>VLOOKUP(Tabla3[[#This Row],[Nº]],[1]!NOMINA[#Data],5,FALSE)</f>
        <v>#REF!</v>
      </c>
    </row>
    <row r="6122" spans="1:20" x14ac:dyDescent="0.25">
      <c r="A6122" s="22">
        <v>45852</v>
      </c>
      <c r="B6122" s="1">
        <v>815167765</v>
      </c>
      <c r="C6122" t="s">
        <v>4606</v>
      </c>
      <c r="D6122" s="44">
        <v>-8562.44</v>
      </c>
      <c r="E6122" t="s">
        <v>35</v>
      </c>
      <c r="F6122" s="2">
        <v>212901001</v>
      </c>
      <c r="G6122" s="2" t="s">
        <v>91</v>
      </c>
      <c r="I6122" s="95" t="s">
        <v>7231</v>
      </c>
      <c r="J6122" t="s">
        <v>61</v>
      </c>
      <c r="K6122" t="s">
        <v>62</v>
      </c>
      <c r="M6122">
        <v>115.33</v>
      </c>
      <c r="N6122" s="4">
        <f t="shared" si="95"/>
        <v>-74.242954998699389</v>
      </c>
      <c r="O6122" t="s">
        <v>83</v>
      </c>
      <c r="R6122">
        <v>15</v>
      </c>
      <c r="S6122" t="s">
        <v>4600</v>
      </c>
      <c r="T6122" t="e">
        <f>VLOOKUP(R6122,[1]!NOMINA[#Data],5,FALSE)</f>
        <v>#REF!</v>
      </c>
    </row>
    <row r="6123" spans="1:20" x14ac:dyDescent="0.25">
      <c r="A6123" s="22">
        <v>45852</v>
      </c>
      <c r="B6123" s="1">
        <v>815167767</v>
      </c>
      <c r="C6123" t="s">
        <v>4607</v>
      </c>
      <c r="D6123" s="44">
        <v>-9087.59</v>
      </c>
      <c r="E6123" t="s">
        <v>35</v>
      </c>
      <c r="F6123" s="2">
        <v>212901001</v>
      </c>
      <c r="G6123" s="2" t="s">
        <v>91</v>
      </c>
      <c r="I6123" s="95" t="s">
        <v>7231</v>
      </c>
      <c r="J6123" t="s">
        <v>61</v>
      </c>
      <c r="K6123" t="s">
        <v>62</v>
      </c>
      <c r="M6123">
        <v>115.33</v>
      </c>
      <c r="N6123" s="4">
        <f t="shared" si="95"/>
        <v>-78.796410300875749</v>
      </c>
      <c r="O6123" t="s">
        <v>83</v>
      </c>
      <c r="R6123">
        <v>31</v>
      </c>
      <c r="S6123" t="e">
        <f>VLOOKUP(Tabla3[[#This Row],[Nº]],[1]!NOMINA[#Data],4,FALSE)</f>
        <v>#REF!</v>
      </c>
      <c r="T6123" t="e">
        <f>VLOOKUP(R6123,[1]!NOMINA[#Data],5,FALSE)</f>
        <v>#REF!</v>
      </c>
    </row>
    <row r="6124" spans="1:20" x14ac:dyDescent="0.25">
      <c r="A6124" s="22">
        <v>45852</v>
      </c>
      <c r="B6124" s="1">
        <v>815167769</v>
      </c>
      <c r="C6124" t="s">
        <v>4608</v>
      </c>
      <c r="D6124" s="44">
        <v>-8443.4599999999991</v>
      </c>
      <c r="E6124" t="s">
        <v>35</v>
      </c>
      <c r="F6124" s="2">
        <v>212901001</v>
      </c>
      <c r="G6124" s="2" t="s">
        <v>91</v>
      </c>
      <c r="I6124" s="95" t="s">
        <v>7231</v>
      </c>
      <c r="J6124" t="s">
        <v>61</v>
      </c>
      <c r="K6124" t="s">
        <v>62</v>
      </c>
      <c r="M6124">
        <v>115.33</v>
      </c>
      <c r="N6124" s="4">
        <f t="shared" si="95"/>
        <v>-73.211306685164303</v>
      </c>
      <c r="O6124" t="s">
        <v>83</v>
      </c>
      <c r="R6124">
        <v>13</v>
      </c>
      <c r="S6124" t="e">
        <f>VLOOKUP(Tabla3[[#This Row],[Nº]],[1]!NOMINA[#Data],4,FALSE)</f>
        <v>#REF!</v>
      </c>
      <c r="T6124" t="e">
        <f>VLOOKUP(R6124,[1]!NOMINA[#Data],5,FALSE)</f>
        <v>#REF!</v>
      </c>
    </row>
    <row r="6125" spans="1:20" x14ac:dyDescent="0.25">
      <c r="A6125" s="22">
        <v>45852</v>
      </c>
      <c r="B6125" s="1">
        <v>815167768</v>
      </c>
      <c r="C6125" t="s">
        <v>4609</v>
      </c>
      <c r="D6125" s="44">
        <v>-7142.62</v>
      </c>
      <c r="E6125" t="s">
        <v>35</v>
      </c>
      <c r="F6125" s="2">
        <v>212901001</v>
      </c>
      <c r="G6125" s="2" t="s">
        <v>91</v>
      </c>
      <c r="I6125" s="95" t="s">
        <v>7231</v>
      </c>
      <c r="J6125" t="s">
        <v>61</v>
      </c>
      <c r="K6125" t="s">
        <v>62</v>
      </c>
      <c r="M6125">
        <v>115.33</v>
      </c>
      <c r="N6125" s="4">
        <f t="shared" si="95"/>
        <v>-61.932021156680825</v>
      </c>
      <c r="O6125" t="s">
        <v>83</v>
      </c>
      <c r="R6125">
        <v>20</v>
      </c>
      <c r="S6125" t="e">
        <f>VLOOKUP(Tabla3[[#This Row],[Nº]],[1]!NOMINA[#Data],4,FALSE)</f>
        <v>#REF!</v>
      </c>
      <c r="T6125" t="e">
        <f>VLOOKUP(R6125,[1]!NOMINA[#Data],5,FALSE)</f>
        <v>#REF!</v>
      </c>
    </row>
    <row r="6126" spans="1:20" x14ac:dyDescent="0.25">
      <c r="A6126" s="22">
        <v>45852</v>
      </c>
      <c r="B6126" s="1">
        <v>815167770</v>
      </c>
      <c r="C6126" t="s">
        <v>4610</v>
      </c>
      <c r="D6126" s="44">
        <v>-8546.43</v>
      </c>
      <c r="E6126" t="s">
        <v>35</v>
      </c>
      <c r="F6126" s="2">
        <v>212901001</v>
      </c>
      <c r="G6126" s="2" t="s">
        <v>91</v>
      </c>
      <c r="I6126" s="95" t="s">
        <v>7231</v>
      </c>
      <c r="J6126" t="s">
        <v>61</v>
      </c>
      <c r="K6126" t="s">
        <v>62</v>
      </c>
      <c r="M6126">
        <v>115.33</v>
      </c>
      <c r="N6126" s="4">
        <f t="shared" si="95"/>
        <v>-74.104135957686637</v>
      </c>
      <c r="O6126" t="s">
        <v>83</v>
      </c>
      <c r="R6126">
        <v>8</v>
      </c>
      <c r="S6126" t="e">
        <f>VLOOKUP(Tabla3[[#This Row],[Nº]],[1]!NOMINA[#Data],4,FALSE)</f>
        <v>#REF!</v>
      </c>
      <c r="T6126" t="e">
        <f>VLOOKUP(R6126,[1]!NOMINA[#Data],5,FALSE)</f>
        <v>#REF!</v>
      </c>
    </row>
    <row r="6127" spans="1:20" x14ac:dyDescent="0.25">
      <c r="A6127" s="22">
        <v>45852</v>
      </c>
      <c r="B6127" s="1">
        <v>815167772</v>
      </c>
      <c r="C6127" t="s">
        <v>4611</v>
      </c>
      <c r="D6127" s="44">
        <v>-3954.01</v>
      </c>
      <c r="E6127" t="s">
        <v>35</v>
      </c>
      <c r="F6127" s="2">
        <v>212901001</v>
      </c>
      <c r="G6127" s="2" t="s">
        <v>91</v>
      </c>
      <c r="I6127" s="95" t="s">
        <v>7231</v>
      </c>
      <c r="J6127" t="s">
        <v>61</v>
      </c>
      <c r="K6127" t="s">
        <v>62</v>
      </c>
      <c r="M6127">
        <v>115.33</v>
      </c>
      <c r="N6127" s="4">
        <f t="shared" si="95"/>
        <v>-34.284314575565773</v>
      </c>
      <c r="O6127" t="s">
        <v>83</v>
      </c>
      <c r="R6127">
        <v>23</v>
      </c>
      <c r="S6127" t="e">
        <f>VLOOKUP(Tabla3[[#This Row],[Nº]],[1]!NOMINA[#Data],4,FALSE)</f>
        <v>#REF!</v>
      </c>
      <c r="T6127" t="e">
        <f>VLOOKUP(R6127,[1]!NOMINA[#Data],5,FALSE)</f>
        <v>#REF!</v>
      </c>
    </row>
    <row r="6128" spans="1:20" x14ac:dyDescent="0.25">
      <c r="A6128" s="22">
        <v>45852</v>
      </c>
      <c r="B6128" s="1">
        <v>815167771</v>
      </c>
      <c r="C6128" t="s">
        <v>4612</v>
      </c>
      <c r="D6128" s="44">
        <v>-8546.43</v>
      </c>
      <c r="E6128" t="s">
        <v>35</v>
      </c>
      <c r="F6128" s="2">
        <v>212901001</v>
      </c>
      <c r="G6128" s="2" t="s">
        <v>91</v>
      </c>
      <c r="I6128" s="95" t="s">
        <v>7231</v>
      </c>
      <c r="J6128" t="s">
        <v>61</v>
      </c>
      <c r="K6128" t="s">
        <v>62</v>
      </c>
      <c r="M6128">
        <v>115.33</v>
      </c>
      <c r="N6128" s="4">
        <f t="shared" si="95"/>
        <v>-74.104135957686637</v>
      </c>
      <c r="O6128" t="s">
        <v>83</v>
      </c>
      <c r="R6128">
        <v>11</v>
      </c>
      <c r="S6128" t="e">
        <f>VLOOKUP(Tabla3[[#This Row],[Nº]],[1]!NOMINA[#Data],4,FALSE)</f>
        <v>#REF!</v>
      </c>
      <c r="T6128" t="e">
        <f>VLOOKUP(R6128,[1]!NOMINA[#Data],5,FALSE)</f>
        <v>#REF!</v>
      </c>
    </row>
    <row r="6129" spans="1:20" x14ac:dyDescent="0.25">
      <c r="A6129" s="22">
        <v>45852</v>
      </c>
      <c r="B6129" s="1">
        <v>915167775</v>
      </c>
      <c r="C6129" t="s">
        <v>4613</v>
      </c>
      <c r="D6129" s="44">
        <v>-11529.1</v>
      </c>
      <c r="E6129" t="s">
        <v>35</v>
      </c>
      <c r="F6129" s="2">
        <v>212901001</v>
      </c>
      <c r="G6129" s="2" t="s">
        <v>91</v>
      </c>
      <c r="I6129" s="95" t="s">
        <v>7231</v>
      </c>
      <c r="J6129" t="s">
        <v>61</v>
      </c>
      <c r="K6129" t="s">
        <v>62</v>
      </c>
      <c r="M6129">
        <v>115.33</v>
      </c>
      <c r="N6129" s="4">
        <f t="shared" si="95"/>
        <v>-99.966183993757056</v>
      </c>
      <c r="O6129" t="s">
        <v>83</v>
      </c>
      <c r="R6129">
        <v>32</v>
      </c>
      <c r="S6129" t="e">
        <f>VLOOKUP(Tabla3[[#This Row],[Nº]],[1]!NOMINA[#Data],4,FALSE)</f>
        <v>#REF!</v>
      </c>
      <c r="T6129" t="e">
        <f>VLOOKUP(R6129,[1]!NOMINA[#Data],5,FALSE)</f>
        <v>#REF!</v>
      </c>
    </row>
    <row r="6130" spans="1:20" x14ac:dyDescent="0.25">
      <c r="A6130" s="22">
        <v>45852</v>
      </c>
      <c r="B6130" s="1">
        <v>815167773</v>
      </c>
      <c r="C6130" t="s">
        <v>4614</v>
      </c>
      <c r="D6130" s="44">
        <v>-8562.44</v>
      </c>
      <c r="E6130" t="s">
        <v>35</v>
      </c>
      <c r="F6130" s="2">
        <v>212901001</v>
      </c>
      <c r="G6130" s="2" t="s">
        <v>91</v>
      </c>
      <c r="I6130" s="95" t="s">
        <v>7231</v>
      </c>
      <c r="J6130" t="s">
        <v>61</v>
      </c>
      <c r="K6130" t="s">
        <v>62</v>
      </c>
      <c r="M6130">
        <v>115.33</v>
      </c>
      <c r="N6130" s="4">
        <f t="shared" si="95"/>
        <v>-74.242954998699389</v>
      </c>
      <c r="O6130" t="s">
        <v>83</v>
      </c>
      <c r="R6130">
        <v>17</v>
      </c>
      <c r="S6130" t="e">
        <f>VLOOKUP(Tabla3[[#This Row],[Nº]],[1]!NOMINA[#Data],4,FALSE)</f>
        <v>#REF!</v>
      </c>
      <c r="T6130" t="e">
        <f>VLOOKUP(R6130,[1]!NOMINA[#Data],5,FALSE)</f>
        <v>#REF!</v>
      </c>
    </row>
    <row r="6131" spans="1:20" x14ac:dyDescent="0.25">
      <c r="A6131" s="22">
        <v>45852</v>
      </c>
      <c r="B6131" s="1">
        <v>915167776</v>
      </c>
      <c r="C6131" t="s">
        <v>4615</v>
      </c>
      <c r="D6131" s="44">
        <v>-12519.89</v>
      </c>
      <c r="E6131" t="s">
        <v>35</v>
      </c>
      <c r="F6131" s="2">
        <v>212901001</v>
      </c>
      <c r="G6131" s="2" t="s">
        <v>91</v>
      </c>
      <c r="I6131" s="95" t="s">
        <v>7231</v>
      </c>
      <c r="J6131" t="s">
        <v>61</v>
      </c>
      <c r="K6131" t="s">
        <v>62</v>
      </c>
      <c r="M6131">
        <v>115.33</v>
      </c>
      <c r="N6131" s="4">
        <f t="shared" si="95"/>
        <v>-108.5570970259256</v>
      </c>
      <c r="O6131" t="s">
        <v>83</v>
      </c>
      <c r="R6131">
        <v>4</v>
      </c>
      <c r="S6131" t="e">
        <f>VLOOKUP(Tabla3[[#This Row],[Nº]],[1]!NOMINA[#Data],4,FALSE)</f>
        <v>#REF!</v>
      </c>
      <c r="T6131" t="e">
        <f>VLOOKUP(R6131,[1]!NOMINA[#Data],5,FALSE)</f>
        <v>#REF!</v>
      </c>
    </row>
    <row r="6132" spans="1:20" x14ac:dyDescent="0.25">
      <c r="A6132" s="22">
        <v>45852</v>
      </c>
      <c r="B6132" s="1">
        <v>915167778</v>
      </c>
      <c r="C6132" t="s">
        <v>4616</v>
      </c>
      <c r="D6132" s="44">
        <v>-5673.59</v>
      </c>
      <c r="E6132" t="s">
        <v>35</v>
      </c>
      <c r="F6132" s="2">
        <v>212901001</v>
      </c>
      <c r="G6132" s="2" t="s">
        <v>91</v>
      </c>
      <c r="I6132" s="95" t="s">
        <v>7231</v>
      </c>
      <c r="J6132" t="s">
        <v>61</v>
      </c>
      <c r="K6132" t="s">
        <v>62</v>
      </c>
      <c r="M6132">
        <v>115.33</v>
      </c>
      <c r="N6132" s="4">
        <f t="shared" si="95"/>
        <v>-49.194398682042838</v>
      </c>
      <c r="O6132" t="s">
        <v>83</v>
      </c>
      <c r="R6132">
        <v>22</v>
      </c>
      <c r="S6132" t="e">
        <f>VLOOKUP(Tabla3[[#This Row],[Nº]],[1]!NOMINA[#Data],4,FALSE)</f>
        <v>#REF!</v>
      </c>
      <c r="T6132" t="e">
        <f>VLOOKUP(R6132,[1]!NOMINA[#Data],5,FALSE)</f>
        <v>#REF!</v>
      </c>
    </row>
    <row r="6133" spans="1:20" x14ac:dyDescent="0.25">
      <c r="A6133" s="22">
        <v>45852</v>
      </c>
      <c r="B6133" s="1">
        <v>915167779</v>
      </c>
      <c r="C6133" t="s">
        <v>4617</v>
      </c>
      <c r="D6133" s="44">
        <v>-9069.2800000000007</v>
      </c>
      <c r="E6133" t="s">
        <v>35</v>
      </c>
      <c r="F6133" s="2">
        <v>212901001</v>
      </c>
      <c r="G6133" s="2" t="s">
        <v>91</v>
      </c>
      <c r="I6133" s="95" t="s">
        <v>7231</v>
      </c>
      <c r="J6133" t="s">
        <v>61</v>
      </c>
      <c r="K6133" t="s">
        <v>62</v>
      </c>
      <c r="M6133">
        <v>115.33</v>
      </c>
      <c r="N6133" s="4">
        <f t="shared" si="95"/>
        <v>-78.637648486950496</v>
      </c>
      <c r="O6133" t="s">
        <v>83</v>
      </c>
      <c r="R6133">
        <v>14</v>
      </c>
      <c r="S6133" t="e">
        <f>VLOOKUP(Tabla3[[#This Row],[Nº]],[1]!NOMINA[#Data],4,FALSE)</f>
        <v>#REF!</v>
      </c>
      <c r="T6133" t="e">
        <f>VLOOKUP(R6133,[1]!NOMINA[#Data],5,FALSE)</f>
        <v>#REF!</v>
      </c>
    </row>
    <row r="6134" spans="1:20" x14ac:dyDescent="0.25">
      <c r="A6134" s="22">
        <v>45852</v>
      </c>
      <c r="B6134" s="1">
        <v>915167777</v>
      </c>
      <c r="C6134" t="s">
        <v>4618</v>
      </c>
      <c r="D6134" s="44">
        <v>-10308.34</v>
      </c>
      <c r="E6134" t="s">
        <v>35</v>
      </c>
      <c r="F6134" s="2">
        <v>212901001</v>
      </c>
      <c r="G6134" s="2" t="s">
        <v>91</v>
      </c>
      <c r="I6134" s="95" t="s">
        <v>7231</v>
      </c>
      <c r="J6134" t="s">
        <v>61</v>
      </c>
      <c r="K6134" t="s">
        <v>62</v>
      </c>
      <c r="M6134">
        <v>115.33</v>
      </c>
      <c r="N6134" s="4">
        <f t="shared" si="95"/>
        <v>-89.381253793462236</v>
      </c>
      <c r="O6134" t="s">
        <v>83</v>
      </c>
      <c r="R6134">
        <v>34</v>
      </c>
      <c r="S6134" t="e">
        <f>VLOOKUP(R6134,[1]!NOMINA[#Data],4,FALSE)</f>
        <v>#REF!</v>
      </c>
      <c r="T6134" t="e">
        <f>VLOOKUP(R6134,[1]!NOMINA[#Data],5,FALSE)</f>
        <v>#REF!</v>
      </c>
    </row>
    <row r="6135" spans="1:20" x14ac:dyDescent="0.25">
      <c r="A6135" s="22">
        <v>45852</v>
      </c>
      <c r="B6135" s="1">
        <v>915167780</v>
      </c>
      <c r="C6135" t="s">
        <v>4619</v>
      </c>
      <c r="D6135" s="44">
        <v>-6535.1</v>
      </c>
      <c r="E6135" t="s">
        <v>35</v>
      </c>
      <c r="F6135" s="2">
        <v>212901001</v>
      </c>
      <c r="G6135" s="2" t="s">
        <v>91</v>
      </c>
      <c r="I6135" s="95" t="s">
        <v>7231</v>
      </c>
      <c r="J6135" t="s">
        <v>61</v>
      </c>
      <c r="K6135" t="s">
        <v>62</v>
      </c>
      <c r="M6135">
        <v>115.33</v>
      </c>
      <c r="N6135" s="4">
        <f t="shared" si="95"/>
        <v>-56.6643544611116</v>
      </c>
      <c r="O6135" t="s">
        <v>83</v>
      </c>
      <c r="R6135">
        <v>21</v>
      </c>
      <c r="S6135" t="e">
        <f>VLOOKUP(Tabla3[[#This Row],[Nº]],[1]!NOMINA[#Data],4,FALSE)</f>
        <v>#REF!</v>
      </c>
      <c r="T6135" t="e">
        <f>VLOOKUP(R6135,[1]!NOMINA[#Data],5,FALSE)</f>
        <v>#REF!</v>
      </c>
    </row>
    <row r="6136" spans="1:20" x14ac:dyDescent="0.25">
      <c r="A6136" s="22">
        <v>45852</v>
      </c>
      <c r="B6136" s="1">
        <v>915167784</v>
      </c>
      <c r="C6136" t="s">
        <v>4620</v>
      </c>
      <c r="D6136" s="44">
        <v>-57139.79</v>
      </c>
      <c r="E6136" t="s">
        <v>35</v>
      </c>
      <c r="F6136" s="2">
        <v>212901001</v>
      </c>
      <c r="G6136" s="2" t="s">
        <v>91</v>
      </c>
      <c r="I6136" s="95" t="s">
        <v>7231</v>
      </c>
      <c r="J6136" t="s">
        <v>61</v>
      </c>
      <c r="K6136" t="s">
        <v>62</v>
      </c>
      <c r="M6136">
        <v>115.33</v>
      </c>
      <c r="N6136" s="4">
        <f t="shared" si="95"/>
        <v>-495.44602445157375</v>
      </c>
      <c r="O6136" t="s">
        <v>83</v>
      </c>
      <c r="R6136">
        <v>2</v>
      </c>
      <c r="S6136" t="e">
        <f>VLOOKUP(Tabla3[[#This Row],[Nº]],[1]!NOMINA[#Data],4,FALSE)</f>
        <v>#REF!</v>
      </c>
      <c r="T6136" t="e">
        <f>VLOOKUP(Tabla3[[#This Row],[Nº]],[1]!NOMINA[#Data],5,FALSE)</f>
        <v>#REF!</v>
      </c>
    </row>
    <row r="6137" spans="1:20" x14ac:dyDescent="0.25">
      <c r="A6137" s="22">
        <v>45852</v>
      </c>
      <c r="B6137" s="1">
        <v>915167781</v>
      </c>
      <c r="C6137" t="s">
        <v>4621</v>
      </c>
      <c r="D6137" s="44">
        <v>-3955.15</v>
      </c>
      <c r="E6137" t="s">
        <v>35</v>
      </c>
      <c r="F6137" s="2">
        <v>212901001</v>
      </c>
      <c r="G6137" s="2" t="s">
        <v>91</v>
      </c>
      <c r="I6137" s="95" t="s">
        <v>7231</v>
      </c>
      <c r="J6137" t="s">
        <v>61</v>
      </c>
      <c r="K6137" t="s">
        <v>62</v>
      </c>
      <c r="M6137">
        <v>115.33</v>
      </c>
      <c r="N6137" s="4">
        <f t="shared" si="95"/>
        <v>-34.29419925431371</v>
      </c>
      <c r="O6137" t="s">
        <v>83</v>
      </c>
      <c r="R6137">
        <v>25</v>
      </c>
      <c r="S6137" t="e">
        <f>VLOOKUP(Tabla3[[#This Row],[Nº]],[1]!NOMINA[#Data],4,FALSE)</f>
        <v>#REF!</v>
      </c>
      <c r="T6137" t="e">
        <f>VLOOKUP(R6137,[1]!NOMINA[#Data],5,FALSE)</f>
        <v>#REF!</v>
      </c>
    </row>
    <row r="6138" spans="1:20" x14ac:dyDescent="0.25">
      <c r="A6138" s="22">
        <v>45852</v>
      </c>
      <c r="B6138" s="1">
        <v>915167782</v>
      </c>
      <c r="C6138" t="s">
        <v>4622</v>
      </c>
      <c r="D6138" s="44">
        <v>-10803.74</v>
      </c>
      <c r="E6138" t="s">
        <v>35</v>
      </c>
      <c r="F6138" s="2">
        <v>212901001</v>
      </c>
      <c r="G6138" s="2" t="s">
        <v>91</v>
      </c>
      <c r="I6138" s="95" t="s">
        <v>7231</v>
      </c>
      <c r="J6138" t="s">
        <v>61</v>
      </c>
      <c r="K6138" t="s">
        <v>62</v>
      </c>
      <c r="M6138">
        <v>115.33</v>
      </c>
      <c r="N6138" s="4">
        <f t="shared" si="95"/>
        <v>-93.676753663400675</v>
      </c>
      <c r="O6138" t="s">
        <v>83</v>
      </c>
      <c r="R6138">
        <v>12</v>
      </c>
      <c r="S6138" t="e">
        <f>VLOOKUP(Tabla3[[#This Row],[Nº]],[1]!NOMINA[#Data],4,FALSE)</f>
        <v>#REF!</v>
      </c>
      <c r="T6138" t="e">
        <f>VLOOKUP(R6138,[1]!NOMINA[#Data],5,FALSE)</f>
        <v>#REF!</v>
      </c>
    </row>
    <row r="6139" spans="1:20" x14ac:dyDescent="0.25">
      <c r="A6139" s="22">
        <v>45852</v>
      </c>
      <c r="B6139" s="1">
        <v>15167785</v>
      </c>
      <c r="C6139" t="s">
        <v>4623</v>
      </c>
      <c r="D6139" s="44">
        <v>-4528.3500000000004</v>
      </c>
      <c r="E6139" t="s">
        <v>35</v>
      </c>
      <c r="F6139" s="2">
        <v>212901001</v>
      </c>
      <c r="G6139" s="2" t="s">
        <v>91</v>
      </c>
      <c r="I6139" s="95" t="s">
        <v>7231</v>
      </c>
      <c r="J6139" t="s">
        <v>61</v>
      </c>
      <c r="K6139" t="s">
        <v>62</v>
      </c>
      <c r="M6139">
        <v>115.33</v>
      </c>
      <c r="N6139" s="4">
        <f t="shared" si="95"/>
        <v>-39.264285094944945</v>
      </c>
      <c r="O6139" t="s">
        <v>83</v>
      </c>
      <c r="R6139">
        <v>28</v>
      </c>
      <c r="S6139" t="e">
        <f>VLOOKUP(Tabla3[[#This Row],[Nº]],[1]!NOMINA[#Data],4,FALSE)</f>
        <v>#REF!</v>
      </c>
      <c r="T6139" t="e">
        <f>VLOOKUP(R6139,[1]!NOMINA[#Data],5,FALSE)</f>
        <v>#REF!</v>
      </c>
    </row>
    <row r="6140" spans="1:20" x14ac:dyDescent="0.25">
      <c r="A6140" s="22">
        <v>45852</v>
      </c>
      <c r="B6140" s="1">
        <v>15167787</v>
      </c>
      <c r="C6140" t="s">
        <v>4624</v>
      </c>
      <c r="D6140" s="44">
        <v>-5680.46</v>
      </c>
      <c r="E6140" t="s">
        <v>35</v>
      </c>
      <c r="F6140" s="2">
        <v>212901001</v>
      </c>
      <c r="G6140" s="2" t="s">
        <v>91</v>
      </c>
      <c r="I6140" s="95" t="s">
        <v>7231</v>
      </c>
      <c r="J6140" t="s">
        <v>61</v>
      </c>
      <c r="K6140" t="s">
        <v>62</v>
      </c>
      <c r="M6140">
        <v>115.33</v>
      </c>
      <c r="N6140" s="4">
        <f t="shared" si="95"/>
        <v>-49.253966877655422</v>
      </c>
      <c r="O6140" t="s">
        <v>83</v>
      </c>
      <c r="R6140">
        <v>24</v>
      </c>
      <c r="S6140" t="e">
        <f>VLOOKUP(Tabla3[[#This Row],[Nº]],[1]!NOMINA[#Data],4,FALSE)</f>
        <v>#REF!</v>
      </c>
      <c r="T6140" t="e">
        <f>VLOOKUP(R6140,[1]!NOMINA[#Data],5,FALSE)</f>
        <v>#REF!</v>
      </c>
    </row>
    <row r="6141" spans="1:20" x14ac:dyDescent="0.25">
      <c r="A6141" s="22">
        <v>45852</v>
      </c>
      <c r="B6141" s="1">
        <v>15167791</v>
      </c>
      <c r="C6141" t="s">
        <v>4625</v>
      </c>
      <c r="D6141" s="44">
        <v>-3955.15</v>
      </c>
      <c r="E6141" t="s">
        <v>35</v>
      </c>
      <c r="F6141" s="2">
        <v>212901001</v>
      </c>
      <c r="G6141" s="2" t="s">
        <v>91</v>
      </c>
      <c r="I6141" s="95" t="s">
        <v>7231</v>
      </c>
      <c r="J6141" t="s">
        <v>61</v>
      </c>
      <c r="K6141" t="s">
        <v>62</v>
      </c>
      <c r="M6141">
        <v>115.33</v>
      </c>
      <c r="N6141" s="4">
        <f t="shared" si="95"/>
        <v>-34.29419925431371</v>
      </c>
      <c r="O6141" t="s">
        <v>83</v>
      </c>
      <c r="R6141">
        <v>27</v>
      </c>
      <c r="S6141" t="e">
        <f>VLOOKUP(Tabla3[[#This Row],[Nº]],[1]!NOMINA[#Data],4,FALSE)</f>
        <v>#REF!</v>
      </c>
      <c r="T6141" t="e">
        <f>VLOOKUP(R6141,[1]!NOMINA[#Data],5,FALSE)</f>
        <v>#REF!</v>
      </c>
    </row>
    <row r="6142" spans="1:20" x14ac:dyDescent="0.25">
      <c r="A6142" s="22">
        <v>45852</v>
      </c>
      <c r="B6142" s="1">
        <v>15167786</v>
      </c>
      <c r="C6142" t="s">
        <v>4626</v>
      </c>
      <c r="D6142" s="44">
        <v>-13168.59</v>
      </c>
      <c r="E6142" t="s">
        <v>35</v>
      </c>
      <c r="F6142" s="2">
        <v>212901001</v>
      </c>
      <c r="G6142" s="2" t="s">
        <v>91</v>
      </c>
      <c r="I6142" s="95" t="s">
        <v>7231</v>
      </c>
      <c r="J6142" t="s">
        <v>61</v>
      </c>
      <c r="K6142" t="s">
        <v>62</v>
      </c>
      <c r="M6142">
        <v>115.33</v>
      </c>
      <c r="N6142" s="4">
        <f t="shared" si="95"/>
        <v>-114.18182606433712</v>
      </c>
      <c r="O6142" t="s">
        <v>83</v>
      </c>
      <c r="R6142">
        <v>6</v>
      </c>
      <c r="S6142" t="e">
        <f>VLOOKUP(Tabla3[[#This Row],[Nº]],[1]!NOMINA[#Data],4,FALSE)</f>
        <v>#REF!</v>
      </c>
      <c r="T6142" t="e">
        <f>VLOOKUP(R6142,[1]!NOMINA[#Data],5,FALSE)</f>
        <v>#REF!</v>
      </c>
    </row>
    <row r="6143" spans="1:20" x14ac:dyDescent="0.25">
      <c r="A6143" s="22">
        <v>45852</v>
      </c>
      <c r="B6143" s="1">
        <v>15167789</v>
      </c>
      <c r="C6143" t="s">
        <v>4627</v>
      </c>
      <c r="D6143" s="44">
        <v>-37804.5</v>
      </c>
      <c r="E6143" t="s">
        <v>35</v>
      </c>
      <c r="F6143" s="2">
        <v>212901001</v>
      </c>
      <c r="G6143" s="2" t="s">
        <v>91</v>
      </c>
      <c r="I6143" s="95" t="s">
        <v>7231</v>
      </c>
      <c r="J6143" t="s">
        <v>61</v>
      </c>
      <c r="K6143" t="s">
        <v>62</v>
      </c>
      <c r="M6143">
        <v>115.33</v>
      </c>
      <c r="N6143" s="4">
        <f t="shared" si="95"/>
        <v>-327.79415590045954</v>
      </c>
      <c r="O6143" t="s">
        <v>83</v>
      </c>
      <c r="R6143">
        <v>3</v>
      </c>
      <c r="S6143" t="e">
        <f>VLOOKUP(Tabla3[[#This Row],[Nº]],[1]!NOMINA[#Data],4,FALSE)</f>
        <v>#REF!</v>
      </c>
      <c r="T6143" t="e">
        <f>VLOOKUP(R6143,[1]!NOMINA[#Data],5,FALSE)</f>
        <v>#REF!</v>
      </c>
    </row>
    <row r="6144" spans="1:20" x14ac:dyDescent="0.25">
      <c r="A6144" s="22">
        <v>45852</v>
      </c>
      <c r="B6144" s="1">
        <v>15167792</v>
      </c>
      <c r="C6144" t="s">
        <v>4628</v>
      </c>
      <c r="D6144" s="44">
        <v>-6453.87</v>
      </c>
      <c r="E6144" t="s">
        <v>35</v>
      </c>
      <c r="F6144" s="2">
        <v>212901001</v>
      </c>
      <c r="G6144" s="2" t="s">
        <v>91</v>
      </c>
      <c r="I6144" s="95" t="s">
        <v>7231</v>
      </c>
      <c r="J6144" t="s">
        <v>61</v>
      </c>
      <c r="K6144" t="s">
        <v>62</v>
      </c>
      <c r="M6144">
        <v>115.33</v>
      </c>
      <c r="N6144" s="4">
        <f t="shared" si="95"/>
        <v>-55.960027746466658</v>
      </c>
      <c r="O6144" t="s">
        <v>83</v>
      </c>
      <c r="R6144">
        <v>19</v>
      </c>
      <c r="S6144" t="e">
        <f>VLOOKUP(Tabla3[[#This Row],[Nº]],[1]!NOMINA[#Data],4,FALSE)</f>
        <v>#REF!</v>
      </c>
      <c r="T6144" t="e">
        <f>VLOOKUP(R6144,[1]!NOMINA[#Data],5,FALSE)</f>
        <v>#REF!</v>
      </c>
    </row>
    <row r="6145" spans="1:20" x14ac:dyDescent="0.25">
      <c r="A6145" s="22">
        <v>45852</v>
      </c>
      <c r="B6145" s="1">
        <v>15167793</v>
      </c>
      <c r="C6145" t="s">
        <v>4629</v>
      </c>
      <c r="D6145" s="44">
        <v>-9087.59</v>
      </c>
      <c r="E6145" t="s">
        <v>35</v>
      </c>
      <c r="F6145" s="2">
        <v>212901001</v>
      </c>
      <c r="G6145" s="2" t="s">
        <v>91</v>
      </c>
      <c r="I6145" s="95" t="s">
        <v>7231</v>
      </c>
      <c r="J6145" t="s">
        <v>61</v>
      </c>
      <c r="K6145" t="s">
        <v>62</v>
      </c>
      <c r="M6145">
        <v>115.33</v>
      </c>
      <c r="N6145" s="4">
        <f t="shared" si="95"/>
        <v>-78.796410300875749</v>
      </c>
      <c r="O6145" t="s">
        <v>83</v>
      </c>
      <c r="R6145">
        <v>5</v>
      </c>
      <c r="S6145" t="e">
        <f>VLOOKUP(Tabla3[[#This Row],[Nº]],[1]!NOMINA[#Data],4,FALSE)</f>
        <v>#REF!</v>
      </c>
      <c r="T6145" t="e">
        <f>VLOOKUP(R6145,[1]!NOMINA[#Data],5,FALSE)</f>
        <v>#REF!</v>
      </c>
    </row>
    <row r="6146" spans="1:20" x14ac:dyDescent="0.25">
      <c r="A6146" s="22">
        <v>45852</v>
      </c>
      <c r="B6146" s="1">
        <v>15167794</v>
      </c>
      <c r="C6146" t="s">
        <v>4630</v>
      </c>
      <c r="D6146" s="44">
        <v>-8562.44</v>
      </c>
      <c r="E6146" t="s">
        <v>35</v>
      </c>
      <c r="F6146" s="2">
        <v>212901001</v>
      </c>
      <c r="G6146" s="2" t="s">
        <v>91</v>
      </c>
      <c r="I6146" s="95" t="s">
        <v>7231</v>
      </c>
      <c r="J6146" t="s">
        <v>61</v>
      </c>
      <c r="K6146" t="s">
        <v>62</v>
      </c>
      <c r="M6146">
        <v>115.33</v>
      </c>
      <c r="N6146" s="4">
        <f t="shared" si="95"/>
        <v>-74.242954998699389</v>
      </c>
      <c r="O6146" t="s">
        <v>83</v>
      </c>
      <c r="R6146">
        <v>16</v>
      </c>
      <c r="S6146" t="e">
        <f>VLOOKUP(Tabla3[[#This Row],[Nº]],[1]!NOMINA[#Data],4,FALSE)</f>
        <v>#REF!</v>
      </c>
      <c r="T6146" t="e">
        <f>VLOOKUP(Tabla3[[#This Row],[Nº]],[1]!NOMINA[#Data],5,FALSE)</f>
        <v>#REF!</v>
      </c>
    </row>
    <row r="6147" spans="1:20" x14ac:dyDescent="0.25">
      <c r="A6147" s="22">
        <v>45852</v>
      </c>
      <c r="B6147" s="1">
        <v>115167797</v>
      </c>
      <c r="C6147" t="s">
        <v>4631</v>
      </c>
      <c r="D6147" s="44">
        <v>-45698.79</v>
      </c>
      <c r="E6147" t="s">
        <v>35</v>
      </c>
      <c r="F6147" s="2">
        <v>212901001</v>
      </c>
      <c r="G6147" s="2" t="s">
        <v>91</v>
      </c>
      <c r="I6147" s="95" t="s">
        <v>7231</v>
      </c>
      <c r="J6147" t="s">
        <v>61</v>
      </c>
      <c r="K6147" t="s">
        <v>62</v>
      </c>
      <c r="M6147">
        <v>115.33</v>
      </c>
      <c r="N6147" s="4">
        <f t="shared" si="95"/>
        <v>-396.24373536807423</v>
      </c>
      <c r="O6147" t="s">
        <v>83</v>
      </c>
      <c r="R6147">
        <v>1</v>
      </c>
      <c r="S6147" t="e">
        <f>VLOOKUP(R6147,[1]!NOMINA[#Data],4,FALSE)</f>
        <v>#REF!</v>
      </c>
      <c r="T6147" t="e">
        <f>VLOOKUP(R6147,[1]!NOMINA[#Data],5,FALSE)</f>
        <v>#REF!</v>
      </c>
    </row>
    <row r="6148" spans="1:20" x14ac:dyDescent="0.25">
      <c r="A6148" s="22">
        <v>45852</v>
      </c>
      <c r="B6148" s="1">
        <v>115167798</v>
      </c>
      <c r="C6148" t="s">
        <v>4632</v>
      </c>
      <c r="D6148" s="44">
        <v>-61.65</v>
      </c>
      <c r="E6148" t="s">
        <v>35</v>
      </c>
      <c r="F6148" s="2">
        <v>212901001</v>
      </c>
      <c r="G6148" s="2" t="s">
        <v>91</v>
      </c>
      <c r="I6148" s="95" t="s">
        <v>7231</v>
      </c>
      <c r="J6148" t="s">
        <v>61</v>
      </c>
      <c r="K6148" t="s">
        <v>62</v>
      </c>
      <c r="M6148">
        <v>115.33</v>
      </c>
      <c r="N6148" s="4">
        <f t="shared" si="95"/>
        <v>-0.53455302176363473</v>
      </c>
      <c r="O6148" t="s">
        <v>83</v>
      </c>
      <c r="R6148">
        <v>9</v>
      </c>
      <c r="S6148" t="e">
        <f>VLOOKUP(Tabla3[[#This Row],[Nº]],[1]!NOMINA[#Data],4,FALSE)</f>
        <v>#REF!</v>
      </c>
      <c r="T6148" t="e">
        <f>VLOOKUP(R6148,[1]!NOMINA[#Data],5,FALSE)</f>
        <v>#REF!</v>
      </c>
    </row>
    <row r="6149" spans="1:20" x14ac:dyDescent="0.25">
      <c r="A6149" s="22">
        <v>45852</v>
      </c>
      <c r="B6149" s="1">
        <v>15167795</v>
      </c>
      <c r="C6149" t="s">
        <v>4633</v>
      </c>
      <c r="D6149" s="44">
        <v>-4056.98</v>
      </c>
      <c r="E6149" t="s">
        <v>35</v>
      </c>
      <c r="F6149" s="2">
        <v>212901001</v>
      </c>
      <c r="G6149" s="2" t="s">
        <v>91</v>
      </c>
      <c r="I6149" s="95" t="s">
        <v>7231</v>
      </c>
      <c r="J6149" t="s">
        <v>61</v>
      </c>
      <c r="K6149" t="s">
        <v>62</v>
      </c>
      <c r="M6149">
        <v>115.33</v>
      </c>
      <c r="N6149" s="4">
        <f t="shared" si="95"/>
        <v>-35.177143848088093</v>
      </c>
      <c r="O6149" t="s">
        <v>83</v>
      </c>
      <c r="R6149">
        <v>7</v>
      </c>
      <c r="S6149" t="e">
        <f>VLOOKUP(Tabla3[[#This Row],[Nº]],[1]!NOMINA[#Data],4,FALSE)</f>
        <v>#REF!</v>
      </c>
      <c r="T6149" t="e">
        <f>VLOOKUP(R6149,[1]!NOMINA[#Data],5,FALSE)</f>
        <v>#REF!</v>
      </c>
    </row>
    <row r="6150" spans="1:20" x14ac:dyDescent="0.25">
      <c r="A6150" s="22">
        <v>45852</v>
      </c>
      <c r="B6150" s="1">
        <v>115167799</v>
      </c>
      <c r="C6150" t="s">
        <v>4634</v>
      </c>
      <c r="D6150" s="44">
        <v>-61.65</v>
      </c>
      <c r="E6150" t="s">
        <v>35</v>
      </c>
      <c r="F6150" s="2">
        <v>212901001</v>
      </c>
      <c r="G6150" s="2" t="s">
        <v>91</v>
      </c>
      <c r="I6150" s="95" t="s">
        <v>7231</v>
      </c>
      <c r="J6150" t="s">
        <v>61</v>
      </c>
      <c r="K6150" t="s">
        <v>62</v>
      </c>
      <c r="M6150">
        <v>115.33</v>
      </c>
      <c r="N6150" s="4">
        <f t="shared" si="95"/>
        <v>-0.53455302176363473</v>
      </c>
      <c r="O6150" t="s">
        <v>83</v>
      </c>
      <c r="R6150">
        <v>30</v>
      </c>
      <c r="S6150" t="e">
        <f>VLOOKUP(Tabla3[[#This Row],[Nº]],[1]!NOMINA[#Data],4,FALSE)</f>
        <v>#REF!</v>
      </c>
      <c r="T6150" t="e">
        <f>VLOOKUP(R6150,[1]!NOMINA[#Data],5,FALSE)</f>
        <v>#REF!</v>
      </c>
    </row>
    <row r="6151" spans="1:20" x14ac:dyDescent="0.25">
      <c r="A6151" s="22">
        <v>45852</v>
      </c>
      <c r="B6151" s="1">
        <v>115167800</v>
      </c>
      <c r="C6151" t="s">
        <v>4635</v>
      </c>
      <c r="D6151" s="44">
        <v>-61.65</v>
      </c>
      <c r="E6151" t="s">
        <v>35</v>
      </c>
      <c r="F6151" s="2">
        <v>212901001</v>
      </c>
      <c r="G6151" s="2" t="s">
        <v>91</v>
      </c>
      <c r="I6151" s="95" t="s">
        <v>7231</v>
      </c>
      <c r="J6151" t="s">
        <v>61</v>
      </c>
      <c r="K6151" t="s">
        <v>62</v>
      </c>
      <c r="M6151">
        <v>115.33</v>
      </c>
      <c r="N6151" s="4">
        <f t="shared" si="95"/>
        <v>-0.53455302176363473</v>
      </c>
      <c r="O6151" t="s">
        <v>83</v>
      </c>
      <c r="R6151">
        <v>26</v>
      </c>
      <c r="S6151" t="e">
        <f>VLOOKUP(Tabla3[[#This Row],[Nº]],[1]!NOMINA[#Data],4,FALSE)</f>
        <v>#REF!</v>
      </c>
      <c r="T6151" t="e">
        <f>VLOOKUP(Tabla3[[#This Row],[Nº]],[1]!NOMINA[#Data],5,FALSE)</f>
        <v>#REF!</v>
      </c>
    </row>
    <row r="6152" spans="1:20" x14ac:dyDescent="0.25">
      <c r="A6152" s="22">
        <v>45852</v>
      </c>
      <c r="B6152" s="1">
        <v>115167802</v>
      </c>
      <c r="C6152" t="s">
        <v>4636</v>
      </c>
      <c r="D6152" s="44">
        <v>-61.65</v>
      </c>
      <c r="E6152" t="s">
        <v>35</v>
      </c>
      <c r="F6152" s="2">
        <v>212901001</v>
      </c>
      <c r="G6152" s="2" t="s">
        <v>91</v>
      </c>
      <c r="I6152" s="95" t="s">
        <v>7231</v>
      </c>
      <c r="J6152" t="s">
        <v>61</v>
      </c>
      <c r="K6152" t="s">
        <v>62</v>
      </c>
      <c r="M6152">
        <v>115.33</v>
      </c>
      <c r="N6152" s="4">
        <f t="shared" si="95"/>
        <v>-0.53455302176363473</v>
      </c>
      <c r="O6152" t="s">
        <v>83</v>
      </c>
      <c r="R6152">
        <v>29</v>
      </c>
      <c r="S6152" t="e">
        <f>VLOOKUP(R6152,[1]!NOMINA[#Data],4,FALSE)</f>
        <v>#REF!</v>
      </c>
      <c r="T6152" t="e">
        <f>VLOOKUP(R6152,[1]!NOMINA[#Data],5,FALSE)</f>
        <v>#REF!</v>
      </c>
    </row>
    <row r="6153" spans="1:20" x14ac:dyDescent="0.25">
      <c r="A6153" s="22">
        <v>45852</v>
      </c>
      <c r="B6153" s="1">
        <v>115167803</v>
      </c>
      <c r="C6153" t="s">
        <v>4637</v>
      </c>
      <c r="D6153" s="44">
        <v>-61.65</v>
      </c>
      <c r="E6153" t="s">
        <v>35</v>
      </c>
      <c r="F6153" s="2">
        <v>212901001</v>
      </c>
      <c r="G6153" s="2" t="s">
        <v>91</v>
      </c>
      <c r="I6153" s="95" t="s">
        <v>7231</v>
      </c>
      <c r="J6153" t="s">
        <v>61</v>
      </c>
      <c r="K6153" t="s">
        <v>62</v>
      </c>
      <c r="M6153">
        <v>115.33</v>
      </c>
      <c r="N6153" s="4">
        <f t="shared" si="95"/>
        <v>-0.53455302176363473</v>
      </c>
      <c r="O6153" t="s">
        <v>83</v>
      </c>
      <c r="R6153">
        <v>10</v>
      </c>
      <c r="S6153" t="e">
        <f>VLOOKUP(Tabla3[[#This Row],[Nº]],[1]!NOMINA[#Data],4,FALSE)</f>
        <v>#REF!</v>
      </c>
      <c r="T6153" t="e">
        <f>VLOOKUP(R6153,[1]!NOMINA[#Data],5,FALSE)</f>
        <v>#REF!</v>
      </c>
    </row>
    <row r="6154" spans="1:20" x14ac:dyDescent="0.25">
      <c r="A6154" s="22">
        <v>45852</v>
      </c>
      <c r="B6154" s="1">
        <v>115167805</v>
      </c>
      <c r="C6154" t="s">
        <v>4638</v>
      </c>
      <c r="D6154" s="44">
        <v>-61.65</v>
      </c>
      <c r="E6154" t="s">
        <v>35</v>
      </c>
      <c r="F6154" s="2">
        <v>212901001</v>
      </c>
      <c r="G6154" s="2" t="s">
        <v>91</v>
      </c>
      <c r="I6154" s="95" t="s">
        <v>7231</v>
      </c>
      <c r="J6154" t="s">
        <v>61</v>
      </c>
      <c r="K6154" t="s">
        <v>62</v>
      </c>
      <c r="M6154">
        <v>115.33</v>
      </c>
      <c r="N6154" s="4">
        <f t="shared" si="95"/>
        <v>-0.53455302176363473</v>
      </c>
      <c r="O6154" t="s">
        <v>83</v>
      </c>
      <c r="R6154">
        <v>18</v>
      </c>
      <c r="S6154" t="e">
        <f>VLOOKUP(Tabla3[[#This Row],[Nº]],[1]!NOMINA[#Data],4,FALSE)</f>
        <v>#REF!</v>
      </c>
      <c r="T6154" t="e">
        <f>VLOOKUP(Tabla3[[#This Row],[Nº]],[1]!NOMINA[#Data],5,FALSE)</f>
        <v>#REF!</v>
      </c>
    </row>
    <row r="6155" spans="1:20" x14ac:dyDescent="0.25">
      <c r="A6155" s="22">
        <v>45852</v>
      </c>
      <c r="B6155" s="1">
        <v>115167801</v>
      </c>
      <c r="C6155" t="s">
        <v>4639</v>
      </c>
      <c r="D6155" s="44">
        <v>-61.65</v>
      </c>
      <c r="E6155" t="s">
        <v>35</v>
      </c>
      <c r="F6155" s="2">
        <v>212901001</v>
      </c>
      <c r="G6155" s="2" t="s">
        <v>91</v>
      </c>
      <c r="I6155" s="95" t="s">
        <v>7231</v>
      </c>
      <c r="J6155" t="s">
        <v>61</v>
      </c>
      <c r="K6155" t="s">
        <v>62</v>
      </c>
      <c r="M6155">
        <v>115.33</v>
      </c>
      <c r="N6155" s="4">
        <f t="shared" si="95"/>
        <v>-0.53455302176363473</v>
      </c>
      <c r="O6155" t="s">
        <v>83</v>
      </c>
      <c r="R6155">
        <v>35</v>
      </c>
      <c r="S6155" t="e">
        <f>VLOOKUP(Tabla3[[#This Row],[Nº]],[1]!NOMINA[#Data],4,FALSE)</f>
        <v>#REF!</v>
      </c>
      <c r="T6155" t="e">
        <f>VLOOKUP(R6155,[1]!NOMINA[#Data],5,FALSE)</f>
        <v>#REF!</v>
      </c>
    </row>
    <row r="6156" spans="1:20" x14ac:dyDescent="0.25">
      <c r="A6156" s="22">
        <v>45852</v>
      </c>
      <c r="B6156" s="1">
        <v>215167808</v>
      </c>
      <c r="C6156" t="s">
        <v>4640</v>
      </c>
      <c r="D6156" s="44">
        <v>-53.07</v>
      </c>
      <c r="E6156" t="s">
        <v>35</v>
      </c>
      <c r="F6156" s="2">
        <v>212901001</v>
      </c>
      <c r="G6156" s="2" t="s">
        <v>91</v>
      </c>
      <c r="I6156" s="95" t="s">
        <v>7231</v>
      </c>
      <c r="J6156" t="s">
        <v>61</v>
      </c>
      <c r="K6156" t="s">
        <v>62</v>
      </c>
      <c r="M6156">
        <v>115.33</v>
      </c>
      <c r="N6156" s="4">
        <f t="shared" ref="N6156:N6219" si="96">D6156/M6156</f>
        <v>-0.46015780802913381</v>
      </c>
      <c r="O6156" t="s">
        <v>83</v>
      </c>
      <c r="R6156">
        <v>20</v>
      </c>
      <c r="S6156" t="e">
        <f>VLOOKUP(Tabla3[[#This Row],[Nº]],[1]!NOMINA[#Data],4,FALSE)</f>
        <v>#REF!</v>
      </c>
      <c r="T6156" t="e">
        <f>VLOOKUP(R6156,[1]!NOMINA[#Data],5,FALSE)</f>
        <v>#REF!</v>
      </c>
    </row>
    <row r="6157" spans="1:20" x14ac:dyDescent="0.25">
      <c r="A6157" s="22">
        <v>45852</v>
      </c>
      <c r="B6157" s="1">
        <v>115167804</v>
      </c>
      <c r="C6157" t="s">
        <v>4641</v>
      </c>
      <c r="D6157" s="44">
        <v>-61.65</v>
      </c>
      <c r="E6157" t="s">
        <v>35</v>
      </c>
      <c r="F6157" s="2">
        <v>212901001</v>
      </c>
      <c r="G6157" s="2" t="s">
        <v>91</v>
      </c>
      <c r="I6157" s="95" t="s">
        <v>7231</v>
      </c>
      <c r="J6157" t="s">
        <v>61</v>
      </c>
      <c r="K6157" t="s">
        <v>62</v>
      </c>
      <c r="M6157">
        <v>115.33</v>
      </c>
      <c r="N6157" s="4">
        <f t="shared" si="96"/>
        <v>-0.53455302176363473</v>
      </c>
      <c r="O6157" t="s">
        <v>83</v>
      </c>
      <c r="R6157">
        <v>15</v>
      </c>
      <c r="S6157" t="e">
        <f>VLOOKUP(Tabla3[[#This Row],[Nº]],[1]!NOMINA[#Data],4,FALSE)</f>
        <v>#REF!</v>
      </c>
      <c r="T6157" t="e">
        <f>VLOOKUP(R6157,[1]!NOMINA[#Data],5,FALSE)</f>
        <v>#REF!</v>
      </c>
    </row>
    <row r="6158" spans="1:20" x14ac:dyDescent="0.25">
      <c r="A6158" s="22">
        <v>45852</v>
      </c>
      <c r="B6158" s="1">
        <v>215167807</v>
      </c>
      <c r="C6158" t="s">
        <v>4642</v>
      </c>
      <c r="D6158" s="44">
        <v>-61.65</v>
      </c>
      <c r="E6158" t="s">
        <v>35</v>
      </c>
      <c r="F6158" s="2">
        <v>212901001</v>
      </c>
      <c r="G6158" s="2" t="s">
        <v>91</v>
      </c>
      <c r="I6158" s="95" t="s">
        <v>7231</v>
      </c>
      <c r="J6158" t="s">
        <v>61</v>
      </c>
      <c r="K6158" t="s">
        <v>62</v>
      </c>
      <c r="M6158">
        <v>115.33</v>
      </c>
      <c r="N6158" s="4">
        <f t="shared" si="96"/>
        <v>-0.53455302176363473</v>
      </c>
      <c r="O6158" t="s">
        <v>83</v>
      </c>
      <c r="R6158">
        <v>33</v>
      </c>
      <c r="S6158" t="e">
        <f>VLOOKUP(R6158,[1]!NOMINA[#Data],4,FALSE)</f>
        <v>#REF!</v>
      </c>
      <c r="T6158" t="e">
        <f>VLOOKUP(R6158,[1]!NOMINA[#Data],5,FALSE)</f>
        <v>#REF!</v>
      </c>
    </row>
    <row r="6159" spans="1:20" x14ac:dyDescent="0.25">
      <c r="A6159" s="22">
        <v>45852</v>
      </c>
      <c r="B6159" s="1">
        <v>215167810</v>
      </c>
      <c r="C6159" t="s">
        <v>4643</v>
      </c>
      <c r="D6159" s="44">
        <v>-61.65</v>
      </c>
      <c r="E6159" t="s">
        <v>35</v>
      </c>
      <c r="F6159" s="2">
        <v>212901001</v>
      </c>
      <c r="G6159" s="2" t="s">
        <v>91</v>
      </c>
      <c r="I6159" s="95" t="s">
        <v>7231</v>
      </c>
      <c r="J6159" t="s">
        <v>61</v>
      </c>
      <c r="K6159" t="s">
        <v>62</v>
      </c>
      <c r="M6159">
        <v>115.33</v>
      </c>
      <c r="N6159" s="4">
        <f t="shared" si="96"/>
        <v>-0.53455302176363473</v>
      </c>
      <c r="O6159" t="s">
        <v>83</v>
      </c>
      <c r="R6159">
        <v>31</v>
      </c>
      <c r="S6159" t="e">
        <f>VLOOKUP(Tabla3[[#This Row],[Nº]],[1]!NOMINA[#Data],4,FALSE)</f>
        <v>#REF!</v>
      </c>
      <c r="T6159" t="e">
        <f>VLOOKUP(R6159,[1]!NOMINA[#Data],5,FALSE)</f>
        <v>#REF!</v>
      </c>
    </row>
    <row r="6160" spans="1:20" x14ac:dyDescent="0.25">
      <c r="A6160" s="22">
        <v>45852</v>
      </c>
      <c r="B6160" s="1">
        <v>215167809</v>
      </c>
      <c r="C6160" t="s">
        <v>4644</v>
      </c>
      <c r="D6160" s="44">
        <v>-61.65</v>
      </c>
      <c r="E6160" t="s">
        <v>35</v>
      </c>
      <c r="F6160" s="2">
        <v>212901001</v>
      </c>
      <c r="G6160" s="2" t="s">
        <v>91</v>
      </c>
      <c r="I6160" s="95" t="s">
        <v>7231</v>
      </c>
      <c r="J6160" t="s">
        <v>61</v>
      </c>
      <c r="K6160" t="s">
        <v>62</v>
      </c>
      <c r="M6160">
        <v>115.33</v>
      </c>
      <c r="N6160" s="4">
        <f t="shared" si="96"/>
        <v>-0.53455302176363473</v>
      </c>
      <c r="O6160" t="s">
        <v>83</v>
      </c>
      <c r="R6160">
        <v>13</v>
      </c>
      <c r="S6160" t="e">
        <f>VLOOKUP(Tabla3[[#This Row],[Nº]],[1]!NOMINA[#Data],4,FALSE)</f>
        <v>#REF!</v>
      </c>
      <c r="T6160" t="e">
        <f>VLOOKUP(R6160,[1]!NOMINA[#Data],5,FALSE)</f>
        <v>#REF!</v>
      </c>
    </row>
    <row r="6161" spans="1:20" x14ac:dyDescent="0.25">
      <c r="A6161" s="22">
        <v>45852</v>
      </c>
      <c r="B6161" s="1">
        <v>215167813</v>
      </c>
      <c r="C6161" t="s">
        <v>4645</v>
      </c>
      <c r="D6161" s="44">
        <v>-61.65</v>
      </c>
      <c r="E6161" t="s">
        <v>35</v>
      </c>
      <c r="F6161" s="2">
        <v>212901001</v>
      </c>
      <c r="G6161" s="2" t="s">
        <v>91</v>
      </c>
      <c r="I6161" s="95" t="s">
        <v>7231</v>
      </c>
      <c r="J6161" t="s">
        <v>61</v>
      </c>
      <c r="K6161" t="s">
        <v>62</v>
      </c>
      <c r="M6161">
        <v>115.33</v>
      </c>
      <c r="N6161" s="4">
        <f t="shared" si="96"/>
        <v>-0.53455302176363473</v>
      </c>
      <c r="O6161" t="s">
        <v>83</v>
      </c>
      <c r="R6161">
        <v>8</v>
      </c>
      <c r="S6161" t="e">
        <f>VLOOKUP(Tabla3[[#This Row],[Nº]],[1]!NOMINA[#Data],4,FALSE)</f>
        <v>#REF!</v>
      </c>
      <c r="T6161" t="e">
        <f>VLOOKUP(R6161,[1]!NOMINA[#Data],5,FALSE)</f>
        <v>#REF!</v>
      </c>
    </row>
    <row r="6162" spans="1:20" x14ac:dyDescent="0.25">
      <c r="A6162" s="22">
        <v>45852</v>
      </c>
      <c r="B6162" s="1">
        <v>215167812</v>
      </c>
      <c r="C6162" t="s">
        <v>4646</v>
      </c>
      <c r="D6162" s="44">
        <v>-61.65</v>
      </c>
      <c r="E6162" t="s">
        <v>35</v>
      </c>
      <c r="F6162" s="2">
        <v>212901001</v>
      </c>
      <c r="G6162" s="2" t="s">
        <v>91</v>
      </c>
      <c r="I6162" s="95" t="s">
        <v>7231</v>
      </c>
      <c r="J6162" t="s">
        <v>61</v>
      </c>
      <c r="K6162" t="s">
        <v>62</v>
      </c>
      <c r="M6162">
        <v>115.33</v>
      </c>
      <c r="N6162" s="4">
        <f t="shared" si="96"/>
        <v>-0.53455302176363473</v>
      </c>
      <c r="O6162" t="s">
        <v>83</v>
      </c>
      <c r="R6162">
        <v>11</v>
      </c>
      <c r="S6162" t="e">
        <f>VLOOKUP(Tabla3[[#This Row],[Nº]],[1]!NOMINA[#Data],4,FALSE)</f>
        <v>#REF!</v>
      </c>
      <c r="T6162" t="e">
        <f>VLOOKUP(R6162,[1]!NOMINA[#Data],5,FALSE)</f>
        <v>#REF!</v>
      </c>
    </row>
    <row r="6163" spans="1:20" x14ac:dyDescent="0.25">
      <c r="A6163" s="22">
        <v>45852</v>
      </c>
      <c r="B6163" s="1">
        <v>215167814</v>
      </c>
      <c r="C6163" t="s">
        <v>4647</v>
      </c>
      <c r="D6163" s="44">
        <v>-61.65</v>
      </c>
      <c r="E6163" t="s">
        <v>35</v>
      </c>
      <c r="F6163" s="2">
        <v>212901001</v>
      </c>
      <c r="G6163" s="2" t="s">
        <v>91</v>
      </c>
      <c r="I6163" s="95" t="s">
        <v>7231</v>
      </c>
      <c r="J6163" t="s">
        <v>61</v>
      </c>
      <c r="K6163" t="s">
        <v>62</v>
      </c>
      <c r="M6163">
        <v>115.33</v>
      </c>
      <c r="N6163" s="4">
        <f t="shared" si="96"/>
        <v>-0.53455302176363473</v>
      </c>
      <c r="O6163" t="s">
        <v>83</v>
      </c>
      <c r="R6163">
        <v>23</v>
      </c>
      <c r="S6163" t="e">
        <f>VLOOKUP(Tabla3[[#This Row],[Nº]],[1]!NOMINA[#Data],4,FALSE)</f>
        <v>#REF!</v>
      </c>
      <c r="T6163" t="e">
        <f>VLOOKUP(R6163,[1]!NOMINA[#Data],5,FALSE)</f>
        <v>#REF!</v>
      </c>
    </row>
    <row r="6164" spans="1:20" x14ac:dyDescent="0.25">
      <c r="A6164" s="22">
        <v>45852</v>
      </c>
      <c r="B6164" s="1">
        <v>215167815</v>
      </c>
      <c r="C6164" t="s">
        <v>4648</v>
      </c>
      <c r="D6164" s="44">
        <v>-61.65</v>
      </c>
      <c r="E6164" t="s">
        <v>35</v>
      </c>
      <c r="F6164" s="2">
        <v>212901001</v>
      </c>
      <c r="G6164" s="2" t="s">
        <v>91</v>
      </c>
      <c r="I6164" s="95" t="s">
        <v>7231</v>
      </c>
      <c r="J6164" t="s">
        <v>61</v>
      </c>
      <c r="K6164" t="s">
        <v>62</v>
      </c>
      <c r="M6164">
        <v>115.33</v>
      </c>
      <c r="N6164" s="4">
        <f t="shared" si="96"/>
        <v>-0.53455302176363473</v>
      </c>
      <c r="O6164" t="s">
        <v>83</v>
      </c>
      <c r="R6164">
        <v>17</v>
      </c>
      <c r="S6164" t="e">
        <f>VLOOKUP(Tabla3[[#This Row],[Nº]],[1]!NOMINA[#Data],4,FALSE)</f>
        <v>#REF!</v>
      </c>
      <c r="T6164" t="e">
        <f>VLOOKUP(R6164,[1]!NOMINA[#Data],5,FALSE)</f>
        <v>#REF!</v>
      </c>
    </row>
    <row r="6165" spans="1:20" x14ac:dyDescent="0.25">
      <c r="A6165" s="22">
        <v>45852</v>
      </c>
      <c r="B6165" s="1">
        <v>315167816</v>
      </c>
      <c r="C6165" t="s">
        <v>4649</v>
      </c>
      <c r="D6165" s="44">
        <v>-61.65</v>
      </c>
      <c r="E6165" t="s">
        <v>35</v>
      </c>
      <c r="F6165" s="2">
        <v>212901001</v>
      </c>
      <c r="G6165" s="2" t="s">
        <v>91</v>
      </c>
      <c r="I6165" s="95" t="s">
        <v>7231</v>
      </c>
      <c r="J6165" t="s">
        <v>61</v>
      </c>
      <c r="K6165" t="s">
        <v>62</v>
      </c>
      <c r="M6165">
        <v>115.33</v>
      </c>
      <c r="N6165" s="4">
        <f t="shared" si="96"/>
        <v>-0.53455302176363473</v>
      </c>
      <c r="O6165" t="s">
        <v>83</v>
      </c>
      <c r="R6165">
        <v>32</v>
      </c>
      <c r="S6165" t="e">
        <f>VLOOKUP(Tabla3[[#This Row],[Nº]],[1]!NOMINA[#Data],4,FALSE)</f>
        <v>#REF!</v>
      </c>
      <c r="T6165" t="e">
        <f>VLOOKUP(R6165,[1]!NOMINA[#Data],5,FALSE)</f>
        <v>#REF!</v>
      </c>
    </row>
    <row r="6166" spans="1:20" x14ac:dyDescent="0.25">
      <c r="A6166" s="22">
        <v>45852</v>
      </c>
      <c r="B6166" s="1">
        <v>315167819</v>
      </c>
      <c r="C6166" t="s">
        <v>4650</v>
      </c>
      <c r="D6166" s="44">
        <v>-57.36</v>
      </c>
      <c r="E6166" t="s">
        <v>35</v>
      </c>
      <c r="F6166" s="2">
        <v>212901001</v>
      </c>
      <c r="G6166" s="2" t="s">
        <v>91</v>
      </c>
      <c r="I6166" s="95" t="s">
        <v>7231</v>
      </c>
      <c r="J6166" t="s">
        <v>61</v>
      </c>
      <c r="K6166" t="s">
        <v>62</v>
      </c>
      <c r="M6166">
        <v>115.33</v>
      </c>
      <c r="N6166" s="4">
        <f t="shared" si="96"/>
        <v>-0.4973554148963843</v>
      </c>
      <c r="O6166" t="s">
        <v>83</v>
      </c>
      <c r="R6166">
        <v>14</v>
      </c>
      <c r="S6166" t="e">
        <f>VLOOKUP(Tabla3[[#This Row],[Nº]],[1]!NOMINA[#Data],4,FALSE)</f>
        <v>#REF!</v>
      </c>
      <c r="T6166" t="e">
        <f>VLOOKUP(R6166,[1]!NOMINA[#Data],5,FALSE)</f>
        <v>#REF!</v>
      </c>
    </row>
    <row r="6167" spans="1:20" x14ac:dyDescent="0.25">
      <c r="A6167" s="22">
        <v>45852</v>
      </c>
      <c r="B6167" s="1">
        <v>315167818</v>
      </c>
      <c r="C6167" t="s">
        <v>4651</v>
      </c>
      <c r="D6167" s="44">
        <v>-61.65</v>
      </c>
      <c r="E6167" t="s">
        <v>35</v>
      </c>
      <c r="F6167" s="2">
        <v>212901001</v>
      </c>
      <c r="G6167" s="2" t="s">
        <v>91</v>
      </c>
      <c r="I6167" s="95" t="s">
        <v>7231</v>
      </c>
      <c r="J6167" t="s">
        <v>61</v>
      </c>
      <c r="K6167" t="s">
        <v>62</v>
      </c>
      <c r="M6167">
        <v>115.33</v>
      </c>
      <c r="N6167" s="4">
        <f t="shared" si="96"/>
        <v>-0.53455302176363473</v>
      </c>
      <c r="O6167" t="s">
        <v>83</v>
      </c>
      <c r="R6167">
        <v>4</v>
      </c>
      <c r="S6167" t="e">
        <f>VLOOKUP(Tabla3[[#This Row],[Nº]],[1]!NOMINA[#Data],4,FALSE)</f>
        <v>#REF!</v>
      </c>
      <c r="T6167" t="e">
        <f>VLOOKUP(R6167,[1]!NOMINA[#Data],5,FALSE)</f>
        <v>#REF!</v>
      </c>
    </row>
    <row r="6168" spans="1:20" x14ac:dyDescent="0.25">
      <c r="A6168" s="22">
        <v>45852</v>
      </c>
      <c r="B6168" s="1">
        <v>315167817</v>
      </c>
      <c r="C6168" t="s">
        <v>4652</v>
      </c>
      <c r="D6168" s="44">
        <v>-61.65</v>
      </c>
      <c r="E6168" t="s">
        <v>35</v>
      </c>
      <c r="F6168" s="2">
        <v>212901001</v>
      </c>
      <c r="G6168" s="2" t="s">
        <v>91</v>
      </c>
      <c r="I6168" s="95" t="s">
        <v>7231</v>
      </c>
      <c r="J6168" t="s">
        <v>61</v>
      </c>
      <c r="K6168" t="s">
        <v>62</v>
      </c>
      <c r="M6168">
        <v>115.33</v>
      </c>
      <c r="N6168" s="4">
        <f t="shared" si="96"/>
        <v>-0.53455302176363473</v>
      </c>
      <c r="O6168" t="s">
        <v>83</v>
      </c>
      <c r="R6168">
        <v>34</v>
      </c>
      <c r="S6168" t="e">
        <f>VLOOKUP(R6168,[1]!NOMINA[#Data],4,FALSE)</f>
        <v>#REF!</v>
      </c>
      <c r="T6168" t="e">
        <f>VLOOKUP(R6168,[1]!NOMINA[#Data],5,FALSE)</f>
        <v>#REF!</v>
      </c>
    </row>
    <row r="6169" spans="1:20" x14ac:dyDescent="0.25">
      <c r="A6169" s="22">
        <v>45852</v>
      </c>
      <c r="B6169" s="1">
        <v>315167822</v>
      </c>
      <c r="C6169" t="s">
        <v>4653</v>
      </c>
      <c r="D6169" s="44">
        <v>-61.65</v>
      </c>
      <c r="E6169" t="s">
        <v>35</v>
      </c>
      <c r="F6169" s="2">
        <v>212901001</v>
      </c>
      <c r="G6169" s="2" t="s">
        <v>91</v>
      </c>
      <c r="I6169" s="95" t="s">
        <v>7231</v>
      </c>
      <c r="J6169" t="s">
        <v>61</v>
      </c>
      <c r="K6169" t="s">
        <v>62</v>
      </c>
      <c r="M6169">
        <v>115.33</v>
      </c>
      <c r="N6169" s="4">
        <f t="shared" si="96"/>
        <v>-0.53455302176363473</v>
      </c>
      <c r="O6169" t="s">
        <v>83</v>
      </c>
      <c r="R6169">
        <v>22</v>
      </c>
      <c r="S6169" t="e">
        <f>VLOOKUP(Tabla3[[#This Row],[Nº]],[1]!NOMINA[#Data],4,FALSE)</f>
        <v>#REF!</v>
      </c>
      <c r="T6169" t="e">
        <f>VLOOKUP(R6169,[1]!NOMINA[#Data],5,FALSE)</f>
        <v>#REF!</v>
      </c>
    </row>
    <row r="6170" spans="1:20" x14ac:dyDescent="0.25">
      <c r="A6170" s="22">
        <v>45852</v>
      </c>
      <c r="B6170" s="1">
        <v>315167820</v>
      </c>
      <c r="C6170" t="s">
        <v>4654</v>
      </c>
      <c r="D6170" s="44">
        <v>-61.65</v>
      </c>
      <c r="E6170" t="s">
        <v>35</v>
      </c>
      <c r="F6170" s="2">
        <v>212901001</v>
      </c>
      <c r="G6170" s="2" t="s">
        <v>91</v>
      </c>
      <c r="I6170" s="95" t="s">
        <v>7231</v>
      </c>
      <c r="J6170" t="s">
        <v>61</v>
      </c>
      <c r="K6170" t="s">
        <v>62</v>
      </c>
      <c r="M6170">
        <v>115.33</v>
      </c>
      <c r="N6170" s="4">
        <f t="shared" si="96"/>
        <v>-0.53455302176363473</v>
      </c>
      <c r="O6170" t="s">
        <v>83</v>
      </c>
      <c r="R6170">
        <v>21</v>
      </c>
      <c r="S6170" t="e">
        <f>VLOOKUP(Tabla3[[#This Row],[Nº]],[1]!NOMINA[#Data],4,FALSE)</f>
        <v>#REF!</v>
      </c>
      <c r="T6170" t="e">
        <f>VLOOKUP(R6170,[1]!NOMINA[#Data],5,FALSE)</f>
        <v>#REF!</v>
      </c>
    </row>
    <row r="6171" spans="1:20" x14ac:dyDescent="0.25">
      <c r="A6171" s="22">
        <v>45852</v>
      </c>
      <c r="B6171" s="1">
        <v>315167824</v>
      </c>
      <c r="C6171" t="s">
        <v>4655</v>
      </c>
      <c r="D6171" s="44">
        <v>-61.65</v>
      </c>
      <c r="E6171" t="s">
        <v>35</v>
      </c>
      <c r="F6171" s="2">
        <v>212901001</v>
      </c>
      <c r="G6171" s="2" t="s">
        <v>91</v>
      </c>
      <c r="I6171" s="95" t="s">
        <v>7231</v>
      </c>
      <c r="J6171" t="s">
        <v>61</v>
      </c>
      <c r="K6171" t="s">
        <v>62</v>
      </c>
      <c r="M6171">
        <v>115.33</v>
      </c>
      <c r="N6171" s="4">
        <f t="shared" si="96"/>
        <v>-0.53455302176363473</v>
      </c>
      <c r="O6171" t="s">
        <v>83</v>
      </c>
      <c r="R6171">
        <v>25</v>
      </c>
      <c r="S6171" t="e">
        <f>VLOOKUP(Tabla3[[#This Row],[Nº]],[1]!NOMINA[#Data],4,FALSE)</f>
        <v>#REF!</v>
      </c>
      <c r="T6171" t="e">
        <f>VLOOKUP(R6171,[1]!NOMINA[#Data],5,FALSE)</f>
        <v>#REF!</v>
      </c>
    </row>
    <row r="6172" spans="1:20" x14ac:dyDescent="0.25">
      <c r="A6172" s="22">
        <v>45852</v>
      </c>
      <c r="B6172" s="1">
        <v>315167823</v>
      </c>
      <c r="C6172" t="s">
        <v>4656</v>
      </c>
      <c r="D6172" s="44">
        <v>-61.65</v>
      </c>
      <c r="E6172" t="s">
        <v>35</v>
      </c>
      <c r="F6172" s="2">
        <v>212901001</v>
      </c>
      <c r="G6172" s="2" t="s">
        <v>91</v>
      </c>
      <c r="I6172" s="95" t="s">
        <v>7231</v>
      </c>
      <c r="J6172" t="s">
        <v>61</v>
      </c>
      <c r="K6172" t="s">
        <v>62</v>
      </c>
      <c r="M6172">
        <v>115.33</v>
      </c>
      <c r="N6172" s="4">
        <f t="shared" si="96"/>
        <v>-0.53455302176363473</v>
      </c>
      <c r="O6172" t="s">
        <v>83</v>
      </c>
      <c r="R6172">
        <v>12</v>
      </c>
      <c r="S6172" t="e">
        <f>VLOOKUP(Tabla3[[#This Row],[Nº]],[1]!NOMINA[#Data],4,FALSE)</f>
        <v>#REF!</v>
      </c>
      <c r="T6172" t="e">
        <f>VLOOKUP(R6172,[1]!NOMINA[#Data],5,FALSE)</f>
        <v>#REF!</v>
      </c>
    </row>
    <row r="6173" spans="1:20" x14ac:dyDescent="0.25">
      <c r="A6173" s="22">
        <v>45852</v>
      </c>
      <c r="B6173" s="1">
        <v>415167825</v>
      </c>
      <c r="C6173" t="s">
        <v>4657</v>
      </c>
      <c r="D6173" s="44">
        <v>-57.36</v>
      </c>
      <c r="E6173" t="s">
        <v>35</v>
      </c>
      <c r="F6173" s="2">
        <v>212901001</v>
      </c>
      <c r="G6173" s="2" t="s">
        <v>91</v>
      </c>
      <c r="I6173" s="95" t="s">
        <v>7231</v>
      </c>
      <c r="J6173" t="s">
        <v>61</v>
      </c>
      <c r="K6173" t="s">
        <v>62</v>
      </c>
      <c r="M6173">
        <v>115.33</v>
      </c>
      <c r="N6173" s="4">
        <f t="shared" si="96"/>
        <v>-0.4973554148963843</v>
      </c>
      <c r="O6173" t="s">
        <v>83</v>
      </c>
      <c r="R6173">
        <v>6</v>
      </c>
      <c r="S6173" t="e">
        <f>VLOOKUP(Tabla3[[#This Row],[Nº]],[1]!NOMINA[#Data],4,FALSE)</f>
        <v>#REF!</v>
      </c>
      <c r="T6173" t="e">
        <f>VLOOKUP(R6173,[1]!NOMINA[#Data],5,FALSE)</f>
        <v>#REF!</v>
      </c>
    </row>
    <row r="6174" spans="1:20" x14ac:dyDescent="0.25">
      <c r="A6174" s="22">
        <v>45852</v>
      </c>
      <c r="B6174" s="1">
        <v>415167827</v>
      </c>
      <c r="C6174" t="s">
        <v>4658</v>
      </c>
      <c r="D6174" s="44">
        <v>-61.65</v>
      </c>
      <c r="E6174" t="s">
        <v>35</v>
      </c>
      <c r="F6174" s="2">
        <v>212901001</v>
      </c>
      <c r="G6174" s="2" t="s">
        <v>91</v>
      </c>
      <c r="I6174" s="95" t="s">
        <v>7231</v>
      </c>
      <c r="J6174" t="s">
        <v>61</v>
      </c>
      <c r="K6174" t="s">
        <v>62</v>
      </c>
      <c r="M6174">
        <v>115.33</v>
      </c>
      <c r="N6174" s="4">
        <f t="shared" si="96"/>
        <v>-0.53455302176363473</v>
      </c>
      <c r="O6174" t="s">
        <v>83</v>
      </c>
      <c r="R6174">
        <v>2</v>
      </c>
      <c r="S6174" t="e">
        <f>VLOOKUP(Tabla3[[#This Row],[Nº]],[1]!NOMINA[#Data],4,FALSE)</f>
        <v>#REF!</v>
      </c>
      <c r="T6174" t="e">
        <f>VLOOKUP(Tabla3[[#This Row],[Nº]],[1]!NOMINA[#Data],5,FALSE)</f>
        <v>#REF!</v>
      </c>
    </row>
    <row r="6175" spans="1:20" x14ac:dyDescent="0.25">
      <c r="A6175" s="22">
        <v>45852</v>
      </c>
      <c r="B6175" s="1">
        <v>415167826</v>
      </c>
      <c r="C6175" t="s">
        <v>4659</v>
      </c>
      <c r="D6175" s="44">
        <v>-61.65</v>
      </c>
      <c r="E6175" t="s">
        <v>35</v>
      </c>
      <c r="F6175" s="2">
        <v>212901001</v>
      </c>
      <c r="G6175" s="2" t="s">
        <v>91</v>
      </c>
      <c r="I6175" s="95" t="s">
        <v>7231</v>
      </c>
      <c r="J6175" t="s">
        <v>61</v>
      </c>
      <c r="K6175" t="s">
        <v>62</v>
      </c>
      <c r="M6175">
        <v>115.33</v>
      </c>
      <c r="N6175" s="4">
        <f t="shared" si="96"/>
        <v>-0.53455302176363473</v>
      </c>
      <c r="O6175" t="s">
        <v>83</v>
      </c>
      <c r="R6175">
        <v>28</v>
      </c>
      <c r="S6175" t="e">
        <f>VLOOKUP(Tabla3[[#This Row],[Nº]],[1]!NOMINA[#Data],4,FALSE)</f>
        <v>#REF!</v>
      </c>
      <c r="T6175" t="e">
        <f>VLOOKUP(R6175,[1]!NOMINA[#Data],5,FALSE)</f>
        <v>#REF!</v>
      </c>
    </row>
    <row r="6176" spans="1:20" x14ac:dyDescent="0.25">
      <c r="A6176" s="22">
        <v>45852</v>
      </c>
      <c r="B6176" s="1">
        <v>315167821</v>
      </c>
      <c r="C6176" t="s">
        <v>4660</v>
      </c>
      <c r="D6176" s="44">
        <v>-61.65</v>
      </c>
      <c r="E6176" t="s">
        <v>35</v>
      </c>
      <c r="F6176" s="2">
        <v>212901001</v>
      </c>
      <c r="G6176" s="2" t="s">
        <v>91</v>
      </c>
      <c r="I6176" s="95" t="s">
        <v>7231</v>
      </c>
      <c r="J6176" t="s">
        <v>61</v>
      </c>
      <c r="K6176" t="s">
        <v>62</v>
      </c>
      <c r="M6176">
        <v>115.33</v>
      </c>
      <c r="N6176" s="4">
        <f t="shared" si="96"/>
        <v>-0.53455302176363473</v>
      </c>
      <c r="O6176" t="s">
        <v>83</v>
      </c>
      <c r="R6176">
        <v>24</v>
      </c>
      <c r="S6176" t="e">
        <f>VLOOKUP(Tabla3[[#This Row],[Nº]],[1]!NOMINA[#Data],4,FALSE)</f>
        <v>#REF!</v>
      </c>
      <c r="T6176" t="e">
        <f>VLOOKUP(R6176,[1]!NOMINA[#Data],5,FALSE)</f>
        <v>#REF!</v>
      </c>
    </row>
    <row r="6177" spans="1:20" x14ac:dyDescent="0.25">
      <c r="A6177" s="22">
        <v>45852</v>
      </c>
      <c r="B6177" s="1">
        <v>415167828</v>
      </c>
      <c r="C6177" t="s">
        <v>4661</v>
      </c>
      <c r="D6177" s="44">
        <v>-61.65</v>
      </c>
      <c r="E6177" t="s">
        <v>35</v>
      </c>
      <c r="F6177" s="2">
        <v>212901001</v>
      </c>
      <c r="G6177" s="2" t="s">
        <v>91</v>
      </c>
      <c r="I6177" s="95" t="s">
        <v>7231</v>
      </c>
      <c r="J6177" t="s">
        <v>61</v>
      </c>
      <c r="K6177" t="s">
        <v>62</v>
      </c>
      <c r="M6177">
        <v>115.33</v>
      </c>
      <c r="N6177" s="4">
        <f t="shared" si="96"/>
        <v>-0.53455302176363473</v>
      </c>
      <c r="O6177" t="s">
        <v>83</v>
      </c>
      <c r="R6177">
        <v>3</v>
      </c>
      <c r="S6177" t="e">
        <f>VLOOKUP(Tabla3[[#This Row],[Nº]],[1]!NOMINA[#Data],4,FALSE)</f>
        <v>#REF!</v>
      </c>
      <c r="T6177" t="e">
        <f>VLOOKUP(R6177,[1]!NOMINA[#Data],5,FALSE)</f>
        <v>#REF!</v>
      </c>
    </row>
    <row r="6178" spans="1:20" x14ac:dyDescent="0.25">
      <c r="A6178" s="22">
        <v>45852</v>
      </c>
      <c r="B6178" s="1">
        <v>415167829</v>
      </c>
      <c r="C6178" t="s">
        <v>4662</v>
      </c>
      <c r="D6178" s="44">
        <v>-61.65</v>
      </c>
      <c r="E6178" t="s">
        <v>35</v>
      </c>
      <c r="F6178" s="2">
        <v>212901001</v>
      </c>
      <c r="G6178" s="2" t="s">
        <v>91</v>
      </c>
      <c r="I6178" s="95" t="s">
        <v>7231</v>
      </c>
      <c r="J6178" t="s">
        <v>61</v>
      </c>
      <c r="K6178" t="s">
        <v>62</v>
      </c>
      <c r="M6178">
        <v>115.33</v>
      </c>
      <c r="N6178" s="4">
        <f t="shared" si="96"/>
        <v>-0.53455302176363473</v>
      </c>
      <c r="O6178" t="s">
        <v>83</v>
      </c>
      <c r="R6178">
        <v>27</v>
      </c>
      <c r="S6178" t="e">
        <f>VLOOKUP(Tabla3[[#This Row],[Nº]],[1]!NOMINA[#Data],4,FALSE)</f>
        <v>#REF!</v>
      </c>
      <c r="T6178" t="e">
        <f>VLOOKUP(R6178,[1]!NOMINA[#Data],5,FALSE)</f>
        <v>#REF!</v>
      </c>
    </row>
    <row r="6179" spans="1:20" x14ac:dyDescent="0.25">
      <c r="A6179" s="22">
        <v>45852</v>
      </c>
      <c r="B6179" s="1">
        <v>415167830</v>
      </c>
      <c r="C6179" t="s">
        <v>4663</v>
      </c>
      <c r="D6179" s="44">
        <v>-61.65</v>
      </c>
      <c r="E6179" t="s">
        <v>35</v>
      </c>
      <c r="F6179" s="2">
        <v>212901001</v>
      </c>
      <c r="G6179" s="2" t="s">
        <v>91</v>
      </c>
      <c r="I6179" s="95" t="s">
        <v>7231</v>
      </c>
      <c r="J6179" t="s">
        <v>61</v>
      </c>
      <c r="K6179" t="s">
        <v>62</v>
      </c>
      <c r="M6179">
        <v>115.33</v>
      </c>
      <c r="N6179" s="4">
        <f t="shared" si="96"/>
        <v>-0.53455302176363473</v>
      </c>
      <c r="O6179" t="s">
        <v>83</v>
      </c>
      <c r="R6179">
        <v>19</v>
      </c>
      <c r="S6179" t="e">
        <f>VLOOKUP(Tabla3[[#This Row],[Nº]],[1]!NOMINA[#Data],4,FALSE)</f>
        <v>#REF!</v>
      </c>
      <c r="T6179" t="e">
        <f>VLOOKUP(R6179,[1]!NOMINA[#Data],5,FALSE)</f>
        <v>#REF!</v>
      </c>
    </row>
    <row r="6180" spans="1:20" x14ac:dyDescent="0.25">
      <c r="A6180" s="22">
        <v>45852</v>
      </c>
      <c r="B6180" s="1">
        <v>415167833</v>
      </c>
      <c r="C6180" t="s">
        <v>4664</v>
      </c>
      <c r="D6180" s="44">
        <v>-61.65</v>
      </c>
      <c r="E6180" t="s">
        <v>35</v>
      </c>
      <c r="F6180" s="2">
        <v>212901001</v>
      </c>
      <c r="G6180" s="2" t="s">
        <v>91</v>
      </c>
      <c r="I6180" s="95" t="s">
        <v>7231</v>
      </c>
      <c r="J6180" t="s">
        <v>61</v>
      </c>
      <c r="K6180" t="s">
        <v>62</v>
      </c>
      <c r="M6180">
        <v>115.33</v>
      </c>
      <c r="N6180" s="4">
        <f t="shared" si="96"/>
        <v>-0.53455302176363473</v>
      </c>
      <c r="O6180" t="s">
        <v>83</v>
      </c>
      <c r="R6180">
        <v>5</v>
      </c>
      <c r="S6180" t="e">
        <f>VLOOKUP(Tabla3[[#This Row],[Nº]],[1]!NOMINA[#Data],4,FALSE)</f>
        <v>#REF!</v>
      </c>
      <c r="T6180" t="e">
        <f>VLOOKUP(R6180,[1]!NOMINA[#Data],5,FALSE)</f>
        <v>#REF!</v>
      </c>
    </row>
    <row r="6181" spans="1:20" x14ac:dyDescent="0.25">
      <c r="A6181" s="22">
        <v>45852</v>
      </c>
      <c r="B6181" s="1">
        <v>415167832</v>
      </c>
      <c r="C6181" t="s">
        <v>4665</v>
      </c>
      <c r="D6181" s="44">
        <v>-61.65</v>
      </c>
      <c r="E6181" t="s">
        <v>35</v>
      </c>
      <c r="F6181" s="2">
        <v>212901001</v>
      </c>
      <c r="G6181" s="2" t="s">
        <v>91</v>
      </c>
      <c r="I6181" s="95" t="s">
        <v>7231</v>
      </c>
      <c r="J6181" t="s">
        <v>61</v>
      </c>
      <c r="K6181" t="s">
        <v>62</v>
      </c>
      <c r="M6181">
        <v>115.33</v>
      </c>
      <c r="N6181" s="4">
        <f t="shared" si="96"/>
        <v>-0.53455302176363473</v>
      </c>
      <c r="O6181" t="s">
        <v>83</v>
      </c>
      <c r="R6181">
        <v>16</v>
      </c>
      <c r="S6181" t="e">
        <f>VLOOKUP(Tabla3[[#This Row],[Nº]],[1]!NOMINA[#Data],4,FALSE)</f>
        <v>#REF!</v>
      </c>
      <c r="T6181" t="e">
        <f>VLOOKUP(Tabla3[[#This Row],[Nº]],[1]!NOMINA[#Data],5,FALSE)</f>
        <v>#REF!</v>
      </c>
    </row>
    <row r="6182" spans="1:20" x14ac:dyDescent="0.25">
      <c r="A6182" s="22">
        <v>45852</v>
      </c>
      <c r="B6182" s="1">
        <v>415167831</v>
      </c>
      <c r="C6182" t="s">
        <v>4666</v>
      </c>
      <c r="D6182" s="44">
        <v>-61.65</v>
      </c>
      <c r="E6182" t="s">
        <v>35</v>
      </c>
      <c r="F6182" s="2">
        <v>212901001</v>
      </c>
      <c r="G6182" s="2" t="s">
        <v>91</v>
      </c>
      <c r="I6182" s="95" t="s">
        <v>7231</v>
      </c>
      <c r="J6182" t="s">
        <v>61</v>
      </c>
      <c r="K6182" t="s">
        <v>62</v>
      </c>
      <c r="M6182">
        <v>115.33</v>
      </c>
      <c r="N6182" s="4">
        <f t="shared" si="96"/>
        <v>-0.53455302176363473</v>
      </c>
      <c r="O6182" t="s">
        <v>83</v>
      </c>
      <c r="R6182">
        <v>7</v>
      </c>
      <c r="S6182" t="e">
        <f>VLOOKUP(Tabla3[[#This Row],[Nº]],[1]!NOMINA[#Data],4,FALSE)</f>
        <v>#REF!</v>
      </c>
      <c r="T6182" t="e">
        <f>VLOOKUP(R6182,[1]!NOMINA[#Data],5,FALSE)</f>
        <v>#REF!</v>
      </c>
    </row>
    <row r="6183" spans="1:20" x14ac:dyDescent="0.25">
      <c r="A6183" s="22">
        <v>45852</v>
      </c>
      <c r="B6183" s="1">
        <v>50744066</v>
      </c>
      <c r="C6183" t="s">
        <v>89</v>
      </c>
      <c r="D6183" s="44">
        <v>-993.88</v>
      </c>
      <c r="E6183" t="s">
        <v>35</v>
      </c>
      <c r="F6183" s="2">
        <v>610148001</v>
      </c>
      <c r="G6183" s="2" t="s">
        <v>41</v>
      </c>
      <c r="I6183" s="95" t="s">
        <v>7231</v>
      </c>
      <c r="J6183" t="s">
        <v>42</v>
      </c>
      <c r="K6183" t="s">
        <v>41</v>
      </c>
      <c r="M6183">
        <v>115.33</v>
      </c>
      <c r="N6183" s="4">
        <f t="shared" si="96"/>
        <v>-8.617705714037978</v>
      </c>
      <c r="O6183" t="s">
        <v>83</v>
      </c>
      <c r="Q6183" s="24" t="s">
        <v>4392</v>
      </c>
    </row>
    <row r="6184" spans="1:20" x14ac:dyDescent="0.25">
      <c r="A6184" s="22">
        <v>45852</v>
      </c>
      <c r="B6184" s="1">
        <v>50744066</v>
      </c>
      <c r="C6184" t="s">
        <v>792</v>
      </c>
      <c r="D6184" s="44">
        <v>-0.26</v>
      </c>
      <c r="E6184" t="s">
        <v>35</v>
      </c>
      <c r="F6184" s="2">
        <v>610148001</v>
      </c>
      <c r="G6184" s="2" t="s">
        <v>41</v>
      </c>
      <c r="I6184" s="95" t="s">
        <v>7231</v>
      </c>
      <c r="J6184" t="s">
        <v>42</v>
      </c>
      <c r="K6184" t="s">
        <v>41</v>
      </c>
      <c r="M6184">
        <v>115.33</v>
      </c>
      <c r="N6184" s="4">
        <f t="shared" si="96"/>
        <v>-2.2544004161970002E-3</v>
      </c>
      <c r="O6184" t="s">
        <v>83</v>
      </c>
      <c r="Q6184" s="24" t="s">
        <v>4392</v>
      </c>
    </row>
    <row r="6185" spans="1:20" x14ac:dyDescent="0.25">
      <c r="A6185" s="22">
        <v>45852</v>
      </c>
      <c r="B6185" s="1">
        <v>15168101</v>
      </c>
      <c r="C6185" t="s">
        <v>4667</v>
      </c>
      <c r="D6185" s="44">
        <v>-61.65</v>
      </c>
      <c r="E6185" t="s">
        <v>35</v>
      </c>
      <c r="F6185" s="2">
        <v>212901001</v>
      </c>
      <c r="G6185" s="2" t="s">
        <v>91</v>
      </c>
      <c r="I6185" s="95" t="s">
        <v>7231</v>
      </c>
      <c r="J6185" t="s">
        <v>61</v>
      </c>
      <c r="K6185" t="s">
        <v>62</v>
      </c>
      <c r="M6185">
        <v>115.33</v>
      </c>
      <c r="N6185" s="4">
        <f t="shared" si="96"/>
        <v>-0.53455302176363473</v>
      </c>
      <c r="O6185" t="s">
        <v>83</v>
      </c>
      <c r="R6185">
        <v>1</v>
      </c>
      <c r="S6185" t="e">
        <f>VLOOKUP(R6185,[1]!NOMINA[#Data],4,FALSE)</f>
        <v>#REF!</v>
      </c>
      <c r="T6185" t="e">
        <f>VLOOKUP(R6185,[1]!NOMINA[#Data],5,FALSE)</f>
        <v>#REF!</v>
      </c>
    </row>
    <row r="6186" spans="1:20" x14ac:dyDescent="0.25">
      <c r="A6186" s="22">
        <v>45852</v>
      </c>
      <c r="B6186" s="1">
        <v>15168100</v>
      </c>
      <c r="C6186" t="s">
        <v>4668</v>
      </c>
      <c r="D6186" s="44">
        <v>-11452.44</v>
      </c>
      <c r="E6186" t="s">
        <v>35</v>
      </c>
      <c r="F6186" s="2">
        <v>212901001</v>
      </c>
      <c r="G6186" s="2" t="s">
        <v>91</v>
      </c>
      <c r="I6186" s="95" t="s">
        <v>7231</v>
      </c>
      <c r="J6186" t="s">
        <v>61</v>
      </c>
      <c r="K6186" t="s">
        <v>62</v>
      </c>
      <c r="M6186">
        <v>115.33</v>
      </c>
      <c r="N6186" s="4">
        <f t="shared" si="96"/>
        <v>-99.301482701812191</v>
      </c>
      <c r="O6186" t="s">
        <v>83</v>
      </c>
      <c r="R6186">
        <v>33</v>
      </c>
      <c r="S6186" t="e">
        <f>VLOOKUP(R6186,[1]!NOMINA[#Data],4,FALSE)</f>
        <v>#REF!</v>
      </c>
      <c r="T6186" t="e">
        <f>VLOOKUP(R6186,[1]!NOMINA[#Data],5,FALSE)</f>
        <v>#REF!</v>
      </c>
    </row>
    <row r="6187" spans="1:20" x14ac:dyDescent="0.25">
      <c r="A6187" s="22">
        <v>45852</v>
      </c>
      <c r="B6187" s="1">
        <v>50737529</v>
      </c>
      <c r="C6187" t="s">
        <v>89</v>
      </c>
      <c r="D6187" s="44">
        <v>-28.78</v>
      </c>
      <c r="E6187" t="s">
        <v>35</v>
      </c>
      <c r="F6187" s="2">
        <v>610148001</v>
      </c>
      <c r="G6187" s="2" t="s">
        <v>41</v>
      </c>
      <c r="I6187" s="95" t="s">
        <v>7231</v>
      </c>
      <c r="J6187" t="s">
        <v>42</v>
      </c>
      <c r="K6187" t="s">
        <v>41</v>
      </c>
      <c r="M6187">
        <v>115.33</v>
      </c>
      <c r="N6187" s="4">
        <f t="shared" si="96"/>
        <v>-0.24954478453134485</v>
      </c>
      <c r="O6187" t="s">
        <v>83</v>
      </c>
      <c r="Q6187" s="24" t="s">
        <v>4392</v>
      </c>
    </row>
    <row r="6188" spans="1:20" x14ac:dyDescent="0.25">
      <c r="A6188" s="22">
        <v>45853</v>
      </c>
      <c r="B6188" s="1">
        <v>182547559</v>
      </c>
      <c r="C6188" t="s">
        <v>366</v>
      </c>
      <c r="D6188" s="44">
        <v>200000</v>
      </c>
      <c r="E6188" t="s">
        <v>45</v>
      </c>
      <c r="F6188" s="2">
        <v>210115002</v>
      </c>
      <c r="G6188" s="2" t="s">
        <v>46</v>
      </c>
      <c r="I6188" s="95" t="s">
        <v>7231</v>
      </c>
      <c r="K6188" t="s">
        <v>366</v>
      </c>
      <c r="M6188">
        <v>115.84</v>
      </c>
      <c r="N6188" s="4">
        <f t="shared" si="96"/>
        <v>1726.5193370165746</v>
      </c>
      <c r="O6188" t="s">
        <v>83</v>
      </c>
    </row>
    <row r="6189" spans="1:20" x14ac:dyDescent="0.25">
      <c r="A6189" s="22">
        <v>45853</v>
      </c>
      <c r="B6189" s="1">
        <v>82547754</v>
      </c>
      <c r="C6189" t="s">
        <v>366</v>
      </c>
      <c r="D6189" s="44">
        <v>200000</v>
      </c>
      <c r="E6189" t="s">
        <v>45</v>
      </c>
      <c r="F6189" s="2">
        <v>210115002</v>
      </c>
      <c r="G6189" s="2" t="s">
        <v>46</v>
      </c>
      <c r="I6189" s="95" t="s">
        <v>7231</v>
      </c>
      <c r="K6189" t="s">
        <v>366</v>
      </c>
      <c r="M6189">
        <v>115.84</v>
      </c>
      <c r="N6189" s="4">
        <f t="shared" si="96"/>
        <v>1726.5193370165746</v>
      </c>
      <c r="O6189" t="s">
        <v>83</v>
      </c>
    </row>
    <row r="6190" spans="1:20" x14ac:dyDescent="0.25">
      <c r="A6190" s="22">
        <v>45853</v>
      </c>
      <c r="B6190" s="1">
        <v>82547874</v>
      </c>
      <c r="C6190" t="s">
        <v>366</v>
      </c>
      <c r="D6190" s="44">
        <v>200000</v>
      </c>
      <c r="E6190" t="s">
        <v>45</v>
      </c>
      <c r="F6190" s="2">
        <v>210115002</v>
      </c>
      <c r="G6190" s="2" t="s">
        <v>46</v>
      </c>
      <c r="I6190" s="95" t="s">
        <v>7231</v>
      </c>
      <c r="K6190" t="s">
        <v>366</v>
      </c>
      <c r="M6190">
        <v>115.84</v>
      </c>
      <c r="N6190" s="4">
        <f t="shared" si="96"/>
        <v>1726.5193370165746</v>
      </c>
      <c r="O6190" t="s">
        <v>83</v>
      </c>
    </row>
    <row r="6191" spans="1:20" x14ac:dyDescent="0.25">
      <c r="A6191" s="22">
        <v>45853</v>
      </c>
      <c r="B6191" s="1">
        <v>215202267</v>
      </c>
      <c r="C6191" t="s">
        <v>4669</v>
      </c>
      <c r="D6191" s="44">
        <v>-3286.91</v>
      </c>
      <c r="E6191" t="s">
        <v>35</v>
      </c>
      <c r="F6191" s="2">
        <v>210101001</v>
      </c>
      <c r="G6191" s="2" t="s">
        <v>36</v>
      </c>
      <c r="I6191" s="95" t="s">
        <v>7231</v>
      </c>
      <c r="J6191" t="s">
        <v>383</v>
      </c>
      <c r="K6191" t="s">
        <v>384</v>
      </c>
      <c r="M6191">
        <v>115.84</v>
      </c>
      <c r="N6191" s="4">
        <f t="shared" si="96"/>
        <v>-28.374568370165743</v>
      </c>
      <c r="O6191" t="s">
        <v>83</v>
      </c>
    </row>
    <row r="6192" spans="1:20" x14ac:dyDescent="0.25">
      <c r="A6192" s="22">
        <v>45853</v>
      </c>
      <c r="B6192" s="1">
        <v>215202268</v>
      </c>
      <c r="C6192" t="s">
        <v>4670</v>
      </c>
      <c r="D6192" s="44">
        <v>-69534.570000000007</v>
      </c>
      <c r="E6192" t="s">
        <v>35</v>
      </c>
      <c r="F6192" s="2">
        <v>210101001</v>
      </c>
      <c r="G6192" s="2" t="s">
        <v>36</v>
      </c>
      <c r="I6192" s="95" t="s">
        <v>7231</v>
      </c>
      <c r="J6192" t="s">
        <v>1424</v>
      </c>
      <c r="K6192" t="s">
        <v>1425</v>
      </c>
      <c r="M6192">
        <v>115.84</v>
      </c>
      <c r="N6192" s="4">
        <f t="shared" si="96"/>
        <v>-600.26389848066299</v>
      </c>
      <c r="O6192" t="s">
        <v>83</v>
      </c>
    </row>
    <row r="6193" spans="1:17" x14ac:dyDescent="0.25">
      <c r="A6193" s="22">
        <v>45853</v>
      </c>
      <c r="B6193" s="1">
        <v>215202269</v>
      </c>
      <c r="C6193" t="s">
        <v>4670</v>
      </c>
      <c r="D6193" s="44">
        <v>-200000</v>
      </c>
      <c r="E6193" t="s">
        <v>35</v>
      </c>
      <c r="F6193" s="2">
        <v>210101001</v>
      </c>
      <c r="G6193" s="2" t="s">
        <v>36</v>
      </c>
      <c r="I6193" s="95" t="s">
        <v>7231</v>
      </c>
      <c r="J6193" t="s">
        <v>1424</v>
      </c>
      <c r="K6193" t="s">
        <v>1425</v>
      </c>
      <c r="M6193">
        <v>115.84</v>
      </c>
      <c r="N6193" s="4">
        <f t="shared" si="96"/>
        <v>-1726.5193370165746</v>
      </c>
      <c r="O6193" t="s">
        <v>83</v>
      </c>
    </row>
    <row r="6194" spans="1:17" x14ac:dyDescent="0.25">
      <c r="A6194" s="22">
        <v>45853</v>
      </c>
      <c r="B6194" s="1">
        <v>215202270</v>
      </c>
      <c r="C6194" t="s">
        <v>4671</v>
      </c>
      <c r="D6194" s="44">
        <v>-6689.14</v>
      </c>
      <c r="E6194" t="s">
        <v>35</v>
      </c>
      <c r="F6194" s="2">
        <v>210101001</v>
      </c>
      <c r="G6194" s="2" t="s">
        <v>36</v>
      </c>
      <c r="I6194" s="95" t="s">
        <v>7231</v>
      </c>
      <c r="J6194" t="s">
        <v>288</v>
      </c>
      <c r="K6194" t="s">
        <v>289</v>
      </c>
      <c r="M6194">
        <v>115.84</v>
      </c>
      <c r="N6194" s="4">
        <f t="shared" si="96"/>
        <v>-57.744647790055247</v>
      </c>
      <c r="O6194" t="s">
        <v>83</v>
      </c>
    </row>
    <row r="6195" spans="1:17" x14ac:dyDescent="0.25">
      <c r="A6195" s="22">
        <v>45853</v>
      </c>
      <c r="B6195" s="1">
        <v>215202273</v>
      </c>
      <c r="C6195" t="s">
        <v>4672</v>
      </c>
      <c r="D6195" s="44">
        <v>-133836.9</v>
      </c>
      <c r="E6195" t="s">
        <v>35</v>
      </c>
      <c r="F6195" s="2">
        <v>210101001</v>
      </c>
      <c r="G6195" s="2" t="s">
        <v>36</v>
      </c>
      <c r="I6195" s="95" t="s">
        <v>7231</v>
      </c>
      <c r="J6195" t="s">
        <v>37</v>
      </c>
      <c r="K6195" t="s">
        <v>38</v>
      </c>
      <c r="M6195">
        <v>115.84</v>
      </c>
      <c r="N6195" s="4">
        <f t="shared" si="96"/>
        <v>-1155.3599792817679</v>
      </c>
      <c r="O6195" t="s">
        <v>83</v>
      </c>
    </row>
    <row r="6196" spans="1:17" x14ac:dyDescent="0.25">
      <c r="A6196" s="22">
        <v>45853</v>
      </c>
      <c r="B6196" s="1">
        <v>215202272</v>
      </c>
      <c r="C6196" t="s">
        <v>4673</v>
      </c>
      <c r="D6196" s="44">
        <v>-42462.31</v>
      </c>
      <c r="E6196" t="s">
        <v>35</v>
      </c>
      <c r="F6196" s="2">
        <v>210101001</v>
      </c>
      <c r="G6196" s="2" t="s">
        <v>36</v>
      </c>
      <c r="I6196" s="95" t="s">
        <v>7231</v>
      </c>
      <c r="J6196" t="s">
        <v>928</v>
      </c>
      <c r="K6196" t="s">
        <v>929</v>
      </c>
      <c r="M6196">
        <v>115.84</v>
      </c>
      <c r="N6196" s="4">
        <f t="shared" si="96"/>
        <v>-366.55999654696132</v>
      </c>
      <c r="O6196" t="s">
        <v>83</v>
      </c>
    </row>
    <row r="6197" spans="1:17" x14ac:dyDescent="0.25">
      <c r="A6197" s="22">
        <v>45853</v>
      </c>
      <c r="B6197" s="1">
        <v>215202271</v>
      </c>
      <c r="C6197" t="s">
        <v>4674</v>
      </c>
      <c r="D6197" s="44">
        <v>-374.33</v>
      </c>
      <c r="E6197" t="s">
        <v>35</v>
      </c>
      <c r="F6197" s="2">
        <v>210101001</v>
      </c>
      <c r="G6197" s="2" t="s">
        <v>36</v>
      </c>
      <c r="I6197" s="95" t="s">
        <v>7231</v>
      </c>
      <c r="J6197" t="s">
        <v>599</v>
      </c>
      <c r="K6197" t="s">
        <v>600</v>
      </c>
      <c r="M6197">
        <v>115.84</v>
      </c>
      <c r="N6197" s="4">
        <f t="shared" si="96"/>
        <v>-3.2314399171270716</v>
      </c>
      <c r="O6197" t="s">
        <v>83</v>
      </c>
    </row>
    <row r="6198" spans="1:17" x14ac:dyDescent="0.25">
      <c r="A6198" s="22">
        <v>45853</v>
      </c>
      <c r="B6198" s="1">
        <v>215202274</v>
      </c>
      <c r="C6198" t="s">
        <v>4675</v>
      </c>
      <c r="D6198" s="44">
        <v>-73363.490000000005</v>
      </c>
      <c r="E6198" t="s">
        <v>35</v>
      </c>
      <c r="F6198" s="2">
        <v>210101001</v>
      </c>
      <c r="G6198" s="2" t="s">
        <v>36</v>
      </c>
      <c r="I6198" s="95" t="s">
        <v>7231</v>
      </c>
      <c r="J6198" t="s">
        <v>376</v>
      </c>
      <c r="K6198" t="s">
        <v>377</v>
      </c>
      <c r="M6198">
        <v>115.84</v>
      </c>
      <c r="N6198" s="4">
        <f t="shared" si="96"/>
        <v>-633.31742058011048</v>
      </c>
      <c r="O6198" t="s">
        <v>83</v>
      </c>
    </row>
    <row r="6199" spans="1:17" x14ac:dyDescent="0.25">
      <c r="A6199" s="22">
        <v>45853</v>
      </c>
      <c r="B6199" s="1">
        <v>50750479</v>
      </c>
      <c r="C6199" t="s">
        <v>89</v>
      </c>
      <c r="D6199" s="44">
        <v>-1323.86</v>
      </c>
      <c r="E6199" t="s">
        <v>35</v>
      </c>
      <c r="F6199" s="2">
        <v>610148001</v>
      </c>
      <c r="G6199" s="2" t="s">
        <v>41</v>
      </c>
      <c r="I6199" s="95" t="s">
        <v>7231</v>
      </c>
      <c r="J6199" t="s">
        <v>42</v>
      </c>
      <c r="K6199" t="s">
        <v>41</v>
      </c>
      <c r="M6199">
        <v>115.84</v>
      </c>
      <c r="N6199" s="4">
        <f t="shared" si="96"/>
        <v>-11.428349447513812</v>
      </c>
      <c r="O6199" t="s">
        <v>83</v>
      </c>
      <c r="Q6199" s="24" t="s">
        <v>4392</v>
      </c>
    </row>
    <row r="6200" spans="1:17" x14ac:dyDescent="0.25">
      <c r="A6200" s="22">
        <v>45853</v>
      </c>
      <c r="B6200" s="1">
        <v>145724640</v>
      </c>
      <c r="C6200" t="s">
        <v>4676</v>
      </c>
      <c r="D6200" s="44">
        <v>-24777.69</v>
      </c>
      <c r="E6200" t="s">
        <v>35</v>
      </c>
      <c r="F6200" s="2">
        <v>210101001</v>
      </c>
      <c r="G6200" s="2" t="s">
        <v>36</v>
      </c>
      <c r="I6200" s="95" t="s">
        <v>7231</v>
      </c>
      <c r="J6200" t="s">
        <v>37</v>
      </c>
      <c r="K6200" t="s">
        <v>38</v>
      </c>
      <c r="M6200">
        <v>115.84</v>
      </c>
      <c r="N6200" s="4">
        <f t="shared" si="96"/>
        <v>-213.89580455801104</v>
      </c>
      <c r="O6200" t="s">
        <v>83</v>
      </c>
    </row>
    <row r="6201" spans="1:17" x14ac:dyDescent="0.25">
      <c r="A6201" s="22">
        <v>45855</v>
      </c>
      <c r="B6201" s="1">
        <v>384835835</v>
      </c>
      <c r="C6201" t="s">
        <v>293</v>
      </c>
      <c r="D6201" s="44">
        <v>150000</v>
      </c>
      <c r="E6201" t="s">
        <v>45</v>
      </c>
      <c r="F6201" s="2">
        <v>210115002</v>
      </c>
      <c r="G6201" s="2" t="s">
        <v>46</v>
      </c>
      <c r="I6201" s="95" t="s">
        <v>7231</v>
      </c>
      <c r="K6201" t="s">
        <v>293</v>
      </c>
      <c r="M6201">
        <v>117.4</v>
      </c>
      <c r="N6201" s="4">
        <f t="shared" si="96"/>
        <v>1277.6831345826236</v>
      </c>
      <c r="O6201" t="s">
        <v>83</v>
      </c>
    </row>
    <row r="6202" spans="1:17" x14ac:dyDescent="0.25">
      <c r="A6202" s="22">
        <v>45855</v>
      </c>
      <c r="B6202" s="1">
        <v>715261366</v>
      </c>
      <c r="C6202" t="s">
        <v>4677</v>
      </c>
      <c r="D6202" s="44">
        <v>-105237.96</v>
      </c>
      <c r="E6202" t="s">
        <v>35</v>
      </c>
      <c r="F6202" s="2">
        <v>210101001</v>
      </c>
      <c r="G6202" s="2" t="s">
        <v>36</v>
      </c>
      <c r="I6202" s="95" t="s">
        <v>7231</v>
      </c>
      <c r="J6202" t="s">
        <v>288</v>
      </c>
      <c r="K6202" t="s">
        <v>289</v>
      </c>
      <c r="M6202">
        <v>117.4</v>
      </c>
      <c r="N6202" s="4">
        <f t="shared" si="96"/>
        <v>-896.40511073253833</v>
      </c>
      <c r="O6202" t="s">
        <v>83</v>
      </c>
    </row>
    <row r="6203" spans="1:17" x14ac:dyDescent="0.25">
      <c r="A6203" s="22">
        <v>45855</v>
      </c>
      <c r="B6203" s="1">
        <v>715261367</v>
      </c>
      <c r="C6203" t="s">
        <v>4678</v>
      </c>
      <c r="D6203" s="44">
        <v>-4095</v>
      </c>
      <c r="E6203" t="s">
        <v>35</v>
      </c>
      <c r="F6203" s="2">
        <v>210101001</v>
      </c>
      <c r="G6203" s="2" t="s">
        <v>36</v>
      </c>
      <c r="I6203" s="95" t="s">
        <v>7231</v>
      </c>
      <c r="J6203" t="s">
        <v>414</v>
      </c>
      <c r="K6203" t="s">
        <v>415</v>
      </c>
      <c r="M6203">
        <v>117.4</v>
      </c>
      <c r="N6203" s="4">
        <f t="shared" si="96"/>
        <v>-34.880749574105621</v>
      </c>
      <c r="O6203" t="s">
        <v>83</v>
      </c>
    </row>
    <row r="6204" spans="1:17" x14ac:dyDescent="0.25">
      <c r="A6204" s="22">
        <v>45855</v>
      </c>
      <c r="B6204" s="1">
        <v>50753419</v>
      </c>
      <c r="C6204" t="s">
        <v>89</v>
      </c>
      <c r="D6204" s="44">
        <v>-273.33</v>
      </c>
      <c r="E6204" t="s">
        <v>35</v>
      </c>
      <c r="F6204" s="2">
        <v>610148001</v>
      </c>
      <c r="G6204" s="2" t="s">
        <v>41</v>
      </c>
      <c r="I6204" s="95" t="s">
        <v>7231</v>
      </c>
      <c r="J6204" t="s">
        <v>42</v>
      </c>
      <c r="K6204" t="s">
        <v>41</v>
      </c>
      <c r="M6204">
        <v>117.4</v>
      </c>
      <c r="N6204" s="4">
        <f t="shared" si="96"/>
        <v>-2.3281942078364564</v>
      </c>
      <c r="O6204" t="s">
        <v>83</v>
      </c>
      <c r="Q6204" s="24" t="s">
        <v>4392</v>
      </c>
    </row>
    <row r="6205" spans="1:17" x14ac:dyDescent="0.25">
      <c r="A6205" s="22">
        <v>45856</v>
      </c>
      <c r="B6205" s="1">
        <v>215284376</v>
      </c>
      <c r="C6205" t="s">
        <v>4679</v>
      </c>
      <c r="D6205" s="44">
        <v>-41272.800000000003</v>
      </c>
      <c r="E6205" t="s">
        <v>35</v>
      </c>
      <c r="F6205" s="2">
        <v>210101001</v>
      </c>
      <c r="G6205" s="2" t="s">
        <v>36</v>
      </c>
      <c r="I6205" s="95" t="s">
        <v>7231</v>
      </c>
      <c r="J6205" t="s">
        <v>37</v>
      </c>
      <c r="K6205" t="s">
        <v>38</v>
      </c>
      <c r="M6205">
        <v>118.29</v>
      </c>
      <c r="N6205" s="4">
        <f t="shared" si="96"/>
        <v>-348.91199594217602</v>
      </c>
      <c r="O6205" t="s">
        <v>83</v>
      </c>
    </row>
    <row r="6206" spans="1:17" x14ac:dyDescent="0.25">
      <c r="A6206" s="22">
        <v>45856</v>
      </c>
      <c r="B6206" s="1">
        <v>215284376</v>
      </c>
      <c r="C6206" t="s">
        <v>185</v>
      </c>
      <c r="D6206" s="44">
        <v>-123.82</v>
      </c>
      <c r="E6206" t="s">
        <v>35</v>
      </c>
      <c r="F6206" s="2">
        <v>610148001</v>
      </c>
      <c r="G6206" s="2" t="s">
        <v>41</v>
      </c>
      <c r="I6206" s="95" t="s">
        <v>7231</v>
      </c>
      <c r="J6206" t="s">
        <v>42</v>
      </c>
      <c r="K6206" t="s">
        <v>41</v>
      </c>
      <c r="M6206">
        <v>118.29</v>
      </c>
      <c r="N6206" s="4">
        <f t="shared" si="96"/>
        <v>-1.0467495139065008</v>
      </c>
      <c r="O6206" t="s">
        <v>83</v>
      </c>
      <c r="Q6206" s="24" t="s">
        <v>4392</v>
      </c>
    </row>
    <row r="6207" spans="1:17" x14ac:dyDescent="0.25">
      <c r="A6207" s="22">
        <v>45856</v>
      </c>
      <c r="B6207" s="1">
        <v>15285340</v>
      </c>
      <c r="C6207" t="s">
        <v>4680</v>
      </c>
      <c r="D6207" s="44">
        <v>-24698.95</v>
      </c>
      <c r="E6207" t="s">
        <v>35</v>
      </c>
      <c r="F6207" s="2">
        <v>210101001</v>
      </c>
      <c r="G6207" s="2" t="s">
        <v>36</v>
      </c>
      <c r="I6207" s="95" t="s">
        <v>7231</v>
      </c>
      <c r="J6207" t="s">
        <v>376</v>
      </c>
      <c r="K6207" t="s">
        <v>377</v>
      </c>
      <c r="M6207">
        <v>118.29</v>
      </c>
      <c r="N6207" s="4">
        <f t="shared" si="96"/>
        <v>-208.79998309240003</v>
      </c>
      <c r="O6207" t="s">
        <v>83</v>
      </c>
    </row>
    <row r="6208" spans="1:17" x14ac:dyDescent="0.25">
      <c r="A6208" s="22">
        <v>45856</v>
      </c>
      <c r="B6208" s="1">
        <v>15285340</v>
      </c>
      <c r="C6208" t="s">
        <v>185</v>
      </c>
      <c r="D6208" s="44">
        <v>-74.099999999999994</v>
      </c>
      <c r="E6208" t="s">
        <v>35</v>
      </c>
      <c r="F6208" s="2">
        <v>610148001</v>
      </c>
      <c r="G6208" s="2" t="s">
        <v>41</v>
      </c>
      <c r="I6208" s="95" t="s">
        <v>7231</v>
      </c>
      <c r="J6208" t="s">
        <v>42</v>
      </c>
      <c r="K6208" t="s">
        <v>41</v>
      </c>
      <c r="M6208">
        <v>118.29</v>
      </c>
      <c r="N6208" s="4">
        <f t="shared" si="96"/>
        <v>-0.6264265787471468</v>
      </c>
      <c r="O6208" t="s">
        <v>83</v>
      </c>
      <c r="Q6208" s="24" t="s">
        <v>4392</v>
      </c>
    </row>
    <row r="6209" spans="1:15" x14ac:dyDescent="0.25">
      <c r="A6209" s="22">
        <v>45856</v>
      </c>
      <c r="B6209" s="1">
        <v>155023653</v>
      </c>
      <c r="C6209" t="s">
        <v>82</v>
      </c>
      <c r="D6209" s="44">
        <v>540000</v>
      </c>
      <c r="E6209" t="s">
        <v>45</v>
      </c>
      <c r="F6209" s="2">
        <v>210115002</v>
      </c>
      <c r="G6209" s="2" t="s">
        <v>46</v>
      </c>
      <c r="I6209" s="95" t="s">
        <v>7231</v>
      </c>
      <c r="K6209" t="s">
        <v>82</v>
      </c>
      <c r="M6209">
        <v>118.29</v>
      </c>
      <c r="N6209" s="4">
        <f t="shared" si="96"/>
        <v>4565.0519908698961</v>
      </c>
      <c r="O6209" t="s">
        <v>83</v>
      </c>
    </row>
    <row r="6210" spans="1:15" x14ac:dyDescent="0.25">
      <c r="A6210" s="22">
        <v>45856</v>
      </c>
      <c r="B6210" s="1">
        <v>15286924</v>
      </c>
      <c r="C6210" t="s">
        <v>4529</v>
      </c>
      <c r="D6210" s="44">
        <v>-9392</v>
      </c>
      <c r="E6210" t="s">
        <v>35</v>
      </c>
      <c r="F6210" s="2">
        <v>212901001</v>
      </c>
      <c r="G6210" s="2" t="s">
        <v>91</v>
      </c>
      <c r="I6210" s="95" t="s">
        <v>7231</v>
      </c>
      <c r="J6210" t="s">
        <v>61</v>
      </c>
      <c r="K6210" t="s">
        <v>62</v>
      </c>
      <c r="M6210">
        <v>118.29</v>
      </c>
      <c r="N6210" s="4">
        <f t="shared" si="96"/>
        <v>-79.398089441203823</v>
      </c>
      <c r="O6210" t="s">
        <v>83</v>
      </c>
    </row>
    <row r="6211" spans="1:15" x14ac:dyDescent="0.25">
      <c r="A6211" s="22">
        <v>45856</v>
      </c>
      <c r="B6211" s="1">
        <v>15286926</v>
      </c>
      <c r="C6211" t="s">
        <v>4530</v>
      </c>
      <c r="D6211" s="44">
        <v>-7044</v>
      </c>
      <c r="E6211" t="s">
        <v>35</v>
      </c>
      <c r="F6211" s="2">
        <v>212901001</v>
      </c>
      <c r="G6211" s="2" t="s">
        <v>91</v>
      </c>
      <c r="I6211" s="95" t="s">
        <v>7231</v>
      </c>
      <c r="J6211" t="s">
        <v>61</v>
      </c>
      <c r="K6211" t="s">
        <v>62</v>
      </c>
      <c r="M6211">
        <v>118.29</v>
      </c>
      <c r="N6211" s="4">
        <f t="shared" si="96"/>
        <v>-59.548567080902863</v>
      </c>
      <c r="O6211" t="s">
        <v>83</v>
      </c>
    </row>
    <row r="6212" spans="1:15" x14ac:dyDescent="0.25">
      <c r="A6212" s="22">
        <v>45856</v>
      </c>
      <c r="B6212" s="1">
        <v>15286925</v>
      </c>
      <c r="C6212" t="s">
        <v>4531</v>
      </c>
      <c r="D6212" s="44">
        <v>-7044</v>
      </c>
      <c r="E6212" t="s">
        <v>35</v>
      </c>
      <c r="F6212" s="2">
        <v>212901001</v>
      </c>
      <c r="G6212" s="2" t="s">
        <v>91</v>
      </c>
      <c r="I6212" s="95" t="s">
        <v>7231</v>
      </c>
      <c r="J6212" t="s">
        <v>61</v>
      </c>
      <c r="K6212" t="s">
        <v>62</v>
      </c>
      <c r="M6212">
        <v>118.29</v>
      </c>
      <c r="N6212" s="4">
        <f t="shared" si="96"/>
        <v>-59.548567080902863</v>
      </c>
      <c r="O6212" t="s">
        <v>83</v>
      </c>
    </row>
    <row r="6213" spans="1:15" x14ac:dyDescent="0.25">
      <c r="A6213" s="22">
        <v>45856</v>
      </c>
      <c r="B6213" s="1">
        <v>15286927</v>
      </c>
      <c r="C6213" t="s">
        <v>4532</v>
      </c>
      <c r="D6213" s="44">
        <v>-7044</v>
      </c>
      <c r="E6213" t="s">
        <v>35</v>
      </c>
      <c r="F6213" s="2">
        <v>212901001</v>
      </c>
      <c r="G6213" s="2" t="s">
        <v>91</v>
      </c>
      <c r="I6213" s="95" t="s">
        <v>7231</v>
      </c>
      <c r="J6213" t="s">
        <v>61</v>
      </c>
      <c r="K6213" t="s">
        <v>62</v>
      </c>
      <c r="M6213">
        <v>118.29</v>
      </c>
      <c r="N6213" s="4">
        <f t="shared" si="96"/>
        <v>-59.548567080902863</v>
      </c>
      <c r="O6213" t="s">
        <v>83</v>
      </c>
    </row>
    <row r="6214" spans="1:15" x14ac:dyDescent="0.25">
      <c r="A6214" s="22">
        <v>45856</v>
      </c>
      <c r="B6214" s="1">
        <v>15286928</v>
      </c>
      <c r="C6214" t="s">
        <v>4533</v>
      </c>
      <c r="D6214" s="44">
        <v>-7044</v>
      </c>
      <c r="E6214" t="s">
        <v>35</v>
      </c>
      <c r="F6214" s="2">
        <v>212901001</v>
      </c>
      <c r="G6214" s="2" t="s">
        <v>91</v>
      </c>
      <c r="I6214" s="95" t="s">
        <v>7231</v>
      </c>
      <c r="J6214" t="s">
        <v>61</v>
      </c>
      <c r="K6214" t="s">
        <v>62</v>
      </c>
      <c r="M6214">
        <v>118.29</v>
      </c>
      <c r="N6214" s="4">
        <f t="shared" si="96"/>
        <v>-59.548567080902863</v>
      </c>
      <c r="O6214" t="s">
        <v>83</v>
      </c>
    </row>
    <row r="6215" spans="1:15" x14ac:dyDescent="0.25">
      <c r="A6215" s="22">
        <v>45856</v>
      </c>
      <c r="B6215" s="1">
        <v>15286931</v>
      </c>
      <c r="C6215" t="s">
        <v>4681</v>
      </c>
      <c r="D6215" s="44">
        <v>-7044</v>
      </c>
      <c r="E6215" t="s">
        <v>35</v>
      </c>
      <c r="F6215" s="2">
        <v>212901001</v>
      </c>
      <c r="G6215" s="2" t="s">
        <v>91</v>
      </c>
      <c r="I6215" s="95" t="s">
        <v>7231</v>
      </c>
      <c r="J6215" t="s">
        <v>61</v>
      </c>
      <c r="K6215" t="s">
        <v>62</v>
      </c>
      <c r="M6215">
        <v>118.29</v>
      </c>
      <c r="N6215" s="4">
        <f t="shared" si="96"/>
        <v>-59.548567080902863</v>
      </c>
      <c r="O6215" t="s">
        <v>83</v>
      </c>
    </row>
    <row r="6216" spans="1:15" x14ac:dyDescent="0.25">
      <c r="A6216" s="22">
        <v>45856</v>
      </c>
      <c r="B6216" s="1">
        <v>15286930</v>
      </c>
      <c r="C6216" t="s">
        <v>4535</v>
      </c>
      <c r="D6216" s="44">
        <v>-7044</v>
      </c>
      <c r="E6216" t="s">
        <v>35</v>
      </c>
      <c r="F6216" s="2">
        <v>212901001</v>
      </c>
      <c r="G6216" s="2" t="s">
        <v>91</v>
      </c>
      <c r="I6216" s="95" t="s">
        <v>7231</v>
      </c>
      <c r="J6216" t="s">
        <v>61</v>
      </c>
      <c r="K6216" t="s">
        <v>62</v>
      </c>
      <c r="M6216">
        <v>118.29</v>
      </c>
      <c r="N6216" s="4">
        <f t="shared" si="96"/>
        <v>-59.548567080902863</v>
      </c>
      <c r="O6216" t="s">
        <v>83</v>
      </c>
    </row>
    <row r="6217" spans="1:15" x14ac:dyDescent="0.25">
      <c r="A6217" s="22">
        <v>45856</v>
      </c>
      <c r="B6217" s="1">
        <v>15286929</v>
      </c>
      <c r="C6217" t="s">
        <v>4536</v>
      </c>
      <c r="D6217" s="44">
        <v>-7044</v>
      </c>
      <c r="E6217" t="s">
        <v>35</v>
      </c>
      <c r="F6217" s="2">
        <v>212901001</v>
      </c>
      <c r="G6217" s="2" t="s">
        <v>91</v>
      </c>
      <c r="I6217" s="95" t="s">
        <v>7231</v>
      </c>
      <c r="J6217" t="s">
        <v>61</v>
      </c>
      <c r="K6217" t="s">
        <v>62</v>
      </c>
      <c r="M6217">
        <v>118.29</v>
      </c>
      <c r="N6217" s="4">
        <f t="shared" si="96"/>
        <v>-59.548567080902863</v>
      </c>
      <c r="O6217" t="s">
        <v>83</v>
      </c>
    </row>
    <row r="6218" spans="1:15" x14ac:dyDescent="0.25">
      <c r="A6218" s="22">
        <v>45856</v>
      </c>
      <c r="B6218" s="1">
        <v>115286936</v>
      </c>
      <c r="C6218" t="s">
        <v>4682</v>
      </c>
      <c r="D6218" s="44">
        <v>-7044</v>
      </c>
      <c r="E6218" t="s">
        <v>35</v>
      </c>
      <c r="F6218" s="2">
        <v>212901001</v>
      </c>
      <c r="G6218" s="2" t="s">
        <v>91</v>
      </c>
      <c r="I6218" s="95" t="s">
        <v>7231</v>
      </c>
      <c r="J6218" t="s">
        <v>61</v>
      </c>
      <c r="K6218" t="s">
        <v>62</v>
      </c>
      <c r="M6218">
        <v>118.29</v>
      </c>
      <c r="N6218" s="4">
        <f t="shared" si="96"/>
        <v>-59.548567080902863</v>
      </c>
      <c r="O6218" t="s">
        <v>83</v>
      </c>
    </row>
    <row r="6219" spans="1:15" x14ac:dyDescent="0.25">
      <c r="A6219" s="22">
        <v>45856</v>
      </c>
      <c r="B6219" s="1">
        <v>115286934</v>
      </c>
      <c r="C6219" t="s">
        <v>4538</v>
      </c>
      <c r="D6219" s="44">
        <v>-7044</v>
      </c>
      <c r="E6219" t="s">
        <v>35</v>
      </c>
      <c r="F6219" s="2">
        <v>212901001</v>
      </c>
      <c r="G6219" s="2" t="s">
        <v>91</v>
      </c>
      <c r="I6219" s="95" t="s">
        <v>7231</v>
      </c>
      <c r="J6219" t="s">
        <v>61</v>
      </c>
      <c r="K6219" t="s">
        <v>62</v>
      </c>
      <c r="M6219">
        <v>118.29</v>
      </c>
      <c r="N6219" s="4">
        <f t="shared" si="96"/>
        <v>-59.548567080902863</v>
      </c>
      <c r="O6219" t="s">
        <v>83</v>
      </c>
    </row>
    <row r="6220" spans="1:15" x14ac:dyDescent="0.25">
      <c r="A6220" s="22">
        <v>45856</v>
      </c>
      <c r="B6220" s="1">
        <v>115286938</v>
      </c>
      <c r="C6220" t="s">
        <v>4553</v>
      </c>
      <c r="D6220" s="44">
        <v>-7044</v>
      </c>
      <c r="E6220" t="s">
        <v>35</v>
      </c>
      <c r="F6220" s="2">
        <v>212901001</v>
      </c>
      <c r="G6220" s="2" t="s">
        <v>91</v>
      </c>
      <c r="I6220" s="95" t="s">
        <v>7231</v>
      </c>
      <c r="J6220" t="s">
        <v>61</v>
      </c>
      <c r="K6220" t="s">
        <v>62</v>
      </c>
      <c r="M6220">
        <v>118.29</v>
      </c>
      <c r="N6220" s="4">
        <f t="shared" ref="N6220:N6283" si="97">D6220/M6220</f>
        <v>-59.548567080902863</v>
      </c>
      <c r="O6220" t="s">
        <v>83</v>
      </c>
    </row>
    <row r="6221" spans="1:15" x14ac:dyDescent="0.25">
      <c r="A6221" s="22">
        <v>45856</v>
      </c>
      <c r="B6221" s="1">
        <v>115286933</v>
      </c>
      <c r="C6221" t="s">
        <v>4554</v>
      </c>
      <c r="D6221" s="44">
        <v>-7044</v>
      </c>
      <c r="E6221" t="s">
        <v>35</v>
      </c>
      <c r="F6221" s="2">
        <v>212901001</v>
      </c>
      <c r="G6221" s="2" t="s">
        <v>91</v>
      </c>
      <c r="I6221" s="95" t="s">
        <v>7231</v>
      </c>
      <c r="J6221" t="s">
        <v>61</v>
      </c>
      <c r="K6221" t="s">
        <v>62</v>
      </c>
      <c r="M6221">
        <v>118.29</v>
      </c>
      <c r="N6221" s="4">
        <f t="shared" si="97"/>
        <v>-59.548567080902863</v>
      </c>
      <c r="O6221" t="s">
        <v>83</v>
      </c>
    </row>
    <row r="6222" spans="1:15" x14ac:dyDescent="0.25">
      <c r="A6222" s="22">
        <v>45856</v>
      </c>
      <c r="B6222" s="1">
        <v>115286935</v>
      </c>
      <c r="C6222" t="s">
        <v>4578</v>
      </c>
      <c r="D6222" s="44">
        <v>-7044</v>
      </c>
      <c r="E6222" t="s">
        <v>35</v>
      </c>
      <c r="F6222" s="2">
        <v>212901001</v>
      </c>
      <c r="G6222" s="2" t="s">
        <v>91</v>
      </c>
      <c r="I6222" s="95" t="s">
        <v>7231</v>
      </c>
      <c r="J6222" t="s">
        <v>61</v>
      </c>
      <c r="K6222" t="s">
        <v>62</v>
      </c>
      <c r="M6222">
        <v>118.29</v>
      </c>
      <c r="N6222" s="4">
        <f t="shared" si="97"/>
        <v>-59.548567080902863</v>
      </c>
      <c r="O6222" t="s">
        <v>83</v>
      </c>
    </row>
    <row r="6223" spans="1:15" x14ac:dyDescent="0.25">
      <c r="A6223" s="22">
        <v>45856</v>
      </c>
      <c r="B6223" s="1">
        <v>115286940</v>
      </c>
      <c r="C6223" t="s">
        <v>4582</v>
      </c>
      <c r="D6223" s="44">
        <v>-7044</v>
      </c>
      <c r="E6223" t="s">
        <v>35</v>
      </c>
      <c r="F6223" s="2">
        <v>212901001</v>
      </c>
      <c r="G6223" s="2" t="s">
        <v>91</v>
      </c>
      <c r="I6223" s="95" t="s">
        <v>7231</v>
      </c>
      <c r="J6223" t="s">
        <v>61</v>
      </c>
      <c r="K6223" t="s">
        <v>62</v>
      </c>
      <c r="M6223">
        <v>118.29</v>
      </c>
      <c r="N6223" s="4">
        <f t="shared" si="97"/>
        <v>-59.548567080902863</v>
      </c>
      <c r="O6223" t="s">
        <v>83</v>
      </c>
    </row>
    <row r="6224" spans="1:15" x14ac:dyDescent="0.25">
      <c r="A6224" s="22">
        <v>45856</v>
      </c>
      <c r="B6224" s="1">
        <v>115286937</v>
      </c>
      <c r="C6224" t="s">
        <v>4534</v>
      </c>
      <c r="D6224" s="44">
        <v>-7044</v>
      </c>
      <c r="E6224" t="s">
        <v>35</v>
      </c>
      <c r="F6224" s="2">
        <v>212901001</v>
      </c>
      <c r="G6224" s="2" t="s">
        <v>91</v>
      </c>
      <c r="I6224" s="95" t="s">
        <v>7231</v>
      </c>
      <c r="J6224" t="s">
        <v>61</v>
      </c>
      <c r="K6224" t="s">
        <v>62</v>
      </c>
      <c r="M6224">
        <v>118.29</v>
      </c>
      <c r="N6224" s="4">
        <f t="shared" si="97"/>
        <v>-59.548567080902863</v>
      </c>
      <c r="O6224" t="s">
        <v>83</v>
      </c>
    </row>
    <row r="6225" spans="1:15" x14ac:dyDescent="0.25">
      <c r="A6225" s="22">
        <v>45856</v>
      </c>
      <c r="B6225" s="1">
        <v>115286939</v>
      </c>
      <c r="C6225" t="s">
        <v>4537</v>
      </c>
      <c r="D6225" s="44">
        <v>-7044</v>
      </c>
      <c r="E6225" t="s">
        <v>35</v>
      </c>
      <c r="F6225" s="2">
        <v>212901001</v>
      </c>
      <c r="G6225" s="2" t="s">
        <v>91</v>
      </c>
      <c r="I6225" s="95" t="s">
        <v>7231</v>
      </c>
      <c r="J6225" t="s">
        <v>61</v>
      </c>
      <c r="K6225" t="s">
        <v>62</v>
      </c>
      <c r="M6225">
        <v>118.29</v>
      </c>
      <c r="N6225" s="4">
        <f t="shared" si="97"/>
        <v>-59.548567080902863</v>
      </c>
      <c r="O6225" t="s">
        <v>83</v>
      </c>
    </row>
    <row r="6226" spans="1:15" x14ac:dyDescent="0.25">
      <c r="A6226" s="22">
        <v>45856</v>
      </c>
      <c r="B6226" s="1">
        <v>215286942</v>
      </c>
      <c r="C6226" t="s">
        <v>4543</v>
      </c>
      <c r="D6226" s="44">
        <v>-11740</v>
      </c>
      <c r="E6226" t="s">
        <v>35</v>
      </c>
      <c r="F6226" s="2">
        <v>212901001</v>
      </c>
      <c r="G6226" s="2" t="s">
        <v>91</v>
      </c>
      <c r="I6226" s="95" t="s">
        <v>7231</v>
      </c>
      <c r="J6226" t="s">
        <v>61</v>
      </c>
      <c r="K6226" t="s">
        <v>62</v>
      </c>
      <c r="M6226">
        <v>118.29</v>
      </c>
      <c r="N6226" s="4">
        <f t="shared" si="97"/>
        <v>-99.247611801504775</v>
      </c>
      <c r="O6226" t="s">
        <v>83</v>
      </c>
    </row>
    <row r="6227" spans="1:15" x14ac:dyDescent="0.25">
      <c r="A6227" s="22">
        <v>45856</v>
      </c>
      <c r="B6227" s="1">
        <v>215286945</v>
      </c>
      <c r="C6227" t="s">
        <v>4539</v>
      </c>
      <c r="D6227" s="44">
        <v>-9392</v>
      </c>
      <c r="E6227" t="s">
        <v>35</v>
      </c>
      <c r="F6227" s="2">
        <v>212901001</v>
      </c>
      <c r="G6227" s="2" t="s">
        <v>91</v>
      </c>
      <c r="I6227" s="95" t="s">
        <v>7231</v>
      </c>
      <c r="J6227" t="s">
        <v>61</v>
      </c>
      <c r="K6227" t="s">
        <v>62</v>
      </c>
      <c r="M6227">
        <v>118.29</v>
      </c>
      <c r="N6227" s="4">
        <f t="shared" si="97"/>
        <v>-79.398089441203823</v>
      </c>
      <c r="O6227" t="s">
        <v>83</v>
      </c>
    </row>
    <row r="6228" spans="1:15" x14ac:dyDescent="0.25">
      <c r="A6228" s="22">
        <v>45856</v>
      </c>
      <c r="B6228" s="1">
        <v>215286944</v>
      </c>
      <c r="C6228" t="s">
        <v>4541</v>
      </c>
      <c r="D6228" s="44">
        <v>-9392</v>
      </c>
      <c r="E6228" t="s">
        <v>35</v>
      </c>
      <c r="F6228" s="2">
        <v>212901001</v>
      </c>
      <c r="G6228" s="2" t="s">
        <v>91</v>
      </c>
      <c r="I6228" s="95" t="s">
        <v>7231</v>
      </c>
      <c r="J6228" t="s">
        <v>61</v>
      </c>
      <c r="K6228" t="s">
        <v>62</v>
      </c>
      <c r="M6228">
        <v>118.29</v>
      </c>
      <c r="N6228" s="4">
        <f t="shared" si="97"/>
        <v>-79.398089441203823</v>
      </c>
      <c r="O6228" t="s">
        <v>83</v>
      </c>
    </row>
    <row r="6229" spans="1:15" x14ac:dyDescent="0.25">
      <c r="A6229" s="22">
        <v>45856</v>
      </c>
      <c r="B6229" s="1">
        <v>215286949</v>
      </c>
      <c r="C6229" t="s">
        <v>4542</v>
      </c>
      <c r="D6229" s="44">
        <v>-9392</v>
      </c>
      <c r="E6229" t="s">
        <v>35</v>
      </c>
      <c r="F6229" s="2">
        <v>212901001</v>
      </c>
      <c r="G6229" s="2" t="s">
        <v>91</v>
      </c>
      <c r="I6229" s="95" t="s">
        <v>7231</v>
      </c>
      <c r="J6229" t="s">
        <v>61</v>
      </c>
      <c r="K6229" t="s">
        <v>62</v>
      </c>
      <c r="M6229">
        <v>118.29</v>
      </c>
      <c r="N6229" s="4">
        <f t="shared" si="97"/>
        <v>-79.398089441203823</v>
      </c>
      <c r="O6229" t="s">
        <v>83</v>
      </c>
    </row>
    <row r="6230" spans="1:15" x14ac:dyDescent="0.25">
      <c r="A6230" s="22">
        <v>45856</v>
      </c>
      <c r="B6230" s="1">
        <v>215286948</v>
      </c>
      <c r="C6230" t="s">
        <v>4544</v>
      </c>
      <c r="D6230" s="44">
        <v>-9392</v>
      </c>
      <c r="E6230" t="s">
        <v>35</v>
      </c>
      <c r="F6230" s="2">
        <v>212901001</v>
      </c>
      <c r="G6230" s="2" t="s">
        <v>91</v>
      </c>
      <c r="I6230" s="95" t="s">
        <v>7231</v>
      </c>
      <c r="J6230" t="s">
        <v>61</v>
      </c>
      <c r="K6230" t="s">
        <v>62</v>
      </c>
      <c r="M6230">
        <v>118.29</v>
      </c>
      <c r="N6230" s="4">
        <f t="shared" si="97"/>
        <v>-79.398089441203823</v>
      </c>
      <c r="O6230" t="s">
        <v>83</v>
      </c>
    </row>
    <row r="6231" spans="1:15" x14ac:dyDescent="0.25">
      <c r="A6231" s="22">
        <v>45856</v>
      </c>
      <c r="B6231" s="1">
        <v>215286950</v>
      </c>
      <c r="C6231" t="s">
        <v>4545</v>
      </c>
      <c r="D6231" s="44">
        <v>-9392</v>
      </c>
      <c r="E6231" t="s">
        <v>35</v>
      </c>
      <c r="F6231" s="2">
        <v>212901001</v>
      </c>
      <c r="G6231" s="2" t="s">
        <v>91</v>
      </c>
      <c r="I6231" s="95" t="s">
        <v>7231</v>
      </c>
      <c r="J6231" t="s">
        <v>61</v>
      </c>
      <c r="K6231" t="s">
        <v>62</v>
      </c>
      <c r="M6231">
        <v>118.29</v>
      </c>
      <c r="N6231" s="4">
        <f t="shared" si="97"/>
        <v>-79.398089441203823</v>
      </c>
      <c r="O6231" t="s">
        <v>83</v>
      </c>
    </row>
    <row r="6232" spans="1:15" x14ac:dyDescent="0.25">
      <c r="A6232" s="22">
        <v>45856</v>
      </c>
      <c r="B6232" s="1">
        <v>215286947</v>
      </c>
      <c r="C6232" t="s">
        <v>4576</v>
      </c>
      <c r="D6232" s="44">
        <v>-9392</v>
      </c>
      <c r="E6232" t="s">
        <v>35</v>
      </c>
      <c r="F6232" s="2">
        <v>212901001</v>
      </c>
      <c r="G6232" s="2" t="s">
        <v>91</v>
      </c>
      <c r="I6232" s="95" t="s">
        <v>7231</v>
      </c>
      <c r="J6232" t="s">
        <v>61</v>
      </c>
      <c r="K6232" t="s">
        <v>62</v>
      </c>
      <c r="M6232">
        <v>118.29</v>
      </c>
      <c r="N6232" s="4">
        <f t="shared" si="97"/>
        <v>-79.398089441203823</v>
      </c>
      <c r="O6232" t="s">
        <v>83</v>
      </c>
    </row>
    <row r="6233" spans="1:15" x14ac:dyDescent="0.25">
      <c r="A6233" s="22">
        <v>45856</v>
      </c>
      <c r="B6233" s="1">
        <v>215286952</v>
      </c>
      <c r="C6233" t="s">
        <v>4546</v>
      </c>
      <c r="D6233" s="44">
        <v>-5870</v>
      </c>
      <c r="E6233" t="s">
        <v>35</v>
      </c>
      <c r="F6233" s="2">
        <v>212901001</v>
      </c>
      <c r="G6233" s="2" t="s">
        <v>91</v>
      </c>
      <c r="I6233" s="95" t="s">
        <v>7231</v>
      </c>
      <c r="J6233" t="s">
        <v>61</v>
      </c>
      <c r="K6233" t="s">
        <v>62</v>
      </c>
      <c r="M6233">
        <v>118.29</v>
      </c>
      <c r="N6233" s="4">
        <f t="shared" si="97"/>
        <v>-49.623805900752387</v>
      </c>
      <c r="O6233" t="s">
        <v>83</v>
      </c>
    </row>
    <row r="6234" spans="1:15" x14ac:dyDescent="0.25">
      <c r="A6234" s="22">
        <v>45856</v>
      </c>
      <c r="B6234" s="1">
        <v>215286951</v>
      </c>
      <c r="C6234" t="s">
        <v>4548</v>
      </c>
      <c r="D6234" s="44">
        <v>-5870</v>
      </c>
      <c r="E6234" t="s">
        <v>35</v>
      </c>
      <c r="F6234" s="2">
        <v>212901001</v>
      </c>
      <c r="G6234" s="2" t="s">
        <v>91</v>
      </c>
      <c r="I6234" s="95" t="s">
        <v>7231</v>
      </c>
      <c r="J6234" t="s">
        <v>61</v>
      </c>
      <c r="K6234" t="s">
        <v>62</v>
      </c>
      <c r="M6234">
        <v>118.29</v>
      </c>
      <c r="N6234" s="4">
        <f t="shared" si="97"/>
        <v>-49.623805900752387</v>
      </c>
      <c r="O6234" t="s">
        <v>83</v>
      </c>
    </row>
    <row r="6235" spans="1:15" x14ac:dyDescent="0.25">
      <c r="A6235" s="22">
        <v>45856</v>
      </c>
      <c r="B6235" s="1">
        <v>315286955</v>
      </c>
      <c r="C6235" t="s">
        <v>4683</v>
      </c>
      <c r="D6235" s="44">
        <v>-5870</v>
      </c>
      <c r="E6235" t="s">
        <v>35</v>
      </c>
      <c r="F6235" s="2">
        <v>212901001</v>
      </c>
      <c r="G6235" s="2" t="s">
        <v>91</v>
      </c>
      <c r="I6235" s="95" t="s">
        <v>7231</v>
      </c>
      <c r="J6235" t="s">
        <v>61</v>
      </c>
      <c r="K6235" t="s">
        <v>62</v>
      </c>
      <c r="M6235">
        <v>118.29</v>
      </c>
      <c r="N6235" s="4">
        <f t="shared" si="97"/>
        <v>-49.623805900752387</v>
      </c>
      <c r="O6235" t="s">
        <v>83</v>
      </c>
    </row>
    <row r="6236" spans="1:15" x14ac:dyDescent="0.25">
      <c r="A6236" s="22">
        <v>45856</v>
      </c>
      <c r="B6236" s="1">
        <v>315286956</v>
      </c>
      <c r="C6236" t="s">
        <v>4684</v>
      </c>
      <c r="D6236" s="44">
        <v>-5870</v>
      </c>
      <c r="E6236" t="s">
        <v>35</v>
      </c>
      <c r="F6236" s="2">
        <v>212901001</v>
      </c>
      <c r="G6236" s="2" t="s">
        <v>91</v>
      </c>
      <c r="I6236" s="95" t="s">
        <v>7231</v>
      </c>
      <c r="J6236" t="s">
        <v>61</v>
      </c>
      <c r="K6236" t="s">
        <v>62</v>
      </c>
      <c r="M6236">
        <v>118.29</v>
      </c>
      <c r="N6236" s="4">
        <f t="shared" si="97"/>
        <v>-49.623805900752387</v>
      </c>
      <c r="O6236" t="s">
        <v>83</v>
      </c>
    </row>
    <row r="6237" spans="1:15" x14ac:dyDescent="0.25">
      <c r="A6237" s="22">
        <v>45856</v>
      </c>
      <c r="B6237" s="1">
        <v>215286953</v>
      </c>
      <c r="C6237" t="s">
        <v>4560</v>
      </c>
      <c r="D6237" s="44">
        <v>-5870</v>
      </c>
      <c r="E6237" t="s">
        <v>35</v>
      </c>
      <c r="F6237" s="2">
        <v>212901001</v>
      </c>
      <c r="G6237" s="2" t="s">
        <v>91</v>
      </c>
      <c r="I6237" s="95" t="s">
        <v>7231</v>
      </c>
      <c r="J6237" t="s">
        <v>61</v>
      </c>
      <c r="K6237" t="s">
        <v>62</v>
      </c>
      <c r="M6237">
        <v>118.29</v>
      </c>
      <c r="N6237" s="4">
        <f t="shared" si="97"/>
        <v>-49.623805900752387</v>
      </c>
      <c r="O6237" t="s">
        <v>83</v>
      </c>
    </row>
    <row r="6238" spans="1:15" x14ac:dyDescent="0.25">
      <c r="A6238" s="22">
        <v>45856</v>
      </c>
      <c r="B6238" s="1">
        <v>315286954</v>
      </c>
      <c r="C6238" t="s">
        <v>4561</v>
      </c>
      <c r="D6238" s="44">
        <v>-5870</v>
      </c>
      <c r="E6238" t="s">
        <v>35</v>
      </c>
      <c r="F6238" s="2">
        <v>212901001</v>
      </c>
      <c r="G6238" s="2" t="s">
        <v>91</v>
      </c>
      <c r="I6238" s="95" t="s">
        <v>7231</v>
      </c>
      <c r="J6238" t="s">
        <v>61</v>
      </c>
      <c r="K6238" t="s">
        <v>62</v>
      </c>
      <c r="M6238">
        <v>118.29</v>
      </c>
      <c r="N6238" s="4">
        <f t="shared" si="97"/>
        <v>-49.623805900752387</v>
      </c>
      <c r="O6238" t="s">
        <v>83</v>
      </c>
    </row>
    <row r="6239" spans="1:15" x14ac:dyDescent="0.25">
      <c r="A6239" s="22">
        <v>45856</v>
      </c>
      <c r="B6239" s="1">
        <v>315286957</v>
      </c>
      <c r="C6239" t="s">
        <v>4685</v>
      </c>
      <c r="D6239" s="44">
        <v>-4696</v>
      </c>
      <c r="E6239" t="s">
        <v>35</v>
      </c>
      <c r="F6239" s="2">
        <v>212901001</v>
      </c>
      <c r="G6239" s="2" t="s">
        <v>91</v>
      </c>
      <c r="I6239" s="95" t="s">
        <v>7231</v>
      </c>
      <c r="J6239" t="s">
        <v>61</v>
      </c>
      <c r="K6239" t="s">
        <v>62</v>
      </c>
      <c r="M6239">
        <v>118.29</v>
      </c>
      <c r="N6239" s="4">
        <f t="shared" si="97"/>
        <v>-39.699044720601911</v>
      </c>
      <c r="O6239" t="s">
        <v>83</v>
      </c>
    </row>
    <row r="6240" spans="1:15" x14ac:dyDescent="0.25">
      <c r="A6240" s="22">
        <v>45856</v>
      </c>
      <c r="B6240" s="1">
        <v>315286959</v>
      </c>
      <c r="C6240" t="s">
        <v>4551</v>
      </c>
      <c r="D6240" s="44">
        <v>-4696</v>
      </c>
      <c r="E6240" t="s">
        <v>35</v>
      </c>
      <c r="F6240" s="2">
        <v>212901001</v>
      </c>
      <c r="G6240" s="2" t="s">
        <v>91</v>
      </c>
      <c r="I6240" s="95" t="s">
        <v>7231</v>
      </c>
      <c r="J6240" t="s">
        <v>61</v>
      </c>
      <c r="K6240" t="s">
        <v>62</v>
      </c>
      <c r="M6240">
        <v>118.29</v>
      </c>
      <c r="N6240" s="4">
        <f t="shared" si="97"/>
        <v>-39.699044720601911</v>
      </c>
      <c r="O6240" t="s">
        <v>83</v>
      </c>
    </row>
    <row r="6241" spans="1:15" x14ac:dyDescent="0.25">
      <c r="A6241" s="22">
        <v>45856</v>
      </c>
      <c r="B6241" s="1">
        <v>315286960</v>
      </c>
      <c r="C6241" t="s">
        <v>4552</v>
      </c>
      <c r="D6241" s="44">
        <v>-4696</v>
      </c>
      <c r="E6241" t="s">
        <v>35</v>
      </c>
      <c r="F6241" s="2">
        <v>212901001</v>
      </c>
      <c r="G6241" s="2" t="s">
        <v>91</v>
      </c>
      <c r="I6241" s="95" t="s">
        <v>7231</v>
      </c>
      <c r="J6241" t="s">
        <v>61</v>
      </c>
      <c r="K6241" t="s">
        <v>62</v>
      </c>
      <c r="M6241">
        <v>118.29</v>
      </c>
      <c r="N6241" s="4">
        <f t="shared" si="97"/>
        <v>-39.699044720601911</v>
      </c>
      <c r="O6241" t="s">
        <v>83</v>
      </c>
    </row>
    <row r="6242" spans="1:15" x14ac:dyDescent="0.25">
      <c r="A6242" s="22">
        <v>45856</v>
      </c>
      <c r="B6242" s="1">
        <v>315286958</v>
      </c>
      <c r="C6242" t="s">
        <v>4575</v>
      </c>
      <c r="D6242" s="44">
        <v>-4696</v>
      </c>
      <c r="E6242" t="s">
        <v>35</v>
      </c>
      <c r="F6242" s="2">
        <v>212901001</v>
      </c>
      <c r="G6242" s="2" t="s">
        <v>91</v>
      </c>
      <c r="I6242" s="95" t="s">
        <v>7231</v>
      </c>
      <c r="J6242" t="s">
        <v>61</v>
      </c>
      <c r="K6242" t="s">
        <v>62</v>
      </c>
      <c r="M6242">
        <v>118.29</v>
      </c>
      <c r="N6242" s="4">
        <f t="shared" si="97"/>
        <v>-39.699044720601911</v>
      </c>
      <c r="O6242" t="s">
        <v>83</v>
      </c>
    </row>
    <row r="6243" spans="1:15" x14ac:dyDescent="0.25">
      <c r="A6243" s="22">
        <v>45856</v>
      </c>
      <c r="B6243" s="1">
        <v>315286962</v>
      </c>
      <c r="C6243" t="s">
        <v>4686</v>
      </c>
      <c r="D6243" s="44">
        <v>-4696</v>
      </c>
      <c r="E6243" t="s">
        <v>35</v>
      </c>
      <c r="F6243" s="2">
        <v>212901001</v>
      </c>
      <c r="G6243" s="2" t="s">
        <v>91</v>
      </c>
      <c r="I6243" s="95" t="s">
        <v>7231</v>
      </c>
      <c r="J6243" t="s">
        <v>61</v>
      </c>
      <c r="K6243" t="s">
        <v>62</v>
      </c>
      <c r="M6243">
        <v>118.29</v>
      </c>
      <c r="N6243" s="4">
        <f t="shared" si="97"/>
        <v>-39.699044720601911</v>
      </c>
      <c r="O6243" t="s">
        <v>83</v>
      </c>
    </row>
    <row r="6244" spans="1:15" x14ac:dyDescent="0.25">
      <c r="A6244" s="22">
        <v>45856</v>
      </c>
      <c r="B6244" s="1">
        <v>115286941</v>
      </c>
      <c r="C6244" t="s">
        <v>4540</v>
      </c>
      <c r="D6244" s="44">
        <v>-17610</v>
      </c>
      <c r="E6244" t="s">
        <v>35</v>
      </c>
      <c r="F6244" s="2">
        <v>212901001</v>
      </c>
      <c r="G6244" s="2" t="s">
        <v>91</v>
      </c>
      <c r="I6244" s="95" t="s">
        <v>7231</v>
      </c>
      <c r="J6244" t="s">
        <v>61</v>
      </c>
      <c r="K6244" t="s">
        <v>62</v>
      </c>
      <c r="M6244">
        <v>118.29</v>
      </c>
      <c r="N6244" s="4">
        <f t="shared" si="97"/>
        <v>-148.87141770225716</v>
      </c>
      <c r="O6244" t="s">
        <v>83</v>
      </c>
    </row>
    <row r="6245" spans="1:15" x14ac:dyDescent="0.25">
      <c r="A6245" s="22">
        <v>45856</v>
      </c>
      <c r="B6245" s="1">
        <v>315286961</v>
      </c>
      <c r="C6245" t="s">
        <v>4550</v>
      </c>
      <c r="D6245" s="44">
        <v>-4696</v>
      </c>
      <c r="E6245" t="s">
        <v>35</v>
      </c>
      <c r="F6245" s="2">
        <v>212901001</v>
      </c>
      <c r="G6245" s="2" t="s">
        <v>91</v>
      </c>
      <c r="I6245" s="95" t="s">
        <v>7231</v>
      </c>
      <c r="J6245" t="s">
        <v>61</v>
      </c>
      <c r="K6245" t="s">
        <v>62</v>
      </c>
      <c r="M6245">
        <v>118.29</v>
      </c>
      <c r="N6245" s="4">
        <f t="shared" si="97"/>
        <v>-39.699044720601911</v>
      </c>
      <c r="O6245" t="s">
        <v>83</v>
      </c>
    </row>
    <row r="6246" spans="1:15" x14ac:dyDescent="0.25">
      <c r="A6246" s="22">
        <v>45856</v>
      </c>
      <c r="B6246" s="1">
        <v>315286963</v>
      </c>
      <c r="C6246" t="s">
        <v>4687</v>
      </c>
      <c r="D6246" s="44">
        <v>-4696</v>
      </c>
      <c r="E6246" t="s">
        <v>35</v>
      </c>
      <c r="F6246" s="2">
        <v>212901001</v>
      </c>
      <c r="G6246" s="2" t="s">
        <v>91</v>
      </c>
      <c r="I6246" s="95" t="s">
        <v>7231</v>
      </c>
      <c r="J6246" t="s">
        <v>61</v>
      </c>
      <c r="K6246" t="s">
        <v>62</v>
      </c>
      <c r="M6246">
        <v>118.29</v>
      </c>
      <c r="N6246" s="4">
        <f t="shared" si="97"/>
        <v>-39.699044720601911</v>
      </c>
      <c r="O6246" t="s">
        <v>83</v>
      </c>
    </row>
    <row r="6247" spans="1:15" x14ac:dyDescent="0.25">
      <c r="A6247" s="22">
        <v>45856</v>
      </c>
      <c r="B6247" s="1">
        <v>415286966</v>
      </c>
      <c r="C6247" t="s">
        <v>4556</v>
      </c>
      <c r="D6247" s="44">
        <v>-17610</v>
      </c>
      <c r="E6247" t="s">
        <v>35</v>
      </c>
      <c r="F6247" s="2">
        <v>212901001</v>
      </c>
      <c r="G6247" s="2" t="s">
        <v>91</v>
      </c>
      <c r="I6247" s="95" t="s">
        <v>7231</v>
      </c>
      <c r="J6247" t="s">
        <v>61</v>
      </c>
      <c r="K6247" t="s">
        <v>62</v>
      </c>
      <c r="M6247">
        <v>118.29</v>
      </c>
      <c r="N6247" s="4">
        <f t="shared" si="97"/>
        <v>-148.87141770225716</v>
      </c>
      <c r="O6247" t="s">
        <v>83</v>
      </c>
    </row>
    <row r="6248" spans="1:15" x14ac:dyDescent="0.25">
      <c r="A6248" s="22">
        <v>45856</v>
      </c>
      <c r="B6248" s="1">
        <v>415286965</v>
      </c>
      <c r="C6248" t="s">
        <v>4555</v>
      </c>
      <c r="D6248" s="44">
        <v>-11740</v>
      </c>
      <c r="E6248" t="s">
        <v>35</v>
      </c>
      <c r="F6248" s="2">
        <v>212901001</v>
      </c>
      <c r="G6248" s="2" t="s">
        <v>91</v>
      </c>
      <c r="I6248" s="95" t="s">
        <v>7231</v>
      </c>
      <c r="J6248" t="s">
        <v>61</v>
      </c>
      <c r="K6248" t="s">
        <v>62</v>
      </c>
      <c r="M6248">
        <v>118.29</v>
      </c>
      <c r="N6248" s="4">
        <f t="shared" si="97"/>
        <v>-99.247611801504775</v>
      </c>
      <c r="O6248" t="s">
        <v>83</v>
      </c>
    </row>
    <row r="6249" spans="1:15" x14ac:dyDescent="0.25">
      <c r="A6249" s="22">
        <v>45856</v>
      </c>
      <c r="B6249" s="1">
        <v>415286967</v>
      </c>
      <c r="C6249" t="s">
        <v>4688</v>
      </c>
      <c r="D6249" s="44">
        <v>-12914</v>
      </c>
      <c r="E6249" t="s">
        <v>35</v>
      </c>
      <c r="F6249" s="2">
        <v>212901001</v>
      </c>
      <c r="G6249" s="2" t="s">
        <v>91</v>
      </c>
      <c r="I6249" s="95" t="s">
        <v>7231</v>
      </c>
      <c r="J6249" t="s">
        <v>61</v>
      </c>
      <c r="K6249" t="s">
        <v>62</v>
      </c>
      <c r="M6249">
        <v>118.29</v>
      </c>
      <c r="N6249" s="4">
        <f t="shared" si="97"/>
        <v>-109.17237298165524</v>
      </c>
      <c r="O6249" t="s">
        <v>83</v>
      </c>
    </row>
    <row r="6250" spans="1:15" x14ac:dyDescent="0.25">
      <c r="A6250" s="22">
        <v>45856</v>
      </c>
      <c r="B6250" s="1">
        <v>415286969</v>
      </c>
      <c r="C6250" t="s">
        <v>4557</v>
      </c>
      <c r="D6250" s="44">
        <v>-11740</v>
      </c>
      <c r="E6250" t="s">
        <v>35</v>
      </c>
      <c r="F6250" s="2">
        <v>212901001</v>
      </c>
      <c r="G6250" s="2" t="s">
        <v>91</v>
      </c>
      <c r="I6250" s="95" t="s">
        <v>7231</v>
      </c>
      <c r="J6250" t="s">
        <v>61</v>
      </c>
      <c r="K6250" t="s">
        <v>62</v>
      </c>
      <c r="M6250">
        <v>118.29</v>
      </c>
      <c r="N6250" s="4">
        <f t="shared" si="97"/>
        <v>-99.247611801504775</v>
      </c>
      <c r="O6250" t="s">
        <v>83</v>
      </c>
    </row>
    <row r="6251" spans="1:15" x14ac:dyDescent="0.25">
      <c r="A6251" s="22">
        <v>45856</v>
      </c>
      <c r="B6251" s="1">
        <v>415286971</v>
      </c>
      <c r="C6251" t="s">
        <v>4558</v>
      </c>
      <c r="D6251" s="44">
        <v>-8218</v>
      </c>
      <c r="E6251" t="s">
        <v>35</v>
      </c>
      <c r="F6251" s="2">
        <v>212901001</v>
      </c>
      <c r="G6251" s="2" t="s">
        <v>91</v>
      </c>
      <c r="I6251" s="95" t="s">
        <v>7231</v>
      </c>
      <c r="J6251" t="s">
        <v>61</v>
      </c>
      <c r="K6251" t="s">
        <v>62</v>
      </c>
      <c r="M6251">
        <v>118.29</v>
      </c>
      <c r="N6251" s="4">
        <f t="shared" si="97"/>
        <v>-69.473328261053339</v>
      </c>
      <c r="O6251" t="s">
        <v>83</v>
      </c>
    </row>
    <row r="6252" spans="1:15" x14ac:dyDescent="0.25">
      <c r="A6252" s="22">
        <v>45856</v>
      </c>
      <c r="B6252" s="1">
        <v>415286968</v>
      </c>
      <c r="C6252" t="s">
        <v>4584</v>
      </c>
      <c r="D6252" s="44">
        <v>-9392</v>
      </c>
      <c r="E6252" t="s">
        <v>35</v>
      </c>
      <c r="F6252" s="2">
        <v>212901001</v>
      </c>
      <c r="G6252" s="2" t="s">
        <v>91</v>
      </c>
      <c r="I6252" s="95" t="s">
        <v>7231</v>
      </c>
      <c r="J6252" t="s">
        <v>61</v>
      </c>
      <c r="K6252" t="s">
        <v>62</v>
      </c>
      <c r="M6252">
        <v>118.29</v>
      </c>
      <c r="N6252" s="4">
        <f t="shared" si="97"/>
        <v>-79.398089441203823</v>
      </c>
      <c r="O6252" t="s">
        <v>83</v>
      </c>
    </row>
    <row r="6253" spans="1:15" x14ac:dyDescent="0.25">
      <c r="A6253" s="22">
        <v>45856</v>
      </c>
      <c r="B6253" s="1">
        <v>415286972</v>
      </c>
      <c r="C6253" t="s">
        <v>4559</v>
      </c>
      <c r="D6253" s="44">
        <v>-8218</v>
      </c>
      <c r="E6253" t="s">
        <v>35</v>
      </c>
      <c r="F6253" s="2">
        <v>212901001</v>
      </c>
      <c r="G6253" s="2" t="s">
        <v>91</v>
      </c>
      <c r="I6253" s="95" t="s">
        <v>7231</v>
      </c>
      <c r="J6253" t="s">
        <v>61</v>
      </c>
      <c r="K6253" t="s">
        <v>62</v>
      </c>
      <c r="M6253">
        <v>118.29</v>
      </c>
      <c r="N6253" s="4">
        <f t="shared" si="97"/>
        <v>-69.473328261053339</v>
      </c>
      <c r="O6253" t="s">
        <v>83</v>
      </c>
    </row>
    <row r="6254" spans="1:15" x14ac:dyDescent="0.25">
      <c r="A6254" s="22">
        <v>45856</v>
      </c>
      <c r="B6254" s="1">
        <v>415286970</v>
      </c>
      <c r="C6254" t="s">
        <v>4689</v>
      </c>
      <c r="D6254" s="44">
        <v>-8218</v>
      </c>
      <c r="E6254" t="s">
        <v>35</v>
      </c>
      <c r="F6254" s="2">
        <v>212901001</v>
      </c>
      <c r="G6254" s="2" t="s">
        <v>91</v>
      </c>
      <c r="I6254" s="95" t="s">
        <v>7231</v>
      </c>
      <c r="J6254" t="s">
        <v>61</v>
      </c>
      <c r="K6254" t="s">
        <v>62</v>
      </c>
      <c r="M6254">
        <v>118.29</v>
      </c>
      <c r="N6254" s="4">
        <f t="shared" si="97"/>
        <v>-69.473328261053339</v>
      </c>
      <c r="O6254" t="s">
        <v>83</v>
      </c>
    </row>
    <row r="6255" spans="1:15" x14ac:dyDescent="0.25">
      <c r="A6255" s="22">
        <v>45856</v>
      </c>
      <c r="B6255" s="1">
        <v>415286964</v>
      </c>
      <c r="C6255" t="s">
        <v>4572</v>
      </c>
      <c r="D6255" s="44">
        <v>-11740</v>
      </c>
      <c r="E6255" t="s">
        <v>35</v>
      </c>
      <c r="F6255" s="2">
        <v>212901001</v>
      </c>
      <c r="G6255" s="2" t="s">
        <v>91</v>
      </c>
      <c r="I6255" s="95" t="s">
        <v>7231</v>
      </c>
      <c r="J6255" t="s">
        <v>61</v>
      </c>
      <c r="K6255" t="s">
        <v>62</v>
      </c>
      <c r="M6255">
        <v>118.29</v>
      </c>
      <c r="N6255" s="4">
        <f t="shared" si="97"/>
        <v>-99.247611801504775</v>
      </c>
      <c r="O6255" t="s">
        <v>83</v>
      </c>
    </row>
    <row r="6256" spans="1:15" x14ac:dyDescent="0.25">
      <c r="A6256" s="22">
        <v>45856</v>
      </c>
      <c r="B6256" s="1">
        <v>415286973</v>
      </c>
      <c r="C6256" t="s">
        <v>4690</v>
      </c>
      <c r="D6256" s="44">
        <v>-5870</v>
      </c>
      <c r="E6256" t="s">
        <v>35</v>
      </c>
      <c r="F6256" s="2">
        <v>212901001</v>
      </c>
      <c r="G6256" s="2" t="s">
        <v>91</v>
      </c>
      <c r="I6256" s="95" t="s">
        <v>7231</v>
      </c>
      <c r="J6256" t="s">
        <v>61</v>
      </c>
      <c r="K6256" t="s">
        <v>62</v>
      </c>
      <c r="M6256">
        <v>118.29</v>
      </c>
      <c r="N6256" s="4">
        <f t="shared" si="97"/>
        <v>-49.623805900752387</v>
      </c>
      <c r="O6256" t="s">
        <v>83</v>
      </c>
    </row>
    <row r="6257" spans="1:15" x14ac:dyDescent="0.25">
      <c r="A6257" s="22">
        <v>45856</v>
      </c>
      <c r="B6257" s="1">
        <v>515286975</v>
      </c>
      <c r="C6257" t="s">
        <v>4691</v>
      </c>
      <c r="D6257" s="44">
        <v>-5870</v>
      </c>
      <c r="E6257" t="s">
        <v>35</v>
      </c>
      <c r="F6257" s="2">
        <v>212901001</v>
      </c>
      <c r="G6257" s="2" t="s">
        <v>91</v>
      </c>
      <c r="I6257" s="95" t="s">
        <v>7231</v>
      </c>
      <c r="J6257" t="s">
        <v>61</v>
      </c>
      <c r="K6257" t="s">
        <v>62</v>
      </c>
      <c r="M6257">
        <v>118.29</v>
      </c>
      <c r="N6257" s="4">
        <f t="shared" si="97"/>
        <v>-49.623805900752387</v>
      </c>
      <c r="O6257" t="s">
        <v>83</v>
      </c>
    </row>
    <row r="6258" spans="1:15" x14ac:dyDescent="0.25">
      <c r="A6258" s="22">
        <v>45856</v>
      </c>
      <c r="B6258" s="1">
        <v>515286978</v>
      </c>
      <c r="C6258" t="s">
        <v>4564</v>
      </c>
      <c r="D6258" s="44">
        <v>-5870</v>
      </c>
      <c r="E6258" t="s">
        <v>35</v>
      </c>
      <c r="F6258" s="2">
        <v>212901001</v>
      </c>
      <c r="G6258" s="2" t="s">
        <v>91</v>
      </c>
      <c r="I6258" s="95" t="s">
        <v>7231</v>
      </c>
      <c r="J6258" t="s">
        <v>61</v>
      </c>
      <c r="K6258" t="s">
        <v>62</v>
      </c>
      <c r="M6258">
        <v>118.29</v>
      </c>
      <c r="N6258" s="4">
        <f t="shared" si="97"/>
        <v>-49.623805900752387</v>
      </c>
      <c r="O6258" t="s">
        <v>83</v>
      </c>
    </row>
    <row r="6259" spans="1:15" x14ac:dyDescent="0.25">
      <c r="A6259" s="22">
        <v>45856</v>
      </c>
      <c r="B6259" s="1">
        <v>515286980</v>
      </c>
      <c r="C6259" t="s">
        <v>4565</v>
      </c>
      <c r="D6259" s="44">
        <v>-5870</v>
      </c>
      <c r="E6259" t="s">
        <v>35</v>
      </c>
      <c r="F6259" s="2">
        <v>212901001</v>
      </c>
      <c r="G6259" s="2" t="s">
        <v>91</v>
      </c>
      <c r="I6259" s="95" t="s">
        <v>7231</v>
      </c>
      <c r="J6259" t="s">
        <v>61</v>
      </c>
      <c r="K6259" t="s">
        <v>62</v>
      </c>
      <c r="M6259">
        <v>118.29</v>
      </c>
      <c r="N6259" s="4">
        <f t="shared" si="97"/>
        <v>-49.623805900752387</v>
      </c>
      <c r="O6259" t="s">
        <v>83</v>
      </c>
    </row>
    <row r="6260" spans="1:15" x14ac:dyDescent="0.25">
      <c r="A6260" s="22">
        <v>45856</v>
      </c>
      <c r="B6260" s="1">
        <v>515286976</v>
      </c>
      <c r="C6260" t="s">
        <v>4566</v>
      </c>
      <c r="D6260" s="44">
        <v>-5870</v>
      </c>
      <c r="E6260" t="s">
        <v>35</v>
      </c>
      <c r="F6260" s="2">
        <v>212901001</v>
      </c>
      <c r="G6260" s="2" t="s">
        <v>91</v>
      </c>
      <c r="I6260" s="95" t="s">
        <v>7231</v>
      </c>
      <c r="J6260" t="s">
        <v>61</v>
      </c>
      <c r="K6260" t="s">
        <v>62</v>
      </c>
      <c r="M6260">
        <v>118.29</v>
      </c>
      <c r="N6260" s="4">
        <f t="shared" si="97"/>
        <v>-49.623805900752387</v>
      </c>
      <c r="O6260" t="s">
        <v>83</v>
      </c>
    </row>
    <row r="6261" spans="1:15" x14ac:dyDescent="0.25">
      <c r="A6261" s="22">
        <v>45856</v>
      </c>
      <c r="B6261" s="1">
        <v>515286981</v>
      </c>
      <c r="C6261" t="s">
        <v>4692</v>
      </c>
      <c r="D6261" s="44">
        <v>-4930.8</v>
      </c>
      <c r="E6261" t="s">
        <v>35</v>
      </c>
      <c r="F6261" s="2">
        <v>212901001</v>
      </c>
      <c r="G6261" s="2" t="s">
        <v>91</v>
      </c>
      <c r="I6261" s="95" t="s">
        <v>7231</v>
      </c>
      <c r="J6261" t="s">
        <v>61</v>
      </c>
      <c r="K6261" t="s">
        <v>62</v>
      </c>
      <c r="M6261">
        <v>118.29</v>
      </c>
      <c r="N6261" s="4">
        <f t="shared" si="97"/>
        <v>-41.683996956632008</v>
      </c>
      <c r="O6261" t="s">
        <v>83</v>
      </c>
    </row>
    <row r="6262" spans="1:15" x14ac:dyDescent="0.25">
      <c r="A6262" s="22">
        <v>45856</v>
      </c>
      <c r="B6262" s="1">
        <v>515286982</v>
      </c>
      <c r="C6262" t="s">
        <v>4583</v>
      </c>
      <c r="D6262" s="44">
        <v>-4930.8</v>
      </c>
      <c r="E6262" t="s">
        <v>35</v>
      </c>
      <c r="F6262" s="2">
        <v>212901001</v>
      </c>
      <c r="G6262" s="2" t="s">
        <v>91</v>
      </c>
      <c r="I6262" s="95" t="s">
        <v>7231</v>
      </c>
      <c r="J6262" t="s">
        <v>61</v>
      </c>
      <c r="K6262" t="s">
        <v>62</v>
      </c>
      <c r="M6262">
        <v>118.29</v>
      </c>
      <c r="N6262" s="4">
        <f t="shared" si="97"/>
        <v>-41.683996956632008</v>
      </c>
      <c r="O6262" t="s">
        <v>83</v>
      </c>
    </row>
    <row r="6263" spans="1:15" x14ac:dyDescent="0.25">
      <c r="A6263" s="22">
        <v>45856</v>
      </c>
      <c r="B6263" s="1">
        <v>515286979</v>
      </c>
      <c r="C6263" t="s">
        <v>4567</v>
      </c>
      <c r="D6263" s="44">
        <v>-5870</v>
      </c>
      <c r="E6263" t="s">
        <v>35</v>
      </c>
      <c r="F6263" s="2">
        <v>212901001</v>
      </c>
      <c r="G6263" s="2" t="s">
        <v>91</v>
      </c>
      <c r="I6263" s="95" t="s">
        <v>7231</v>
      </c>
      <c r="J6263" t="s">
        <v>61</v>
      </c>
      <c r="K6263" t="s">
        <v>62</v>
      </c>
      <c r="M6263">
        <v>118.29</v>
      </c>
      <c r="N6263" s="4">
        <f t="shared" si="97"/>
        <v>-49.623805900752387</v>
      </c>
      <c r="O6263" t="s">
        <v>83</v>
      </c>
    </row>
    <row r="6264" spans="1:15" x14ac:dyDescent="0.25">
      <c r="A6264" s="22">
        <v>45856</v>
      </c>
      <c r="B6264" s="1">
        <v>615286984</v>
      </c>
      <c r="C6264" t="s">
        <v>4569</v>
      </c>
      <c r="D6264" s="44">
        <v>-5870</v>
      </c>
      <c r="E6264" t="s">
        <v>35</v>
      </c>
      <c r="F6264" s="2">
        <v>212901001</v>
      </c>
      <c r="G6264" s="2" t="s">
        <v>91</v>
      </c>
      <c r="I6264" s="95" t="s">
        <v>7231</v>
      </c>
      <c r="J6264" t="s">
        <v>61</v>
      </c>
      <c r="K6264" t="s">
        <v>62</v>
      </c>
      <c r="M6264">
        <v>118.29</v>
      </c>
      <c r="N6264" s="4">
        <f t="shared" si="97"/>
        <v>-49.623805900752387</v>
      </c>
      <c r="O6264" t="s">
        <v>83</v>
      </c>
    </row>
    <row r="6265" spans="1:15" x14ac:dyDescent="0.25">
      <c r="A6265" s="22">
        <v>45856</v>
      </c>
      <c r="B6265" s="1">
        <v>615286986</v>
      </c>
      <c r="C6265" t="s">
        <v>4562</v>
      </c>
      <c r="D6265" s="44">
        <v>-5870</v>
      </c>
      <c r="E6265" t="s">
        <v>35</v>
      </c>
      <c r="F6265" s="2">
        <v>212901001</v>
      </c>
      <c r="G6265" s="2" t="s">
        <v>91</v>
      </c>
      <c r="I6265" s="95" t="s">
        <v>7231</v>
      </c>
      <c r="J6265" t="s">
        <v>61</v>
      </c>
      <c r="K6265" t="s">
        <v>62</v>
      </c>
      <c r="M6265">
        <v>118.29</v>
      </c>
      <c r="N6265" s="4">
        <f t="shared" si="97"/>
        <v>-49.623805900752387</v>
      </c>
      <c r="O6265" t="s">
        <v>83</v>
      </c>
    </row>
    <row r="6266" spans="1:15" x14ac:dyDescent="0.25">
      <c r="A6266" s="22">
        <v>45856</v>
      </c>
      <c r="B6266" s="1">
        <v>615286983</v>
      </c>
      <c r="C6266" t="s">
        <v>4563</v>
      </c>
      <c r="D6266" s="44">
        <v>-5870</v>
      </c>
      <c r="E6266" t="s">
        <v>35</v>
      </c>
      <c r="F6266" s="2">
        <v>212901001</v>
      </c>
      <c r="G6266" s="2" t="s">
        <v>91</v>
      </c>
      <c r="I6266" s="95" t="s">
        <v>7231</v>
      </c>
      <c r="J6266" t="s">
        <v>61</v>
      </c>
      <c r="K6266" t="s">
        <v>62</v>
      </c>
      <c r="M6266">
        <v>118.29</v>
      </c>
      <c r="N6266" s="4">
        <f t="shared" si="97"/>
        <v>-49.623805900752387</v>
      </c>
      <c r="O6266" t="s">
        <v>83</v>
      </c>
    </row>
    <row r="6267" spans="1:15" x14ac:dyDescent="0.25">
      <c r="A6267" s="22">
        <v>45856</v>
      </c>
      <c r="B6267" s="1">
        <v>515286977</v>
      </c>
      <c r="C6267" t="s">
        <v>4580</v>
      </c>
      <c r="D6267" s="44">
        <v>-5870</v>
      </c>
      <c r="E6267" t="s">
        <v>35</v>
      </c>
      <c r="F6267" s="2">
        <v>212901001</v>
      </c>
      <c r="G6267" s="2" t="s">
        <v>91</v>
      </c>
      <c r="I6267" s="95" t="s">
        <v>7231</v>
      </c>
      <c r="J6267" t="s">
        <v>61</v>
      </c>
      <c r="K6267" t="s">
        <v>62</v>
      </c>
      <c r="M6267">
        <v>118.29</v>
      </c>
      <c r="N6267" s="4">
        <f t="shared" si="97"/>
        <v>-49.623805900752387</v>
      </c>
      <c r="O6267" t="s">
        <v>83</v>
      </c>
    </row>
    <row r="6268" spans="1:15" x14ac:dyDescent="0.25">
      <c r="A6268" s="22">
        <v>45856</v>
      </c>
      <c r="B6268" s="1">
        <v>515286974</v>
      </c>
      <c r="C6268" t="s">
        <v>4567</v>
      </c>
      <c r="D6268" s="44">
        <v>-8218</v>
      </c>
      <c r="E6268" t="s">
        <v>35</v>
      </c>
      <c r="F6268" s="2">
        <v>212901001</v>
      </c>
      <c r="G6268" s="2" t="s">
        <v>91</v>
      </c>
      <c r="I6268" s="95" t="s">
        <v>7231</v>
      </c>
      <c r="J6268" t="s">
        <v>61</v>
      </c>
      <c r="K6268" t="s">
        <v>62</v>
      </c>
      <c r="M6268">
        <v>118.29</v>
      </c>
      <c r="N6268" s="4">
        <f t="shared" si="97"/>
        <v>-69.473328261053339</v>
      </c>
      <c r="O6268" t="s">
        <v>83</v>
      </c>
    </row>
    <row r="6269" spans="1:15" x14ac:dyDescent="0.25">
      <c r="A6269" s="22">
        <v>45856</v>
      </c>
      <c r="B6269" s="1">
        <v>615286985</v>
      </c>
      <c r="C6269" t="s">
        <v>4547</v>
      </c>
      <c r="D6269" s="44">
        <v>-5870</v>
      </c>
      <c r="E6269" t="s">
        <v>35</v>
      </c>
      <c r="F6269" s="2">
        <v>212901001</v>
      </c>
      <c r="G6269" s="2" t="s">
        <v>91</v>
      </c>
      <c r="I6269" s="95" t="s">
        <v>7231</v>
      </c>
      <c r="J6269" t="s">
        <v>61</v>
      </c>
      <c r="K6269" t="s">
        <v>62</v>
      </c>
      <c r="M6269">
        <v>118.29</v>
      </c>
      <c r="N6269" s="4">
        <f t="shared" si="97"/>
        <v>-49.623805900752387</v>
      </c>
      <c r="O6269" t="s">
        <v>83</v>
      </c>
    </row>
    <row r="6270" spans="1:15" x14ac:dyDescent="0.25">
      <c r="A6270" s="22">
        <v>45856</v>
      </c>
      <c r="B6270" s="1">
        <v>615286988</v>
      </c>
      <c r="C6270" t="s">
        <v>4568</v>
      </c>
      <c r="D6270" s="44">
        <v>-2348</v>
      </c>
      <c r="E6270" t="s">
        <v>35</v>
      </c>
      <c r="F6270" s="2">
        <v>212901001</v>
      </c>
      <c r="G6270" s="2" t="s">
        <v>91</v>
      </c>
      <c r="I6270" s="95" t="s">
        <v>7231</v>
      </c>
      <c r="J6270" t="s">
        <v>61</v>
      </c>
      <c r="K6270" t="s">
        <v>62</v>
      </c>
      <c r="M6270">
        <v>118.29</v>
      </c>
      <c r="N6270" s="4">
        <f t="shared" si="97"/>
        <v>-19.849522360300956</v>
      </c>
      <c r="O6270" t="s">
        <v>83</v>
      </c>
    </row>
    <row r="6271" spans="1:15" x14ac:dyDescent="0.25">
      <c r="A6271" s="22">
        <v>45856</v>
      </c>
      <c r="B6271" s="1">
        <v>715286994</v>
      </c>
      <c r="C6271" t="s">
        <v>4570</v>
      </c>
      <c r="D6271" s="44">
        <v>-23480</v>
      </c>
      <c r="E6271" t="s">
        <v>35</v>
      </c>
      <c r="F6271" s="2">
        <v>212901001</v>
      </c>
      <c r="G6271" s="2" t="s">
        <v>91</v>
      </c>
      <c r="I6271" s="95" t="s">
        <v>7231</v>
      </c>
      <c r="J6271" t="s">
        <v>61</v>
      </c>
      <c r="K6271" t="s">
        <v>62</v>
      </c>
      <c r="M6271">
        <v>118.29</v>
      </c>
      <c r="N6271" s="4">
        <f t="shared" si="97"/>
        <v>-198.49522360300955</v>
      </c>
      <c r="O6271" t="s">
        <v>83</v>
      </c>
    </row>
    <row r="6272" spans="1:15" x14ac:dyDescent="0.25">
      <c r="A6272" s="22">
        <v>45856</v>
      </c>
      <c r="B6272" s="1">
        <v>615286991</v>
      </c>
      <c r="C6272" t="s">
        <v>4693</v>
      </c>
      <c r="D6272" s="44">
        <v>-2348</v>
      </c>
      <c r="E6272" t="s">
        <v>35</v>
      </c>
      <c r="F6272" s="2">
        <v>212901001</v>
      </c>
      <c r="G6272" s="2" t="s">
        <v>91</v>
      </c>
      <c r="I6272" s="95" t="s">
        <v>7231</v>
      </c>
      <c r="J6272" t="s">
        <v>61</v>
      </c>
      <c r="K6272" t="s">
        <v>62</v>
      </c>
      <c r="M6272">
        <v>118.29</v>
      </c>
      <c r="N6272" s="4">
        <f t="shared" si="97"/>
        <v>-19.849522360300956</v>
      </c>
      <c r="O6272" t="s">
        <v>83</v>
      </c>
    </row>
    <row r="6273" spans="1:17" x14ac:dyDescent="0.25">
      <c r="A6273" s="22">
        <v>45856</v>
      </c>
      <c r="B6273" s="1">
        <v>715286995</v>
      </c>
      <c r="C6273" t="s">
        <v>4574</v>
      </c>
      <c r="D6273" s="44">
        <v>-14322.8</v>
      </c>
      <c r="E6273" t="s">
        <v>35</v>
      </c>
      <c r="F6273" s="2">
        <v>212901001</v>
      </c>
      <c r="G6273" s="2" t="s">
        <v>91</v>
      </c>
      <c r="I6273" s="95" t="s">
        <v>7231</v>
      </c>
      <c r="J6273" t="s">
        <v>61</v>
      </c>
      <c r="K6273" t="s">
        <v>62</v>
      </c>
      <c r="M6273">
        <v>118.29</v>
      </c>
      <c r="N6273" s="4">
        <f t="shared" si="97"/>
        <v>-121.08208639783581</v>
      </c>
      <c r="O6273" t="s">
        <v>83</v>
      </c>
    </row>
    <row r="6274" spans="1:17" x14ac:dyDescent="0.25">
      <c r="A6274" s="22">
        <v>45856</v>
      </c>
      <c r="B6274" s="1">
        <v>615286993</v>
      </c>
      <c r="C6274" t="s">
        <v>4581</v>
      </c>
      <c r="D6274" s="44">
        <v>-11740</v>
      </c>
      <c r="E6274" t="s">
        <v>35</v>
      </c>
      <c r="F6274" s="2">
        <v>212901001</v>
      </c>
      <c r="G6274" s="2" t="s">
        <v>91</v>
      </c>
      <c r="I6274" s="95" t="s">
        <v>7231</v>
      </c>
      <c r="J6274" t="s">
        <v>61</v>
      </c>
      <c r="K6274" t="s">
        <v>62</v>
      </c>
      <c r="M6274">
        <v>118.29</v>
      </c>
      <c r="N6274" s="4">
        <f t="shared" si="97"/>
        <v>-99.247611801504775</v>
      </c>
      <c r="O6274" t="s">
        <v>83</v>
      </c>
    </row>
    <row r="6275" spans="1:17" x14ac:dyDescent="0.25">
      <c r="A6275" s="22">
        <v>45856</v>
      </c>
      <c r="B6275" s="1">
        <v>615286992</v>
      </c>
      <c r="C6275" t="s">
        <v>4579</v>
      </c>
      <c r="D6275" s="44">
        <v>-2348</v>
      </c>
      <c r="E6275" t="s">
        <v>35</v>
      </c>
      <c r="F6275" s="2">
        <v>212901001</v>
      </c>
      <c r="G6275" s="2" t="s">
        <v>91</v>
      </c>
      <c r="I6275" s="95" t="s">
        <v>7231</v>
      </c>
      <c r="J6275" t="s">
        <v>61</v>
      </c>
      <c r="K6275" t="s">
        <v>62</v>
      </c>
      <c r="M6275">
        <v>118.29</v>
      </c>
      <c r="N6275" s="4">
        <f t="shared" si="97"/>
        <v>-19.849522360300956</v>
      </c>
      <c r="O6275" t="s">
        <v>83</v>
      </c>
    </row>
    <row r="6276" spans="1:17" x14ac:dyDescent="0.25">
      <c r="A6276" s="22">
        <v>45856</v>
      </c>
      <c r="B6276" s="1">
        <v>715286996</v>
      </c>
      <c r="C6276" t="s">
        <v>4573</v>
      </c>
      <c r="D6276" s="44">
        <v>-3522</v>
      </c>
      <c r="E6276" t="s">
        <v>35</v>
      </c>
      <c r="F6276" s="2">
        <v>212901001</v>
      </c>
      <c r="G6276" s="2" t="s">
        <v>91</v>
      </c>
      <c r="I6276" s="95" t="s">
        <v>7231</v>
      </c>
      <c r="J6276" t="s">
        <v>61</v>
      </c>
      <c r="K6276" t="s">
        <v>62</v>
      </c>
      <c r="M6276">
        <v>118.29</v>
      </c>
      <c r="N6276" s="4">
        <f t="shared" si="97"/>
        <v>-29.774283540451432</v>
      </c>
      <c r="O6276" t="s">
        <v>83</v>
      </c>
    </row>
    <row r="6277" spans="1:17" x14ac:dyDescent="0.25">
      <c r="A6277" s="22">
        <v>45856</v>
      </c>
      <c r="B6277" s="1">
        <v>615286987</v>
      </c>
      <c r="C6277" t="s">
        <v>4549</v>
      </c>
      <c r="D6277" s="44">
        <v>-5870</v>
      </c>
      <c r="E6277" t="s">
        <v>35</v>
      </c>
      <c r="F6277" s="2">
        <v>212901001</v>
      </c>
      <c r="G6277" s="2" t="s">
        <v>91</v>
      </c>
      <c r="I6277" s="95" t="s">
        <v>7231</v>
      </c>
      <c r="J6277" t="s">
        <v>61</v>
      </c>
      <c r="K6277" t="s">
        <v>62</v>
      </c>
      <c r="M6277">
        <v>118.29</v>
      </c>
      <c r="N6277" s="4">
        <f t="shared" si="97"/>
        <v>-49.623805900752387</v>
      </c>
      <c r="O6277" t="s">
        <v>83</v>
      </c>
    </row>
    <row r="6278" spans="1:17" x14ac:dyDescent="0.25">
      <c r="A6278" s="22">
        <v>45856</v>
      </c>
      <c r="B6278" s="1">
        <v>615286989</v>
      </c>
      <c r="C6278" t="s">
        <v>4571</v>
      </c>
      <c r="D6278" s="44">
        <v>-2348</v>
      </c>
      <c r="E6278" t="s">
        <v>35</v>
      </c>
      <c r="F6278" s="2">
        <v>212901001</v>
      </c>
      <c r="G6278" s="2" t="s">
        <v>91</v>
      </c>
      <c r="I6278" s="95" t="s">
        <v>7231</v>
      </c>
      <c r="J6278" t="s">
        <v>61</v>
      </c>
      <c r="K6278" t="s">
        <v>62</v>
      </c>
      <c r="M6278">
        <v>118.29</v>
      </c>
      <c r="N6278" s="4">
        <f t="shared" si="97"/>
        <v>-19.849522360300956</v>
      </c>
      <c r="O6278" t="s">
        <v>83</v>
      </c>
    </row>
    <row r="6279" spans="1:17" x14ac:dyDescent="0.25">
      <c r="A6279" s="22">
        <v>45856</v>
      </c>
      <c r="B6279" s="1">
        <v>715286997</v>
      </c>
      <c r="C6279" t="s">
        <v>4577</v>
      </c>
      <c r="D6279" s="44">
        <v>-4696</v>
      </c>
      <c r="E6279" t="s">
        <v>35</v>
      </c>
      <c r="F6279" s="2">
        <v>212901001</v>
      </c>
      <c r="G6279" s="2" t="s">
        <v>91</v>
      </c>
      <c r="I6279" s="95" t="s">
        <v>7231</v>
      </c>
      <c r="J6279" t="s">
        <v>61</v>
      </c>
      <c r="K6279" t="s">
        <v>62</v>
      </c>
      <c r="M6279">
        <v>118.29</v>
      </c>
      <c r="N6279" s="4">
        <f t="shared" si="97"/>
        <v>-39.699044720601911</v>
      </c>
      <c r="O6279" t="s">
        <v>83</v>
      </c>
    </row>
    <row r="6280" spans="1:17" x14ac:dyDescent="0.25">
      <c r="A6280" s="22">
        <v>45856</v>
      </c>
      <c r="B6280" s="1">
        <v>50796499</v>
      </c>
      <c r="C6280" t="s">
        <v>4585</v>
      </c>
      <c r="D6280" s="44">
        <v>-16436</v>
      </c>
      <c r="E6280" t="s">
        <v>35</v>
      </c>
      <c r="F6280" s="2">
        <v>212901001</v>
      </c>
      <c r="G6280" s="2" t="s">
        <v>91</v>
      </c>
      <c r="I6280" s="95" t="s">
        <v>7231</v>
      </c>
      <c r="J6280" t="s">
        <v>61</v>
      </c>
      <c r="K6280" t="s">
        <v>62</v>
      </c>
      <c r="M6280">
        <v>118.29</v>
      </c>
      <c r="N6280" s="4">
        <f t="shared" si="97"/>
        <v>-138.94665652210668</v>
      </c>
      <c r="O6280" t="s">
        <v>83</v>
      </c>
    </row>
    <row r="6281" spans="1:17" x14ac:dyDescent="0.25">
      <c r="A6281" s="22">
        <v>45856</v>
      </c>
      <c r="B6281" s="1">
        <v>50796499</v>
      </c>
      <c r="C6281" t="s">
        <v>179</v>
      </c>
      <c r="D6281" s="44">
        <v>-24.65</v>
      </c>
      <c r="E6281" t="s">
        <v>35</v>
      </c>
      <c r="F6281" s="2">
        <v>610148001</v>
      </c>
      <c r="G6281" s="2" t="s">
        <v>41</v>
      </c>
      <c r="I6281" s="95" t="s">
        <v>7231</v>
      </c>
      <c r="J6281" t="s">
        <v>42</v>
      </c>
      <c r="K6281" t="s">
        <v>41</v>
      </c>
      <c r="M6281">
        <v>118.29</v>
      </c>
      <c r="N6281" s="4">
        <f t="shared" si="97"/>
        <v>-0.20838616958322764</v>
      </c>
      <c r="O6281" t="s">
        <v>83</v>
      </c>
      <c r="Q6281" s="24" t="s">
        <v>4392</v>
      </c>
    </row>
    <row r="6282" spans="1:17" x14ac:dyDescent="0.25">
      <c r="A6282" s="22">
        <v>45856</v>
      </c>
      <c r="B6282" s="1">
        <v>50796499</v>
      </c>
      <c r="C6282" t="s">
        <v>89</v>
      </c>
      <c r="D6282" s="44">
        <v>-1310.77</v>
      </c>
      <c r="E6282" t="s">
        <v>35</v>
      </c>
      <c r="F6282" s="2">
        <v>610148001</v>
      </c>
      <c r="G6282" s="2" t="s">
        <v>41</v>
      </c>
      <c r="I6282" s="95" t="s">
        <v>7231</v>
      </c>
      <c r="J6282" t="s">
        <v>42</v>
      </c>
      <c r="K6282" t="s">
        <v>41</v>
      </c>
      <c r="M6282">
        <v>118.29</v>
      </c>
      <c r="N6282" s="4">
        <f t="shared" si="97"/>
        <v>-11.080987403838025</v>
      </c>
      <c r="O6282" t="s">
        <v>83</v>
      </c>
      <c r="Q6282" s="24" t="s">
        <v>4392</v>
      </c>
    </row>
    <row r="6283" spans="1:17" x14ac:dyDescent="0.25">
      <c r="A6283" s="22">
        <v>45859</v>
      </c>
      <c r="B6283" s="1">
        <v>283030842</v>
      </c>
      <c r="C6283" t="s">
        <v>366</v>
      </c>
      <c r="D6283" s="44">
        <v>760000</v>
      </c>
      <c r="E6283" t="s">
        <v>45</v>
      </c>
      <c r="F6283" s="2">
        <v>210115002</v>
      </c>
      <c r="G6283" s="2" t="s">
        <v>46</v>
      </c>
      <c r="I6283" s="95" t="s">
        <v>7231</v>
      </c>
      <c r="K6283" t="s">
        <v>366</v>
      </c>
      <c r="M6283">
        <v>119.14</v>
      </c>
      <c r="N6283" s="4">
        <f t="shared" si="97"/>
        <v>6379.049857310727</v>
      </c>
      <c r="O6283" t="s">
        <v>83</v>
      </c>
    </row>
    <row r="6284" spans="1:17" x14ac:dyDescent="0.25">
      <c r="A6284" s="22">
        <v>45859</v>
      </c>
      <c r="B6284" s="1">
        <v>145121187</v>
      </c>
      <c r="C6284" t="s">
        <v>82</v>
      </c>
      <c r="D6284" s="44">
        <v>200000</v>
      </c>
      <c r="E6284" t="s">
        <v>45</v>
      </c>
      <c r="F6284" s="2">
        <v>210115002</v>
      </c>
      <c r="G6284" s="2" t="s">
        <v>46</v>
      </c>
      <c r="I6284" s="95" t="s">
        <v>7231</v>
      </c>
      <c r="K6284" t="s">
        <v>82</v>
      </c>
      <c r="M6284">
        <v>119.14</v>
      </c>
      <c r="N6284" s="4">
        <f t="shared" ref="N6284:N6347" si="98">D6284/M6284</f>
        <v>1678.6973308712438</v>
      </c>
      <c r="O6284" t="s">
        <v>83</v>
      </c>
    </row>
    <row r="6285" spans="1:17" x14ac:dyDescent="0.25">
      <c r="A6285" s="22">
        <v>45859</v>
      </c>
      <c r="B6285" s="1">
        <v>815408629</v>
      </c>
      <c r="C6285" t="s">
        <v>4694</v>
      </c>
      <c r="D6285" s="44">
        <v>-31511.34</v>
      </c>
      <c r="E6285" t="s">
        <v>35</v>
      </c>
      <c r="F6285" s="2">
        <v>210101001</v>
      </c>
      <c r="G6285" s="2" t="s">
        <v>36</v>
      </c>
      <c r="I6285" s="95" t="s">
        <v>7231</v>
      </c>
      <c r="J6285" t="s">
        <v>37</v>
      </c>
      <c r="K6285" t="s">
        <v>38</v>
      </c>
      <c r="M6285">
        <v>119.14</v>
      </c>
      <c r="N6285" s="4">
        <f t="shared" si="98"/>
        <v>-264.49001175088131</v>
      </c>
      <c r="O6285" t="s">
        <v>83</v>
      </c>
    </row>
    <row r="6286" spans="1:17" x14ac:dyDescent="0.25">
      <c r="A6286" s="22">
        <v>45859</v>
      </c>
      <c r="B6286" s="1">
        <v>915408631</v>
      </c>
      <c r="C6286" t="s">
        <v>4695</v>
      </c>
      <c r="D6286" s="44">
        <v>-757730.4</v>
      </c>
      <c r="E6286" t="s">
        <v>35</v>
      </c>
      <c r="F6286" s="2">
        <v>110114001</v>
      </c>
      <c r="G6286" s="2" t="s">
        <v>181</v>
      </c>
      <c r="I6286" s="95" t="s">
        <v>7231</v>
      </c>
      <c r="J6286" t="s">
        <v>4696</v>
      </c>
      <c r="K6286" t="s">
        <v>4697</v>
      </c>
      <c r="M6286">
        <v>119.14</v>
      </c>
      <c r="N6286" s="4">
        <f t="shared" si="98"/>
        <v>-6360</v>
      </c>
      <c r="O6286" t="s">
        <v>83</v>
      </c>
      <c r="P6286" s="34" t="s">
        <v>3907</v>
      </c>
    </row>
    <row r="6287" spans="1:17" x14ac:dyDescent="0.25">
      <c r="A6287" s="22">
        <v>45859</v>
      </c>
      <c r="B6287" s="1">
        <v>915408632</v>
      </c>
      <c r="C6287" t="s">
        <v>4698</v>
      </c>
      <c r="D6287" s="44">
        <v>-42890.400000000001</v>
      </c>
      <c r="E6287" t="s">
        <v>35</v>
      </c>
      <c r="F6287" s="2">
        <v>210101001</v>
      </c>
      <c r="G6287" s="2" t="s">
        <v>36</v>
      </c>
      <c r="I6287" s="95" t="s">
        <v>7231</v>
      </c>
      <c r="J6287" t="s">
        <v>182</v>
      </c>
      <c r="K6287" t="s">
        <v>183</v>
      </c>
      <c r="M6287">
        <v>119.14</v>
      </c>
      <c r="N6287" s="4">
        <f t="shared" si="98"/>
        <v>-360</v>
      </c>
      <c r="O6287" t="s">
        <v>83</v>
      </c>
    </row>
    <row r="6288" spans="1:17" x14ac:dyDescent="0.25">
      <c r="A6288" s="22">
        <v>45859</v>
      </c>
      <c r="B6288" s="1">
        <v>815408630</v>
      </c>
      <c r="C6288" t="s">
        <v>4699</v>
      </c>
      <c r="D6288" s="44">
        <v>-165554.04</v>
      </c>
      <c r="E6288" t="s">
        <v>35</v>
      </c>
      <c r="F6288" s="2">
        <v>110114001</v>
      </c>
      <c r="G6288" s="2" t="s">
        <v>181</v>
      </c>
      <c r="I6288" s="95" t="s">
        <v>7231</v>
      </c>
      <c r="J6288" t="s">
        <v>37</v>
      </c>
      <c r="K6288" t="s">
        <v>38</v>
      </c>
      <c r="M6288">
        <v>119.14</v>
      </c>
      <c r="N6288" s="4">
        <f t="shared" si="98"/>
        <v>-1389.5756253147558</v>
      </c>
      <c r="O6288" t="s">
        <v>83</v>
      </c>
      <c r="P6288" s="34" t="s">
        <v>3907</v>
      </c>
    </row>
    <row r="6289" spans="1:17" x14ac:dyDescent="0.25">
      <c r="A6289" s="22">
        <v>45859</v>
      </c>
      <c r="B6289" s="1">
        <v>50754357</v>
      </c>
      <c r="C6289" t="s">
        <v>89</v>
      </c>
      <c r="D6289" s="44">
        <v>-2494.21</v>
      </c>
      <c r="E6289" t="s">
        <v>35</v>
      </c>
      <c r="F6289" s="2">
        <v>610148001</v>
      </c>
      <c r="G6289" s="2" t="s">
        <v>41</v>
      </c>
      <c r="I6289" s="95" t="s">
        <v>7231</v>
      </c>
      <c r="J6289" t="s">
        <v>42</v>
      </c>
      <c r="K6289" t="s">
        <v>41</v>
      </c>
      <c r="M6289">
        <v>119.14</v>
      </c>
      <c r="N6289" s="4">
        <f t="shared" si="98"/>
        <v>-20.935118348161826</v>
      </c>
      <c r="O6289" t="s">
        <v>83</v>
      </c>
      <c r="Q6289" s="24" t="s">
        <v>4392</v>
      </c>
    </row>
    <row r="6290" spans="1:17" x14ac:dyDescent="0.25">
      <c r="A6290" s="22">
        <v>45860</v>
      </c>
      <c r="B6290" s="1">
        <v>615434452</v>
      </c>
      <c r="C6290" t="s">
        <v>4700</v>
      </c>
      <c r="D6290" s="44">
        <v>-10770.3</v>
      </c>
      <c r="E6290" t="s">
        <v>35</v>
      </c>
      <c r="F6290" s="2">
        <v>110114001</v>
      </c>
      <c r="G6290" s="2" t="s">
        <v>181</v>
      </c>
      <c r="I6290" s="95" t="s">
        <v>7231</v>
      </c>
      <c r="J6290" t="s">
        <v>599</v>
      </c>
      <c r="K6290" t="s">
        <v>600</v>
      </c>
      <c r="M6290">
        <v>119.67</v>
      </c>
      <c r="N6290" s="4">
        <f t="shared" si="98"/>
        <v>-89.999999999999986</v>
      </c>
      <c r="O6290" t="s">
        <v>83</v>
      </c>
    </row>
    <row r="6291" spans="1:17" x14ac:dyDescent="0.25">
      <c r="A6291" s="22">
        <v>45860</v>
      </c>
      <c r="B6291" s="1">
        <v>615434452</v>
      </c>
      <c r="C6291" t="s">
        <v>185</v>
      </c>
      <c r="D6291" s="44">
        <v>-32.31</v>
      </c>
      <c r="E6291" t="s">
        <v>35</v>
      </c>
      <c r="F6291" s="2">
        <v>610148001</v>
      </c>
      <c r="G6291" s="2" t="s">
        <v>41</v>
      </c>
      <c r="I6291" s="95" t="s">
        <v>7231</v>
      </c>
      <c r="J6291" t="s">
        <v>42</v>
      </c>
      <c r="K6291" t="s">
        <v>41</v>
      </c>
      <c r="M6291">
        <v>119.67</v>
      </c>
      <c r="N6291" s="4">
        <f t="shared" si="98"/>
        <v>-0.26999247931812487</v>
      </c>
      <c r="O6291" t="s">
        <v>83</v>
      </c>
      <c r="Q6291" s="24" t="s">
        <v>4392</v>
      </c>
    </row>
    <row r="6292" spans="1:17" x14ac:dyDescent="0.25">
      <c r="A6292" s="22">
        <v>45861</v>
      </c>
      <c r="B6292" s="1">
        <v>583229571</v>
      </c>
      <c r="C6292" t="s">
        <v>4701</v>
      </c>
      <c r="D6292" s="44">
        <v>425.84</v>
      </c>
      <c r="E6292" t="s">
        <v>45</v>
      </c>
      <c r="F6292" s="2">
        <v>210101001</v>
      </c>
      <c r="G6292" s="2" t="s">
        <v>36</v>
      </c>
      <c r="I6292" s="95" t="s">
        <v>7231</v>
      </c>
      <c r="K6292" t="s">
        <v>4702</v>
      </c>
      <c r="M6292">
        <v>120.42</v>
      </c>
      <c r="N6292" s="4">
        <f t="shared" si="98"/>
        <v>3.5362896528815808</v>
      </c>
      <c r="O6292" t="s">
        <v>83</v>
      </c>
    </row>
    <row r="6293" spans="1:17" x14ac:dyDescent="0.25">
      <c r="A6293" s="22">
        <v>45863</v>
      </c>
      <c r="B6293" s="1">
        <v>472727917</v>
      </c>
      <c r="C6293" t="s">
        <v>98</v>
      </c>
      <c r="D6293" s="44">
        <v>1000000</v>
      </c>
      <c r="E6293" t="s">
        <v>45</v>
      </c>
      <c r="F6293" s="2">
        <v>210115002</v>
      </c>
      <c r="G6293" s="2" t="s">
        <v>46</v>
      </c>
      <c r="I6293" s="95" t="s">
        <v>7231</v>
      </c>
      <c r="K6293" t="s">
        <v>98</v>
      </c>
      <c r="M6293">
        <v>121.35</v>
      </c>
      <c r="N6293" s="4">
        <f t="shared" si="98"/>
        <v>8240.6262875978573</v>
      </c>
      <c r="O6293" t="s">
        <v>83</v>
      </c>
    </row>
    <row r="6294" spans="1:17" x14ac:dyDescent="0.25">
      <c r="A6294" s="22">
        <v>45863</v>
      </c>
      <c r="B6294" s="1">
        <v>672728537</v>
      </c>
      <c r="C6294" t="s">
        <v>98</v>
      </c>
      <c r="D6294" s="44">
        <v>1000000</v>
      </c>
      <c r="E6294" t="s">
        <v>45</v>
      </c>
      <c r="F6294" s="2">
        <v>210115002</v>
      </c>
      <c r="G6294" s="2" t="s">
        <v>46</v>
      </c>
      <c r="I6294" s="95" t="s">
        <v>7231</v>
      </c>
      <c r="K6294" t="s">
        <v>98</v>
      </c>
      <c r="M6294">
        <v>121.35</v>
      </c>
      <c r="N6294" s="4">
        <f t="shared" si="98"/>
        <v>8240.6262875978573</v>
      </c>
      <c r="O6294" t="s">
        <v>83</v>
      </c>
    </row>
    <row r="6295" spans="1:17" x14ac:dyDescent="0.25">
      <c r="A6295" s="22">
        <v>45863</v>
      </c>
      <c r="B6295" s="1">
        <v>672728981</v>
      </c>
      <c r="C6295" t="s">
        <v>98</v>
      </c>
      <c r="D6295" s="44">
        <v>1000000</v>
      </c>
      <c r="E6295" t="s">
        <v>45</v>
      </c>
      <c r="F6295" s="2">
        <v>210115002</v>
      </c>
      <c r="G6295" s="2" t="s">
        <v>46</v>
      </c>
      <c r="I6295" s="95" t="s">
        <v>7231</v>
      </c>
      <c r="K6295" t="s">
        <v>98</v>
      </c>
      <c r="M6295">
        <v>121.35</v>
      </c>
      <c r="N6295" s="4">
        <f t="shared" si="98"/>
        <v>8240.6262875978573</v>
      </c>
      <c r="O6295" t="s">
        <v>83</v>
      </c>
    </row>
    <row r="6296" spans="1:17" x14ac:dyDescent="0.25">
      <c r="A6296" s="22">
        <v>45863</v>
      </c>
      <c r="B6296" s="1">
        <v>672729385</v>
      </c>
      <c r="C6296" t="s">
        <v>98</v>
      </c>
      <c r="D6296" s="44">
        <v>600000</v>
      </c>
      <c r="E6296" t="s">
        <v>45</v>
      </c>
      <c r="F6296" s="2">
        <v>210115002</v>
      </c>
      <c r="G6296" s="2" t="s">
        <v>46</v>
      </c>
      <c r="I6296" s="95" t="s">
        <v>7231</v>
      </c>
      <c r="K6296" t="s">
        <v>98</v>
      </c>
      <c r="M6296">
        <v>121.35</v>
      </c>
      <c r="N6296" s="4">
        <f t="shared" si="98"/>
        <v>4944.3757725587147</v>
      </c>
      <c r="O6296" t="s">
        <v>83</v>
      </c>
    </row>
    <row r="6297" spans="1:17" x14ac:dyDescent="0.25">
      <c r="A6297" s="22">
        <v>45863</v>
      </c>
      <c r="B6297" s="1">
        <v>515606507</v>
      </c>
      <c r="C6297" t="s">
        <v>4703</v>
      </c>
      <c r="D6297" s="44">
        <v>-14031.81</v>
      </c>
      <c r="E6297" t="s">
        <v>35</v>
      </c>
      <c r="F6297" s="2">
        <v>110101002</v>
      </c>
      <c r="G6297" s="2" t="s">
        <v>2771</v>
      </c>
      <c r="I6297" s="95" t="s">
        <v>7231</v>
      </c>
      <c r="K6297" t="s">
        <v>3285</v>
      </c>
      <c r="M6297">
        <v>121.35</v>
      </c>
      <c r="N6297" s="4">
        <f t="shared" si="98"/>
        <v>-115.63090234857849</v>
      </c>
      <c r="O6297" t="s">
        <v>83</v>
      </c>
    </row>
    <row r="6298" spans="1:17" x14ac:dyDescent="0.25">
      <c r="A6298" s="22">
        <v>45863</v>
      </c>
      <c r="B6298" s="1">
        <v>515606504</v>
      </c>
      <c r="C6298" t="s">
        <v>4704</v>
      </c>
      <c r="D6298" s="44">
        <v>-557258.88</v>
      </c>
      <c r="E6298" t="s">
        <v>35</v>
      </c>
      <c r="F6298" s="2">
        <v>110114001</v>
      </c>
      <c r="G6298" s="2" t="s">
        <v>181</v>
      </c>
      <c r="I6298" s="95" t="s">
        <v>7231</v>
      </c>
      <c r="J6298" t="s">
        <v>37</v>
      </c>
      <c r="K6298" t="e">
        <f>VLOOKUP(J6298,[1]!SERVICIOS[#Data],2,FALSE)</f>
        <v>#REF!</v>
      </c>
      <c r="M6298">
        <v>121.35</v>
      </c>
      <c r="N6298" s="4">
        <f t="shared" si="98"/>
        <v>-4592.16217552534</v>
      </c>
      <c r="O6298" t="s">
        <v>83</v>
      </c>
      <c r="P6298" s="34" t="s">
        <v>3907</v>
      </c>
    </row>
    <row r="6299" spans="1:17" x14ac:dyDescent="0.25">
      <c r="A6299" s="33">
        <v>45863</v>
      </c>
      <c r="B6299" s="27">
        <v>515606505</v>
      </c>
      <c r="C6299" s="28" t="s">
        <v>52</v>
      </c>
      <c r="D6299" s="47">
        <v>-14562</v>
      </c>
      <c r="E6299" s="28" t="s">
        <v>35</v>
      </c>
      <c r="F6299" s="30">
        <v>610129001</v>
      </c>
      <c r="G6299" s="30" t="s">
        <v>53</v>
      </c>
      <c r="H6299" s="30"/>
      <c r="I6299" s="95" t="s">
        <v>7231</v>
      </c>
      <c r="J6299" s="28" t="s">
        <v>54</v>
      </c>
      <c r="K6299" s="28" t="s">
        <v>55</v>
      </c>
      <c r="L6299" s="28" t="s">
        <v>56</v>
      </c>
      <c r="M6299" s="28">
        <v>121.35</v>
      </c>
      <c r="N6299" s="4">
        <f t="shared" si="98"/>
        <v>-120</v>
      </c>
      <c r="O6299" t="s">
        <v>83</v>
      </c>
      <c r="Q6299" s="24" t="s">
        <v>4705</v>
      </c>
    </row>
    <row r="6300" spans="1:17" x14ac:dyDescent="0.25">
      <c r="A6300" s="22">
        <v>45863</v>
      </c>
      <c r="B6300" s="1">
        <v>615606509</v>
      </c>
      <c r="C6300" t="s">
        <v>4706</v>
      </c>
      <c r="D6300" s="44">
        <v>-133.22</v>
      </c>
      <c r="E6300" t="s">
        <v>35</v>
      </c>
      <c r="F6300" s="2">
        <v>210101001</v>
      </c>
      <c r="G6300" s="2" t="s">
        <v>36</v>
      </c>
      <c r="I6300" s="95" t="s">
        <v>7231</v>
      </c>
      <c r="J6300" t="s">
        <v>86</v>
      </c>
      <c r="K6300" t="s">
        <v>87</v>
      </c>
      <c r="M6300">
        <v>121.35</v>
      </c>
      <c r="N6300" s="4">
        <f t="shared" si="98"/>
        <v>-1.0978162340337867</v>
      </c>
      <c r="O6300" t="s">
        <v>83</v>
      </c>
    </row>
    <row r="6301" spans="1:17" x14ac:dyDescent="0.25">
      <c r="A6301" s="22">
        <v>45863</v>
      </c>
      <c r="B6301" s="1">
        <v>615606508</v>
      </c>
      <c r="C6301" t="s">
        <v>4707</v>
      </c>
      <c r="D6301" s="44">
        <v>-12135</v>
      </c>
      <c r="E6301" t="s">
        <v>35</v>
      </c>
      <c r="F6301" s="2">
        <v>212901001</v>
      </c>
      <c r="G6301" s="2" t="s">
        <v>91</v>
      </c>
      <c r="I6301" s="95" t="s">
        <v>7231</v>
      </c>
      <c r="J6301" t="s">
        <v>61</v>
      </c>
      <c r="K6301" t="s">
        <v>62</v>
      </c>
      <c r="M6301">
        <v>121.35</v>
      </c>
      <c r="N6301" s="4">
        <f t="shared" si="98"/>
        <v>-100</v>
      </c>
      <c r="O6301" t="s">
        <v>83</v>
      </c>
    </row>
    <row r="6302" spans="1:17" x14ac:dyDescent="0.25">
      <c r="A6302" s="22">
        <v>45863</v>
      </c>
      <c r="B6302" s="1">
        <v>615606511</v>
      </c>
      <c r="C6302" t="s">
        <v>4708</v>
      </c>
      <c r="D6302" s="44">
        <v>-9708</v>
      </c>
      <c r="E6302" t="s">
        <v>35</v>
      </c>
      <c r="F6302" s="2">
        <v>212901001</v>
      </c>
      <c r="G6302" s="2" t="s">
        <v>91</v>
      </c>
      <c r="I6302" s="95" t="s">
        <v>7231</v>
      </c>
      <c r="J6302" t="s">
        <v>61</v>
      </c>
      <c r="K6302" t="s">
        <v>62</v>
      </c>
      <c r="M6302">
        <v>121.35</v>
      </c>
      <c r="N6302" s="4">
        <f t="shared" si="98"/>
        <v>-80</v>
      </c>
      <c r="O6302" t="s">
        <v>83</v>
      </c>
    </row>
    <row r="6303" spans="1:17" x14ac:dyDescent="0.25">
      <c r="A6303" s="22">
        <v>45863</v>
      </c>
      <c r="B6303" s="1">
        <v>615606512</v>
      </c>
      <c r="C6303" t="s">
        <v>4709</v>
      </c>
      <c r="D6303" s="44">
        <v>-9708</v>
      </c>
      <c r="E6303" t="s">
        <v>35</v>
      </c>
      <c r="F6303" s="2">
        <v>212901001</v>
      </c>
      <c r="G6303" s="2" t="s">
        <v>91</v>
      </c>
      <c r="I6303" s="95" t="s">
        <v>7231</v>
      </c>
      <c r="J6303" t="s">
        <v>61</v>
      </c>
      <c r="K6303" t="s">
        <v>62</v>
      </c>
      <c r="M6303">
        <v>121.35</v>
      </c>
      <c r="N6303" s="4">
        <f t="shared" si="98"/>
        <v>-80</v>
      </c>
      <c r="O6303" t="s">
        <v>83</v>
      </c>
    </row>
    <row r="6304" spans="1:17" x14ac:dyDescent="0.25">
      <c r="A6304" s="22">
        <v>45863</v>
      </c>
      <c r="B6304" s="1">
        <v>615606513</v>
      </c>
      <c r="C6304" t="s">
        <v>4710</v>
      </c>
      <c r="D6304" s="44">
        <v>-1213.5</v>
      </c>
      <c r="E6304" t="s">
        <v>35</v>
      </c>
      <c r="F6304" s="2">
        <v>212901001</v>
      </c>
      <c r="G6304" s="2" t="s">
        <v>91</v>
      </c>
      <c r="I6304" s="95" t="s">
        <v>7231</v>
      </c>
      <c r="J6304" t="s">
        <v>61</v>
      </c>
      <c r="K6304" t="s">
        <v>62</v>
      </c>
      <c r="M6304">
        <v>121.35</v>
      </c>
      <c r="N6304" s="4">
        <f t="shared" si="98"/>
        <v>-10</v>
      </c>
      <c r="O6304" t="s">
        <v>83</v>
      </c>
    </row>
    <row r="6305" spans="1:17" x14ac:dyDescent="0.25">
      <c r="A6305" s="22">
        <v>45863</v>
      </c>
      <c r="B6305" s="1">
        <v>615606516</v>
      </c>
      <c r="C6305" t="s">
        <v>4711</v>
      </c>
      <c r="D6305" s="44">
        <v>-2427</v>
      </c>
      <c r="E6305" t="s">
        <v>35</v>
      </c>
      <c r="F6305" s="2">
        <v>212901001</v>
      </c>
      <c r="G6305" s="2" t="s">
        <v>91</v>
      </c>
      <c r="I6305" s="95" t="s">
        <v>7231</v>
      </c>
      <c r="J6305" t="s">
        <v>61</v>
      </c>
      <c r="K6305" t="s">
        <v>62</v>
      </c>
      <c r="M6305">
        <v>121.35</v>
      </c>
      <c r="N6305" s="4">
        <f t="shared" si="98"/>
        <v>-20</v>
      </c>
      <c r="O6305" t="s">
        <v>83</v>
      </c>
    </row>
    <row r="6306" spans="1:17" x14ac:dyDescent="0.25">
      <c r="A6306" s="22">
        <v>45863</v>
      </c>
      <c r="B6306" s="1">
        <v>615606515</v>
      </c>
      <c r="C6306" t="s">
        <v>4712</v>
      </c>
      <c r="D6306" s="44">
        <v>-1213.5</v>
      </c>
      <c r="E6306" t="s">
        <v>35</v>
      </c>
      <c r="F6306" s="2">
        <v>212901001</v>
      </c>
      <c r="G6306" s="2" t="s">
        <v>91</v>
      </c>
      <c r="I6306" s="95" t="s">
        <v>7231</v>
      </c>
      <c r="J6306" t="s">
        <v>61</v>
      </c>
      <c r="K6306" t="s">
        <v>62</v>
      </c>
      <c r="M6306">
        <v>121.35</v>
      </c>
      <c r="N6306" s="4">
        <f t="shared" si="98"/>
        <v>-10</v>
      </c>
      <c r="O6306" t="s">
        <v>83</v>
      </c>
    </row>
    <row r="6307" spans="1:17" x14ac:dyDescent="0.25">
      <c r="A6307" s="22">
        <v>45863</v>
      </c>
      <c r="B6307" s="1">
        <v>615606519</v>
      </c>
      <c r="C6307" t="s">
        <v>4713</v>
      </c>
      <c r="D6307" s="44">
        <v>-2427</v>
      </c>
      <c r="E6307" t="s">
        <v>35</v>
      </c>
      <c r="F6307" s="2">
        <v>212901001</v>
      </c>
      <c r="G6307" s="2" t="s">
        <v>91</v>
      </c>
      <c r="I6307" s="95" t="s">
        <v>7231</v>
      </c>
      <c r="J6307" t="s">
        <v>61</v>
      </c>
      <c r="K6307" t="s">
        <v>62</v>
      </c>
      <c r="M6307">
        <v>121.35</v>
      </c>
      <c r="N6307" s="4">
        <f t="shared" si="98"/>
        <v>-20</v>
      </c>
      <c r="O6307" t="s">
        <v>83</v>
      </c>
    </row>
    <row r="6308" spans="1:17" x14ac:dyDescent="0.25">
      <c r="A6308" s="33">
        <v>45863</v>
      </c>
      <c r="B6308" s="27">
        <v>715606525</v>
      </c>
      <c r="C6308" s="28" t="s">
        <v>4714</v>
      </c>
      <c r="D6308" s="47">
        <v>-14562</v>
      </c>
      <c r="E6308" s="28" t="s">
        <v>35</v>
      </c>
      <c r="F6308" s="30">
        <v>610156001</v>
      </c>
      <c r="G6308" s="30" t="s">
        <v>72</v>
      </c>
      <c r="H6308" s="30"/>
      <c r="I6308" s="95" t="s">
        <v>7231</v>
      </c>
      <c r="J6308" s="28" t="s">
        <v>73</v>
      </c>
      <c r="K6308" s="28" t="s">
        <v>74</v>
      </c>
      <c r="L6308" s="28" t="s">
        <v>56</v>
      </c>
      <c r="M6308" s="28">
        <v>121.35</v>
      </c>
      <c r="N6308" s="4">
        <f t="shared" si="98"/>
        <v>-120</v>
      </c>
      <c r="O6308" t="s">
        <v>83</v>
      </c>
      <c r="Q6308" s="24" t="s">
        <v>4715</v>
      </c>
    </row>
    <row r="6309" spans="1:17" x14ac:dyDescent="0.25">
      <c r="A6309" s="22">
        <v>45863</v>
      </c>
      <c r="B6309" s="1">
        <v>615606517</v>
      </c>
      <c r="C6309" t="s">
        <v>4716</v>
      </c>
      <c r="D6309" s="44">
        <v>-2427</v>
      </c>
      <c r="E6309" t="s">
        <v>35</v>
      </c>
      <c r="F6309" s="2">
        <v>212901001</v>
      </c>
      <c r="G6309" s="2" t="s">
        <v>91</v>
      </c>
      <c r="I6309" s="95" t="s">
        <v>7231</v>
      </c>
      <c r="J6309" t="s">
        <v>61</v>
      </c>
      <c r="K6309" t="s">
        <v>62</v>
      </c>
      <c r="M6309">
        <v>121.35</v>
      </c>
      <c r="N6309" s="4">
        <f t="shared" si="98"/>
        <v>-20</v>
      </c>
      <c r="O6309" t="s">
        <v>83</v>
      </c>
    </row>
    <row r="6310" spans="1:17" x14ac:dyDescent="0.25">
      <c r="A6310" s="22">
        <v>45863</v>
      </c>
      <c r="B6310" s="1">
        <v>715606529</v>
      </c>
      <c r="C6310" t="s">
        <v>4717</v>
      </c>
      <c r="D6310" s="44">
        <v>-690838</v>
      </c>
      <c r="E6310" t="s">
        <v>35</v>
      </c>
      <c r="F6310" s="2">
        <v>110114001</v>
      </c>
      <c r="G6310" s="2" t="s">
        <v>181</v>
      </c>
      <c r="I6310" s="95" t="s">
        <v>7231</v>
      </c>
      <c r="J6310" t="s">
        <v>37</v>
      </c>
      <c r="K6310" t="s">
        <v>38</v>
      </c>
      <c r="M6310">
        <v>121.35</v>
      </c>
      <c r="N6310" s="4">
        <f t="shared" si="98"/>
        <v>-5692.937783271529</v>
      </c>
      <c r="O6310" t="s">
        <v>83</v>
      </c>
      <c r="P6310" s="34" t="s">
        <v>3907</v>
      </c>
    </row>
    <row r="6311" spans="1:17" x14ac:dyDescent="0.25">
      <c r="A6311" s="33">
        <v>45863</v>
      </c>
      <c r="B6311" s="27">
        <v>715606522</v>
      </c>
      <c r="C6311" s="28" t="s">
        <v>4718</v>
      </c>
      <c r="D6311" s="47">
        <v>-33371.25</v>
      </c>
      <c r="E6311" s="28" t="s">
        <v>35</v>
      </c>
      <c r="F6311" s="30">
        <v>610156001</v>
      </c>
      <c r="G6311" s="30" t="s">
        <v>72</v>
      </c>
      <c r="H6311" s="30"/>
      <c r="I6311" s="95" t="s">
        <v>7231</v>
      </c>
      <c r="J6311" s="28" t="s">
        <v>2398</v>
      </c>
      <c r="K6311" s="28" t="s">
        <v>632</v>
      </c>
      <c r="L6311" s="28" t="s">
        <v>56</v>
      </c>
      <c r="M6311" s="28">
        <v>121.35</v>
      </c>
      <c r="N6311" s="4">
        <f t="shared" si="98"/>
        <v>-275</v>
      </c>
      <c r="O6311" t="s">
        <v>83</v>
      </c>
      <c r="Q6311" s="24" t="s">
        <v>4719</v>
      </c>
    </row>
    <row r="6312" spans="1:17" x14ac:dyDescent="0.25">
      <c r="A6312" s="22">
        <v>45863</v>
      </c>
      <c r="B6312" s="1">
        <v>715606531</v>
      </c>
      <c r="C6312" t="s">
        <v>4720</v>
      </c>
      <c r="D6312" s="44">
        <v>-245430.14</v>
      </c>
      <c r="E6312" t="s">
        <v>35</v>
      </c>
      <c r="F6312" s="2">
        <v>210101001</v>
      </c>
      <c r="G6312" s="2" t="s">
        <v>36</v>
      </c>
      <c r="I6312" s="95" t="s">
        <v>7231</v>
      </c>
      <c r="J6312" t="s">
        <v>1424</v>
      </c>
      <c r="K6312" t="s">
        <v>1425</v>
      </c>
      <c r="M6312">
        <v>121.35</v>
      </c>
      <c r="N6312" s="4">
        <f t="shared" si="98"/>
        <v>-2022.4980634528226</v>
      </c>
      <c r="O6312" t="s">
        <v>83</v>
      </c>
    </row>
    <row r="6313" spans="1:17" x14ac:dyDescent="0.25">
      <c r="A6313" s="22">
        <v>45863</v>
      </c>
      <c r="B6313" s="1">
        <v>715606527</v>
      </c>
      <c r="C6313" t="s">
        <v>4721</v>
      </c>
      <c r="D6313" s="44">
        <v>-91495.56</v>
      </c>
      <c r="E6313" t="s">
        <v>35</v>
      </c>
      <c r="F6313" s="2">
        <v>210101001</v>
      </c>
      <c r="G6313" s="2" t="s">
        <v>36</v>
      </c>
      <c r="I6313" s="95" t="s">
        <v>7231</v>
      </c>
      <c r="J6313" t="s">
        <v>37</v>
      </c>
      <c r="K6313" t="s">
        <v>38</v>
      </c>
      <c r="M6313">
        <v>121.35</v>
      </c>
      <c r="N6313" s="4">
        <f t="shared" si="98"/>
        <v>-753.98071693448708</v>
      </c>
      <c r="O6313" t="s">
        <v>83</v>
      </c>
    </row>
    <row r="6314" spans="1:17" x14ac:dyDescent="0.25">
      <c r="A6314" s="22">
        <v>45863</v>
      </c>
      <c r="B6314" s="1">
        <v>715606526</v>
      </c>
      <c r="C6314" t="s">
        <v>4722</v>
      </c>
      <c r="D6314" s="44">
        <v>-180180.48000000001</v>
      </c>
      <c r="E6314" t="s">
        <v>35</v>
      </c>
      <c r="F6314" s="2">
        <v>210101001</v>
      </c>
      <c r="G6314" s="2" t="s">
        <v>36</v>
      </c>
      <c r="I6314" s="95" t="s">
        <v>7231</v>
      </c>
      <c r="J6314" t="s">
        <v>37</v>
      </c>
      <c r="K6314" t="s">
        <v>38</v>
      </c>
      <c r="M6314">
        <v>121.35</v>
      </c>
      <c r="N6314" s="4">
        <f t="shared" si="98"/>
        <v>-1484.8000000000002</v>
      </c>
      <c r="O6314" t="s">
        <v>83</v>
      </c>
    </row>
    <row r="6315" spans="1:17" x14ac:dyDescent="0.25">
      <c r="A6315" s="22">
        <v>45863</v>
      </c>
      <c r="B6315" s="1">
        <v>715606521</v>
      </c>
      <c r="C6315" t="s">
        <v>4723</v>
      </c>
      <c r="D6315" s="44">
        <v>-2427</v>
      </c>
      <c r="E6315" t="s">
        <v>35</v>
      </c>
      <c r="F6315" s="2">
        <v>212901001</v>
      </c>
      <c r="G6315" s="2" t="s">
        <v>91</v>
      </c>
      <c r="I6315" s="95" t="s">
        <v>7231</v>
      </c>
      <c r="J6315" t="s">
        <v>61</v>
      </c>
      <c r="K6315" t="s">
        <v>62</v>
      </c>
      <c r="M6315">
        <v>121.35</v>
      </c>
      <c r="N6315" s="4">
        <f t="shared" si="98"/>
        <v>-20</v>
      </c>
      <c r="O6315" t="s">
        <v>83</v>
      </c>
    </row>
    <row r="6316" spans="1:17" x14ac:dyDescent="0.25">
      <c r="A6316" s="22">
        <v>45863</v>
      </c>
      <c r="B6316" s="1">
        <v>50732822</v>
      </c>
      <c r="C6316" t="s">
        <v>89</v>
      </c>
      <c r="D6316" s="44">
        <v>-4713.87</v>
      </c>
      <c r="E6316" t="s">
        <v>35</v>
      </c>
      <c r="F6316" s="2">
        <v>610148001</v>
      </c>
      <c r="G6316" s="2" t="s">
        <v>41</v>
      </c>
      <c r="I6316" s="95" t="s">
        <v>7231</v>
      </c>
      <c r="J6316" t="s">
        <v>42</v>
      </c>
      <c r="K6316" t="s">
        <v>41</v>
      </c>
      <c r="M6316">
        <v>121.35</v>
      </c>
      <c r="N6316" s="4">
        <f t="shared" si="98"/>
        <v>-38.84524103831891</v>
      </c>
      <c r="O6316" t="s">
        <v>83</v>
      </c>
      <c r="Q6316" s="24" t="s">
        <v>4392</v>
      </c>
    </row>
    <row r="6317" spans="1:17" x14ac:dyDescent="0.25">
      <c r="A6317" s="22">
        <v>45863</v>
      </c>
      <c r="B6317" s="1">
        <v>115606705</v>
      </c>
      <c r="C6317" t="s">
        <v>3900</v>
      </c>
      <c r="D6317" s="44">
        <v>-1000000</v>
      </c>
      <c r="E6317" t="s">
        <v>35</v>
      </c>
      <c r="F6317" s="2">
        <v>110114001</v>
      </c>
      <c r="G6317" s="2" t="s">
        <v>181</v>
      </c>
      <c r="I6317" s="95" t="s">
        <v>7231</v>
      </c>
      <c r="J6317" t="s">
        <v>1007</v>
      </c>
      <c r="K6317" t="s">
        <v>1008</v>
      </c>
      <c r="M6317">
        <v>121.35</v>
      </c>
      <c r="N6317" s="4">
        <f t="shared" si="98"/>
        <v>-8240.6262875978573</v>
      </c>
      <c r="O6317" t="s">
        <v>83</v>
      </c>
    </row>
    <row r="6318" spans="1:17" x14ac:dyDescent="0.25">
      <c r="A6318" s="22">
        <v>45863</v>
      </c>
      <c r="B6318" s="1">
        <v>115606705</v>
      </c>
      <c r="C6318" t="s">
        <v>185</v>
      </c>
      <c r="D6318" s="44">
        <v>-3000</v>
      </c>
      <c r="E6318" t="s">
        <v>35</v>
      </c>
      <c r="F6318" s="2">
        <v>610148001</v>
      </c>
      <c r="G6318" s="2" t="s">
        <v>41</v>
      </c>
      <c r="I6318" s="95" t="s">
        <v>7231</v>
      </c>
      <c r="J6318" t="s">
        <v>42</v>
      </c>
      <c r="K6318" t="s">
        <v>41</v>
      </c>
      <c r="M6318">
        <v>121.35</v>
      </c>
      <c r="N6318" s="4">
        <f t="shared" si="98"/>
        <v>-24.721878862793574</v>
      </c>
      <c r="O6318" t="s">
        <v>83</v>
      </c>
      <c r="Q6318" s="24" t="s">
        <v>4392</v>
      </c>
    </row>
    <row r="6319" spans="1:17" x14ac:dyDescent="0.25">
      <c r="A6319" s="22">
        <v>45863</v>
      </c>
      <c r="B6319" s="1">
        <v>715606962</v>
      </c>
      <c r="C6319" t="s">
        <v>3900</v>
      </c>
      <c r="D6319" s="44">
        <v>-659509.4</v>
      </c>
      <c r="E6319" t="s">
        <v>35</v>
      </c>
      <c r="F6319" s="2">
        <v>110114001</v>
      </c>
      <c r="G6319" s="2" t="s">
        <v>181</v>
      </c>
      <c r="I6319" s="95" t="s">
        <v>7231</v>
      </c>
      <c r="J6319" t="s">
        <v>1007</v>
      </c>
      <c r="K6319" t="s">
        <v>1008</v>
      </c>
      <c r="M6319">
        <v>121.35</v>
      </c>
      <c r="N6319" s="4">
        <f t="shared" si="98"/>
        <v>-5434.7704985578912</v>
      </c>
      <c r="O6319" t="s">
        <v>83</v>
      </c>
    </row>
    <row r="6320" spans="1:17" x14ac:dyDescent="0.25">
      <c r="A6320" s="22">
        <v>45863</v>
      </c>
      <c r="B6320" s="1">
        <v>715606962</v>
      </c>
      <c r="C6320" t="s">
        <v>185</v>
      </c>
      <c r="D6320" s="44">
        <v>-1978.53</v>
      </c>
      <c r="E6320" t="s">
        <v>35</v>
      </c>
      <c r="F6320" s="2">
        <v>610148001</v>
      </c>
      <c r="G6320" s="2" t="s">
        <v>41</v>
      </c>
      <c r="I6320" s="95" t="s">
        <v>7231</v>
      </c>
      <c r="J6320" t="s">
        <v>42</v>
      </c>
      <c r="K6320" t="s">
        <v>41</v>
      </c>
      <c r="M6320">
        <v>121.35</v>
      </c>
      <c r="N6320" s="4">
        <f t="shared" si="98"/>
        <v>-16.30432632880099</v>
      </c>
      <c r="O6320" t="s">
        <v>83</v>
      </c>
      <c r="Q6320" s="24" t="s">
        <v>4392</v>
      </c>
    </row>
    <row r="6321" spans="1:15" x14ac:dyDescent="0.25">
      <c r="A6321" s="22">
        <v>45863</v>
      </c>
      <c r="B6321" s="1">
        <v>171213232</v>
      </c>
      <c r="C6321" t="s">
        <v>82</v>
      </c>
      <c r="D6321" s="44">
        <v>610000</v>
      </c>
      <c r="E6321" t="s">
        <v>45</v>
      </c>
      <c r="F6321" s="2">
        <v>210115002</v>
      </c>
      <c r="G6321" s="2" t="s">
        <v>46</v>
      </c>
      <c r="I6321" s="95" t="s">
        <v>7231</v>
      </c>
      <c r="K6321" t="s">
        <v>82</v>
      </c>
      <c r="M6321">
        <v>121.35</v>
      </c>
      <c r="N6321" s="4">
        <f t="shared" si="98"/>
        <v>5026.7820354346932</v>
      </c>
      <c r="O6321" t="s">
        <v>83</v>
      </c>
    </row>
    <row r="6322" spans="1:15" x14ac:dyDescent="0.25">
      <c r="A6322" s="22">
        <v>45863</v>
      </c>
      <c r="B6322" s="1">
        <v>615613260</v>
      </c>
      <c r="C6322" t="s">
        <v>4724</v>
      </c>
      <c r="D6322" s="44">
        <v>-9708</v>
      </c>
      <c r="E6322" t="s">
        <v>35</v>
      </c>
      <c r="F6322" s="2">
        <v>212901001</v>
      </c>
      <c r="G6322" s="2" t="s">
        <v>91</v>
      </c>
      <c r="I6322" s="95" t="s">
        <v>7231</v>
      </c>
      <c r="J6322" t="s">
        <v>61</v>
      </c>
      <c r="K6322" t="s">
        <v>62</v>
      </c>
      <c r="M6322">
        <v>121.35</v>
      </c>
      <c r="N6322" s="4">
        <f t="shared" si="98"/>
        <v>-80</v>
      </c>
      <c r="O6322" t="s">
        <v>83</v>
      </c>
    </row>
    <row r="6323" spans="1:15" x14ac:dyDescent="0.25">
      <c r="A6323" s="22">
        <v>45863</v>
      </c>
      <c r="B6323" s="1">
        <v>615613263</v>
      </c>
      <c r="C6323" t="s">
        <v>4725</v>
      </c>
      <c r="D6323" s="44">
        <v>-7281</v>
      </c>
      <c r="E6323" t="s">
        <v>35</v>
      </c>
      <c r="F6323" s="2">
        <v>212901001</v>
      </c>
      <c r="G6323" s="2" t="s">
        <v>91</v>
      </c>
      <c r="I6323" s="95" t="s">
        <v>7231</v>
      </c>
      <c r="J6323" t="s">
        <v>61</v>
      </c>
      <c r="K6323" t="s">
        <v>62</v>
      </c>
      <c r="M6323">
        <v>121.35</v>
      </c>
      <c r="N6323" s="4">
        <f t="shared" si="98"/>
        <v>-60</v>
      </c>
      <c r="O6323" t="s">
        <v>83</v>
      </c>
    </row>
    <row r="6324" spans="1:15" x14ac:dyDescent="0.25">
      <c r="A6324" s="22">
        <v>45863</v>
      </c>
      <c r="B6324" s="1">
        <v>615613261</v>
      </c>
      <c r="C6324" t="s">
        <v>4726</v>
      </c>
      <c r="D6324" s="44">
        <v>-7281</v>
      </c>
      <c r="E6324" t="s">
        <v>35</v>
      </c>
      <c r="F6324" s="2">
        <v>212901001</v>
      </c>
      <c r="G6324" s="2" t="s">
        <v>91</v>
      </c>
      <c r="I6324" s="95" t="s">
        <v>7231</v>
      </c>
      <c r="J6324" t="s">
        <v>61</v>
      </c>
      <c r="K6324" t="s">
        <v>62</v>
      </c>
      <c r="M6324">
        <v>121.35</v>
      </c>
      <c r="N6324" s="4">
        <f t="shared" si="98"/>
        <v>-60</v>
      </c>
      <c r="O6324" t="s">
        <v>83</v>
      </c>
    </row>
    <row r="6325" spans="1:15" x14ac:dyDescent="0.25">
      <c r="A6325" s="22">
        <v>45863</v>
      </c>
      <c r="B6325" s="1">
        <v>615613262</v>
      </c>
      <c r="C6325" t="s">
        <v>4727</v>
      </c>
      <c r="D6325" s="44">
        <v>-7281</v>
      </c>
      <c r="E6325" t="s">
        <v>35</v>
      </c>
      <c r="F6325" s="2">
        <v>212901001</v>
      </c>
      <c r="G6325" s="2" t="s">
        <v>91</v>
      </c>
      <c r="I6325" s="95" t="s">
        <v>7231</v>
      </c>
      <c r="J6325" t="s">
        <v>61</v>
      </c>
      <c r="K6325" t="s">
        <v>62</v>
      </c>
      <c r="M6325">
        <v>121.35</v>
      </c>
      <c r="N6325" s="4">
        <f t="shared" si="98"/>
        <v>-60</v>
      </c>
      <c r="O6325" t="s">
        <v>83</v>
      </c>
    </row>
    <row r="6326" spans="1:15" x14ac:dyDescent="0.25">
      <c r="A6326" s="22">
        <v>45863</v>
      </c>
      <c r="B6326" s="1">
        <v>715613269</v>
      </c>
      <c r="C6326" t="s">
        <v>4728</v>
      </c>
      <c r="D6326" s="44">
        <v>-7281</v>
      </c>
      <c r="E6326" t="s">
        <v>35</v>
      </c>
      <c r="F6326" s="2">
        <v>212901001</v>
      </c>
      <c r="G6326" s="2" t="s">
        <v>91</v>
      </c>
      <c r="I6326" s="95" t="s">
        <v>7231</v>
      </c>
      <c r="J6326" t="s">
        <v>61</v>
      </c>
      <c r="K6326" t="s">
        <v>62</v>
      </c>
      <c r="M6326">
        <v>121.35</v>
      </c>
      <c r="N6326" s="4">
        <f t="shared" si="98"/>
        <v>-60</v>
      </c>
      <c r="O6326" t="s">
        <v>83</v>
      </c>
    </row>
    <row r="6327" spans="1:15" x14ac:dyDescent="0.25">
      <c r="A6327" s="22">
        <v>45863</v>
      </c>
      <c r="B6327" s="1">
        <v>715613266</v>
      </c>
      <c r="C6327" t="s">
        <v>4729</v>
      </c>
      <c r="D6327" s="44">
        <v>-7281</v>
      </c>
      <c r="E6327" t="s">
        <v>35</v>
      </c>
      <c r="F6327" s="2">
        <v>212901001</v>
      </c>
      <c r="G6327" s="2" t="s">
        <v>91</v>
      </c>
      <c r="I6327" s="95" t="s">
        <v>7231</v>
      </c>
      <c r="J6327" t="s">
        <v>61</v>
      </c>
      <c r="K6327" t="s">
        <v>62</v>
      </c>
      <c r="M6327">
        <v>121.35</v>
      </c>
      <c r="N6327" s="4">
        <f t="shared" si="98"/>
        <v>-60</v>
      </c>
      <c r="O6327" t="s">
        <v>83</v>
      </c>
    </row>
    <row r="6328" spans="1:15" x14ac:dyDescent="0.25">
      <c r="A6328" s="22">
        <v>45863</v>
      </c>
      <c r="B6328" s="1">
        <v>715613271</v>
      </c>
      <c r="C6328" t="s">
        <v>4730</v>
      </c>
      <c r="D6328" s="44">
        <v>-7281</v>
      </c>
      <c r="E6328" t="s">
        <v>35</v>
      </c>
      <c r="F6328" s="2">
        <v>212901001</v>
      </c>
      <c r="G6328" s="2" t="s">
        <v>91</v>
      </c>
      <c r="I6328" s="95" t="s">
        <v>7231</v>
      </c>
      <c r="J6328" t="s">
        <v>61</v>
      </c>
      <c r="K6328" t="s">
        <v>62</v>
      </c>
      <c r="M6328">
        <v>121.35</v>
      </c>
      <c r="N6328" s="4">
        <f t="shared" si="98"/>
        <v>-60</v>
      </c>
      <c r="O6328" t="s">
        <v>83</v>
      </c>
    </row>
    <row r="6329" spans="1:15" x14ac:dyDescent="0.25">
      <c r="A6329" s="22">
        <v>45863</v>
      </c>
      <c r="B6329" s="1">
        <v>715613267</v>
      </c>
      <c r="C6329" t="s">
        <v>4731</v>
      </c>
      <c r="D6329" s="44">
        <v>-7281</v>
      </c>
      <c r="E6329" t="s">
        <v>35</v>
      </c>
      <c r="F6329" s="2">
        <v>212901001</v>
      </c>
      <c r="G6329" s="2" t="s">
        <v>91</v>
      </c>
      <c r="I6329" s="95" t="s">
        <v>7231</v>
      </c>
      <c r="J6329" t="s">
        <v>61</v>
      </c>
      <c r="K6329" t="s">
        <v>62</v>
      </c>
      <c r="M6329">
        <v>121.35</v>
      </c>
      <c r="N6329" s="4">
        <f t="shared" si="98"/>
        <v>-60</v>
      </c>
      <c r="O6329" t="s">
        <v>83</v>
      </c>
    </row>
    <row r="6330" spans="1:15" x14ac:dyDescent="0.25">
      <c r="A6330" s="22">
        <v>45863</v>
      </c>
      <c r="B6330" s="1">
        <v>715613268</v>
      </c>
      <c r="C6330" t="s">
        <v>4732</v>
      </c>
      <c r="D6330" s="44">
        <v>-7281</v>
      </c>
      <c r="E6330" t="s">
        <v>35</v>
      </c>
      <c r="F6330" s="2">
        <v>212901001</v>
      </c>
      <c r="G6330" s="2" t="s">
        <v>91</v>
      </c>
      <c r="I6330" s="95" t="s">
        <v>7231</v>
      </c>
      <c r="J6330" t="s">
        <v>61</v>
      </c>
      <c r="K6330" t="s">
        <v>62</v>
      </c>
      <c r="M6330">
        <v>121.35</v>
      </c>
      <c r="N6330" s="4">
        <f t="shared" si="98"/>
        <v>-60</v>
      </c>
      <c r="O6330" t="s">
        <v>83</v>
      </c>
    </row>
    <row r="6331" spans="1:15" x14ac:dyDescent="0.25">
      <c r="A6331" s="22">
        <v>45863</v>
      </c>
      <c r="B6331" s="1">
        <v>715613270</v>
      </c>
      <c r="C6331" t="s">
        <v>4733</v>
      </c>
      <c r="D6331" s="44">
        <v>-7281</v>
      </c>
      <c r="E6331" t="s">
        <v>35</v>
      </c>
      <c r="F6331" s="2">
        <v>212901001</v>
      </c>
      <c r="G6331" s="2" t="s">
        <v>91</v>
      </c>
      <c r="I6331" s="95" t="s">
        <v>7231</v>
      </c>
      <c r="J6331" t="s">
        <v>61</v>
      </c>
      <c r="K6331" t="s">
        <v>62</v>
      </c>
      <c r="M6331">
        <v>121.35</v>
      </c>
      <c r="N6331" s="4">
        <f t="shared" si="98"/>
        <v>-60</v>
      </c>
      <c r="O6331" t="s">
        <v>83</v>
      </c>
    </row>
    <row r="6332" spans="1:15" x14ac:dyDescent="0.25">
      <c r="A6332" s="22">
        <v>45863</v>
      </c>
      <c r="B6332" s="1">
        <v>815613275</v>
      </c>
      <c r="C6332" t="s">
        <v>4734</v>
      </c>
      <c r="D6332" s="44">
        <v>-7281</v>
      </c>
      <c r="E6332" t="s">
        <v>35</v>
      </c>
      <c r="F6332" s="2">
        <v>212901001</v>
      </c>
      <c r="G6332" s="2" t="s">
        <v>91</v>
      </c>
      <c r="I6332" s="95" t="s">
        <v>7231</v>
      </c>
      <c r="J6332" t="s">
        <v>61</v>
      </c>
      <c r="K6332" t="s">
        <v>62</v>
      </c>
      <c r="M6332">
        <v>121.35</v>
      </c>
      <c r="N6332" s="4">
        <f t="shared" si="98"/>
        <v>-60</v>
      </c>
      <c r="O6332" t="s">
        <v>83</v>
      </c>
    </row>
    <row r="6333" spans="1:15" x14ac:dyDescent="0.25">
      <c r="A6333" s="22">
        <v>45863</v>
      </c>
      <c r="B6333" s="1">
        <v>715613273</v>
      </c>
      <c r="C6333" t="s">
        <v>4735</v>
      </c>
      <c r="D6333" s="44">
        <v>-7281</v>
      </c>
      <c r="E6333" t="s">
        <v>35</v>
      </c>
      <c r="F6333" s="2">
        <v>212901001</v>
      </c>
      <c r="G6333" s="2" t="s">
        <v>91</v>
      </c>
      <c r="I6333" s="95" t="s">
        <v>7231</v>
      </c>
      <c r="J6333" t="s">
        <v>61</v>
      </c>
      <c r="K6333" t="s">
        <v>62</v>
      </c>
      <c r="M6333">
        <v>121.35</v>
      </c>
      <c r="N6333" s="4">
        <f t="shared" si="98"/>
        <v>-60</v>
      </c>
      <c r="O6333" t="s">
        <v>83</v>
      </c>
    </row>
    <row r="6334" spans="1:15" x14ac:dyDescent="0.25">
      <c r="A6334" s="22">
        <v>45863</v>
      </c>
      <c r="B6334" s="1">
        <v>715613272</v>
      </c>
      <c r="C6334" t="s">
        <v>4736</v>
      </c>
      <c r="D6334" s="44">
        <v>-7281</v>
      </c>
      <c r="E6334" t="s">
        <v>35</v>
      </c>
      <c r="F6334" s="2">
        <v>212901001</v>
      </c>
      <c r="G6334" s="2" t="s">
        <v>91</v>
      </c>
      <c r="I6334" s="95" t="s">
        <v>7231</v>
      </c>
      <c r="J6334" t="s">
        <v>61</v>
      </c>
      <c r="K6334" t="s">
        <v>62</v>
      </c>
      <c r="M6334">
        <v>121.35</v>
      </c>
      <c r="N6334" s="4">
        <f t="shared" si="98"/>
        <v>-60</v>
      </c>
      <c r="O6334" t="s">
        <v>83</v>
      </c>
    </row>
    <row r="6335" spans="1:15" x14ac:dyDescent="0.25">
      <c r="A6335" s="22">
        <v>45863</v>
      </c>
      <c r="B6335" s="1">
        <v>815613277</v>
      </c>
      <c r="C6335" t="s">
        <v>4737</v>
      </c>
      <c r="D6335" s="44">
        <v>-7281</v>
      </c>
      <c r="E6335" t="s">
        <v>35</v>
      </c>
      <c r="F6335" s="2">
        <v>212901001</v>
      </c>
      <c r="G6335" s="2" t="s">
        <v>91</v>
      </c>
      <c r="I6335" s="95" t="s">
        <v>7231</v>
      </c>
      <c r="J6335" t="s">
        <v>61</v>
      </c>
      <c r="K6335" t="s">
        <v>62</v>
      </c>
      <c r="M6335">
        <v>121.35</v>
      </c>
      <c r="N6335" s="4">
        <f t="shared" si="98"/>
        <v>-60</v>
      </c>
      <c r="O6335" t="s">
        <v>83</v>
      </c>
    </row>
    <row r="6336" spans="1:15" x14ac:dyDescent="0.25">
      <c r="A6336" s="22">
        <v>45863</v>
      </c>
      <c r="B6336" s="1">
        <v>815613276</v>
      </c>
      <c r="C6336" t="s">
        <v>4738</v>
      </c>
      <c r="D6336" s="44">
        <v>-7281</v>
      </c>
      <c r="E6336" t="s">
        <v>35</v>
      </c>
      <c r="F6336" s="2">
        <v>212901001</v>
      </c>
      <c r="G6336" s="2" t="s">
        <v>91</v>
      </c>
      <c r="I6336" s="95" t="s">
        <v>7231</v>
      </c>
      <c r="J6336" t="s">
        <v>61</v>
      </c>
      <c r="K6336" t="s">
        <v>62</v>
      </c>
      <c r="M6336">
        <v>121.35</v>
      </c>
      <c r="N6336" s="4">
        <f t="shared" si="98"/>
        <v>-60</v>
      </c>
      <c r="O6336" t="s">
        <v>83</v>
      </c>
    </row>
    <row r="6337" spans="1:15" x14ac:dyDescent="0.25">
      <c r="A6337" s="22">
        <v>45863</v>
      </c>
      <c r="B6337" s="1">
        <v>715613274</v>
      </c>
      <c r="C6337" t="s">
        <v>4739</v>
      </c>
      <c r="D6337" s="44">
        <v>-7281</v>
      </c>
      <c r="E6337" t="s">
        <v>35</v>
      </c>
      <c r="F6337" s="2">
        <v>212901001</v>
      </c>
      <c r="G6337" s="2" t="s">
        <v>91</v>
      </c>
      <c r="I6337" s="95" t="s">
        <v>7231</v>
      </c>
      <c r="J6337" t="s">
        <v>61</v>
      </c>
      <c r="K6337" t="s">
        <v>62</v>
      </c>
      <c r="M6337">
        <v>121.35</v>
      </c>
      <c r="N6337" s="4">
        <f t="shared" si="98"/>
        <v>-60</v>
      </c>
      <c r="O6337" t="s">
        <v>83</v>
      </c>
    </row>
    <row r="6338" spans="1:15" x14ac:dyDescent="0.25">
      <c r="A6338" s="22">
        <v>45863</v>
      </c>
      <c r="B6338" s="1">
        <v>815613278</v>
      </c>
      <c r="C6338" t="s">
        <v>4740</v>
      </c>
      <c r="D6338" s="44">
        <v>-18202.5</v>
      </c>
      <c r="E6338" t="s">
        <v>35</v>
      </c>
      <c r="F6338" s="2">
        <v>212901001</v>
      </c>
      <c r="G6338" s="2" t="s">
        <v>91</v>
      </c>
      <c r="I6338" s="95" t="s">
        <v>7231</v>
      </c>
      <c r="J6338" t="s">
        <v>61</v>
      </c>
      <c r="K6338" t="s">
        <v>62</v>
      </c>
      <c r="M6338">
        <v>121.35</v>
      </c>
      <c r="N6338" s="4">
        <f t="shared" si="98"/>
        <v>-150</v>
      </c>
      <c r="O6338" t="s">
        <v>83</v>
      </c>
    </row>
    <row r="6339" spans="1:15" x14ac:dyDescent="0.25">
      <c r="A6339" s="22">
        <v>45863</v>
      </c>
      <c r="B6339" s="1">
        <v>815613279</v>
      </c>
      <c r="C6339" t="s">
        <v>4492</v>
      </c>
      <c r="D6339" s="44">
        <v>-12135</v>
      </c>
      <c r="E6339" t="s">
        <v>35</v>
      </c>
      <c r="F6339" s="2">
        <v>212901001</v>
      </c>
      <c r="G6339" s="2" t="s">
        <v>91</v>
      </c>
      <c r="I6339" s="95" t="s">
        <v>7231</v>
      </c>
      <c r="J6339" t="s">
        <v>61</v>
      </c>
      <c r="K6339" t="s">
        <v>62</v>
      </c>
      <c r="M6339">
        <v>121.35</v>
      </c>
      <c r="N6339" s="4">
        <f t="shared" si="98"/>
        <v>-100</v>
      </c>
      <c r="O6339" t="s">
        <v>83</v>
      </c>
    </row>
    <row r="6340" spans="1:15" x14ac:dyDescent="0.25">
      <c r="A6340" s="22">
        <v>45863</v>
      </c>
      <c r="B6340" s="1">
        <v>815613281</v>
      </c>
      <c r="C6340" t="s">
        <v>4741</v>
      </c>
      <c r="D6340" s="44">
        <v>-9708</v>
      </c>
      <c r="E6340" t="s">
        <v>35</v>
      </c>
      <c r="F6340" s="2">
        <v>212901001</v>
      </c>
      <c r="G6340" s="2" t="s">
        <v>91</v>
      </c>
      <c r="I6340" s="95" t="s">
        <v>7231</v>
      </c>
      <c r="J6340" t="s">
        <v>61</v>
      </c>
      <c r="K6340" t="s">
        <v>62</v>
      </c>
      <c r="M6340">
        <v>121.35</v>
      </c>
      <c r="N6340" s="4">
        <f t="shared" si="98"/>
        <v>-80</v>
      </c>
      <c r="O6340" t="s">
        <v>83</v>
      </c>
    </row>
    <row r="6341" spans="1:15" x14ac:dyDescent="0.25">
      <c r="A6341" s="22">
        <v>45863</v>
      </c>
      <c r="B6341" s="1">
        <v>915613284</v>
      </c>
      <c r="C6341" t="s">
        <v>4742</v>
      </c>
      <c r="D6341" s="44">
        <v>-9708</v>
      </c>
      <c r="E6341" t="s">
        <v>35</v>
      </c>
      <c r="F6341" s="2">
        <v>212901001</v>
      </c>
      <c r="G6341" s="2" t="s">
        <v>91</v>
      </c>
      <c r="I6341" s="95" t="s">
        <v>7231</v>
      </c>
      <c r="J6341" t="s">
        <v>61</v>
      </c>
      <c r="K6341" t="s">
        <v>62</v>
      </c>
      <c r="M6341">
        <v>121.35</v>
      </c>
      <c r="N6341" s="4">
        <f t="shared" si="98"/>
        <v>-80</v>
      </c>
      <c r="O6341" t="s">
        <v>83</v>
      </c>
    </row>
    <row r="6342" spans="1:15" x14ac:dyDescent="0.25">
      <c r="A6342" s="22">
        <v>45863</v>
      </c>
      <c r="B6342" s="1">
        <v>915613283</v>
      </c>
      <c r="C6342" t="s">
        <v>4743</v>
      </c>
      <c r="D6342" s="44">
        <v>-9708</v>
      </c>
      <c r="E6342" t="s">
        <v>35</v>
      </c>
      <c r="F6342" s="2">
        <v>212901001</v>
      </c>
      <c r="G6342" s="2" t="s">
        <v>91</v>
      </c>
      <c r="I6342" s="95" t="s">
        <v>7231</v>
      </c>
      <c r="J6342" t="s">
        <v>61</v>
      </c>
      <c r="K6342" t="s">
        <v>62</v>
      </c>
      <c r="M6342">
        <v>121.35</v>
      </c>
      <c r="N6342" s="4">
        <f t="shared" si="98"/>
        <v>-80</v>
      </c>
      <c r="O6342" t="s">
        <v>83</v>
      </c>
    </row>
    <row r="6343" spans="1:15" x14ac:dyDescent="0.25">
      <c r="A6343" s="22">
        <v>45863</v>
      </c>
      <c r="B6343" s="1">
        <v>915613282</v>
      </c>
      <c r="C6343" t="s">
        <v>4744</v>
      </c>
      <c r="D6343" s="44">
        <v>-9708</v>
      </c>
      <c r="E6343" t="s">
        <v>35</v>
      </c>
      <c r="F6343" s="2">
        <v>212901001</v>
      </c>
      <c r="G6343" s="2" t="s">
        <v>91</v>
      </c>
      <c r="I6343" s="95" t="s">
        <v>7231</v>
      </c>
      <c r="J6343" t="s">
        <v>61</v>
      </c>
      <c r="K6343" t="s">
        <v>62</v>
      </c>
      <c r="M6343">
        <v>121.35</v>
      </c>
      <c r="N6343" s="4">
        <f t="shared" si="98"/>
        <v>-80</v>
      </c>
      <c r="O6343" t="s">
        <v>83</v>
      </c>
    </row>
    <row r="6344" spans="1:15" x14ac:dyDescent="0.25">
      <c r="A6344" s="22">
        <v>45863</v>
      </c>
      <c r="B6344" s="1">
        <v>815613280</v>
      </c>
      <c r="C6344" t="s">
        <v>4745</v>
      </c>
      <c r="D6344" s="44">
        <v>-9708</v>
      </c>
      <c r="E6344" t="s">
        <v>35</v>
      </c>
      <c r="F6344" s="2">
        <v>212901001</v>
      </c>
      <c r="G6344" s="2" t="s">
        <v>91</v>
      </c>
      <c r="I6344" s="95" t="s">
        <v>7231</v>
      </c>
      <c r="J6344" t="s">
        <v>61</v>
      </c>
      <c r="K6344" t="s">
        <v>62</v>
      </c>
      <c r="M6344">
        <v>121.35</v>
      </c>
      <c r="N6344" s="4">
        <f t="shared" si="98"/>
        <v>-80</v>
      </c>
      <c r="O6344" t="s">
        <v>83</v>
      </c>
    </row>
    <row r="6345" spans="1:15" x14ac:dyDescent="0.25">
      <c r="A6345" s="22">
        <v>45863</v>
      </c>
      <c r="B6345" s="1">
        <v>915613285</v>
      </c>
      <c r="C6345" t="s">
        <v>4746</v>
      </c>
      <c r="D6345" s="44">
        <v>-9708</v>
      </c>
      <c r="E6345" t="s">
        <v>35</v>
      </c>
      <c r="F6345" s="2">
        <v>212901001</v>
      </c>
      <c r="G6345" s="2" t="s">
        <v>91</v>
      </c>
      <c r="I6345" s="95" t="s">
        <v>7231</v>
      </c>
      <c r="J6345" t="s">
        <v>61</v>
      </c>
      <c r="K6345" t="s">
        <v>62</v>
      </c>
      <c r="M6345">
        <v>121.35</v>
      </c>
      <c r="N6345" s="4">
        <f t="shared" si="98"/>
        <v>-80</v>
      </c>
      <c r="O6345" t="s">
        <v>83</v>
      </c>
    </row>
    <row r="6346" spans="1:15" x14ac:dyDescent="0.25">
      <c r="A6346" s="22">
        <v>45863</v>
      </c>
      <c r="B6346" s="1">
        <v>915613286</v>
      </c>
      <c r="C6346" t="s">
        <v>4747</v>
      </c>
      <c r="D6346" s="44">
        <v>-5096.7</v>
      </c>
      <c r="E6346" t="s">
        <v>35</v>
      </c>
      <c r="F6346" s="2">
        <v>212901001</v>
      </c>
      <c r="G6346" s="2" t="s">
        <v>91</v>
      </c>
      <c r="I6346" s="95" t="s">
        <v>7231</v>
      </c>
      <c r="J6346" t="s">
        <v>61</v>
      </c>
      <c r="K6346" t="s">
        <v>62</v>
      </c>
      <c r="M6346">
        <v>121.35</v>
      </c>
      <c r="N6346" s="4">
        <f t="shared" si="98"/>
        <v>-42</v>
      </c>
      <c r="O6346" t="s">
        <v>83</v>
      </c>
    </row>
    <row r="6347" spans="1:15" x14ac:dyDescent="0.25">
      <c r="A6347" s="22">
        <v>45863</v>
      </c>
      <c r="B6347" s="1">
        <v>15613291</v>
      </c>
      <c r="C6347" t="s">
        <v>4748</v>
      </c>
      <c r="D6347" s="44">
        <v>-6067.5</v>
      </c>
      <c r="E6347" t="s">
        <v>35</v>
      </c>
      <c r="F6347" s="2">
        <v>212901001</v>
      </c>
      <c r="G6347" s="2" t="s">
        <v>91</v>
      </c>
      <c r="I6347" s="95" t="s">
        <v>7231</v>
      </c>
      <c r="J6347" t="s">
        <v>61</v>
      </c>
      <c r="K6347" t="s">
        <v>62</v>
      </c>
      <c r="M6347">
        <v>121.35</v>
      </c>
      <c r="N6347" s="4">
        <f t="shared" si="98"/>
        <v>-50</v>
      </c>
      <c r="O6347" t="s">
        <v>83</v>
      </c>
    </row>
    <row r="6348" spans="1:15" x14ac:dyDescent="0.25">
      <c r="A6348" s="22">
        <v>45863</v>
      </c>
      <c r="B6348" s="1">
        <v>915613287</v>
      </c>
      <c r="C6348" t="s">
        <v>4749</v>
      </c>
      <c r="D6348" s="44">
        <v>-6067.5</v>
      </c>
      <c r="E6348" t="s">
        <v>35</v>
      </c>
      <c r="F6348" s="2">
        <v>212901001</v>
      </c>
      <c r="G6348" s="2" t="s">
        <v>91</v>
      </c>
      <c r="I6348" s="95" t="s">
        <v>7231</v>
      </c>
      <c r="J6348" t="s">
        <v>61</v>
      </c>
      <c r="K6348" t="s">
        <v>62</v>
      </c>
      <c r="M6348">
        <v>121.35</v>
      </c>
      <c r="N6348" s="4">
        <f t="shared" ref="N6348:N6411" si="99">D6348/M6348</f>
        <v>-50</v>
      </c>
      <c r="O6348" t="s">
        <v>83</v>
      </c>
    </row>
    <row r="6349" spans="1:15" x14ac:dyDescent="0.25">
      <c r="A6349" s="22">
        <v>45863</v>
      </c>
      <c r="B6349" s="1">
        <v>915613289</v>
      </c>
      <c r="C6349" t="s">
        <v>4750</v>
      </c>
      <c r="D6349" s="44">
        <v>-6067.5</v>
      </c>
      <c r="E6349" t="s">
        <v>35</v>
      </c>
      <c r="F6349" s="2">
        <v>212901001</v>
      </c>
      <c r="G6349" s="2" t="s">
        <v>91</v>
      </c>
      <c r="I6349" s="95" t="s">
        <v>7231</v>
      </c>
      <c r="J6349" t="s">
        <v>61</v>
      </c>
      <c r="K6349" t="s">
        <v>62</v>
      </c>
      <c r="M6349">
        <v>121.35</v>
      </c>
      <c r="N6349" s="4">
        <f t="shared" si="99"/>
        <v>-50</v>
      </c>
      <c r="O6349" t="s">
        <v>83</v>
      </c>
    </row>
    <row r="6350" spans="1:15" x14ac:dyDescent="0.25">
      <c r="A6350" s="22">
        <v>45863</v>
      </c>
      <c r="B6350" s="1">
        <v>15613292</v>
      </c>
      <c r="C6350" t="s">
        <v>4751</v>
      </c>
      <c r="D6350" s="44">
        <v>-6067.5</v>
      </c>
      <c r="E6350" t="s">
        <v>35</v>
      </c>
      <c r="F6350" s="2">
        <v>212901001</v>
      </c>
      <c r="G6350" s="2" t="s">
        <v>91</v>
      </c>
      <c r="I6350" s="95" t="s">
        <v>7231</v>
      </c>
      <c r="J6350" t="s">
        <v>61</v>
      </c>
      <c r="K6350" t="s">
        <v>62</v>
      </c>
      <c r="M6350">
        <v>121.35</v>
      </c>
      <c r="N6350" s="4">
        <f t="shared" si="99"/>
        <v>-50</v>
      </c>
      <c r="O6350" t="s">
        <v>83</v>
      </c>
    </row>
    <row r="6351" spans="1:15" x14ac:dyDescent="0.25">
      <c r="A6351" s="22">
        <v>45863</v>
      </c>
      <c r="B6351" s="1">
        <v>915613290</v>
      </c>
      <c r="C6351" t="s">
        <v>4752</v>
      </c>
      <c r="D6351" s="44">
        <v>-6067.5</v>
      </c>
      <c r="E6351" t="s">
        <v>35</v>
      </c>
      <c r="F6351" s="2">
        <v>212901001</v>
      </c>
      <c r="G6351" s="2" t="s">
        <v>91</v>
      </c>
      <c r="I6351" s="95" t="s">
        <v>7231</v>
      </c>
      <c r="J6351" t="s">
        <v>61</v>
      </c>
      <c r="K6351" t="s">
        <v>62</v>
      </c>
      <c r="M6351">
        <v>121.35</v>
      </c>
      <c r="N6351" s="4">
        <f t="shared" si="99"/>
        <v>-50</v>
      </c>
      <c r="O6351" t="s">
        <v>83</v>
      </c>
    </row>
    <row r="6352" spans="1:15" x14ac:dyDescent="0.25">
      <c r="A6352" s="22">
        <v>45863</v>
      </c>
      <c r="B6352" s="1">
        <v>15613293</v>
      </c>
      <c r="C6352" t="s">
        <v>4753</v>
      </c>
      <c r="D6352" s="44">
        <v>-4854</v>
      </c>
      <c r="E6352" t="s">
        <v>35</v>
      </c>
      <c r="F6352" s="2">
        <v>212901001</v>
      </c>
      <c r="G6352" s="2" t="s">
        <v>91</v>
      </c>
      <c r="I6352" s="95" t="s">
        <v>7231</v>
      </c>
      <c r="J6352" t="s">
        <v>61</v>
      </c>
      <c r="K6352" t="s">
        <v>62</v>
      </c>
      <c r="M6352">
        <v>121.35</v>
      </c>
      <c r="N6352" s="4">
        <f t="shared" si="99"/>
        <v>-40</v>
      </c>
      <c r="O6352" t="s">
        <v>83</v>
      </c>
    </row>
    <row r="6353" spans="1:15" x14ac:dyDescent="0.25">
      <c r="A6353" s="22">
        <v>45863</v>
      </c>
      <c r="B6353" s="1">
        <v>15613294</v>
      </c>
      <c r="C6353" t="s">
        <v>4754</v>
      </c>
      <c r="D6353" s="44">
        <v>-4854</v>
      </c>
      <c r="E6353" t="s">
        <v>35</v>
      </c>
      <c r="F6353" s="2">
        <v>212901001</v>
      </c>
      <c r="G6353" s="2" t="s">
        <v>91</v>
      </c>
      <c r="I6353" s="95" t="s">
        <v>7231</v>
      </c>
      <c r="J6353" t="s">
        <v>61</v>
      </c>
      <c r="K6353" t="s">
        <v>62</v>
      </c>
      <c r="M6353">
        <v>121.35</v>
      </c>
      <c r="N6353" s="4">
        <f t="shared" si="99"/>
        <v>-40</v>
      </c>
      <c r="O6353" t="s">
        <v>83</v>
      </c>
    </row>
    <row r="6354" spans="1:15" x14ac:dyDescent="0.25">
      <c r="A6354" s="22">
        <v>45863</v>
      </c>
      <c r="B6354" s="1">
        <v>15613298</v>
      </c>
      <c r="C6354" t="s">
        <v>4755</v>
      </c>
      <c r="D6354" s="44">
        <v>-4854</v>
      </c>
      <c r="E6354" t="s">
        <v>35</v>
      </c>
      <c r="F6354" s="2">
        <v>212901001</v>
      </c>
      <c r="G6354" s="2" t="s">
        <v>91</v>
      </c>
      <c r="I6354" s="95" t="s">
        <v>7231</v>
      </c>
      <c r="J6354" t="s">
        <v>61</v>
      </c>
      <c r="K6354" t="s">
        <v>62</v>
      </c>
      <c r="M6354">
        <v>121.35</v>
      </c>
      <c r="N6354" s="4">
        <f t="shared" si="99"/>
        <v>-40</v>
      </c>
      <c r="O6354" t="s">
        <v>83</v>
      </c>
    </row>
    <row r="6355" spans="1:15" x14ac:dyDescent="0.25">
      <c r="A6355" s="22">
        <v>45863</v>
      </c>
      <c r="B6355" s="1">
        <v>15613297</v>
      </c>
      <c r="C6355" t="s">
        <v>4756</v>
      </c>
      <c r="D6355" s="44">
        <v>-4854</v>
      </c>
      <c r="E6355" t="s">
        <v>35</v>
      </c>
      <c r="F6355" s="2">
        <v>212901001</v>
      </c>
      <c r="G6355" s="2" t="s">
        <v>91</v>
      </c>
      <c r="I6355" s="95" t="s">
        <v>7231</v>
      </c>
      <c r="J6355" t="s">
        <v>61</v>
      </c>
      <c r="K6355" t="s">
        <v>62</v>
      </c>
      <c r="M6355">
        <v>121.35</v>
      </c>
      <c r="N6355" s="4">
        <f t="shared" si="99"/>
        <v>-40</v>
      </c>
      <c r="O6355" t="s">
        <v>83</v>
      </c>
    </row>
    <row r="6356" spans="1:15" x14ac:dyDescent="0.25">
      <c r="A6356" s="22">
        <v>45863</v>
      </c>
      <c r="B6356" s="1">
        <v>115613304</v>
      </c>
      <c r="C6356" t="s">
        <v>4757</v>
      </c>
      <c r="D6356" s="44">
        <v>-12135</v>
      </c>
      <c r="E6356" t="s">
        <v>35</v>
      </c>
      <c r="F6356" s="2">
        <v>212901001</v>
      </c>
      <c r="G6356" s="2" t="s">
        <v>91</v>
      </c>
      <c r="I6356" s="95" t="s">
        <v>7231</v>
      </c>
      <c r="J6356" t="s">
        <v>61</v>
      </c>
      <c r="K6356" t="s">
        <v>62</v>
      </c>
      <c r="M6356">
        <v>121.35</v>
      </c>
      <c r="N6356" s="4">
        <f t="shared" si="99"/>
        <v>-100</v>
      </c>
      <c r="O6356" t="s">
        <v>83</v>
      </c>
    </row>
    <row r="6357" spans="1:15" x14ac:dyDescent="0.25">
      <c r="A6357" s="22">
        <v>45863</v>
      </c>
      <c r="B6357" s="1">
        <v>15613299</v>
      </c>
      <c r="C6357" t="s">
        <v>4758</v>
      </c>
      <c r="D6357" s="44">
        <v>-4854</v>
      </c>
      <c r="E6357" t="s">
        <v>35</v>
      </c>
      <c r="F6357" s="2">
        <v>212901001</v>
      </c>
      <c r="G6357" s="2" t="s">
        <v>91</v>
      </c>
      <c r="I6357" s="95" t="s">
        <v>7231</v>
      </c>
      <c r="J6357" t="s">
        <v>61</v>
      </c>
      <c r="K6357" t="s">
        <v>62</v>
      </c>
      <c r="M6357">
        <v>121.35</v>
      </c>
      <c r="N6357" s="4">
        <f t="shared" si="99"/>
        <v>-40</v>
      </c>
      <c r="O6357" t="s">
        <v>83</v>
      </c>
    </row>
    <row r="6358" spans="1:15" x14ac:dyDescent="0.25">
      <c r="A6358" s="22">
        <v>45863</v>
      </c>
      <c r="B6358" s="1">
        <v>115613300</v>
      </c>
      <c r="C6358" t="s">
        <v>4759</v>
      </c>
      <c r="D6358" s="44">
        <v>-4854</v>
      </c>
      <c r="E6358" t="s">
        <v>35</v>
      </c>
      <c r="F6358" s="2">
        <v>212901001</v>
      </c>
      <c r="G6358" s="2" t="s">
        <v>91</v>
      </c>
      <c r="I6358" s="95" t="s">
        <v>7231</v>
      </c>
      <c r="J6358" t="s">
        <v>61</v>
      </c>
      <c r="K6358" t="s">
        <v>62</v>
      </c>
      <c r="M6358">
        <v>121.35</v>
      </c>
      <c r="N6358" s="4">
        <f t="shared" si="99"/>
        <v>-40</v>
      </c>
      <c r="O6358" t="s">
        <v>83</v>
      </c>
    </row>
    <row r="6359" spans="1:15" x14ac:dyDescent="0.25">
      <c r="A6359" s="22">
        <v>45863</v>
      </c>
      <c r="B6359" s="1">
        <v>115613301</v>
      </c>
      <c r="C6359" t="s">
        <v>4760</v>
      </c>
      <c r="D6359" s="44">
        <v>-4854</v>
      </c>
      <c r="E6359" t="s">
        <v>35</v>
      </c>
      <c r="F6359" s="2">
        <v>212901001</v>
      </c>
      <c r="G6359" s="2" t="s">
        <v>91</v>
      </c>
      <c r="I6359" s="95" t="s">
        <v>7231</v>
      </c>
      <c r="J6359" t="s">
        <v>61</v>
      </c>
      <c r="K6359" t="s">
        <v>62</v>
      </c>
      <c r="M6359">
        <v>121.35</v>
      </c>
      <c r="N6359" s="4">
        <f t="shared" si="99"/>
        <v>-40</v>
      </c>
      <c r="O6359" t="s">
        <v>83</v>
      </c>
    </row>
    <row r="6360" spans="1:15" x14ac:dyDescent="0.25">
      <c r="A6360" s="22">
        <v>45863</v>
      </c>
      <c r="B6360" s="1">
        <v>115613302</v>
      </c>
      <c r="C6360" t="s">
        <v>4761</v>
      </c>
      <c r="D6360" s="44">
        <v>-12135</v>
      </c>
      <c r="E6360" t="s">
        <v>35</v>
      </c>
      <c r="F6360" s="2">
        <v>212901001</v>
      </c>
      <c r="G6360" s="2" t="s">
        <v>91</v>
      </c>
      <c r="I6360" s="95" t="s">
        <v>7231</v>
      </c>
      <c r="J6360" t="s">
        <v>61</v>
      </c>
      <c r="K6360" t="s">
        <v>62</v>
      </c>
      <c r="M6360">
        <v>121.35</v>
      </c>
      <c r="N6360" s="4">
        <f t="shared" si="99"/>
        <v>-100</v>
      </c>
      <c r="O6360" t="s">
        <v>83</v>
      </c>
    </row>
    <row r="6361" spans="1:15" x14ac:dyDescent="0.25">
      <c r="A6361" s="22">
        <v>45863</v>
      </c>
      <c r="B6361" s="1">
        <v>115613305</v>
      </c>
      <c r="C6361" t="s">
        <v>4762</v>
      </c>
      <c r="D6361" s="44">
        <v>-18202.5</v>
      </c>
      <c r="E6361" t="s">
        <v>35</v>
      </c>
      <c r="F6361" s="2">
        <v>212901001</v>
      </c>
      <c r="G6361" s="2" t="s">
        <v>91</v>
      </c>
      <c r="I6361" s="95" t="s">
        <v>7231</v>
      </c>
      <c r="J6361" t="s">
        <v>61</v>
      </c>
      <c r="K6361" t="s">
        <v>62</v>
      </c>
      <c r="M6361">
        <v>121.35</v>
      </c>
      <c r="N6361" s="4">
        <f t="shared" si="99"/>
        <v>-150</v>
      </c>
      <c r="O6361" t="s">
        <v>83</v>
      </c>
    </row>
    <row r="6362" spans="1:15" x14ac:dyDescent="0.25">
      <c r="A6362" s="22">
        <v>45863</v>
      </c>
      <c r="B6362" s="1">
        <v>115613306</v>
      </c>
      <c r="C6362" t="s">
        <v>4763</v>
      </c>
      <c r="D6362" s="44">
        <v>-13348.5</v>
      </c>
      <c r="E6362" t="s">
        <v>35</v>
      </c>
      <c r="F6362" s="2">
        <v>212901001</v>
      </c>
      <c r="G6362" s="2" t="s">
        <v>91</v>
      </c>
      <c r="I6362" s="95" t="s">
        <v>7231</v>
      </c>
      <c r="J6362" t="s">
        <v>61</v>
      </c>
      <c r="K6362" t="s">
        <v>62</v>
      </c>
      <c r="M6362">
        <v>121.35</v>
      </c>
      <c r="N6362" s="4">
        <f t="shared" si="99"/>
        <v>-110</v>
      </c>
      <c r="O6362" t="s">
        <v>83</v>
      </c>
    </row>
    <row r="6363" spans="1:15" x14ac:dyDescent="0.25">
      <c r="A6363" s="22">
        <v>45863</v>
      </c>
      <c r="B6363" s="1">
        <v>115613309</v>
      </c>
      <c r="C6363" t="s">
        <v>4764</v>
      </c>
      <c r="D6363" s="44">
        <v>-12135</v>
      </c>
      <c r="E6363" t="s">
        <v>35</v>
      </c>
      <c r="F6363" s="2">
        <v>212901001</v>
      </c>
      <c r="G6363" s="2" t="s">
        <v>91</v>
      </c>
      <c r="I6363" s="95" t="s">
        <v>7231</v>
      </c>
      <c r="J6363" t="s">
        <v>61</v>
      </c>
      <c r="K6363" t="s">
        <v>62</v>
      </c>
      <c r="M6363">
        <v>121.35</v>
      </c>
      <c r="N6363" s="4">
        <f t="shared" si="99"/>
        <v>-100</v>
      </c>
      <c r="O6363" t="s">
        <v>83</v>
      </c>
    </row>
    <row r="6364" spans="1:15" x14ac:dyDescent="0.25">
      <c r="A6364" s="22">
        <v>45863</v>
      </c>
      <c r="B6364" s="1">
        <v>215613312</v>
      </c>
      <c r="C6364" t="s">
        <v>4765</v>
      </c>
      <c r="D6364" s="44">
        <v>-54607.5</v>
      </c>
      <c r="E6364" t="s">
        <v>35</v>
      </c>
      <c r="F6364" s="2">
        <v>212901001</v>
      </c>
      <c r="G6364" s="2" t="s">
        <v>91</v>
      </c>
      <c r="I6364" s="95" t="s">
        <v>7231</v>
      </c>
      <c r="J6364" t="s">
        <v>61</v>
      </c>
      <c r="K6364" t="s">
        <v>62</v>
      </c>
      <c r="M6364">
        <v>121.35</v>
      </c>
      <c r="N6364" s="4">
        <f t="shared" si="99"/>
        <v>-450</v>
      </c>
      <c r="O6364" t="s">
        <v>83</v>
      </c>
    </row>
    <row r="6365" spans="1:15" x14ac:dyDescent="0.25">
      <c r="A6365" s="22">
        <v>45863</v>
      </c>
      <c r="B6365" s="1">
        <v>115613307</v>
      </c>
      <c r="C6365" t="s">
        <v>4766</v>
      </c>
      <c r="D6365" s="44">
        <v>-9708</v>
      </c>
      <c r="E6365" t="s">
        <v>35</v>
      </c>
      <c r="F6365" s="2">
        <v>212901001</v>
      </c>
      <c r="G6365" s="2" t="s">
        <v>91</v>
      </c>
      <c r="I6365" s="95" t="s">
        <v>7231</v>
      </c>
      <c r="J6365" t="s">
        <v>61</v>
      </c>
      <c r="K6365" t="s">
        <v>62</v>
      </c>
      <c r="M6365">
        <v>121.35</v>
      </c>
      <c r="N6365" s="4">
        <f t="shared" si="99"/>
        <v>-80</v>
      </c>
      <c r="O6365" t="s">
        <v>83</v>
      </c>
    </row>
    <row r="6366" spans="1:15" x14ac:dyDescent="0.25">
      <c r="A6366" s="22">
        <v>45863</v>
      </c>
      <c r="B6366" s="1">
        <v>115613310</v>
      </c>
      <c r="C6366" t="s">
        <v>4767</v>
      </c>
      <c r="D6366" s="44">
        <v>-8494.5</v>
      </c>
      <c r="E6366" t="s">
        <v>35</v>
      </c>
      <c r="F6366" s="2">
        <v>212901001</v>
      </c>
      <c r="G6366" s="2" t="s">
        <v>91</v>
      </c>
      <c r="I6366" s="95" t="s">
        <v>7231</v>
      </c>
      <c r="J6366" t="s">
        <v>61</v>
      </c>
      <c r="K6366" t="s">
        <v>62</v>
      </c>
      <c r="M6366">
        <v>121.35</v>
      </c>
      <c r="N6366" s="4">
        <f t="shared" si="99"/>
        <v>-70</v>
      </c>
      <c r="O6366" t="s">
        <v>83</v>
      </c>
    </row>
    <row r="6367" spans="1:15" x14ac:dyDescent="0.25">
      <c r="A6367" s="22">
        <v>45863</v>
      </c>
      <c r="B6367" s="1">
        <v>215613314</v>
      </c>
      <c r="C6367" t="s">
        <v>4768</v>
      </c>
      <c r="D6367" s="44">
        <v>-6067.5</v>
      </c>
      <c r="E6367" t="s">
        <v>35</v>
      </c>
      <c r="F6367" s="2">
        <v>212901001</v>
      </c>
      <c r="G6367" s="2" t="s">
        <v>91</v>
      </c>
      <c r="I6367" s="95" t="s">
        <v>7231</v>
      </c>
      <c r="J6367" t="s">
        <v>61</v>
      </c>
      <c r="K6367" t="s">
        <v>62</v>
      </c>
      <c r="M6367">
        <v>121.35</v>
      </c>
      <c r="N6367" s="4">
        <f t="shared" si="99"/>
        <v>-50</v>
      </c>
      <c r="O6367" t="s">
        <v>83</v>
      </c>
    </row>
    <row r="6368" spans="1:15" x14ac:dyDescent="0.25">
      <c r="A6368" s="22">
        <v>45863</v>
      </c>
      <c r="B6368" s="1">
        <v>215613313</v>
      </c>
      <c r="C6368" t="s">
        <v>4769</v>
      </c>
      <c r="D6368" s="44">
        <v>-8494.5</v>
      </c>
      <c r="E6368" t="s">
        <v>35</v>
      </c>
      <c r="F6368" s="2">
        <v>212901001</v>
      </c>
      <c r="G6368" s="2" t="s">
        <v>91</v>
      </c>
      <c r="I6368" s="95" t="s">
        <v>7231</v>
      </c>
      <c r="J6368" t="s">
        <v>61</v>
      </c>
      <c r="K6368" t="s">
        <v>62</v>
      </c>
      <c r="M6368">
        <v>121.35</v>
      </c>
      <c r="N6368" s="4">
        <f t="shared" si="99"/>
        <v>-70</v>
      </c>
      <c r="O6368" t="s">
        <v>83</v>
      </c>
    </row>
    <row r="6369" spans="1:15" x14ac:dyDescent="0.25">
      <c r="A6369" s="22">
        <v>45863</v>
      </c>
      <c r="B6369" s="1">
        <v>215613315</v>
      </c>
      <c r="C6369" t="s">
        <v>4770</v>
      </c>
      <c r="D6369" s="44">
        <v>-8494.5</v>
      </c>
      <c r="E6369" t="s">
        <v>35</v>
      </c>
      <c r="F6369" s="2">
        <v>212901001</v>
      </c>
      <c r="G6369" s="2" t="s">
        <v>91</v>
      </c>
      <c r="I6369" s="95" t="s">
        <v>7231</v>
      </c>
      <c r="J6369" t="s">
        <v>61</v>
      </c>
      <c r="K6369" t="s">
        <v>62</v>
      </c>
      <c r="M6369">
        <v>121.35</v>
      </c>
      <c r="N6369" s="4">
        <f t="shared" si="99"/>
        <v>-70</v>
      </c>
      <c r="O6369" t="s">
        <v>83</v>
      </c>
    </row>
    <row r="6370" spans="1:15" x14ac:dyDescent="0.25">
      <c r="A6370" s="22">
        <v>45863</v>
      </c>
      <c r="B6370" s="1">
        <v>215613317</v>
      </c>
      <c r="C6370" t="s">
        <v>4771</v>
      </c>
      <c r="D6370" s="44">
        <v>-6067.5</v>
      </c>
      <c r="E6370" t="s">
        <v>35</v>
      </c>
      <c r="F6370" s="2">
        <v>212901001</v>
      </c>
      <c r="G6370" s="2" t="s">
        <v>91</v>
      </c>
      <c r="I6370" s="95" t="s">
        <v>7231</v>
      </c>
      <c r="J6370" t="s">
        <v>61</v>
      </c>
      <c r="K6370" t="s">
        <v>62</v>
      </c>
      <c r="M6370">
        <v>121.35</v>
      </c>
      <c r="N6370" s="4">
        <f t="shared" si="99"/>
        <v>-50</v>
      </c>
      <c r="O6370" t="s">
        <v>83</v>
      </c>
    </row>
    <row r="6371" spans="1:15" x14ac:dyDescent="0.25">
      <c r="A6371" s="22">
        <v>45863</v>
      </c>
      <c r="B6371" s="1">
        <v>215613320</v>
      </c>
      <c r="C6371" t="s">
        <v>4772</v>
      </c>
      <c r="D6371" s="44">
        <v>-6067.5</v>
      </c>
      <c r="E6371" t="s">
        <v>35</v>
      </c>
      <c r="F6371" s="2">
        <v>212901001</v>
      </c>
      <c r="G6371" s="2" t="s">
        <v>91</v>
      </c>
      <c r="I6371" s="95" t="s">
        <v>7231</v>
      </c>
      <c r="J6371" t="s">
        <v>61</v>
      </c>
      <c r="K6371" t="s">
        <v>62</v>
      </c>
      <c r="M6371">
        <v>121.35</v>
      </c>
      <c r="N6371" s="4">
        <f t="shared" si="99"/>
        <v>-50</v>
      </c>
      <c r="O6371" t="s">
        <v>83</v>
      </c>
    </row>
    <row r="6372" spans="1:15" x14ac:dyDescent="0.25">
      <c r="A6372" s="22">
        <v>45863</v>
      </c>
      <c r="B6372" s="1">
        <v>315613322</v>
      </c>
      <c r="C6372" t="s">
        <v>4773</v>
      </c>
      <c r="D6372" s="44">
        <v>-6067.5</v>
      </c>
      <c r="E6372" t="s">
        <v>35</v>
      </c>
      <c r="F6372" s="2">
        <v>212901001</v>
      </c>
      <c r="G6372" s="2" t="s">
        <v>91</v>
      </c>
      <c r="I6372" s="95" t="s">
        <v>7231</v>
      </c>
      <c r="J6372" t="s">
        <v>61</v>
      </c>
      <c r="K6372" t="s">
        <v>62</v>
      </c>
      <c r="M6372">
        <v>121.35</v>
      </c>
      <c r="N6372" s="4">
        <f t="shared" si="99"/>
        <v>-50</v>
      </c>
      <c r="O6372" t="s">
        <v>83</v>
      </c>
    </row>
    <row r="6373" spans="1:15" x14ac:dyDescent="0.25">
      <c r="A6373" s="22">
        <v>45863</v>
      </c>
      <c r="B6373" s="1">
        <v>315613323</v>
      </c>
      <c r="C6373" t="s">
        <v>4774</v>
      </c>
      <c r="D6373" s="44">
        <v>-6067.5</v>
      </c>
      <c r="E6373" t="s">
        <v>35</v>
      </c>
      <c r="F6373" s="2">
        <v>212901001</v>
      </c>
      <c r="G6373" s="2" t="s">
        <v>91</v>
      </c>
      <c r="I6373" s="95" t="s">
        <v>7231</v>
      </c>
      <c r="J6373" t="s">
        <v>61</v>
      </c>
      <c r="K6373" t="s">
        <v>62</v>
      </c>
      <c r="M6373">
        <v>121.35</v>
      </c>
      <c r="N6373" s="4">
        <f t="shared" si="99"/>
        <v>-50</v>
      </c>
      <c r="O6373" t="s">
        <v>83</v>
      </c>
    </row>
    <row r="6374" spans="1:15" x14ac:dyDescent="0.25">
      <c r="A6374" s="22">
        <v>45863</v>
      </c>
      <c r="B6374" s="1">
        <v>215613319</v>
      </c>
      <c r="C6374" t="s">
        <v>4770</v>
      </c>
      <c r="D6374" s="44">
        <v>-6067.5</v>
      </c>
      <c r="E6374" t="s">
        <v>35</v>
      </c>
      <c r="F6374" s="2">
        <v>212901001</v>
      </c>
      <c r="G6374" s="2" t="s">
        <v>91</v>
      </c>
      <c r="I6374" s="95" t="s">
        <v>7231</v>
      </c>
      <c r="J6374" t="s">
        <v>61</v>
      </c>
      <c r="K6374" t="s">
        <v>62</v>
      </c>
      <c r="M6374">
        <v>121.35</v>
      </c>
      <c r="N6374" s="4">
        <f t="shared" si="99"/>
        <v>-50</v>
      </c>
      <c r="O6374" t="s">
        <v>83</v>
      </c>
    </row>
    <row r="6375" spans="1:15" x14ac:dyDescent="0.25">
      <c r="A6375" s="22">
        <v>45863</v>
      </c>
      <c r="B6375" s="1">
        <v>315613321</v>
      </c>
      <c r="C6375" t="s">
        <v>4775</v>
      </c>
      <c r="D6375" s="44">
        <v>-6067.5</v>
      </c>
      <c r="E6375" t="s">
        <v>35</v>
      </c>
      <c r="F6375" s="2">
        <v>212901001</v>
      </c>
      <c r="G6375" s="2" t="s">
        <v>91</v>
      </c>
      <c r="I6375" s="95" t="s">
        <v>7231</v>
      </c>
      <c r="J6375" t="s">
        <v>61</v>
      </c>
      <c r="K6375" t="s">
        <v>62</v>
      </c>
      <c r="M6375">
        <v>121.35</v>
      </c>
      <c r="N6375" s="4">
        <f t="shared" si="99"/>
        <v>-50</v>
      </c>
      <c r="O6375" t="s">
        <v>83</v>
      </c>
    </row>
    <row r="6376" spans="1:15" x14ac:dyDescent="0.25">
      <c r="A6376" s="22">
        <v>45863</v>
      </c>
      <c r="B6376" s="1">
        <v>315613324</v>
      </c>
      <c r="C6376" t="s">
        <v>4776</v>
      </c>
      <c r="D6376" s="44">
        <v>-5096.7</v>
      </c>
      <c r="E6376" t="s">
        <v>35</v>
      </c>
      <c r="F6376" s="2">
        <v>212901001</v>
      </c>
      <c r="G6376" s="2" t="s">
        <v>91</v>
      </c>
      <c r="I6376" s="95" t="s">
        <v>7231</v>
      </c>
      <c r="J6376" t="s">
        <v>61</v>
      </c>
      <c r="K6376" t="s">
        <v>62</v>
      </c>
      <c r="M6376">
        <v>121.35</v>
      </c>
      <c r="N6376" s="4">
        <f t="shared" si="99"/>
        <v>-42</v>
      </c>
      <c r="O6376" t="s">
        <v>83</v>
      </c>
    </row>
    <row r="6377" spans="1:15" x14ac:dyDescent="0.25">
      <c r="A6377" s="22">
        <v>45863</v>
      </c>
      <c r="B6377" s="1">
        <v>315613325</v>
      </c>
      <c r="C6377" t="s">
        <v>4777</v>
      </c>
      <c r="D6377" s="44">
        <v>-5096.7</v>
      </c>
      <c r="E6377" t="s">
        <v>35</v>
      </c>
      <c r="F6377" s="2">
        <v>212901001</v>
      </c>
      <c r="G6377" s="2" t="s">
        <v>91</v>
      </c>
      <c r="I6377" s="95" t="s">
        <v>7231</v>
      </c>
      <c r="J6377" t="s">
        <v>61</v>
      </c>
      <c r="K6377" t="s">
        <v>62</v>
      </c>
      <c r="M6377">
        <v>121.35</v>
      </c>
      <c r="N6377" s="4">
        <f t="shared" si="99"/>
        <v>-42</v>
      </c>
      <c r="O6377" t="s">
        <v>83</v>
      </c>
    </row>
    <row r="6378" spans="1:15" x14ac:dyDescent="0.25">
      <c r="A6378" s="22">
        <v>45863</v>
      </c>
      <c r="B6378" s="1">
        <v>315613327</v>
      </c>
      <c r="C6378" t="s">
        <v>4778</v>
      </c>
      <c r="D6378" s="44">
        <v>-6067.5</v>
      </c>
      <c r="E6378" t="s">
        <v>35</v>
      </c>
      <c r="F6378" s="2">
        <v>212901001</v>
      </c>
      <c r="G6378" s="2" t="s">
        <v>91</v>
      </c>
      <c r="I6378" s="95" t="s">
        <v>7231</v>
      </c>
      <c r="J6378" t="s">
        <v>61</v>
      </c>
      <c r="K6378" t="s">
        <v>62</v>
      </c>
      <c r="M6378">
        <v>121.35</v>
      </c>
      <c r="N6378" s="4">
        <f t="shared" si="99"/>
        <v>-50</v>
      </c>
      <c r="O6378" t="s">
        <v>83</v>
      </c>
    </row>
    <row r="6379" spans="1:15" x14ac:dyDescent="0.25">
      <c r="A6379" s="22">
        <v>45863</v>
      </c>
      <c r="B6379" s="1">
        <v>315613329</v>
      </c>
      <c r="C6379" t="s">
        <v>4779</v>
      </c>
      <c r="D6379" s="44">
        <v>-6067.5</v>
      </c>
      <c r="E6379" t="s">
        <v>35</v>
      </c>
      <c r="F6379" s="2">
        <v>212901001</v>
      </c>
      <c r="G6379" s="2" t="s">
        <v>91</v>
      </c>
      <c r="I6379" s="95" t="s">
        <v>7231</v>
      </c>
      <c r="J6379" t="s">
        <v>61</v>
      </c>
      <c r="K6379" t="s">
        <v>62</v>
      </c>
      <c r="M6379">
        <v>121.35</v>
      </c>
      <c r="N6379" s="4">
        <f t="shared" si="99"/>
        <v>-50</v>
      </c>
      <c r="O6379" t="s">
        <v>83</v>
      </c>
    </row>
    <row r="6380" spans="1:15" x14ac:dyDescent="0.25">
      <c r="A6380" s="22">
        <v>45863</v>
      </c>
      <c r="B6380" s="1">
        <v>315613328</v>
      </c>
      <c r="C6380" t="s">
        <v>4780</v>
      </c>
      <c r="D6380" s="44">
        <v>-6067.5</v>
      </c>
      <c r="E6380" t="s">
        <v>35</v>
      </c>
      <c r="F6380" s="2">
        <v>212901001</v>
      </c>
      <c r="G6380" s="2" t="s">
        <v>91</v>
      </c>
      <c r="I6380" s="95" t="s">
        <v>7231</v>
      </c>
      <c r="J6380" t="s">
        <v>61</v>
      </c>
      <c r="K6380" t="s">
        <v>62</v>
      </c>
      <c r="M6380">
        <v>121.35</v>
      </c>
      <c r="N6380" s="4">
        <f t="shared" si="99"/>
        <v>-50</v>
      </c>
      <c r="O6380" t="s">
        <v>83</v>
      </c>
    </row>
    <row r="6381" spans="1:15" x14ac:dyDescent="0.25">
      <c r="A6381" s="22">
        <v>45863</v>
      </c>
      <c r="B6381" s="1">
        <v>315613326</v>
      </c>
      <c r="C6381" t="s">
        <v>4781</v>
      </c>
      <c r="D6381" s="44">
        <v>-6067.5</v>
      </c>
      <c r="E6381" t="s">
        <v>35</v>
      </c>
      <c r="F6381" s="2">
        <v>212901001</v>
      </c>
      <c r="G6381" s="2" t="s">
        <v>91</v>
      </c>
      <c r="I6381" s="95" t="s">
        <v>7231</v>
      </c>
      <c r="J6381" t="s">
        <v>61</v>
      </c>
      <c r="K6381" t="s">
        <v>62</v>
      </c>
      <c r="M6381">
        <v>121.35</v>
      </c>
      <c r="N6381" s="4">
        <f t="shared" si="99"/>
        <v>-50</v>
      </c>
      <c r="O6381" t="s">
        <v>83</v>
      </c>
    </row>
    <row r="6382" spans="1:15" x14ac:dyDescent="0.25">
      <c r="A6382" s="22">
        <v>45863</v>
      </c>
      <c r="B6382" s="1">
        <v>415613330</v>
      </c>
      <c r="C6382" t="s">
        <v>4782</v>
      </c>
      <c r="D6382" s="44">
        <v>-5096.7</v>
      </c>
      <c r="E6382" t="s">
        <v>35</v>
      </c>
      <c r="F6382" s="2">
        <v>212901001</v>
      </c>
      <c r="G6382" s="2" t="s">
        <v>91</v>
      </c>
      <c r="I6382" s="95" t="s">
        <v>7231</v>
      </c>
      <c r="J6382" t="s">
        <v>61</v>
      </c>
      <c r="K6382" t="s">
        <v>62</v>
      </c>
      <c r="M6382">
        <v>121.35</v>
      </c>
      <c r="N6382" s="4">
        <f t="shared" si="99"/>
        <v>-42</v>
      </c>
      <c r="O6382" t="s">
        <v>83</v>
      </c>
    </row>
    <row r="6383" spans="1:15" x14ac:dyDescent="0.25">
      <c r="A6383" s="22">
        <v>45863</v>
      </c>
      <c r="B6383" s="1">
        <v>415613332</v>
      </c>
      <c r="C6383" t="s">
        <v>4783</v>
      </c>
      <c r="D6383" s="44">
        <v>-2427</v>
      </c>
      <c r="E6383" t="s">
        <v>35</v>
      </c>
      <c r="F6383" s="2">
        <v>212901001</v>
      </c>
      <c r="G6383" s="2" t="s">
        <v>91</v>
      </c>
      <c r="I6383" s="95" t="s">
        <v>7231</v>
      </c>
      <c r="J6383" t="s">
        <v>61</v>
      </c>
      <c r="K6383" t="s">
        <v>62</v>
      </c>
      <c r="M6383">
        <v>121.35</v>
      </c>
      <c r="N6383" s="4">
        <f t="shared" si="99"/>
        <v>-20</v>
      </c>
      <c r="O6383" t="s">
        <v>83</v>
      </c>
    </row>
    <row r="6384" spans="1:15" x14ac:dyDescent="0.25">
      <c r="A6384" s="22">
        <v>45863</v>
      </c>
      <c r="B6384" s="1">
        <v>415613335</v>
      </c>
      <c r="C6384" t="s">
        <v>4784</v>
      </c>
      <c r="D6384" s="44">
        <v>-2427</v>
      </c>
      <c r="E6384" t="s">
        <v>35</v>
      </c>
      <c r="F6384" s="2">
        <v>212901001</v>
      </c>
      <c r="G6384" s="2" t="s">
        <v>91</v>
      </c>
      <c r="I6384" s="95" t="s">
        <v>7231</v>
      </c>
      <c r="J6384" t="s">
        <v>61</v>
      </c>
      <c r="K6384" t="s">
        <v>62</v>
      </c>
      <c r="M6384">
        <v>121.35</v>
      </c>
      <c r="N6384" s="4">
        <f t="shared" si="99"/>
        <v>-20</v>
      </c>
      <c r="O6384" t="s">
        <v>83</v>
      </c>
    </row>
    <row r="6385" spans="1:20" x14ac:dyDescent="0.25">
      <c r="A6385" s="22">
        <v>45863</v>
      </c>
      <c r="B6385" s="1">
        <v>415613333</v>
      </c>
      <c r="C6385" t="s">
        <v>4785</v>
      </c>
      <c r="D6385" s="44">
        <v>-2427</v>
      </c>
      <c r="E6385" t="s">
        <v>35</v>
      </c>
      <c r="F6385" s="2">
        <v>212901001</v>
      </c>
      <c r="G6385" s="2" t="s">
        <v>91</v>
      </c>
      <c r="I6385" s="95" t="s">
        <v>7231</v>
      </c>
      <c r="J6385" t="s">
        <v>61</v>
      </c>
      <c r="K6385" t="s">
        <v>62</v>
      </c>
      <c r="M6385">
        <v>121.35</v>
      </c>
      <c r="N6385" s="4">
        <f t="shared" si="99"/>
        <v>-20</v>
      </c>
      <c r="O6385" t="s">
        <v>83</v>
      </c>
    </row>
    <row r="6386" spans="1:20" x14ac:dyDescent="0.25">
      <c r="A6386" s="22">
        <v>45863</v>
      </c>
      <c r="B6386" s="1">
        <v>415613336</v>
      </c>
      <c r="C6386" t="s">
        <v>4786</v>
      </c>
      <c r="D6386" s="44">
        <v>-12135</v>
      </c>
      <c r="E6386" t="s">
        <v>35</v>
      </c>
      <c r="F6386" s="2">
        <v>110114001</v>
      </c>
      <c r="G6386" s="2" t="s">
        <v>181</v>
      </c>
      <c r="I6386" s="95" t="s">
        <v>7231</v>
      </c>
      <c r="K6386" t="s">
        <v>1256</v>
      </c>
      <c r="M6386">
        <v>121.35</v>
      </c>
      <c r="N6386" s="4">
        <f t="shared" si="99"/>
        <v>-100</v>
      </c>
      <c r="O6386" t="s">
        <v>83</v>
      </c>
    </row>
    <row r="6387" spans="1:20" x14ac:dyDescent="0.25">
      <c r="A6387" s="22">
        <v>45863</v>
      </c>
      <c r="B6387" s="1">
        <v>415613337</v>
      </c>
      <c r="C6387" t="s">
        <v>4787</v>
      </c>
      <c r="D6387" s="44">
        <v>-24270</v>
      </c>
      <c r="E6387" t="s">
        <v>35</v>
      </c>
      <c r="F6387" s="2">
        <v>212901001</v>
      </c>
      <c r="G6387" s="2" t="s">
        <v>91</v>
      </c>
      <c r="I6387" s="95" t="s">
        <v>7231</v>
      </c>
      <c r="J6387" t="s">
        <v>61</v>
      </c>
      <c r="K6387" t="s">
        <v>62</v>
      </c>
      <c r="M6387">
        <v>121.35</v>
      </c>
      <c r="N6387" s="4">
        <f t="shared" si="99"/>
        <v>-200</v>
      </c>
      <c r="O6387" t="s">
        <v>83</v>
      </c>
    </row>
    <row r="6388" spans="1:20" x14ac:dyDescent="0.25">
      <c r="A6388" s="22">
        <v>45863</v>
      </c>
      <c r="B6388" s="1">
        <v>415613334</v>
      </c>
      <c r="C6388" t="s">
        <v>4788</v>
      </c>
      <c r="D6388" s="44">
        <v>-2427</v>
      </c>
      <c r="E6388" t="s">
        <v>35</v>
      </c>
      <c r="F6388" s="2">
        <v>212901001</v>
      </c>
      <c r="G6388" s="2" t="s">
        <v>91</v>
      </c>
      <c r="I6388" s="95" t="s">
        <v>7231</v>
      </c>
      <c r="J6388" t="s">
        <v>61</v>
      </c>
      <c r="K6388" t="s">
        <v>62</v>
      </c>
      <c r="M6388">
        <v>121.35</v>
      </c>
      <c r="N6388" s="4">
        <f t="shared" si="99"/>
        <v>-20</v>
      </c>
      <c r="O6388" t="s">
        <v>83</v>
      </c>
    </row>
    <row r="6389" spans="1:20" x14ac:dyDescent="0.25">
      <c r="A6389" s="22">
        <v>45863</v>
      </c>
      <c r="B6389" s="1">
        <v>415613338</v>
      </c>
      <c r="C6389" t="s">
        <v>4789</v>
      </c>
      <c r="D6389" s="44">
        <v>-16624.95</v>
      </c>
      <c r="E6389" t="s">
        <v>35</v>
      </c>
      <c r="F6389" s="2">
        <v>212901001</v>
      </c>
      <c r="G6389" s="2" t="s">
        <v>91</v>
      </c>
      <c r="I6389" s="95" t="s">
        <v>7231</v>
      </c>
      <c r="J6389" t="s">
        <v>61</v>
      </c>
      <c r="K6389" t="s">
        <v>62</v>
      </c>
      <c r="M6389">
        <v>121.35</v>
      </c>
      <c r="N6389" s="4">
        <f t="shared" si="99"/>
        <v>-137</v>
      </c>
      <c r="O6389" t="s">
        <v>83</v>
      </c>
    </row>
    <row r="6390" spans="1:20" x14ac:dyDescent="0.25">
      <c r="A6390" s="22">
        <v>45863</v>
      </c>
      <c r="B6390" s="1">
        <v>515613340</v>
      </c>
      <c r="C6390" t="s">
        <v>4790</v>
      </c>
      <c r="D6390" s="44">
        <v>-4854</v>
      </c>
      <c r="E6390" t="s">
        <v>35</v>
      </c>
      <c r="F6390" s="2">
        <v>212901001</v>
      </c>
      <c r="G6390" s="2" t="s">
        <v>91</v>
      </c>
      <c r="I6390" s="95" t="s">
        <v>7231</v>
      </c>
      <c r="J6390" t="s">
        <v>61</v>
      </c>
      <c r="K6390" t="s">
        <v>62</v>
      </c>
      <c r="M6390">
        <v>121.35</v>
      </c>
      <c r="N6390" s="4">
        <f t="shared" si="99"/>
        <v>-40</v>
      </c>
      <c r="O6390" t="s">
        <v>83</v>
      </c>
    </row>
    <row r="6391" spans="1:20" x14ac:dyDescent="0.25">
      <c r="A6391" s="22">
        <v>45863</v>
      </c>
      <c r="B6391" s="1">
        <v>515613339</v>
      </c>
      <c r="C6391" t="s">
        <v>4791</v>
      </c>
      <c r="D6391" s="44">
        <v>-3640.5</v>
      </c>
      <c r="E6391" t="s">
        <v>35</v>
      </c>
      <c r="F6391" s="2">
        <v>212901001</v>
      </c>
      <c r="G6391" s="2" t="s">
        <v>91</v>
      </c>
      <c r="I6391" s="95" t="s">
        <v>7231</v>
      </c>
      <c r="J6391" t="s">
        <v>61</v>
      </c>
      <c r="K6391" t="s">
        <v>62</v>
      </c>
      <c r="M6391">
        <v>121.35</v>
      </c>
      <c r="N6391" s="4">
        <f t="shared" si="99"/>
        <v>-30</v>
      </c>
      <c r="O6391" t="s">
        <v>83</v>
      </c>
    </row>
    <row r="6392" spans="1:20" x14ac:dyDescent="0.25">
      <c r="A6392" s="22">
        <v>45863</v>
      </c>
      <c r="B6392" s="1">
        <v>50776941</v>
      </c>
      <c r="C6392" t="s">
        <v>4792</v>
      </c>
      <c r="D6392" s="44">
        <v>-16989</v>
      </c>
      <c r="E6392" t="s">
        <v>35</v>
      </c>
      <c r="F6392" s="2">
        <v>212901001</v>
      </c>
      <c r="G6392" s="2" t="s">
        <v>91</v>
      </c>
      <c r="I6392" s="95" t="s">
        <v>7231</v>
      </c>
      <c r="J6392" t="s">
        <v>61</v>
      </c>
      <c r="K6392" t="s">
        <v>62</v>
      </c>
      <c r="M6392">
        <v>121.35</v>
      </c>
      <c r="N6392" s="4">
        <f t="shared" si="99"/>
        <v>-140</v>
      </c>
      <c r="O6392" t="s">
        <v>83</v>
      </c>
    </row>
    <row r="6393" spans="1:20" x14ac:dyDescent="0.25">
      <c r="A6393" s="22">
        <v>45863</v>
      </c>
      <c r="B6393" s="1">
        <v>50776941</v>
      </c>
      <c r="C6393" t="s">
        <v>179</v>
      </c>
      <c r="D6393" s="44">
        <v>-25.48</v>
      </c>
      <c r="E6393" t="s">
        <v>35</v>
      </c>
      <c r="F6393" s="2">
        <v>610148001</v>
      </c>
      <c r="G6393" s="2" t="s">
        <v>41</v>
      </c>
      <c r="I6393" s="95" t="s">
        <v>7231</v>
      </c>
      <c r="J6393" t="s">
        <v>42</v>
      </c>
      <c r="K6393" t="s">
        <v>41</v>
      </c>
      <c r="M6393">
        <v>121.35</v>
      </c>
      <c r="N6393" s="4">
        <f t="shared" si="99"/>
        <v>-0.20997115780799341</v>
      </c>
      <c r="O6393" t="s">
        <v>83</v>
      </c>
      <c r="Q6393" s="24" t="s">
        <v>4392</v>
      </c>
    </row>
    <row r="6394" spans="1:20" x14ac:dyDescent="0.25">
      <c r="A6394" s="22">
        <v>45863</v>
      </c>
      <c r="B6394" s="1">
        <v>50776941</v>
      </c>
      <c r="C6394" t="s">
        <v>89</v>
      </c>
      <c r="D6394" s="44">
        <v>-1469.85</v>
      </c>
      <c r="E6394" t="s">
        <v>35</v>
      </c>
      <c r="F6394" s="2">
        <v>610148001</v>
      </c>
      <c r="G6394" s="2" t="s">
        <v>41</v>
      </c>
      <c r="I6394" s="95" t="s">
        <v>7231</v>
      </c>
      <c r="J6394" t="s">
        <v>42</v>
      </c>
      <c r="K6394" t="s">
        <v>41</v>
      </c>
      <c r="M6394">
        <v>121.35</v>
      </c>
      <c r="N6394" s="4">
        <f t="shared" si="99"/>
        <v>-12.11248454882571</v>
      </c>
      <c r="O6394" t="s">
        <v>83</v>
      </c>
      <c r="Q6394" s="24" t="s">
        <v>4392</v>
      </c>
    </row>
    <row r="6395" spans="1:20" x14ac:dyDescent="0.25">
      <c r="A6395" s="22">
        <v>45866</v>
      </c>
      <c r="B6395" s="1">
        <v>60908820</v>
      </c>
      <c r="C6395" t="s">
        <v>498</v>
      </c>
      <c r="D6395" s="44">
        <v>-183.26</v>
      </c>
      <c r="E6395" t="s">
        <v>35</v>
      </c>
      <c r="F6395" s="2">
        <v>610148001</v>
      </c>
      <c r="G6395" s="2" t="s">
        <v>41</v>
      </c>
      <c r="I6395" s="95" t="s">
        <v>7231</v>
      </c>
      <c r="J6395" t="s">
        <v>42</v>
      </c>
      <c r="K6395" t="s">
        <v>41</v>
      </c>
      <c r="M6395">
        <v>122.17</v>
      </c>
      <c r="N6395" s="4">
        <f t="shared" si="99"/>
        <v>-1.5000409265777195</v>
      </c>
      <c r="O6395" t="s">
        <v>83</v>
      </c>
      <c r="Q6395" s="24" t="s">
        <v>4392</v>
      </c>
    </row>
    <row r="6396" spans="1:20" x14ac:dyDescent="0.25">
      <c r="A6396" s="22">
        <v>45866</v>
      </c>
      <c r="B6396" s="1">
        <v>154350021</v>
      </c>
      <c r="C6396" t="s">
        <v>82</v>
      </c>
      <c r="D6396" s="44">
        <v>240000</v>
      </c>
      <c r="E6396" t="s">
        <v>45</v>
      </c>
      <c r="F6396" s="2">
        <v>210115002</v>
      </c>
      <c r="G6396" s="2" t="s">
        <v>46</v>
      </c>
      <c r="I6396" s="95" t="s">
        <v>7231</v>
      </c>
      <c r="K6396" t="s">
        <v>82</v>
      </c>
      <c r="M6396">
        <v>122.17</v>
      </c>
      <c r="N6396" s="4">
        <f t="shared" si="99"/>
        <v>1964.4757305394123</v>
      </c>
      <c r="O6396" t="s">
        <v>83</v>
      </c>
    </row>
    <row r="6397" spans="1:20" x14ac:dyDescent="0.25">
      <c r="A6397" s="22">
        <v>45866</v>
      </c>
      <c r="B6397" s="1">
        <v>915721576</v>
      </c>
      <c r="C6397" t="s">
        <v>4793</v>
      </c>
      <c r="D6397" s="44">
        <v>-236951.16</v>
      </c>
      <c r="E6397" t="s">
        <v>35</v>
      </c>
      <c r="F6397" s="2">
        <v>110114001</v>
      </c>
      <c r="G6397" s="2" t="s">
        <v>181</v>
      </c>
      <c r="I6397" s="95" t="s">
        <v>7231</v>
      </c>
      <c r="J6397" t="s">
        <v>37</v>
      </c>
      <c r="K6397" t="e">
        <f>VLOOKUP(J6397,[1]!SERVICIOS[#Data],2,FALSE)</f>
        <v>#REF!</v>
      </c>
      <c r="M6397">
        <v>122.17</v>
      </c>
      <c r="N6397" s="4">
        <f t="shared" si="99"/>
        <v>-1939.520013096505</v>
      </c>
      <c r="O6397" t="s">
        <v>83</v>
      </c>
      <c r="P6397" s="34" t="s">
        <v>4794</v>
      </c>
    </row>
    <row r="6398" spans="1:20" x14ac:dyDescent="0.25">
      <c r="A6398" s="22">
        <v>45866</v>
      </c>
      <c r="B6398" s="1">
        <v>915721576</v>
      </c>
      <c r="C6398" t="s">
        <v>185</v>
      </c>
      <c r="D6398" s="44">
        <v>-710.85</v>
      </c>
      <c r="E6398" t="s">
        <v>35</v>
      </c>
      <c r="F6398" s="2">
        <v>610148001</v>
      </c>
      <c r="G6398" s="2" t="s">
        <v>41</v>
      </c>
      <c r="I6398" s="95" t="s">
        <v>7231</v>
      </c>
      <c r="J6398" t="s">
        <v>42</v>
      </c>
      <c r="K6398" t="s">
        <v>41</v>
      </c>
      <c r="M6398">
        <v>122.17</v>
      </c>
      <c r="N6398" s="4">
        <f t="shared" si="99"/>
        <v>-5.8185315543914218</v>
      </c>
      <c r="O6398" t="s">
        <v>83</v>
      </c>
      <c r="Q6398" s="24" t="s">
        <v>4392</v>
      </c>
    </row>
    <row r="6399" spans="1:20" x14ac:dyDescent="0.25">
      <c r="A6399" s="22">
        <v>45867</v>
      </c>
      <c r="B6399" s="1">
        <v>611274514</v>
      </c>
      <c r="C6399" t="s">
        <v>2946</v>
      </c>
      <c r="D6399" s="44">
        <v>750000</v>
      </c>
      <c r="E6399" t="s">
        <v>45</v>
      </c>
      <c r="F6399" s="2">
        <v>110101003</v>
      </c>
      <c r="G6399" s="2" t="s">
        <v>2945</v>
      </c>
      <c r="I6399" s="95" t="s">
        <v>7231</v>
      </c>
      <c r="K6399" t="s">
        <v>2946</v>
      </c>
      <c r="M6399">
        <v>122.84</v>
      </c>
      <c r="N6399" s="4">
        <f t="shared" si="99"/>
        <v>6105.5030934549004</v>
      </c>
      <c r="O6399" t="s">
        <v>83</v>
      </c>
    </row>
    <row r="6400" spans="1:20" x14ac:dyDescent="0.25">
      <c r="A6400" s="22">
        <v>45867</v>
      </c>
      <c r="B6400" s="1">
        <v>615778732</v>
      </c>
      <c r="C6400" t="s">
        <v>4795</v>
      </c>
      <c r="D6400" s="44">
        <v>-7330.2</v>
      </c>
      <c r="E6400" t="s">
        <v>35</v>
      </c>
      <c r="F6400" s="2">
        <v>212901001</v>
      </c>
      <c r="G6400" s="2" t="s">
        <v>91</v>
      </c>
      <c r="I6400" s="95" t="s">
        <v>7231</v>
      </c>
      <c r="J6400" t="s">
        <v>61</v>
      </c>
      <c r="K6400" t="s">
        <v>62</v>
      </c>
      <c r="M6400">
        <v>122.84</v>
      </c>
      <c r="N6400" s="4">
        <f t="shared" si="99"/>
        <v>-59.672745034190811</v>
      </c>
      <c r="O6400" t="s">
        <v>83</v>
      </c>
      <c r="R6400">
        <v>19</v>
      </c>
      <c r="S6400" t="e">
        <f>VLOOKUP(Tabla3[[#This Row],[Nº]],[1]!NOMINA[#Data],4,FALSE)</f>
        <v>#REF!</v>
      </c>
      <c r="T6400" t="e">
        <f>VLOOKUP(R6400,[1]!NOMINA[#Data],5,FALSE)</f>
        <v>#REF!</v>
      </c>
    </row>
    <row r="6401" spans="1:20" x14ac:dyDescent="0.25">
      <c r="A6401" s="22">
        <v>45867</v>
      </c>
      <c r="B6401" s="1">
        <v>515778730</v>
      </c>
      <c r="C6401" t="s">
        <v>4796</v>
      </c>
      <c r="D6401" s="44">
        <v>-36651</v>
      </c>
      <c r="E6401" t="s">
        <v>35</v>
      </c>
      <c r="F6401" s="2">
        <v>212901001</v>
      </c>
      <c r="G6401" s="2" t="s">
        <v>91</v>
      </c>
      <c r="I6401" s="95" t="s">
        <v>7231</v>
      </c>
      <c r="J6401" t="s">
        <v>61</v>
      </c>
      <c r="K6401" t="s">
        <v>62</v>
      </c>
      <c r="M6401">
        <v>122.84</v>
      </c>
      <c r="N6401" s="4">
        <f t="shared" si="99"/>
        <v>-298.36372517095407</v>
      </c>
      <c r="O6401" t="s">
        <v>83</v>
      </c>
      <c r="R6401">
        <v>2</v>
      </c>
      <c r="S6401" t="e">
        <f>VLOOKUP(Tabla3[[#This Row],[Nº]],[1]!NOMINA[#Data],4,FALSE)</f>
        <v>#REF!</v>
      </c>
      <c r="T6401" t="e">
        <f>VLOOKUP(Tabla3[[#This Row],[Nº]],[1]!NOMINA[#Data],5,FALSE)</f>
        <v>#REF!</v>
      </c>
    </row>
    <row r="6402" spans="1:20" x14ac:dyDescent="0.25">
      <c r="A6402" s="22">
        <v>45867</v>
      </c>
      <c r="B6402" s="1">
        <v>615778731</v>
      </c>
      <c r="C6402" t="s">
        <v>4797</v>
      </c>
      <c r="D6402" s="44">
        <v>-1221.7</v>
      </c>
      <c r="E6402" t="s">
        <v>35</v>
      </c>
      <c r="F6402" s="2">
        <v>212901001</v>
      </c>
      <c r="G6402" s="2" t="s">
        <v>91</v>
      </c>
      <c r="I6402" s="95" t="s">
        <v>7231</v>
      </c>
      <c r="J6402" t="s">
        <v>61</v>
      </c>
      <c r="K6402" t="s">
        <v>62</v>
      </c>
      <c r="M6402">
        <v>122.84</v>
      </c>
      <c r="N6402" s="4">
        <f t="shared" si="99"/>
        <v>-9.9454575056984691</v>
      </c>
      <c r="O6402" t="s">
        <v>83</v>
      </c>
      <c r="R6402">
        <v>28</v>
      </c>
      <c r="S6402" t="e">
        <f>VLOOKUP(Tabla3[[#This Row],[Nº]],[1]!NOMINA[#Data],4,FALSE)</f>
        <v>#REF!</v>
      </c>
      <c r="T6402" t="e">
        <f>VLOOKUP(R6402,[1]!NOMINA[#Data],5,FALSE)</f>
        <v>#REF!</v>
      </c>
    </row>
    <row r="6403" spans="1:20" x14ac:dyDescent="0.25">
      <c r="A6403" s="22">
        <v>45867</v>
      </c>
      <c r="B6403" s="1">
        <v>615778733</v>
      </c>
      <c r="C6403" t="s">
        <v>4798</v>
      </c>
      <c r="D6403" s="44">
        <v>-1221.7</v>
      </c>
      <c r="E6403" t="s">
        <v>35</v>
      </c>
      <c r="F6403" s="2">
        <v>212901001</v>
      </c>
      <c r="G6403" s="2" t="s">
        <v>91</v>
      </c>
      <c r="I6403" s="95" t="s">
        <v>7231</v>
      </c>
      <c r="J6403" t="s">
        <v>61</v>
      </c>
      <c r="K6403" t="s">
        <v>62</v>
      </c>
      <c r="M6403">
        <v>122.84</v>
      </c>
      <c r="N6403" s="4">
        <f t="shared" si="99"/>
        <v>-9.9454575056984691</v>
      </c>
      <c r="O6403" t="s">
        <v>83</v>
      </c>
      <c r="R6403">
        <v>17</v>
      </c>
      <c r="S6403" t="e">
        <f>VLOOKUP(Tabla3[[#This Row],[Nº]],[1]!NOMINA[#Data],4,FALSE)</f>
        <v>#REF!</v>
      </c>
      <c r="T6403" t="e">
        <f>VLOOKUP(R6403,[1]!NOMINA[#Data],5,FALSE)</f>
        <v>#REF!</v>
      </c>
    </row>
    <row r="6404" spans="1:20" x14ac:dyDescent="0.25">
      <c r="A6404" s="22">
        <v>45867</v>
      </c>
      <c r="B6404" s="1">
        <v>615778735</v>
      </c>
      <c r="C6404" t="s">
        <v>4799</v>
      </c>
      <c r="D6404" s="44">
        <v>-1221.7</v>
      </c>
      <c r="E6404" t="s">
        <v>35</v>
      </c>
      <c r="F6404" s="2">
        <v>212901001</v>
      </c>
      <c r="G6404" s="2" t="s">
        <v>91</v>
      </c>
      <c r="I6404" s="95" t="s">
        <v>7231</v>
      </c>
      <c r="J6404" t="s">
        <v>61</v>
      </c>
      <c r="K6404" t="s">
        <v>62</v>
      </c>
      <c r="M6404">
        <v>122.84</v>
      </c>
      <c r="N6404" s="4">
        <f t="shared" si="99"/>
        <v>-9.9454575056984691</v>
      </c>
      <c r="O6404" t="s">
        <v>83</v>
      </c>
      <c r="R6404">
        <v>15</v>
      </c>
      <c r="S6404" t="e">
        <f>VLOOKUP(Tabla3[[#This Row],[Nº]],[1]!NOMINA[#Data],4,FALSE)</f>
        <v>#REF!</v>
      </c>
      <c r="T6404" t="e">
        <f>VLOOKUP(R6404,[1]!NOMINA[#Data],5,FALSE)</f>
        <v>#REF!</v>
      </c>
    </row>
    <row r="6405" spans="1:20" x14ac:dyDescent="0.25">
      <c r="A6405" s="22">
        <v>45867</v>
      </c>
      <c r="B6405" s="1">
        <v>615778734</v>
      </c>
      <c r="C6405" t="s">
        <v>4800</v>
      </c>
      <c r="D6405" s="44">
        <v>-1221.7</v>
      </c>
      <c r="E6405" t="s">
        <v>35</v>
      </c>
      <c r="F6405" s="2">
        <v>212901001</v>
      </c>
      <c r="G6405" s="2" t="s">
        <v>91</v>
      </c>
      <c r="I6405" s="95" t="s">
        <v>7231</v>
      </c>
      <c r="J6405" t="s">
        <v>61</v>
      </c>
      <c r="K6405" t="s">
        <v>62</v>
      </c>
      <c r="M6405">
        <v>122.84</v>
      </c>
      <c r="N6405" s="4">
        <f t="shared" si="99"/>
        <v>-9.9454575056984691</v>
      </c>
      <c r="O6405" t="s">
        <v>83</v>
      </c>
      <c r="R6405">
        <v>14</v>
      </c>
      <c r="S6405" t="e">
        <f>VLOOKUP(Tabla3[[#This Row],[Nº]],[1]!NOMINA[#Data],4,FALSE)</f>
        <v>#REF!</v>
      </c>
      <c r="T6405" t="e">
        <f>VLOOKUP(R6405,[1]!NOMINA[#Data],5,FALSE)</f>
        <v>#REF!</v>
      </c>
    </row>
    <row r="6406" spans="1:20" x14ac:dyDescent="0.25">
      <c r="A6406" s="22">
        <v>45867</v>
      </c>
      <c r="B6406" s="1">
        <v>615778736</v>
      </c>
      <c r="C6406" t="s">
        <v>4801</v>
      </c>
      <c r="D6406" s="44">
        <v>-1221.7</v>
      </c>
      <c r="E6406" t="s">
        <v>35</v>
      </c>
      <c r="F6406" s="2">
        <v>212901001</v>
      </c>
      <c r="G6406" s="2" t="s">
        <v>91</v>
      </c>
      <c r="I6406" s="95" t="s">
        <v>7231</v>
      </c>
      <c r="J6406" t="s">
        <v>61</v>
      </c>
      <c r="K6406" t="s">
        <v>62</v>
      </c>
      <c r="M6406">
        <v>122.84</v>
      </c>
      <c r="N6406" s="4">
        <f t="shared" si="99"/>
        <v>-9.9454575056984691</v>
      </c>
      <c r="O6406" t="s">
        <v>83</v>
      </c>
      <c r="R6406">
        <v>8</v>
      </c>
      <c r="S6406" t="e">
        <f>VLOOKUP(Tabla3[[#This Row],[Nº]],[1]!NOMINA[#Data],4,FALSE)</f>
        <v>#REF!</v>
      </c>
      <c r="T6406" t="e">
        <f>VLOOKUP(R6406,[1]!NOMINA[#Data],5,FALSE)</f>
        <v>#REF!</v>
      </c>
    </row>
    <row r="6407" spans="1:20" x14ac:dyDescent="0.25">
      <c r="A6407" s="22">
        <v>45867</v>
      </c>
      <c r="B6407" s="1">
        <v>715778739</v>
      </c>
      <c r="C6407" t="s">
        <v>4802</v>
      </c>
      <c r="D6407" s="44">
        <v>-1221.7</v>
      </c>
      <c r="E6407" t="s">
        <v>35</v>
      </c>
      <c r="F6407" s="2">
        <v>212901001</v>
      </c>
      <c r="G6407" s="2" t="s">
        <v>91</v>
      </c>
      <c r="I6407" s="95" t="s">
        <v>7231</v>
      </c>
      <c r="J6407" t="s">
        <v>61</v>
      </c>
      <c r="K6407" t="s">
        <v>62</v>
      </c>
      <c r="M6407">
        <v>122.84</v>
      </c>
      <c r="N6407" s="4">
        <f t="shared" si="99"/>
        <v>-9.9454575056984691</v>
      </c>
      <c r="O6407" t="s">
        <v>83</v>
      </c>
      <c r="R6407">
        <v>13</v>
      </c>
      <c r="S6407" t="e">
        <f>VLOOKUP(Tabla3[[#This Row],[Nº]],[1]!NOMINA[#Data],4,FALSE)</f>
        <v>#REF!</v>
      </c>
      <c r="T6407" t="e">
        <f>VLOOKUP(R6407,[1]!NOMINA[#Data],5,FALSE)</f>
        <v>#REF!</v>
      </c>
    </row>
    <row r="6408" spans="1:20" x14ac:dyDescent="0.25">
      <c r="A6408" s="22">
        <v>45867</v>
      </c>
      <c r="B6408" s="1">
        <v>615778738</v>
      </c>
      <c r="C6408" t="s">
        <v>4803</v>
      </c>
      <c r="D6408" s="44">
        <v>-24434</v>
      </c>
      <c r="E6408" t="s">
        <v>35</v>
      </c>
      <c r="F6408" s="2">
        <v>212901001</v>
      </c>
      <c r="G6408" s="2" t="s">
        <v>91</v>
      </c>
      <c r="I6408" s="95" t="s">
        <v>7231</v>
      </c>
      <c r="J6408" t="s">
        <v>61</v>
      </c>
      <c r="K6408" t="s">
        <v>62</v>
      </c>
      <c r="M6408">
        <v>122.84</v>
      </c>
      <c r="N6408" s="4">
        <f t="shared" si="99"/>
        <v>-198.90915011396939</v>
      </c>
      <c r="O6408" t="s">
        <v>83</v>
      </c>
      <c r="R6408">
        <v>1</v>
      </c>
      <c r="S6408" t="e">
        <f>VLOOKUP(R6408,[1]!NOMINA[#Data],4,FALSE)</f>
        <v>#REF!</v>
      </c>
      <c r="T6408" t="e">
        <f>VLOOKUP(R6408,[1]!NOMINA[#Data],5,FALSE)</f>
        <v>#REF!</v>
      </c>
    </row>
    <row r="6409" spans="1:20" x14ac:dyDescent="0.25">
      <c r="A6409" s="22">
        <v>45867</v>
      </c>
      <c r="B6409" s="1">
        <v>715778741</v>
      </c>
      <c r="C6409" t="s">
        <v>4804</v>
      </c>
      <c r="D6409" s="44">
        <v>-1221.7</v>
      </c>
      <c r="E6409" t="s">
        <v>35</v>
      </c>
      <c r="F6409" s="2">
        <v>212901001</v>
      </c>
      <c r="G6409" s="2" t="s">
        <v>91</v>
      </c>
      <c r="I6409" s="95" t="s">
        <v>7231</v>
      </c>
      <c r="J6409" t="s">
        <v>61</v>
      </c>
      <c r="K6409" t="s">
        <v>62</v>
      </c>
      <c r="M6409">
        <v>122.84</v>
      </c>
      <c r="N6409" s="4">
        <f t="shared" si="99"/>
        <v>-9.9454575056984691</v>
      </c>
      <c r="O6409" t="s">
        <v>83</v>
      </c>
      <c r="R6409">
        <v>12</v>
      </c>
      <c r="S6409" t="e">
        <f>VLOOKUP(Tabla3[[#This Row],[Nº]],[1]!NOMINA[#Data],4,FALSE)</f>
        <v>#REF!</v>
      </c>
      <c r="T6409" t="e">
        <f>VLOOKUP(R6409,[1]!NOMINA[#Data],5,FALSE)</f>
        <v>#REF!</v>
      </c>
    </row>
    <row r="6410" spans="1:20" x14ac:dyDescent="0.25">
      <c r="A6410" s="22">
        <v>45867</v>
      </c>
      <c r="B6410" s="1">
        <v>615778737</v>
      </c>
      <c r="C6410" t="s">
        <v>4805</v>
      </c>
      <c r="D6410" s="44">
        <v>-1221.7</v>
      </c>
      <c r="E6410" t="s">
        <v>35</v>
      </c>
      <c r="F6410" s="2">
        <v>212901001</v>
      </c>
      <c r="G6410" s="2" t="s">
        <v>91</v>
      </c>
      <c r="I6410" s="95" t="s">
        <v>7231</v>
      </c>
      <c r="J6410" t="s">
        <v>61</v>
      </c>
      <c r="K6410" t="s">
        <v>62</v>
      </c>
      <c r="M6410">
        <v>122.84</v>
      </c>
      <c r="N6410" s="4">
        <f t="shared" si="99"/>
        <v>-9.9454575056984691</v>
      </c>
      <c r="O6410" t="s">
        <v>83</v>
      </c>
      <c r="R6410">
        <v>16</v>
      </c>
      <c r="S6410" t="e">
        <f>VLOOKUP(Tabla3[[#This Row],[Nº]],[1]!NOMINA[#Data],4,FALSE)</f>
        <v>#REF!</v>
      </c>
      <c r="T6410" t="e">
        <f>VLOOKUP(Tabla3[[#This Row],[Nº]],[1]!NOMINA[#Data],5,FALSE)</f>
        <v>#REF!</v>
      </c>
    </row>
    <row r="6411" spans="1:20" x14ac:dyDescent="0.25">
      <c r="A6411" s="22">
        <v>45867</v>
      </c>
      <c r="B6411" s="1">
        <v>715778740</v>
      </c>
      <c r="C6411" t="s">
        <v>4806</v>
      </c>
      <c r="D6411" s="44">
        <v>-1221.7</v>
      </c>
      <c r="E6411" t="s">
        <v>35</v>
      </c>
      <c r="F6411" s="2">
        <v>212901001</v>
      </c>
      <c r="G6411" s="2" t="s">
        <v>91</v>
      </c>
      <c r="I6411" s="95" t="s">
        <v>7231</v>
      </c>
      <c r="J6411" t="s">
        <v>61</v>
      </c>
      <c r="K6411" t="s">
        <v>62</v>
      </c>
      <c r="M6411">
        <v>122.84</v>
      </c>
      <c r="N6411" s="4">
        <f t="shared" si="99"/>
        <v>-9.9454575056984691</v>
      </c>
      <c r="O6411" t="s">
        <v>83</v>
      </c>
      <c r="R6411">
        <v>6</v>
      </c>
      <c r="S6411" t="e">
        <f>VLOOKUP(Tabla3[[#This Row],[Nº]],[1]!NOMINA[#Data],4,FALSE)</f>
        <v>#REF!</v>
      </c>
      <c r="T6411" t="e">
        <f>VLOOKUP(R6411,[1]!NOMINA[#Data],5,FALSE)</f>
        <v>#REF!</v>
      </c>
    </row>
    <row r="6412" spans="1:20" x14ac:dyDescent="0.25">
      <c r="A6412" s="22">
        <v>45867</v>
      </c>
      <c r="B6412" s="1">
        <v>715778742</v>
      </c>
      <c r="C6412" t="s">
        <v>4807</v>
      </c>
      <c r="D6412" s="44">
        <v>-7330.2</v>
      </c>
      <c r="E6412" t="s">
        <v>35</v>
      </c>
      <c r="F6412" s="2">
        <v>212901001</v>
      </c>
      <c r="G6412" s="2" t="s">
        <v>91</v>
      </c>
      <c r="I6412" s="95" t="s">
        <v>7231</v>
      </c>
      <c r="J6412" t="s">
        <v>61</v>
      </c>
      <c r="K6412" t="s">
        <v>62</v>
      </c>
      <c r="M6412">
        <v>122.84</v>
      </c>
      <c r="N6412" s="4">
        <f t="shared" ref="N6412:N6475" si="100">D6412/M6412</f>
        <v>-59.672745034190811</v>
      </c>
      <c r="O6412" t="s">
        <v>83</v>
      </c>
      <c r="R6412">
        <v>3</v>
      </c>
      <c r="S6412" t="e">
        <f>VLOOKUP(Tabla3[[#This Row],[Nº]],[1]!NOMINA[#Data],4,FALSE)</f>
        <v>#REF!</v>
      </c>
      <c r="T6412" t="e">
        <f>VLOOKUP(R6412,[1]!NOMINA[#Data],5,FALSE)</f>
        <v>#REF!</v>
      </c>
    </row>
    <row r="6413" spans="1:20" x14ac:dyDescent="0.25">
      <c r="A6413" s="22">
        <v>45867</v>
      </c>
      <c r="B6413" s="1">
        <v>715778743</v>
      </c>
      <c r="C6413" t="s">
        <v>4808</v>
      </c>
      <c r="D6413" s="44">
        <v>-1221.7</v>
      </c>
      <c r="E6413" t="s">
        <v>35</v>
      </c>
      <c r="F6413" s="2">
        <v>212901001</v>
      </c>
      <c r="G6413" s="2" t="s">
        <v>91</v>
      </c>
      <c r="I6413" s="95" t="s">
        <v>7231</v>
      </c>
      <c r="J6413" t="s">
        <v>61</v>
      </c>
      <c r="K6413" t="s">
        <v>62</v>
      </c>
      <c r="M6413">
        <v>122.84</v>
      </c>
      <c r="N6413" s="4">
        <f t="shared" si="100"/>
        <v>-9.9454575056984691</v>
      </c>
      <c r="O6413" t="s">
        <v>83</v>
      </c>
      <c r="R6413">
        <v>7</v>
      </c>
      <c r="S6413" t="e">
        <f>VLOOKUP(Tabla3[[#This Row],[Nº]],[1]!NOMINA[#Data],4,FALSE)</f>
        <v>#REF!</v>
      </c>
      <c r="T6413" t="e">
        <f>VLOOKUP(R6413,[1]!NOMINA[#Data],5,FALSE)</f>
        <v>#REF!</v>
      </c>
    </row>
    <row r="6414" spans="1:20" x14ac:dyDescent="0.25">
      <c r="A6414" s="22">
        <v>45867</v>
      </c>
      <c r="B6414" s="1">
        <v>715778745</v>
      </c>
      <c r="C6414" t="s">
        <v>4809</v>
      </c>
      <c r="D6414" s="44">
        <v>-1221.7</v>
      </c>
      <c r="E6414" t="s">
        <v>35</v>
      </c>
      <c r="F6414" s="2">
        <v>212901001</v>
      </c>
      <c r="G6414" s="2" t="s">
        <v>91</v>
      </c>
      <c r="I6414" s="95" t="s">
        <v>7231</v>
      </c>
      <c r="J6414" t="s">
        <v>61</v>
      </c>
      <c r="K6414" t="s">
        <v>62</v>
      </c>
      <c r="M6414">
        <v>122.84</v>
      </c>
      <c r="N6414" s="4">
        <f t="shared" si="100"/>
        <v>-9.9454575056984691</v>
      </c>
      <c r="O6414" t="s">
        <v>83</v>
      </c>
      <c r="R6414">
        <v>11</v>
      </c>
      <c r="S6414" t="e">
        <f>VLOOKUP(Tabla3[[#This Row],[Nº]],[1]!NOMINA[#Data],4,FALSE)</f>
        <v>#REF!</v>
      </c>
      <c r="T6414" t="e">
        <f>VLOOKUP(R6414,[1]!NOMINA[#Data],5,FALSE)</f>
        <v>#REF!</v>
      </c>
    </row>
    <row r="6415" spans="1:20" x14ac:dyDescent="0.25">
      <c r="A6415" s="22">
        <v>45867</v>
      </c>
      <c r="B6415" s="1">
        <v>715778744</v>
      </c>
      <c r="C6415" t="s">
        <v>4810</v>
      </c>
      <c r="D6415" s="44">
        <v>-1221.7</v>
      </c>
      <c r="E6415" t="s">
        <v>35</v>
      </c>
      <c r="F6415" s="2">
        <v>212901001</v>
      </c>
      <c r="G6415" s="2" t="s">
        <v>91</v>
      </c>
      <c r="I6415" s="95" t="s">
        <v>7231</v>
      </c>
      <c r="J6415" t="s">
        <v>61</v>
      </c>
      <c r="K6415" t="s">
        <v>62</v>
      </c>
      <c r="M6415">
        <v>122.84</v>
      </c>
      <c r="N6415" s="4">
        <f t="shared" si="100"/>
        <v>-9.9454575056984691</v>
      </c>
      <c r="O6415" t="s">
        <v>83</v>
      </c>
      <c r="R6415">
        <v>29</v>
      </c>
      <c r="S6415" t="e">
        <f>VLOOKUP(R6415,[1]!NOMINA[#Data],4,FALSE)</f>
        <v>#REF!</v>
      </c>
      <c r="T6415" t="e">
        <f>VLOOKUP(R6415,[1]!NOMINA[#Data],5,FALSE)</f>
        <v>#REF!</v>
      </c>
    </row>
    <row r="6416" spans="1:20" x14ac:dyDescent="0.25">
      <c r="A6416" s="22">
        <v>45867</v>
      </c>
      <c r="B6416" s="1">
        <v>715778747</v>
      </c>
      <c r="C6416" t="s">
        <v>4811</v>
      </c>
      <c r="D6416" s="44">
        <v>-1221.7</v>
      </c>
      <c r="E6416" t="s">
        <v>35</v>
      </c>
      <c r="F6416" s="2">
        <v>212901001</v>
      </c>
      <c r="G6416" s="2" t="s">
        <v>91</v>
      </c>
      <c r="I6416" s="95" t="s">
        <v>7231</v>
      </c>
      <c r="J6416" t="s">
        <v>61</v>
      </c>
      <c r="K6416" t="s">
        <v>62</v>
      </c>
      <c r="M6416">
        <v>122.84</v>
      </c>
      <c r="N6416" s="4">
        <f t="shared" si="100"/>
        <v>-9.9454575056984691</v>
      </c>
      <c r="O6416" t="s">
        <v>83</v>
      </c>
      <c r="R6416">
        <v>10</v>
      </c>
      <c r="S6416" t="e">
        <f>VLOOKUP(Tabla3[[#This Row],[Nº]],[1]!NOMINA[#Data],4,FALSE)</f>
        <v>#REF!</v>
      </c>
      <c r="T6416" t="e">
        <f>VLOOKUP(R6416,[1]!NOMINA[#Data],5,FALSE)</f>
        <v>#REF!</v>
      </c>
    </row>
    <row r="6417" spans="1:20" x14ac:dyDescent="0.25">
      <c r="A6417" s="22">
        <v>45867</v>
      </c>
      <c r="B6417" s="1">
        <v>715778746</v>
      </c>
      <c r="C6417" t="s">
        <v>4812</v>
      </c>
      <c r="D6417" s="44">
        <v>-1221.7</v>
      </c>
      <c r="E6417" t="s">
        <v>35</v>
      </c>
      <c r="F6417" s="2">
        <v>212901001</v>
      </c>
      <c r="G6417" s="2" t="s">
        <v>91</v>
      </c>
      <c r="I6417" s="95" t="s">
        <v>7231</v>
      </c>
      <c r="J6417" t="s">
        <v>61</v>
      </c>
      <c r="K6417" t="s">
        <v>62</v>
      </c>
      <c r="M6417">
        <v>122.84</v>
      </c>
      <c r="N6417" s="4">
        <f t="shared" si="100"/>
        <v>-9.9454575056984691</v>
      </c>
      <c r="O6417" t="s">
        <v>83</v>
      </c>
      <c r="R6417">
        <v>9</v>
      </c>
      <c r="S6417" t="e">
        <f>VLOOKUP(Tabla3[[#This Row],[Nº]],[1]!NOMINA[#Data],4,FALSE)</f>
        <v>#REF!</v>
      </c>
      <c r="T6417" t="e">
        <f>VLOOKUP(R6417,[1]!NOMINA[#Data],5,FALSE)</f>
        <v>#REF!</v>
      </c>
    </row>
    <row r="6418" spans="1:20" x14ac:dyDescent="0.25">
      <c r="A6418" s="22">
        <v>45867</v>
      </c>
      <c r="B6418" s="1">
        <v>815778749</v>
      </c>
      <c r="C6418" t="s">
        <v>4813</v>
      </c>
      <c r="D6418" s="44">
        <v>-61020.25</v>
      </c>
      <c r="E6418" t="s">
        <v>35</v>
      </c>
      <c r="F6418" s="2">
        <v>212901001</v>
      </c>
      <c r="G6418" s="2" t="s">
        <v>91</v>
      </c>
      <c r="I6418" s="95" t="s">
        <v>7231</v>
      </c>
      <c r="J6418" t="s">
        <v>61</v>
      </c>
      <c r="K6418" t="s">
        <v>62</v>
      </c>
      <c r="M6418">
        <v>122.84</v>
      </c>
      <c r="N6418" s="4">
        <f t="shared" si="100"/>
        <v>-496.74576685118853</v>
      </c>
      <c r="O6418" t="s">
        <v>83</v>
      </c>
      <c r="R6418">
        <v>2</v>
      </c>
      <c r="S6418" t="e">
        <f>VLOOKUP(Tabla3[[#This Row],[Nº]],[1]!NOMINA[#Data],4,FALSE)</f>
        <v>#REF!</v>
      </c>
      <c r="T6418" t="e">
        <f>VLOOKUP(Tabla3[[#This Row],[Nº]],[1]!NOMINA[#Data],5,FALSE)</f>
        <v>#REF!</v>
      </c>
    </row>
    <row r="6419" spans="1:20" x14ac:dyDescent="0.25">
      <c r="A6419" s="22">
        <v>45867</v>
      </c>
      <c r="B6419" s="1">
        <v>815778748</v>
      </c>
      <c r="C6419" t="s">
        <v>4814</v>
      </c>
      <c r="D6419" s="44">
        <v>-1221.7</v>
      </c>
      <c r="E6419" t="s">
        <v>35</v>
      </c>
      <c r="F6419" s="2">
        <v>212901001</v>
      </c>
      <c r="G6419" s="2" t="s">
        <v>91</v>
      </c>
      <c r="I6419" s="95" t="s">
        <v>7231</v>
      </c>
      <c r="J6419" t="s">
        <v>61</v>
      </c>
      <c r="K6419" t="s">
        <v>62</v>
      </c>
      <c r="M6419">
        <v>122.84</v>
      </c>
      <c r="N6419" s="4">
        <f t="shared" si="100"/>
        <v>-9.9454575056984691</v>
      </c>
      <c r="O6419" t="s">
        <v>83</v>
      </c>
      <c r="R6419">
        <v>18</v>
      </c>
      <c r="S6419" t="e">
        <f>VLOOKUP(Tabla3[[#This Row],[Nº]],[1]!NOMINA[#Data],4,FALSE)</f>
        <v>#REF!</v>
      </c>
      <c r="T6419" t="e">
        <f>VLOOKUP(Tabla3[[#This Row],[Nº]],[1]!NOMINA[#Data],5,FALSE)</f>
        <v>#REF!</v>
      </c>
    </row>
    <row r="6420" spans="1:20" x14ac:dyDescent="0.25">
      <c r="A6420" s="22">
        <v>45867</v>
      </c>
      <c r="B6420" s="1">
        <v>815778751</v>
      </c>
      <c r="C6420" t="s">
        <v>4815</v>
      </c>
      <c r="D6420" s="44">
        <v>-4840.38</v>
      </c>
      <c r="E6420" t="s">
        <v>35</v>
      </c>
      <c r="F6420" s="2">
        <v>212901001</v>
      </c>
      <c r="G6420" s="2" t="s">
        <v>91</v>
      </c>
      <c r="I6420" s="95" t="s">
        <v>7231</v>
      </c>
      <c r="J6420" t="s">
        <v>61</v>
      </c>
      <c r="K6420" t="s">
        <v>62</v>
      </c>
      <c r="M6420">
        <v>122.84</v>
      </c>
      <c r="N6420" s="4">
        <f t="shared" si="100"/>
        <v>-39.403940084662977</v>
      </c>
      <c r="O6420" t="s">
        <v>83</v>
      </c>
      <c r="R6420">
        <v>28</v>
      </c>
      <c r="S6420" t="e">
        <f>VLOOKUP(Tabla3[[#This Row],[Nº]],[1]!NOMINA[#Data],4,FALSE)</f>
        <v>#REF!</v>
      </c>
      <c r="T6420" t="e">
        <f>VLOOKUP(R6420,[1]!NOMINA[#Data],5,FALSE)</f>
        <v>#REF!</v>
      </c>
    </row>
    <row r="6421" spans="1:20" x14ac:dyDescent="0.25">
      <c r="A6421" s="22">
        <v>45867</v>
      </c>
      <c r="B6421" s="1">
        <v>815778750</v>
      </c>
      <c r="C6421" t="s">
        <v>4816</v>
      </c>
      <c r="D6421" s="44">
        <v>-9708.85</v>
      </c>
      <c r="E6421" t="s">
        <v>35</v>
      </c>
      <c r="F6421" s="2">
        <v>212901001</v>
      </c>
      <c r="G6421" s="2" t="s">
        <v>91</v>
      </c>
      <c r="I6421" s="95" t="s">
        <v>7231</v>
      </c>
      <c r="J6421" t="s">
        <v>61</v>
      </c>
      <c r="K6421" t="s">
        <v>62</v>
      </c>
      <c r="M6421">
        <v>122.84</v>
      </c>
      <c r="N6421" s="4">
        <f t="shared" si="100"/>
        <v>-79.036551611852815</v>
      </c>
      <c r="O6421" t="s">
        <v>83</v>
      </c>
      <c r="R6421">
        <v>31</v>
      </c>
      <c r="S6421" t="e">
        <f>VLOOKUP(Tabla3[[#This Row],[Nº]],[1]!NOMINA[#Data],4,FALSE)</f>
        <v>#REF!</v>
      </c>
      <c r="T6421" t="e">
        <f>VLOOKUP(R6421,[1]!NOMINA[#Data],5,FALSE)</f>
        <v>#REF!</v>
      </c>
    </row>
    <row r="6422" spans="1:20" x14ac:dyDescent="0.25">
      <c r="A6422" s="22">
        <v>45867</v>
      </c>
      <c r="B6422" s="1">
        <v>815778752</v>
      </c>
      <c r="C6422" t="s">
        <v>4817</v>
      </c>
      <c r="D6422" s="44">
        <v>-6063.3</v>
      </c>
      <c r="E6422" t="s">
        <v>35</v>
      </c>
      <c r="F6422" s="2">
        <v>212901001</v>
      </c>
      <c r="G6422" s="2" t="s">
        <v>91</v>
      </c>
      <c r="I6422" s="95" t="s">
        <v>7231</v>
      </c>
      <c r="J6422" t="s">
        <v>61</v>
      </c>
      <c r="K6422" t="s">
        <v>62</v>
      </c>
      <c r="M6422">
        <v>122.84</v>
      </c>
      <c r="N6422" s="4">
        <f t="shared" si="100"/>
        <v>-49.359329208726798</v>
      </c>
      <c r="O6422" t="s">
        <v>83</v>
      </c>
      <c r="R6422">
        <v>22</v>
      </c>
      <c r="S6422" t="e">
        <f>VLOOKUP(Tabla3[[#This Row],[Nº]],[1]!NOMINA[#Data],4,FALSE)</f>
        <v>#REF!</v>
      </c>
      <c r="T6422" t="e">
        <f>VLOOKUP(R6422,[1]!NOMINA[#Data],5,FALSE)</f>
        <v>#REF!</v>
      </c>
    </row>
    <row r="6423" spans="1:20" x14ac:dyDescent="0.25">
      <c r="A6423" s="22">
        <v>45867</v>
      </c>
      <c r="B6423" s="1">
        <v>815778753</v>
      </c>
      <c r="C6423" t="s">
        <v>4818</v>
      </c>
      <c r="D6423" s="44">
        <v>-4227.08</v>
      </c>
      <c r="E6423" t="s">
        <v>35</v>
      </c>
      <c r="F6423" s="2">
        <v>212901001</v>
      </c>
      <c r="G6423" s="2" t="s">
        <v>91</v>
      </c>
      <c r="I6423" s="95" t="s">
        <v>7231</v>
      </c>
      <c r="J6423" t="s">
        <v>61</v>
      </c>
      <c r="K6423" t="s">
        <v>62</v>
      </c>
      <c r="M6423">
        <v>122.84</v>
      </c>
      <c r="N6423" s="4">
        <f t="shared" si="100"/>
        <v>-34.411266688375122</v>
      </c>
      <c r="O6423" t="s">
        <v>83</v>
      </c>
      <c r="R6423">
        <v>23</v>
      </c>
      <c r="S6423" t="e">
        <f>VLOOKUP(Tabla3[[#This Row],[Nº]],[1]!NOMINA[#Data],4,FALSE)</f>
        <v>#REF!</v>
      </c>
      <c r="T6423" t="e">
        <f>VLOOKUP(R6423,[1]!NOMINA[#Data],5,FALSE)</f>
        <v>#REF!</v>
      </c>
    </row>
    <row r="6424" spans="1:20" x14ac:dyDescent="0.25">
      <c r="A6424" s="22">
        <v>45867</v>
      </c>
      <c r="B6424" s="1">
        <v>815778754</v>
      </c>
      <c r="C6424" t="s">
        <v>4819</v>
      </c>
      <c r="D6424" s="44">
        <v>-6077.96</v>
      </c>
      <c r="E6424" t="s">
        <v>35</v>
      </c>
      <c r="F6424" s="2">
        <v>212901001</v>
      </c>
      <c r="G6424" s="2" t="s">
        <v>91</v>
      </c>
      <c r="I6424" s="95" t="s">
        <v>7231</v>
      </c>
      <c r="J6424" t="s">
        <v>61</v>
      </c>
      <c r="K6424" t="s">
        <v>62</v>
      </c>
      <c r="M6424">
        <v>122.84</v>
      </c>
      <c r="N6424" s="4">
        <f t="shared" si="100"/>
        <v>-49.47867144252686</v>
      </c>
      <c r="O6424" t="s">
        <v>83</v>
      </c>
      <c r="R6424">
        <v>19</v>
      </c>
      <c r="S6424" t="e">
        <f>VLOOKUP(Tabla3[[#This Row],[Nº]],[1]!NOMINA[#Data],4,FALSE)</f>
        <v>#REF!</v>
      </c>
      <c r="T6424" t="e">
        <f>VLOOKUP(R6424,[1]!NOMINA[#Data],5,FALSE)</f>
        <v>#REF!</v>
      </c>
    </row>
    <row r="6425" spans="1:20" x14ac:dyDescent="0.25">
      <c r="A6425" s="22">
        <v>45867</v>
      </c>
      <c r="B6425" s="1">
        <v>815778755</v>
      </c>
      <c r="C6425" t="s">
        <v>4820</v>
      </c>
      <c r="D6425" s="44">
        <v>-9148.09</v>
      </c>
      <c r="E6425" t="s">
        <v>35</v>
      </c>
      <c r="F6425" s="2">
        <v>212901001</v>
      </c>
      <c r="G6425" s="2" t="s">
        <v>91</v>
      </c>
      <c r="I6425" s="95" t="s">
        <v>7231</v>
      </c>
      <c r="J6425" t="s">
        <v>61</v>
      </c>
      <c r="K6425" t="s">
        <v>62</v>
      </c>
      <c r="M6425">
        <v>122.84</v>
      </c>
      <c r="N6425" s="4">
        <f t="shared" si="100"/>
        <v>-74.471589058938449</v>
      </c>
      <c r="O6425" t="s">
        <v>83</v>
      </c>
      <c r="R6425">
        <v>17</v>
      </c>
      <c r="S6425" t="e">
        <f>VLOOKUP(Tabla3[[#This Row],[Nº]],[1]!NOMINA[#Data],4,FALSE)</f>
        <v>#REF!</v>
      </c>
      <c r="T6425" t="e">
        <f>VLOOKUP(R6425,[1]!NOMINA[#Data],5,FALSE)</f>
        <v>#REF!</v>
      </c>
    </row>
    <row r="6426" spans="1:20" x14ac:dyDescent="0.25">
      <c r="A6426" s="22">
        <v>45867</v>
      </c>
      <c r="B6426" s="1">
        <v>915778756</v>
      </c>
      <c r="C6426" t="s">
        <v>4821</v>
      </c>
      <c r="D6426" s="44">
        <v>-9148.09</v>
      </c>
      <c r="E6426" t="s">
        <v>35</v>
      </c>
      <c r="F6426" s="2">
        <v>212901001</v>
      </c>
      <c r="G6426" s="2" t="s">
        <v>91</v>
      </c>
      <c r="I6426" s="95" t="s">
        <v>7231</v>
      </c>
      <c r="J6426" t="s">
        <v>61</v>
      </c>
      <c r="K6426" t="s">
        <v>62</v>
      </c>
      <c r="M6426">
        <v>122.84</v>
      </c>
      <c r="N6426" s="4">
        <f t="shared" si="100"/>
        <v>-74.471589058938449</v>
      </c>
      <c r="O6426" t="s">
        <v>83</v>
      </c>
      <c r="R6426">
        <v>15</v>
      </c>
      <c r="S6426" t="e">
        <f>VLOOKUP(Tabla3[[#This Row],[Nº]],[1]!NOMINA[#Data],4,FALSE)</f>
        <v>#REF!</v>
      </c>
      <c r="T6426" t="e">
        <f>VLOOKUP(R6426,[1]!NOMINA[#Data],5,FALSE)</f>
        <v>#REF!</v>
      </c>
    </row>
    <row r="6427" spans="1:20" x14ac:dyDescent="0.25">
      <c r="A6427" s="22">
        <v>45867</v>
      </c>
      <c r="B6427" s="1">
        <v>915778757</v>
      </c>
      <c r="C6427" t="s">
        <v>4822</v>
      </c>
      <c r="D6427" s="44">
        <v>-8994.16</v>
      </c>
      <c r="E6427" t="s">
        <v>35</v>
      </c>
      <c r="F6427" s="2">
        <v>212901001</v>
      </c>
      <c r="G6427" s="2" t="s">
        <v>91</v>
      </c>
      <c r="I6427" s="95" t="s">
        <v>7231</v>
      </c>
      <c r="J6427" t="s">
        <v>61</v>
      </c>
      <c r="K6427" t="s">
        <v>62</v>
      </c>
      <c r="M6427">
        <v>122.84</v>
      </c>
      <c r="N6427" s="4">
        <f t="shared" si="100"/>
        <v>-73.21849560403777</v>
      </c>
      <c r="O6427" t="s">
        <v>83</v>
      </c>
      <c r="R6427">
        <v>14</v>
      </c>
      <c r="S6427" t="e">
        <f>VLOOKUP(Tabla3[[#This Row],[Nº]],[1]!NOMINA[#Data],4,FALSE)</f>
        <v>#REF!</v>
      </c>
      <c r="T6427" t="e">
        <f>VLOOKUP(R6427,[1]!NOMINA[#Data],5,FALSE)</f>
        <v>#REF!</v>
      </c>
    </row>
    <row r="6428" spans="1:20" x14ac:dyDescent="0.25">
      <c r="A6428" s="22">
        <v>45867</v>
      </c>
      <c r="B6428" s="1">
        <v>915778758</v>
      </c>
      <c r="C6428" t="s">
        <v>4823</v>
      </c>
      <c r="D6428" s="44">
        <v>-4228.3</v>
      </c>
      <c r="E6428" t="s">
        <v>35</v>
      </c>
      <c r="F6428" s="2">
        <v>212901001</v>
      </c>
      <c r="G6428" s="2" t="s">
        <v>91</v>
      </c>
      <c r="I6428" s="95" t="s">
        <v>7231</v>
      </c>
      <c r="J6428" t="s">
        <v>61</v>
      </c>
      <c r="K6428" t="s">
        <v>62</v>
      </c>
      <c r="M6428">
        <v>122.84</v>
      </c>
      <c r="N6428" s="4">
        <f t="shared" si="100"/>
        <v>-34.421198306740479</v>
      </c>
      <c r="O6428" t="s">
        <v>83</v>
      </c>
      <c r="R6428">
        <v>26</v>
      </c>
      <c r="S6428" t="e">
        <f>VLOOKUP(Tabla3[[#This Row],[Nº]],[1]!NOMINA[#Data],4,FALSE)</f>
        <v>#REF!</v>
      </c>
      <c r="T6428" t="e">
        <f>VLOOKUP(Tabla3[[#This Row],[Nº]],[1]!NOMINA[#Data],5,FALSE)</f>
        <v>#REF!</v>
      </c>
    </row>
    <row r="6429" spans="1:20" x14ac:dyDescent="0.25">
      <c r="A6429" s="22">
        <v>45867</v>
      </c>
      <c r="B6429" s="1">
        <v>915778759</v>
      </c>
      <c r="C6429" t="s">
        <v>4824</v>
      </c>
      <c r="D6429" s="44">
        <v>-9130.99</v>
      </c>
      <c r="E6429" t="s">
        <v>35</v>
      </c>
      <c r="F6429" s="2">
        <v>212901001</v>
      </c>
      <c r="G6429" s="2" t="s">
        <v>91</v>
      </c>
      <c r="I6429" s="95" t="s">
        <v>7231</v>
      </c>
      <c r="J6429" t="s">
        <v>61</v>
      </c>
      <c r="K6429" t="s">
        <v>62</v>
      </c>
      <c r="M6429">
        <v>122.84</v>
      </c>
      <c r="N6429" s="4">
        <f t="shared" si="100"/>
        <v>-74.33238358840768</v>
      </c>
      <c r="O6429" t="s">
        <v>83</v>
      </c>
      <c r="R6429">
        <v>8</v>
      </c>
      <c r="S6429" t="e">
        <f>VLOOKUP(Tabla3[[#This Row],[Nº]],[1]!NOMINA[#Data],4,FALSE)</f>
        <v>#REF!</v>
      </c>
      <c r="T6429" t="e">
        <f>VLOOKUP(R6429,[1]!NOMINA[#Data],5,FALSE)</f>
        <v>#REF!</v>
      </c>
    </row>
    <row r="6430" spans="1:20" x14ac:dyDescent="0.25">
      <c r="A6430" s="22">
        <v>45867</v>
      </c>
      <c r="B6430" s="1">
        <v>915778760</v>
      </c>
      <c r="C6430" t="s">
        <v>4825</v>
      </c>
      <c r="D6430" s="44">
        <v>-9098</v>
      </c>
      <c r="E6430" t="s">
        <v>35</v>
      </c>
      <c r="F6430" s="2">
        <v>212901001</v>
      </c>
      <c r="G6430" s="2" t="s">
        <v>91</v>
      </c>
      <c r="I6430" s="95" t="s">
        <v>7231</v>
      </c>
      <c r="J6430" t="s">
        <v>61</v>
      </c>
      <c r="K6430" t="s">
        <v>62</v>
      </c>
      <c r="M6430">
        <v>122.84</v>
      </c>
      <c r="N6430" s="4">
        <f t="shared" si="100"/>
        <v>-74.063822859003579</v>
      </c>
      <c r="O6430" t="s">
        <v>83</v>
      </c>
      <c r="R6430">
        <v>13</v>
      </c>
      <c r="S6430" t="e">
        <f>VLOOKUP(Tabla3[[#This Row],[Nº]],[1]!NOMINA[#Data],4,FALSE)</f>
        <v>#REF!</v>
      </c>
      <c r="T6430" t="e">
        <f>VLOOKUP(R6430,[1]!NOMINA[#Data],5,FALSE)</f>
        <v>#REF!</v>
      </c>
    </row>
    <row r="6431" spans="1:20" x14ac:dyDescent="0.25">
      <c r="A6431" s="22">
        <v>45867</v>
      </c>
      <c r="B6431" s="1">
        <v>915778761</v>
      </c>
      <c r="C6431" t="s">
        <v>4826</v>
      </c>
      <c r="D6431" s="44">
        <v>-48803.25</v>
      </c>
      <c r="E6431" t="s">
        <v>35</v>
      </c>
      <c r="F6431" s="2">
        <v>212901001</v>
      </c>
      <c r="G6431" s="2" t="s">
        <v>91</v>
      </c>
      <c r="I6431" s="95" t="s">
        <v>7231</v>
      </c>
      <c r="J6431" t="s">
        <v>61</v>
      </c>
      <c r="K6431" t="s">
        <v>62</v>
      </c>
      <c r="M6431">
        <v>122.84</v>
      </c>
      <c r="N6431" s="4">
        <f t="shared" si="100"/>
        <v>-397.29119179420383</v>
      </c>
      <c r="O6431" t="s">
        <v>83</v>
      </c>
      <c r="R6431">
        <v>1</v>
      </c>
      <c r="S6431" t="e">
        <f>VLOOKUP(R6431,[1]!NOMINA[#Data],4,FALSE)</f>
        <v>#REF!</v>
      </c>
      <c r="T6431" t="e">
        <f>VLOOKUP(R6431,[1]!NOMINA[#Data],5,FALSE)</f>
        <v>#REF!</v>
      </c>
    </row>
    <row r="6432" spans="1:20" x14ac:dyDescent="0.25">
      <c r="A6432" s="22">
        <v>45867</v>
      </c>
      <c r="B6432" s="1">
        <v>915778762</v>
      </c>
      <c r="C6432" t="s">
        <v>4827</v>
      </c>
      <c r="D6432" s="44">
        <v>-8804.7900000000009</v>
      </c>
      <c r="E6432" t="s">
        <v>35</v>
      </c>
      <c r="F6432" s="2">
        <v>212901001</v>
      </c>
      <c r="G6432" s="2" t="s">
        <v>91</v>
      </c>
      <c r="I6432" s="95" t="s">
        <v>7231</v>
      </c>
      <c r="J6432" t="s">
        <v>61</v>
      </c>
      <c r="K6432" t="s">
        <v>62</v>
      </c>
      <c r="M6432">
        <v>122.84</v>
      </c>
      <c r="N6432" s="4">
        <f t="shared" si="100"/>
        <v>-71.67689677629437</v>
      </c>
      <c r="O6432" t="s">
        <v>83</v>
      </c>
      <c r="R6432">
        <v>20</v>
      </c>
      <c r="S6432" t="e">
        <f>VLOOKUP(Tabla3[[#This Row],[Nº]],[1]!NOMINA[#Data],4,FALSE)</f>
        <v>#REF!</v>
      </c>
      <c r="T6432" t="e">
        <f>VLOOKUP(R6432,[1]!NOMINA[#Data],5,FALSE)</f>
        <v>#REF!</v>
      </c>
    </row>
    <row r="6433" spans="1:20" x14ac:dyDescent="0.25">
      <c r="A6433" s="22">
        <v>45867</v>
      </c>
      <c r="B6433" s="1">
        <v>915778764</v>
      </c>
      <c r="C6433" t="s">
        <v>4828</v>
      </c>
      <c r="D6433" s="44">
        <v>-13373.95</v>
      </c>
      <c r="E6433" t="s">
        <v>35</v>
      </c>
      <c r="F6433" s="2">
        <v>212901001</v>
      </c>
      <c r="G6433" s="2" t="s">
        <v>91</v>
      </c>
      <c r="I6433" s="95" t="s">
        <v>7231</v>
      </c>
      <c r="J6433" t="s">
        <v>61</v>
      </c>
      <c r="K6433" t="s">
        <v>62</v>
      </c>
      <c r="M6433">
        <v>122.84</v>
      </c>
      <c r="N6433" s="4">
        <f t="shared" si="100"/>
        <v>-108.87292412894823</v>
      </c>
      <c r="O6433" t="s">
        <v>83</v>
      </c>
      <c r="R6433">
        <v>4</v>
      </c>
      <c r="S6433" t="e">
        <f>VLOOKUP(Tabla3[[#This Row],[Nº]],[1]!NOMINA[#Data],4,FALSE)</f>
        <v>#REF!</v>
      </c>
      <c r="T6433" t="e">
        <f>VLOOKUP(R6433,[1]!NOMINA[#Data],5,FALSE)</f>
        <v>#REF!</v>
      </c>
    </row>
    <row r="6434" spans="1:20" x14ac:dyDescent="0.25">
      <c r="A6434" s="22">
        <v>45867</v>
      </c>
      <c r="B6434" s="1">
        <v>915778763</v>
      </c>
      <c r="C6434" t="s">
        <v>4829</v>
      </c>
      <c r="D6434" s="44">
        <v>-9098</v>
      </c>
      <c r="E6434" t="s">
        <v>35</v>
      </c>
      <c r="F6434" s="2">
        <v>212901001</v>
      </c>
      <c r="G6434" s="2" t="s">
        <v>91</v>
      </c>
      <c r="I6434" s="95" t="s">
        <v>7231</v>
      </c>
      <c r="J6434" t="s">
        <v>61</v>
      </c>
      <c r="K6434" t="s">
        <v>62</v>
      </c>
      <c r="M6434">
        <v>122.84</v>
      </c>
      <c r="N6434" s="4">
        <f t="shared" si="100"/>
        <v>-74.063822859003579</v>
      </c>
      <c r="O6434" t="s">
        <v>83</v>
      </c>
      <c r="R6434">
        <v>12</v>
      </c>
      <c r="S6434" t="e">
        <f>VLOOKUP(Tabla3[[#This Row],[Nº]],[1]!NOMINA[#Data],4,FALSE)</f>
        <v>#REF!</v>
      </c>
      <c r="T6434" t="e">
        <f>VLOOKUP(R6434,[1]!NOMINA[#Data],5,FALSE)</f>
        <v>#REF!</v>
      </c>
    </row>
    <row r="6435" spans="1:20" x14ac:dyDescent="0.25">
      <c r="A6435" s="22">
        <v>45867</v>
      </c>
      <c r="B6435" s="1">
        <v>15778765</v>
      </c>
      <c r="C6435" t="s">
        <v>4830</v>
      </c>
      <c r="D6435" s="44">
        <v>-9708.85</v>
      </c>
      <c r="E6435" t="s">
        <v>35</v>
      </c>
      <c r="F6435" s="2">
        <v>212901001</v>
      </c>
      <c r="G6435" s="2" t="s">
        <v>91</v>
      </c>
      <c r="I6435" s="95" t="s">
        <v>7231</v>
      </c>
      <c r="J6435" t="s">
        <v>61</v>
      </c>
      <c r="K6435" t="s">
        <v>62</v>
      </c>
      <c r="M6435">
        <v>122.84</v>
      </c>
      <c r="N6435" s="4">
        <f t="shared" si="100"/>
        <v>-79.036551611852815</v>
      </c>
      <c r="O6435" t="s">
        <v>83</v>
      </c>
      <c r="R6435">
        <v>33</v>
      </c>
      <c r="S6435" t="e">
        <f>VLOOKUP(R6435,[1]!NOMINA[#Data],4,FALSE)</f>
        <v>#REF!</v>
      </c>
      <c r="T6435" t="e">
        <f>VLOOKUP(R6435,[1]!NOMINA[#Data],5,FALSE)</f>
        <v>#REF!</v>
      </c>
    </row>
    <row r="6436" spans="1:20" x14ac:dyDescent="0.25">
      <c r="A6436" s="22">
        <v>45867</v>
      </c>
      <c r="B6436" s="1">
        <v>15778768</v>
      </c>
      <c r="C6436" t="s">
        <v>4831</v>
      </c>
      <c r="D6436" s="44">
        <v>-9148.09</v>
      </c>
      <c r="E6436" t="s">
        <v>35</v>
      </c>
      <c r="F6436" s="2">
        <v>212901001</v>
      </c>
      <c r="G6436" s="2" t="s">
        <v>91</v>
      </c>
      <c r="I6436" s="95" t="s">
        <v>7231</v>
      </c>
      <c r="J6436" t="s">
        <v>61</v>
      </c>
      <c r="K6436" t="s">
        <v>62</v>
      </c>
      <c r="M6436">
        <v>122.84</v>
      </c>
      <c r="N6436" s="4">
        <f t="shared" si="100"/>
        <v>-74.471589058938449</v>
      </c>
      <c r="O6436" t="s">
        <v>83</v>
      </c>
      <c r="R6436">
        <v>16</v>
      </c>
      <c r="S6436" t="e">
        <f>VLOOKUP(Tabla3[[#This Row],[Nº]],[1]!NOMINA[#Data],4,FALSE)</f>
        <v>#REF!</v>
      </c>
      <c r="T6436" t="e">
        <f>VLOOKUP(Tabla3[[#This Row],[Nº]],[1]!NOMINA[#Data],5,FALSE)</f>
        <v>#REF!</v>
      </c>
    </row>
    <row r="6437" spans="1:20" x14ac:dyDescent="0.25">
      <c r="A6437" s="22">
        <v>45867</v>
      </c>
      <c r="B6437" s="1">
        <v>15778769</v>
      </c>
      <c r="C6437" t="s">
        <v>4832</v>
      </c>
      <c r="D6437" s="44">
        <v>-15206.5</v>
      </c>
      <c r="E6437" t="s">
        <v>35</v>
      </c>
      <c r="F6437" s="2">
        <v>212901001</v>
      </c>
      <c r="G6437" s="2" t="s">
        <v>91</v>
      </c>
      <c r="I6437" s="95" t="s">
        <v>7231</v>
      </c>
      <c r="J6437" t="s">
        <v>61</v>
      </c>
      <c r="K6437" t="s">
        <v>62</v>
      </c>
      <c r="M6437">
        <v>122.84</v>
      </c>
      <c r="N6437" s="4">
        <f t="shared" si="100"/>
        <v>-123.79111038749592</v>
      </c>
      <c r="O6437" t="s">
        <v>83</v>
      </c>
      <c r="R6437">
        <v>6</v>
      </c>
      <c r="S6437" t="e">
        <f>VLOOKUP(Tabla3[[#This Row],[Nº]],[1]!NOMINA[#Data],4,FALSE)</f>
        <v>#REF!</v>
      </c>
      <c r="T6437" t="e">
        <f>VLOOKUP(R6437,[1]!NOMINA[#Data],5,FALSE)</f>
        <v>#REF!</v>
      </c>
    </row>
    <row r="6438" spans="1:20" x14ac:dyDescent="0.25">
      <c r="A6438" s="22">
        <v>45867</v>
      </c>
      <c r="B6438" s="1">
        <v>15778766</v>
      </c>
      <c r="C6438" t="s">
        <v>4833</v>
      </c>
      <c r="D6438" s="44">
        <v>-11835.83</v>
      </c>
      <c r="E6438" t="s">
        <v>35</v>
      </c>
      <c r="F6438" s="2">
        <v>212901001</v>
      </c>
      <c r="G6438" s="2" t="s">
        <v>91</v>
      </c>
      <c r="I6438" s="95" t="s">
        <v>7231</v>
      </c>
      <c r="J6438" t="s">
        <v>61</v>
      </c>
      <c r="K6438" t="s">
        <v>62</v>
      </c>
      <c r="M6438">
        <v>122.84</v>
      </c>
      <c r="N6438" s="4">
        <f t="shared" si="100"/>
        <v>-96.351595571475087</v>
      </c>
      <c r="O6438" t="s">
        <v>83</v>
      </c>
      <c r="R6438">
        <v>34</v>
      </c>
      <c r="S6438" t="e">
        <f>VLOOKUP(R6438,[1]!NOMINA[#Data],4,FALSE)</f>
        <v>#REF!</v>
      </c>
      <c r="T6438" t="e">
        <f>VLOOKUP(R6438,[1]!NOMINA[#Data],5,FALSE)</f>
        <v>#REF!</v>
      </c>
    </row>
    <row r="6439" spans="1:20" x14ac:dyDescent="0.25">
      <c r="A6439" s="22">
        <v>45867</v>
      </c>
      <c r="B6439" s="1">
        <v>15778771</v>
      </c>
      <c r="C6439" t="s">
        <v>4834</v>
      </c>
      <c r="D6439" s="44">
        <v>-6019.32</v>
      </c>
      <c r="E6439" t="s">
        <v>35</v>
      </c>
      <c r="F6439" s="2">
        <v>212901001</v>
      </c>
      <c r="G6439" s="2" t="s">
        <v>91</v>
      </c>
      <c r="I6439" s="95" t="s">
        <v>7231</v>
      </c>
      <c r="J6439" t="s">
        <v>61</v>
      </c>
      <c r="K6439" t="s">
        <v>62</v>
      </c>
      <c r="M6439">
        <v>122.84</v>
      </c>
      <c r="N6439" s="4">
        <f t="shared" si="100"/>
        <v>-49.001302507326599</v>
      </c>
      <c r="O6439" t="s">
        <v>83</v>
      </c>
      <c r="R6439">
        <v>24</v>
      </c>
      <c r="S6439" t="e">
        <f>VLOOKUP(Tabla3[[#This Row],[Nº]],[1]!NOMINA[#Data],4,FALSE)</f>
        <v>#REF!</v>
      </c>
      <c r="T6439" t="e">
        <f>VLOOKUP(R6439,[1]!NOMINA[#Data],5,FALSE)</f>
        <v>#REF!</v>
      </c>
    </row>
    <row r="6440" spans="1:20" x14ac:dyDescent="0.25">
      <c r="A6440" s="22">
        <v>45867</v>
      </c>
      <c r="B6440" s="1">
        <v>15778770</v>
      </c>
      <c r="C6440" t="s">
        <v>4835</v>
      </c>
      <c r="D6440" s="44">
        <v>-30477.75</v>
      </c>
      <c r="E6440" t="s">
        <v>35</v>
      </c>
      <c r="F6440" s="2">
        <v>212901001</v>
      </c>
      <c r="G6440" s="2" t="s">
        <v>91</v>
      </c>
      <c r="I6440" s="95" t="s">
        <v>7231</v>
      </c>
      <c r="J6440" t="s">
        <v>61</v>
      </c>
      <c r="K6440" t="s">
        <v>62</v>
      </c>
      <c r="M6440">
        <v>122.84</v>
      </c>
      <c r="N6440" s="4">
        <f t="shared" si="100"/>
        <v>-248.10932920872679</v>
      </c>
      <c r="O6440" t="s">
        <v>83</v>
      </c>
      <c r="R6440">
        <v>3</v>
      </c>
      <c r="S6440" t="e">
        <f>VLOOKUP(Tabla3[[#This Row],[Nº]],[1]!NOMINA[#Data],4,FALSE)</f>
        <v>#REF!</v>
      </c>
      <c r="T6440" t="e">
        <f>VLOOKUP(R6440,[1]!NOMINA[#Data],5,FALSE)</f>
        <v>#REF!</v>
      </c>
    </row>
    <row r="6441" spans="1:20" x14ac:dyDescent="0.25">
      <c r="A6441" s="22">
        <v>45867</v>
      </c>
      <c r="B6441" s="1">
        <v>15778772</v>
      </c>
      <c r="C6441" t="s">
        <v>4836</v>
      </c>
      <c r="D6441" s="44">
        <v>-9708.85</v>
      </c>
      <c r="E6441" t="s">
        <v>35</v>
      </c>
      <c r="F6441" s="2">
        <v>212901001</v>
      </c>
      <c r="G6441" s="2" t="s">
        <v>91</v>
      </c>
      <c r="I6441" s="95" t="s">
        <v>7231</v>
      </c>
      <c r="J6441" t="s">
        <v>61</v>
      </c>
      <c r="K6441" t="s">
        <v>62</v>
      </c>
      <c r="M6441">
        <v>122.84</v>
      </c>
      <c r="N6441" s="4">
        <f t="shared" si="100"/>
        <v>-79.036551611852815</v>
      </c>
      <c r="O6441" t="s">
        <v>83</v>
      </c>
      <c r="R6441">
        <v>5</v>
      </c>
      <c r="S6441" t="e">
        <f>VLOOKUP(Tabla3[[#This Row],[Nº]],[1]!NOMINA[#Data],4,FALSE)</f>
        <v>#REF!</v>
      </c>
      <c r="T6441" t="e">
        <f>VLOOKUP(R6441,[1]!NOMINA[#Data],5,FALSE)</f>
        <v>#REF!</v>
      </c>
    </row>
    <row r="6442" spans="1:20" x14ac:dyDescent="0.25">
      <c r="A6442" s="22">
        <v>45867</v>
      </c>
      <c r="B6442" s="1">
        <v>15778773</v>
      </c>
      <c r="C6442" t="s">
        <v>4837</v>
      </c>
      <c r="D6442" s="44">
        <v>-9708.85</v>
      </c>
      <c r="E6442" t="s">
        <v>35</v>
      </c>
      <c r="F6442" s="2">
        <v>212901001</v>
      </c>
      <c r="G6442" s="2" t="s">
        <v>91</v>
      </c>
      <c r="I6442" s="95" t="s">
        <v>7231</v>
      </c>
      <c r="J6442" t="s">
        <v>61</v>
      </c>
      <c r="K6442" t="s">
        <v>62</v>
      </c>
      <c r="M6442">
        <v>122.84</v>
      </c>
      <c r="N6442" s="4">
        <f t="shared" si="100"/>
        <v>-79.036551611852815</v>
      </c>
      <c r="O6442" t="s">
        <v>83</v>
      </c>
      <c r="R6442">
        <v>32</v>
      </c>
      <c r="S6442" t="e">
        <f>VLOOKUP(Tabla3[[#This Row],[Nº]],[1]!NOMINA[#Data],4,FALSE)</f>
        <v>#REF!</v>
      </c>
      <c r="T6442" t="e">
        <f>VLOOKUP(R6442,[1]!NOMINA[#Data],5,FALSE)</f>
        <v>#REF!</v>
      </c>
    </row>
    <row r="6443" spans="1:20" x14ac:dyDescent="0.25">
      <c r="A6443" s="22">
        <v>45867</v>
      </c>
      <c r="B6443" s="1">
        <v>115778774</v>
      </c>
      <c r="C6443" t="s">
        <v>4838</v>
      </c>
      <c r="D6443" s="44">
        <v>-13373.95</v>
      </c>
      <c r="E6443" t="s">
        <v>35</v>
      </c>
      <c r="F6443" s="2">
        <v>212901001</v>
      </c>
      <c r="G6443" s="2" t="s">
        <v>91</v>
      </c>
      <c r="I6443" s="95" t="s">
        <v>7231</v>
      </c>
      <c r="J6443" t="s">
        <v>61</v>
      </c>
      <c r="K6443" t="s">
        <v>62</v>
      </c>
      <c r="M6443">
        <v>122.84</v>
      </c>
      <c r="N6443" s="4">
        <f t="shared" si="100"/>
        <v>-108.87292412894823</v>
      </c>
      <c r="O6443" t="s">
        <v>83</v>
      </c>
      <c r="R6443">
        <v>30</v>
      </c>
      <c r="S6443" t="e">
        <f>VLOOKUP(Tabla3[[#This Row],[Nº]],[1]!NOMINA[#Data],4,FALSE)</f>
        <v>#REF!</v>
      </c>
      <c r="T6443" t="e">
        <f>VLOOKUP(R6443,[1]!NOMINA[#Data],5,FALSE)</f>
        <v>#REF!</v>
      </c>
    </row>
    <row r="6444" spans="1:20" x14ac:dyDescent="0.25">
      <c r="A6444" s="22">
        <v>45867</v>
      </c>
      <c r="B6444" s="1">
        <v>115778776</v>
      </c>
      <c r="C6444" t="s">
        <v>4839</v>
      </c>
      <c r="D6444" s="44">
        <v>-6063.3</v>
      </c>
      <c r="E6444" t="s">
        <v>35</v>
      </c>
      <c r="F6444" s="2">
        <v>212901001</v>
      </c>
      <c r="G6444" s="2" t="s">
        <v>91</v>
      </c>
      <c r="I6444" s="95" t="s">
        <v>7231</v>
      </c>
      <c r="J6444" t="s">
        <v>61</v>
      </c>
      <c r="K6444" t="s">
        <v>62</v>
      </c>
      <c r="M6444">
        <v>122.84</v>
      </c>
      <c r="N6444" s="4">
        <f t="shared" si="100"/>
        <v>-49.359329208726798</v>
      </c>
      <c r="O6444" t="s">
        <v>83</v>
      </c>
      <c r="R6444">
        <v>21</v>
      </c>
      <c r="S6444" t="e">
        <f>VLOOKUP(Tabla3[[#This Row],[Nº]],[1]!NOMINA[#Data],4,FALSE)</f>
        <v>#REF!</v>
      </c>
      <c r="T6444" t="e">
        <f>VLOOKUP(R6444,[1]!NOMINA[#Data],5,FALSE)</f>
        <v>#REF!</v>
      </c>
    </row>
    <row r="6445" spans="1:20" x14ac:dyDescent="0.25">
      <c r="A6445" s="22">
        <v>45867</v>
      </c>
      <c r="B6445" s="1">
        <v>115778775</v>
      </c>
      <c r="C6445" t="s">
        <v>4840</v>
      </c>
      <c r="D6445" s="44">
        <v>-4228.3</v>
      </c>
      <c r="E6445" t="s">
        <v>35</v>
      </c>
      <c r="F6445" s="2">
        <v>212901001</v>
      </c>
      <c r="G6445" s="2" t="s">
        <v>91</v>
      </c>
      <c r="I6445" s="95" t="s">
        <v>7231</v>
      </c>
      <c r="J6445" t="s">
        <v>61</v>
      </c>
      <c r="K6445" t="s">
        <v>62</v>
      </c>
      <c r="M6445">
        <v>122.84</v>
      </c>
      <c r="N6445" s="4">
        <f t="shared" si="100"/>
        <v>-34.421198306740479</v>
      </c>
      <c r="O6445" t="s">
        <v>83</v>
      </c>
      <c r="R6445">
        <v>27</v>
      </c>
      <c r="S6445" t="e">
        <f>VLOOKUP(Tabla3[[#This Row],[Nº]],[1]!NOMINA[#Data],4,FALSE)</f>
        <v>#REF!</v>
      </c>
      <c r="T6445" t="e">
        <f>VLOOKUP(R6445,[1]!NOMINA[#Data],5,FALSE)</f>
        <v>#REF!</v>
      </c>
    </row>
    <row r="6446" spans="1:20" x14ac:dyDescent="0.25">
      <c r="A6446" s="22">
        <v>45867</v>
      </c>
      <c r="B6446" s="1">
        <v>115778777</v>
      </c>
      <c r="C6446" t="s">
        <v>4841</v>
      </c>
      <c r="D6446" s="44">
        <v>-4229.53</v>
      </c>
      <c r="E6446" t="s">
        <v>35</v>
      </c>
      <c r="F6446" s="2">
        <v>212901001</v>
      </c>
      <c r="G6446" s="2" t="s">
        <v>91</v>
      </c>
      <c r="I6446" s="95" t="s">
        <v>7231</v>
      </c>
      <c r="J6446" t="s">
        <v>61</v>
      </c>
      <c r="K6446" t="s">
        <v>62</v>
      </c>
      <c r="M6446">
        <v>122.84</v>
      </c>
      <c r="N6446" s="4">
        <f t="shared" si="100"/>
        <v>-34.431211331813735</v>
      </c>
      <c r="O6446" t="s">
        <v>83</v>
      </c>
      <c r="R6446">
        <v>7</v>
      </c>
      <c r="S6446" t="e">
        <f>VLOOKUP(Tabla3[[#This Row],[Nº]],[1]!NOMINA[#Data],4,FALSE)</f>
        <v>#REF!</v>
      </c>
      <c r="T6446" t="e">
        <f>VLOOKUP(R6446,[1]!NOMINA[#Data],5,FALSE)</f>
        <v>#REF!</v>
      </c>
    </row>
    <row r="6447" spans="1:20" x14ac:dyDescent="0.25">
      <c r="A6447" s="22">
        <v>45867</v>
      </c>
      <c r="B6447" s="1">
        <v>115778780</v>
      </c>
      <c r="C6447" t="s">
        <v>4842</v>
      </c>
      <c r="D6447" s="44">
        <v>-9130.99</v>
      </c>
      <c r="E6447" t="s">
        <v>35</v>
      </c>
      <c r="F6447" s="2">
        <v>212901001</v>
      </c>
      <c r="G6447" s="2" t="s">
        <v>91</v>
      </c>
      <c r="I6447" s="95" t="s">
        <v>7231</v>
      </c>
      <c r="J6447" t="s">
        <v>61</v>
      </c>
      <c r="K6447" t="s">
        <v>62</v>
      </c>
      <c r="M6447">
        <v>122.84</v>
      </c>
      <c r="N6447" s="4">
        <f t="shared" si="100"/>
        <v>-74.33238358840768</v>
      </c>
      <c r="O6447" t="s">
        <v>83</v>
      </c>
      <c r="R6447">
        <v>9</v>
      </c>
      <c r="S6447" t="e">
        <f>VLOOKUP(Tabla3[[#This Row],[Nº]],[1]!NOMINA[#Data],4,FALSE)</f>
        <v>#REF!</v>
      </c>
      <c r="T6447" t="e">
        <f>VLOOKUP(R6447,[1]!NOMINA[#Data],5,FALSE)</f>
        <v>#REF!</v>
      </c>
    </row>
    <row r="6448" spans="1:20" x14ac:dyDescent="0.25">
      <c r="A6448" s="22">
        <v>45867</v>
      </c>
      <c r="B6448" s="1">
        <v>115778779</v>
      </c>
      <c r="C6448" t="s">
        <v>4843</v>
      </c>
      <c r="D6448" s="44">
        <v>-4228.3</v>
      </c>
      <c r="E6448" t="s">
        <v>35</v>
      </c>
      <c r="F6448" s="2">
        <v>212901001</v>
      </c>
      <c r="G6448" s="2" t="s">
        <v>91</v>
      </c>
      <c r="I6448" s="95" t="s">
        <v>7231</v>
      </c>
      <c r="J6448" t="s">
        <v>61</v>
      </c>
      <c r="K6448" t="s">
        <v>62</v>
      </c>
      <c r="M6448">
        <v>122.84</v>
      </c>
      <c r="N6448" s="4">
        <f t="shared" si="100"/>
        <v>-34.421198306740479</v>
      </c>
      <c r="O6448" t="s">
        <v>83</v>
      </c>
      <c r="R6448">
        <v>25</v>
      </c>
      <c r="S6448" t="e">
        <f>VLOOKUP(Tabla3[[#This Row],[Nº]],[1]!NOMINA[#Data],4,FALSE)</f>
        <v>#REF!</v>
      </c>
      <c r="T6448" t="e">
        <f>VLOOKUP(R6448,[1]!NOMINA[#Data],5,FALSE)</f>
        <v>#REF!</v>
      </c>
    </row>
    <row r="6449" spans="1:20" x14ac:dyDescent="0.25">
      <c r="A6449" s="22">
        <v>45867</v>
      </c>
      <c r="B6449" s="1">
        <v>115778778</v>
      </c>
      <c r="C6449" t="s">
        <v>4844</v>
      </c>
      <c r="D6449" s="44">
        <v>-18260.75</v>
      </c>
      <c r="E6449" t="s">
        <v>35</v>
      </c>
      <c r="F6449" s="2">
        <v>212901001</v>
      </c>
      <c r="G6449" s="2" t="s">
        <v>91</v>
      </c>
      <c r="I6449" s="95" t="s">
        <v>7231</v>
      </c>
      <c r="J6449" t="s">
        <v>61</v>
      </c>
      <c r="K6449" t="s">
        <v>62</v>
      </c>
      <c r="M6449">
        <v>122.84</v>
      </c>
      <c r="N6449" s="4">
        <f t="shared" si="100"/>
        <v>-148.65475415174211</v>
      </c>
      <c r="O6449" t="s">
        <v>83</v>
      </c>
      <c r="R6449">
        <v>35</v>
      </c>
      <c r="S6449" t="e">
        <f>VLOOKUP(Tabla3[[#This Row],[Nº]],[1]!NOMINA[#Data],4,FALSE)</f>
        <v>#REF!</v>
      </c>
      <c r="T6449" t="e">
        <f>VLOOKUP(R6449,[1]!NOMINA[#Data],5,FALSE)</f>
        <v>#REF!</v>
      </c>
    </row>
    <row r="6450" spans="1:20" x14ac:dyDescent="0.25">
      <c r="A6450" s="22">
        <v>45867</v>
      </c>
      <c r="B6450" s="1">
        <v>215778783</v>
      </c>
      <c r="C6450" t="s">
        <v>4845</v>
      </c>
      <c r="D6450" s="44">
        <v>-6086.51</v>
      </c>
      <c r="E6450" t="s">
        <v>35</v>
      </c>
      <c r="F6450" s="2">
        <v>212901001</v>
      </c>
      <c r="G6450" s="2" t="s">
        <v>91</v>
      </c>
      <c r="I6450" s="95" t="s">
        <v>7231</v>
      </c>
      <c r="J6450" t="s">
        <v>61</v>
      </c>
      <c r="K6450" t="s">
        <v>62</v>
      </c>
      <c r="M6450">
        <v>122.84</v>
      </c>
      <c r="N6450" s="4">
        <f t="shared" si="100"/>
        <v>-49.548274177792251</v>
      </c>
      <c r="O6450" t="s">
        <v>83</v>
      </c>
      <c r="R6450">
        <v>10</v>
      </c>
      <c r="S6450" t="e">
        <f>VLOOKUP(Tabla3[[#This Row],[Nº]],[1]!NOMINA[#Data],4,FALSE)</f>
        <v>#REF!</v>
      </c>
      <c r="T6450" t="e">
        <f>VLOOKUP(R6450,[1]!NOMINA[#Data],5,FALSE)</f>
        <v>#REF!</v>
      </c>
    </row>
    <row r="6451" spans="1:20" x14ac:dyDescent="0.25">
      <c r="A6451" s="22">
        <v>45867</v>
      </c>
      <c r="B6451" s="1">
        <v>115778781</v>
      </c>
      <c r="C6451" t="s">
        <v>4846</v>
      </c>
      <c r="D6451" s="44">
        <v>-4840.38</v>
      </c>
      <c r="E6451" t="s">
        <v>35</v>
      </c>
      <c r="F6451" s="2">
        <v>212901001</v>
      </c>
      <c r="G6451" s="2" t="s">
        <v>91</v>
      </c>
      <c r="I6451" s="95" t="s">
        <v>7231</v>
      </c>
      <c r="J6451" t="s">
        <v>61</v>
      </c>
      <c r="K6451" t="s">
        <v>62</v>
      </c>
      <c r="M6451">
        <v>122.84</v>
      </c>
      <c r="N6451" s="4">
        <f t="shared" si="100"/>
        <v>-39.403940084662977</v>
      </c>
      <c r="O6451" t="s">
        <v>83</v>
      </c>
      <c r="R6451">
        <v>29</v>
      </c>
      <c r="S6451" t="e">
        <f>VLOOKUP(R6451,[1]!NOMINA[#Data],4,FALSE)</f>
        <v>#REF!</v>
      </c>
      <c r="T6451" t="e">
        <f>VLOOKUP(R6451,[1]!NOMINA[#Data],5,FALSE)</f>
        <v>#REF!</v>
      </c>
    </row>
    <row r="6452" spans="1:20" x14ac:dyDescent="0.25">
      <c r="A6452" s="22">
        <v>45867</v>
      </c>
      <c r="B6452" s="1">
        <v>215778785</v>
      </c>
      <c r="C6452" t="s">
        <v>4847</v>
      </c>
      <c r="D6452" s="44">
        <v>-9148.09</v>
      </c>
      <c r="E6452" t="s">
        <v>35</v>
      </c>
      <c r="F6452" s="2">
        <v>212901001</v>
      </c>
      <c r="G6452" s="2" t="s">
        <v>91</v>
      </c>
      <c r="I6452" s="95" t="s">
        <v>7231</v>
      </c>
      <c r="J6452" t="s">
        <v>61</v>
      </c>
      <c r="K6452" t="s">
        <v>62</v>
      </c>
      <c r="M6452">
        <v>122.84</v>
      </c>
      <c r="N6452" s="4">
        <f t="shared" si="100"/>
        <v>-74.471589058938449</v>
      </c>
      <c r="O6452" t="s">
        <v>83</v>
      </c>
      <c r="R6452">
        <v>18</v>
      </c>
      <c r="S6452" t="e">
        <f>VLOOKUP(Tabla3[[#This Row],[Nº]],[1]!NOMINA[#Data],4,FALSE)</f>
        <v>#REF!</v>
      </c>
      <c r="T6452" t="e">
        <f>VLOOKUP(Tabla3[[#This Row],[Nº]],[1]!NOMINA[#Data],5,FALSE)</f>
        <v>#REF!</v>
      </c>
    </row>
    <row r="6453" spans="1:20" x14ac:dyDescent="0.25">
      <c r="A6453" s="22">
        <v>45867</v>
      </c>
      <c r="B6453" s="1">
        <v>215778784</v>
      </c>
      <c r="C6453" t="s">
        <v>4848</v>
      </c>
      <c r="D6453" s="44">
        <v>-9130.99</v>
      </c>
      <c r="E6453" t="s">
        <v>35</v>
      </c>
      <c r="F6453" s="2">
        <v>212901001</v>
      </c>
      <c r="G6453" s="2" t="s">
        <v>91</v>
      </c>
      <c r="I6453" s="95" t="s">
        <v>7231</v>
      </c>
      <c r="J6453" t="s">
        <v>61</v>
      </c>
      <c r="K6453" t="s">
        <v>62</v>
      </c>
      <c r="M6453">
        <v>122.84</v>
      </c>
      <c r="N6453" s="4">
        <f t="shared" si="100"/>
        <v>-74.33238358840768</v>
      </c>
      <c r="O6453" t="s">
        <v>83</v>
      </c>
      <c r="R6453">
        <v>11</v>
      </c>
      <c r="S6453" t="e">
        <f>VLOOKUP(Tabla3[[#This Row],[Nº]],[1]!NOMINA[#Data],4,FALSE)</f>
        <v>#REF!</v>
      </c>
      <c r="T6453" t="e">
        <f>VLOOKUP(R6453,[1]!NOMINA[#Data],5,FALSE)</f>
        <v>#REF!</v>
      </c>
    </row>
    <row r="6454" spans="1:20" x14ac:dyDescent="0.25">
      <c r="A6454" s="22">
        <v>45867</v>
      </c>
      <c r="B6454" s="1">
        <v>215778787</v>
      </c>
      <c r="C6454" t="s">
        <v>4849</v>
      </c>
      <c r="D6454" s="44">
        <v>-4886.8</v>
      </c>
      <c r="E6454" t="s">
        <v>35</v>
      </c>
      <c r="F6454" s="2">
        <v>212901001</v>
      </c>
      <c r="G6454" s="2" t="s">
        <v>91</v>
      </c>
      <c r="I6454" s="95" t="s">
        <v>7231</v>
      </c>
      <c r="J6454" t="s">
        <v>61</v>
      </c>
      <c r="K6454" t="s">
        <v>62</v>
      </c>
      <c r="M6454">
        <v>122.84</v>
      </c>
      <c r="N6454" s="4">
        <f t="shared" si="100"/>
        <v>-39.781830022793876</v>
      </c>
      <c r="O6454" t="s">
        <v>83</v>
      </c>
      <c r="R6454">
        <v>2</v>
      </c>
      <c r="S6454" t="e">
        <f>VLOOKUP(Tabla3[[#This Row],[Nº]],[1]!NOMINA[#Data],4,FALSE)</f>
        <v>#REF!</v>
      </c>
      <c r="T6454" t="e">
        <f>VLOOKUP(Tabla3[[#This Row],[Nº]],[1]!NOMINA[#Data],5,FALSE)</f>
        <v>#REF!</v>
      </c>
    </row>
    <row r="6455" spans="1:20" x14ac:dyDescent="0.25">
      <c r="A6455" s="22">
        <v>45867</v>
      </c>
      <c r="B6455" s="1">
        <v>215778786</v>
      </c>
      <c r="C6455" t="s">
        <v>4850</v>
      </c>
      <c r="D6455" s="44">
        <v>-4886.8</v>
      </c>
      <c r="E6455" t="s">
        <v>35</v>
      </c>
      <c r="F6455" s="2">
        <v>212901001</v>
      </c>
      <c r="G6455" s="2" t="s">
        <v>91</v>
      </c>
      <c r="I6455" s="95" t="s">
        <v>7231</v>
      </c>
      <c r="J6455" t="s">
        <v>61</v>
      </c>
      <c r="K6455" t="s">
        <v>62</v>
      </c>
      <c r="M6455">
        <v>122.84</v>
      </c>
      <c r="N6455" s="4">
        <f t="shared" si="100"/>
        <v>-39.781830022793876</v>
      </c>
      <c r="O6455" t="s">
        <v>83</v>
      </c>
      <c r="R6455">
        <v>1</v>
      </c>
      <c r="S6455" t="e">
        <f>VLOOKUP(R6455,[1]!NOMINA[#Data],4,FALSE)</f>
        <v>#REF!</v>
      </c>
      <c r="T6455" t="e">
        <f>VLOOKUP(R6455,[1]!NOMINA[#Data],5,FALSE)</f>
        <v>#REF!</v>
      </c>
    </row>
    <row r="6456" spans="1:20" x14ac:dyDescent="0.25">
      <c r="A6456" s="22">
        <v>45867</v>
      </c>
      <c r="B6456" s="1">
        <v>215778789</v>
      </c>
      <c r="C6456" t="s">
        <v>4851</v>
      </c>
      <c r="D6456" s="44">
        <v>-4886.8</v>
      </c>
      <c r="E6456" t="s">
        <v>35</v>
      </c>
      <c r="F6456" s="2">
        <v>212901001</v>
      </c>
      <c r="G6456" s="2" t="s">
        <v>91</v>
      </c>
      <c r="I6456" s="95" t="s">
        <v>7231</v>
      </c>
      <c r="J6456" t="s">
        <v>61</v>
      </c>
      <c r="K6456" t="s">
        <v>62</v>
      </c>
      <c r="M6456">
        <v>122.84</v>
      </c>
      <c r="N6456" s="4">
        <f t="shared" si="100"/>
        <v>-39.781830022793876</v>
      </c>
      <c r="O6456" t="s">
        <v>83</v>
      </c>
      <c r="R6456">
        <v>4</v>
      </c>
      <c r="S6456" t="e">
        <f>VLOOKUP(Tabla3[[#This Row],[Nº]],[1]!NOMINA[#Data],4,FALSE)</f>
        <v>#REF!</v>
      </c>
      <c r="T6456" t="e">
        <f>VLOOKUP(R6456,[1]!NOMINA[#Data],5,FALSE)</f>
        <v>#REF!</v>
      </c>
    </row>
    <row r="6457" spans="1:20" x14ac:dyDescent="0.25">
      <c r="A6457" s="22">
        <v>45867</v>
      </c>
      <c r="B6457" s="1">
        <v>215778788</v>
      </c>
      <c r="C6457" t="s">
        <v>4852</v>
      </c>
      <c r="D6457" s="44">
        <v>-4886.8</v>
      </c>
      <c r="E6457" t="s">
        <v>35</v>
      </c>
      <c r="F6457" s="2">
        <v>212901001</v>
      </c>
      <c r="G6457" s="2" t="s">
        <v>91</v>
      </c>
      <c r="I6457" s="95" t="s">
        <v>7231</v>
      </c>
      <c r="J6457" t="s">
        <v>61</v>
      </c>
      <c r="K6457" t="s">
        <v>62</v>
      </c>
      <c r="M6457">
        <v>122.84</v>
      </c>
      <c r="N6457" s="4">
        <f t="shared" si="100"/>
        <v>-39.781830022793876</v>
      </c>
      <c r="O6457" t="s">
        <v>83</v>
      </c>
      <c r="R6457">
        <v>3</v>
      </c>
      <c r="S6457" t="e">
        <f>VLOOKUP(Tabla3[[#This Row],[Nº]],[1]!NOMINA[#Data],4,FALSE)</f>
        <v>#REF!</v>
      </c>
      <c r="T6457" t="e">
        <f>VLOOKUP(R6457,[1]!NOMINA[#Data],5,FALSE)</f>
        <v>#REF!</v>
      </c>
    </row>
    <row r="6458" spans="1:20" x14ac:dyDescent="0.25">
      <c r="A6458" s="22">
        <v>45867</v>
      </c>
      <c r="B6458" s="1">
        <v>215778790</v>
      </c>
      <c r="C6458" t="s">
        <v>4796</v>
      </c>
      <c r="D6458" s="44">
        <v>-4886.8</v>
      </c>
      <c r="E6458" t="s">
        <v>35</v>
      </c>
      <c r="F6458" s="2">
        <v>212901001</v>
      </c>
      <c r="G6458" s="2" t="s">
        <v>91</v>
      </c>
      <c r="I6458" s="95" t="s">
        <v>7231</v>
      </c>
      <c r="J6458" t="s">
        <v>61</v>
      </c>
      <c r="K6458" t="s">
        <v>62</v>
      </c>
      <c r="M6458">
        <v>122.84</v>
      </c>
      <c r="N6458" s="4">
        <f t="shared" si="100"/>
        <v>-39.781830022793876</v>
      </c>
      <c r="O6458" t="s">
        <v>83</v>
      </c>
      <c r="R6458">
        <v>2</v>
      </c>
      <c r="S6458" t="e">
        <f>VLOOKUP(Tabla3[[#This Row],[Nº]],[1]!NOMINA[#Data],4,FALSE)</f>
        <v>#REF!</v>
      </c>
      <c r="T6458" t="e">
        <f>VLOOKUP(Tabla3[[#This Row],[Nº]],[1]!NOMINA[#Data],5,FALSE)</f>
        <v>#REF!</v>
      </c>
    </row>
    <row r="6459" spans="1:20" x14ac:dyDescent="0.25">
      <c r="A6459" s="22">
        <v>45867</v>
      </c>
      <c r="B6459" s="1">
        <v>215778791</v>
      </c>
      <c r="C6459" t="s">
        <v>4853</v>
      </c>
      <c r="D6459" s="44">
        <v>-4886.8</v>
      </c>
      <c r="E6459" t="s">
        <v>35</v>
      </c>
      <c r="F6459" s="2">
        <v>212901001</v>
      </c>
      <c r="G6459" s="2" t="s">
        <v>91</v>
      </c>
      <c r="I6459" s="95" t="s">
        <v>7231</v>
      </c>
      <c r="J6459" t="s">
        <v>61</v>
      </c>
      <c r="K6459" t="s">
        <v>62</v>
      </c>
      <c r="M6459">
        <v>122.84</v>
      </c>
      <c r="N6459" s="4">
        <f t="shared" si="100"/>
        <v>-39.781830022793876</v>
      </c>
      <c r="O6459" t="s">
        <v>83</v>
      </c>
      <c r="R6459">
        <v>31</v>
      </c>
      <c r="S6459" t="e">
        <f>VLOOKUP(Tabla3[[#This Row],[Nº]],[1]!NOMINA[#Data],4,FALSE)</f>
        <v>#REF!</v>
      </c>
      <c r="T6459" t="e">
        <f>VLOOKUP(R6459,[1]!NOMINA[#Data],5,FALSE)</f>
        <v>#REF!</v>
      </c>
    </row>
    <row r="6460" spans="1:20" x14ac:dyDescent="0.25">
      <c r="A6460" s="22">
        <v>45867</v>
      </c>
      <c r="B6460" s="1">
        <v>315778792</v>
      </c>
      <c r="C6460" t="s">
        <v>4854</v>
      </c>
      <c r="D6460" s="44">
        <v>-4886.8</v>
      </c>
      <c r="E6460" t="s">
        <v>35</v>
      </c>
      <c r="F6460" s="2">
        <v>212901001</v>
      </c>
      <c r="G6460" s="2" t="s">
        <v>91</v>
      </c>
      <c r="I6460" s="95" t="s">
        <v>7231</v>
      </c>
      <c r="J6460" t="s">
        <v>61</v>
      </c>
      <c r="K6460" t="s">
        <v>62</v>
      </c>
      <c r="M6460">
        <v>122.84</v>
      </c>
      <c r="N6460" s="4">
        <f t="shared" si="100"/>
        <v>-39.781830022793876</v>
      </c>
      <c r="O6460" t="s">
        <v>83</v>
      </c>
      <c r="R6460">
        <v>28</v>
      </c>
      <c r="S6460" t="e">
        <f>VLOOKUP(Tabla3[[#This Row],[Nº]],[1]!NOMINA[#Data],4,FALSE)</f>
        <v>#REF!</v>
      </c>
      <c r="T6460" t="e">
        <f>VLOOKUP(R6460,[1]!NOMINA[#Data],5,FALSE)</f>
        <v>#REF!</v>
      </c>
    </row>
    <row r="6461" spans="1:20" x14ac:dyDescent="0.25">
      <c r="A6461" s="22">
        <v>45867</v>
      </c>
      <c r="B6461" s="1">
        <v>315778794</v>
      </c>
      <c r="C6461" t="s">
        <v>4855</v>
      </c>
      <c r="D6461" s="44">
        <v>-4886.8</v>
      </c>
      <c r="E6461" t="s">
        <v>35</v>
      </c>
      <c r="F6461" s="2">
        <v>212901001</v>
      </c>
      <c r="G6461" s="2" t="s">
        <v>91</v>
      </c>
      <c r="I6461" s="95" t="s">
        <v>7231</v>
      </c>
      <c r="J6461" t="s">
        <v>61</v>
      </c>
      <c r="K6461" t="s">
        <v>62</v>
      </c>
      <c r="M6461">
        <v>122.84</v>
      </c>
      <c r="N6461" s="4">
        <f t="shared" si="100"/>
        <v>-39.781830022793876</v>
      </c>
      <c r="O6461" t="s">
        <v>83</v>
      </c>
      <c r="R6461">
        <v>22</v>
      </c>
      <c r="S6461" t="e">
        <f>VLOOKUP(Tabla3[[#This Row],[Nº]],[1]!NOMINA[#Data],4,FALSE)</f>
        <v>#REF!</v>
      </c>
      <c r="T6461" t="e">
        <f>VLOOKUP(R6461,[1]!NOMINA[#Data],5,FALSE)</f>
        <v>#REF!</v>
      </c>
    </row>
    <row r="6462" spans="1:20" x14ac:dyDescent="0.25">
      <c r="A6462" s="22">
        <v>45867</v>
      </c>
      <c r="B6462" s="1">
        <v>315778795</v>
      </c>
      <c r="C6462" t="s">
        <v>4856</v>
      </c>
      <c r="D6462" s="44">
        <v>-4886.8</v>
      </c>
      <c r="E6462" t="s">
        <v>35</v>
      </c>
      <c r="F6462" s="2">
        <v>212901001</v>
      </c>
      <c r="G6462" s="2" t="s">
        <v>91</v>
      </c>
      <c r="I6462" s="95" t="s">
        <v>7231</v>
      </c>
      <c r="J6462" t="s">
        <v>61</v>
      </c>
      <c r="K6462" t="s">
        <v>62</v>
      </c>
      <c r="M6462">
        <v>122.84</v>
      </c>
      <c r="N6462" s="4">
        <f t="shared" si="100"/>
        <v>-39.781830022793876</v>
      </c>
      <c r="O6462" t="s">
        <v>83</v>
      </c>
      <c r="R6462">
        <v>23</v>
      </c>
      <c r="S6462" t="e">
        <f>VLOOKUP(Tabla3[[#This Row],[Nº]],[1]!NOMINA[#Data],4,FALSE)</f>
        <v>#REF!</v>
      </c>
      <c r="T6462" t="e">
        <f>VLOOKUP(R6462,[1]!NOMINA[#Data],5,FALSE)</f>
        <v>#REF!</v>
      </c>
    </row>
    <row r="6463" spans="1:20" x14ac:dyDescent="0.25">
      <c r="A6463" s="22">
        <v>45867</v>
      </c>
      <c r="B6463" s="1">
        <v>315778796</v>
      </c>
      <c r="C6463" t="s">
        <v>4857</v>
      </c>
      <c r="D6463" s="44">
        <v>-4886.8</v>
      </c>
      <c r="E6463" t="s">
        <v>35</v>
      </c>
      <c r="F6463" s="2">
        <v>212901001</v>
      </c>
      <c r="G6463" s="2" t="s">
        <v>91</v>
      </c>
      <c r="I6463" s="95" t="s">
        <v>7231</v>
      </c>
      <c r="J6463" t="s">
        <v>61</v>
      </c>
      <c r="K6463" t="s">
        <v>62</v>
      </c>
      <c r="M6463">
        <v>122.84</v>
      </c>
      <c r="N6463" s="4">
        <f t="shared" si="100"/>
        <v>-39.781830022793876</v>
      </c>
      <c r="O6463" t="s">
        <v>83</v>
      </c>
      <c r="R6463">
        <v>19</v>
      </c>
      <c r="S6463" t="e">
        <f>VLOOKUP(Tabla3[[#This Row],[Nº]],[1]!NOMINA[#Data],4,FALSE)</f>
        <v>#REF!</v>
      </c>
      <c r="T6463" t="e">
        <f>VLOOKUP(R6463,[1]!NOMINA[#Data],5,FALSE)</f>
        <v>#REF!</v>
      </c>
    </row>
    <row r="6464" spans="1:20" x14ac:dyDescent="0.25">
      <c r="A6464" s="22">
        <v>45867</v>
      </c>
      <c r="B6464" s="1">
        <v>315778797</v>
      </c>
      <c r="C6464" t="s">
        <v>4858</v>
      </c>
      <c r="D6464" s="44">
        <v>-4886.8</v>
      </c>
      <c r="E6464" t="s">
        <v>35</v>
      </c>
      <c r="F6464" s="2">
        <v>212901001</v>
      </c>
      <c r="G6464" s="2" t="s">
        <v>91</v>
      </c>
      <c r="I6464" s="95" t="s">
        <v>7231</v>
      </c>
      <c r="J6464" t="s">
        <v>61</v>
      </c>
      <c r="K6464" t="s">
        <v>62</v>
      </c>
      <c r="M6464">
        <v>122.84</v>
      </c>
      <c r="N6464" s="4">
        <f t="shared" si="100"/>
        <v>-39.781830022793876</v>
      </c>
      <c r="O6464" t="s">
        <v>83</v>
      </c>
      <c r="R6464">
        <v>17</v>
      </c>
      <c r="S6464" t="e">
        <f>VLOOKUP(Tabla3[[#This Row],[Nº]],[1]!NOMINA[#Data],4,FALSE)</f>
        <v>#REF!</v>
      </c>
      <c r="T6464" t="e">
        <f>VLOOKUP(R6464,[1]!NOMINA[#Data],5,FALSE)</f>
        <v>#REF!</v>
      </c>
    </row>
    <row r="6465" spans="1:20" x14ac:dyDescent="0.25">
      <c r="A6465" s="22">
        <v>45867</v>
      </c>
      <c r="B6465" s="1">
        <v>315778800</v>
      </c>
      <c r="C6465" t="s">
        <v>4859</v>
      </c>
      <c r="D6465" s="44">
        <v>-4886.8</v>
      </c>
      <c r="E6465" t="s">
        <v>35</v>
      </c>
      <c r="F6465" s="2">
        <v>212901001</v>
      </c>
      <c r="G6465" s="2" t="s">
        <v>91</v>
      </c>
      <c r="I6465" s="95" t="s">
        <v>7231</v>
      </c>
      <c r="J6465" t="s">
        <v>61</v>
      </c>
      <c r="K6465" t="s">
        <v>62</v>
      </c>
      <c r="M6465">
        <v>122.84</v>
      </c>
      <c r="N6465" s="4">
        <f t="shared" si="100"/>
        <v>-39.781830022793876</v>
      </c>
      <c r="O6465" t="s">
        <v>83</v>
      </c>
      <c r="R6465">
        <v>15</v>
      </c>
      <c r="S6465" t="e">
        <f>VLOOKUP(Tabla3[[#This Row],[Nº]],[1]!NOMINA[#Data],4,FALSE)</f>
        <v>#REF!</v>
      </c>
      <c r="T6465" t="e">
        <f>VLOOKUP(R6465,[1]!NOMINA[#Data],5,FALSE)</f>
        <v>#REF!</v>
      </c>
    </row>
    <row r="6466" spans="1:20" x14ac:dyDescent="0.25">
      <c r="A6466" s="22">
        <v>45867</v>
      </c>
      <c r="B6466" s="1">
        <v>315778801</v>
      </c>
      <c r="C6466" t="s">
        <v>4860</v>
      </c>
      <c r="D6466" s="44">
        <v>-4886.8</v>
      </c>
      <c r="E6466" t="s">
        <v>35</v>
      </c>
      <c r="F6466" s="2">
        <v>212901001</v>
      </c>
      <c r="G6466" s="2" t="s">
        <v>91</v>
      </c>
      <c r="I6466" s="95" t="s">
        <v>7231</v>
      </c>
      <c r="J6466" t="s">
        <v>61</v>
      </c>
      <c r="K6466" t="s">
        <v>62</v>
      </c>
      <c r="M6466">
        <v>122.84</v>
      </c>
      <c r="N6466" s="4">
        <f t="shared" si="100"/>
        <v>-39.781830022793876</v>
      </c>
      <c r="O6466" t="s">
        <v>83</v>
      </c>
      <c r="R6466">
        <v>14</v>
      </c>
      <c r="S6466" t="e">
        <f>VLOOKUP(Tabla3[[#This Row],[Nº]],[1]!NOMINA[#Data],4,FALSE)</f>
        <v>#REF!</v>
      </c>
      <c r="T6466" t="e">
        <f>VLOOKUP(R6466,[1]!NOMINA[#Data],5,FALSE)</f>
        <v>#REF!</v>
      </c>
    </row>
    <row r="6467" spans="1:20" x14ac:dyDescent="0.25">
      <c r="A6467" s="22">
        <v>45867</v>
      </c>
      <c r="B6467" s="1">
        <v>415778802</v>
      </c>
      <c r="C6467" t="s">
        <v>4861</v>
      </c>
      <c r="D6467" s="44">
        <v>-4886.8</v>
      </c>
      <c r="E6467" t="s">
        <v>35</v>
      </c>
      <c r="F6467" s="2">
        <v>212901001</v>
      </c>
      <c r="G6467" s="2" t="s">
        <v>91</v>
      </c>
      <c r="I6467" s="95" t="s">
        <v>7231</v>
      </c>
      <c r="J6467" t="s">
        <v>61</v>
      </c>
      <c r="K6467" t="s">
        <v>62</v>
      </c>
      <c r="M6467">
        <v>122.84</v>
      </c>
      <c r="N6467" s="4">
        <f t="shared" si="100"/>
        <v>-39.781830022793876</v>
      </c>
      <c r="O6467" t="s">
        <v>83</v>
      </c>
      <c r="R6467">
        <v>26</v>
      </c>
      <c r="S6467" t="e">
        <f>VLOOKUP(Tabla3[[#This Row],[Nº]],[1]!NOMINA[#Data],4,FALSE)</f>
        <v>#REF!</v>
      </c>
      <c r="T6467" t="e">
        <f>VLOOKUP(Tabla3[[#This Row],[Nº]],[1]!NOMINA[#Data],5,FALSE)</f>
        <v>#REF!</v>
      </c>
    </row>
    <row r="6468" spans="1:20" x14ac:dyDescent="0.25">
      <c r="A6468" s="22">
        <v>45867</v>
      </c>
      <c r="B6468" s="1">
        <v>315778798</v>
      </c>
      <c r="C6468" t="s">
        <v>4862</v>
      </c>
      <c r="D6468" s="44">
        <v>-4886.8</v>
      </c>
      <c r="E6468" t="s">
        <v>35</v>
      </c>
      <c r="F6468" s="2">
        <v>212901001</v>
      </c>
      <c r="G6468" s="2" t="s">
        <v>91</v>
      </c>
      <c r="I6468" s="95" t="s">
        <v>7231</v>
      </c>
      <c r="J6468" t="s">
        <v>61</v>
      </c>
      <c r="K6468" t="s">
        <v>62</v>
      </c>
      <c r="M6468">
        <v>122.84</v>
      </c>
      <c r="N6468" s="4">
        <f t="shared" si="100"/>
        <v>-39.781830022793876</v>
      </c>
      <c r="O6468" t="s">
        <v>83</v>
      </c>
      <c r="R6468">
        <v>8</v>
      </c>
      <c r="S6468" t="e">
        <f>VLOOKUP(Tabla3[[#This Row],[Nº]],[1]!NOMINA[#Data],4,FALSE)</f>
        <v>#REF!</v>
      </c>
      <c r="T6468" t="e">
        <f>VLOOKUP(R6468,[1]!NOMINA[#Data],5,FALSE)</f>
        <v>#REF!</v>
      </c>
    </row>
    <row r="6469" spans="1:20" x14ac:dyDescent="0.25">
      <c r="A6469" s="22">
        <v>45867</v>
      </c>
      <c r="B6469" s="1">
        <v>315778799</v>
      </c>
      <c r="C6469" t="s">
        <v>4863</v>
      </c>
      <c r="D6469" s="44">
        <v>-4886.8</v>
      </c>
      <c r="E6469" t="s">
        <v>35</v>
      </c>
      <c r="F6469" s="2">
        <v>212901001</v>
      </c>
      <c r="G6469" s="2" t="s">
        <v>91</v>
      </c>
      <c r="I6469" s="95" t="s">
        <v>7231</v>
      </c>
      <c r="J6469" t="s">
        <v>61</v>
      </c>
      <c r="K6469" t="s">
        <v>62</v>
      </c>
      <c r="M6469">
        <v>122.84</v>
      </c>
      <c r="N6469" s="4">
        <f t="shared" si="100"/>
        <v>-39.781830022793876</v>
      </c>
      <c r="O6469" t="s">
        <v>83</v>
      </c>
      <c r="R6469">
        <v>13</v>
      </c>
      <c r="S6469" t="e">
        <f>VLOOKUP(Tabla3[[#This Row],[Nº]],[1]!NOMINA[#Data],4,FALSE)</f>
        <v>#REF!</v>
      </c>
      <c r="T6469" t="e">
        <f>VLOOKUP(R6469,[1]!NOMINA[#Data],5,FALSE)</f>
        <v>#REF!</v>
      </c>
    </row>
    <row r="6470" spans="1:20" x14ac:dyDescent="0.25">
      <c r="A6470" s="22">
        <v>45867</v>
      </c>
      <c r="B6470" s="1">
        <v>415778803</v>
      </c>
      <c r="C6470" t="s">
        <v>4803</v>
      </c>
      <c r="D6470" s="44">
        <v>-4886.8</v>
      </c>
      <c r="E6470" t="s">
        <v>35</v>
      </c>
      <c r="F6470" s="2">
        <v>212901001</v>
      </c>
      <c r="G6470" s="2" t="s">
        <v>91</v>
      </c>
      <c r="I6470" s="95" t="s">
        <v>7231</v>
      </c>
      <c r="J6470" t="s">
        <v>61</v>
      </c>
      <c r="K6470" t="s">
        <v>62</v>
      </c>
      <c r="M6470">
        <v>122.84</v>
      </c>
      <c r="N6470" s="4">
        <f t="shared" si="100"/>
        <v>-39.781830022793876</v>
      </c>
      <c r="O6470" t="s">
        <v>83</v>
      </c>
      <c r="R6470">
        <v>1</v>
      </c>
      <c r="S6470" t="e">
        <f>VLOOKUP(R6470,[1]!NOMINA[#Data],4,FALSE)</f>
        <v>#REF!</v>
      </c>
      <c r="T6470" t="e">
        <f>VLOOKUP(R6470,[1]!NOMINA[#Data],5,FALSE)</f>
        <v>#REF!</v>
      </c>
    </row>
    <row r="6471" spans="1:20" x14ac:dyDescent="0.25">
      <c r="A6471" s="22">
        <v>45867</v>
      </c>
      <c r="B6471" s="1">
        <v>415778804</v>
      </c>
      <c r="C6471" t="s">
        <v>4864</v>
      </c>
      <c r="D6471" s="44">
        <v>-4886.8</v>
      </c>
      <c r="E6471" t="s">
        <v>35</v>
      </c>
      <c r="F6471" s="2">
        <v>212901001</v>
      </c>
      <c r="G6471" s="2" t="s">
        <v>91</v>
      </c>
      <c r="I6471" s="95" t="s">
        <v>7231</v>
      </c>
      <c r="J6471" t="s">
        <v>61</v>
      </c>
      <c r="K6471" t="s">
        <v>62</v>
      </c>
      <c r="M6471">
        <v>122.84</v>
      </c>
      <c r="N6471" s="4">
        <f t="shared" si="100"/>
        <v>-39.781830022793876</v>
      </c>
      <c r="O6471" t="s">
        <v>83</v>
      </c>
      <c r="R6471">
        <v>20</v>
      </c>
      <c r="S6471" t="e">
        <f>VLOOKUP(Tabla3[[#This Row],[Nº]],[1]!NOMINA[#Data],4,FALSE)</f>
        <v>#REF!</v>
      </c>
      <c r="T6471" t="e">
        <f>VLOOKUP(R6471,[1]!NOMINA[#Data],5,FALSE)</f>
        <v>#REF!</v>
      </c>
    </row>
    <row r="6472" spans="1:20" x14ac:dyDescent="0.25">
      <c r="A6472" s="22">
        <v>45867</v>
      </c>
      <c r="B6472" s="1">
        <v>415778806</v>
      </c>
      <c r="C6472" t="s">
        <v>4865</v>
      </c>
      <c r="D6472" s="44">
        <v>-4886.8</v>
      </c>
      <c r="E6472" t="s">
        <v>35</v>
      </c>
      <c r="F6472" s="2">
        <v>212901001</v>
      </c>
      <c r="G6472" s="2" t="s">
        <v>91</v>
      </c>
      <c r="I6472" s="95" t="s">
        <v>7231</v>
      </c>
      <c r="J6472" t="s">
        <v>61</v>
      </c>
      <c r="K6472" t="s">
        <v>62</v>
      </c>
      <c r="M6472">
        <v>122.84</v>
      </c>
      <c r="N6472" s="4">
        <f t="shared" si="100"/>
        <v>-39.781830022793876</v>
      </c>
      <c r="O6472" t="s">
        <v>83</v>
      </c>
      <c r="R6472">
        <v>12</v>
      </c>
      <c r="S6472" t="e">
        <f>VLOOKUP(Tabla3[[#This Row],[Nº]],[1]!NOMINA[#Data],4,FALSE)</f>
        <v>#REF!</v>
      </c>
      <c r="T6472" t="e">
        <f>VLOOKUP(R6472,[1]!NOMINA[#Data],5,FALSE)</f>
        <v>#REF!</v>
      </c>
    </row>
    <row r="6473" spans="1:20" x14ac:dyDescent="0.25">
      <c r="A6473" s="22">
        <v>45867</v>
      </c>
      <c r="B6473" s="1">
        <v>415778805</v>
      </c>
      <c r="C6473" t="s">
        <v>4866</v>
      </c>
      <c r="D6473" s="44">
        <v>-4886.8</v>
      </c>
      <c r="E6473" t="s">
        <v>35</v>
      </c>
      <c r="F6473" s="2">
        <v>212901001</v>
      </c>
      <c r="G6473" s="2" t="s">
        <v>91</v>
      </c>
      <c r="I6473" s="95" t="s">
        <v>7231</v>
      </c>
      <c r="J6473" t="s">
        <v>61</v>
      </c>
      <c r="K6473" t="s">
        <v>62</v>
      </c>
      <c r="M6473">
        <v>122.84</v>
      </c>
      <c r="N6473" s="4">
        <f t="shared" si="100"/>
        <v>-39.781830022793876</v>
      </c>
      <c r="O6473" t="s">
        <v>83</v>
      </c>
      <c r="R6473">
        <v>4</v>
      </c>
      <c r="S6473" t="e">
        <f>VLOOKUP(Tabla3[[#This Row],[Nº]],[1]!NOMINA[#Data],4,FALSE)</f>
        <v>#REF!</v>
      </c>
      <c r="T6473" t="e">
        <f>VLOOKUP(R6473,[1]!NOMINA[#Data],5,FALSE)</f>
        <v>#REF!</v>
      </c>
    </row>
    <row r="6474" spans="1:20" x14ac:dyDescent="0.25">
      <c r="A6474" s="22">
        <v>45867</v>
      </c>
      <c r="B6474" s="1">
        <v>415778807</v>
      </c>
      <c r="C6474" t="s">
        <v>4867</v>
      </c>
      <c r="D6474" s="44">
        <v>-4886.8</v>
      </c>
      <c r="E6474" t="s">
        <v>35</v>
      </c>
      <c r="F6474" s="2">
        <v>212901001</v>
      </c>
      <c r="G6474" s="2" t="s">
        <v>91</v>
      </c>
      <c r="I6474" s="95" t="s">
        <v>7231</v>
      </c>
      <c r="J6474" t="s">
        <v>61</v>
      </c>
      <c r="K6474" t="s">
        <v>62</v>
      </c>
      <c r="M6474">
        <v>122.84</v>
      </c>
      <c r="N6474" s="4">
        <f t="shared" si="100"/>
        <v>-39.781830022793876</v>
      </c>
      <c r="O6474" t="s">
        <v>83</v>
      </c>
      <c r="R6474">
        <v>33</v>
      </c>
      <c r="S6474" t="e">
        <f>VLOOKUP(R6474,[1]!NOMINA[#Data],4,FALSE)</f>
        <v>#REF!</v>
      </c>
      <c r="T6474" t="e">
        <f>VLOOKUP(R6474,[1]!NOMINA[#Data],5,FALSE)</f>
        <v>#REF!</v>
      </c>
    </row>
    <row r="6475" spans="1:20" x14ac:dyDescent="0.25">
      <c r="A6475" s="22">
        <v>45867</v>
      </c>
      <c r="B6475" s="1">
        <v>415778809</v>
      </c>
      <c r="C6475" t="s">
        <v>4868</v>
      </c>
      <c r="D6475" s="44">
        <v>-4886.8</v>
      </c>
      <c r="E6475" t="s">
        <v>35</v>
      </c>
      <c r="F6475" s="2">
        <v>212901001</v>
      </c>
      <c r="G6475" s="2" t="s">
        <v>91</v>
      </c>
      <c r="I6475" s="95" t="s">
        <v>7231</v>
      </c>
      <c r="J6475" t="s">
        <v>61</v>
      </c>
      <c r="K6475" t="s">
        <v>62</v>
      </c>
      <c r="M6475">
        <v>122.84</v>
      </c>
      <c r="N6475" s="4">
        <f t="shared" si="100"/>
        <v>-39.781830022793876</v>
      </c>
      <c r="O6475" t="s">
        <v>83</v>
      </c>
      <c r="R6475">
        <v>34</v>
      </c>
      <c r="S6475" t="e">
        <f>VLOOKUP(R6475,[1]!NOMINA[#Data],4,FALSE)</f>
        <v>#REF!</v>
      </c>
      <c r="T6475" t="e">
        <f>VLOOKUP(R6475,[1]!NOMINA[#Data],5,FALSE)</f>
        <v>#REF!</v>
      </c>
    </row>
    <row r="6476" spans="1:20" x14ac:dyDescent="0.25">
      <c r="A6476" s="22">
        <v>45867</v>
      </c>
      <c r="B6476" s="1">
        <v>415778808</v>
      </c>
      <c r="C6476" t="s">
        <v>4869</v>
      </c>
      <c r="D6476" s="44">
        <v>-4886.8</v>
      </c>
      <c r="E6476" t="s">
        <v>35</v>
      </c>
      <c r="F6476" s="2">
        <v>212901001</v>
      </c>
      <c r="G6476" s="2" t="s">
        <v>91</v>
      </c>
      <c r="I6476" s="95" t="s">
        <v>7231</v>
      </c>
      <c r="J6476" t="s">
        <v>61</v>
      </c>
      <c r="K6476" t="s">
        <v>62</v>
      </c>
      <c r="M6476">
        <v>122.84</v>
      </c>
      <c r="N6476" s="4">
        <f t="shared" ref="N6476:N6539" si="101">D6476/M6476</f>
        <v>-39.781830022793876</v>
      </c>
      <c r="O6476" t="s">
        <v>83</v>
      </c>
      <c r="R6476">
        <v>16</v>
      </c>
      <c r="S6476" t="e">
        <f>VLOOKUP(Tabla3[[#This Row],[Nº]],[1]!NOMINA[#Data],4,FALSE)</f>
        <v>#REF!</v>
      </c>
      <c r="T6476" t="e">
        <f>VLOOKUP(Tabla3[[#This Row],[Nº]],[1]!NOMINA[#Data],5,FALSE)</f>
        <v>#REF!</v>
      </c>
    </row>
    <row r="6477" spans="1:20" x14ac:dyDescent="0.25">
      <c r="A6477" s="22">
        <v>45867</v>
      </c>
      <c r="B6477" s="1">
        <v>515778810</v>
      </c>
      <c r="C6477" t="s">
        <v>4870</v>
      </c>
      <c r="D6477" s="44">
        <v>-4886.8</v>
      </c>
      <c r="E6477" t="s">
        <v>35</v>
      </c>
      <c r="F6477" s="2">
        <v>212901001</v>
      </c>
      <c r="G6477" s="2" t="s">
        <v>91</v>
      </c>
      <c r="I6477" s="95" t="s">
        <v>7231</v>
      </c>
      <c r="J6477" t="s">
        <v>61</v>
      </c>
      <c r="K6477" t="s">
        <v>62</v>
      </c>
      <c r="M6477">
        <v>122.84</v>
      </c>
      <c r="N6477" s="4">
        <f t="shared" si="101"/>
        <v>-39.781830022793876</v>
      </c>
      <c r="O6477" t="s">
        <v>83</v>
      </c>
      <c r="R6477">
        <v>6</v>
      </c>
      <c r="S6477" t="e">
        <f>VLOOKUP(Tabla3[[#This Row],[Nº]],[1]!NOMINA[#Data],4,FALSE)</f>
        <v>#REF!</v>
      </c>
      <c r="T6477" t="e">
        <f>VLOOKUP(R6477,[1]!NOMINA[#Data],5,FALSE)</f>
        <v>#REF!</v>
      </c>
    </row>
    <row r="6478" spans="1:20" x14ac:dyDescent="0.25">
      <c r="A6478" s="22">
        <v>45867</v>
      </c>
      <c r="B6478" s="1">
        <v>515778811</v>
      </c>
      <c r="C6478" t="s">
        <v>4871</v>
      </c>
      <c r="D6478" s="44">
        <v>-4886.8</v>
      </c>
      <c r="E6478" t="s">
        <v>35</v>
      </c>
      <c r="F6478" s="2">
        <v>212901001</v>
      </c>
      <c r="G6478" s="2" t="s">
        <v>91</v>
      </c>
      <c r="I6478" s="95" t="s">
        <v>7231</v>
      </c>
      <c r="J6478" t="s">
        <v>61</v>
      </c>
      <c r="K6478" t="s">
        <v>62</v>
      </c>
      <c r="M6478">
        <v>122.84</v>
      </c>
      <c r="N6478" s="4">
        <f t="shared" si="101"/>
        <v>-39.781830022793876</v>
      </c>
      <c r="O6478" t="s">
        <v>83</v>
      </c>
      <c r="R6478">
        <v>3</v>
      </c>
      <c r="S6478" t="e">
        <f>VLOOKUP(Tabla3[[#This Row],[Nº]],[1]!NOMINA[#Data],4,FALSE)</f>
        <v>#REF!</v>
      </c>
      <c r="T6478" t="e">
        <f>VLOOKUP(R6478,[1]!NOMINA[#Data],5,FALSE)</f>
        <v>#REF!</v>
      </c>
    </row>
    <row r="6479" spans="1:20" x14ac:dyDescent="0.25">
      <c r="A6479" s="22">
        <v>45867</v>
      </c>
      <c r="B6479" s="1">
        <v>515778812</v>
      </c>
      <c r="C6479" t="s">
        <v>4872</v>
      </c>
      <c r="D6479" s="44">
        <v>-4886.8</v>
      </c>
      <c r="E6479" t="s">
        <v>35</v>
      </c>
      <c r="F6479" s="2">
        <v>212901001</v>
      </c>
      <c r="G6479" s="2" t="s">
        <v>91</v>
      </c>
      <c r="I6479" s="95" t="s">
        <v>7231</v>
      </c>
      <c r="J6479" t="s">
        <v>61</v>
      </c>
      <c r="K6479" t="s">
        <v>62</v>
      </c>
      <c r="M6479">
        <v>122.84</v>
      </c>
      <c r="N6479" s="4">
        <f t="shared" si="101"/>
        <v>-39.781830022793876</v>
      </c>
      <c r="O6479" t="s">
        <v>83</v>
      </c>
      <c r="R6479">
        <v>24</v>
      </c>
      <c r="S6479" t="e">
        <f>VLOOKUP(Tabla3[[#This Row],[Nº]],[1]!NOMINA[#Data],4,FALSE)</f>
        <v>#REF!</v>
      </c>
      <c r="T6479" t="e">
        <f>VLOOKUP(R6479,[1]!NOMINA[#Data],5,FALSE)</f>
        <v>#REF!</v>
      </c>
    </row>
    <row r="6480" spans="1:20" x14ac:dyDescent="0.25">
      <c r="A6480" s="22">
        <v>45867</v>
      </c>
      <c r="B6480" s="1">
        <v>515778813</v>
      </c>
      <c r="C6480" t="s">
        <v>4873</v>
      </c>
      <c r="D6480" s="44">
        <v>-4886.8</v>
      </c>
      <c r="E6480" t="s">
        <v>35</v>
      </c>
      <c r="F6480" s="2">
        <v>212901001</v>
      </c>
      <c r="G6480" s="2" t="s">
        <v>91</v>
      </c>
      <c r="I6480" s="95" t="s">
        <v>7231</v>
      </c>
      <c r="J6480" t="s">
        <v>61</v>
      </c>
      <c r="K6480" t="s">
        <v>62</v>
      </c>
      <c r="M6480">
        <v>122.84</v>
      </c>
      <c r="N6480" s="4">
        <f t="shared" si="101"/>
        <v>-39.781830022793876</v>
      </c>
      <c r="O6480" t="s">
        <v>83</v>
      </c>
      <c r="R6480">
        <v>5</v>
      </c>
      <c r="S6480" t="e">
        <f>VLOOKUP(Tabla3[[#This Row],[Nº]],[1]!NOMINA[#Data],4,FALSE)</f>
        <v>#REF!</v>
      </c>
      <c r="T6480" t="e">
        <f>VLOOKUP(R6480,[1]!NOMINA[#Data],5,FALSE)</f>
        <v>#REF!</v>
      </c>
    </row>
    <row r="6481" spans="1:20" x14ac:dyDescent="0.25">
      <c r="A6481" s="22">
        <v>45867</v>
      </c>
      <c r="B6481" s="1">
        <v>515778814</v>
      </c>
      <c r="C6481" t="s">
        <v>4874</v>
      </c>
      <c r="D6481" s="44">
        <v>-4886.8</v>
      </c>
      <c r="E6481" t="s">
        <v>35</v>
      </c>
      <c r="F6481" s="2">
        <v>212901001</v>
      </c>
      <c r="G6481" s="2" t="s">
        <v>91</v>
      </c>
      <c r="I6481" s="95" t="s">
        <v>7231</v>
      </c>
      <c r="J6481" t="s">
        <v>61</v>
      </c>
      <c r="K6481" t="s">
        <v>62</v>
      </c>
      <c r="M6481">
        <v>122.84</v>
      </c>
      <c r="N6481" s="4">
        <f t="shared" si="101"/>
        <v>-39.781830022793876</v>
      </c>
      <c r="O6481" t="s">
        <v>83</v>
      </c>
      <c r="R6481">
        <v>32</v>
      </c>
      <c r="S6481" t="e">
        <f>VLOOKUP(Tabla3[[#This Row],[Nº]],[1]!NOMINA[#Data],4,FALSE)</f>
        <v>#REF!</v>
      </c>
      <c r="T6481" t="e">
        <f>VLOOKUP(R6481,[1]!NOMINA[#Data],5,FALSE)</f>
        <v>#REF!</v>
      </c>
    </row>
    <row r="6482" spans="1:20" x14ac:dyDescent="0.25">
      <c r="A6482" s="22">
        <v>45867</v>
      </c>
      <c r="B6482" s="1">
        <v>515778815</v>
      </c>
      <c r="C6482" t="s">
        <v>4875</v>
      </c>
      <c r="D6482" s="44">
        <v>-4886.8</v>
      </c>
      <c r="E6482" t="s">
        <v>35</v>
      </c>
      <c r="F6482" s="2">
        <v>212901001</v>
      </c>
      <c r="G6482" s="2" t="s">
        <v>91</v>
      </c>
      <c r="I6482" s="95" t="s">
        <v>7231</v>
      </c>
      <c r="J6482" t="s">
        <v>61</v>
      </c>
      <c r="K6482" t="s">
        <v>62</v>
      </c>
      <c r="M6482">
        <v>122.84</v>
      </c>
      <c r="N6482" s="4">
        <f t="shared" si="101"/>
        <v>-39.781830022793876</v>
      </c>
      <c r="O6482" t="s">
        <v>83</v>
      </c>
      <c r="R6482">
        <v>30</v>
      </c>
      <c r="S6482" t="e">
        <f>VLOOKUP(Tabla3[[#This Row],[Nº]],[1]!NOMINA[#Data],4,FALSE)</f>
        <v>#REF!</v>
      </c>
      <c r="T6482" t="e">
        <f>VLOOKUP(R6482,[1]!NOMINA[#Data],5,FALSE)</f>
        <v>#REF!</v>
      </c>
    </row>
    <row r="6483" spans="1:20" x14ac:dyDescent="0.25">
      <c r="A6483" s="22">
        <v>45867</v>
      </c>
      <c r="B6483" s="1">
        <v>515778816</v>
      </c>
      <c r="C6483" t="s">
        <v>4876</v>
      </c>
      <c r="D6483" s="44">
        <v>-4886.8</v>
      </c>
      <c r="E6483" t="s">
        <v>35</v>
      </c>
      <c r="F6483" s="2">
        <v>212901001</v>
      </c>
      <c r="G6483" s="2" t="s">
        <v>91</v>
      </c>
      <c r="I6483" s="95" t="s">
        <v>7231</v>
      </c>
      <c r="J6483" t="s">
        <v>61</v>
      </c>
      <c r="K6483" t="s">
        <v>62</v>
      </c>
      <c r="M6483">
        <v>122.84</v>
      </c>
      <c r="N6483" s="4">
        <f t="shared" si="101"/>
        <v>-39.781830022793876</v>
      </c>
      <c r="O6483" t="s">
        <v>83</v>
      </c>
      <c r="R6483">
        <v>27</v>
      </c>
      <c r="S6483" t="e">
        <f>VLOOKUP(Tabla3[[#This Row],[Nº]],[1]!NOMINA[#Data],4,FALSE)</f>
        <v>#REF!</v>
      </c>
      <c r="T6483" t="e">
        <f>VLOOKUP(R6483,[1]!NOMINA[#Data],5,FALSE)</f>
        <v>#REF!</v>
      </c>
    </row>
    <row r="6484" spans="1:20" x14ac:dyDescent="0.25">
      <c r="A6484" s="22">
        <v>45867</v>
      </c>
      <c r="B6484" s="1">
        <v>515778818</v>
      </c>
      <c r="C6484" t="s">
        <v>4877</v>
      </c>
      <c r="D6484" s="44">
        <v>-4886.8</v>
      </c>
      <c r="E6484" t="s">
        <v>35</v>
      </c>
      <c r="F6484" s="2">
        <v>212901001</v>
      </c>
      <c r="G6484" s="2" t="s">
        <v>91</v>
      </c>
      <c r="I6484" s="95" t="s">
        <v>7231</v>
      </c>
      <c r="J6484" t="s">
        <v>61</v>
      </c>
      <c r="K6484" t="s">
        <v>62</v>
      </c>
      <c r="M6484">
        <v>122.84</v>
      </c>
      <c r="N6484" s="4">
        <f t="shared" si="101"/>
        <v>-39.781830022793876</v>
      </c>
      <c r="O6484" t="s">
        <v>83</v>
      </c>
      <c r="R6484">
        <v>21</v>
      </c>
      <c r="S6484" t="e">
        <f>VLOOKUP(Tabla3[[#This Row],[Nº]],[1]!NOMINA[#Data],4,FALSE)</f>
        <v>#REF!</v>
      </c>
      <c r="T6484" t="e">
        <f>VLOOKUP(R6484,[1]!NOMINA[#Data],5,FALSE)</f>
        <v>#REF!</v>
      </c>
    </row>
    <row r="6485" spans="1:20" x14ac:dyDescent="0.25">
      <c r="A6485" s="22">
        <v>45867</v>
      </c>
      <c r="B6485" s="1">
        <v>615778823</v>
      </c>
      <c r="C6485" t="s">
        <v>4878</v>
      </c>
      <c r="D6485" s="44">
        <v>-4886.8</v>
      </c>
      <c r="E6485" t="s">
        <v>35</v>
      </c>
      <c r="F6485" s="2">
        <v>212901001</v>
      </c>
      <c r="G6485" s="2" t="s">
        <v>91</v>
      </c>
      <c r="I6485" s="95" t="s">
        <v>7231</v>
      </c>
      <c r="J6485" t="s">
        <v>61</v>
      </c>
      <c r="K6485" t="s">
        <v>62</v>
      </c>
      <c r="M6485">
        <v>122.84</v>
      </c>
      <c r="N6485" s="4">
        <f t="shared" si="101"/>
        <v>-39.781830022793876</v>
      </c>
      <c r="O6485" t="s">
        <v>83</v>
      </c>
      <c r="R6485">
        <v>7</v>
      </c>
      <c r="S6485" t="e">
        <f>VLOOKUP(Tabla3[[#This Row],[Nº]],[1]!NOMINA[#Data],4,FALSE)</f>
        <v>#REF!</v>
      </c>
      <c r="T6485" t="e">
        <f>VLOOKUP(R6485,[1]!NOMINA[#Data],5,FALSE)</f>
        <v>#REF!</v>
      </c>
    </row>
    <row r="6486" spans="1:20" x14ac:dyDescent="0.25">
      <c r="A6486" s="22">
        <v>45867</v>
      </c>
      <c r="B6486" s="1">
        <v>615778822</v>
      </c>
      <c r="C6486" t="s">
        <v>4879</v>
      </c>
      <c r="D6486" s="44">
        <v>-4886.8</v>
      </c>
      <c r="E6486" t="s">
        <v>35</v>
      </c>
      <c r="F6486" s="2">
        <v>212901001</v>
      </c>
      <c r="G6486" s="2" t="s">
        <v>91</v>
      </c>
      <c r="I6486" s="95" t="s">
        <v>7231</v>
      </c>
      <c r="J6486" t="s">
        <v>61</v>
      </c>
      <c r="K6486" t="s">
        <v>62</v>
      </c>
      <c r="M6486">
        <v>122.84</v>
      </c>
      <c r="N6486" s="4">
        <f t="shared" si="101"/>
        <v>-39.781830022793876</v>
      </c>
      <c r="O6486" t="s">
        <v>83</v>
      </c>
      <c r="R6486">
        <v>35</v>
      </c>
      <c r="S6486" t="e">
        <f>VLOOKUP(Tabla3[[#This Row],[Nº]],[1]!NOMINA[#Data],4,FALSE)</f>
        <v>#REF!</v>
      </c>
      <c r="T6486" t="e">
        <f>VLOOKUP(R6486,[1]!NOMINA[#Data],5,FALSE)</f>
        <v>#REF!</v>
      </c>
    </row>
    <row r="6487" spans="1:20" x14ac:dyDescent="0.25">
      <c r="A6487" s="22">
        <v>45867</v>
      </c>
      <c r="B6487" s="1">
        <v>515778817</v>
      </c>
      <c r="C6487" t="s">
        <v>4880</v>
      </c>
      <c r="D6487" s="44">
        <v>-4886.8</v>
      </c>
      <c r="E6487" t="s">
        <v>35</v>
      </c>
      <c r="F6487" s="2">
        <v>212901001</v>
      </c>
      <c r="G6487" s="2" t="s">
        <v>91</v>
      </c>
      <c r="I6487" s="95" t="s">
        <v>7231</v>
      </c>
      <c r="J6487" t="s">
        <v>61</v>
      </c>
      <c r="K6487" t="s">
        <v>62</v>
      </c>
      <c r="M6487">
        <v>122.84</v>
      </c>
      <c r="N6487" s="4">
        <f t="shared" si="101"/>
        <v>-39.781830022793876</v>
      </c>
      <c r="O6487" t="s">
        <v>83</v>
      </c>
      <c r="R6487">
        <v>25</v>
      </c>
      <c r="S6487" t="e">
        <f>VLOOKUP(Tabla3[[#This Row],[Nº]],[1]!NOMINA[#Data],4,FALSE)</f>
        <v>#REF!</v>
      </c>
      <c r="T6487" t="e">
        <f>VLOOKUP(R6487,[1]!NOMINA[#Data],5,FALSE)</f>
        <v>#REF!</v>
      </c>
    </row>
    <row r="6488" spans="1:20" x14ac:dyDescent="0.25">
      <c r="A6488" s="22">
        <v>45867</v>
      </c>
      <c r="B6488" s="1">
        <v>615778825</v>
      </c>
      <c r="C6488" t="s">
        <v>4881</v>
      </c>
      <c r="D6488" s="44">
        <v>-4886.8</v>
      </c>
      <c r="E6488" t="s">
        <v>35</v>
      </c>
      <c r="F6488" s="2">
        <v>212901001</v>
      </c>
      <c r="G6488" s="2" t="s">
        <v>91</v>
      </c>
      <c r="I6488" s="95" t="s">
        <v>7231</v>
      </c>
      <c r="J6488" t="s">
        <v>61</v>
      </c>
      <c r="K6488" t="s">
        <v>62</v>
      </c>
      <c r="M6488">
        <v>122.84</v>
      </c>
      <c r="N6488" s="4">
        <f t="shared" si="101"/>
        <v>-39.781830022793876</v>
      </c>
      <c r="O6488" t="s">
        <v>83</v>
      </c>
      <c r="R6488">
        <v>11</v>
      </c>
      <c r="S6488" t="e">
        <f>VLOOKUP(Tabla3[[#This Row],[Nº]],[1]!NOMINA[#Data],4,FALSE)</f>
        <v>#REF!</v>
      </c>
      <c r="T6488" t="e">
        <f>VLOOKUP(R6488,[1]!NOMINA[#Data],5,FALSE)</f>
        <v>#REF!</v>
      </c>
    </row>
    <row r="6489" spans="1:20" x14ac:dyDescent="0.25">
      <c r="A6489" s="22">
        <v>45867</v>
      </c>
      <c r="B6489" s="1">
        <v>615778824</v>
      </c>
      <c r="C6489" t="s">
        <v>4882</v>
      </c>
      <c r="D6489" s="44">
        <v>-4886.8</v>
      </c>
      <c r="E6489" t="s">
        <v>35</v>
      </c>
      <c r="F6489" s="2">
        <v>212901001</v>
      </c>
      <c r="G6489" s="2" t="s">
        <v>91</v>
      </c>
      <c r="I6489" s="95" t="s">
        <v>7231</v>
      </c>
      <c r="J6489" t="s">
        <v>61</v>
      </c>
      <c r="K6489" t="s">
        <v>62</v>
      </c>
      <c r="M6489">
        <v>122.84</v>
      </c>
      <c r="N6489" s="4">
        <f t="shared" si="101"/>
        <v>-39.781830022793876</v>
      </c>
      <c r="O6489" t="s">
        <v>83</v>
      </c>
      <c r="R6489">
        <v>29</v>
      </c>
      <c r="S6489" t="e">
        <f>VLOOKUP(R6489,[1]!NOMINA[#Data],4,FALSE)</f>
        <v>#REF!</v>
      </c>
      <c r="T6489" t="e">
        <f>VLOOKUP(R6489,[1]!NOMINA[#Data],5,FALSE)</f>
        <v>#REF!</v>
      </c>
    </row>
    <row r="6490" spans="1:20" x14ac:dyDescent="0.25">
      <c r="A6490" s="22">
        <v>45867</v>
      </c>
      <c r="B6490" s="1">
        <v>615778820</v>
      </c>
      <c r="C6490" t="s">
        <v>4883</v>
      </c>
      <c r="D6490" s="44">
        <v>-4886.8</v>
      </c>
      <c r="E6490" t="s">
        <v>35</v>
      </c>
      <c r="F6490" s="2">
        <v>212901001</v>
      </c>
      <c r="G6490" s="2" t="s">
        <v>91</v>
      </c>
      <c r="I6490" s="95" t="s">
        <v>7231</v>
      </c>
      <c r="J6490" t="s">
        <v>61</v>
      </c>
      <c r="K6490" t="s">
        <v>62</v>
      </c>
      <c r="M6490">
        <v>122.84</v>
      </c>
      <c r="N6490" s="4">
        <f t="shared" si="101"/>
        <v>-39.781830022793876</v>
      </c>
      <c r="O6490" t="s">
        <v>83</v>
      </c>
      <c r="R6490">
        <v>10</v>
      </c>
      <c r="S6490" t="e">
        <f>VLOOKUP(Tabla3[[#This Row],[Nº]],[1]!NOMINA[#Data],4,FALSE)</f>
        <v>#REF!</v>
      </c>
      <c r="T6490" t="e">
        <f>VLOOKUP(R6490,[1]!NOMINA[#Data],5,FALSE)</f>
        <v>#REF!</v>
      </c>
    </row>
    <row r="6491" spans="1:20" x14ac:dyDescent="0.25">
      <c r="A6491" s="22">
        <v>45867</v>
      </c>
      <c r="B6491" s="1">
        <v>615778826</v>
      </c>
      <c r="C6491" t="s">
        <v>4884</v>
      </c>
      <c r="D6491" s="44">
        <v>-4886.8</v>
      </c>
      <c r="E6491" t="s">
        <v>35</v>
      </c>
      <c r="F6491" s="2">
        <v>212901001</v>
      </c>
      <c r="G6491" s="2" t="s">
        <v>91</v>
      </c>
      <c r="I6491" s="95" t="s">
        <v>7231</v>
      </c>
      <c r="J6491" t="s">
        <v>61</v>
      </c>
      <c r="K6491" t="s">
        <v>62</v>
      </c>
      <c r="M6491">
        <v>122.84</v>
      </c>
      <c r="N6491" s="4">
        <f t="shared" si="101"/>
        <v>-39.781830022793876</v>
      </c>
      <c r="O6491" t="s">
        <v>83</v>
      </c>
      <c r="R6491">
        <v>9</v>
      </c>
      <c r="S6491" t="e">
        <f>VLOOKUP(Tabla3[[#This Row],[Nº]],[1]!NOMINA[#Data],4,FALSE)</f>
        <v>#REF!</v>
      </c>
      <c r="T6491" t="e">
        <f>VLOOKUP(R6491,[1]!NOMINA[#Data],5,FALSE)</f>
        <v>#REF!</v>
      </c>
    </row>
    <row r="6492" spans="1:20" x14ac:dyDescent="0.25">
      <c r="A6492" s="22">
        <v>45867</v>
      </c>
      <c r="B6492" s="1">
        <v>615778827</v>
      </c>
      <c r="C6492" t="s">
        <v>4885</v>
      </c>
      <c r="D6492" s="44">
        <v>-4886.8</v>
      </c>
      <c r="E6492" t="s">
        <v>35</v>
      </c>
      <c r="F6492" s="2">
        <v>212901001</v>
      </c>
      <c r="G6492" s="2" t="s">
        <v>91</v>
      </c>
      <c r="I6492" s="95" t="s">
        <v>7231</v>
      </c>
      <c r="J6492" t="s">
        <v>61</v>
      </c>
      <c r="K6492" t="s">
        <v>62</v>
      </c>
      <c r="M6492">
        <v>122.84</v>
      </c>
      <c r="N6492" s="4">
        <f t="shared" si="101"/>
        <v>-39.781830022793876</v>
      </c>
      <c r="O6492" t="s">
        <v>83</v>
      </c>
      <c r="R6492">
        <v>18</v>
      </c>
      <c r="S6492" t="e">
        <f>VLOOKUP(Tabla3[[#This Row],[Nº]],[1]!NOMINA[#Data],4,FALSE)</f>
        <v>#REF!</v>
      </c>
      <c r="T6492" t="e">
        <f>VLOOKUP(Tabla3[[#This Row],[Nº]],[1]!NOMINA[#Data],5,FALSE)</f>
        <v>#REF!</v>
      </c>
    </row>
    <row r="6493" spans="1:20" x14ac:dyDescent="0.25">
      <c r="A6493" s="22">
        <v>45867</v>
      </c>
      <c r="B6493" s="1">
        <v>615778828</v>
      </c>
      <c r="C6493" t="s">
        <v>4886</v>
      </c>
      <c r="D6493" s="44">
        <v>-4886.8</v>
      </c>
      <c r="E6493" t="s">
        <v>35</v>
      </c>
      <c r="F6493" s="2">
        <v>212901001</v>
      </c>
      <c r="G6493" s="2" t="s">
        <v>91</v>
      </c>
      <c r="I6493" s="95" t="s">
        <v>7231</v>
      </c>
      <c r="J6493" t="s">
        <v>61</v>
      </c>
      <c r="K6493" t="s">
        <v>62</v>
      </c>
      <c r="M6493">
        <v>122.84</v>
      </c>
      <c r="N6493" s="4">
        <f t="shared" si="101"/>
        <v>-39.781830022793876</v>
      </c>
      <c r="O6493" t="s">
        <v>83</v>
      </c>
      <c r="R6493">
        <v>38</v>
      </c>
      <c r="S6493" t="e">
        <f>VLOOKUP(R6493,[1]!NOMINA[#Data],4,FALSE)</f>
        <v>#REF!</v>
      </c>
      <c r="T6493" t="e">
        <f>VLOOKUP(R6493,[1]!NOMINA[#Data],5,FALSE)</f>
        <v>#REF!</v>
      </c>
    </row>
    <row r="6494" spans="1:20" x14ac:dyDescent="0.25">
      <c r="A6494" s="22">
        <v>45867</v>
      </c>
      <c r="B6494" s="1">
        <v>615778829</v>
      </c>
      <c r="C6494" t="s">
        <v>4887</v>
      </c>
      <c r="D6494" s="44">
        <v>-61.65</v>
      </c>
      <c r="E6494" t="s">
        <v>35</v>
      </c>
      <c r="F6494" s="2">
        <v>212901001</v>
      </c>
      <c r="G6494" s="2" t="s">
        <v>91</v>
      </c>
      <c r="I6494" s="95" t="s">
        <v>7231</v>
      </c>
      <c r="J6494" t="s">
        <v>61</v>
      </c>
      <c r="K6494" t="s">
        <v>62</v>
      </c>
      <c r="M6494">
        <v>122.84</v>
      </c>
      <c r="N6494" s="4">
        <f t="shared" si="101"/>
        <v>-0.50187235428199284</v>
      </c>
      <c r="O6494" t="s">
        <v>83</v>
      </c>
      <c r="R6494">
        <v>2</v>
      </c>
      <c r="S6494" t="e">
        <f>VLOOKUP(Tabla3[[#This Row],[Nº]],[1]!NOMINA[#Data],4,FALSE)</f>
        <v>#REF!</v>
      </c>
      <c r="T6494" t="e">
        <f>VLOOKUP(Tabla3[[#This Row],[Nº]],[1]!NOMINA[#Data],5,FALSE)</f>
        <v>#REF!</v>
      </c>
    </row>
    <row r="6495" spans="1:20" x14ac:dyDescent="0.25">
      <c r="A6495" s="22">
        <v>45867</v>
      </c>
      <c r="B6495" s="1">
        <v>715778830</v>
      </c>
      <c r="C6495" t="s">
        <v>4888</v>
      </c>
      <c r="D6495" s="44">
        <v>-61.65</v>
      </c>
      <c r="E6495" t="s">
        <v>35</v>
      </c>
      <c r="F6495" s="2">
        <v>212901001</v>
      </c>
      <c r="G6495" s="2" t="s">
        <v>91</v>
      </c>
      <c r="I6495" s="95" t="s">
        <v>7231</v>
      </c>
      <c r="J6495" t="s">
        <v>61</v>
      </c>
      <c r="K6495" t="s">
        <v>62</v>
      </c>
      <c r="M6495">
        <v>122.84</v>
      </c>
      <c r="N6495" s="4">
        <f t="shared" si="101"/>
        <v>-0.50187235428199284</v>
      </c>
      <c r="O6495" t="s">
        <v>83</v>
      </c>
      <c r="R6495">
        <v>31</v>
      </c>
      <c r="S6495" t="e">
        <f>VLOOKUP(Tabla3[[#This Row],[Nº]],[1]!NOMINA[#Data],4,FALSE)</f>
        <v>#REF!</v>
      </c>
      <c r="T6495" t="e">
        <f>VLOOKUP(R6495,[1]!NOMINA[#Data],5,FALSE)</f>
        <v>#REF!</v>
      </c>
    </row>
    <row r="6496" spans="1:20" x14ac:dyDescent="0.25">
      <c r="A6496" s="22">
        <v>45867</v>
      </c>
      <c r="B6496" s="1">
        <v>715778832</v>
      </c>
      <c r="C6496" t="s">
        <v>4889</v>
      </c>
      <c r="D6496" s="44">
        <v>-61.65</v>
      </c>
      <c r="E6496" t="s">
        <v>35</v>
      </c>
      <c r="F6496" s="2">
        <v>212901001</v>
      </c>
      <c r="G6496" s="2" t="s">
        <v>91</v>
      </c>
      <c r="I6496" s="95" t="s">
        <v>7231</v>
      </c>
      <c r="J6496" t="s">
        <v>61</v>
      </c>
      <c r="K6496" t="s">
        <v>62</v>
      </c>
      <c r="M6496">
        <v>122.84</v>
      </c>
      <c r="N6496" s="4">
        <f t="shared" si="101"/>
        <v>-0.50187235428199284</v>
      </c>
      <c r="O6496" t="s">
        <v>83</v>
      </c>
      <c r="R6496">
        <v>28</v>
      </c>
      <c r="S6496" t="e">
        <f>VLOOKUP(Tabla3[[#This Row],[Nº]],[1]!NOMINA[#Data],4,FALSE)</f>
        <v>#REF!</v>
      </c>
      <c r="T6496" t="e">
        <f>VLOOKUP(R6496,[1]!NOMINA[#Data],5,FALSE)</f>
        <v>#REF!</v>
      </c>
    </row>
    <row r="6497" spans="1:20" x14ac:dyDescent="0.25">
      <c r="A6497" s="22">
        <v>45867</v>
      </c>
      <c r="B6497" s="1">
        <v>715778831</v>
      </c>
      <c r="C6497" t="s">
        <v>4890</v>
      </c>
      <c r="D6497" s="44">
        <v>-61.65</v>
      </c>
      <c r="E6497" t="s">
        <v>35</v>
      </c>
      <c r="F6497" s="2">
        <v>212901001</v>
      </c>
      <c r="G6497" s="2" t="s">
        <v>91</v>
      </c>
      <c r="I6497" s="95" t="s">
        <v>7231</v>
      </c>
      <c r="J6497" t="s">
        <v>61</v>
      </c>
      <c r="K6497" t="s">
        <v>62</v>
      </c>
      <c r="M6497">
        <v>122.84</v>
      </c>
      <c r="N6497" s="4">
        <f t="shared" si="101"/>
        <v>-0.50187235428199284</v>
      </c>
      <c r="O6497" t="s">
        <v>83</v>
      </c>
      <c r="R6497">
        <v>22</v>
      </c>
      <c r="S6497" t="e">
        <f>VLOOKUP(Tabla3[[#This Row],[Nº]],[1]!NOMINA[#Data],4,FALSE)</f>
        <v>#REF!</v>
      </c>
      <c r="T6497" t="e">
        <f>VLOOKUP(R6497,[1]!NOMINA[#Data],5,FALSE)</f>
        <v>#REF!</v>
      </c>
    </row>
    <row r="6498" spans="1:20" x14ac:dyDescent="0.25">
      <c r="A6498" s="22">
        <v>45867</v>
      </c>
      <c r="B6498" s="1">
        <v>715778833</v>
      </c>
      <c r="C6498" t="s">
        <v>4891</v>
      </c>
      <c r="D6498" s="44">
        <v>-61.65</v>
      </c>
      <c r="E6498" t="s">
        <v>35</v>
      </c>
      <c r="F6498" s="2">
        <v>212901001</v>
      </c>
      <c r="G6498" s="2" t="s">
        <v>91</v>
      </c>
      <c r="I6498" s="95" t="s">
        <v>7231</v>
      </c>
      <c r="J6498" t="s">
        <v>61</v>
      </c>
      <c r="K6498" t="s">
        <v>62</v>
      </c>
      <c r="M6498">
        <v>122.84</v>
      </c>
      <c r="N6498" s="4">
        <f t="shared" si="101"/>
        <v>-0.50187235428199284</v>
      </c>
      <c r="O6498" t="s">
        <v>83</v>
      </c>
      <c r="R6498">
        <v>23</v>
      </c>
      <c r="S6498" t="e">
        <f>VLOOKUP(Tabla3[[#This Row],[Nº]],[1]!NOMINA[#Data],4,FALSE)</f>
        <v>#REF!</v>
      </c>
      <c r="T6498" t="e">
        <f>VLOOKUP(R6498,[1]!NOMINA[#Data],5,FALSE)</f>
        <v>#REF!</v>
      </c>
    </row>
    <row r="6499" spans="1:20" x14ac:dyDescent="0.25">
      <c r="A6499" s="22">
        <v>45867</v>
      </c>
      <c r="B6499" s="1">
        <v>715778830</v>
      </c>
      <c r="C6499" t="s">
        <v>4892</v>
      </c>
      <c r="D6499" s="44">
        <v>-61.65</v>
      </c>
      <c r="E6499" t="s">
        <v>35</v>
      </c>
      <c r="F6499" s="2">
        <v>212901001</v>
      </c>
      <c r="G6499" s="2" t="s">
        <v>91</v>
      </c>
      <c r="I6499" s="95" t="s">
        <v>7231</v>
      </c>
      <c r="J6499" t="s">
        <v>61</v>
      </c>
      <c r="K6499" t="s">
        <v>62</v>
      </c>
      <c r="M6499">
        <v>122.84</v>
      </c>
      <c r="N6499" s="4">
        <f t="shared" si="101"/>
        <v>-0.50187235428199284</v>
      </c>
      <c r="O6499" t="s">
        <v>83</v>
      </c>
      <c r="R6499">
        <v>19</v>
      </c>
      <c r="S6499" t="e">
        <f>VLOOKUP(Tabla3[[#This Row],[Nº]],[1]!NOMINA[#Data],4,FALSE)</f>
        <v>#REF!</v>
      </c>
      <c r="T6499" t="e">
        <f>VLOOKUP(R6499,[1]!NOMINA[#Data],5,FALSE)</f>
        <v>#REF!</v>
      </c>
    </row>
    <row r="6500" spans="1:20" x14ac:dyDescent="0.25">
      <c r="A6500" s="22">
        <v>45867</v>
      </c>
      <c r="B6500" s="1">
        <v>715778832</v>
      </c>
      <c r="C6500" t="s">
        <v>4893</v>
      </c>
      <c r="D6500" s="44">
        <v>-61.65</v>
      </c>
      <c r="E6500" t="s">
        <v>35</v>
      </c>
      <c r="F6500" s="2">
        <v>212901001</v>
      </c>
      <c r="G6500" s="2" t="s">
        <v>91</v>
      </c>
      <c r="I6500" s="95" t="s">
        <v>7231</v>
      </c>
      <c r="J6500" t="s">
        <v>61</v>
      </c>
      <c r="K6500" t="s">
        <v>62</v>
      </c>
      <c r="M6500">
        <v>122.84</v>
      </c>
      <c r="N6500" s="4">
        <f t="shared" si="101"/>
        <v>-0.50187235428199284</v>
      </c>
      <c r="O6500" t="s">
        <v>83</v>
      </c>
      <c r="R6500">
        <v>17</v>
      </c>
      <c r="S6500" t="e">
        <f>VLOOKUP(Tabla3[[#This Row],[Nº]],[1]!NOMINA[#Data],4,FALSE)</f>
        <v>#REF!</v>
      </c>
      <c r="T6500" t="e">
        <f>VLOOKUP(R6500,[1]!NOMINA[#Data],5,FALSE)</f>
        <v>#REF!</v>
      </c>
    </row>
    <row r="6501" spans="1:20" x14ac:dyDescent="0.25">
      <c r="A6501" s="22">
        <v>45867</v>
      </c>
      <c r="B6501" s="1">
        <v>715778831</v>
      </c>
      <c r="C6501" t="s">
        <v>4894</v>
      </c>
      <c r="D6501" s="44">
        <v>-61.65</v>
      </c>
      <c r="E6501" t="s">
        <v>35</v>
      </c>
      <c r="F6501" s="2">
        <v>212901001</v>
      </c>
      <c r="G6501" s="2" t="s">
        <v>91</v>
      </c>
      <c r="I6501" s="95" t="s">
        <v>7231</v>
      </c>
      <c r="J6501" t="s">
        <v>61</v>
      </c>
      <c r="K6501" t="s">
        <v>62</v>
      </c>
      <c r="M6501">
        <v>122.84</v>
      </c>
      <c r="N6501" s="4">
        <f t="shared" si="101"/>
        <v>-0.50187235428199284</v>
      </c>
      <c r="O6501" t="s">
        <v>83</v>
      </c>
      <c r="R6501">
        <v>15</v>
      </c>
      <c r="S6501" t="e">
        <f>VLOOKUP(Tabla3[[#This Row],[Nº]],[1]!NOMINA[#Data],4,FALSE)</f>
        <v>#REF!</v>
      </c>
      <c r="T6501" t="e">
        <f>VLOOKUP(R6501,[1]!NOMINA[#Data],5,FALSE)</f>
        <v>#REF!</v>
      </c>
    </row>
    <row r="6502" spans="1:20" x14ac:dyDescent="0.25">
      <c r="A6502" s="22">
        <v>45867</v>
      </c>
      <c r="B6502" s="1">
        <v>715778833</v>
      </c>
      <c r="C6502" t="s">
        <v>4895</v>
      </c>
      <c r="D6502" s="44">
        <v>-61.65</v>
      </c>
      <c r="E6502" t="s">
        <v>35</v>
      </c>
      <c r="F6502" s="2">
        <v>212901001</v>
      </c>
      <c r="G6502" s="2" t="s">
        <v>91</v>
      </c>
      <c r="I6502" s="95" t="s">
        <v>7231</v>
      </c>
      <c r="J6502" t="s">
        <v>61</v>
      </c>
      <c r="K6502" t="s">
        <v>62</v>
      </c>
      <c r="M6502">
        <v>122.84</v>
      </c>
      <c r="N6502" s="4">
        <f t="shared" si="101"/>
        <v>-0.50187235428199284</v>
      </c>
      <c r="O6502" t="s">
        <v>83</v>
      </c>
      <c r="R6502">
        <v>14</v>
      </c>
      <c r="S6502" t="e">
        <f>VLOOKUP(Tabla3[[#This Row],[Nº]],[1]!NOMINA[#Data],4,FALSE)</f>
        <v>#REF!</v>
      </c>
      <c r="T6502" t="e">
        <f>VLOOKUP(R6502,[1]!NOMINA[#Data],5,FALSE)</f>
        <v>#REF!</v>
      </c>
    </row>
    <row r="6503" spans="1:20" x14ac:dyDescent="0.25">
      <c r="A6503" s="22">
        <v>45867</v>
      </c>
      <c r="B6503" s="1">
        <v>715778835</v>
      </c>
      <c r="C6503" t="s">
        <v>4896</v>
      </c>
      <c r="D6503" s="44">
        <v>-61.65</v>
      </c>
      <c r="E6503" t="s">
        <v>35</v>
      </c>
      <c r="F6503" s="2">
        <v>212901001</v>
      </c>
      <c r="G6503" s="2" t="s">
        <v>91</v>
      </c>
      <c r="I6503" s="95" t="s">
        <v>7231</v>
      </c>
      <c r="J6503" t="s">
        <v>61</v>
      </c>
      <c r="K6503" t="s">
        <v>62</v>
      </c>
      <c r="M6503">
        <v>122.84</v>
      </c>
      <c r="N6503" s="4">
        <f t="shared" si="101"/>
        <v>-0.50187235428199284</v>
      </c>
      <c r="O6503" t="s">
        <v>83</v>
      </c>
      <c r="R6503">
        <v>26</v>
      </c>
      <c r="S6503" t="e">
        <f>VLOOKUP(Tabla3[[#This Row],[Nº]],[1]!NOMINA[#Data],4,FALSE)</f>
        <v>#REF!</v>
      </c>
      <c r="T6503" t="e">
        <f>VLOOKUP(Tabla3[[#This Row],[Nº]],[1]!NOMINA[#Data],5,FALSE)</f>
        <v>#REF!</v>
      </c>
    </row>
    <row r="6504" spans="1:20" x14ac:dyDescent="0.25">
      <c r="A6504" s="22">
        <v>45867</v>
      </c>
      <c r="B6504" s="1">
        <v>715778834</v>
      </c>
      <c r="C6504" t="s">
        <v>4897</v>
      </c>
      <c r="D6504" s="44">
        <v>-61.65</v>
      </c>
      <c r="E6504" t="s">
        <v>35</v>
      </c>
      <c r="F6504" s="2">
        <v>212901001</v>
      </c>
      <c r="G6504" s="2" t="s">
        <v>91</v>
      </c>
      <c r="I6504" s="95" t="s">
        <v>7231</v>
      </c>
      <c r="J6504" t="s">
        <v>61</v>
      </c>
      <c r="K6504" t="s">
        <v>62</v>
      </c>
      <c r="M6504">
        <v>122.84</v>
      </c>
      <c r="N6504" s="4">
        <f t="shared" si="101"/>
        <v>-0.50187235428199284</v>
      </c>
      <c r="O6504" t="s">
        <v>83</v>
      </c>
      <c r="R6504">
        <v>8</v>
      </c>
      <c r="S6504" t="e">
        <f>VLOOKUP(Tabla3[[#This Row],[Nº]],[1]!NOMINA[#Data],4,FALSE)</f>
        <v>#REF!</v>
      </c>
      <c r="T6504" t="e">
        <f>VLOOKUP(R6504,[1]!NOMINA[#Data],5,FALSE)</f>
        <v>#REF!</v>
      </c>
    </row>
    <row r="6505" spans="1:20" x14ac:dyDescent="0.25">
      <c r="A6505" s="22">
        <v>45867</v>
      </c>
      <c r="B6505" s="1">
        <v>715778840</v>
      </c>
      <c r="C6505" t="s">
        <v>4898</v>
      </c>
      <c r="D6505" s="44">
        <v>-61.65</v>
      </c>
      <c r="E6505" t="s">
        <v>35</v>
      </c>
      <c r="F6505" s="2">
        <v>212901001</v>
      </c>
      <c r="G6505" s="2" t="s">
        <v>91</v>
      </c>
      <c r="I6505" s="95" t="s">
        <v>7231</v>
      </c>
      <c r="J6505" t="s">
        <v>61</v>
      </c>
      <c r="K6505" t="s">
        <v>62</v>
      </c>
      <c r="M6505">
        <v>122.84</v>
      </c>
      <c r="N6505" s="4">
        <f t="shared" si="101"/>
        <v>-0.50187235428199284</v>
      </c>
      <c r="O6505" t="s">
        <v>83</v>
      </c>
      <c r="R6505">
        <v>13</v>
      </c>
      <c r="S6505" t="e">
        <f>VLOOKUP(Tabla3[[#This Row],[Nº]],[1]!NOMINA[#Data],4,FALSE)</f>
        <v>#REF!</v>
      </c>
      <c r="T6505" t="e">
        <f>VLOOKUP(R6505,[1]!NOMINA[#Data],5,FALSE)</f>
        <v>#REF!</v>
      </c>
    </row>
    <row r="6506" spans="1:20" x14ac:dyDescent="0.25">
      <c r="A6506" s="22">
        <v>45867</v>
      </c>
      <c r="B6506" s="1">
        <v>715778837</v>
      </c>
      <c r="C6506" t="s">
        <v>4899</v>
      </c>
      <c r="D6506" s="44">
        <v>-61.65</v>
      </c>
      <c r="E6506" t="s">
        <v>35</v>
      </c>
      <c r="F6506" s="2">
        <v>212901001</v>
      </c>
      <c r="G6506" s="2" t="s">
        <v>91</v>
      </c>
      <c r="I6506" s="95" t="s">
        <v>7231</v>
      </c>
      <c r="J6506" t="s">
        <v>61</v>
      </c>
      <c r="K6506" t="s">
        <v>62</v>
      </c>
      <c r="M6506">
        <v>122.84</v>
      </c>
      <c r="N6506" s="4">
        <f t="shared" si="101"/>
        <v>-0.50187235428199284</v>
      </c>
      <c r="O6506" t="s">
        <v>83</v>
      </c>
      <c r="R6506">
        <v>1</v>
      </c>
      <c r="S6506" t="e">
        <f>VLOOKUP(R6506,[1]!NOMINA[#Data],4,FALSE)</f>
        <v>#REF!</v>
      </c>
      <c r="T6506" t="e">
        <f>VLOOKUP(R6506,[1]!NOMINA[#Data],5,FALSE)</f>
        <v>#REF!</v>
      </c>
    </row>
    <row r="6507" spans="1:20" x14ac:dyDescent="0.25">
      <c r="A6507" s="22">
        <v>45867</v>
      </c>
      <c r="B6507" s="1">
        <v>715778836</v>
      </c>
      <c r="C6507" t="s">
        <v>4900</v>
      </c>
      <c r="D6507" s="44">
        <v>-61.65</v>
      </c>
      <c r="E6507" t="s">
        <v>35</v>
      </c>
      <c r="F6507" s="2">
        <v>212901001</v>
      </c>
      <c r="G6507" s="2" t="s">
        <v>91</v>
      </c>
      <c r="I6507" s="95" t="s">
        <v>7231</v>
      </c>
      <c r="J6507" t="s">
        <v>61</v>
      </c>
      <c r="K6507" t="s">
        <v>62</v>
      </c>
      <c r="M6507">
        <v>122.84</v>
      </c>
      <c r="N6507" s="4">
        <f t="shared" si="101"/>
        <v>-0.50187235428199284</v>
      </c>
      <c r="O6507" t="s">
        <v>83</v>
      </c>
      <c r="R6507">
        <v>20</v>
      </c>
      <c r="S6507" t="e">
        <f>VLOOKUP(Tabla3[[#This Row],[Nº]],[1]!NOMINA[#Data],4,FALSE)</f>
        <v>#REF!</v>
      </c>
      <c r="T6507" t="e">
        <f>VLOOKUP(R6507,[1]!NOMINA[#Data],5,FALSE)</f>
        <v>#REF!</v>
      </c>
    </row>
    <row r="6508" spans="1:20" x14ac:dyDescent="0.25">
      <c r="A6508" s="22">
        <v>45867</v>
      </c>
      <c r="B6508" s="1">
        <v>715778838</v>
      </c>
      <c r="C6508" t="s">
        <v>4901</v>
      </c>
      <c r="D6508" s="44">
        <v>-61.65</v>
      </c>
      <c r="E6508" t="s">
        <v>35</v>
      </c>
      <c r="F6508" s="2">
        <v>212901001</v>
      </c>
      <c r="G6508" s="2" t="s">
        <v>91</v>
      </c>
      <c r="I6508" s="95" t="s">
        <v>7231</v>
      </c>
      <c r="J6508" t="s">
        <v>61</v>
      </c>
      <c r="K6508" t="s">
        <v>62</v>
      </c>
      <c r="M6508">
        <v>122.84</v>
      </c>
      <c r="N6508" s="4">
        <f t="shared" si="101"/>
        <v>-0.50187235428199284</v>
      </c>
      <c r="O6508" t="s">
        <v>83</v>
      </c>
      <c r="R6508">
        <v>12</v>
      </c>
      <c r="S6508" t="e">
        <f>VLOOKUP(Tabla3[[#This Row],[Nº]],[1]!NOMINA[#Data],4,FALSE)</f>
        <v>#REF!</v>
      </c>
      <c r="T6508" t="e">
        <f>VLOOKUP(R6508,[1]!NOMINA[#Data],5,FALSE)</f>
        <v>#REF!</v>
      </c>
    </row>
    <row r="6509" spans="1:20" x14ac:dyDescent="0.25">
      <c r="A6509" s="22">
        <v>45867</v>
      </c>
      <c r="B6509" s="1">
        <v>815778842</v>
      </c>
      <c r="C6509" t="s">
        <v>4902</v>
      </c>
      <c r="D6509" s="44">
        <v>-61.65</v>
      </c>
      <c r="E6509" t="s">
        <v>35</v>
      </c>
      <c r="F6509" s="2">
        <v>212901001</v>
      </c>
      <c r="G6509" s="2" t="s">
        <v>91</v>
      </c>
      <c r="I6509" s="95" t="s">
        <v>7231</v>
      </c>
      <c r="J6509" t="s">
        <v>61</v>
      </c>
      <c r="K6509" t="s">
        <v>62</v>
      </c>
      <c r="M6509">
        <v>122.84</v>
      </c>
      <c r="N6509" s="4">
        <f t="shared" si="101"/>
        <v>-0.50187235428199284</v>
      </c>
      <c r="O6509" t="s">
        <v>83</v>
      </c>
      <c r="R6509">
        <v>4</v>
      </c>
      <c r="S6509" t="e">
        <f>VLOOKUP(Tabla3[[#This Row],[Nº]],[1]!NOMINA[#Data],4,FALSE)</f>
        <v>#REF!</v>
      </c>
      <c r="T6509" t="e">
        <f>VLOOKUP(R6509,[1]!NOMINA[#Data],5,FALSE)</f>
        <v>#REF!</v>
      </c>
    </row>
    <row r="6510" spans="1:20" x14ac:dyDescent="0.25">
      <c r="A6510" s="22">
        <v>45867</v>
      </c>
      <c r="B6510" s="1">
        <v>815778841</v>
      </c>
      <c r="C6510" t="s">
        <v>4903</v>
      </c>
      <c r="D6510" s="44">
        <v>-61.65</v>
      </c>
      <c r="E6510" t="s">
        <v>35</v>
      </c>
      <c r="F6510" s="2">
        <v>212901001</v>
      </c>
      <c r="G6510" s="2" t="s">
        <v>91</v>
      </c>
      <c r="I6510" s="95" t="s">
        <v>7231</v>
      </c>
      <c r="J6510" t="s">
        <v>61</v>
      </c>
      <c r="K6510" t="s">
        <v>62</v>
      </c>
      <c r="M6510">
        <v>122.84</v>
      </c>
      <c r="N6510" s="4">
        <f t="shared" si="101"/>
        <v>-0.50187235428199284</v>
      </c>
      <c r="O6510" t="s">
        <v>83</v>
      </c>
      <c r="R6510">
        <v>33</v>
      </c>
      <c r="S6510" t="e">
        <f>VLOOKUP(R6510,[1]!NOMINA[#Data],4,FALSE)</f>
        <v>#REF!</v>
      </c>
      <c r="T6510" t="e">
        <f>VLOOKUP(R6510,[1]!NOMINA[#Data],5,FALSE)</f>
        <v>#REF!</v>
      </c>
    </row>
    <row r="6511" spans="1:20" x14ac:dyDescent="0.25">
      <c r="A6511" s="22">
        <v>45867</v>
      </c>
      <c r="B6511" s="1">
        <v>815778847</v>
      </c>
      <c r="C6511" t="s">
        <v>4904</v>
      </c>
      <c r="D6511" s="44">
        <v>-61.65</v>
      </c>
      <c r="E6511" t="s">
        <v>35</v>
      </c>
      <c r="F6511" s="2">
        <v>212901001</v>
      </c>
      <c r="G6511" s="2" t="s">
        <v>91</v>
      </c>
      <c r="I6511" s="95" t="s">
        <v>7231</v>
      </c>
      <c r="J6511" t="s">
        <v>61</v>
      </c>
      <c r="K6511" t="s">
        <v>62</v>
      </c>
      <c r="M6511">
        <v>122.84</v>
      </c>
      <c r="N6511" s="4">
        <f t="shared" si="101"/>
        <v>-0.50187235428199284</v>
      </c>
      <c r="O6511" t="s">
        <v>83</v>
      </c>
      <c r="R6511">
        <v>34</v>
      </c>
      <c r="S6511" t="e">
        <f>VLOOKUP(R6511,[1]!NOMINA[#Data],4,FALSE)</f>
        <v>#REF!</v>
      </c>
      <c r="T6511" t="e">
        <f>VLOOKUP(R6511,[1]!NOMINA[#Data],5,FALSE)</f>
        <v>#REF!</v>
      </c>
    </row>
    <row r="6512" spans="1:20" x14ac:dyDescent="0.25">
      <c r="A6512" s="22">
        <v>45867</v>
      </c>
      <c r="B6512" s="1">
        <v>815778846</v>
      </c>
      <c r="C6512" t="s">
        <v>4905</v>
      </c>
      <c r="D6512" s="44">
        <v>-61.65</v>
      </c>
      <c r="E6512" t="s">
        <v>35</v>
      </c>
      <c r="F6512" s="2">
        <v>212901001</v>
      </c>
      <c r="G6512" s="2" t="s">
        <v>91</v>
      </c>
      <c r="I6512" s="95" t="s">
        <v>7231</v>
      </c>
      <c r="J6512" t="s">
        <v>61</v>
      </c>
      <c r="K6512" t="s">
        <v>62</v>
      </c>
      <c r="M6512">
        <v>122.84</v>
      </c>
      <c r="N6512" s="4">
        <f t="shared" si="101"/>
        <v>-0.50187235428199284</v>
      </c>
      <c r="O6512" t="s">
        <v>83</v>
      </c>
      <c r="R6512">
        <v>16</v>
      </c>
      <c r="S6512" t="e">
        <f>VLOOKUP(Tabla3[[#This Row],[Nº]],[1]!NOMINA[#Data],4,FALSE)</f>
        <v>#REF!</v>
      </c>
      <c r="T6512" t="e">
        <f>VLOOKUP(Tabla3[[#This Row],[Nº]],[1]!NOMINA[#Data],5,FALSE)</f>
        <v>#REF!</v>
      </c>
    </row>
    <row r="6513" spans="1:20" x14ac:dyDescent="0.25">
      <c r="A6513" s="22">
        <v>45867</v>
      </c>
      <c r="B6513" s="1">
        <v>815778844</v>
      </c>
      <c r="C6513" t="s">
        <v>4906</v>
      </c>
      <c r="D6513" s="44">
        <v>-61.65</v>
      </c>
      <c r="E6513" t="s">
        <v>35</v>
      </c>
      <c r="F6513" s="2">
        <v>212901001</v>
      </c>
      <c r="G6513" s="2" t="s">
        <v>91</v>
      </c>
      <c r="I6513" s="95" t="s">
        <v>7231</v>
      </c>
      <c r="J6513" t="s">
        <v>61</v>
      </c>
      <c r="K6513" t="s">
        <v>62</v>
      </c>
      <c r="M6513">
        <v>122.84</v>
      </c>
      <c r="N6513" s="4">
        <f t="shared" si="101"/>
        <v>-0.50187235428199284</v>
      </c>
      <c r="O6513" t="s">
        <v>83</v>
      </c>
      <c r="R6513">
        <v>6</v>
      </c>
      <c r="S6513" t="e">
        <f>VLOOKUP(Tabla3[[#This Row],[Nº]],[1]!NOMINA[#Data],4,FALSE)</f>
        <v>#REF!</v>
      </c>
      <c r="T6513" t="e">
        <f>VLOOKUP(R6513,[1]!NOMINA[#Data],5,FALSE)</f>
        <v>#REF!</v>
      </c>
    </row>
    <row r="6514" spans="1:20" x14ac:dyDescent="0.25">
      <c r="A6514" s="22">
        <v>45867</v>
      </c>
      <c r="B6514" s="1">
        <v>815778845</v>
      </c>
      <c r="C6514" t="s">
        <v>4907</v>
      </c>
      <c r="D6514" s="44">
        <v>-61.65</v>
      </c>
      <c r="E6514" t="s">
        <v>35</v>
      </c>
      <c r="F6514" s="2">
        <v>212901001</v>
      </c>
      <c r="G6514" s="2" t="s">
        <v>91</v>
      </c>
      <c r="I6514" s="95" t="s">
        <v>7231</v>
      </c>
      <c r="J6514" t="s">
        <v>61</v>
      </c>
      <c r="K6514" t="s">
        <v>62</v>
      </c>
      <c r="M6514">
        <v>122.84</v>
      </c>
      <c r="N6514" s="4">
        <f t="shared" si="101"/>
        <v>-0.50187235428199284</v>
      </c>
      <c r="O6514" t="s">
        <v>83</v>
      </c>
      <c r="R6514">
        <v>3</v>
      </c>
      <c r="S6514" t="e">
        <f>VLOOKUP(Tabla3[[#This Row],[Nº]],[1]!NOMINA[#Data],4,FALSE)</f>
        <v>#REF!</v>
      </c>
      <c r="T6514" t="e">
        <f>VLOOKUP(R6514,[1]!NOMINA[#Data],5,FALSE)</f>
        <v>#REF!</v>
      </c>
    </row>
    <row r="6515" spans="1:20" x14ac:dyDescent="0.25">
      <c r="A6515" s="22">
        <v>45867</v>
      </c>
      <c r="B6515" s="1">
        <v>915778851</v>
      </c>
      <c r="C6515" t="s">
        <v>4908</v>
      </c>
      <c r="D6515" s="44">
        <v>-61.65</v>
      </c>
      <c r="E6515" t="s">
        <v>35</v>
      </c>
      <c r="F6515" s="2">
        <v>212901001</v>
      </c>
      <c r="G6515" s="2" t="s">
        <v>91</v>
      </c>
      <c r="I6515" s="95" t="s">
        <v>7231</v>
      </c>
      <c r="J6515" t="s">
        <v>61</v>
      </c>
      <c r="K6515" t="s">
        <v>62</v>
      </c>
      <c r="M6515">
        <v>122.84</v>
      </c>
      <c r="N6515" s="4">
        <f t="shared" si="101"/>
        <v>-0.50187235428199284</v>
      </c>
      <c r="O6515" t="s">
        <v>83</v>
      </c>
      <c r="R6515">
        <v>24</v>
      </c>
      <c r="S6515" t="e">
        <f>VLOOKUP(Tabla3[[#This Row],[Nº]],[1]!NOMINA[#Data],4,FALSE)</f>
        <v>#REF!</v>
      </c>
      <c r="T6515" t="e">
        <f>VLOOKUP(R6515,[1]!NOMINA[#Data],5,FALSE)</f>
        <v>#REF!</v>
      </c>
    </row>
    <row r="6516" spans="1:20" x14ac:dyDescent="0.25">
      <c r="A6516" s="22">
        <v>45867</v>
      </c>
      <c r="B6516" s="1">
        <v>815778850</v>
      </c>
      <c r="C6516" t="s">
        <v>4909</v>
      </c>
      <c r="D6516" s="44">
        <v>-61.65</v>
      </c>
      <c r="E6516" t="s">
        <v>35</v>
      </c>
      <c r="F6516" s="2">
        <v>212901001</v>
      </c>
      <c r="G6516" s="2" t="s">
        <v>91</v>
      </c>
      <c r="I6516" s="95" t="s">
        <v>7231</v>
      </c>
      <c r="J6516" t="s">
        <v>61</v>
      </c>
      <c r="K6516" t="s">
        <v>62</v>
      </c>
      <c r="M6516">
        <v>122.84</v>
      </c>
      <c r="N6516" s="4">
        <f t="shared" si="101"/>
        <v>-0.50187235428199284</v>
      </c>
      <c r="O6516" t="s">
        <v>83</v>
      </c>
      <c r="R6516">
        <v>5</v>
      </c>
      <c r="S6516" t="e">
        <f>VLOOKUP(Tabla3[[#This Row],[Nº]],[1]!NOMINA[#Data],4,FALSE)</f>
        <v>#REF!</v>
      </c>
      <c r="T6516" t="e">
        <f>VLOOKUP(R6516,[1]!NOMINA[#Data],5,FALSE)</f>
        <v>#REF!</v>
      </c>
    </row>
    <row r="6517" spans="1:20" x14ac:dyDescent="0.25">
      <c r="A6517" s="22">
        <v>45867</v>
      </c>
      <c r="B6517" s="1">
        <v>815778848</v>
      </c>
      <c r="C6517" t="s">
        <v>4910</v>
      </c>
      <c r="D6517" s="44">
        <v>-61.65</v>
      </c>
      <c r="E6517" t="s">
        <v>35</v>
      </c>
      <c r="F6517" s="2">
        <v>212901001</v>
      </c>
      <c r="G6517" s="2" t="s">
        <v>91</v>
      </c>
      <c r="I6517" s="95" t="s">
        <v>7231</v>
      </c>
      <c r="J6517" t="s">
        <v>61</v>
      </c>
      <c r="K6517" t="s">
        <v>62</v>
      </c>
      <c r="M6517">
        <v>122.84</v>
      </c>
      <c r="N6517" s="4">
        <f t="shared" si="101"/>
        <v>-0.50187235428199284</v>
      </c>
      <c r="O6517" t="s">
        <v>83</v>
      </c>
      <c r="R6517">
        <v>32</v>
      </c>
      <c r="S6517" t="e">
        <f>VLOOKUP(Tabla3[[#This Row],[Nº]],[1]!NOMINA[#Data],4,FALSE)</f>
        <v>#REF!</v>
      </c>
      <c r="T6517" t="e">
        <f>VLOOKUP(R6517,[1]!NOMINA[#Data],5,FALSE)</f>
        <v>#REF!</v>
      </c>
    </row>
    <row r="6518" spans="1:20" x14ac:dyDescent="0.25">
      <c r="A6518" s="22">
        <v>45867</v>
      </c>
      <c r="B6518" s="1">
        <v>815778849</v>
      </c>
      <c r="C6518" t="s">
        <v>4911</v>
      </c>
      <c r="D6518" s="44">
        <v>-61.65</v>
      </c>
      <c r="E6518" t="s">
        <v>35</v>
      </c>
      <c r="F6518" s="2">
        <v>212901001</v>
      </c>
      <c r="G6518" s="2" t="s">
        <v>91</v>
      </c>
      <c r="I6518" s="95" t="s">
        <v>7231</v>
      </c>
      <c r="J6518" t="s">
        <v>61</v>
      </c>
      <c r="K6518" t="s">
        <v>62</v>
      </c>
      <c r="M6518">
        <v>122.84</v>
      </c>
      <c r="N6518" s="4">
        <f t="shared" si="101"/>
        <v>-0.50187235428199284</v>
      </c>
      <c r="O6518" t="s">
        <v>83</v>
      </c>
      <c r="R6518">
        <v>30</v>
      </c>
      <c r="S6518" t="e">
        <f>VLOOKUP(Tabla3[[#This Row],[Nº]],[1]!NOMINA[#Data],4,FALSE)</f>
        <v>#REF!</v>
      </c>
      <c r="T6518" t="e">
        <f>VLOOKUP(R6518,[1]!NOMINA[#Data],5,FALSE)</f>
        <v>#REF!</v>
      </c>
    </row>
    <row r="6519" spans="1:20" x14ac:dyDescent="0.25">
      <c r="A6519" s="22">
        <v>45867</v>
      </c>
      <c r="B6519" s="1">
        <v>915778853</v>
      </c>
      <c r="C6519" t="s">
        <v>4912</v>
      </c>
      <c r="D6519" s="44">
        <v>-61.65</v>
      </c>
      <c r="E6519" t="s">
        <v>35</v>
      </c>
      <c r="F6519" s="2">
        <v>212901001</v>
      </c>
      <c r="G6519" s="2" t="s">
        <v>91</v>
      </c>
      <c r="I6519" s="95" t="s">
        <v>7231</v>
      </c>
      <c r="J6519" t="s">
        <v>61</v>
      </c>
      <c r="K6519" t="s">
        <v>62</v>
      </c>
      <c r="M6519">
        <v>122.84</v>
      </c>
      <c r="N6519" s="4">
        <f t="shared" si="101"/>
        <v>-0.50187235428199284</v>
      </c>
      <c r="O6519" t="s">
        <v>83</v>
      </c>
      <c r="R6519">
        <v>27</v>
      </c>
      <c r="S6519" t="e">
        <f>VLOOKUP(Tabla3[[#This Row],[Nº]],[1]!NOMINA[#Data],4,FALSE)</f>
        <v>#REF!</v>
      </c>
      <c r="T6519" t="e">
        <f>VLOOKUP(R6519,[1]!NOMINA[#Data],5,FALSE)</f>
        <v>#REF!</v>
      </c>
    </row>
    <row r="6520" spans="1:20" x14ac:dyDescent="0.25">
      <c r="A6520" s="22">
        <v>45867</v>
      </c>
      <c r="B6520" s="1">
        <v>915778852</v>
      </c>
      <c r="C6520" t="s">
        <v>4913</v>
      </c>
      <c r="D6520" s="44">
        <v>-61.65</v>
      </c>
      <c r="E6520" t="s">
        <v>35</v>
      </c>
      <c r="F6520" s="2">
        <v>212901001</v>
      </c>
      <c r="G6520" s="2" t="s">
        <v>91</v>
      </c>
      <c r="I6520" s="95" t="s">
        <v>7231</v>
      </c>
      <c r="J6520" t="s">
        <v>61</v>
      </c>
      <c r="K6520" t="s">
        <v>62</v>
      </c>
      <c r="M6520">
        <v>122.84</v>
      </c>
      <c r="N6520" s="4">
        <f t="shared" si="101"/>
        <v>-0.50187235428199284</v>
      </c>
      <c r="O6520" t="s">
        <v>83</v>
      </c>
      <c r="R6520">
        <v>21</v>
      </c>
      <c r="S6520" t="e">
        <f>VLOOKUP(Tabla3[[#This Row],[Nº]],[1]!NOMINA[#Data],4,FALSE)</f>
        <v>#REF!</v>
      </c>
      <c r="T6520" t="e">
        <f>VLOOKUP(R6520,[1]!NOMINA[#Data],5,FALSE)</f>
        <v>#REF!</v>
      </c>
    </row>
    <row r="6521" spans="1:20" x14ac:dyDescent="0.25">
      <c r="A6521" s="22">
        <v>45867</v>
      </c>
      <c r="B6521" s="1">
        <v>915778856</v>
      </c>
      <c r="C6521" t="s">
        <v>4914</v>
      </c>
      <c r="D6521" s="44">
        <v>-61.65</v>
      </c>
      <c r="E6521" t="s">
        <v>35</v>
      </c>
      <c r="F6521" s="2">
        <v>212901001</v>
      </c>
      <c r="G6521" s="2" t="s">
        <v>91</v>
      </c>
      <c r="I6521" s="95" t="s">
        <v>7231</v>
      </c>
      <c r="J6521" t="s">
        <v>61</v>
      </c>
      <c r="K6521" t="s">
        <v>62</v>
      </c>
      <c r="M6521">
        <v>122.84</v>
      </c>
      <c r="N6521" s="4">
        <f t="shared" si="101"/>
        <v>-0.50187235428199284</v>
      </c>
      <c r="O6521" t="s">
        <v>83</v>
      </c>
      <c r="R6521">
        <v>7</v>
      </c>
      <c r="S6521" t="e">
        <f>VLOOKUP(Tabla3[[#This Row],[Nº]],[1]!NOMINA[#Data],4,FALSE)</f>
        <v>#REF!</v>
      </c>
      <c r="T6521" t="e">
        <f>VLOOKUP(R6521,[1]!NOMINA[#Data],5,FALSE)</f>
        <v>#REF!</v>
      </c>
    </row>
    <row r="6522" spans="1:20" x14ac:dyDescent="0.25">
      <c r="A6522" s="22">
        <v>45867</v>
      </c>
      <c r="B6522" s="1">
        <v>915778855</v>
      </c>
      <c r="C6522" t="s">
        <v>4915</v>
      </c>
      <c r="D6522" s="44">
        <v>-61.65</v>
      </c>
      <c r="E6522" t="s">
        <v>35</v>
      </c>
      <c r="F6522" s="2">
        <v>212901001</v>
      </c>
      <c r="G6522" s="2" t="s">
        <v>91</v>
      </c>
      <c r="I6522" s="95" t="s">
        <v>7231</v>
      </c>
      <c r="J6522" t="s">
        <v>61</v>
      </c>
      <c r="K6522" t="s">
        <v>62</v>
      </c>
      <c r="M6522">
        <v>122.84</v>
      </c>
      <c r="N6522" s="4">
        <f t="shared" si="101"/>
        <v>-0.50187235428199284</v>
      </c>
      <c r="O6522" t="s">
        <v>83</v>
      </c>
      <c r="R6522">
        <v>35</v>
      </c>
      <c r="S6522" t="e">
        <f>VLOOKUP(Tabla3[[#This Row],[Nº]],[1]!NOMINA[#Data],4,FALSE)</f>
        <v>#REF!</v>
      </c>
      <c r="T6522" t="e">
        <f>VLOOKUP(R6522,[1]!NOMINA[#Data],5,FALSE)</f>
        <v>#REF!</v>
      </c>
    </row>
    <row r="6523" spans="1:20" x14ac:dyDescent="0.25">
      <c r="A6523" s="22">
        <v>45867</v>
      </c>
      <c r="B6523" s="1">
        <v>915778854</v>
      </c>
      <c r="C6523" t="s">
        <v>4916</v>
      </c>
      <c r="D6523" s="44">
        <v>-61.65</v>
      </c>
      <c r="E6523" t="s">
        <v>35</v>
      </c>
      <c r="F6523" s="2">
        <v>212901001</v>
      </c>
      <c r="G6523" s="2" t="s">
        <v>91</v>
      </c>
      <c r="I6523" s="95" t="s">
        <v>7231</v>
      </c>
      <c r="J6523" t="s">
        <v>61</v>
      </c>
      <c r="K6523" t="s">
        <v>62</v>
      </c>
      <c r="M6523">
        <v>122.84</v>
      </c>
      <c r="N6523" s="4">
        <f t="shared" si="101"/>
        <v>-0.50187235428199284</v>
      </c>
      <c r="O6523" t="s">
        <v>83</v>
      </c>
      <c r="R6523">
        <v>25</v>
      </c>
      <c r="S6523" t="e">
        <f>VLOOKUP(Tabla3[[#This Row],[Nº]],[1]!NOMINA[#Data],4,FALSE)</f>
        <v>#REF!</v>
      </c>
      <c r="T6523" t="e">
        <f>VLOOKUP(R6523,[1]!NOMINA[#Data],5,FALSE)</f>
        <v>#REF!</v>
      </c>
    </row>
    <row r="6524" spans="1:20" x14ac:dyDescent="0.25">
      <c r="A6524" s="22">
        <v>45867</v>
      </c>
      <c r="B6524" s="1">
        <v>915778857</v>
      </c>
      <c r="C6524" t="s">
        <v>4917</v>
      </c>
      <c r="D6524" s="44">
        <v>-61.65</v>
      </c>
      <c r="E6524" t="s">
        <v>35</v>
      </c>
      <c r="F6524" s="2">
        <v>212901001</v>
      </c>
      <c r="G6524" s="2" t="s">
        <v>91</v>
      </c>
      <c r="I6524" s="95" t="s">
        <v>7231</v>
      </c>
      <c r="J6524" t="s">
        <v>61</v>
      </c>
      <c r="K6524" t="s">
        <v>62</v>
      </c>
      <c r="M6524">
        <v>122.84</v>
      </c>
      <c r="N6524" s="4">
        <f t="shared" si="101"/>
        <v>-0.50187235428199284</v>
      </c>
      <c r="O6524" t="s">
        <v>83</v>
      </c>
      <c r="R6524">
        <v>11</v>
      </c>
      <c r="S6524" t="e">
        <f>VLOOKUP(Tabla3[[#This Row],[Nº]],[1]!NOMINA[#Data],4,FALSE)</f>
        <v>#REF!</v>
      </c>
      <c r="T6524" t="e">
        <f>VLOOKUP(R6524,[1]!NOMINA[#Data],5,FALSE)</f>
        <v>#REF!</v>
      </c>
    </row>
    <row r="6525" spans="1:20" x14ac:dyDescent="0.25">
      <c r="A6525" s="22">
        <v>45867</v>
      </c>
      <c r="B6525" s="1">
        <v>915778859</v>
      </c>
      <c r="C6525" t="s">
        <v>4918</v>
      </c>
      <c r="D6525" s="44">
        <v>-61.65</v>
      </c>
      <c r="E6525" t="s">
        <v>35</v>
      </c>
      <c r="F6525" s="2">
        <v>212901001</v>
      </c>
      <c r="G6525" s="2" t="s">
        <v>91</v>
      </c>
      <c r="I6525" s="95" t="s">
        <v>7231</v>
      </c>
      <c r="J6525" t="s">
        <v>61</v>
      </c>
      <c r="K6525" t="s">
        <v>62</v>
      </c>
      <c r="M6525">
        <v>122.84</v>
      </c>
      <c r="N6525" s="4">
        <f t="shared" si="101"/>
        <v>-0.50187235428199284</v>
      </c>
      <c r="O6525" t="s">
        <v>83</v>
      </c>
      <c r="R6525">
        <v>29</v>
      </c>
      <c r="S6525" t="e">
        <f>VLOOKUP(R6525,[1]!NOMINA[#Data],4,FALSE)</f>
        <v>#REF!</v>
      </c>
      <c r="T6525" t="e">
        <f>VLOOKUP(R6525,[1]!NOMINA[#Data],5,FALSE)</f>
        <v>#REF!</v>
      </c>
    </row>
    <row r="6526" spans="1:20" x14ac:dyDescent="0.25">
      <c r="A6526" s="22">
        <v>45867</v>
      </c>
      <c r="B6526" s="1">
        <v>15778860</v>
      </c>
      <c r="C6526" t="s">
        <v>4919</v>
      </c>
      <c r="D6526" s="44">
        <v>-61.65</v>
      </c>
      <c r="E6526" t="s">
        <v>35</v>
      </c>
      <c r="F6526" s="2">
        <v>212901001</v>
      </c>
      <c r="G6526" s="2" t="s">
        <v>91</v>
      </c>
      <c r="I6526" s="95" t="s">
        <v>7231</v>
      </c>
      <c r="J6526" t="s">
        <v>61</v>
      </c>
      <c r="K6526" t="s">
        <v>62</v>
      </c>
      <c r="M6526">
        <v>122.84</v>
      </c>
      <c r="N6526" s="4">
        <f t="shared" si="101"/>
        <v>-0.50187235428199284</v>
      </c>
      <c r="O6526" t="s">
        <v>83</v>
      </c>
      <c r="R6526">
        <v>9</v>
      </c>
      <c r="S6526" t="e">
        <f>VLOOKUP(Tabla3[[#This Row],[Nº]],[1]!NOMINA[#Data],4,FALSE)</f>
        <v>#REF!</v>
      </c>
      <c r="T6526" t="e">
        <f>VLOOKUP(R6526,[1]!NOMINA[#Data],5,FALSE)</f>
        <v>#REF!</v>
      </c>
    </row>
    <row r="6527" spans="1:20" x14ac:dyDescent="0.25">
      <c r="A6527" s="22">
        <v>45867</v>
      </c>
      <c r="B6527" s="1">
        <v>15778861</v>
      </c>
      <c r="C6527" t="s">
        <v>4920</v>
      </c>
      <c r="D6527" s="44">
        <v>-61.65</v>
      </c>
      <c r="E6527" t="s">
        <v>35</v>
      </c>
      <c r="F6527" s="2">
        <v>212901001</v>
      </c>
      <c r="G6527" s="2" t="s">
        <v>91</v>
      </c>
      <c r="I6527" s="95" t="s">
        <v>7231</v>
      </c>
      <c r="J6527" t="s">
        <v>61</v>
      </c>
      <c r="K6527" t="s">
        <v>62</v>
      </c>
      <c r="M6527">
        <v>122.84</v>
      </c>
      <c r="N6527" s="4">
        <f t="shared" si="101"/>
        <v>-0.50187235428199284</v>
      </c>
      <c r="O6527" t="s">
        <v>83</v>
      </c>
      <c r="R6527">
        <v>18</v>
      </c>
      <c r="S6527" t="e">
        <f>VLOOKUP(Tabla3[[#This Row],[Nº]],[1]!NOMINA[#Data],4,FALSE)</f>
        <v>#REF!</v>
      </c>
      <c r="T6527" t="e">
        <f>VLOOKUP(Tabla3[[#This Row],[Nº]],[1]!NOMINA[#Data],5,FALSE)</f>
        <v>#REF!</v>
      </c>
    </row>
    <row r="6528" spans="1:20" x14ac:dyDescent="0.25">
      <c r="A6528" s="22">
        <v>45867</v>
      </c>
      <c r="B6528" s="1">
        <v>15778863</v>
      </c>
      <c r="C6528" t="s">
        <v>4921</v>
      </c>
      <c r="D6528" s="44">
        <v>-40.200000000000003</v>
      </c>
      <c r="E6528" t="s">
        <v>35</v>
      </c>
      <c r="F6528" s="2">
        <v>212901001</v>
      </c>
      <c r="G6528" s="2" t="s">
        <v>91</v>
      </c>
      <c r="I6528" s="95" t="s">
        <v>7231</v>
      </c>
      <c r="J6528" t="s">
        <v>61</v>
      </c>
      <c r="K6528" t="s">
        <v>62</v>
      </c>
      <c r="M6528">
        <v>122.84</v>
      </c>
      <c r="N6528" s="4">
        <f t="shared" si="101"/>
        <v>-0.32725496580918267</v>
      </c>
      <c r="O6528" t="s">
        <v>83</v>
      </c>
      <c r="R6528">
        <v>10</v>
      </c>
      <c r="S6528" t="e">
        <f>VLOOKUP(Tabla3[[#This Row],[Nº]],[1]!NOMINA[#Data],4,FALSE)</f>
        <v>#REF!</v>
      </c>
      <c r="T6528" t="e">
        <f>VLOOKUP(R6528,[1]!NOMINA[#Data],5,FALSE)</f>
        <v>#REF!</v>
      </c>
    </row>
    <row r="6529" spans="1:17" x14ac:dyDescent="0.25">
      <c r="A6529" s="22">
        <v>45867</v>
      </c>
      <c r="B6529" s="1">
        <v>15778866</v>
      </c>
      <c r="C6529" t="s">
        <v>4922</v>
      </c>
      <c r="D6529" s="44">
        <v>-10995.3</v>
      </c>
      <c r="E6529" t="s">
        <v>35</v>
      </c>
      <c r="F6529" s="2">
        <v>212901001</v>
      </c>
      <c r="G6529" s="2" t="s">
        <v>91</v>
      </c>
      <c r="I6529" s="95" t="s">
        <v>7231</v>
      </c>
      <c r="J6529" t="s">
        <v>61</v>
      </c>
      <c r="K6529" t="s">
        <v>62</v>
      </c>
      <c r="M6529">
        <v>122.84</v>
      </c>
      <c r="N6529" s="4">
        <f t="shared" si="101"/>
        <v>-89.509117551286224</v>
      </c>
      <c r="O6529" t="s">
        <v>83</v>
      </c>
    </row>
    <row r="6530" spans="1:17" x14ac:dyDescent="0.25">
      <c r="A6530" s="22">
        <v>45867</v>
      </c>
      <c r="B6530" s="1">
        <v>15778869</v>
      </c>
      <c r="C6530" t="s">
        <v>4923</v>
      </c>
      <c r="D6530" s="44">
        <v>-10995.3</v>
      </c>
      <c r="E6530" t="s">
        <v>35</v>
      </c>
      <c r="F6530" s="2">
        <v>212901001</v>
      </c>
      <c r="G6530" s="2" t="s">
        <v>91</v>
      </c>
      <c r="I6530" s="95" t="s">
        <v>7231</v>
      </c>
      <c r="J6530" t="s">
        <v>61</v>
      </c>
      <c r="K6530" t="s">
        <v>62</v>
      </c>
      <c r="M6530">
        <v>122.84</v>
      </c>
      <c r="N6530" s="4">
        <f t="shared" si="101"/>
        <v>-89.509117551286224</v>
      </c>
      <c r="O6530" t="s">
        <v>83</v>
      </c>
    </row>
    <row r="6531" spans="1:17" x14ac:dyDescent="0.25">
      <c r="A6531" s="22">
        <v>45867</v>
      </c>
      <c r="B6531" s="1">
        <v>15778867</v>
      </c>
      <c r="C6531" t="s">
        <v>4924</v>
      </c>
      <c r="D6531" s="44">
        <v>-10995.3</v>
      </c>
      <c r="E6531" t="s">
        <v>35</v>
      </c>
      <c r="F6531" s="2">
        <v>212901001</v>
      </c>
      <c r="G6531" s="2" t="s">
        <v>91</v>
      </c>
      <c r="I6531" s="95" t="s">
        <v>7231</v>
      </c>
      <c r="J6531" t="s">
        <v>61</v>
      </c>
      <c r="K6531" t="s">
        <v>62</v>
      </c>
      <c r="M6531">
        <v>122.84</v>
      </c>
      <c r="N6531" s="4">
        <f t="shared" si="101"/>
        <v>-89.509117551286224</v>
      </c>
      <c r="O6531" t="s">
        <v>83</v>
      </c>
    </row>
    <row r="6532" spans="1:17" x14ac:dyDescent="0.25">
      <c r="A6532" s="22">
        <v>45867</v>
      </c>
      <c r="B6532" s="1">
        <v>50754876</v>
      </c>
      <c r="C6532" t="s">
        <v>89</v>
      </c>
      <c r="D6532" s="44">
        <v>-1842.41</v>
      </c>
      <c r="E6532" t="s">
        <v>35</v>
      </c>
      <c r="F6532" s="2">
        <v>610148001</v>
      </c>
      <c r="G6532" s="2" t="s">
        <v>41</v>
      </c>
      <c r="I6532" s="95" t="s">
        <v>7231</v>
      </c>
      <c r="J6532" t="s">
        <v>42</v>
      </c>
      <c r="K6532" t="s">
        <v>41</v>
      </c>
      <c r="M6532">
        <v>122.84</v>
      </c>
      <c r="N6532" s="4">
        <f t="shared" si="101"/>
        <v>-14.998453272549659</v>
      </c>
      <c r="O6532" t="s">
        <v>83</v>
      </c>
      <c r="Q6532" s="24" t="s">
        <v>4392</v>
      </c>
    </row>
    <row r="6533" spans="1:17" x14ac:dyDescent="0.25">
      <c r="A6533" s="22">
        <v>45868</v>
      </c>
      <c r="B6533" s="1">
        <v>415815765</v>
      </c>
      <c r="C6533" t="s">
        <v>4925</v>
      </c>
      <c r="D6533" s="85">
        <v>-12387</v>
      </c>
      <c r="E6533" t="s">
        <v>35</v>
      </c>
      <c r="F6533">
        <v>610124003</v>
      </c>
      <c r="G6533" t="str">
        <f>VLOOKUP(F6533,[2]Hoja1!$A$3:$B$272,2,FALSE)</f>
        <v>MANTENIMIENTO VEHICULOS PERS. M/O</v>
      </c>
      <c r="H6533"/>
      <c r="I6533" s="95" t="s">
        <v>7231</v>
      </c>
      <c r="J6533" t="s">
        <v>79</v>
      </c>
      <c r="K6533" t="str">
        <f>VLOOKUP(J6533,[2]Hoja1!$D$3:$E$122,2,FALSE)</f>
        <v>GASTOS MANTENIMIENTO VEHICULOS</v>
      </c>
      <c r="L6533" s="28" t="s">
        <v>56</v>
      </c>
      <c r="M6533">
        <v>123.87</v>
      </c>
      <c r="N6533" s="4">
        <f t="shared" si="101"/>
        <v>-100</v>
      </c>
      <c r="O6533" t="s">
        <v>83</v>
      </c>
      <c r="Q6533" s="24" t="s">
        <v>4926</v>
      </c>
    </row>
    <row r="6534" spans="1:17" x14ac:dyDescent="0.25">
      <c r="A6534" s="22">
        <v>45868</v>
      </c>
      <c r="B6534" s="1">
        <v>415815767</v>
      </c>
      <c r="C6534" t="s">
        <v>4927</v>
      </c>
      <c r="D6534" s="44">
        <v>-28.88</v>
      </c>
      <c r="E6534" t="s">
        <v>35</v>
      </c>
      <c r="F6534" s="2">
        <v>210101001</v>
      </c>
      <c r="G6534" s="2" t="s">
        <v>36</v>
      </c>
      <c r="I6534" s="95" t="s">
        <v>7231</v>
      </c>
      <c r="J6534" t="s">
        <v>37</v>
      </c>
      <c r="K6534" t="s">
        <v>38</v>
      </c>
      <c r="M6534">
        <v>123.87</v>
      </c>
      <c r="N6534" s="4">
        <f t="shared" si="101"/>
        <v>-0.23314765479938643</v>
      </c>
      <c r="O6534" t="s">
        <v>83</v>
      </c>
    </row>
    <row r="6535" spans="1:17" x14ac:dyDescent="0.25">
      <c r="A6535" s="33">
        <v>45868</v>
      </c>
      <c r="B6535" s="27">
        <v>415815766</v>
      </c>
      <c r="C6535" s="28" t="s">
        <v>71</v>
      </c>
      <c r="D6535" s="47">
        <v>-18580.5</v>
      </c>
      <c r="E6535" s="28" t="s">
        <v>35</v>
      </c>
      <c r="F6535" s="30">
        <v>610156001</v>
      </c>
      <c r="G6535" s="30" t="s">
        <v>72</v>
      </c>
      <c r="H6535" s="30"/>
      <c r="I6535" s="95" t="s">
        <v>7231</v>
      </c>
      <c r="J6535" s="28" t="s">
        <v>73</v>
      </c>
      <c r="K6535" s="28" t="s">
        <v>74</v>
      </c>
      <c r="L6535" s="28" t="s">
        <v>56</v>
      </c>
      <c r="M6535" s="28">
        <v>123.87</v>
      </c>
      <c r="N6535" s="4">
        <f t="shared" si="101"/>
        <v>-150</v>
      </c>
      <c r="O6535" t="s">
        <v>83</v>
      </c>
      <c r="Q6535" s="24" t="s">
        <v>4715</v>
      </c>
    </row>
    <row r="6536" spans="1:17" x14ac:dyDescent="0.25">
      <c r="A6536" s="22">
        <v>45868</v>
      </c>
      <c r="B6536" s="1">
        <v>50795856</v>
      </c>
      <c r="C6536" t="s">
        <v>89</v>
      </c>
      <c r="D6536" s="44">
        <v>-77.489999999999995</v>
      </c>
      <c r="E6536" t="s">
        <v>35</v>
      </c>
      <c r="F6536" s="2">
        <v>610148001</v>
      </c>
      <c r="G6536" s="2" t="s">
        <v>41</v>
      </c>
      <c r="I6536" s="95" t="s">
        <v>7231</v>
      </c>
      <c r="J6536" t="s">
        <v>42</v>
      </c>
      <c r="K6536" t="s">
        <v>41</v>
      </c>
      <c r="M6536">
        <v>123.87</v>
      </c>
      <c r="N6536" s="4">
        <f t="shared" si="101"/>
        <v>-0.62557519980624843</v>
      </c>
      <c r="O6536" t="s">
        <v>83</v>
      </c>
      <c r="Q6536" s="24" t="s">
        <v>4392</v>
      </c>
    </row>
    <row r="6537" spans="1:17" x14ac:dyDescent="0.25">
      <c r="A6537" s="22">
        <v>45869</v>
      </c>
      <c r="B6537" s="1">
        <v>230123367</v>
      </c>
      <c r="C6537" t="s">
        <v>2944</v>
      </c>
      <c r="D6537" s="44">
        <v>100000</v>
      </c>
      <c r="E6537" t="s">
        <v>45</v>
      </c>
      <c r="F6537" s="2">
        <v>110101003</v>
      </c>
      <c r="G6537" s="2" t="s">
        <v>2945</v>
      </c>
      <c r="I6537" s="95" t="s">
        <v>7231</v>
      </c>
      <c r="K6537" t="s">
        <v>2944</v>
      </c>
      <c r="M6537">
        <v>124.51</v>
      </c>
      <c r="N6537" s="4">
        <f t="shared" si="101"/>
        <v>803.14834149867477</v>
      </c>
      <c r="O6537" t="s">
        <v>83</v>
      </c>
    </row>
    <row r="6538" spans="1:17" x14ac:dyDescent="0.25">
      <c r="A6538" s="22">
        <v>45869</v>
      </c>
      <c r="B6538" s="1">
        <v>715879722</v>
      </c>
      <c r="C6538" t="s">
        <v>4928</v>
      </c>
      <c r="D6538" s="44">
        <v>-4954.79</v>
      </c>
      <c r="E6538" t="s">
        <v>35</v>
      </c>
      <c r="F6538" s="2">
        <v>110114001</v>
      </c>
      <c r="G6538" s="2" t="s">
        <v>181</v>
      </c>
      <c r="I6538" s="95" t="s">
        <v>7231</v>
      </c>
      <c r="J6538" t="s">
        <v>414</v>
      </c>
      <c r="K6538" t="s">
        <v>415</v>
      </c>
      <c r="M6538">
        <v>124.51</v>
      </c>
      <c r="N6538" s="4">
        <f t="shared" si="101"/>
        <v>-39.794313709742184</v>
      </c>
      <c r="O6538" t="s">
        <v>83</v>
      </c>
      <c r="P6538" s="34" t="s">
        <v>3907</v>
      </c>
    </row>
    <row r="6539" spans="1:17" x14ac:dyDescent="0.25">
      <c r="A6539" s="22">
        <v>45869</v>
      </c>
      <c r="B6539" s="1">
        <v>715879720</v>
      </c>
      <c r="C6539" t="s">
        <v>4929</v>
      </c>
      <c r="D6539" s="44">
        <v>-44898.89</v>
      </c>
      <c r="E6539" t="s">
        <v>35</v>
      </c>
      <c r="F6539" s="2">
        <v>110114001</v>
      </c>
      <c r="G6539" s="2" t="s">
        <v>181</v>
      </c>
      <c r="I6539" s="95" t="s">
        <v>7231</v>
      </c>
      <c r="J6539" t="s">
        <v>4405</v>
      </c>
      <c r="K6539" t="s">
        <v>4406</v>
      </c>
      <c r="M6539">
        <v>124.51</v>
      </c>
      <c r="N6539" s="4">
        <f t="shared" si="101"/>
        <v>-360.60469038631436</v>
      </c>
      <c r="O6539" t="s">
        <v>83</v>
      </c>
      <c r="P6539" s="34" t="s">
        <v>3907</v>
      </c>
    </row>
    <row r="6540" spans="1:17" x14ac:dyDescent="0.25">
      <c r="A6540" s="22">
        <v>45869</v>
      </c>
      <c r="B6540" s="1">
        <v>715879723</v>
      </c>
      <c r="C6540" t="s">
        <v>4930</v>
      </c>
      <c r="D6540" s="44">
        <v>-1858.08</v>
      </c>
      <c r="E6540" t="s">
        <v>35</v>
      </c>
      <c r="F6540" s="2">
        <v>110114001</v>
      </c>
      <c r="G6540" s="2" t="s">
        <v>181</v>
      </c>
      <c r="I6540" s="95" t="s">
        <v>7231</v>
      </c>
      <c r="J6540" t="s">
        <v>414</v>
      </c>
      <c r="K6540" t="s">
        <v>415</v>
      </c>
      <c r="M6540">
        <v>124.51</v>
      </c>
      <c r="N6540" s="4">
        <f t="shared" ref="N6540:N6603" si="102">D6540/M6540</f>
        <v>-14.923138703718575</v>
      </c>
      <c r="O6540" t="s">
        <v>83</v>
      </c>
      <c r="P6540" s="34" t="s">
        <v>3907</v>
      </c>
    </row>
    <row r="6541" spans="1:17" ht="15.75" thickBot="1" x14ac:dyDescent="0.3">
      <c r="A6541" s="33">
        <v>45869</v>
      </c>
      <c r="B6541" s="27">
        <v>715879726</v>
      </c>
      <c r="C6541" s="28" t="s">
        <v>4931</v>
      </c>
      <c r="D6541" s="47">
        <v>-2490.1999999999998</v>
      </c>
      <c r="E6541" s="28" t="s">
        <v>35</v>
      </c>
      <c r="F6541" s="30">
        <v>610125001</v>
      </c>
      <c r="G6541" s="30" t="s">
        <v>2536</v>
      </c>
      <c r="H6541" s="30"/>
      <c r="I6541" s="95" t="s">
        <v>7231</v>
      </c>
      <c r="J6541" s="28" t="s">
        <v>406</v>
      </c>
      <c r="K6541" s="28" t="s">
        <v>407</v>
      </c>
      <c r="L6541" s="28" t="s">
        <v>56</v>
      </c>
      <c r="M6541" s="28">
        <v>124.51</v>
      </c>
      <c r="N6541" s="4">
        <f t="shared" si="102"/>
        <v>-19.999999999999996</v>
      </c>
      <c r="O6541" t="s">
        <v>83</v>
      </c>
      <c r="Q6541" s="24" t="s">
        <v>4932</v>
      </c>
    </row>
    <row r="6542" spans="1:17" ht="15.75" thickBot="1" x14ac:dyDescent="0.3">
      <c r="A6542" s="22">
        <v>45869</v>
      </c>
      <c r="B6542" s="1">
        <v>715879725</v>
      </c>
      <c r="C6542" t="s">
        <v>4933</v>
      </c>
      <c r="D6542" s="44">
        <v>-5046.32</v>
      </c>
      <c r="E6542" t="s">
        <v>35</v>
      </c>
      <c r="F6542" s="2">
        <v>610156001</v>
      </c>
      <c r="G6542" s="2" t="s">
        <v>72</v>
      </c>
      <c r="I6542" s="95" t="s">
        <v>7231</v>
      </c>
      <c r="J6542" s="86" t="s">
        <v>502</v>
      </c>
      <c r="K6542" s="86" t="s">
        <v>503</v>
      </c>
      <c r="M6542">
        <v>124.51</v>
      </c>
      <c r="N6542" s="4">
        <f t="shared" si="102"/>
        <v>-40.529435386715924</v>
      </c>
      <c r="O6542" t="s">
        <v>83</v>
      </c>
    </row>
    <row r="6543" spans="1:17" x14ac:dyDescent="0.25">
      <c r="A6543" s="22">
        <v>45869</v>
      </c>
      <c r="B6543" s="1">
        <v>50747576</v>
      </c>
      <c r="C6543" t="s">
        <v>89</v>
      </c>
      <c r="D6543" s="44">
        <v>-148.12</v>
      </c>
      <c r="E6543" t="s">
        <v>35</v>
      </c>
      <c r="F6543" s="2">
        <v>610148001</v>
      </c>
      <c r="G6543" s="2" t="s">
        <v>41</v>
      </c>
      <c r="I6543" s="95" t="s">
        <v>7231</v>
      </c>
      <c r="J6543" t="s">
        <v>42</v>
      </c>
      <c r="K6543" t="s">
        <v>41</v>
      </c>
      <c r="M6543">
        <v>124.51</v>
      </c>
      <c r="N6543" s="4">
        <f t="shared" si="102"/>
        <v>-1.1896233234278371</v>
      </c>
      <c r="O6543" t="s">
        <v>83</v>
      </c>
      <c r="Q6543" s="24" t="s">
        <v>4392</v>
      </c>
    </row>
    <row r="6544" spans="1:17" x14ac:dyDescent="0.25">
      <c r="A6544" s="22">
        <v>45869</v>
      </c>
      <c r="C6544" t="s">
        <v>602</v>
      </c>
      <c r="D6544" s="44">
        <v>-0.5</v>
      </c>
      <c r="E6544" t="s">
        <v>35</v>
      </c>
      <c r="F6544" s="2">
        <v>610148001</v>
      </c>
      <c r="G6544" s="2" t="s">
        <v>41</v>
      </c>
      <c r="I6544" s="95" t="s">
        <v>7231</v>
      </c>
      <c r="J6544" t="s">
        <v>42</v>
      </c>
      <c r="K6544" t="s">
        <v>41</v>
      </c>
      <c r="M6544">
        <v>124.51</v>
      </c>
      <c r="N6544" s="4">
        <f t="shared" si="102"/>
        <v>-4.0157417074933735E-3</v>
      </c>
      <c r="O6544" t="s">
        <v>83</v>
      </c>
      <c r="Q6544" s="24" t="s">
        <v>4392</v>
      </c>
    </row>
    <row r="6545" spans="1:17" x14ac:dyDescent="0.25">
      <c r="A6545" s="22">
        <v>45869</v>
      </c>
      <c r="C6545" t="s">
        <v>603</v>
      </c>
      <c r="D6545" s="44">
        <v>-0.5</v>
      </c>
      <c r="E6545" t="s">
        <v>35</v>
      </c>
      <c r="F6545" s="2">
        <v>610148001</v>
      </c>
      <c r="G6545" s="2" t="s">
        <v>41</v>
      </c>
      <c r="I6545" s="95" t="s">
        <v>7231</v>
      </c>
      <c r="J6545" t="s">
        <v>42</v>
      </c>
      <c r="K6545" t="s">
        <v>41</v>
      </c>
      <c r="M6545">
        <v>124.51</v>
      </c>
      <c r="N6545" s="4">
        <f t="shared" si="102"/>
        <v>-4.0157417074933735E-3</v>
      </c>
      <c r="O6545" t="s">
        <v>83</v>
      </c>
      <c r="Q6545" s="24" t="s">
        <v>4392</v>
      </c>
    </row>
    <row r="6546" spans="1:17" x14ac:dyDescent="0.25">
      <c r="A6546" s="22">
        <v>45840</v>
      </c>
      <c r="B6546" s="1" t="s">
        <v>4934</v>
      </c>
      <c r="C6546" t="s">
        <v>293</v>
      </c>
      <c r="D6546" s="44" t="s">
        <v>4935</v>
      </c>
      <c r="E6546" t="s">
        <v>45</v>
      </c>
      <c r="F6546" s="2">
        <v>210115002</v>
      </c>
      <c r="G6546" s="2" t="s">
        <v>46</v>
      </c>
      <c r="I6546" s="95" t="s">
        <v>7231</v>
      </c>
      <c r="K6546" t="s">
        <v>293</v>
      </c>
      <c r="M6546">
        <v>108.98</v>
      </c>
      <c r="N6546" s="4">
        <f t="shared" si="102"/>
        <v>24866.948063864929</v>
      </c>
      <c r="O6546" t="s">
        <v>4936</v>
      </c>
    </row>
    <row r="6547" spans="1:17" x14ac:dyDescent="0.25">
      <c r="A6547" s="22">
        <v>45840</v>
      </c>
      <c r="B6547" s="1" t="s">
        <v>613</v>
      </c>
      <c r="C6547" t="s">
        <v>3900</v>
      </c>
      <c r="D6547" s="44" t="s">
        <v>4277</v>
      </c>
      <c r="E6547" t="s">
        <v>35</v>
      </c>
      <c r="F6547" s="2">
        <v>110114001</v>
      </c>
      <c r="G6547" s="2" t="s">
        <v>181</v>
      </c>
      <c r="I6547" s="95" t="s">
        <v>7231</v>
      </c>
      <c r="J6547" t="s">
        <v>1007</v>
      </c>
      <c r="K6547" t="s">
        <v>1008</v>
      </c>
      <c r="M6547">
        <v>108.98</v>
      </c>
      <c r="N6547" s="4">
        <f t="shared" si="102"/>
        <v>-1835.1991191044228</v>
      </c>
      <c r="O6547" t="s">
        <v>4936</v>
      </c>
    </row>
    <row r="6548" spans="1:17" x14ac:dyDescent="0.25">
      <c r="A6548" s="22">
        <v>45840</v>
      </c>
      <c r="B6548" s="1" t="s">
        <v>613</v>
      </c>
      <c r="C6548" t="s">
        <v>3900</v>
      </c>
      <c r="D6548" s="44" t="s">
        <v>4277</v>
      </c>
      <c r="E6548" t="s">
        <v>35</v>
      </c>
      <c r="F6548" s="2">
        <v>110114001</v>
      </c>
      <c r="G6548" s="2" t="s">
        <v>181</v>
      </c>
      <c r="I6548" s="95" t="s">
        <v>7231</v>
      </c>
      <c r="J6548" t="s">
        <v>1007</v>
      </c>
      <c r="K6548" t="s">
        <v>1008</v>
      </c>
      <c r="M6548">
        <v>108.98</v>
      </c>
      <c r="N6548" s="4">
        <f t="shared" si="102"/>
        <v>-1835.1991191044228</v>
      </c>
      <c r="O6548" t="s">
        <v>4936</v>
      </c>
    </row>
    <row r="6549" spans="1:17" x14ac:dyDescent="0.25">
      <c r="A6549" s="22">
        <v>45840</v>
      </c>
      <c r="B6549" s="1" t="s">
        <v>613</v>
      </c>
      <c r="C6549" t="s">
        <v>3900</v>
      </c>
      <c r="D6549" s="44" t="s">
        <v>4277</v>
      </c>
      <c r="E6549" t="s">
        <v>35</v>
      </c>
      <c r="F6549" s="2">
        <v>110114001</v>
      </c>
      <c r="G6549" s="2" t="s">
        <v>181</v>
      </c>
      <c r="I6549" s="95" t="s">
        <v>7231</v>
      </c>
      <c r="J6549" t="s">
        <v>1007</v>
      </c>
      <c r="K6549" t="s">
        <v>1008</v>
      </c>
      <c r="M6549">
        <v>108.98</v>
      </c>
      <c r="N6549" s="4">
        <f t="shared" si="102"/>
        <v>-1835.1991191044228</v>
      </c>
      <c r="O6549" t="s">
        <v>4936</v>
      </c>
    </row>
    <row r="6550" spans="1:17" ht="15.75" x14ac:dyDescent="0.25">
      <c r="A6550" s="22">
        <v>45840</v>
      </c>
      <c r="B6550" s="1" t="s">
        <v>613</v>
      </c>
      <c r="C6550" t="s">
        <v>4937</v>
      </c>
      <c r="D6550" s="44" t="s">
        <v>4938</v>
      </c>
      <c r="E6550" t="s">
        <v>35</v>
      </c>
      <c r="F6550" s="2">
        <v>110114001</v>
      </c>
      <c r="G6550" s="2" t="s">
        <v>181</v>
      </c>
      <c r="I6550" s="95" t="s">
        <v>7231</v>
      </c>
      <c r="J6550" t="s">
        <v>37</v>
      </c>
      <c r="K6550" t="s">
        <v>38</v>
      </c>
      <c r="M6550">
        <v>108.98</v>
      </c>
      <c r="N6550" s="4">
        <f t="shared" si="102"/>
        <v>-1640.3170306478253</v>
      </c>
      <c r="O6550" t="s">
        <v>4936</v>
      </c>
      <c r="P6550" s="37" t="s">
        <v>3907</v>
      </c>
    </row>
    <row r="6551" spans="1:17" x14ac:dyDescent="0.25">
      <c r="A6551" s="22">
        <v>45840</v>
      </c>
      <c r="B6551" s="1" t="s">
        <v>613</v>
      </c>
      <c r="C6551" t="s">
        <v>3900</v>
      </c>
      <c r="D6551" s="44" t="s">
        <v>4277</v>
      </c>
      <c r="E6551" t="s">
        <v>35</v>
      </c>
      <c r="F6551" s="2">
        <v>110114001</v>
      </c>
      <c r="G6551" s="2" t="s">
        <v>181</v>
      </c>
      <c r="I6551" s="95" t="s">
        <v>7231</v>
      </c>
      <c r="J6551" t="s">
        <v>1007</v>
      </c>
      <c r="K6551" t="s">
        <v>1008</v>
      </c>
      <c r="M6551">
        <v>108.98</v>
      </c>
      <c r="N6551" s="4">
        <f t="shared" si="102"/>
        <v>-1835.1991191044228</v>
      </c>
      <c r="O6551" t="s">
        <v>4936</v>
      </c>
    </row>
    <row r="6552" spans="1:17" ht="15.75" x14ac:dyDescent="0.25">
      <c r="A6552" s="22">
        <v>45840</v>
      </c>
      <c r="B6552" s="1" t="s">
        <v>613</v>
      </c>
      <c r="C6552" t="s">
        <v>4937</v>
      </c>
      <c r="D6552" s="44" t="s">
        <v>4277</v>
      </c>
      <c r="E6552" t="s">
        <v>35</v>
      </c>
      <c r="F6552" s="2">
        <v>110114001</v>
      </c>
      <c r="G6552" s="2" t="s">
        <v>181</v>
      </c>
      <c r="I6552" s="95" t="s">
        <v>7231</v>
      </c>
      <c r="J6552" t="s">
        <v>37</v>
      </c>
      <c r="K6552" t="s">
        <v>38</v>
      </c>
      <c r="M6552">
        <v>108.98</v>
      </c>
      <c r="N6552" s="4">
        <f t="shared" si="102"/>
        <v>-1835.1991191044228</v>
      </c>
      <c r="O6552" t="s">
        <v>4936</v>
      </c>
      <c r="P6552" s="37" t="s">
        <v>3907</v>
      </c>
    </row>
    <row r="6553" spans="1:17" ht="15.75" x14ac:dyDescent="0.25">
      <c r="A6553" s="22">
        <v>45840</v>
      </c>
      <c r="B6553" s="1" t="s">
        <v>1898</v>
      </c>
      <c r="C6553" t="s">
        <v>4937</v>
      </c>
      <c r="D6553" s="44" t="s">
        <v>4277</v>
      </c>
      <c r="E6553" t="s">
        <v>35</v>
      </c>
      <c r="F6553" s="2">
        <v>110114001</v>
      </c>
      <c r="G6553" s="2" t="s">
        <v>181</v>
      </c>
      <c r="I6553" s="95" t="s">
        <v>7231</v>
      </c>
      <c r="J6553" t="s">
        <v>37</v>
      </c>
      <c r="K6553" t="s">
        <v>38</v>
      </c>
      <c r="M6553">
        <v>108.98</v>
      </c>
      <c r="N6553" s="4">
        <f t="shared" si="102"/>
        <v>-1835.1991191044228</v>
      </c>
      <c r="O6553" t="s">
        <v>4936</v>
      </c>
      <c r="P6553" s="37" t="s">
        <v>3907</v>
      </c>
    </row>
    <row r="6554" spans="1:17" ht="15.75" x14ac:dyDescent="0.25">
      <c r="A6554" s="22">
        <v>45840</v>
      </c>
      <c r="B6554" s="1" t="s">
        <v>1898</v>
      </c>
      <c r="C6554" t="s">
        <v>4937</v>
      </c>
      <c r="D6554" s="44" t="s">
        <v>4277</v>
      </c>
      <c r="E6554" t="s">
        <v>35</v>
      </c>
      <c r="F6554" s="2">
        <v>110114001</v>
      </c>
      <c r="G6554" s="2" t="s">
        <v>181</v>
      </c>
      <c r="I6554" s="95" t="s">
        <v>7231</v>
      </c>
      <c r="J6554" t="s">
        <v>37</v>
      </c>
      <c r="K6554" t="s">
        <v>38</v>
      </c>
      <c r="M6554">
        <v>108.98</v>
      </c>
      <c r="N6554" s="4">
        <f t="shared" si="102"/>
        <v>-1835.1991191044228</v>
      </c>
      <c r="O6554" t="s">
        <v>4936</v>
      </c>
      <c r="P6554" s="37" t="s">
        <v>3907</v>
      </c>
    </row>
    <row r="6555" spans="1:17" ht="15.75" x14ac:dyDescent="0.25">
      <c r="A6555" s="22">
        <v>45840</v>
      </c>
      <c r="B6555" s="1" t="s">
        <v>613</v>
      </c>
      <c r="C6555" t="s">
        <v>4937</v>
      </c>
      <c r="D6555" s="44" t="s">
        <v>4277</v>
      </c>
      <c r="E6555" t="s">
        <v>35</v>
      </c>
      <c r="F6555" s="2">
        <v>110114001</v>
      </c>
      <c r="G6555" s="2" t="s">
        <v>181</v>
      </c>
      <c r="I6555" s="95" t="s">
        <v>7231</v>
      </c>
      <c r="J6555" t="s">
        <v>37</v>
      </c>
      <c r="K6555" t="s">
        <v>38</v>
      </c>
      <c r="M6555">
        <v>108.98</v>
      </c>
      <c r="N6555" s="4">
        <f t="shared" si="102"/>
        <v>-1835.1991191044228</v>
      </c>
      <c r="O6555" t="s">
        <v>4936</v>
      </c>
      <c r="P6555" s="37" t="s">
        <v>3907</v>
      </c>
    </row>
    <row r="6556" spans="1:17" ht="15.75" x14ac:dyDescent="0.25">
      <c r="A6556" s="22">
        <v>45840</v>
      </c>
      <c r="B6556" s="1" t="s">
        <v>613</v>
      </c>
      <c r="C6556" t="s">
        <v>4937</v>
      </c>
      <c r="D6556" s="44" t="s">
        <v>4277</v>
      </c>
      <c r="E6556" t="s">
        <v>35</v>
      </c>
      <c r="F6556" s="2">
        <v>110114001</v>
      </c>
      <c r="G6556" s="2" t="s">
        <v>181</v>
      </c>
      <c r="I6556" s="95" t="s">
        <v>7231</v>
      </c>
      <c r="J6556" t="s">
        <v>37</v>
      </c>
      <c r="K6556" t="s">
        <v>38</v>
      </c>
      <c r="M6556">
        <v>108.98</v>
      </c>
      <c r="N6556" s="4">
        <f t="shared" si="102"/>
        <v>-1835.1991191044228</v>
      </c>
      <c r="O6556" t="s">
        <v>4936</v>
      </c>
      <c r="P6556" s="37" t="s">
        <v>3907</v>
      </c>
    </row>
    <row r="6557" spans="1:17" ht="15.75" x14ac:dyDescent="0.25">
      <c r="A6557" s="22">
        <v>45840</v>
      </c>
      <c r="B6557" s="1" t="s">
        <v>613</v>
      </c>
      <c r="C6557" t="s">
        <v>4937</v>
      </c>
      <c r="D6557" s="44" t="s">
        <v>4277</v>
      </c>
      <c r="E6557" t="s">
        <v>35</v>
      </c>
      <c r="F6557" s="2">
        <v>110114001</v>
      </c>
      <c r="G6557" s="2" t="s">
        <v>181</v>
      </c>
      <c r="I6557" s="95" t="s">
        <v>7231</v>
      </c>
      <c r="J6557" t="s">
        <v>37</v>
      </c>
      <c r="K6557" t="s">
        <v>38</v>
      </c>
      <c r="M6557">
        <v>108.98</v>
      </c>
      <c r="N6557" s="4">
        <f t="shared" si="102"/>
        <v>-1835.1991191044228</v>
      </c>
      <c r="O6557" t="s">
        <v>4936</v>
      </c>
      <c r="P6557" s="37" t="s">
        <v>3907</v>
      </c>
    </row>
    <row r="6558" spans="1:17" ht="15.75" x14ac:dyDescent="0.25">
      <c r="A6558" s="22">
        <v>45840</v>
      </c>
      <c r="B6558" s="1" t="s">
        <v>1898</v>
      </c>
      <c r="C6558" t="s">
        <v>4937</v>
      </c>
      <c r="D6558" s="44" t="s">
        <v>4277</v>
      </c>
      <c r="E6558" t="s">
        <v>35</v>
      </c>
      <c r="F6558" s="2">
        <v>110114001</v>
      </c>
      <c r="G6558" s="2" t="s">
        <v>181</v>
      </c>
      <c r="I6558" s="95" t="s">
        <v>7231</v>
      </c>
      <c r="J6558" t="s">
        <v>37</v>
      </c>
      <c r="K6558" t="s">
        <v>38</v>
      </c>
      <c r="M6558">
        <v>108.98</v>
      </c>
      <c r="N6558" s="4">
        <f t="shared" si="102"/>
        <v>-1835.1991191044228</v>
      </c>
      <c r="O6558" t="s">
        <v>4936</v>
      </c>
      <c r="P6558" s="37" t="s">
        <v>3907</v>
      </c>
    </row>
    <row r="6559" spans="1:17" ht="15.75" x14ac:dyDescent="0.25">
      <c r="A6559" s="22">
        <v>45840</v>
      </c>
      <c r="B6559" s="1" t="s">
        <v>1898</v>
      </c>
      <c r="C6559" t="s">
        <v>4937</v>
      </c>
      <c r="D6559" s="44" t="s">
        <v>4277</v>
      </c>
      <c r="E6559" t="s">
        <v>35</v>
      </c>
      <c r="F6559" s="2">
        <v>110114001</v>
      </c>
      <c r="G6559" s="2" t="s">
        <v>181</v>
      </c>
      <c r="I6559" s="95" t="s">
        <v>7231</v>
      </c>
      <c r="J6559" t="s">
        <v>37</v>
      </c>
      <c r="K6559" t="s">
        <v>38</v>
      </c>
      <c r="M6559">
        <v>108.98</v>
      </c>
      <c r="N6559" s="4">
        <f t="shared" si="102"/>
        <v>-1835.1991191044228</v>
      </c>
      <c r="O6559" t="s">
        <v>4936</v>
      </c>
      <c r="P6559" s="37" t="s">
        <v>3907</v>
      </c>
    </row>
    <row r="6560" spans="1:17" x14ac:dyDescent="0.25">
      <c r="A6560" s="22">
        <v>45840</v>
      </c>
      <c r="B6560" s="1" t="s">
        <v>1898</v>
      </c>
      <c r="C6560" t="s">
        <v>3900</v>
      </c>
      <c r="D6560" s="44" t="s">
        <v>4939</v>
      </c>
      <c r="E6560" t="s">
        <v>35</v>
      </c>
      <c r="F6560" s="2">
        <v>110114001</v>
      </c>
      <c r="G6560" s="2" t="s">
        <v>181</v>
      </c>
      <c r="I6560" s="95" t="s">
        <v>7231</v>
      </c>
      <c r="J6560" t="s">
        <v>1007</v>
      </c>
      <c r="K6560" t="s">
        <v>1008</v>
      </c>
      <c r="M6560">
        <v>108.98</v>
      </c>
      <c r="N6560" s="4">
        <f t="shared" si="102"/>
        <v>-1159.2035235823087</v>
      </c>
      <c r="O6560" t="s">
        <v>4936</v>
      </c>
    </row>
    <row r="6561" spans="1:17" x14ac:dyDescent="0.25">
      <c r="A6561" s="22">
        <v>45840</v>
      </c>
      <c r="B6561" s="1" t="s">
        <v>623</v>
      </c>
      <c r="C6561" t="s">
        <v>622</v>
      </c>
      <c r="D6561" s="44" t="s">
        <v>4940</v>
      </c>
      <c r="E6561" t="s">
        <v>35</v>
      </c>
      <c r="F6561" s="2">
        <v>610148001</v>
      </c>
      <c r="G6561" s="2" t="s">
        <v>41</v>
      </c>
      <c r="I6561" s="95" t="s">
        <v>7231</v>
      </c>
      <c r="J6561" t="s">
        <v>42</v>
      </c>
      <c r="K6561" t="s">
        <v>41</v>
      </c>
      <c r="M6561">
        <v>108.98</v>
      </c>
      <c r="N6561" s="4">
        <f t="shared" si="102"/>
        <v>-4.1007524316388322</v>
      </c>
      <c r="O6561" t="s">
        <v>4936</v>
      </c>
    </row>
    <row r="6562" spans="1:17" x14ac:dyDescent="0.25">
      <c r="A6562" s="22">
        <v>45840</v>
      </c>
      <c r="B6562" s="1" t="s">
        <v>623</v>
      </c>
      <c r="C6562" t="s">
        <v>622</v>
      </c>
      <c r="D6562" s="44" t="s">
        <v>4251</v>
      </c>
      <c r="E6562" t="s">
        <v>35</v>
      </c>
      <c r="F6562" s="2">
        <v>610148001</v>
      </c>
      <c r="G6562" s="2" t="s">
        <v>41</v>
      </c>
      <c r="I6562" s="95" t="s">
        <v>7231</v>
      </c>
      <c r="J6562" t="s">
        <v>42</v>
      </c>
      <c r="K6562" t="s">
        <v>41</v>
      </c>
      <c r="M6562">
        <v>108.98</v>
      </c>
      <c r="N6562" s="4">
        <f t="shared" si="102"/>
        <v>-4.5879977977610569</v>
      </c>
      <c r="O6562" t="s">
        <v>4936</v>
      </c>
    </row>
    <row r="6563" spans="1:17" x14ac:dyDescent="0.25">
      <c r="A6563" s="22">
        <v>45840</v>
      </c>
      <c r="B6563" s="1" t="s">
        <v>1916</v>
      </c>
      <c r="C6563" t="s">
        <v>622</v>
      </c>
      <c r="D6563" s="44" t="s">
        <v>4251</v>
      </c>
      <c r="E6563" t="s">
        <v>35</v>
      </c>
      <c r="F6563" s="2">
        <v>610148001</v>
      </c>
      <c r="G6563" s="2" t="s">
        <v>41</v>
      </c>
      <c r="I6563" s="95" t="s">
        <v>7231</v>
      </c>
      <c r="J6563" t="s">
        <v>42</v>
      </c>
      <c r="K6563" t="s">
        <v>41</v>
      </c>
      <c r="M6563">
        <v>108.98</v>
      </c>
      <c r="N6563" s="4">
        <f t="shared" si="102"/>
        <v>-4.5879977977610569</v>
      </c>
      <c r="O6563" t="s">
        <v>4936</v>
      </c>
    </row>
    <row r="6564" spans="1:17" x14ac:dyDescent="0.25">
      <c r="A6564" s="22">
        <v>45840</v>
      </c>
      <c r="B6564" s="1" t="s">
        <v>623</v>
      </c>
      <c r="C6564" t="s">
        <v>622</v>
      </c>
      <c r="D6564" s="44" t="s">
        <v>4251</v>
      </c>
      <c r="E6564" t="s">
        <v>35</v>
      </c>
      <c r="F6564" s="2">
        <v>610148001</v>
      </c>
      <c r="G6564" s="2" t="s">
        <v>41</v>
      </c>
      <c r="I6564" s="95" t="s">
        <v>7231</v>
      </c>
      <c r="J6564" t="s">
        <v>42</v>
      </c>
      <c r="K6564" t="s">
        <v>41</v>
      </c>
      <c r="M6564">
        <v>108.98</v>
      </c>
      <c r="N6564" s="4">
        <f t="shared" si="102"/>
        <v>-4.5879977977610569</v>
      </c>
      <c r="O6564" t="s">
        <v>4936</v>
      </c>
    </row>
    <row r="6565" spans="1:17" x14ac:dyDescent="0.25">
      <c r="A6565" s="22">
        <v>45840</v>
      </c>
      <c r="B6565" s="1" t="s">
        <v>1916</v>
      </c>
      <c r="C6565" t="s">
        <v>622</v>
      </c>
      <c r="D6565" s="44" t="s">
        <v>4251</v>
      </c>
      <c r="E6565" t="s">
        <v>35</v>
      </c>
      <c r="F6565" s="2">
        <v>610148001</v>
      </c>
      <c r="G6565" s="2" t="s">
        <v>41</v>
      </c>
      <c r="I6565" s="95" t="s">
        <v>7231</v>
      </c>
      <c r="J6565" t="s">
        <v>42</v>
      </c>
      <c r="K6565" t="s">
        <v>41</v>
      </c>
      <c r="M6565">
        <v>108.98</v>
      </c>
      <c r="N6565" s="4">
        <f t="shared" si="102"/>
        <v>-4.5879977977610569</v>
      </c>
      <c r="O6565" t="s">
        <v>4936</v>
      </c>
    </row>
    <row r="6566" spans="1:17" x14ac:dyDescent="0.25">
      <c r="A6566" s="22">
        <v>45840</v>
      </c>
      <c r="B6566" s="1" t="s">
        <v>623</v>
      </c>
      <c r="C6566" t="s">
        <v>622</v>
      </c>
      <c r="D6566" s="44" t="s">
        <v>4251</v>
      </c>
      <c r="E6566" t="s">
        <v>35</v>
      </c>
      <c r="F6566" s="2">
        <v>610148001</v>
      </c>
      <c r="G6566" s="2" t="s">
        <v>41</v>
      </c>
      <c r="I6566" s="95" t="s">
        <v>7231</v>
      </c>
      <c r="J6566" t="s">
        <v>42</v>
      </c>
      <c r="K6566" t="s">
        <v>41</v>
      </c>
      <c r="M6566">
        <v>108.98</v>
      </c>
      <c r="N6566" s="4">
        <f t="shared" si="102"/>
        <v>-4.5879977977610569</v>
      </c>
      <c r="O6566" t="s">
        <v>4936</v>
      </c>
    </row>
    <row r="6567" spans="1:17" x14ac:dyDescent="0.25">
      <c r="A6567" s="22">
        <v>45840</v>
      </c>
      <c r="B6567" s="1" t="s">
        <v>623</v>
      </c>
      <c r="C6567" t="s">
        <v>622</v>
      </c>
      <c r="D6567" s="44" t="s">
        <v>4251</v>
      </c>
      <c r="E6567" t="s">
        <v>35</v>
      </c>
      <c r="F6567" s="2">
        <v>610148001</v>
      </c>
      <c r="G6567" s="2" t="s">
        <v>41</v>
      </c>
      <c r="I6567" s="95" t="s">
        <v>7231</v>
      </c>
      <c r="J6567" t="s">
        <v>42</v>
      </c>
      <c r="K6567" t="s">
        <v>41</v>
      </c>
      <c r="M6567">
        <v>108.98</v>
      </c>
      <c r="N6567" s="4">
        <f t="shared" si="102"/>
        <v>-4.5879977977610569</v>
      </c>
      <c r="O6567" t="s">
        <v>4936</v>
      </c>
    </row>
    <row r="6568" spans="1:17" x14ac:dyDescent="0.25">
      <c r="A6568" s="22">
        <v>45840</v>
      </c>
      <c r="B6568" s="1" t="s">
        <v>623</v>
      </c>
      <c r="C6568" t="s">
        <v>622</v>
      </c>
      <c r="D6568" s="44" t="s">
        <v>4251</v>
      </c>
      <c r="E6568" t="s">
        <v>35</v>
      </c>
      <c r="F6568" s="2">
        <v>610148001</v>
      </c>
      <c r="G6568" s="2" t="s">
        <v>41</v>
      </c>
      <c r="I6568" s="95" t="s">
        <v>7231</v>
      </c>
      <c r="J6568" t="s">
        <v>42</v>
      </c>
      <c r="K6568" t="s">
        <v>41</v>
      </c>
      <c r="M6568">
        <v>108.98</v>
      </c>
      <c r="N6568" s="4">
        <f t="shared" si="102"/>
        <v>-4.5879977977610569</v>
      </c>
      <c r="O6568" t="s">
        <v>4936</v>
      </c>
    </row>
    <row r="6569" spans="1:17" x14ac:dyDescent="0.25">
      <c r="A6569" s="22">
        <v>45840</v>
      </c>
      <c r="B6569" s="1" t="s">
        <v>623</v>
      </c>
      <c r="C6569" t="s">
        <v>622</v>
      </c>
      <c r="D6569" s="44" t="s">
        <v>4251</v>
      </c>
      <c r="E6569" t="s">
        <v>35</v>
      </c>
      <c r="F6569" s="2">
        <v>610148001</v>
      </c>
      <c r="G6569" s="2" t="s">
        <v>41</v>
      </c>
      <c r="I6569" s="95" t="s">
        <v>7231</v>
      </c>
      <c r="J6569" t="s">
        <v>42</v>
      </c>
      <c r="K6569" t="s">
        <v>41</v>
      </c>
      <c r="M6569">
        <v>108.98</v>
      </c>
      <c r="N6569" s="4">
        <f t="shared" si="102"/>
        <v>-4.5879977977610569</v>
      </c>
      <c r="O6569" t="s">
        <v>4936</v>
      </c>
    </row>
    <row r="6570" spans="1:17" x14ac:dyDescent="0.25">
      <c r="A6570" s="22">
        <v>45840</v>
      </c>
      <c r="B6570" s="1" t="s">
        <v>623</v>
      </c>
      <c r="C6570" t="s">
        <v>622</v>
      </c>
      <c r="D6570" s="44" t="s">
        <v>4251</v>
      </c>
      <c r="E6570" t="s">
        <v>35</v>
      </c>
      <c r="F6570" s="2">
        <v>610148001</v>
      </c>
      <c r="G6570" s="2" t="s">
        <v>41</v>
      </c>
      <c r="I6570" s="95" t="s">
        <v>7231</v>
      </c>
      <c r="J6570" t="s">
        <v>42</v>
      </c>
      <c r="K6570" t="s">
        <v>41</v>
      </c>
      <c r="M6570">
        <v>108.98</v>
      </c>
      <c r="N6570" s="4">
        <f t="shared" si="102"/>
        <v>-4.5879977977610569</v>
      </c>
      <c r="O6570" t="s">
        <v>4936</v>
      </c>
    </row>
    <row r="6571" spans="1:17" x14ac:dyDescent="0.25">
      <c r="A6571" s="22">
        <v>45840</v>
      </c>
      <c r="B6571" s="1" t="s">
        <v>1916</v>
      </c>
      <c r="C6571" t="s">
        <v>622</v>
      </c>
      <c r="D6571" s="44" t="s">
        <v>4941</v>
      </c>
      <c r="E6571" t="s">
        <v>35</v>
      </c>
      <c r="F6571" s="2">
        <v>610148001</v>
      </c>
      <c r="G6571" s="2" t="s">
        <v>41</v>
      </c>
      <c r="I6571" s="95" t="s">
        <v>7231</v>
      </c>
      <c r="J6571" t="s">
        <v>42</v>
      </c>
      <c r="K6571" t="s">
        <v>41</v>
      </c>
      <c r="M6571">
        <v>108.98</v>
      </c>
      <c r="N6571" s="4">
        <f t="shared" si="102"/>
        <v>-2.897962928977794</v>
      </c>
      <c r="O6571" t="s">
        <v>4936</v>
      </c>
    </row>
    <row r="6572" spans="1:17" x14ac:dyDescent="0.25">
      <c r="A6572" s="22">
        <v>45840</v>
      </c>
      <c r="B6572" s="1" t="s">
        <v>623</v>
      </c>
      <c r="C6572" t="s">
        <v>622</v>
      </c>
      <c r="D6572" s="44" t="s">
        <v>4251</v>
      </c>
      <c r="E6572" t="s">
        <v>35</v>
      </c>
      <c r="F6572" s="2">
        <v>610148001</v>
      </c>
      <c r="G6572" s="2" t="s">
        <v>41</v>
      </c>
      <c r="I6572" s="95" t="s">
        <v>7231</v>
      </c>
      <c r="J6572" t="s">
        <v>42</v>
      </c>
      <c r="K6572" t="s">
        <v>41</v>
      </c>
      <c r="M6572">
        <v>108.98</v>
      </c>
      <c r="N6572" s="4">
        <f t="shared" si="102"/>
        <v>-4.5879977977610569</v>
      </c>
      <c r="O6572" t="s">
        <v>4936</v>
      </c>
    </row>
    <row r="6573" spans="1:17" x14ac:dyDescent="0.25">
      <c r="A6573" s="22">
        <v>45840</v>
      </c>
      <c r="B6573" s="1" t="s">
        <v>1916</v>
      </c>
      <c r="C6573" t="s">
        <v>622</v>
      </c>
      <c r="D6573" s="44" t="s">
        <v>4251</v>
      </c>
      <c r="E6573" t="s">
        <v>35</v>
      </c>
      <c r="F6573" s="2">
        <v>610148001</v>
      </c>
      <c r="G6573" s="2" t="s">
        <v>41</v>
      </c>
      <c r="I6573" s="95" t="s">
        <v>7231</v>
      </c>
      <c r="J6573" t="s">
        <v>42</v>
      </c>
      <c r="K6573" t="s">
        <v>41</v>
      </c>
      <c r="M6573">
        <v>108.98</v>
      </c>
      <c r="N6573" s="4">
        <f t="shared" si="102"/>
        <v>-4.5879977977610569</v>
      </c>
      <c r="O6573" t="s">
        <v>4936</v>
      </c>
    </row>
    <row r="6574" spans="1:17" x14ac:dyDescent="0.25">
      <c r="A6574" s="22">
        <v>45840</v>
      </c>
      <c r="B6574" s="1" t="s">
        <v>1916</v>
      </c>
      <c r="C6574" t="s">
        <v>622</v>
      </c>
      <c r="D6574" s="44" t="s">
        <v>4251</v>
      </c>
      <c r="E6574" t="s">
        <v>35</v>
      </c>
      <c r="F6574" s="2">
        <v>610148001</v>
      </c>
      <c r="G6574" s="2" t="s">
        <v>41</v>
      </c>
      <c r="I6574" s="95" t="s">
        <v>7231</v>
      </c>
      <c r="J6574" t="s">
        <v>42</v>
      </c>
      <c r="K6574" t="s">
        <v>41</v>
      </c>
      <c r="M6574">
        <v>108.98</v>
      </c>
      <c r="N6574" s="4">
        <f t="shared" si="102"/>
        <v>-4.5879977977610569</v>
      </c>
      <c r="O6574" t="s">
        <v>4936</v>
      </c>
    </row>
    <row r="6575" spans="1:17" x14ac:dyDescent="0.25">
      <c r="A6575" s="22">
        <v>45842</v>
      </c>
      <c r="B6575" s="1" t="s">
        <v>4942</v>
      </c>
      <c r="C6575" t="s">
        <v>4943</v>
      </c>
      <c r="D6575" s="44">
        <v>-284.61</v>
      </c>
      <c r="E6575" t="s">
        <v>35</v>
      </c>
      <c r="F6575" s="2">
        <v>211001001</v>
      </c>
      <c r="G6575" s="2" t="s">
        <v>2508</v>
      </c>
      <c r="I6575" s="95" t="s">
        <v>7231</v>
      </c>
      <c r="J6575" t="s">
        <v>2509</v>
      </c>
      <c r="K6575" t="s">
        <v>2510</v>
      </c>
      <c r="M6575">
        <v>110.56</v>
      </c>
      <c r="N6575" s="4">
        <f t="shared" si="102"/>
        <v>-2.5742583212735166</v>
      </c>
      <c r="O6575" t="s">
        <v>4936</v>
      </c>
      <c r="Q6575" s="24" t="s">
        <v>4944</v>
      </c>
    </row>
    <row r="6576" spans="1:17" x14ac:dyDescent="0.25">
      <c r="A6576" s="22">
        <v>45842</v>
      </c>
      <c r="B6576" s="1" t="s">
        <v>4945</v>
      </c>
      <c r="C6576" t="s">
        <v>612</v>
      </c>
      <c r="D6576" s="44">
        <v>-0.28000000000000003</v>
      </c>
      <c r="E6576" t="s">
        <v>35</v>
      </c>
      <c r="F6576" s="2">
        <v>610148001</v>
      </c>
      <c r="G6576" s="2" t="s">
        <v>41</v>
      </c>
      <c r="I6576" s="95" t="s">
        <v>7231</v>
      </c>
      <c r="J6576" t="s">
        <v>42</v>
      </c>
      <c r="K6576" t="s">
        <v>41</v>
      </c>
      <c r="M6576">
        <v>110.56</v>
      </c>
      <c r="N6576" s="4">
        <f t="shared" si="102"/>
        <v>-2.532561505065123E-3</v>
      </c>
      <c r="O6576" t="s">
        <v>4936</v>
      </c>
    </row>
    <row r="6577" spans="1:17" x14ac:dyDescent="0.25">
      <c r="A6577" s="22">
        <v>45842</v>
      </c>
      <c r="B6577" s="1" t="s">
        <v>4946</v>
      </c>
      <c r="C6577" t="s">
        <v>4947</v>
      </c>
      <c r="D6577" s="44">
        <v>-876.15</v>
      </c>
      <c r="E6577" t="s">
        <v>35</v>
      </c>
      <c r="F6577" s="2">
        <v>213101001</v>
      </c>
      <c r="G6577" s="2" t="s">
        <v>642</v>
      </c>
      <c r="I6577" s="95" t="s">
        <v>7231</v>
      </c>
      <c r="J6577" t="s">
        <v>643</v>
      </c>
      <c r="K6577" t="s">
        <v>644</v>
      </c>
      <c r="M6577">
        <v>110.56</v>
      </c>
      <c r="N6577" s="4">
        <f t="shared" si="102"/>
        <v>-7.9246562952243123</v>
      </c>
      <c r="O6577" t="s">
        <v>4936</v>
      </c>
      <c r="Q6577" s="24" t="s">
        <v>4944</v>
      </c>
    </row>
    <row r="6578" spans="1:17" x14ac:dyDescent="0.25">
      <c r="A6578" s="22">
        <v>45842</v>
      </c>
      <c r="B6578" s="1" t="s">
        <v>4948</v>
      </c>
      <c r="C6578" t="s">
        <v>4949</v>
      </c>
      <c r="D6578" s="44">
        <v>-201.95</v>
      </c>
      <c r="E6578" t="s">
        <v>35</v>
      </c>
      <c r="F6578" s="2">
        <v>213201001</v>
      </c>
      <c r="G6578" s="2" t="s">
        <v>636</v>
      </c>
      <c r="I6578" s="95" t="s">
        <v>7231</v>
      </c>
      <c r="J6578" t="s">
        <v>637</v>
      </c>
      <c r="K6578" t="s">
        <v>638</v>
      </c>
      <c r="M6578">
        <v>110.56</v>
      </c>
      <c r="N6578" s="4">
        <f t="shared" si="102"/>
        <v>-1.8266099855282198</v>
      </c>
      <c r="O6578" t="s">
        <v>4936</v>
      </c>
      <c r="Q6578" s="24" t="s">
        <v>4944</v>
      </c>
    </row>
    <row r="6579" spans="1:17" x14ac:dyDescent="0.25">
      <c r="A6579" s="22">
        <v>45845</v>
      </c>
      <c r="B6579" s="1" t="s">
        <v>4950</v>
      </c>
      <c r="C6579" t="s">
        <v>293</v>
      </c>
      <c r="D6579" s="44" t="s">
        <v>4951</v>
      </c>
      <c r="E6579" t="s">
        <v>45</v>
      </c>
      <c r="F6579" s="2">
        <v>210115002</v>
      </c>
      <c r="G6579" s="2" t="s">
        <v>46</v>
      </c>
      <c r="I6579" s="95" t="s">
        <v>7231</v>
      </c>
      <c r="K6579" t="s">
        <v>293</v>
      </c>
      <c r="M6579">
        <v>111.42</v>
      </c>
      <c r="N6579" s="4">
        <f t="shared" si="102"/>
        <v>18039.849219170705</v>
      </c>
      <c r="O6579" t="s">
        <v>4936</v>
      </c>
    </row>
    <row r="6580" spans="1:17" x14ac:dyDescent="0.25">
      <c r="A6580" s="22">
        <v>45845</v>
      </c>
      <c r="B6580" s="1" t="s">
        <v>615</v>
      </c>
      <c r="C6580" t="s">
        <v>4952</v>
      </c>
      <c r="D6580" s="44">
        <v>-8148.24</v>
      </c>
      <c r="E6580" t="s">
        <v>35</v>
      </c>
      <c r="F6580" s="2">
        <v>210101001</v>
      </c>
      <c r="G6580" s="2" t="s">
        <v>36</v>
      </c>
      <c r="I6580" s="95" t="s">
        <v>7231</v>
      </c>
      <c r="J6580" t="s">
        <v>37</v>
      </c>
      <c r="K6580" t="s">
        <v>38</v>
      </c>
      <c r="M6580">
        <v>111.42</v>
      </c>
      <c r="N6580" s="4">
        <f t="shared" si="102"/>
        <v>-73.130856219709202</v>
      </c>
      <c r="O6580" t="s">
        <v>4936</v>
      </c>
    </row>
    <row r="6581" spans="1:17" x14ac:dyDescent="0.25">
      <c r="A6581" s="22">
        <v>45845</v>
      </c>
      <c r="B6581" s="1" t="s">
        <v>1268</v>
      </c>
      <c r="C6581" t="s">
        <v>4953</v>
      </c>
      <c r="D6581" s="44">
        <v>-663.3</v>
      </c>
      <c r="E6581" t="s">
        <v>35</v>
      </c>
      <c r="F6581" s="2">
        <v>210101001</v>
      </c>
      <c r="G6581" s="2" t="s">
        <v>36</v>
      </c>
      <c r="I6581" s="95" t="s">
        <v>7231</v>
      </c>
      <c r="J6581" t="s">
        <v>631</v>
      </c>
      <c r="K6581" t="s">
        <v>632</v>
      </c>
      <c r="M6581">
        <v>111.42</v>
      </c>
      <c r="N6581" s="4">
        <f t="shared" si="102"/>
        <v>-5.9531502423263323</v>
      </c>
      <c r="O6581" t="s">
        <v>4936</v>
      </c>
    </row>
    <row r="6582" spans="1:17" x14ac:dyDescent="0.25">
      <c r="A6582" s="22">
        <v>45845</v>
      </c>
      <c r="B6582" s="1" t="s">
        <v>1886</v>
      </c>
      <c r="C6582" t="s">
        <v>4954</v>
      </c>
      <c r="D6582" s="44">
        <v>-200000</v>
      </c>
      <c r="E6582" t="s">
        <v>35</v>
      </c>
      <c r="F6582" s="2">
        <v>210101001</v>
      </c>
      <c r="G6582" s="2" t="s">
        <v>36</v>
      </c>
      <c r="I6582" s="95" t="s">
        <v>7231</v>
      </c>
      <c r="J6582" t="s">
        <v>376</v>
      </c>
      <c r="K6582" t="s">
        <v>377</v>
      </c>
      <c r="M6582">
        <v>111.42</v>
      </c>
      <c r="N6582" s="4">
        <f t="shared" si="102"/>
        <v>-1795.0098725542989</v>
      </c>
      <c r="O6582" t="s">
        <v>4936</v>
      </c>
    </row>
    <row r="6583" spans="1:17" x14ac:dyDescent="0.25">
      <c r="A6583" s="22">
        <v>45845</v>
      </c>
      <c r="B6583" s="1" t="s">
        <v>1888</v>
      </c>
      <c r="C6583" t="s">
        <v>4952</v>
      </c>
      <c r="D6583" s="44">
        <v>-200000</v>
      </c>
      <c r="E6583" t="s">
        <v>35</v>
      </c>
      <c r="F6583" s="2">
        <v>210101001</v>
      </c>
      <c r="G6583" s="2" t="s">
        <v>36</v>
      </c>
      <c r="I6583" s="95" t="s">
        <v>7231</v>
      </c>
      <c r="J6583" t="s">
        <v>37</v>
      </c>
      <c r="K6583" t="s">
        <v>38</v>
      </c>
      <c r="M6583">
        <v>111.42</v>
      </c>
      <c r="N6583" s="4">
        <f t="shared" si="102"/>
        <v>-1795.0098725542989</v>
      </c>
      <c r="O6583" t="s">
        <v>4936</v>
      </c>
    </row>
    <row r="6584" spans="1:17" x14ac:dyDescent="0.25">
      <c r="A6584" s="22">
        <v>45845</v>
      </c>
      <c r="B6584" s="1" t="s">
        <v>619</v>
      </c>
      <c r="C6584" t="s">
        <v>4955</v>
      </c>
      <c r="D6584" s="44">
        <v>-977.79</v>
      </c>
      <c r="E6584" t="s">
        <v>35</v>
      </c>
      <c r="F6584" s="2">
        <v>210101001</v>
      </c>
      <c r="G6584" s="2" t="s">
        <v>36</v>
      </c>
      <c r="I6584" s="95" t="s">
        <v>7231</v>
      </c>
      <c r="J6584" t="s">
        <v>631</v>
      </c>
      <c r="K6584" t="s">
        <v>632</v>
      </c>
      <c r="M6584">
        <v>111.42</v>
      </c>
      <c r="N6584" s="4">
        <f t="shared" si="102"/>
        <v>-8.7757135164243394</v>
      </c>
      <c r="O6584" t="s">
        <v>4936</v>
      </c>
    </row>
    <row r="6585" spans="1:17" x14ac:dyDescent="0.25">
      <c r="A6585" s="22">
        <v>45845</v>
      </c>
      <c r="B6585" s="1" t="s">
        <v>1267</v>
      </c>
      <c r="C6585" t="s">
        <v>4956</v>
      </c>
      <c r="D6585" s="44">
        <v>-3832.76</v>
      </c>
      <c r="E6585" t="s">
        <v>35</v>
      </c>
      <c r="F6585" s="2">
        <v>210101001</v>
      </c>
      <c r="G6585" s="2" t="s">
        <v>36</v>
      </c>
      <c r="I6585" s="95" t="s">
        <v>7231</v>
      </c>
      <c r="J6585" t="s">
        <v>599</v>
      </c>
      <c r="K6585" t="s">
        <v>600</v>
      </c>
      <c r="M6585">
        <v>111.42</v>
      </c>
      <c r="N6585" s="4">
        <f t="shared" si="102"/>
        <v>-34.399210195656075</v>
      </c>
      <c r="O6585" t="s">
        <v>4936</v>
      </c>
    </row>
    <row r="6586" spans="1:17" x14ac:dyDescent="0.25">
      <c r="A6586" s="22">
        <v>45845</v>
      </c>
      <c r="B6586" s="1" t="s">
        <v>1892</v>
      </c>
      <c r="C6586" t="s">
        <v>4957</v>
      </c>
      <c r="D6586" s="44">
        <v>-6654.18</v>
      </c>
      <c r="E6586" t="s">
        <v>35</v>
      </c>
      <c r="F6586" s="2">
        <v>210101001</v>
      </c>
      <c r="G6586" s="2" t="s">
        <v>36</v>
      </c>
      <c r="I6586" s="95" t="s">
        <v>7231</v>
      </c>
      <c r="J6586" t="s">
        <v>1306</v>
      </c>
      <c r="K6586" t="s">
        <v>600</v>
      </c>
      <c r="M6586">
        <v>111.42</v>
      </c>
      <c r="N6586" s="4">
        <f t="shared" si="102"/>
        <v>-59.721593968766832</v>
      </c>
      <c r="O6586" t="s">
        <v>4936</v>
      </c>
    </row>
    <row r="6587" spans="1:17" x14ac:dyDescent="0.25">
      <c r="A6587" s="22">
        <v>45845</v>
      </c>
      <c r="B6587" s="1" t="s">
        <v>617</v>
      </c>
      <c r="C6587" t="s">
        <v>4958</v>
      </c>
      <c r="D6587" s="44">
        <v>-663.3</v>
      </c>
      <c r="E6587" t="s">
        <v>35</v>
      </c>
      <c r="F6587" s="2">
        <v>210101001</v>
      </c>
      <c r="G6587" s="2" t="s">
        <v>36</v>
      </c>
      <c r="I6587" s="95" t="s">
        <v>7231</v>
      </c>
      <c r="J6587" t="s">
        <v>631</v>
      </c>
      <c r="K6587" t="s">
        <v>632</v>
      </c>
      <c r="M6587">
        <v>111.42</v>
      </c>
      <c r="N6587" s="4">
        <f t="shared" si="102"/>
        <v>-5.9531502423263323</v>
      </c>
      <c r="O6587" t="s">
        <v>4936</v>
      </c>
    </row>
    <row r="6588" spans="1:17" x14ac:dyDescent="0.25">
      <c r="A6588" s="22">
        <v>45845</v>
      </c>
      <c r="B6588" s="1" t="s">
        <v>1909</v>
      </c>
      <c r="C6588" t="s">
        <v>4959</v>
      </c>
      <c r="D6588" s="44">
        <v>-135709.56</v>
      </c>
      <c r="E6588" t="s">
        <v>35</v>
      </c>
      <c r="F6588" s="2">
        <v>210101001</v>
      </c>
      <c r="G6588" s="2" t="s">
        <v>36</v>
      </c>
      <c r="I6588" s="95" t="s">
        <v>7231</v>
      </c>
      <c r="J6588" t="s">
        <v>37</v>
      </c>
      <c r="K6588" t="s">
        <v>38</v>
      </c>
      <c r="M6588">
        <v>111.42</v>
      </c>
      <c r="N6588" s="4">
        <f t="shared" si="102"/>
        <v>-1218</v>
      </c>
      <c r="O6588" t="s">
        <v>4936</v>
      </c>
    </row>
    <row r="6589" spans="1:17" x14ac:dyDescent="0.25">
      <c r="A6589" s="22">
        <v>45845</v>
      </c>
      <c r="B6589" s="1" t="s">
        <v>1894</v>
      </c>
      <c r="C6589" t="s">
        <v>4952</v>
      </c>
      <c r="D6589" s="44">
        <v>-200000</v>
      </c>
      <c r="E6589" t="s">
        <v>35</v>
      </c>
      <c r="F6589" s="2">
        <v>210101001</v>
      </c>
      <c r="G6589" s="2" t="s">
        <v>36</v>
      </c>
      <c r="I6589" s="95" t="s">
        <v>7231</v>
      </c>
      <c r="J6589" t="s">
        <v>37</v>
      </c>
      <c r="K6589" t="s">
        <v>38</v>
      </c>
      <c r="M6589">
        <v>111.42</v>
      </c>
      <c r="N6589" s="4">
        <f t="shared" si="102"/>
        <v>-1795.0098725542989</v>
      </c>
      <c r="O6589" t="s">
        <v>4936</v>
      </c>
    </row>
    <row r="6590" spans="1:17" x14ac:dyDescent="0.25">
      <c r="A6590" s="22">
        <v>45845</v>
      </c>
      <c r="B6590" s="1" t="s">
        <v>1907</v>
      </c>
      <c r="C6590" t="s">
        <v>4952</v>
      </c>
      <c r="D6590" s="44">
        <v>-200000</v>
      </c>
      <c r="E6590" t="s">
        <v>35</v>
      </c>
      <c r="F6590" s="2">
        <v>210101001</v>
      </c>
      <c r="G6590" s="2" t="s">
        <v>36</v>
      </c>
      <c r="I6590" s="95" t="s">
        <v>7231</v>
      </c>
      <c r="J6590" t="s">
        <v>37</v>
      </c>
      <c r="K6590" t="s">
        <v>38</v>
      </c>
      <c r="M6590">
        <v>111.42</v>
      </c>
      <c r="N6590" s="4">
        <f t="shared" si="102"/>
        <v>-1795.0098725542989</v>
      </c>
      <c r="O6590" t="s">
        <v>4936</v>
      </c>
    </row>
    <row r="6591" spans="1:17" x14ac:dyDescent="0.25">
      <c r="A6591" s="22">
        <v>45845</v>
      </c>
      <c r="B6591" s="1" t="s">
        <v>1994</v>
      </c>
      <c r="C6591" t="s">
        <v>4952</v>
      </c>
      <c r="D6591" s="44">
        <v>-200000</v>
      </c>
      <c r="E6591" t="s">
        <v>35</v>
      </c>
      <c r="F6591" s="2">
        <v>210101001</v>
      </c>
      <c r="G6591" s="2" t="s">
        <v>36</v>
      </c>
      <c r="I6591" s="95" t="s">
        <v>7231</v>
      </c>
      <c r="J6591" t="s">
        <v>37</v>
      </c>
      <c r="K6591" t="s">
        <v>38</v>
      </c>
      <c r="M6591">
        <v>111.42</v>
      </c>
      <c r="N6591" s="4">
        <f t="shared" si="102"/>
        <v>-1795.0098725542989</v>
      </c>
      <c r="O6591" t="s">
        <v>4936</v>
      </c>
    </row>
    <row r="6592" spans="1:17" x14ac:dyDescent="0.25">
      <c r="A6592" s="22">
        <v>45845</v>
      </c>
      <c r="B6592" s="1" t="s">
        <v>1898</v>
      </c>
      <c r="C6592" t="s">
        <v>4954</v>
      </c>
      <c r="D6592" s="44">
        <v>-28633.84</v>
      </c>
      <c r="E6592" t="s">
        <v>35</v>
      </c>
      <c r="F6592" s="2">
        <v>210101001</v>
      </c>
      <c r="G6592" s="2" t="s">
        <v>36</v>
      </c>
      <c r="I6592" s="95" t="s">
        <v>7231</v>
      </c>
      <c r="J6592" t="s">
        <v>376</v>
      </c>
      <c r="K6592" t="s">
        <v>377</v>
      </c>
      <c r="M6592">
        <v>111.42</v>
      </c>
      <c r="N6592" s="4">
        <f t="shared" si="102"/>
        <v>-256.99012744570092</v>
      </c>
      <c r="O6592" t="s">
        <v>4936</v>
      </c>
    </row>
    <row r="6593" spans="1:15" x14ac:dyDescent="0.25">
      <c r="A6593" s="22">
        <v>45845</v>
      </c>
      <c r="B6593" s="1" t="s">
        <v>1904</v>
      </c>
      <c r="C6593" t="s">
        <v>4952</v>
      </c>
      <c r="D6593" s="44">
        <v>-200000</v>
      </c>
      <c r="E6593" t="s">
        <v>35</v>
      </c>
      <c r="F6593" s="2">
        <v>210101001</v>
      </c>
      <c r="G6593" s="2" t="s">
        <v>36</v>
      </c>
      <c r="I6593" s="95" t="s">
        <v>7231</v>
      </c>
      <c r="J6593" t="s">
        <v>37</v>
      </c>
      <c r="K6593" t="s">
        <v>38</v>
      </c>
      <c r="M6593">
        <v>111.42</v>
      </c>
      <c r="N6593" s="4">
        <f t="shared" si="102"/>
        <v>-1795.0098725542989</v>
      </c>
      <c r="O6593" t="s">
        <v>4936</v>
      </c>
    </row>
    <row r="6594" spans="1:15" x14ac:dyDescent="0.25">
      <c r="A6594" s="22">
        <v>45845</v>
      </c>
      <c r="B6594" s="1" t="s">
        <v>1900</v>
      </c>
      <c r="C6594" t="s">
        <v>4952</v>
      </c>
      <c r="D6594" s="44">
        <v>-200000</v>
      </c>
      <c r="E6594" t="s">
        <v>35</v>
      </c>
      <c r="F6594" s="2">
        <v>210101001</v>
      </c>
      <c r="G6594" s="2" t="s">
        <v>36</v>
      </c>
      <c r="I6594" s="95" t="s">
        <v>7231</v>
      </c>
      <c r="J6594" t="s">
        <v>37</v>
      </c>
      <c r="K6594" t="s">
        <v>38</v>
      </c>
      <c r="M6594">
        <v>111.42</v>
      </c>
      <c r="N6594" s="4">
        <f t="shared" si="102"/>
        <v>-1795.0098725542989</v>
      </c>
      <c r="O6594" t="s">
        <v>4936</v>
      </c>
    </row>
    <row r="6595" spans="1:15" x14ac:dyDescent="0.25">
      <c r="A6595" s="22">
        <v>45845</v>
      </c>
      <c r="B6595" s="1" t="s">
        <v>1981</v>
      </c>
      <c r="C6595" t="s">
        <v>4952</v>
      </c>
      <c r="D6595" s="44">
        <v>-200000</v>
      </c>
      <c r="E6595" t="s">
        <v>35</v>
      </c>
      <c r="F6595" s="2">
        <v>210101001</v>
      </c>
      <c r="G6595" s="2" t="s">
        <v>36</v>
      </c>
      <c r="I6595" s="95" t="s">
        <v>7231</v>
      </c>
      <c r="J6595" t="s">
        <v>37</v>
      </c>
      <c r="K6595" t="s">
        <v>38</v>
      </c>
      <c r="M6595">
        <v>111.42</v>
      </c>
      <c r="N6595" s="4">
        <f t="shared" si="102"/>
        <v>-1795.0098725542989</v>
      </c>
      <c r="O6595" t="s">
        <v>4936</v>
      </c>
    </row>
    <row r="6596" spans="1:15" x14ac:dyDescent="0.25">
      <c r="A6596" s="22">
        <v>45845</v>
      </c>
      <c r="B6596" s="1" t="s">
        <v>1896</v>
      </c>
      <c r="C6596" t="s">
        <v>4960</v>
      </c>
      <c r="D6596" s="44" t="s">
        <v>4961</v>
      </c>
      <c r="E6596" t="s">
        <v>35</v>
      </c>
      <c r="F6596" s="2">
        <v>210101001</v>
      </c>
      <c r="G6596" s="2" t="s">
        <v>36</v>
      </c>
      <c r="I6596" s="95" t="s">
        <v>7231</v>
      </c>
      <c r="J6596" t="s">
        <v>37</v>
      </c>
      <c r="K6596" t="s">
        <v>38</v>
      </c>
      <c r="M6596">
        <v>111.42</v>
      </c>
      <c r="N6596" s="4">
        <f t="shared" si="102"/>
        <v>-1301.5903787470832</v>
      </c>
      <c r="O6596" t="s">
        <v>4936</v>
      </c>
    </row>
    <row r="6597" spans="1:15" x14ac:dyDescent="0.25">
      <c r="A6597" s="22">
        <v>45845</v>
      </c>
      <c r="B6597" s="1" t="s">
        <v>1271</v>
      </c>
      <c r="C6597" t="s">
        <v>622</v>
      </c>
      <c r="D6597" s="44" t="s">
        <v>4962</v>
      </c>
      <c r="E6597" t="s">
        <v>35</v>
      </c>
      <c r="F6597" s="2">
        <v>610148001</v>
      </c>
      <c r="G6597" s="2" t="s">
        <v>41</v>
      </c>
      <c r="I6597" s="95" t="s">
        <v>7231</v>
      </c>
      <c r="J6597" t="s">
        <v>42</v>
      </c>
      <c r="K6597" t="s">
        <v>41</v>
      </c>
      <c r="M6597">
        <v>111.42</v>
      </c>
      <c r="N6597" s="4">
        <f t="shared" si="102"/>
        <v>-1.4808831448572967E-2</v>
      </c>
      <c r="O6597" t="s">
        <v>4936</v>
      </c>
    </row>
    <row r="6598" spans="1:15" x14ac:dyDescent="0.25">
      <c r="A6598" s="22">
        <v>45845</v>
      </c>
      <c r="B6598" s="1" t="s">
        <v>624</v>
      </c>
      <c r="C6598" t="s">
        <v>622</v>
      </c>
      <c r="D6598" s="44" t="s">
        <v>4962</v>
      </c>
      <c r="E6598" t="s">
        <v>35</v>
      </c>
      <c r="F6598" s="2">
        <v>610148001</v>
      </c>
      <c r="G6598" s="2" t="s">
        <v>41</v>
      </c>
      <c r="I6598" s="95" t="s">
        <v>7231</v>
      </c>
      <c r="J6598" t="s">
        <v>42</v>
      </c>
      <c r="K6598" t="s">
        <v>41</v>
      </c>
      <c r="M6598">
        <v>111.42</v>
      </c>
      <c r="N6598" s="4">
        <f t="shared" si="102"/>
        <v>-1.4808831448572967E-2</v>
      </c>
      <c r="O6598" t="s">
        <v>4936</v>
      </c>
    </row>
    <row r="6599" spans="1:15" x14ac:dyDescent="0.25">
      <c r="A6599" s="22">
        <v>45845</v>
      </c>
      <c r="B6599" s="1" t="s">
        <v>1917</v>
      </c>
      <c r="C6599" t="s">
        <v>622</v>
      </c>
      <c r="D6599" s="44" t="s">
        <v>4963</v>
      </c>
      <c r="E6599" t="s">
        <v>35</v>
      </c>
      <c r="F6599" s="2">
        <v>610148001</v>
      </c>
      <c r="G6599" s="2" t="s">
        <v>41</v>
      </c>
      <c r="I6599" s="95" t="s">
        <v>7231</v>
      </c>
      <c r="J6599" t="s">
        <v>42</v>
      </c>
      <c r="K6599" t="s">
        <v>41</v>
      </c>
      <c r="M6599">
        <v>111.42</v>
      </c>
      <c r="N6599" s="4">
        <f t="shared" si="102"/>
        <v>-3.2539041464728058</v>
      </c>
      <c r="O6599" t="s">
        <v>4936</v>
      </c>
    </row>
    <row r="6600" spans="1:15" x14ac:dyDescent="0.25">
      <c r="A6600" s="22">
        <v>45845</v>
      </c>
      <c r="B6600" s="1" t="s">
        <v>1916</v>
      </c>
      <c r="C6600" t="s">
        <v>622</v>
      </c>
      <c r="D6600" s="44" t="s">
        <v>4964</v>
      </c>
      <c r="E6600" t="s">
        <v>35</v>
      </c>
      <c r="F6600" s="2">
        <v>610148001</v>
      </c>
      <c r="G6600" s="2" t="s">
        <v>41</v>
      </c>
      <c r="I6600" s="95" t="s">
        <v>7231</v>
      </c>
      <c r="J6600" t="s">
        <v>42</v>
      </c>
      <c r="K6600" t="s">
        <v>41</v>
      </c>
      <c r="M6600">
        <v>111.42</v>
      </c>
      <c r="N6600" s="4">
        <f t="shared" si="102"/>
        <v>-0.64243403338718363</v>
      </c>
      <c r="O6600" t="s">
        <v>4936</v>
      </c>
    </row>
    <row r="6601" spans="1:15" x14ac:dyDescent="0.25">
      <c r="A6601" s="22">
        <v>45845</v>
      </c>
      <c r="B6601" s="1" t="s">
        <v>1911</v>
      </c>
      <c r="C6601" t="s">
        <v>622</v>
      </c>
      <c r="D6601" s="44" t="s">
        <v>4251</v>
      </c>
      <c r="E6601" t="s">
        <v>35</v>
      </c>
      <c r="F6601" s="2">
        <v>610148001</v>
      </c>
      <c r="G6601" s="2" t="s">
        <v>41</v>
      </c>
      <c r="I6601" s="95" t="s">
        <v>7231</v>
      </c>
      <c r="J6601" t="s">
        <v>42</v>
      </c>
      <c r="K6601" t="s">
        <v>41</v>
      </c>
      <c r="M6601">
        <v>111.42</v>
      </c>
      <c r="N6601" s="4">
        <f t="shared" si="102"/>
        <v>-4.4875246813857474</v>
      </c>
      <c r="O6601" t="s">
        <v>4936</v>
      </c>
    </row>
    <row r="6602" spans="1:15" x14ac:dyDescent="0.25">
      <c r="A6602" s="22">
        <v>45845</v>
      </c>
      <c r="B6602" s="1" t="s">
        <v>2072</v>
      </c>
      <c r="C6602" t="s">
        <v>622</v>
      </c>
      <c r="D6602" s="44" t="s">
        <v>4251</v>
      </c>
      <c r="E6602" t="s">
        <v>35</v>
      </c>
      <c r="F6602" s="2">
        <v>610148001</v>
      </c>
      <c r="G6602" s="2" t="s">
        <v>41</v>
      </c>
      <c r="I6602" s="95" t="s">
        <v>7231</v>
      </c>
      <c r="J6602" t="s">
        <v>42</v>
      </c>
      <c r="K6602" t="s">
        <v>41</v>
      </c>
      <c r="M6602">
        <v>111.42</v>
      </c>
      <c r="N6602" s="4">
        <f t="shared" si="102"/>
        <v>-4.4875246813857474</v>
      </c>
      <c r="O6602" t="s">
        <v>4936</v>
      </c>
    </row>
    <row r="6603" spans="1:15" x14ac:dyDescent="0.25">
      <c r="A6603" s="22">
        <v>45845</v>
      </c>
      <c r="B6603" s="1" t="s">
        <v>1915</v>
      </c>
      <c r="C6603" t="s">
        <v>622</v>
      </c>
      <c r="D6603" s="44" t="s">
        <v>4965</v>
      </c>
      <c r="E6603" t="s">
        <v>35</v>
      </c>
      <c r="F6603" s="2">
        <v>610148001</v>
      </c>
      <c r="G6603" s="2" t="s">
        <v>41</v>
      </c>
      <c r="I6603" s="95" t="s">
        <v>7231</v>
      </c>
      <c r="J6603" t="s">
        <v>42</v>
      </c>
      <c r="K6603" t="s">
        <v>41</v>
      </c>
      <c r="M6603">
        <v>111.42</v>
      </c>
      <c r="N6603" s="4">
        <f t="shared" si="102"/>
        <v>-0.14925507090288995</v>
      </c>
      <c r="O6603" t="s">
        <v>4936</v>
      </c>
    </row>
    <row r="6604" spans="1:15" x14ac:dyDescent="0.25">
      <c r="A6604" s="22">
        <v>45845</v>
      </c>
      <c r="B6604" s="1" t="s">
        <v>621</v>
      </c>
      <c r="C6604" t="s">
        <v>622</v>
      </c>
      <c r="D6604" s="44" t="s">
        <v>4966</v>
      </c>
      <c r="E6604" t="s">
        <v>35</v>
      </c>
      <c r="F6604" s="2">
        <v>610148001</v>
      </c>
      <c r="G6604" s="2" t="s">
        <v>41</v>
      </c>
      <c r="I6604" s="95" t="s">
        <v>7231</v>
      </c>
      <c r="J6604" t="s">
        <v>42</v>
      </c>
      <c r="K6604" t="s">
        <v>41</v>
      </c>
      <c r="M6604">
        <v>111.42</v>
      </c>
      <c r="N6604" s="4">
        <f t="shared" ref="N6604:N6667" si="103">D6604/M6604</f>
        <v>-2.1899120445162446E-2</v>
      </c>
      <c r="O6604" t="s">
        <v>4936</v>
      </c>
    </row>
    <row r="6605" spans="1:15" x14ac:dyDescent="0.25">
      <c r="A6605" s="22">
        <v>45845</v>
      </c>
      <c r="B6605" s="1" t="s">
        <v>1913</v>
      </c>
      <c r="C6605" t="s">
        <v>622</v>
      </c>
      <c r="D6605" s="44" t="s">
        <v>4251</v>
      </c>
      <c r="E6605" t="s">
        <v>35</v>
      </c>
      <c r="F6605" s="2">
        <v>610148001</v>
      </c>
      <c r="G6605" s="2" t="s">
        <v>41</v>
      </c>
      <c r="I6605" s="95" t="s">
        <v>7231</v>
      </c>
      <c r="J6605" t="s">
        <v>42</v>
      </c>
      <c r="K6605" t="s">
        <v>41</v>
      </c>
      <c r="M6605">
        <v>111.42</v>
      </c>
      <c r="N6605" s="4">
        <f t="shared" si="103"/>
        <v>-4.4875246813857474</v>
      </c>
      <c r="O6605" t="s">
        <v>4936</v>
      </c>
    </row>
    <row r="6606" spans="1:15" x14ac:dyDescent="0.25">
      <c r="A6606" s="22">
        <v>45845</v>
      </c>
      <c r="B6606" s="1" t="s">
        <v>1918</v>
      </c>
      <c r="C6606" t="s">
        <v>622</v>
      </c>
      <c r="D6606" s="44" t="s">
        <v>4251</v>
      </c>
      <c r="E6606" t="s">
        <v>35</v>
      </c>
      <c r="F6606" s="2">
        <v>610148001</v>
      </c>
      <c r="G6606" s="2" t="s">
        <v>41</v>
      </c>
      <c r="I6606" s="95" t="s">
        <v>7231</v>
      </c>
      <c r="J6606" t="s">
        <v>42</v>
      </c>
      <c r="K6606" t="s">
        <v>41</v>
      </c>
      <c r="M6606">
        <v>111.42</v>
      </c>
      <c r="N6606" s="4">
        <f t="shared" si="103"/>
        <v>-4.4875246813857474</v>
      </c>
      <c r="O6606" t="s">
        <v>4936</v>
      </c>
    </row>
    <row r="6607" spans="1:15" x14ac:dyDescent="0.25">
      <c r="A6607" s="22">
        <v>45845</v>
      </c>
      <c r="B6607" s="1" t="s">
        <v>2076</v>
      </c>
      <c r="C6607" t="s">
        <v>622</v>
      </c>
      <c r="D6607" s="44" t="s">
        <v>4251</v>
      </c>
      <c r="E6607" t="s">
        <v>35</v>
      </c>
      <c r="F6607" s="2">
        <v>610148001</v>
      </c>
      <c r="G6607" s="2" t="s">
        <v>41</v>
      </c>
      <c r="I6607" s="95" t="s">
        <v>7231</v>
      </c>
      <c r="J6607" t="s">
        <v>42</v>
      </c>
      <c r="K6607" t="s">
        <v>41</v>
      </c>
      <c r="M6607">
        <v>111.42</v>
      </c>
      <c r="N6607" s="4">
        <f t="shared" si="103"/>
        <v>-4.4875246813857474</v>
      </c>
      <c r="O6607" t="s">
        <v>4936</v>
      </c>
    </row>
    <row r="6608" spans="1:15" x14ac:dyDescent="0.25">
      <c r="A6608" s="22">
        <v>45845</v>
      </c>
      <c r="B6608" s="1" t="s">
        <v>1272</v>
      </c>
      <c r="C6608" t="s">
        <v>622</v>
      </c>
      <c r="D6608" s="44" t="s">
        <v>4967</v>
      </c>
      <c r="E6608" t="s">
        <v>35</v>
      </c>
      <c r="F6608" s="2">
        <v>610148001</v>
      </c>
      <c r="G6608" s="2" t="s">
        <v>41</v>
      </c>
      <c r="I6608" s="95" t="s">
        <v>7231</v>
      </c>
      <c r="J6608" t="s">
        <v>42</v>
      </c>
      <c r="K6608" t="s">
        <v>41</v>
      </c>
      <c r="M6608">
        <v>111.42</v>
      </c>
      <c r="N6608" s="4">
        <f t="shared" si="103"/>
        <v>-8.5980972895350921E-2</v>
      </c>
      <c r="O6608" t="s">
        <v>4936</v>
      </c>
    </row>
    <row r="6609" spans="1:16" x14ac:dyDescent="0.25">
      <c r="A6609" s="22">
        <v>45845</v>
      </c>
      <c r="B6609" s="1" t="s">
        <v>1914</v>
      </c>
      <c r="C6609" t="s">
        <v>622</v>
      </c>
      <c r="D6609" s="44" t="s">
        <v>4251</v>
      </c>
      <c r="E6609" t="s">
        <v>35</v>
      </c>
      <c r="F6609" s="2">
        <v>610148001</v>
      </c>
      <c r="G6609" s="2" t="s">
        <v>41</v>
      </c>
      <c r="I6609" s="95" t="s">
        <v>7231</v>
      </c>
      <c r="J6609" t="s">
        <v>42</v>
      </c>
      <c r="K6609" t="s">
        <v>41</v>
      </c>
      <c r="M6609">
        <v>111.42</v>
      </c>
      <c r="N6609" s="4">
        <f t="shared" si="103"/>
        <v>-4.4875246813857474</v>
      </c>
      <c r="O6609" t="s">
        <v>4936</v>
      </c>
    </row>
    <row r="6610" spans="1:16" x14ac:dyDescent="0.25">
      <c r="A6610" s="22">
        <v>45845</v>
      </c>
      <c r="B6610" s="1" t="s">
        <v>1919</v>
      </c>
      <c r="C6610" t="s">
        <v>622</v>
      </c>
      <c r="D6610" s="44" t="s">
        <v>4251</v>
      </c>
      <c r="E6610" t="s">
        <v>35</v>
      </c>
      <c r="F6610" s="2">
        <v>610148001</v>
      </c>
      <c r="G6610" s="2" t="s">
        <v>41</v>
      </c>
      <c r="I6610" s="95" t="s">
        <v>7231</v>
      </c>
      <c r="J6610" t="s">
        <v>42</v>
      </c>
      <c r="K6610" t="s">
        <v>41</v>
      </c>
      <c r="M6610">
        <v>111.42</v>
      </c>
      <c r="N6610" s="4">
        <f t="shared" si="103"/>
        <v>-4.4875246813857474</v>
      </c>
      <c r="O6610" t="s">
        <v>4936</v>
      </c>
    </row>
    <row r="6611" spans="1:16" x14ac:dyDescent="0.25">
      <c r="A6611" s="22">
        <v>45845</v>
      </c>
      <c r="B6611" s="1" t="s">
        <v>1912</v>
      </c>
      <c r="C6611" t="s">
        <v>622</v>
      </c>
      <c r="D6611" s="44" t="s">
        <v>4968</v>
      </c>
      <c r="E6611" t="s">
        <v>35</v>
      </c>
      <c r="F6611" s="2">
        <v>610148001</v>
      </c>
      <c r="G6611" s="2" t="s">
        <v>41</v>
      </c>
      <c r="I6611" s="95" t="s">
        <v>7231</v>
      </c>
      <c r="J6611" t="s">
        <v>42</v>
      </c>
      <c r="K6611" t="s">
        <v>41</v>
      </c>
      <c r="M6611">
        <v>111.42</v>
      </c>
      <c r="N6611" s="4">
        <f t="shared" si="103"/>
        <v>-3.0449649973074848</v>
      </c>
      <c r="O6611" t="s">
        <v>4936</v>
      </c>
    </row>
    <row r="6612" spans="1:16" x14ac:dyDescent="0.25">
      <c r="A6612" s="22">
        <v>45845</v>
      </c>
      <c r="B6612" s="1" t="s">
        <v>625</v>
      </c>
      <c r="C6612" t="s">
        <v>622</v>
      </c>
      <c r="D6612" s="44" t="s">
        <v>4969</v>
      </c>
      <c r="E6612" t="s">
        <v>35</v>
      </c>
      <c r="F6612" s="2">
        <v>610148001</v>
      </c>
      <c r="G6612" s="2" t="s">
        <v>41</v>
      </c>
      <c r="I6612" s="95" t="s">
        <v>7231</v>
      </c>
      <c r="J6612" t="s">
        <v>42</v>
      </c>
      <c r="K6612" t="s">
        <v>41</v>
      </c>
      <c r="M6612">
        <v>111.42</v>
      </c>
      <c r="N6612" s="4">
        <f t="shared" si="103"/>
        <v>-0.18282175551965538</v>
      </c>
      <c r="O6612" t="s">
        <v>4936</v>
      </c>
    </row>
    <row r="6613" spans="1:16" x14ac:dyDescent="0.25">
      <c r="A6613" s="22">
        <v>45845</v>
      </c>
      <c r="B6613" s="1" t="s">
        <v>1920</v>
      </c>
      <c r="C6613" t="s">
        <v>622</v>
      </c>
      <c r="D6613" s="44" t="s">
        <v>4251</v>
      </c>
      <c r="E6613" t="s">
        <v>35</v>
      </c>
      <c r="F6613" s="2">
        <v>610148001</v>
      </c>
      <c r="G6613" s="2" t="s">
        <v>41</v>
      </c>
      <c r="I6613" s="95" t="s">
        <v>7231</v>
      </c>
      <c r="J6613" t="s">
        <v>42</v>
      </c>
      <c r="K6613" t="s">
        <v>41</v>
      </c>
      <c r="M6613">
        <v>111.42</v>
      </c>
      <c r="N6613" s="4">
        <f t="shared" si="103"/>
        <v>-4.4875246813857474</v>
      </c>
      <c r="O6613" t="s">
        <v>4936</v>
      </c>
    </row>
    <row r="6614" spans="1:16" x14ac:dyDescent="0.25">
      <c r="A6614" s="22">
        <v>45845</v>
      </c>
      <c r="B6614" s="1" t="s">
        <v>4970</v>
      </c>
      <c r="C6614" t="s">
        <v>4971</v>
      </c>
      <c r="D6614" s="44" t="s">
        <v>4972</v>
      </c>
      <c r="E6614" t="s">
        <v>35</v>
      </c>
      <c r="F6614" s="2">
        <v>210101001</v>
      </c>
      <c r="G6614" s="2" t="s">
        <v>36</v>
      </c>
      <c r="I6614" s="95" t="s">
        <v>7231</v>
      </c>
      <c r="J6614" t="s">
        <v>283</v>
      </c>
      <c r="K6614" t="s">
        <v>1628</v>
      </c>
      <c r="M6614">
        <v>111.42</v>
      </c>
      <c r="N6614" s="4">
        <f t="shared" si="103"/>
        <v>-646.19754083647456</v>
      </c>
      <c r="O6614" t="s">
        <v>4936</v>
      </c>
    </row>
    <row r="6615" spans="1:16" x14ac:dyDescent="0.25">
      <c r="A6615" s="22">
        <v>45845</v>
      </c>
      <c r="B6615" s="1" t="s">
        <v>4973</v>
      </c>
      <c r="C6615" t="s">
        <v>4974</v>
      </c>
      <c r="D6615" s="44" t="s">
        <v>4975</v>
      </c>
      <c r="E6615" t="s">
        <v>35</v>
      </c>
      <c r="F6615" s="2">
        <v>610148001</v>
      </c>
      <c r="G6615" s="2" t="s">
        <v>41</v>
      </c>
      <c r="I6615" s="95" t="s">
        <v>7231</v>
      </c>
      <c r="J6615" t="s">
        <v>42</v>
      </c>
      <c r="K6615" t="s">
        <v>41</v>
      </c>
      <c r="M6615">
        <v>111.42</v>
      </c>
      <c r="N6615" s="4">
        <f t="shared" si="103"/>
        <v>-0.64611380362591986</v>
      </c>
      <c r="O6615" t="s">
        <v>4936</v>
      </c>
    </row>
    <row r="6616" spans="1:16" x14ac:dyDescent="0.25">
      <c r="A6616" s="22">
        <v>45846</v>
      </c>
      <c r="B6616" s="1" t="s">
        <v>4976</v>
      </c>
      <c r="C6616" t="s">
        <v>293</v>
      </c>
      <c r="D6616" s="44" t="s">
        <v>4977</v>
      </c>
      <c r="E6616" t="s">
        <v>45</v>
      </c>
      <c r="F6616" s="2">
        <v>210115002</v>
      </c>
      <c r="G6616" s="2" t="s">
        <v>46</v>
      </c>
      <c r="I6616" s="95" t="s">
        <v>7231</v>
      </c>
      <c r="K6616" t="s">
        <v>293</v>
      </c>
      <c r="M6616">
        <v>112.13</v>
      </c>
      <c r="N6616" s="4">
        <f t="shared" si="103"/>
        <v>8204.7623294390451</v>
      </c>
      <c r="O6616" t="s">
        <v>4936</v>
      </c>
    </row>
    <row r="6617" spans="1:16" x14ac:dyDescent="0.25">
      <c r="A6617" s="22">
        <v>45846</v>
      </c>
      <c r="B6617" s="1" t="s">
        <v>4978</v>
      </c>
      <c r="C6617" t="s">
        <v>293</v>
      </c>
      <c r="D6617" s="44" t="s">
        <v>4979</v>
      </c>
      <c r="E6617" t="s">
        <v>45</v>
      </c>
      <c r="F6617" s="2">
        <v>210115002</v>
      </c>
      <c r="G6617" s="2" t="s">
        <v>46</v>
      </c>
      <c r="I6617" s="95" t="s">
        <v>7231</v>
      </c>
      <c r="K6617" t="s">
        <v>293</v>
      </c>
      <c r="M6617">
        <v>112.13</v>
      </c>
      <c r="N6617" s="4">
        <f t="shared" si="103"/>
        <v>686.70293409435476</v>
      </c>
      <c r="O6617" t="s">
        <v>4936</v>
      </c>
    </row>
    <row r="6618" spans="1:16" x14ac:dyDescent="0.25">
      <c r="A6618" s="22">
        <v>45846</v>
      </c>
      <c r="B6618" s="1" t="s">
        <v>1894</v>
      </c>
      <c r="C6618" t="s">
        <v>4980</v>
      </c>
      <c r="D6618" s="44" t="s">
        <v>4981</v>
      </c>
      <c r="E6618" t="s">
        <v>35</v>
      </c>
      <c r="F6618" s="2">
        <v>110114001</v>
      </c>
      <c r="G6618" s="2" t="s">
        <v>181</v>
      </c>
      <c r="I6618" s="95" t="s">
        <v>7231</v>
      </c>
      <c r="J6618" t="s">
        <v>182</v>
      </c>
      <c r="K6618" t="s">
        <v>2491</v>
      </c>
      <c r="M6618">
        <v>112.13</v>
      </c>
      <c r="N6618" s="4">
        <f t="shared" si="103"/>
        <v>-6.9019887630428967</v>
      </c>
      <c r="O6618" t="s">
        <v>4936</v>
      </c>
      <c r="P6618" s="34" t="s">
        <v>3035</v>
      </c>
    </row>
    <row r="6619" spans="1:16" x14ac:dyDescent="0.25">
      <c r="A6619" s="22">
        <v>45846</v>
      </c>
      <c r="B6619" s="1" t="s">
        <v>617</v>
      </c>
      <c r="C6619" t="s">
        <v>4982</v>
      </c>
      <c r="D6619" s="44" t="s">
        <v>4277</v>
      </c>
      <c r="E6619" t="s">
        <v>35</v>
      </c>
      <c r="F6619" s="2">
        <v>210101001</v>
      </c>
      <c r="G6619" s="2" t="s">
        <v>36</v>
      </c>
      <c r="I6619" s="95" t="s">
        <v>7231</v>
      </c>
      <c r="J6619" t="s">
        <v>283</v>
      </c>
      <c r="K6619" t="s">
        <v>1628</v>
      </c>
      <c r="M6619">
        <v>112.13</v>
      </c>
      <c r="N6619" s="4">
        <f t="shared" si="103"/>
        <v>-1783.6439846606618</v>
      </c>
      <c r="O6619" t="s">
        <v>4936</v>
      </c>
    </row>
    <row r="6620" spans="1:16" x14ac:dyDescent="0.25">
      <c r="A6620" s="22">
        <v>45846</v>
      </c>
      <c r="B6620" s="1" t="s">
        <v>613</v>
      </c>
      <c r="C6620" t="s">
        <v>4982</v>
      </c>
      <c r="D6620" s="44" t="s">
        <v>4983</v>
      </c>
      <c r="E6620" t="s">
        <v>35</v>
      </c>
      <c r="F6620" s="2">
        <v>210101001</v>
      </c>
      <c r="G6620" s="2" t="s">
        <v>36</v>
      </c>
      <c r="I6620" s="95" t="s">
        <v>7231</v>
      </c>
      <c r="J6620" t="s">
        <v>283</v>
      </c>
      <c r="K6620" t="s">
        <v>1628</v>
      </c>
      <c r="M6620">
        <v>112.13</v>
      </c>
      <c r="N6620" s="4">
        <f t="shared" si="103"/>
        <v>-80.640417372692411</v>
      </c>
      <c r="O6620" t="s">
        <v>4936</v>
      </c>
    </row>
    <row r="6621" spans="1:16" x14ac:dyDescent="0.25">
      <c r="A6621" s="22">
        <v>45846</v>
      </c>
      <c r="B6621" s="1" t="s">
        <v>1892</v>
      </c>
      <c r="C6621" t="s">
        <v>4984</v>
      </c>
      <c r="D6621" s="44" t="s">
        <v>4985</v>
      </c>
      <c r="E6621" t="s">
        <v>35</v>
      </c>
      <c r="F6621" s="2">
        <v>210101001</v>
      </c>
      <c r="G6621" s="2" t="s">
        <v>36</v>
      </c>
      <c r="I6621" s="95" t="s">
        <v>7231</v>
      </c>
      <c r="J6621" t="s">
        <v>37</v>
      </c>
      <c r="K6621" t="s">
        <v>38</v>
      </c>
      <c r="M6621">
        <v>112.13</v>
      </c>
      <c r="N6621" s="4">
        <f t="shared" si="103"/>
        <v>-1300.8179791313655</v>
      </c>
      <c r="O6621" t="s">
        <v>4936</v>
      </c>
    </row>
    <row r="6622" spans="1:16" x14ac:dyDescent="0.25">
      <c r="A6622" s="22">
        <v>45846</v>
      </c>
      <c r="B6622" s="1" t="s">
        <v>1909</v>
      </c>
      <c r="C6622" t="s">
        <v>4986</v>
      </c>
      <c r="D6622" s="44" t="s">
        <v>4987</v>
      </c>
      <c r="E6622" t="s">
        <v>35</v>
      </c>
      <c r="F6622" s="2">
        <v>210101001</v>
      </c>
      <c r="G6622" s="2" t="s">
        <v>36</v>
      </c>
      <c r="I6622" s="95" t="s">
        <v>7231</v>
      </c>
      <c r="J6622" t="s">
        <v>414</v>
      </c>
      <c r="K6622" t="s">
        <v>415</v>
      </c>
      <c r="M6622">
        <v>112.13</v>
      </c>
      <c r="N6622" s="4">
        <f t="shared" si="103"/>
        <v>-419.8732720948899</v>
      </c>
      <c r="O6622" t="s">
        <v>4936</v>
      </c>
    </row>
    <row r="6623" spans="1:16" x14ac:dyDescent="0.25">
      <c r="A6623" s="22">
        <v>45846</v>
      </c>
      <c r="B6623" s="1" t="s">
        <v>1898</v>
      </c>
      <c r="C6623" t="s">
        <v>4988</v>
      </c>
      <c r="D6623" s="44" t="s">
        <v>4989</v>
      </c>
      <c r="E6623" t="s">
        <v>35</v>
      </c>
      <c r="F6623" s="2">
        <v>210101001</v>
      </c>
      <c r="G6623" s="2" t="s">
        <v>36</v>
      </c>
      <c r="I6623" s="95" t="s">
        <v>7231</v>
      </c>
      <c r="J6623" t="s">
        <v>414</v>
      </c>
      <c r="K6623" t="s">
        <v>415</v>
      </c>
      <c r="M6623">
        <v>112.13</v>
      </c>
      <c r="N6623" s="4">
        <f t="shared" si="103"/>
        <v>-139.20003567287969</v>
      </c>
      <c r="O6623" t="s">
        <v>4936</v>
      </c>
    </row>
    <row r="6624" spans="1:16" x14ac:dyDescent="0.25">
      <c r="A6624" s="22">
        <v>45846</v>
      </c>
      <c r="B6624" s="1" t="s">
        <v>1896</v>
      </c>
      <c r="C6624" t="s">
        <v>4990</v>
      </c>
      <c r="D6624" s="44" t="s">
        <v>4991</v>
      </c>
      <c r="E6624" t="s">
        <v>35</v>
      </c>
      <c r="F6624" s="2">
        <v>210101001</v>
      </c>
      <c r="G6624" s="2" t="s">
        <v>36</v>
      </c>
      <c r="I6624" s="95" t="s">
        <v>7231</v>
      </c>
      <c r="J6624" t="s">
        <v>37</v>
      </c>
      <c r="K6624" t="s">
        <v>38</v>
      </c>
      <c r="M6624">
        <v>112.13</v>
      </c>
      <c r="N6624" s="4">
        <f t="shared" si="103"/>
        <v>-1217.8913760813343</v>
      </c>
      <c r="O6624" t="s">
        <v>4936</v>
      </c>
    </row>
    <row r="6625" spans="1:15" x14ac:dyDescent="0.25">
      <c r="A6625" s="22">
        <v>45846</v>
      </c>
      <c r="B6625" s="1" t="s">
        <v>1267</v>
      </c>
      <c r="C6625" t="s">
        <v>4992</v>
      </c>
      <c r="D6625" s="44" t="s">
        <v>4993</v>
      </c>
      <c r="E6625" t="s">
        <v>35</v>
      </c>
      <c r="F6625" s="2">
        <v>210101001</v>
      </c>
      <c r="G6625" s="2" t="s">
        <v>36</v>
      </c>
      <c r="I6625" s="95" t="s">
        <v>7231</v>
      </c>
      <c r="J6625" t="s">
        <v>414</v>
      </c>
      <c r="K6625" t="s">
        <v>415</v>
      </c>
      <c r="M6625">
        <v>112.13</v>
      </c>
      <c r="N6625" s="4">
        <f t="shared" si="103"/>
        <v>-125.28003210559173</v>
      </c>
      <c r="O6625" t="s">
        <v>4936</v>
      </c>
    </row>
    <row r="6626" spans="1:15" x14ac:dyDescent="0.25">
      <c r="A6626" s="22">
        <v>45846</v>
      </c>
      <c r="B6626" s="1" t="s">
        <v>615</v>
      </c>
      <c r="C6626" t="s">
        <v>4994</v>
      </c>
      <c r="D6626" s="44" t="s">
        <v>4277</v>
      </c>
      <c r="E6626" t="s">
        <v>35</v>
      </c>
      <c r="F6626" s="2">
        <v>210101001</v>
      </c>
      <c r="G6626" s="2" t="s">
        <v>36</v>
      </c>
      <c r="I6626" s="95" t="s">
        <v>7231</v>
      </c>
      <c r="J6626" t="s">
        <v>1306</v>
      </c>
      <c r="K6626" t="s">
        <v>600</v>
      </c>
      <c r="M6626">
        <v>112.13</v>
      </c>
      <c r="N6626" s="4">
        <f t="shared" si="103"/>
        <v>-1783.6439846606618</v>
      </c>
      <c r="O6626" t="s">
        <v>4936</v>
      </c>
    </row>
    <row r="6627" spans="1:15" x14ac:dyDescent="0.25">
      <c r="A6627" s="22">
        <v>45846</v>
      </c>
      <c r="B6627" s="1" t="s">
        <v>619</v>
      </c>
      <c r="C6627" t="s">
        <v>4994</v>
      </c>
      <c r="D6627" s="44" t="s">
        <v>4995</v>
      </c>
      <c r="E6627" t="s">
        <v>35</v>
      </c>
      <c r="F6627" s="2">
        <v>210101001</v>
      </c>
      <c r="G6627" s="2" t="s">
        <v>36</v>
      </c>
      <c r="I6627" s="95" t="s">
        <v>7231</v>
      </c>
      <c r="J6627" t="s">
        <v>1306</v>
      </c>
      <c r="K6627" t="s">
        <v>600</v>
      </c>
      <c r="M6627">
        <v>112.13</v>
      </c>
      <c r="N6627" s="4">
        <f t="shared" si="103"/>
        <v>-124.99366806385447</v>
      </c>
      <c r="O6627" t="s">
        <v>4936</v>
      </c>
    </row>
    <row r="6628" spans="1:15" x14ac:dyDescent="0.25">
      <c r="A6628" s="22">
        <v>45846</v>
      </c>
      <c r="B6628" s="1" t="s">
        <v>1268</v>
      </c>
      <c r="C6628" t="s">
        <v>4982</v>
      </c>
      <c r="D6628" s="44" t="s">
        <v>4277</v>
      </c>
      <c r="E6628" t="s">
        <v>35</v>
      </c>
      <c r="F6628" s="2">
        <v>210101001</v>
      </c>
      <c r="G6628" s="2" t="s">
        <v>36</v>
      </c>
      <c r="I6628" s="95" t="s">
        <v>7231</v>
      </c>
      <c r="J6628" t="s">
        <v>283</v>
      </c>
      <c r="K6628" t="s">
        <v>1628</v>
      </c>
      <c r="M6628">
        <v>112.13</v>
      </c>
      <c r="N6628" s="4">
        <f t="shared" si="103"/>
        <v>-1783.6439846606618</v>
      </c>
      <c r="O6628" t="s">
        <v>4936</v>
      </c>
    </row>
    <row r="6629" spans="1:15" x14ac:dyDescent="0.25">
      <c r="A6629" s="22">
        <v>45846</v>
      </c>
      <c r="B6629" s="1" t="s">
        <v>1904</v>
      </c>
      <c r="C6629" t="s">
        <v>4996</v>
      </c>
      <c r="D6629" s="44" t="s">
        <v>4997</v>
      </c>
      <c r="E6629" t="s">
        <v>35</v>
      </c>
      <c r="F6629" s="2">
        <v>210101001</v>
      </c>
      <c r="G6629" s="2" t="s">
        <v>36</v>
      </c>
      <c r="I6629" s="95" t="s">
        <v>7231</v>
      </c>
      <c r="J6629" t="s">
        <v>804</v>
      </c>
      <c r="K6629" t="s">
        <v>805</v>
      </c>
      <c r="M6629">
        <v>112.13</v>
      </c>
      <c r="N6629" s="4">
        <f t="shared" si="103"/>
        <v>-43.584054222777134</v>
      </c>
      <c r="O6629" t="s">
        <v>4936</v>
      </c>
    </row>
    <row r="6630" spans="1:15" x14ac:dyDescent="0.25">
      <c r="A6630" s="22">
        <v>45846</v>
      </c>
      <c r="B6630" s="1" t="s">
        <v>1913</v>
      </c>
      <c r="C6630" t="s">
        <v>622</v>
      </c>
      <c r="D6630" s="44" t="s">
        <v>4998</v>
      </c>
      <c r="E6630" t="s">
        <v>35</v>
      </c>
      <c r="F6630" s="2">
        <v>610148001</v>
      </c>
      <c r="G6630" s="2" t="s">
        <v>41</v>
      </c>
      <c r="I6630" s="95" t="s">
        <v>7231</v>
      </c>
      <c r="J6630" t="s">
        <v>42</v>
      </c>
      <c r="K6630" t="s">
        <v>41</v>
      </c>
      <c r="M6630">
        <v>112.13</v>
      </c>
      <c r="N6630" s="4">
        <f t="shared" si="103"/>
        <v>-1.7212164451975386E-2</v>
      </c>
      <c r="O6630" t="s">
        <v>4936</v>
      </c>
    </row>
    <row r="6631" spans="1:15" x14ac:dyDescent="0.25">
      <c r="A6631" s="22">
        <v>45846</v>
      </c>
      <c r="B6631" s="1" t="s">
        <v>1919</v>
      </c>
      <c r="C6631" t="s">
        <v>622</v>
      </c>
      <c r="D6631" s="44" t="s">
        <v>4999</v>
      </c>
      <c r="E6631" t="s">
        <v>35</v>
      </c>
      <c r="F6631" s="2">
        <v>610148001</v>
      </c>
      <c r="G6631" s="2" t="s">
        <v>41</v>
      </c>
      <c r="I6631" s="95" t="s">
        <v>7231</v>
      </c>
      <c r="J6631" t="s">
        <v>42</v>
      </c>
      <c r="K6631" t="s">
        <v>41</v>
      </c>
      <c r="M6631">
        <v>112.13</v>
      </c>
      <c r="N6631" s="4">
        <f t="shared" si="103"/>
        <v>-0.10889146526353341</v>
      </c>
      <c r="O6631" t="s">
        <v>4936</v>
      </c>
    </row>
    <row r="6632" spans="1:15" x14ac:dyDescent="0.25">
      <c r="A6632" s="22">
        <v>45846</v>
      </c>
      <c r="B6632" s="1" t="s">
        <v>625</v>
      </c>
      <c r="C6632" t="s">
        <v>622</v>
      </c>
      <c r="D6632" s="44" t="s">
        <v>4251</v>
      </c>
      <c r="E6632" t="s">
        <v>35</v>
      </c>
      <c r="F6632" s="2">
        <v>610148001</v>
      </c>
      <c r="G6632" s="2" t="s">
        <v>41</v>
      </c>
      <c r="I6632" s="95" t="s">
        <v>7231</v>
      </c>
      <c r="J6632" t="s">
        <v>42</v>
      </c>
      <c r="K6632" t="s">
        <v>41</v>
      </c>
      <c r="M6632">
        <v>112.13</v>
      </c>
      <c r="N6632" s="4">
        <f t="shared" si="103"/>
        <v>-4.4591099616516541</v>
      </c>
      <c r="O6632" t="s">
        <v>4936</v>
      </c>
    </row>
    <row r="6633" spans="1:15" x14ac:dyDescent="0.25">
      <c r="A6633" s="22">
        <v>45846</v>
      </c>
      <c r="B6633" s="1" t="s">
        <v>1912</v>
      </c>
      <c r="C6633" t="s">
        <v>622</v>
      </c>
      <c r="D6633" s="44" t="s">
        <v>5000</v>
      </c>
      <c r="E6633" t="s">
        <v>35</v>
      </c>
      <c r="F6633" s="2">
        <v>610148001</v>
      </c>
      <c r="G6633" s="2" t="s">
        <v>41</v>
      </c>
      <c r="I6633" s="95" t="s">
        <v>7231</v>
      </c>
      <c r="J6633" t="s">
        <v>42</v>
      </c>
      <c r="K6633" t="s">
        <v>41</v>
      </c>
      <c r="M6633">
        <v>112.13</v>
      </c>
      <c r="N6633" s="4">
        <f t="shared" si="103"/>
        <v>-1.0496744849727995</v>
      </c>
      <c r="O6633" t="s">
        <v>4936</v>
      </c>
    </row>
    <row r="6634" spans="1:15" x14ac:dyDescent="0.25">
      <c r="A6634" s="22">
        <v>45846</v>
      </c>
      <c r="B6634" s="1" t="s">
        <v>624</v>
      </c>
      <c r="C6634" t="s">
        <v>622</v>
      </c>
      <c r="D6634" s="44" t="s">
        <v>4251</v>
      </c>
      <c r="E6634" t="s">
        <v>35</v>
      </c>
      <c r="F6634" s="2">
        <v>610148001</v>
      </c>
      <c r="G6634" s="2" t="s">
        <v>41</v>
      </c>
      <c r="I6634" s="95" t="s">
        <v>7231</v>
      </c>
      <c r="J6634" t="s">
        <v>42</v>
      </c>
      <c r="K6634" t="s">
        <v>41</v>
      </c>
      <c r="M6634">
        <v>112.13</v>
      </c>
      <c r="N6634" s="4">
        <f t="shared" si="103"/>
        <v>-4.4591099616516541</v>
      </c>
      <c r="O6634" t="s">
        <v>4936</v>
      </c>
    </row>
    <row r="6635" spans="1:15" x14ac:dyDescent="0.25">
      <c r="A6635" s="22">
        <v>45846</v>
      </c>
      <c r="B6635" s="1" t="s">
        <v>621</v>
      </c>
      <c r="C6635" t="s">
        <v>622</v>
      </c>
      <c r="D6635" s="44" t="s">
        <v>5001</v>
      </c>
      <c r="E6635" t="s">
        <v>35</v>
      </c>
      <c r="F6635" s="2">
        <v>610148001</v>
      </c>
      <c r="G6635" s="2" t="s">
        <v>41</v>
      </c>
      <c r="I6635" s="95" t="s">
        <v>7231</v>
      </c>
      <c r="J6635" t="s">
        <v>42</v>
      </c>
      <c r="K6635" t="s">
        <v>41</v>
      </c>
      <c r="M6635">
        <v>112.13</v>
      </c>
      <c r="N6635" s="4">
        <f t="shared" si="103"/>
        <v>-0.31240524391331492</v>
      </c>
      <c r="O6635" t="s">
        <v>4936</v>
      </c>
    </row>
    <row r="6636" spans="1:15" x14ac:dyDescent="0.25">
      <c r="A6636" s="22">
        <v>45846</v>
      </c>
      <c r="B6636" s="1" t="s">
        <v>1272</v>
      </c>
      <c r="C6636" t="s">
        <v>622</v>
      </c>
      <c r="D6636" s="44" t="s">
        <v>5002</v>
      </c>
      <c r="E6636" t="s">
        <v>35</v>
      </c>
      <c r="F6636" s="2">
        <v>610148001</v>
      </c>
      <c r="G6636" s="2" t="s">
        <v>41</v>
      </c>
      <c r="I6636" s="95" t="s">
        <v>7231</v>
      </c>
      <c r="J6636" t="s">
        <v>42</v>
      </c>
      <c r="K6636" t="s">
        <v>41</v>
      </c>
      <c r="M6636">
        <v>112.13</v>
      </c>
      <c r="N6636" s="4">
        <f t="shared" si="103"/>
        <v>-0.31311870150717919</v>
      </c>
      <c r="O6636" t="s">
        <v>4936</v>
      </c>
    </row>
    <row r="6637" spans="1:15" x14ac:dyDescent="0.25">
      <c r="A6637" s="22">
        <v>45846</v>
      </c>
      <c r="B6637" s="1" t="s">
        <v>1917</v>
      </c>
      <c r="C6637" t="s">
        <v>622</v>
      </c>
      <c r="D6637" s="44" t="s">
        <v>5003</v>
      </c>
      <c r="E6637" t="s">
        <v>35</v>
      </c>
      <c r="F6637" s="2">
        <v>610148001</v>
      </c>
      <c r="G6637" s="2" t="s">
        <v>41</v>
      </c>
      <c r="I6637" s="95" t="s">
        <v>7231</v>
      </c>
      <c r="J6637" t="s">
        <v>42</v>
      </c>
      <c r="K6637" t="s">
        <v>41</v>
      </c>
      <c r="M6637">
        <v>112.13</v>
      </c>
      <c r="N6637" s="4">
        <f t="shared" si="103"/>
        <v>-3.0446802818157495</v>
      </c>
      <c r="O6637" t="s">
        <v>4936</v>
      </c>
    </row>
    <row r="6638" spans="1:15" x14ac:dyDescent="0.25">
      <c r="A6638" s="22">
        <v>45846</v>
      </c>
      <c r="B6638" s="1" t="s">
        <v>1916</v>
      </c>
      <c r="C6638" t="s">
        <v>622</v>
      </c>
      <c r="D6638" s="44" t="s">
        <v>5004</v>
      </c>
      <c r="E6638" t="s">
        <v>35</v>
      </c>
      <c r="F6638" s="2">
        <v>610148001</v>
      </c>
      <c r="G6638" s="2" t="s">
        <v>41</v>
      </c>
      <c r="I6638" s="95" t="s">
        <v>7231</v>
      </c>
      <c r="J6638" t="s">
        <v>42</v>
      </c>
      <c r="K6638" t="s">
        <v>41</v>
      </c>
      <c r="M6638">
        <v>112.13</v>
      </c>
      <c r="N6638" s="4">
        <f t="shared" si="103"/>
        <v>-0.34798894140729514</v>
      </c>
      <c r="O6638" t="s">
        <v>4936</v>
      </c>
    </row>
    <row r="6639" spans="1:15" x14ac:dyDescent="0.25">
      <c r="A6639" s="22">
        <v>45846</v>
      </c>
      <c r="B6639" s="1" t="s">
        <v>1915</v>
      </c>
      <c r="C6639" t="s">
        <v>622</v>
      </c>
      <c r="D6639" s="44" t="s">
        <v>5005</v>
      </c>
      <c r="E6639" t="s">
        <v>35</v>
      </c>
      <c r="F6639" s="2">
        <v>610148001</v>
      </c>
      <c r="G6639" s="2" t="s">
        <v>41</v>
      </c>
      <c r="I6639" s="95" t="s">
        <v>7231</v>
      </c>
      <c r="J6639" t="s">
        <v>42</v>
      </c>
      <c r="K6639" t="s">
        <v>41</v>
      </c>
      <c r="M6639">
        <v>112.13</v>
      </c>
      <c r="N6639" s="4">
        <f t="shared" si="103"/>
        <v>-3.2520288950325513</v>
      </c>
      <c r="O6639" t="s">
        <v>4936</v>
      </c>
    </row>
    <row r="6640" spans="1:15" x14ac:dyDescent="0.25">
      <c r="A6640" s="22">
        <v>45846</v>
      </c>
      <c r="B6640" s="1" t="s">
        <v>623</v>
      </c>
      <c r="C6640" t="s">
        <v>622</v>
      </c>
      <c r="D6640" s="44" t="s">
        <v>5006</v>
      </c>
      <c r="E6640" t="s">
        <v>35</v>
      </c>
      <c r="F6640" s="2">
        <v>610148001</v>
      </c>
      <c r="G6640" s="2" t="s">
        <v>41</v>
      </c>
      <c r="I6640" s="95" t="s">
        <v>7231</v>
      </c>
      <c r="J6640" t="s">
        <v>42</v>
      </c>
      <c r="K6640" t="s">
        <v>41</v>
      </c>
      <c r="M6640">
        <v>112.13</v>
      </c>
      <c r="N6640" s="4">
        <f t="shared" si="103"/>
        <v>-0.2015517702666548</v>
      </c>
      <c r="O6640" t="s">
        <v>4936</v>
      </c>
    </row>
    <row r="6641" spans="1:15" x14ac:dyDescent="0.25">
      <c r="A6641" s="22">
        <v>45846</v>
      </c>
      <c r="B6641" s="1" t="s">
        <v>1271</v>
      </c>
      <c r="C6641" t="s">
        <v>622</v>
      </c>
      <c r="D6641" s="44" t="s">
        <v>4251</v>
      </c>
      <c r="E6641" t="s">
        <v>35</v>
      </c>
      <c r="F6641" s="2">
        <v>610148001</v>
      </c>
      <c r="G6641" s="2" t="s">
        <v>41</v>
      </c>
      <c r="I6641" s="95" t="s">
        <v>7231</v>
      </c>
      <c r="J6641" t="s">
        <v>42</v>
      </c>
      <c r="K6641" t="s">
        <v>41</v>
      </c>
      <c r="M6641">
        <v>112.13</v>
      </c>
      <c r="N6641" s="4">
        <f t="shared" si="103"/>
        <v>-4.4591099616516541</v>
      </c>
      <c r="O6641" t="s">
        <v>4936</v>
      </c>
    </row>
    <row r="6642" spans="1:15" x14ac:dyDescent="0.25">
      <c r="A6642" s="22">
        <v>45847</v>
      </c>
      <c r="B6642" s="1" t="s">
        <v>5007</v>
      </c>
      <c r="C6642" t="s">
        <v>293</v>
      </c>
      <c r="D6642" s="44" t="s">
        <v>5008</v>
      </c>
      <c r="E6642" t="s">
        <v>45</v>
      </c>
      <c r="F6642" s="2">
        <v>210115002</v>
      </c>
      <c r="G6642" s="2" t="s">
        <v>46</v>
      </c>
      <c r="I6642" s="95" t="s">
        <v>7231</v>
      </c>
      <c r="K6642" t="s">
        <v>293</v>
      </c>
      <c r="M6642">
        <v>112.83</v>
      </c>
      <c r="N6642" s="4">
        <f t="shared" si="103"/>
        <v>6425.5960294247989</v>
      </c>
      <c r="O6642" t="s">
        <v>4936</v>
      </c>
    </row>
    <row r="6643" spans="1:15" x14ac:dyDescent="0.25">
      <c r="A6643" s="22">
        <v>45847</v>
      </c>
      <c r="B6643" s="1" t="s">
        <v>613</v>
      </c>
      <c r="C6643" t="s">
        <v>5009</v>
      </c>
      <c r="D6643" s="44" t="s">
        <v>4277</v>
      </c>
      <c r="E6643" t="s">
        <v>35</v>
      </c>
      <c r="F6643" s="2">
        <v>210101001</v>
      </c>
      <c r="G6643" s="2" t="s">
        <v>36</v>
      </c>
      <c r="I6643" s="95" t="s">
        <v>7231</v>
      </c>
      <c r="J6643" t="s">
        <v>414</v>
      </c>
      <c r="K6643" t="s">
        <v>415</v>
      </c>
      <c r="M6643">
        <v>112.83</v>
      </c>
      <c r="N6643" s="4">
        <f t="shared" si="103"/>
        <v>-1772.5782150137375</v>
      </c>
      <c r="O6643" t="s">
        <v>4936</v>
      </c>
    </row>
    <row r="6644" spans="1:15" x14ac:dyDescent="0.25">
      <c r="A6644" s="22">
        <v>45847</v>
      </c>
      <c r="B6644" s="1" t="s">
        <v>619</v>
      </c>
      <c r="C6644" t="s">
        <v>5010</v>
      </c>
      <c r="D6644" s="44" t="s">
        <v>5011</v>
      </c>
      <c r="E6644" t="s">
        <v>35</v>
      </c>
      <c r="F6644" s="2">
        <v>210101001</v>
      </c>
      <c r="G6644" s="2" t="s">
        <v>36</v>
      </c>
      <c r="I6644" s="95" t="s">
        <v>7231</v>
      </c>
      <c r="J6644" t="s">
        <v>414</v>
      </c>
      <c r="K6644" t="s">
        <v>415</v>
      </c>
      <c r="M6644">
        <v>112.83</v>
      </c>
      <c r="N6644" s="4">
        <f t="shared" si="103"/>
        <v>-149.69866170344767</v>
      </c>
      <c r="O6644" t="s">
        <v>4936</v>
      </c>
    </row>
    <row r="6645" spans="1:15" x14ac:dyDescent="0.25">
      <c r="A6645" s="22">
        <v>45847</v>
      </c>
      <c r="B6645" s="1" t="s">
        <v>1268</v>
      </c>
      <c r="C6645" t="s">
        <v>5012</v>
      </c>
      <c r="D6645" s="44" t="s">
        <v>5013</v>
      </c>
      <c r="E6645" t="s">
        <v>35</v>
      </c>
      <c r="F6645" s="2">
        <v>210101001</v>
      </c>
      <c r="G6645" s="2" t="s">
        <v>36</v>
      </c>
      <c r="I6645" s="95" t="s">
        <v>7231</v>
      </c>
      <c r="J6645" t="s">
        <v>414</v>
      </c>
      <c r="K6645" t="s">
        <v>415</v>
      </c>
      <c r="M6645">
        <v>112.83</v>
      </c>
      <c r="N6645" s="4">
        <f t="shared" si="103"/>
        <v>-180.71452627847205</v>
      </c>
      <c r="O6645" t="s">
        <v>4936</v>
      </c>
    </row>
    <row r="6646" spans="1:15" x14ac:dyDescent="0.25">
      <c r="A6646" s="22">
        <v>45847</v>
      </c>
      <c r="B6646" s="1" t="s">
        <v>613</v>
      </c>
      <c r="C6646" t="s">
        <v>5009</v>
      </c>
      <c r="D6646" s="44" t="s">
        <v>4277</v>
      </c>
      <c r="E6646" t="s">
        <v>35</v>
      </c>
      <c r="F6646" s="2">
        <v>210101001</v>
      </c>
      <c r="G6646" s="2" t="s">
        <v>36</v>
      </c>
      <c r="I6646" s="95" t="s">
        <v>7231</v>
      </c>
      <c r="J6646" t="s">
        <v>414</v>
      </c>
      <c r="K6646" t="s">
        <v>415</v>
      </c>
      <c r="M6646">
        <v>112.83</v>
      </c>
      <c r="N6646" s="4">
        <f t="shared" si="103"/>
        <v>-1772.5782150137375</v>
      </c>
      <c r="O6646" t="s">
        <v>4936</v>
      </c>
    </row>
    <row r="6647" spans="1:15" x14ac:dyDescent="0.25">
      <c r="A6647" s="22">
        <v>45847</v>
      </c>
      <c r="B6647" s="1" t="s">
        <v>613</v>
      </c>
      <c r="C6647" t="s">
        <v>5014</v>
      </c>
      <c r="D6647" s="44">
        <v>-67502.28</v>
      </c>
      <c r="E6647" t="s">
        <v>35</v>
      </c>
      <c r="F6647" s="2">
        <v>110114001</v>
      </c>
      <c r="G6647" s="2" t="s">
        <v>181</v>
      </c>
      <c r="I6647" s="95" t="s">
        <v>7231</v>
      </c>
      <c r="K6647" t="s">
        <v>1256</v>
      </c>
      <c r="M6647">
        <v>112.83</v>
      </c>
      <c r="N6647" s="4">
        <f t="shared" si="103"/>
        <v>-598.26535495878761</v>
      </c>
      <c r="O6647" t="s">
        <v>4936</v>
      </c>
    </row>
    <row r="6648" spans="1:15" x14ac:dyDescent="0.25">
      <c r="A6648" s="22">
        <v>45847</v>
      </c>
      <c r="B6648" s="1" t="s">
        <v>615</v>
      </c>
      <c r="C6648" t="s">
        <v>5015</v>
      </c>
      <c r="D6648" s="44">
        <v>-12558.39</v>
      </c>
      <c r="E6648" t="s">
        <v>35</v>
      </c>
      <c r="F6648" s="2">
        <v>210101001</v>
      </c>
      <c r="G6648" s="2" t="s">
        <v>36</v>
      </c>
      <c r="I6648" s="95" t="s">
        <v>7231</v>
      </c>
      <c r="J6648" t="s">
        <v>182</v>
      </c>
      <c r="K6648" t="s">
        <v>183</v>
      </c>
      <c r="M6648">
        <v>112.83</v>
      </c>
      <c r="N6648" s="4">
        <f t="shared" si="103"/>
        <v>-111.30364264823184</v>
      </c>
      <c r="O6648" t="s">
        <v>4936</v>
      </c>
    </row>
    <row r="6649" spans="1:15" x14ac:dyDescent="0.25">
      <c r="A6649" s="22">
        <v>45847</v>
      </c>
      <c r="B6649" s="1" t="s">
        <v>617</v>
      </c>
      <c r="C6649" t="s">
        <v>5016</v>
      </c>
      <c r="D6649" s="44">
        <v>-5722.99</v>
      </c>
      <c r="E6649" t="s">
        <v>35</v>
      </c>
      <c r="F6649" s="2">
        <v>210101001</v>
      </c>
      <c r="G6649" s="2" t="s">
        <v>36</v>
      </c>
      <c r="I6649" s="95" t="s">
        <v>7231</v>
      </c>
      <c r="J6649" t="s">
        <v>182</v>
      </c>
      <c r="K6649" t="s">
        <v>183</v>
      </c>
      <c r="M6649">
        <v>112.83</v>
      </c>
      <c r="N6649" s="4">
        <f t="shared" si="103"/>
        <v>-50.722236993707348</v>
      </c>
      <c r="O6649" t="s">
        <v>4936</v>
      </c>
    </row>
    <row r="6650" spans="1:15" x14ac:dyDescent="0.25">
      <c r="A6650" s="22">
        <v>45847</v>
      </c>
      <c r="B6650" s="1" t="s">
        <v>613</v>
      </c>
      <c r="C6650" t="s">
        <v>5014</v>
      </c>
      <c r="D6650" s="44">
        <v>-200000</v>
      </c>
      <c r="E6650" t="s">
        <v>35</v>
      </c>
      <c r="F6650" s="2">
        <v>110114001</v>
      </c>
      <c r="G6650" s="2" t="s">
        <v>181</v>
      </c>
      <c r="I6650" s="95" t="s">
        <v>7231</v>
      </c>
      <c r="K6650" t="s">
        <v>1256</v>
      </c>
      <c r="M6650">
        <v>112.83</v>
      </c>
      <c r="N6650" s="4">
        <f t="shared" si="103"/>
        <v>-1772.5782150137375</v>
      </c>
      <c r="O6650" t="s">
        <v>4936</v>
      </c>
    </row>
    <row r="6651" spans="1:15" x14ac:dyDescent="0.25">
      <c r="A6651" s="22">
        <v>45847</v>
      </c>
      <c r="B6651" s="1" t="s">
        <v>623</v>
      </c>
      <c r="C6651" t="s">
        <v>622</v>
      </c>
      <c r="D6651" s="44">
        <v>-500</v>
      </c>
      <c r="E6651" t="s">
        <v>35</v>
      </c>
      <c r="F6651" s="2">
        <v>610148001</v>
      </c>
      <c r="G6651" s="2" t="s">
        <v>41</v>
      </c>
      <c r="I6651" s="95" t="s">
        <v>7231</v>
      </c>
      <c r="J6651" t="s">
        <v>42</v>
      </c>
      <c r="K6651" t="s">
        <v>41</v>
      </c>
      <c r="M6651">
        <v>112.83</v>
      </c>
      <c r="N6651" s="4">
        <f t="shared" si="103"/>
        <v>-4.4314455375343433</v>
      </c>
      <c r="O6651" t="s">
        <v>4936</v>
      </c>
    </row>
    <row r="6652" spans="1:15" x14ac:dyDescent="0.25">
      <c r="A6652" s="22">
        <v>45847</v>
      </c>
      <c r="B6652" s="1" t="s">
        <v>625</v>
      </c>
      <c r="C6652" t="s">
        <v>622</v>
      </c>
      <c r="D6652" s="44">
        <v>-31.39</v>
      </c>
      <c r="E6652" t="s">
        <v>35</v>
      </c>
      <c r="F6652" s="2">
        <v>610148001</v>
      </c>
      <c r="G6652" s="2" t="s">
        <v>41</v>
      </c>
      <c r="I6652" s="95" t="s">
        <v>7231</v>
      </c>
      <c r="J6652" t="s">
        <v>42</v>
      </c>
      <c r="K6652" t="s">
        <v>41</v>
      </c>
      <c r="M6652">
        <v>112.83</v>
      </c>
      <c r="N6652" s="4">
        <f t="shared" si="103"/>
        <v>-0.2782061508464061</v>
      </c>
      <c r="O6652" t="s">
        <v>4936</v>
      </c>
    </row>
    <row r="6653" spans="1:15" x14ac:dyDescent="0.25">
      <c r="A6653" s="22">
        <v>45847</v>
      </c>
      <c r="B6653" s="1" t="s">
        <v>621</v>
      </c>
      <c r="C6653" t="s">
        <v>622</v>
      </c>
      <c r="D6653" s="44">
        <v>-42.22</v>
      </c>
      <c r="E6653" t="s">
        <v>35</v>
      </c>
      <c r="F6653" s="2">
        <v>610148001</v>
      </c>
      <c r="G6653" s="2" t="s">
        <v>41</v>
      </c>
      <c r="I6653" s="95" t="s">
        <v>7231</v>
      </c>
      <c r="J6653" t="s">
        <v>42</v>
      </c>
      <c r="K6653" t="s">
        <v>41</v>
      </c>
      <c r="M6653">
        <v>112.83</v>
      </c>
      <c r="N6653" s="4">
        <f t="shared" si="103"/>
        <v>-0.37419126118939999</v>
      </c>
      <c r="O6653" t="s">
        <v>4936</v>
      </c>
    </row>
    <row r="6654" spans="1:15" x14ac:dyDescent="0.25">
      <c r="A6654" s="22">
        <v>45847</v>
      </c>
      <c r="B6654" s="1" t="s">
        <v>623</v>
      </c>
      <c r="C6654" t="s">
        <v>622</v>
      </c>
      <c r="D6654" s="44">
        <v>-500</v>
      </c>
      <c r="E6654" t="s">
        <v>35</v>
      </c>
      <c r="F6654" s="2">
        <v>610148001</v>
      </c>
      <c r="G6654" s="2" t="s">
        <v>41</v>
      </c>
      <c r="I6654" s="95" t="s">
        <v>7231</v>
      </c>
      <c r="J6654" t="s">
        <v>42</v>
      </c>
      <c r="K6654" t="s">
        <v>41</v>
      </c>
      <c r="M6654">
        <v>112.83</v>
      </c>
      <c r="N6654" s="4">
        <f t="shared" si="103"/>
        <v>-4.4314455375343433</v>
      </c>
      <c r="O6654" t="s">
        <v>4936</v>
      </c>
    </row>
    <row r="6655" spans="1:15" x14ac:dyDescent="0.25">
      <c r="A6655" s="22">
        <v>45847</v>
      </c>
      <c r="B6655" s="1" t="s">
        <v>623</v>
      </c>
      <c r="C6655" t="s">
        <v>622</v>
      </c>
      <c r="D6655" s="44">
        <v>-500</v>
      </c>
      <c r="E6655" t="s">
        <v>35</v>
      </c>
      <c r="F6655" s="2">
        <v>610148001</v>
      </c>
      <c r="G6655" s="2" t="s">
        <v>41</v>
      </c>
      <c r="I6655" s="95" t="s">
        <v>7231</v>
      </c>
      <c r="J6655" t="s">
        <v>42</v>
      </c>
      <c r="K6655" t="s">
        <v>41</v>
      </c>
      <c r="M6655">
        <v>112.83</v>
      </c>
      <c r="N6655" s="4">
        <f t="shared" si="103"/>
        <v>-4.4314455375343433</v>
      </c>
      <c r="O6655" t="s">
        <v>4936</v>
      </c>
    </row>
    <row r="6656" spans="1:15" x14ac:dyDescent="0.25">
      <c r="A6656" s="22">
        <v>45847</v>
      </c>
      <c r="B6656" s="1" t="s">
        <v>1271</v>
      </c>
      <c r="C6656" t="s">
        <v>622</v>
      </c>
      <c r="D6656" s="44">
        <v>-50.97</v>
      </c>
      <c r="E6656" t="s">
        <v>35</v>
      </c>
      <c r="F6656" s="2">
        <v>610148001</v>
      </c>
      <c r="G6656" s="2" t="s">
        <v>41</v>
      </c>
      <c r="I6656" s="95" t="s">
        <v>7231</v>
      </c>
      <c r="J6656" t="s">
        <v>42</v>
      </c>
      <c r="K6656" t="s">
        <v>41</v>
      </c>
      <c r="M6656">
        <v>112.83</v>
      </c>
      <c r="N6656" s="4">
        <f t="shared" si="103"/>
        <v>-0.45174155809625099</v>
      </c>
      <c r="O6656" t="s">
        <v>4936</v>
      </c>
    </row>
    <row r="6657" spans="1:16" x14ac:dyDescent="0.25">
      <c r="A6657" s="22">
        <v>45847</v>
      </c>
      <c r="B6657" s="1" t="s">
        <v>623</v>
      </c>
      <c r="C6657" t="s">
        <v>622</v>
      </c>
      <c r="D6657" s="44">
        <v>-168.75</v>
      </c>
      <c r="E6657" t="s">
        <v>35</v>
      </c>
      <c r="F6657" s="2">
        <v>610148001</v>
      </c>
      <c r="G6657" s="2" t="s">
        <v>41</v>
      </c>
      <c r="I6657" s="95" t="s">
        <v>7231</v>
      </c>
      <c r="J6657" t="s">
        <v>42</v>
      </c>
      <c r="K6657" t="s">
        <v>41</v>
      </c>
      <c r="M6657">
        <v>112.83</v>
      </c>
      <c r="N6657" s="4">
        <f t="shared" si="103"/>
        <v>-1.495612868917841</v>
      </c>
      <c r="O6657" t="s">
        <v>4936</v>
      </c>
    </row>
    <row r="6658" spans="1:16" x14ac:dyDescent="0.25">
      <c r="A6658" s="22">
        <v>45847</v>
      </c>
      <c r="B6658" s="1" t="s">
        <v>624</v>
      </c>
      <c r="C6658" t="s">
        <v>622</v>
      </c>
      <c r="D6658" s="44">
        <v>-14.3</v>
      </c>
      <c r="E6658" t="s">
        <v>35</v>
      </c>
      <c r="F6658" s="2">
        <v>610148001</v>
      </c>
      <c r="G6658" s="2" t="s">
        <v>41</v>
      </c>
      <c r="I6658" s="95" t="s">
        <v>7231</v>
      </c>
      <c r="J6658" t="s">
        <v>42</v>
      </c>
      <c r="K6658" t="s">
        <v>41</v>
      </c>
      <c r="M6658">
        <v>112.83</v>
      </c>
      <c r="N6658" s="4">
        <f t="shared" si="103"/>
        <v>-0.12673934237348225</v>
      </c>
      <c r="O6658" t="s">
        <v>4936</v>
      </c>
    </row>
    <row r="6659" spans="1:16" x14ac:dyDescent="0.25">
      <c r="A6659" s="22">
        <v>45847</v>
      </c>
      <c r="B6659" s="1" t="s">
        <v>5017</v>
      </c>
      <c r="C6659" t="s">
        <v>293</v>
      </c>
      <c r="D6659" s="44">
        <v>540000</v>
      </c>
      <c r="E6659" t="s">
        <v>45</v>
      </c>
      <c r="F6659" s="2">
        <v>210115002</v>
      </c>
      <c r="G6659" s="2" t="s">
        <v>46</v>
      </c>
      <c r="I6659" s="95" t="s">
        <v>7231</v>
      </c>
      <c r="K6659" t="s">
        <v>293</v>
      </c>
      <c r="M6659">
        <v>112.83</v>
      </c>
      <c r="N6659" s="4">
        <f t="shared" si="103"/>
        <v>4785.9611805370914</v>
      </c>
      <c r="O6659" t="s">
        <v>4936</v>
      </c>
    </row>
    <row r="6660" spans="1:16" x14ac:dyDescent="0.25">
      <c r="A6660" s="22">
        <v>45847</v>
      </c>
      <c r="B6660" s="1" t="s">
        <v>617</v>
      </c>
      <c r="C6660" t="s">
        <v>5014</v>
      </c>
      <c r="D6660" s="44">
        <v>-200000</v>
      </c>
      <c r="E6660" t="s">
        <v>35</v>
      </c>
      <c r="F6660" s="2">
        <v>110114001</v>
      </c>
      <c r="G6660" s="2" t="s">
        <v>181</v>
      </c>
      <c r="I6660" s="95" t="s">
        <v>7231</v>
      </c>
      <c r="K6660" t="s">
        <v>1256</v>
      </c>
      <c r="M6660">
        <v>112.83</v>
      </c>
      <c r="N6660" s="4">
        <f t="shared" si="103"/>
        <v>-1772.5782150137375</v>
      </c>
      <c r="O6660" t="s">
        <v>4936</v>
      </c>
    </row>
    <row r="6661" spans="1:16" x14ac:dyDescent="0.25">
      <c r="A6661" s="22">
        <v>45847</v>
      </c>
      <c r="B6661" s="1" t="s">
        <v>615</v>
      </c>
      <c r="C6661" t="s">
        <v>5018</v>
      </c>
      <c r="D6661" s="44">
        <v>-5113.3500000000004</v>
      </c>
      <c r="E6661" t="s">
        <v>35</v>
      </c>
      <c r="F6661" s="2">
        <v>210101001</v>
      </c>
      <c r="G6661" s="2" t="s">
        <v>36</v>
      </c>
      <c r="I6661" s="95" t="s">
        <v>7231</v>
      </c>
      <c r="J6661" t="s">
        <v>86</v>
      </c>
      <c r="K6661" t="s">
        <v>87</v>
      </c>
      <c r="M6661">
        <v>112.83</v>
      </c>
      <c r="N6661" s="4">
        <f t="shared" si="103"/>
        <v>-45.319064078702475</v>
      </c>
      <c r="O6661" t="s">
        <v>4936</v>
      </c>
    </row>
    <row r="6662" spans="1:16" x14ac:dyDescent="0.25">
      <c r="A6662" s="22">
        <v>45847</v>
      </c>
      <c r="B6662" s="1" t="s">
        <v>617</v>
      </c>
      <c r="C6662" t="s">
        <v>5009</v>
      </c>
      <c r="D6662" s="44">
        <v>-63325.11</v>
      </c>
      <c r="E6662" t="s">
        <v>35</v>
      </c>
      <c r="F6662" s="2">
        <v>210101001</v>
      </c>
      <c r="G6662" s="2" t="s">
        <v>36</v>
      </c>
      <c r="I6662" s="95" t="s">
        <v>7231</v>
      </c>
      <c r="J6662" t="s">
        <v>414</v>
      </c>
      <c r="K6662" t="s">
        <v>415</v>
      </c>
      <c r="M6662">
        <v>112.83</v>
      </c>
      <c r="N6662" s="4">
        <f t="shared" si="103"/>
        <v>-561.24355224674287</v>
      </c>
      <c r="O6662" t="s">
        <v>4936</v>
      </c>
    </row>
    <row r="6663" spans="1:16" x14ac:dyDescent="0.25">
      <c r="A6663" s="22">
        <v>45847</v>
      </c>
      <c r="B6663" s="1" t="s">
        <v>613</v>
      </c>
      <c r="C6663" t="s">
        <v>5019</v>
      </c>
      <c r="D6663" s="44">
        <v>-64877.25</v>
      </c>
      <c r="E6663" t="s">
        <v>35</v>
      </c>
      <c r="F6663" s="2">
        <v>210101001</v>
      </c>
      <c r="G6663" s="2" t="s">
        <v>36</v>
      </c>
      <c r="I6663" s="95" t="s">
        <v>7231</v>
      </c>
      <c r="J6663" t="s">
        <v>414</v>
      </c>
      <c r="K6663" t="s">
        <v>415</v>
      </c>
      <c r="M6663">
        <v>112.83</v>
      </c>
      <c r="N6663" s="4">
        <f t="shared" si="103"/>
        <v>-575</v>
      </c>
      <c r="O6663" t="s">
        <v>4936</v>
      </c>
    </row>
    <row r="6664" spans="1:16" x14ac:dyDescent="0.25">
      <c r="A6664" s="22">
        <v>45847</v>
      </c>
      <c r="B6664" s="1" t="s">
        <v>617</v>
      </c>
      <c r="C6664" t="s">
        <v>5014</v>
      </c>
      <c r="D6664" s="44">
        <v>-200000</v>
      </c>
      <c r="E6664" t="s">
        <v>35</v>
      </c>
      <c r="F6664" s="2">
        <v>110114001</v>
      </c>
      <c r="G6664" s="2" t="s">
        <v>181</v>
      </c>
      <c r="I6664" s="95" t="s">
        <v>7231</v>
      </c>
      <c r="K6664" t="s">
        <v>1256</v>
      </c>
      <c r="M6664">
        <v>112.83</v>
      </c>
      <c r="N6664" s="4">
        <f t="shared" si="103"/>
        <v>-1772.5782150137375</v>
      </c>
      <c r="O6664" t="s">
        <v>4936</v>
      </c>
    </row>
    <row r="6665" spans="1:16" x14ac:dyDescent="0.25">
      <c r="A6665" s="22">
        <v>45847</v>
      </c>
      <c r="B6665" s="1" t="s">
        <v>624</v>
      </c>
      <c r="C6665" t="s">
        <v>622</v>
      </c>
      <c r="D6665" s="44" t="s">
        <v>5020</v>
      </c>
      <c r="E6665" t="s">
        <v>35</v>
      </c>
      <c r="F6665" s="2">
        <v>610148001</v>
      </c>
      <c r="G6665" s="2" t="s">
        <v>41</v>
      </c>
      <c r="I6665" s="95" t="s">
        <v>7231</v>
      </c>
      <c r="J6665" t="s">
        <v>42</v>
      </c>
      <c r="K6665" t="s">
        <v>41</v>
      </c>
      <c r="M6665">
        <v>112.83</v>
      </c>
      <c r="N6665" s="4">
        <f t="shared" si="103"/>
        <v>-1.4030842860941239</v>
      </c>
      <c r="O6665" t="s">
        <v>4936</v>
      </c>
    </row>
    <row r="6666" spans="1:16" x14ac:dyDescent="0.25">
      <c r="A6666" s="22">
        <v>45847</v>
      </c>
      <c r="B6666" s="1" t="s">
        <v>623</v>
      </c>
      <c r="C6666" t="s">
        <v>622</v>
      </c>
      <c r="D6666" s="44" t="s">
        <v>5021</v>
      </c>
      <c r="E6666" t="s">
        <v>35</v>
      </c>
      <c r="F6666" s="2">
        <v>610148001</v>
      </c>
      <c r="G6666" s="2" t="s">
        <v>41</v>
      </c>
      <c r="I6666" s="95" t="s">
        <v>7231</v>
      </c>
      <c r="J6666" t="s">
        <v>42</v>
      </c>
      <c r="K6666" t="s">
        <v>41</v>
      </c>
      <c r="M6666">
        <v>112.83</v>
      </c>
      <c r="N6666" s="4">
        <f t="shared" si="103"/>
        <v>-1.4374723034653905</v>
      </c>
      <c r="O6666" t="s">
        <v>4936</v>
      </c>
    </row>
    <row r="6667" spans="1:16" x14ac:dyDescent="0.25">
      <c r="A6667" s="22">
        <v>45847</v>
      </c>
      <c r="B6667" s="1" t="s">
        <v>624</v>
      </c>
      <c r="C6667" t="s">
        <v>622</v>
      </c>
      <c r="D6667" s="44" t="s">
        <v>4251</v>
      </c>
      <c r="E6667" t="s">
        <v>35</v>
      </c>
      <c r="F6667" s="2">
        <v>610148001</v>
      </c>
      <c r="G6667" s="2" t="s">
        <v>41</v>
      </c>
      <c r="I6667" s="95" t="s">
        <v>7231</v>
      </c>
      <c r="J6667" t="s">
        <v>42</v>
      </c>
      <c r="K6667" t="s">
        <v>41</v>
      </c>
      <c r="M6667">
        <v>112.83</v>
      </c>
      <c r="N6667" s="4">
        <f t="shared" si="103"/>
        <v>-4.4314455375343433</v>
      </c>
      <c r="O6667" t="s">
        <v>4936</v>
      </c>
    </row>
    <row r="6668" spans="1:16" x14ac:dyDescent="0.25">
      <c r="A6668" s="22">
        <v>45847</v>
      </c>
      <c r="B6668" s="1" t="s">
        <v>625</v>
      </c>
      <c r="C6668" t="s">
        <v>622</v>
      </c>
      <c r="D6668" s="44" t="s">
        <v>5022</v>
      </c>
      <c r="E6668" t="s">
        <v>35</v>
      </c>
      <c r="F6668" s="2">
        <v>610148001</v>
      </c>
      <c r="G6668" s="2" t="s">
        <v>41</v>
      </c>
      <c r="I6668" s="95" t="s">
        <v>7231</v>
      </c>
      <c r="J6668" t="s">
        <v>42</v>
      </c>
      <c r="K6668" t="s">
        <v>41</v>
      </c>
      <c r="M6668">
        <v>112.83</v>
      </c>
      <c r="N6668" s="4">
        <f t="shared" ref="N6668:N6731" si="104">D6668/M6668</f>
        <v>-0.11326774793937783</v>
      </c>
      <c r="O6668" t="s">
        <v>4936</v>
      </c>
    </row>
    <row r="6669" spans="1:16" x14ac:dyDescent="0.25">
      <c r="A6669" s="22">
        <v>45847</v>
      </c>
      <c r="B6669" s="1" t="s">
        <v>624</v>
      </c>
      <c r="C6669" t="s">
        <v>622</v>
      </c>
      <c r="D6669" s="44" t="s">
        <v>4251</v>
      </c>
      <c r="E6669" t="s">
        <v>35</v>
      </c>
      <c r="F6669" s="2">
        <v>610148001</v>
      </c>
      <c r="G6669" s="2" t="s">
        <v>41</v>
      </c>
      <c r="I6669" s="95" t="s">
        <v>7231</v>
      </c>
      <c r="J6669" t="s">
        <v>42</v>
      </c>
      <c r="K6669" t="s">
        <v>41</v>
      </c>
      <c r="M6669">
        <v>112.83</v>
      </c>
      <c r="N6669" s="4">
        <f t="shared" si="104"/>
        <v>-4.4314455375343433</v>
      </c>
      <c r="O6669" t="s">
        <v>4936</v>
      </c>
    </row>
    <row r="6670" spans="1:16" x14ac:dyDescent="0.25">
      <c r="A6670" s="22">
        <v>45848</v>
      </c>
      <c r="B6670" s="1" t="s">
        <v>5023</v>
      </c>
      <c r="C6670" t="s">
        <v>293</v>
      </c>
      <c r="D6670" s="44" t="s">
        <v>5024</v>
      </c>
      <c r="E6670" t="s">
        <v>45</v>
      </c>
      <c r="F6670" s="2">
        <v>210115002</v>
      </c>
      <c r="G6670" s="2" t="s">
        <v>46</v>
      </c>
      <c r="I6670" s="95" t="s">
        <v>7231</v>
      </c>
      <c r="K6670" t="s">
        <v>293</v>
      </c>
      <c r="M6670">
        <v>113.75</v>
      </c>
      <c r="N6670" s="4">
        <f t="shared" si="104"/>
        <v>9934.0659340659349</v>
      </c>
      <c r="O6670" t="s">
        <v>4936</v>
      </c>
    </row>
    <row r="6671" spans="1:16" x14ac:dyDescent="0.25">
      <c r="A6671" s="22">
        <v>45848</v>
      </c>
      <c r="B6671" s="1" t="s">
        <v>617</v>
      </c>
      <c r="C6671" t="s">
        <v>5025</v>
      </c>
      <c r="D6671" s="44" t="s">
        <v>5026</v>
      </c>
      <c r="E6671" t="s">
        <v>35</v>
      </c>
      <c r="F6671" s="2">
        <v>210101001</v>
      </c>
      <c r="G6671" s="2" t="s">
        <v>36</v>
      </c>
      <c r="I6671" s="95" t="s">
        <v>7231</v>
      </c>
      <c r="J6671" t="s">
        <v>414</v>
      </c>
      <c r="K6671" t="s">
        <v>415</v>
      </c>
      <c r="M6671">
        <v>113.75</v>
      </c>
      <c r="N6671" s="4">
        <f t="shared" si="104"/>
        <v>-525.27472527472526</v>
      </c>
      <c r="O6671" t="s">
        <v>4936</v>
      </c>
    </row>
    <row r="6672" spans="1:16" ht="15.75" x14ac:dyDescent="0.25">
      <c r="A6672" s="22">
        <v>45848</v>
      </c>
      <c r="B6672" s="1" t="s">
        <v>613</v>
      </c>
      <c r="C6672" t="s">
        <v>5027</v>
      </c>
      <c r="D6672" s="44">
        <v>-340340</v>
      </c>
      <c r="E6672" t="s">
        <v>35</v>
      </c>
      <c r="F6672" s="2">
        <v>110114001</v>
      </c>
      <c r="G6672" s="2" t="s">
        <v>181</v>
      </c>
      <c r="I6672" s="95" t="s">
        <v>7231</v>
      </c>
      <c r="J6672" t="s">
        <v>37</v>
      </c>
      <c r="K6672" t="s">
        <v>38</v>
      </c>
      <c r="M6672">
        <v>113.75</v>
      </c>
      <c r="N6672" s="4">
        <f t="shared" si="104"/>
        <v>-2992</v>
      </c>
      <c r="O6672" t="s">
        <v>4936</v>
      </c>
      <c r="P6672" s="37" t="s">
        <v>5028</v>
      </c>
    </row>
    <row r="6673" spans="1:17" x14ac:dyDescent="0.25">
      <c r="A6673" s="22">
        <v>45848</v>
      </c>
      <c r="B6673" s="1" t="s">
        <v>615</v>
      </c>
      <c r="C6673" t="s">
        <v>5029</v>
      </c>
      <c r="D6673" s="44" t="s">
        <v>5030</v>
      </c>
      <c r="E6673" t="s">
        <v>35</v>
      </c>
      <c r="F6673" s="2">
        <v>210101001</v>
      </c>
      <c r="G6673" s="2" t="s">
        <v>36</v>
      </c>
      <c r="I6673" s="95" t="s">
        <v>7231</v>
      </c>
      <c r="J6673" t="s">
        <v>928</v>
      </c>
      <c r="K6673" t="s">
        <v>929</v>
      </c>
      <c r="M6673">
        <v>113.75</v>
      </c>
      <c r="N6673" s="4">
        <f t="shared" si="104"/>
        <v>-1218</v>
      </c>
      <c r="O6673" t="s">
        <v>4936</v>
      </c>
    </row>
    <row r="6674" spans="1:17" x14ac:dyDescent="0.25">
      <c r="A6674" s="22">
        <v>45848</v>
      </c>
      <c r="B6674" s="1" t="s">
        <v>617</v>
      </c>
      <c r="C6674" t="s">
        <v>5025</v>
      </c>
      <c r="D6674" s="44" t="s">
        <v>4277</v>
      </c>
      <c r="E6674" t="s">
        <v>35</v>
      </c>
      <c r="F6674" s="2">
        <v>210101001</v>
      </c>
      <c r="G6674" s="2" t="s">
        <v>36</v>
      </c>
      <c r="I6674" s="95" t="s">
        <v>7231</v>
      </c>
      <c r="J6674" t="s">
        <v>414</v>
      </c>
      <c r="K6674" t="s">
        <v>415</v>
      </c>
      <c r="M6674">
        <v>113.75</v>
      </c>
      <c r="N6674" s="4">
        <f t="shared" si="104"/>
        <v>-1758.2417582417581</v>
      </c>
      <c r="O6674" t="s">
        <v>4936</v>
      </c>
    </row>
    <row r="6675" spans="1:17" x14ac:dyDescent="0.25">
      <c r="A6675" s="22">
        <v>45848</v>
      </c>
      <c r="B6675" s="1" t="s">
        <v>617</v>
      </c>
      <c r="C6675" t="s">
        <v>5025</v>
      </c>
      <c r="D6675" s="44" t="s">
        <v>4277</v>
      </c>
      <c r="E6675" t="s">
        <v>35</v>
      </c>
      <c r="F6675" s="2">
        <v>210101001</v>
      </c>
      <c r="G6675" s="2" t="s">
        <v>36</v>
      </c>
      <c r="I6675" s="95" t="s">
        <v>7231</v>
      </c>
      <c r="J6675" t="s">
        <v>414</v>
      </c>
      <c r="K6675" t="s">
        <v>415</v>
      </c>
      <c r="M6675">
        <v>113.75</v>
      </c>
      <c r="N6675" s="4">
        <f t="shared" si="104"/>
        <v>-1758.2417582417581</v>
      </c>
      <c r="O6675" t="s">
        <v>4936</v>
      </c>
    </row>
    <row r="6676" spans="1:17" x14ac:dyDescent="0.25">
      <c r="A6676" s="22">
        <v>45848</v>
      </c>
      <c r="B6676" s="1" t="s">
        <v>617</v>
      </c>
      <c r="C6676" t="s">
        <v>5025</v>
      </c>
      <c r="D6676" s="44" t="s">
        <v>4277</v>
      </c>
      <c r="E6676" t="s">
        <v>35</v>
      </c>
      <c r="F6676" s="2">
        <v>210101001</v>
      </c>
      <c r="G6676" s="2" t="s">
        <v>36</v>
      </c>
      <c r="I6676" s="95" t="s">
        <v>7231</v>
      </c>
      <c r="J6676" t="s">
        <v>414</v>
      </c>
      <c r="K6676" t="s">
        <v>415</v>
      </c>
      <c r="M6676">
        <v>113.75</v>
      </c>
      <c r="N6676" s="4">
        <f t="shared" si="104"/>
        <v>-1758.2417582417581</v>
      </c>
      <c r="O6676" t="s">
        <v>4936</v>
      </c>
    </row>
    <row r="6677" spans="1:17" x14ac:dyDescent="0.25">
      <c r="A6677" s="22">
        <v>45848</v>
      </c>
      <c r="B6677" s="1" t="s">
        <v>624</v>
      </c>
      <c r="C6677" t="s">
        <v>622</v>
      </c>
      <c r="D6677" s="44" t="s">
        <v>4251</v>
      </c>
      <c r="E6677" t="s">
        <v>35</v>
      </c>
      <c r="F6677" s="2">
        <v>610148001</v>
      </c>
      <c r="G6677" s="2" t="s">
        <v>41</v>
      </c>
      <c r="I6677" s="95" t="s">
        <v>7231</v>
      </c>
      <c r="J6677" t="s">
        <v>42</v>
      </c>
      <c r="K6677" t="s">
        <v>41</v>
      </c>
      <c r="M6677">
        <v>113.75</v>
      </c>
      <c r="N6677" s="4">
        <f t="shared" si="104"/>
        <v>-4.395604395604396</v>
      </c>
      <c r="O6677" t="s">
        <v>4936</v>
      </c>
    </row>
    <row r="6678" spans="1:17" x14ac:dyDescent="0.25">
      <c r="A6678" s="22">
        <v>45848</v>
      </c>
      <c r="B6678" s="1" t="s">
        <v>623</v>
      </c>
      <c r="C6678" t="s">
        <v>622</v>
      </c>
      <c r="D6678" s="44" t="s">
        <v>5031</v>
      </c>
      <c r="E6678" t="s">
        <v>35</v>
      </c>
      <c r="F6678" s="2">
        <v>610148001</v>
      </c>
      <c r="G6678" s="2" t="s">
        <v>41</v>
      </c>
      <c r="I6678" s="95" t="s">
        <v>7231</v>
      </c>
      <c r="J6678" t="s">
        <v>42</v>
      </c>
      <c r="K6678" t="s">
        <v>41</v>
      </c>
      <c r="M6678">
        <v>113.75</v>
      </c>
      <c r="N6678" s="4">
        <f t="shared" si="104"/>
        <v>-7.48</v>
      </c>
      <c r="O6678" t="s">
        <v>4936</v>
      </c>
    </row>
    <row r="6679" spans="1:17" x14ac:dyDescent="0.25">
      <c r="A6679" s="22">
        <v>45848</v>
      </c>
      <c r="B6679" s="1" t="s">
        <v>625</v>
      </c>
      <c r="C6679" t="s">
        <v>622</v>
      </c>
      <c r="D6679" s="44" t="s">
        <v>5032</v>
      </c>
      <c r="E6679" t="s">
        <v>35</v>
      </c>
      <c r="F6679" s="2">
        <v>610148001</v>
      </c>
      <c r="G6679" s="2" t="s">
        <v>41</v>
      </c>
      <c r="I6679" s="95" t="s">
        <v>7231</v>
      </c>
      <c r="J6679" t="s">
        <v>42</v>
      </c>
      <c r="K6679" t="s">
        <v>41</v>
      </c>
      <c r="M6679">
        <v>113.75</v>
      </c>
      <c r="N6679" s="4">
        <f t="shared" si="104"/>
        <v>-3.0449230769230771</v>
      </c>
      <c r="O6679" t="s">
        <v>4936</v>
      </c>
    </row>
    <row r="6680" spans="1:17" x14ac:dyDescent="0.25">
      <c r="A6680" s="22">
        <v>45848</v>
      </c>
      <c r="B6680" s="1" t="s">
        <v>624</v>
      </c>
      <c r="C6680" t="s">
        <v>622</v>
      </c>
      <c r="D6680" s="44" t="s">
        <v>5033</v>
      </c>
      <c r="E6680" t="s">
        <v>35</v>
      </c>
      <c r="F6680" s="2">
        <v>610148001</v>
      </c>
      <c r="G6680" s="2" t="s">
        <v>41</v>
      </c>
      <c r="I6680" s="95" t="s">
        <v>7231</v>
      </c>
      <c r="J6680" t="s">
        <v>42</v>
      </c>
      <c r="K6680" t="s">
        <v>41</v>
      </c>
      <c r="M6680">
        <v>113.75</v>
      </c>
      <c r="N6680" s="4">
        <f t="shared" si="104"/>
        <v>-1.3131428571428572</v>
      </c>
      <c r="O6680" t="s">
        <v>4936</v>
      </c>
    </row>
    <row r="6681" spans="1:17" x14ac:dyDescent="0.25">
      <c r="A6681" s="22">
        <v>45848</v>
      </c>
      <c r="B6681" s="1" t="s">
        <v>624</v>
      </c>
      <c r="C6681" t="s">
        <v>622</v>
      </c>
      <c r="D6681" s="44" t="s">
        <v>4251</v>
      </c>
      <c r="E6681" t="s">
        <v>35</v>
      </c>
      <c r="F6681" s="2">
        <v>610148001</v>
      </c>
      <c r="G6681" s="2" t="s">
        <v>41</v>
      </c>
      <c r="I6681" s="95" t="s">
        <v>7231</v>
      </c>
      <c r="J6681" t="s">
        <v>42</v>
      </c>
      <c r="K6681" t="s">
        <v>41</v>
      </c>
      <c r="M6681">
        <v>113.75</v>
      </c>
      <c r="N6681" s="4">
        <f t="shared" si="104"/>
        <v>-4.395604395604396</v>
      </c>
      <c r="O6681" t="s">
        <v>4936</v>
      </c>
    </row>
    <row r="6682" spans="1:17" x14ac:dyDescent="0.25">
      <c r="A6682" s="22">
        <v>45848</v>
      </c>
      <c r="B6682" s="1" t="s">
        <v>624</v>
      </c>
      <c r="C6682" t="s">
        <v>622</v>
      </c>
      <c r="D6682" s="44" t="s">
        <v>4251</v>
      </c>
      <c r="E6682" t="s">
        <v>35</v>
      </c>
      <c r="F6682" s="2">
        <v>610148001</v>
      </c>
      <c r="G6682" s="2" t="s">
        <v>41</v>
      </c>
      <c r="I6682" s="95" t="s">
        <v>7231</v>
      </c>
      <c r="J6682" t="s">
        <v>42</v>
      </c>
      <c r="K6682" t="s">
        <v>41</v>
      </c>
      <c r="M6682">
        <v>113.75</v>
      </c>
      <c r="N6682" s="4">
        <f t="shared" si="104"/>
        <v>-4.395604395604396</v>
      </c>
      <c r="O6682" t="s">
        <v>4936</v>
      </c>
    </row>
    <row r="6683" spans="1:17" x14ac:dyDescent="0.25">
      <c r="A6683" s="22">
        <v>45849</v>
      </c>
      <c r="B6683" s="1" t="s">
        <v>5034</v>
      </c>
      <c r="C6683" t="s">
        <v>293</v>
      </c>
      <c r="D6683" s="44" t="s">
        <v>5035</v>
      </c>
      <c r="E6683" t="s">
        <v>45</v>
      </c>
      <c r="F6683" s="2">
        <v>210115002</v>
      </c>
      <c r="G6683" s="2" t="s">
        <v>46</v>
      </c>
      <c r="I6683" s="95" t="s">
        <v>7231</v>
      </c>
      <c r="K6683" t="s">
        <v>293</v>
      </c>
      <c r="M6683">
        <v>114.41</v>
      </c>
      <c r="N6683" s="4">
        <f t="shared" si="104"/>
        <v>21851.236780001749</v>
      </c>
      <c r="O6683" t="s">
        <v>4936</v>
      </c>
    </row>
    <row r="6684" spans="1:17" x14ac:dyDescent="0.25">
      <c r="A6684" s="33">
        <v>45849</v>
      </c>
      <c r="B6684" s="27" t="s">
        <v>613</v>
      </c>
      <c r="C6684" s="28" t="s">
        <v>5036</v>
      </c>
      <c r="D6684" s="47">
        <v>-19678.52</v>
      </c>
      <c r="E6684" s="28" t="s">
        <v>35</v>
      </c>
      <c r="F6684" s="30">
        <v>610156001</v>
      </c>
      <c r="G6684" s="30" t="s">
        <v>72</v>
      </c>
      <c r="H6684" s="30"/>
      <c r="I6684" s="95" t="s">
        <v>7231</v>
      </c>
      <c r="J6684" s="28" t="s">
        <v>2398</v>
      </c>
      <c r="K6684" s="28" t="s">
        <v>632</v>
      </c>
      <c r="L6684" s="28" t="s">
        <v>56</v>
      </c>
      <c r="M6684" s="28">
        <v>114.41</v>
      </c>
      <c r="N6684" s="4">
        <f t="shared" si="104"/>
        <v>-172</v>
      </c>
      <c r="O6684" t="s">
        <v>4936</v>
      </c>
      <c r="Q6684" s="24" t="s">
        <v>5037</v>
      </c>
    </row>
    <row r="6685" spans="1:17" x14ac:dyDescent="0.25">
      <c r="A6685" s="22">
        <v>45849</v>
      </c>
      <c r="B6685" s="1" t="s">
        <v>1904</v>
      </c>
      <c r="C6685" t="s">
        <v>1278</v>
      </c>
      <c r="D6685" s="44">
        <v>-200000</v>
      </c>
      <c r="E6685" t="s">
        <v>35</v>
      </c>
      <c r="F6685" s="2">
        <v>110114001</v>
      </c>
      <c r="G6685" s="2" t="s">
        <v>181</v>
      </c>
      <c r="I6685" s="95" t="s">
        <v>7231</v>
      </c>
      <c r="J6685" t="s">
        <v>37</v>
      </c>
      <c r="K6685" t="s">
        <v>38</v>
      </c>
      <c r="M6685">
        <v>114.41</v>
      </c>
      <c r="N6685" s="4">
        <f t="shared" si="104"/>
        <v>-1748.09894240014</v>
      </c>
      <c r="O6685" t="s">
        <v>4936</v>
      </c>
    </row>
    <row r="6686" spans="1:17" x14ac:dyDescent="0.25">
      <c r="A6686" s="22">
        <v>45849</v>
      </c>
      <c r="B6686" s="1" t="s">
        <v>1904</v>
      </c>
      <c r="C6686" t="s">
        <v>1278</v>
      </c>
      <c r="D6686" s="44">
        <v>-200000</v>
      </c>
      <c r="E6686" t="s">
        <v>35</v>
      </c>
      <c r="F6686" s="2">
        <v>110114001</v>
      </c>
      <c r="G6686" s="2" t="s">
        <v>181</v>
      </c>
      <c r="I6686" s="95" t="s">
        <v>7231</v>
      </c>
      <c r="J6686" t="s">
        <v>37</v>
      </c>
      <c r="K6686" t="s">
        <v>38</v>
      </c>
      <c r="M6686">
        <v>114.41</v>
      </c>
      <c r="N6686" s="4">
        <f t="shared" si="104"/>
        <v>-1748.09894240014</v>
      </c>
      <c r="O6686" t="s">
        <v>4936</v>
      </c>
    </row>
    <row r="6687" spans="1:17" x14ac:dyDescent="0.25">
      <c r="A6687" s="22">
        <v>45849</v>
      </c>
      <c r="B6687" s="1" t="s">
        <v>617</v>
      </c>
      <c r="C6687" t="s">
        <v>5038</v>
      </c>
      <c r="D6687" s="44">
        <v>-13729.2</v>
      </c>
      <c r="E6687" t="s">
        <v>35</v>
      </c>
      <c r="F6687" s="2">
        <v>210101001</v>
      </c>
      <c r="G6687" s="2" t="s">
        <v>36</v>
      </c>
      <c r="I6687" s="95" t="s">
        <v>7231</v>
      </c>
      <c r="J6687" t="s">
        <v>182</v>
      </c>
      <c r="K6687" t="s">
        <v>183</v>
      </c>
      <c r="M6687">
        <v>114.41</v>
      </c>
      <c r="N6687" s="4">
        <f t="shared" si="104"/>
        <v>-120.00000000000001</v>
      </c>
      <c r="O6687" t="s">
        <v>4936</v>
      </c>
    </row>
    <row r="6688" spans="1:17" x14ac:dyDescent="0.25">
      <c r="A6688" s="22">
        <v>45849</v>
      </c>
      <c r="B6688" s="1" t="s">
        <v>617</v>
      </c>
      <c r="C6688" t="s">
        <v>5039</v>
      </c>
      <c r="D6688" s="44">
        <v>-1144.0999999999999</v>
      </c>
      <c r="E6688" t="s">
        <v>35</v>
      </c>
      <c r="F6688" s="2">
        <v>212901001</v>
      </c>
      <c r="G6688" s="2" t="s">
        <v>91</v>
      </c>
      <c r="I6688" s="95" t="s">
        <v>7231</v>
      </c>
      <c r="J6688" t="s">
        <v>61</v>
      </c>
      <c r="K6688" t="s">
        <v>62</v>
      </c>
      <c r="M6688">
        <v>114.41</v>
      </c>
      <c r="N6688" s="4">
        <f t="shared" si="104"/>
        <v>-10</v>
      </c>
      <c r="O6688" t="s">
        <v>4936</v>
      </c>
    </row>
    <row r="6689" spans="1:15" x14ac:dyDescent="0.25">
      <c r="A6689" s="22">
        <v>45849</v>
      </c>
      <c r="B6689" s="1" t="s">
        <v>1909</v>
      </c>
      <c r="C6689" t="s">
        <v>5040</v>
      </c>
      <c r="D6689" s="44">
        <v>-198711.1</v>
      </c>
      <c r="E6689" t="s">
        <v>35</v>
      </c>
      <c r="F6689" s="2">
        <v>210101001</v>
      </c>
      <c r="G6689" s="2" t="s">
        <v>36</v>
      </c>
      <c r="I6689" s="95" t="s">
        <v>7231</v>
      </c>
      <c r="J6689" t="s">
        <v>37</v>
      </c>
      <c r="K6689" t="s">
        <v>38</v>
      </c>
      <c r="M6689">
        <v>114.41</v>
      </c>
      <c r="N6689" s="4">
        <f t="shared" si="104"/>
        <v>-1736.8333187658423</v>
      </c>
      <c r="O6689" t="s">
        <v>4936</v>
      </c>
    </row>
    <row r="6690" spans="1:15" x14ac:dyDescent="0.25">
      <c r="A6690" s="22">
        <v>45849</v>
      </c>
      <c r="B6690" s="1" t="s">
        <v>1898</v>
      </c>
      <c r="C6690" t="s">
        <v>5041</v>
      </c>
      <c r="D6690" s="44">
        <v>-13729.2</v>
      </c>
      <c r="E6690" t="s">
        <v>35</v>
      </c>
      <c r="F6690" s="2">
        <v>212901001</v>
      </c>
      <c r="G6690" s="2" t="s">
        <v>91</v>
      </c>
      <c r="I6690" s="95" t="s">
        <v>7231</v>
      </c>
      <c r="J6690" t="s">
        <v>61</v>
      </c>
      <c r="K6690" t="s">
        <v>62</v>
      </c>
      <c r="M6690">
        <v>114.41</v>
      </c>
      <c r="N6690" s="4">
        <f t="shared" si="104"/>
        <v>-120.00000000000001</v>
      </c>
      <c r="O6690" t="s">
        <v>4936</v>
      </c>
    </row>
    <row r="6691" spans="1:15" x14ac:dyDescent="0.25">
      <c r="A6691" s="22">
        <v>45849</v>
      </c>
      <c r="B6691" s="1" t="s">
        <v>1904</v>
      </c>
      <c r="C6691" t="s">
        <v>1278</v>
      </c>
      <c r="D6691" s="44">
        <v>-35549.32</v>
      </c>
      <c r="E6691" t="s">
        <v>35</v>
      </c>
      <c r="F6691" s="2">
        <v>110114001</v>
      </c>
      <c r="G6691" s="2" t="s">
        <v>181</v>
      </c>
      <c r="I6691" s="95" t="s">
        <v>7231</v>
      </c>
      <c r="J6691" t="s">
        <v>37</v>
      </c>
      <c r="K6691" t="s">
        <v>38</v>
      </c>
      <c r="M6691">
        <v>114.41</v>
      </c>
      <c r="N6691" s="4">
        <f t="shared" si="104"/>
        <v>-310.71864347522069</v>
      </c>
      <c r="O6691" t="s">
        <v>4936</v>
      </c>
    </row>
    <row r="6692" spans="1:15" x14ac:dyDescent="0.25">
      <c r="A6692" s="22">
        <v>45849</v>
      </c>
      <c r="B6692" s="1" t="s">
        <v>1894</v>
      </c>
      <c r="C6692" t="s">
        <v>4703</v>
      </c>
      <c r="D6692" s="44">
        <v>-7338.44</v>
      </c>
      <c r="E6692" t="s">
        <v>35</v>
      </c>
      <c r="F6692" s="2">
        <v>110101002</v>
      </c>
      <c r="G6692" s="2" t="s">
        <v>2771</v>
      </c>
      <c r="I6692" s="95" t="s">
        <v>7231</v>
      </c>
      <c r="K6692" t="s">
        <v>3285</v>
      </c>
      <c r="M6692">
        <v>114.41</v>
      </c>
      <c r="N6692" s="4">
        <f t="shared" si="104"/>
        <v>-64.141596014334411</v>
      </c>
      <c r="O6692" t="s">
        <v>4936</v>
      </c>
    </row>
    <row r="6693" spans="1:15" x14ac:dyDescent="0.25">
      <c r="A6693" s="22">
        <v>45849</v>
      </c>
      <c r="B6693" s="1" t="s">
        <v>1904</v>
      </c>
      <c r="C6693" t="s">
        <v>1278</v>
      </c>
      <c r="D6693" s="44">
        <v>-200000</v>
      </c>
      <c r="E6693" t="s">
        <v>35</v>
      </c>
      <c r="F6693" s="2">
        <v>110114001</v>
      </c>
      <c r="G6693" s="2" t="s">
        <v>181</v>
      </c>
      <c r="I6693" s="95" t="s">
        <v>7231</v>
      </c>
      <c r="J6693" t="s">
        <v>37</v>
      </c>
      <c r="K6693" t="s">
        <v>38</v>
      </c>
      <c r="M6693">
        <v>114.41</v>
      </c>
      <c r="N6693" s="4">
        <f t="shared" si="104"/>
        <v>-1748.09894240014</v>
      </c>
      <c r="O6693" t="s">
        <v>4936</v>
      </c>
    </row>
    <row r="6694" spans="1:15" x14ac:dyDescent="0.25">
      <c r="A6694" s="22">
        <v>45849</v>
      </c>
      <c r="B6694" s="1" t="s">
        <v>613</v>
      </c>
      <c r="C6694" t="s">
        <v>5042</v>
      </c>
      <c r="D6694" s="44">
        <v>-9206.93</v>
      </c>
      <c r="E6694" t="s">
        <v>35</v>
      </c>
      <c r="F6694" s="2">
        <v>210101001</v>
      </c>
      <c r="G6694" s="2" t="s">
        <v>36</v>
      </c>
      <c r="I6694" s="95" t="s">
        <v>7231</v>
      </c>
      <c r="J6694" t="s">
        <v>376</v>
      </c>
      <c r="K6694" t="s">
        <v>377</v>
      </c>
      <c r="M6694">
        <v>114.41</v>
      </c>
      <c r="N6694" s="4">
        <f t="shared" si="104"/>
        <v>-80.4731229787606</v>
      </c>
      <c r="O6694" t="s">
        <v>4936</v>
      </c>
    </row>
    <row r="6695" spans="1:15" x14ac:dyDescent="0.25">
      <c r="A6695" s="22">
        <v>45849</v>
      </c>
      <c r="B6695" s="1" t="s">
        <v>613</v>
      </c>
      <c r="C6695" t="s">
        <v>4689</v>
      </c>
      <c r="D6695" s="44">
        <v>-9152.7999999999993</v>
      </c>
      <c r="E6695" t="s">
        <v>35</v>
      </c>
      <c r="F6695" s="2">
        <v>212901001</v>
      </c>
      <c r="G6695" s="2" t="s">
        <v>91</v>
      </c>
      <c r="I6695" s="95" t="s">
        <v>7231</v>
      </c>
      <c r="J6695" t="s">
        <v>61</v>
      </c>
      <c r="K6695" t="s">
        <v>62</v>
      </c>
      <c r="M6695">
        <v>114.41</v>
      </c>
      <c r="N6695" s="4">
        <f t="shared" si="104"/>
        <v>-80</v>
      </c>
      <c r="O6695" t="s">
        <v>4936</v>
      </c>
    </row>
    <row r="6696" spans="1:15" x14ac:dyDescent="0.25">
      <c r="A6696" s="22">
        <v>45849</v>
      </c>
      <c r="B6696" s="1" t="s">
        <v>1886</v>
      </c>
      <c r="C6696" t="s">
        <v>5043</v>
      </c>
      <c r="D6696" s="44">
        <v>-132248.19</v>
      </c>
      <c r="E6696" t="s">
        <v>35</v>
      </c>
      <c r="F6696" s="2">
        <v>210101001</v>
      </c>
      <c r="G6696" s="2" t="s">
        <v>36</v>
      </c>
      <c r="I6696" s="95" t="s">
        <v>7231</v>
      </c>
      <c r="J6696" t="s">
        <v>182</v>
      </c>
      <c r="K6696" t="s">
        <v>183</v>
      </c>
      <c r="M6696">
        <v>114.41</v>
      </c>
      <c r="N6696" s="4">
        <f t="shared" si="104"/>
        <v>-1155.9146053666639</v>
      </c>
      <c r="O6696" t="s">
        <v>4936</v>
      </c>
    </row>
    <row r="6697" spans="1:15" x14ac:dyDescent="0.25">
      <c r="A6697" s="22">
        <v>45849</v>
      </c>
      <c r="B6697" s="1" t="s">
        <v>1904</v>
      </c>
      <c r="C6697" t="s">
        <v>1278</v>
      </c>
      <c r="D6697" s="44">
        <v>-200000</v>
      </c>
      <c r="E6697" t="s">
        <v>35</v>
      </c>
      <c r="F6697" s="2">
        <v>110114001</v>
      </c>
      <c r="G6697" s="2" t="s">
        <v>181</v>
      </c>
      <c r="I6697" s="95" t="s">
        <v>7231</v>
      </c>
      <c r="J6697" t="s">
        <v>37</v>
      </c>
      <c r="K6697" t="s">
        <v>38</v>
      </c>
      <c r="M6697">
        <v>114.41</v>
      </c>
      <c r="N6697" s="4">
        <f t="shared" si="104"/>
        <v>-1748.09894240014</v>
      </c>
      <c r="O6697" t="s">
        <v>4936</v>
      </c>
    </row>
    <row r="6698" spans="1:15" x14ac:dyDescent="0.25">
      <c r="A6698" s="22">
        <v>45849</v>
      </c>
      <c r="B6698" s="1" t="s">
        <v>1904</v>
      </c>
      <c r="C6698" t="s">
        <v>1278</v>
      </c>
      <c r="D6698" s="44">
        <v>-200000</v>
      </c>
      <c r="E6698" t="s">
        <v>35</v>
      </c>
      <c r="F6698" s="2">
        <v>110114001</v>
      </c>
      <c r="G6698" s="2" t="s">
        <v>181</v>
      </c>
      <c r="I6698" s="95" t="s">
        <v>7231</v>
      </c>
      <c r="J6698" t="s">
        <v>37</v>
      </c>
      <c r="K6698" t="s">
        <v>38</v>
      </c>
      <c r="M6698">
        <v>114.41</v>
      </c>
      <c r="N6698" s="4">
        <f t="shared" si="104"/>
        <v>-1748.09894240014</v>
      </c>
      <c r="O6698" t="s">
        <v>4936</v>
      </c>
    </row>
    <row r="6699" spans="1:15" x14ac:dyDescent="0.25">
      <c r="A6699" s="22">
        <v>45849</v>
      </c>
      <c r="B6699" s="1" t="s">
        <v>1904</v>
      </c>
      <c r="C6699" t="s">
        <v>1278</v>
      </c>
      <c r="D6699" s="44">
        <v>-200000</v>
      </c>
      <c r="E6699" t="s">
        <v>35</v>
      </c>
      <c r="F6699" s="2">
        <v>110114001</v>
      </c>
      <c r="G6699" s="2" t="s">
        <v>181</v>
      </c>
      <c r="I6699" s="95" t="s">
        <v>7231</v>
      </c>
      <c r="J6699" t="s">
        <v>37</v>
      </c>
      <c r="K6699" t="s">
        <v>38</v>
      </c>
      <c r="M6699">
        <v>114.41</v>
      </c>
      <c r="N6699" s="4">
        <f t="shared" si="104"/>
        <v>-1748.09894240014</v>
      </c>
      <c r="O6699" t="s">
        <v>4936</v>
      </c>
    </row>
    <row r="6700" spans="1:15" x14ac:dyDescent="0.25">
      <c r="A6700" s="22">
        <v>45849</v>
      </c>
      <c r="B6700" s="1" t="s">
        <v>617</v>
      </c>
      <c r="C6700" t="s">
        <v>4693</v>
      </c>
      <c r="D6700" s="44">
        <v>-2288.1999999999998</v>
      </c>
      <c r="E6700" t="s">
        <v>35</v>
      </c>
      <c r="F6700" s="2">
        <v>212901001</v>
      </c>
      <c r="G6700" s="2" t="s">
        <v>91</v>
      </c>
      <c r="I6700" s="95" t="s">
        <v>7231</v>
      </c>
      <c r="J6700" t="s">
        <v>61</v>
      </c>
      <c r="K6700" t="s">
        <v>62</v>
      </c>
      <c r="M6700">
        <v>114.41</v>
      </c>
      <c r="N6700" s="4">
        <f t="shared" si="104"/>
        <v>-20</v>
      </c>
      <c r="O6700" t="s">
        <v>4936</v>
      </c>
    </row>
    <row r="6701" spans="1:15" x14ac:dyDescent="0.25">
      <c r="A6701" s="22">
        <v>45849</v>
      </c>
      <c r="B6701" s="1" t="s">
        <v>1904</v>
      </c>
      <c r="C6701" t="s">
        <v>1278</v>
      </c>
      <c r="D6701" s="44">
        <v>-200000</v>
      </c>
      <c r="E6701" t="s">
        <v>35</v>
      </c>
      <c r="F6701" s="2">
        <v>110114001</v>
      </c>
      <c r="G6701" s="2" t="s">
        <v>181</v>
      </c>
      <c r="I6701" s="95" t="s">
        <v>7231</v>
      </c>
      <c r="J6701" t="s">
        <v>37</v>
      </c>
      <c r="K6701" t="s">
        <v>38</v>
      </c>
      <c r="M6701">
        <v>114.41</v>
      </c>
      <c r="N6701" s="4">
        <f t="shared" si="104"/>
        <v>-1748.09894240014</v>
      </c>
      <c r="O6701" t="s">
        <v>4936</v>
      </c>
    </row>
    <row r="6702" spans="1:15" x14ac:dyDescent="0.25">
      <c r="A6702" s="22">
        <v>45849</v>
      </c>
      <c r="B6702" s="1" t="s">
        <v>615</v>
      </c>
      <c r="C6702" t="s">
        <v>5044</v>
      </c>
      <c r="D6702" s="44">
        <v>-44089.5</v>
      </c>
      <c r="E6702" t="s">
        <v>35</v>
      </c>
      <c r="F6702" s="2">
        <v>210101001</v>
      </c>
      <c r="G6702" s="2" t="s">
        <v>36</v>
      </c>
      <c r="I6702" s="95" t="s">
        <v>7231</v>
      </c>
      <c r="J6702" t="s">
        <v>376</v>
      </c>
      <c r="K6702" t="s">
        <v>377</v>
      </c>
      <c r="M6702">
        <v>114.41</v>
      </c>
      <c r="N6702" s="4">
        <f t="shared" si="104"/>
        <v>-385.36404160475485</v>
      </c>
      <c r="O6702" t="s">
        <v>4936</v>
      </c>
    </row>
    <row r="6703" spans="1:15" x14ac:dyDescent="0.25">
      <c r="A6703" s="22">
        <v>45849</v>
      </c>
      <c r="B6703" s="1" t="s">
        <v>1904</v>
      </c>
      <c r="C6703" t="s">
        <v>1278</v>
      </c>
      <c r="D6703" s="44">
        <v>-200000</v>
      </c>
      <c r="E6703" t="s">
        <v>35</v>
      </c>
      <c r="F6703" s="2">
        <v>110114001</v>
      </c>
      <c r="G6703" s="2" t="s">
        <v>181</v>
      </c>
      <c r="I6703" s="95" t="s">
        <v>7231</v>
      </c>
      <c r="J6703" t="s">
        <v>37</v>
      </c>
      <c r="K6703" t="s">
        <v>38</v>
      </c>
      <c r="M6703">
        <v>114.41</v>
      </c>
      <c r="N6703" s="4">
        <f t="shared" si="104"/>
        <v>-1748.09894240014</v>
      </c>
      <c r="O6703" t="s">
        <v>4936</v>
      </c>
    </row>
    <row r="6704" spans="1:15" x14ac:dyDescent="0.25">
      <c r="A6704" s="22">
        <v>45849</v>
      </c>
      <c r="B6704" s="1" t="s">
        <v>1904</v>
      </c>
      <c r="C6704" t="s">
        <v>1278</v>
      </c>
      <c r="D6704" s="44">
        <v>-200000</v>
      </c>
      <c r="E6704" t="s">
        <v>35</v>
      </c>
      <c r="F6704" s="2">
        <v>110114001</v>
      </c>
      <c r="G6704" s="2" t="s">
        <v>181</v>
      </c>
      <c r="I6704" s="95" t="s">
        <v>7231</v>
      </c>
      <c r="J6704" t="s">
        <v>37</v>
      </c>
      <c r="K6704" t="s">
        <v>38</v>
      </c>
      <c r="M6704">
        <v>114.41</v>
      </c>
      <c r="N6704" s="4">
        <f t="shared" si="104"/>
        <v>-1748.09894240014</v>
      </c>
      <c r="O6704" t="s">
        <v>4936</v>
      </c>
    </row>
    <row r="6705" spans="1:15" x14ac:dyDescent="0.25">
      <c r="A6705" s="22">
        <v>45849</v>
      </c>
      <c r="B6705" s="1" t="s">
        <v>1904</v>
      </c>
      <c r="C6705" t="s">
        <v>1278</v>
      </c>
      <c r="D6705" s="44">
        <v>-200000</v>
      </c>
      <c r="E6705" t="s">
        <v>35</v>
      </c>
      <c r="F6705" s="2">
        <v>110114001</v>
      </c>
      <c r="G6705" s="2" t="s">
        <v>181</v>
      </c>
      <c r="I6705" s="95" t="s">
        <v>7231</v>
      </c>
      <c r="J6705" t="s">
        <v>37</v>
      </c>
      <c r="K6705" t="s">
        <v>38</v>
      </c>
      <c r="M6705">
        <v>114.41</v>
      </c>
      <c r="N6705" s="4">
        <f t="shared" si="104"/>
        <v>-1748.09894240014</v>
      </c>
      <c r="O6705" t="s">
        <v>4936</v>
      </c>
    </row>
    <row r="6706" spans="1:15" x14ac:dyDescent="0.25">
      <c r="A6706" s="22">
        <v>45849</v>
      </c>
      <c r="B6706" s="1" t="s">
        <v>617</v>
      </c>
      <c r="C6706" t="s">
        <v>5045</v>
      </c>
      <c r="D6706" s="44">
        <v>-2288.1999999999998</v>
      </c>
      <c r="E6706" t="s">
        <v>35</v>
      </c>
      <c r="F6706" s="2">
        <v>212901001</v>
      </c>
      <c r="G6706" s="2" t="s">
        <v>91</v>
      </c>
      <c r="I6706" s="95" t="s">
        <v>7231</v>
      </c>
      <c r="J6706" t="s">
        <v>61</v>
      </c>
      <c r="K6706" t="s">
        <v>62</v>
      </c>
      <c r="M6706">
        <v>114.41</v>
      </c>
      <c r="N6706" s="4">
        <f t="shared" si="104"/>
        <v>-20</v>
      </c>
      <c r="O6706" t="s">
        <v>4936</v>
      </c>
    </row>
    <row r="6707" spans="1:15" x14ac:dyDescent="0.25">
      <c r="A6707" s="22">
        <v>45849</v>
      </c>
      <c r="B6707" s="1" t="s">
        <v>1916</v>
      </c>
      <c r="C6707" t="s">
        <v>622</v>
      </c>
      <c r="D6707" s="44">
        <v>-34.32</v>
      </c>
      <c r="E6707" t="s">
        <v>35</v>
      </c>
      <c r="F6707" s="2">
        <v>610148001</v>
      </c>
      <c r="G6707" s="2" t="s">
        <v>41</v>
      </c>
      <c r="I6707" s="95" t="s">
        <v>7231</v>
      </c>
      <c r="J6707" t="s">
        <v>42</v>
      </c>
      <c r="K6707" t="s">
        <v>41</v>
      </c>
      <c r="M6707">
        <v>114.41</v>
      </c>
      <c r="N6707" s="4">
        <f t="shared" si="104"/>
        <v>-0.29997377851586399</v>
      </c>
      <c r="O6707" t="s">
        <v>4936</v>
      </c>
    </row>
    <row r="6708" spans="1:15" x14ac:dyDescent="0.25">
      <c r="A6708" s="22">
        <v>45849</v>
      </c>
      <c r="B6708" s="1" t="s">
        <v>1919</v>
      </c>
      <c r="C6708" t="s">
        <v>622</v>
      </c>
      <c r="D6708" s="44">
        <v>-500</v>
      </c>
      <c r="E6708" t="s">
        <v>35</v>
      </c>
      <c r="F6708" s="2">
        <v>610148001</v>
      </c>
      <c r="G6708" s="2" t="s">
        <v>41</v>
      </c>
      <c r="I6708" s="95" t="s">
        <v>7231</v>
      </c>
      <c r="J6708" t="s">
        <v>42</v>
      </c>
      <c r="K6708" t="s">
        <v>41</v>
      </c>
      <c r="M6708">
        <v>114.41</v>
      </c>
      <c r="N6708" s="4">
        <f t="shared" si="104"/>
        <v>-4.3702473560003501</v>
      </c>
      <c r="O6708" t="s">
        <v>4936</v>
      </c>
    </row>
    <row r="6709" spans="1:15" x14ac:dyDescent="0.25">
      <c r="A6709" s="22">
        <v>45849</v>
      </c>
      <c r="B6709" s="1" t="s">
        <v>1919</v>
      </c>
      <c r="C6709" t="s">
        <v>622</v>
      </c>
      <c r="D6709" s="44">
        <v>-500</v>
      </c>
      <c r="E6709" t="s">
        <v>35</v>
      </c>
      <c r="F6709" s="2">
        <v>610148001</v>
      </c>
      <c r="G6709" s="2" t="s">
        <v>41</v>
      </c>
      <c r="I6709" s="95" t="s">
        <v>7231</v>
      </c>
      <c r="J6709" t="s">
        <v>42</v>
      </c>
      <c r="K6709" t="s">
        <v>41</v>
      </c>
      <c r="M6709">
        <v>114.41</v>
      </c>
      <c r="N6709" s="4">
        <f t="shared" si="104"/>
        <v>-4.3702473560003501</v>
      </c>
      <c r="O6709" t="s">
        <v>4936</v>
      </c>
    </row>
    <row r="6710" spans="1:15" x14ac:dyDescent="0.25">
      <c r="A6710" s="22">
        <v>45849</v>
      </c>
      <c r="B6710" s="1" t="s">
        <v>624</v>
      </c>
      <c r="C6710" t="s">
        <v>622</v>
      </c>
      <c r="D6710" s="44">
        <v>-34.32</v>
      </c>
      <c r="E6710" t="s">
        <v>35</v>
      </c>
      <c r="F6710" s="2">
        <v>610148001</v>
      </c>
      <c r="G6710" s="2" t="s">
        <v>41</v>
      </c>
      <c r="I6710" s="95" t="s">
        <v>7231</v>
      </c>
      <c r="J6710" t="s">
        <v>42</v>
      </c>
      <c r="K6710" t="s">
        <v>41</v>
      </c>
      <c r="M6710">
        <v>114.41</v>
      </c>
      <c r="N6710" s="4">
        <f t="shared" si="104"/>
        <v>-0.29997377851586399</v>
      </c>
      <c r="O6710" t="s">
        <v>4936</v>
      </c>
    </row>
    <row r="6711" spans="1:15" x14ac:dyDescent="0.25">
      <c r="A6711" s="22">
        <v>45849</v>
      </c>
      <c r="B6711" s="1" t="s">
        <v>1919</v>
      </c>
      <c r="C6711" t="s">
        <v>622</v>
      </c>
      <c r="D6711" s="44">
        <v>-500</v>
      </c>
      <c r="E6711" t="s">
        <v>35</v>
      </c>
      <c r="F6711" s="2">
        <v>610148001</v>
      </c>
      <c r="G6711" s="2" t="s">
        <v>41</v>
      </c>
      <c r="I6711" s="95" t="s">
        <v>7231</v>
      </c>
      <c r="J6711" t="s">
        <v>42</v>
      </c>
      <c r="K6711" t="s">
        <v>41</v>
      </c>
      <c r="M6711">
        <v>114.41</v>
      </c>
      <c r="N6711" s="4">
        <f t="shared" si="104"/>
        <v>-4.3702473560003501</v>
      </c>
      <c r="O6711" t="s">
        <v>4936</v>
      </c>
    </row>
    <row r="6712" spans="1:15" x14ac:dyDescent="0.25">
      <c r="A6712" s="22">
        <v>45849</v>
      </c>
      <c r="B6712" s="1" t="s">
        <v>1919</v>
      </c>
      <c r="C6712" t="s">
        <v>622</v>
      </c>
      <c r="D6712" s="44">
        <v>-500</v>
      </c>
      <c r="E6712" t="s">
        <v>35</v>
      </c>
      <c r="F6712" s="2">
        <v>610148001</v>
      </c>
      <c r="G6712" s="2" t="s">
        <v>41</v>
      </c>
      <c r="I6712" s="95" t="s">
        <v>7231</v>
      </c>
      <c r="J6712" t="s">
        <v>42</v>
      </c>
      <c r="K6712" t="s">
        <v>41</v>
      </c>
      <c r="M6712">
        <v>114.41</v>
      </c>
      <c r="N6712" s="4">
        <f t="shared" si="104"/>
        <v>-4.3702473560003501</v>
      </c>
      <c r="O6712" t="s">
        <v>4936</v>
      </c>
    </row>
    <row r="6713" spans="1:15" x14ac:dyDescent="0.25">
      <c r="A6713" s="22">
        <v>45849</v>
      </c>
      <c r="B6713" s="1" t="s">
        <v>1913</v>
      </c>
      <c r="C6713" t="s">
        <v>622</v>
      </c>
      <c r="D6713" s="44">
        <v>-18.34</v>
      </c>
      <c r="E6713" t="s">
        <v>35</v>
      </c>
      <c r="F6713" s="2">
        <v>610148001</v>
      </c>
      <c r="G6713" s="2" t="s">
        <v>41</v>
      </c>
      <c r="I6713" s="95" t="s">
        <v>7231</v>
      </c>
      <c r="J6713" t="s">
        <v>42</v>
      </c>
      <c r="K6713" t="s">
        <v>41</v>
      </c>
      <c r="M6713">
        <v>114.41</v>
      </c>
      <c r="N6713" s="4">
        <f t="shared" si="104"/>
        <v>-0.16030067301809284</v>
      </c>
      <c r="O6713" t="s">
        <v>4936</v>
      </c>
    </row>
    <row r="6714" spans="1:15" x14ac:dyDescent="0.25">
      <c r="A6714" s="22">
        <v>45849</v>
      </c>
      <c r="B6714" s="1" t="s">
        <v>1919</v>
      </c>
      <c r="C6714" t="s">
        <v>622</v>
      </c>
      <c r="D6714" s="44">
        <v>-500</v>
      </c>
      <c r="E6714" t="s">
        <v>35</v>
      </c>
      <c r="F6714" s="2">
        <v>610148001</v>
      </c>
      <c r="G6714" s="2" t="s">
        <v>41</v>
      </c>
      <c r="I6714" s="95" t="s">
        <v>7231</v>
      </c>
      <c r="J6714" t="s">
        <v>42</v>
      </c>
      <c r="K6714" t="s">
        <v>41</v>
      </c>
      <c r="M6714">
        <v>114.41</v>
      </c>
      <c r="N6714" s="4">
        <f t="shared" si="104"/>
        <v>-4.3702473560003501</v>
      </c>
      <c r="O6714" t="s">
        <v>4936</v>
      </c>
    </row>
    <row r="6715" spans="1:15" x14ac:dyDescent="0.25">
      <c r="A6715" s="22">
        <v>45849</v>
      </c>
      <c r="B6715" s="1" t="s">
        <v>1912</v>
      </c>
      <c r="C6715" t="s">
        <v>622</v>
      </c>
      <c r="D6715" s="44">
        <v>-496.77</v>
      </c>
      <c r="E6715" t="s">
        <v>35</v>
      </c>
      <c r="F6715" s="2">
        <v>610148001</v>
      </c>
      <c r="G6715" s="2" t="s">
        <v>41</v>
      </c>
      <c r="I6715" s="95" t="s">
        <v>7231</v>
      </c>
      <c r="J6715" t="s">
        <v>42</v>
      </c>
      <c r="K6715" t="s">
        <v>41</v>
      </c>
      <c r="M6715">
        <v>114.41</v>
      </c>
      <c r="N6715" s="4">
        <f t="shared" si="104"/>
        <v>-4.342015558080587</v>
      </c>
      <c r="O6715" t="s">
        <v>4936</v>
      </c>
    </row>
    <row r="6716" spans="1:15" x14ac:dyDescent="0.25">
      <c r="A6716" s="22">
        <v>45849</v>
      </c>
      <c r="B6716" s="1" t="s">
        <v>624</v>
      </c>
      <c r="C6716" t="s">
        <v>622</v>
      </c>
      <c r="D6716" s="44">
        <v>-2.86</v>
      </c>
      <c r="E6716" t="s">
        <v>35</v>
      </c>
      <c r="F6716" s="2">
        <v>610148001</v>
      </c>
      <c r="G6716" s="2" t="s">
        <v>41</v>
      </c>
      <c r="I6716" s="95" t="s">
        <v>7231</v>
      </c>
      <c r="J6716" t="s">
        <v>42</v>
      </c>
      <c r="K6716" t="s">
        <v>41</v>
      </c>
      <c r="M6716">
        <v>114.41</v>
      </c>
      <c r="N6716" s="4">
        <f t="shared" si="104"/>
        <v>-2.4997814876321998E-2</v>
      </c>
      <c r="O6716" t="s">
        <v>4936</v>
      </c>
    </row>
    <row r="6717" spans="1:15" x14ac:dyDescent="0.25">
      <c r="A6717" s="22">
        <v>45849</v>
      </c>
      <c r="B6717" s="1" t="s">
        <v>1919</v>
      </c>
      <c r="C6717" t="s">
        <v>622</v>
      </c>
      <c r="D6717" s="44">
        <v>-88.87</v>
      </c>
      <c r="E6717" t="s">
        <v>35</v>
      </c>
      <c r="F6717" s="2">
        <v>610148001</v>
      </c>
      <c r="G6717" s="2" t="s">
        <v>41</v>
      </c>
      <c r="I6717" s="95" t="s">
        <v>7231</v>
      </c>
      <c r="J6717" t="s">
        <v>42</v>
      </c>
      <c r="K6717" t="s">
        <v>41</v>
      </c>
      <c r="M6717">
        <v>114.41</v>
      </c>
      <c r="N6717" s="4">
        <f t="shared" si="104"/>
        <v>-0.77676776505550216</v>
      </c>
      <c r="O6717" t="s">
        <v>4936</v>
      </c>
    </row>
    <row r="6718" spans="1:15" x14ac:dyDescent="0.25">
      <c r="A6718" s="22">
        <v>45849</v>
      </c>
      <c r="B6718" s="1" t="s">
        <v>1914</v>
      </c>
      <c r="C6718" t="s">
        <v>622</v>
      </c>
      <c r="D6718" s="44">
        <v>-330.62</v>
      </c>
      <c r="E6718" t="s">
        <v>35</v>
      </c>
      <c r="F6718" s="2">
        <v>610148001</v>
      </c>
      <c r="G6718" s="2" t="s">
        <v>41</v>
      </c>
      <c r="I6718" s="95" t="s">
        <v>7231</v>
      </c>
      <c r="J6718" t="s">
        <v>42</v>
      </c>
      <c r="K6718" t="s">
        <v>41</v>
      </c>
      <c r="M6718">
        <v>114.41</v>
      </c>
      <c r="N6718" s="4">
        <f t="shared" si="104"/>
        <v>-2.8897823616816711</v>
      </c>
      <c r="O6718" t="s">
        <v>4936</v>
      </c>
    </row>
    <row r="6719" spans="1:15" x14ac:dyDescent="0.25">
      <c r="A6719" s="22">
        <v>45849</v>
      </c>
      <c r="B6719" s="1" t="s">
        <v>1919</v>
      </c>
      <c r="C6719" t="s">
        <v>622</v>
      </c>
      <c r="D6719" s="44">
        <v>-500</v>
      </c>
      <c r="E6719" t="s">
        <v>35</v>
      </c>
      <c r="F6719" s="2">
        <v>610148001</v>
      </c>
      <c r="G6719" s="2" t="s">
        <v>41</v>
      </c>
      <c r="I6719" s="95" t="s">
        <v>7231</v>
      </c>
      <c r="J6719" t="s">
        <v>42</v>
      </c>
      <c r="K6719" t="s">
        <v>41</v>
      </c>
      <c r="M6719">
        <v>114.41</v>
      </c>
      <c r="N6719" s="4">
        <f t="shared" si="104"/>
        <v>-4.3702473560003501</v>
      </c>
      <c r="O6719" t="s">
        <v>4936</v>
      </c>
    </row>
    <row r="6720" spans="1:15" x14ac:dyDescent="0.25">
      <c r="A6720" s="22">
        <v>45849</v>
      </c>
      <c r="B6720" s="1" t="s">
        <v>1919</v>
      </c>
      <c r="C6720" t="s">
        <v>622</v>
      </c>
      <c r="D6720" s="44">
        <v>-500</v>
      </c>
      <c r="E6720" t="s">
        <v>35</v>
      </c>
      <c r="F6720" s="2">
        <v>610148001</v>
      </c>
      <c r="G6720" s="2" t="s">
        <v>41</v>
      </c>
      <c r="I6720" s="95" t="s">
        <v>7231</v>
      </c>
      <c r="J6720" t="s">
        <v>42</v>
      </c>
      <c r="K6720" t="s">
        <v>41</v>
      </c>
      <c r="M6720">
        <v>114.41</v>
      </c>
      <c r="N6720" s="4">
        <f t="shared" si="104"/>
        <v>-4.3702473560003501</v>
      </c>
      <c r="O6720" t="s">
        <v>4936</v>
      </c>
    </row>
    <row r="6721" spans="1:15" x14ac:dyDescent="0.25">
      <c r="A6721" s="22">
        <v>45849</v>
      </c>
      <c r="B6721" s="1" t="s">
        <v>623</v>
      </c>
      <c r="C6721" t="s">
        <v>622</v>
      </c>
      <c r="D6721" s="44">
        <v>-22.88</v>
      </c>
      <c r="E6721" t="s">
        <v>35</v>
      </c>
      <c r="F6721" s="2">
        <v>610148001</v>
      </c>
      <c r="G6721" s="2" t="s">
        <v>41</v>
      </c>
      <c r="I6721" s="95" t="s">
        <v>7231</v>
      </c>
      <c r="J6721" t="s">
        <v>42</v>
      </c>
      <c r="K6721" t="s">
        <v>41</v>
      </c>
      <c r="M6721">
        <v>114.41</v>
      </c>
      <c r="N6721" s="4">
        <f t="shared" si="104"/>
        <v>-0.19998251901057598</v>
      </c>
      <c r="O6721" t="s">
        <v>4936</v>
      </c>
    </row>
    <row r="6722" spans="1:15" x14ac:dyDescent="0.25">
      <c r="A6722" s="22">
        <v>45849</v>
      </c>
      <c r="B6722" s="1" t="s">
        <v>1919</v>
      </c>
      <c r="C6722" t="s">
        <v>622</v>
      </c>
      <c r="D6722" s="44">
        <v>-500</v>
      </c>
      <c r="E6722" t="s">
        <v>35</v>
      </c>
      <c r="F6722" s="2">
        <v>610148001</v>
      </c>
      <c r="G6722" s="2" t="s">
        <v>41</v>
      </c>
      <c r="I6722" s="95" t="s">
        <v>7231</v>
      </c>
      <c r="J6722" t="s">
        <v>42</v>
      </c>
      <c r="K6722" t="s">
        <v>41</v>
      </c>
      <c r="M6722">
        <v>114.41</v>
      </c>
      <c r="N6722" s="4">
        <f t="shared" si="104"/>
        <v>-4.3702473560003501</v>
      </c>
      <c r="O6722" t="s">
        <v>4936</v>
      </c>
    </row>
    <row r="6723" spans="1:15" x14ac:dyDescent="0.25">
      <c r="A6723" s="22">
        <v>45849</v>
      </c>
      <c r="B6723" s="1" t="s">
        <v>625</v>
      </c>
      <c r="C6723" t="s">
        <v>622</v>
      </c>
      <c r="D6723" s="44">
        <v>-110.22</v>
      </c>
      <c r="E6723" t="s">
        <v>35</v>
      </c>
      <c r="F6723" s="2">
        <v>610148001</v>
      </c>
      <c r="G6723" s="2" t="s">
        <v>41</v>
      </c>
      <c r="I6723" s="95" t="s">
        <v>7231</v>
      </c>
      <c r="J6723" t="s">
        <v>42</v>
      </c>
      <c r="K6723" t="s">
        <v>41</v>
      </c>
      <c r="M6723">
        <v>114.41</v>
      </c>
      <c r="N6723" s="4">
        <f t="shared" si="104"/>
        <v>-0.96337732715671709</v>
      </c>
      <c r="O6723" t="s">
        <v>4936</v>
      </c>
    </row>
    <row r="6724" spans="1:15" x14ac:dyDescent="0.25">
      <c r="A6724" s="22">
        <v>45849</v>
      </c>
      <c r="B6724" s="1" t="s">
        <v>624</v>
      </c>
      <c r="C6724" t="s">
        <v>622</v>
      </c>
      <c r="D6724" s="44">
        <v>-5.72</v>
      </c>
      <c r="E6724" t="s">
        <v>35</v>
      </c>
      <c r="F6724" s="2">
        <v>610148001</v>
      </c>
      <c r="G6724" s="2" t="s">
        <v>41</v>
      </c>
      <c r="I6724" s="95" t="s">
        <v>7231</v>
      </c>
      <c r="J6724" t="s">
        <v>42</v>
      </c>
      <c r="K6724" t="s">
        <v>41</v>
      </c>
      <c r="M6724">
        <v>114.41</v>
      </c>
      <c r="N6724" s="4">
        <f t="shared" si="104"/>
        <v>-4.9995629752643996E-2</v>
      </c>
      <c r="O6724" t="s">
        <v>4936</v>
      </c>
    </row>
    <row r="6725" spans="1:15" x14ac:dyDescent="0.25">
      <c r="A6725" s="22">
        <v>45849</v>
      </c>
      <c r="B6725" s="1" t="s">
        <v>1919</v>
      </c>
      <c r="C6725" t="s">
        <v>622</v>
      </c>
      <c r="D6725" s="44">
        <v>-500</v>
      </c>
      <c r="E6725" t="s">
        <v>35</v>
      </c>
      <c r="F6725" s="2">
        <v>610148001</v>
      </c>
      <c r="G6725" s="2" t="s">
        <v>41</v>
      </c>
      <c r="I6725" s="95" t="s">
        <v>7231</v>
      </c>
      <c r="J6725" t="s">
        <v>42</v>
      </c>
      <c r="K6725" t="s">
        <v>41</v>
      </c>
      <c r="M6725">
        <v>114.41</v>
      </c>
      <c r="N6725" s="4">
        <f t="shared" si="104"/>
        <v>-4.3702473560003501</v>
      </c>
      <c r="O6725" t="s">
        <v>4936</v>
      </c>
    </row>
    <row r="6726" spans="1:15" x14ac:dyDescent="0.25">
      <c r="A6726" s="22">
        <v>45849</v>
      </c>
      <c r="B6726" s="1" t="s">
        <v>623</v>
      </c>
      <c r="C6726" t="s">
        <v>622</v>
      </c>
      <c r="D6726" s="44">
        <v>-23.01</v>
      </c>
      <c r="E6726" t="s">
        <v>35</v>
      </c>
      <c r="F6726" s="2">
        <v>610148001</v>
      </c>
      <c r="G6726" s="2" t="s">
        <v>41</v>
      </c>
      <c r="I6726" s="95" t="s">
        <v>7231</v>
      </c>
      <c r="J6726" t="s">
        <v>42</v>
      </c>
      <c r="K6726" t="s">
        <v>41</v>
      </c>
      <c r="M6726">
        <v>114.41</v>
      </c>
      <c r="N6726" s="4">
        <f t="shared" si="104"/>
        <v>-0.2011187833231361</v>
      </c>
      <c r="O6726" t="s">
        <v>4936</v>
      </c>
    </row>
    <row r="6727" spans="1:15" x14ac:dyDescent="0.25">
      <c r="A6727" s="22">
        <v>45849</v>
      </c>
      <c r="B6727" s="1" t="s">
        <v>624</v>
      </c>
      <c r="C6727" t="s">
        <v>622</v>
      </c>
      <c r="D6727" s="44">
        <v>-5.72</v>
      </c>
      <c r="E6727" t="s">
        <v>35</v>
      </c>
      <c r="F6727" s="2">
        <v>610148001</v>
      </c>
      <c r="G6727" s="2" t="s">
        <v>41</v>
      </c>
      <c r="I6727" s="95" t="s">
        <v>7231</v>
      </c>
      <c r="J6727" t="s">
        <v>42</v>
      </c>
      <c r="K6727" t="s">
        <v>41</v>
      </c>
      <c r="M6727">
        <v>114.41</v>
      </c>
      <c r="N6727" s="4">
        <f t="shared" si="104"/>
        <v>-4.9995629752643996E-2</v>
      </c>
      <c r="O6727" t="s">
        <v>4936</v>
      </c>
    </row>
    <row r="6728" spans="1:15" x14ac:dyDescent="0.25">
      <c r="A6728" s="22">
        <v>45849</v>
      </c>
      <c r="B6728" s="1" t="s">
        <v>623</v>
      </c>
      <c r="C6728" t="s">
        <v>622</v>
      </c>
      <c r="D6728" s="44">
        <v>-49.19</v>
      </c>
      <c r="E6728" t="s">
        <v>35</v>
      </c>
      <c r="F6728" s="2">
        <v>610148001</v>
      </c>
      <c r="G6728" s="2" t="s">
        <v>41</v>
      </c>
      <c r="I6728" s="95" t="s">
        <v>7231</v>
      </c>
      <c r="J6728" t="s">
        <v>42</v>
      </c>
      <c r="K6728" t="s">
        <v>41</v>
      </c>
      <c r="M6728">
        <v>114.41</v>
      </c>
      <c r="N6728" s="4">
        <f t="shared" si="104"/>
        <v>-0.42994493488331437</v>
      </c>
      <c r="O6728" t="s">
        <v>4936</v>
      </c>
    </row>
    <row r="6729" spans="1:15" x14ac:dyDescent="0.25">
      <c r="A6729" s="22">
        <v>45849</v>
      </c>
      <c r="B6729" s="1" t="s">
        <v>1919</v>
      </c>
      <c r="C6729" t="s">
        <v>622</v>
      </c>
      <c r="D6729" s="44">
        <v>-500</v>
      </c>
      <c r="E6729" t="s">
        <v>35</v>
      </c>
      <c r="F6729" s="2">
        <v>610148001</v>
      </c>
      <c r="G6729" s="2" t="s">
        <v>41</v>
      </c>
      <c r="I6729" s="95" t="s">
        <v>7231</v>
      </c>
      <c r="J6729" t="s">
        <v>42</v>
      </c>
      <c r="K6729" t="s">
        <v>41</v>
      </c>
      <c r="M6729">
        <v>114.41</v>
      </c>
      <c r="N6729" s="4">
        <f t="shared" si="104"/>
        <v>-4.3702473560003501</v>
      </c>
      <c r="O6729" t="s">
        <v>4936</v>
      </c>
    </row>
    <row r="6730" spans="1:15" x14ac:dyDescent="0.25">
      <c r="A6730" s="22">
        <v>45849</v>
      </c>
      <c r="B6730" s="1" t="s">
        <v>5046</v>
      </c>
      <c r="C6730" t="s">
        <v>3305</v>
      </c>
      <c r="D6730" s="44">
        <v>80000</v>
      </c>
      <c r="E6730" t="s">
        <v>45</v>
      </c>
      <c r="F6730" s="2">
        <v>110101003</v>
      </c>
      <c r="G6730" s="2" t="s">
        <v>2945</v>
      </c>
      <c r="I6730" s="95" t="s">
        <v>7231</v>
      </c>
      <c r="K6730" t="s">
        <v>3305</v>
      </c>
      <c r="M6730">
        <v>114.41</v>
      </c>
      <c r="N6730" s="4">
        <f t="shared" si="104"/>
        <v>699.23957696005596</v>
      </c>
      <c r="O6730" t="s">
        <v>4936</v>
      </c>
    </row>
    <row r="6731" spans="1:15" x14ac:dyDescent="0.25">
      <c r="A6731" s="22">
        <v>45849</v>
      </c>
      <c r="B6731" s="1" t="s">
        <v>615</v>
      </c>
      <c r="C6731" t="s">
        <v>4688</v>
      </c>
      <c r="D6731" s="44">
        <v>-12585.1</v>
      </c>
      <c r="E6731" t="s">
        <v>35</v>
      </c>
      <c r="F6731" s="2">
        <v>212901001</v>
      </c>
      <c r="G6731" s="2" t="s">
        <v>91</v>
      </c>
      <c r="I6731" s="95" t="s">
        <v>7231</v>
      </c>
      <c r="J6731" t="s">
        <v>61</v>
      </c>
      <c r="K6731" t="s">
        <v>62</v>
      </c>
      <c r="M6731">
        <v>114.41</v>
      </c>
      <c r="N6731" s="4">
        <f t="shared" si="104"/>
        <v>-110</v>
      </c>
      <c r="O6731" t="s">
        <v>4936</v>
      </c>
    </row>
    <row r="6732" spans="1:15" x14ac:dyDescent="0.25">
      <c r="A6732" s="22">
        <v>45849</v>
      </c>
      <c r="B6732" s="1" t="s">
        <v>617</v>
      </c>
      <c r="C6732" t="s">
        <v>4681</v>
      </c>
      <c r="D6732" s="44">
        <v>-6864.6</v>
      </c>
      <c r="E6732" t="s">
        <v>35</v>
      </c>
      <c r="F6732" s="2">
        <v>212901001</v>
      </c>
      <c r="G6732" s="2" t="s">
        <v>91</v>
      </c>
      <c r="I6732" s="95" t="s">
        <v>7231</v>
      </c>
      <c r="J6732" t="s">
        <v>61</v>
      </c>
      <c r="K6732" t="s">
        <v>62</v>
      </c>
      <c r="M6732">
        <v>114.41</v>
      </c>
      <c r="N6732" s="4">
        <f t="shared" ref="N6732:N6795" si="105">D6732/M6732</f>
        <v>-60.000000000000007</v>
      </c>
      <c r="O6732" t="s">
        <v>4936</v>
      </c>
    </row>
    <row r="6733" spans="1:15" x14ac:dyDescent="0.25">
      <c r="A6733" s="22">
        <v>45849</v>
      </c>
      <c r="B6733" s="1" t="s">
        <v>1898</v>
      </c>
      <c r="C6733" t="s">
        <v>4683</v>
      </c>
      <c r="D6733" s="44">
        <v>-5720.5</v>
      </c>
      <c r="E6733" t="s">
        <v>35</v>
      </c>
      <c r="F6733" s="2">
        <v>212901001</v>
      </c>
      <c r="G6733" s="2" t="s">
        <v>91</v>
      </c>
      <c r="I6733" s="95" t="s">
        <v>7231</v>
      </c>
      <c r="J6733" t="s">
        <v>61</v>
      </c>
      <c r="K6733" t="s">
        <v>62</v>
      </c>
      <c r="M6733">
        <v>114.41</v>
      </c>
      <c r="N6733" s="4">
        <f t="shared" si="105"/>
        <v>-50</v>
      </c>
      <c r="O6733" t="s">
        <v>4936</v>
      </c>
    </row>
    <row r="6734" spans="1:15" x14ac:dyDescent="0.25">
      <c r="A6734" s="22">
        <v>45849</v>
      </c>
      <c r="B6734" s="1" t="s">
        <v>613</v>
      </c>
      <c r="C6734" t="s">
        <v>5047</v>
      </c>
      <c r="D6734" s="44">
        <v>-2288.1999999999998</v>
      </c>
      <c r="E6734" t="s">
        <v>35</v>
      </c>
      <c r="F6734" s="2">
        <v>212901001</v>
      </c>
      <c r="G6734" s="2" t="s">
        <v>91</v>
      </c>
      <c r="I6734" s="95" t="s">
        <v>7231</v>
      </c>
      <c r="J6734" t="s">
        <v>61</v>
      </c>
      <c r="K6734" t="s">
        <v>62</v>
      </c>
      <c r="M6734">
        <v>114.41</v>
      </c>
      <c r="N6734" s="4">
        <f t="shared" si="105"/>
        <v>-20</v>
      </c>
      <c r="O6734" t="s">
        <v>4936</v>
      </c>
    </row>
    <row r="6735" spans="1:15" x14ac:dyDescent="0.25">
      <c r="A6735" s="22">
        <v>45849</v>
      </c>
      <c r="B6735" s="1" t="s">
        <v>1909</v>
      </c>
      <c r="C6735" t="s">
        <v>4684</v>
      </c>
      <c r="D6735" s="44">
        <v>-5720.5</v>
      </c>
      <c r="E6735" t="s">
        <v>35</v>
      </c>
      <c r="F6735" s="2">
        <v>212901001</v>
      </c>
      <c r="G6735" s="2" t="s">
        <v>91</v>
      </c>
      <c r="I6735" s="95" t="s">
        <v>7231</v>
      </c>
      <c r="J6735" t="s">
        <v>61</v>
      </c>
      <c r="K6735" t="s">
        <v>62</v>
      </c>
      <c r="M6735">
        <v>114.41</v>
      </c>
      <c r="N6735" s="4">
        <f t="shared" si="105"/>
        <v>-50</v>
      </c>
      <c r="O6735" t="s">
        <v>4936</v>
      </c>
    </row>
    <row r="6736" spans="1:15" x14ac:dyDescent="0.25">
      <c r="A6736" s="22">
        <v>45849</v>
      </c>
      <c r="B6736" s="1" t="s">
        <v>617</v>
      </c>
      <c r="C6736" t="s">
        <v>4682</v>
      </c>
      <c r="D6736" s="44">
        <v>-6864.6</v>
      </c>
      <c r="E6736" t="s">
        <v>35</v>
      </c>
      <c r="F6736" s="2">
        <v>212901001</v>
      </c>
      <c r="G6736" s="2" t="s">
        <v>91</v>
      </c>
      <c r="I6736" s="95" t="s">
        <v>7231</v>
      </c>
      <c r="J6736" t="s">
        <v>61</v>
      </c>
      <c r="K6736" t="s">
        <v>62</v>
      </c>
      <c r="M6736">
        <v>114.41</v>
      </c>
      <c r="N6736" s="4">
        <f t="shared" si="105"/>
        <v>-60.000000000000007</v>
      </c>
      <c r="O6736" t="s">
        <v>4936</v>
      </c>
    </row>
    <row r="6737" spans="1:17" x14ac:dyDescent="0.25">
      <c r="A6737" s="22">
        <v>45849</v>
      </c>
      <c r="B6737" s="1" t="s">
        <v>617</v>
      </c>
      <c r="C6737" t="s">
        <v>4690</v>
      </c>
      <c r="D6737" s="44">
        <v>-5720.5</v>
      </c>
      <c r="E6737" t="s">
        <v>35</v>
      </c>
      <c r="F6737" s="2">
        <v>212901001</v>
      </c>
      <c r="G6737" s="2" t="s">
        <v>91</v>
      </c>
      <c r="I6737" s="95" t="s">
        <v>7231</v>
      </c>
      <c r="J6737" t="s">
        <v>61</v>
      </c>
      <c r="K6737" t="s">
        <v>62</v>
      </c>
      <c r="M6737">
        <v>114.41</v>
      </c>
      <c r="N6737" s="4">
        <f t="shared" si="105"/>
        <v>-50</v>
      </c>
      <c r="O6737" t="s">
        <v>4936</v>
      </c>
    </row>
    <row r="6738" spans="1:17" x14ac:dyDescent="0.25">
      <c r="A6738" s="22">
        <v>45849</v>
      </c>
      <c r="B6738" s="1" t="s">
        <v>1894</v>
      </c>
      <c r="C6738" t="s">
        <v>4685</v>
      </c>
      <c r="D6738" s="44">
        <v>-4576.3999999999996</v>
      </c>
      <c r="E6738" t="s">
        <v>35</v>
      </c>
      <c r="F6738" s="2">
        <v>212901001</v>
      </c>
      <c r="G6738" s="2" t="s">
        <v>91</v>
      </c>
      <c r="I6738" s="95" t="s">
        <v>7231</v>
      </c>
      <c r="J6738" t="s">
        <v>61</v>
      </c>
      <c r="K6738" t="s">
        <v>62</v>
      </c>
      <c r="M6738">
        <v>114.41</v>
      </c>
      <c r="N6738" s="4">
        <f t="shared" si="105"/>
        <v>-40</v>
      </c>
      <c r="O6738" t="s">
        <v>4936</v>
      </c>
    </row>
    <row r="6739" spans="1:17" x14ac:dyDescent="0.25">
      <c r="A6739" s="22">
        <v>45849</v>
      </c>
      <c r="B6739" s="1" t="s">
        <v>613</v>
      </c>
      <c r="C6739" t="s">
        <v>4686</v>
      </c>
      <c r="D6739" s="44">
        <v>-4576.3999999999996</v>
      </c>
      <c r="E6739" t="s">
        <v>35</v>
      </c>
      <c r="F6739" s="2">
        <v>212901001</v>
      </c>
      <c r="G6739" s="2" t="s">
        <v>91</v>
      </c>
      <c r="I6739" s="95" t="s">
        <v>7231</v>
      </c>
      <c r="J6739" t="s">
        <v>61</v>
      </c>
      <c r="K6739" t="s">
        <v>62</v>
      </c>
      <c r="M6739">
        <v>114.41</v>
      </c>
      <c r="N6739" s="4">
        <f t="shared" si="105"/>
        <v>-40</v>
      </c>
      <c r="O6739" t="s">
        <v>4936</v>
      </c>
    </row>
    <row r="6740" spans="1:17" x14ac:dyDescent="0.25">
      <c r="A6740" s="22">
        <v>45849</v>
      </c>
      <c r="B6740" s="1" t="s">
        <v>617</v>
      </c>
      <c r="C6740" t="s">
        <v>4691</v>
      </c>
      <c r="D6740" s="44">
        <v>-5720.5</v>
      </c>
      <c r="E6740" t="s">
        <v>35</v>
      </c>
      <c r="F6740" s="2">
        <v>212901001</v>
      </c>
      <c r="G6740" s="2" t="s">
        <v>91</v>
      </c>
      <c r="I6740" s="95" t="s">
        <v>7231</v>
      </c>
      <c r="J6740" t="s">
        <v>61</v>
      </c>
      <c r="K6740" t="s">
        <v>62</v>
      </c>
      <c r="M6740">
        <v>114.41</v>
      </c>
      <c r="N6740" s="4">
        <f t="shared" si="105"/>
        <v>-50</v>
      </c>
      <c r="O6740" t="s">
        <v>4936</v>
      </c>
    </row>
    <row r="6741" spans="1:17" x14ac:dyDescent="0.25">
      <c r="A6741" s="33">
        <v>45849</v>
      </c>
      <c r="B6741" s="27" t="s">
        <v>613</v>
      </c>
      <c r="C6741" s="28" t="s">
        <v>5048</v>
      </c>
      <c r="D6741" s="47">
        <v>-9152.7999999999993</v>
      </c>
      <c r="E6741" s="28" t="s">
        <v>35</v>
      </c>
      <c r="F6741" s="30">
        <v>610156001</v>
      </c>
      <c r="G6741" s="30" t="s">
        <v>72</v>
      </c>
      <c r="H6741" s="30"/>
      <c r="I6741" s="95" t="s">
        <v>7231</v>
      </c>
      <c r="J6741" s="28" t="s">
        <v>73</v>
      </c>
      <c r="K6741" s="28" t="s">
        <v>74</v>
      </c>
      <c r="L6741" s="28" t="s">
        <v>56</v>
      </c>
      <c r="M6741" s="28">
        <v>114.41</v>
      </c>
      <c r="N6741" s="4">
        <f t="shared" si="105"/>
        <v>-80</v>
      </c>
      <c r="O6741" t="s">
        <v>4936</v>
      </c>
      <c r="Q6741" s="24" t="s">
        <v>5049</v>
      </c>
    </row>
    <row r="6742" spans="1:17" x14ac:dyDescent="0.25">
      <c r="A6742" s="22">
        <v>45849</v>
      </c>
      <c r="B6742" s="1" t="s">
        <v>1904</v>
      </c>
      <c r="C6742" t="s">
        <v>4687</v>
      </c>
      <c r="D6742" s="44">
        <v>-4576.3999999999996</v>
      </c>
      <c r="E6742" t="s">
        <v>35</v>
      </c>
      <c r="F6742" s="2">
        <v>212901001</v>
      </c>
      <c r="G6742" s="2" t="s">
        <v>91</v>
      </c>
      <c r="I6742" s="95" t="s">
        <v>7231</v>
      </c>
      <c r="J6742" t="s">
        <v>61</v>
      </c>
      <c r="K6742" t="s">
        <v>62</v>
      </c>
      <c r="M6742">
        <v>114.41</v>
      </c>
      <c r="N6742" s="4">
        <f t="shared" si="105"/>
        <v>-40</v>
      </c>
      <c r="O6742" t="s">
        <v>4936</v>
      </c>
    </row>
    <row r="6743" spans="1:17" x14ac:dyDescent="0.25">
      <c r="A6743" s="22">
        <v>45849</v>
      </c>
      <c r="B6743" s="1" t="s">
        <v>1886</v>
      </c>
      <c r="C6743" t="s">
        <v>4692</v>
      </c>
      <c r="D6743" s="44">
        <v>-5720.5</v>
      </c>
      <c r="E6743" t="s">
        <v>35</v>
      </c>
      <c r="F6743" s="2">
        <v>212901001</v>
      </c>
      <c r="G6743" s="2" t="s">
        <v>91</v>
      </c>
      <c r="I6743" s="95" t="s">
        <v>7231</v>
      </c>
      <c r="J6743" t="s">
        <v>61</v>
      </c>
      <c r="K6743" t="s">
        <v>62</v>
      </c>
      <c r="M6743">
        <v>114.41</v>
      </c>
      <c r="N6743" s="4">
        <f t="shared" si="105"/>
        <v>-50</v>
      </c>
      <c r="O6743" t="s">
        <v>4936</v>
      </c>
    </row>
    <row r="6744" spans="1:17" x14ac:dyDescent="0.25">
      <c r="A6744" s="22">
        <v>45849</v>
      </c>
      <c r="B6744" s="1" t="s">
        <v>623</v>
      </c>
      <c r="C6744" t="s">
        <v>622</v>
      </c>
      <c r="D6744" s="1">
        <v>-5.72</v>
      </c>
      <c r="E6744" t="s">
        <v>35</v>
      </c>
      <c r="F6744" s="2">
        <v>610148001</v>
      </c>
      <c r="G6744" s="2" t="s">
        <v>41</v>
      </c>
      <c r="I6744" s="95" t="s">
        <v>7231</v>
      </c>
      <c r="J6744" t="s">
        <v>42</v>
      </c>
      <c r="K6744" t="s">
        <v>41</v>
      </c>
      <c r="M6744">
        <v>114.41</v>
      </c>
      <c r="N6744" s="4">
        <f t="shared" si="105"/>
        <v>-4.9995629752643996E-2</v>
      </c>
      <c r="O6744" t="s">
        <v>4936</v>
      </c>
    </row>
    <row r="6745" spans="1:17" x14ac:dyDescent="0.25">
      <c r="A6745" s="22">
        <v>45849</v>
      </c>
      <c r="B6745" s="1" t="s">
        <v>1912</v>
      </c>
      <c r="C6745" t="s">
        <v>622</v>
      </c>
      <c r="D6745" s="1">
        <v>-14.3</v>
      </c>
      <c r="E6745" t="s">
        <v>35</v>
      </c>
      <c r="F6745" s="2">
        <v>610148001</v>
      </c>
      <c r="G6745" s="2" t="s">
        <v>41</v>
      </c>
      <c r="I6745" s="95" t="s">
        <v>7231</v>
      </c>
      <c r="J6745" t="s">
        <v>42</v>
      </c>
      <c r="K6745" t="s">
        <v>41</v>
      </c>
      <c r="M6745">
        <v>114.41</v>
      </c>
      <c r="N6745" s="4">
        <f t="shared" si="105"/>
        <v>-0.12498907438161001</v>
      </c>
      <c r="O6745" t="s">
        <v>4936</v>
      </c>
    </row>
    <row r="6746" spans="1:17" x14ac:dyDescent="0.25">
      <c r="A6746" s="22">
        <v>45849</v>
      </c>
      <c r="B6746" s="1" t="s">
        <v>625</v>
      </c>
      <c r="C6746" t="s">
        <v>622</v>
      </c>
      <c r="D6746" s="1">
        <v>-31.46</v>
      </c>
      <c r="E6746" t="s">
        <v>35</v>
      </c>
      <c r="F6746" s="2">
        <v>610148001</v>
      </c>
      <c r="G6746" s="2" t="s">
        <v>41</v>
      </c>
      <c r="I6746" s="95" t="s">
        <v>7231</v>
      </c>
      <c r="J6746" t="s">
        <v>42</v>
      </c>
      <c r="K6746" t="s">
        <v>41</v>
      </c>
      <c r="M6746">
        <v>114.41</v>
      </c>
      <c r="N6746" s="4">
        <f t="shared" si="105"/>
        <v>-0.27497596363954202</v>
      </c>
      <c r="O6746" t="s">
        <v>4936</v>
      </c>
    </row>
    <row r="6747" spans="1:17" x14ac:dyDescent="0.25">
      <c r="A6747" s="22">
        <v>45849</v>
      </c>
      <c r="B6747" s="1" t="s">
        <v>1914</v>
      </c>
      <c r="C6747" t="s">
        <v>622</v>
      </c>
      <c r="D6747" s="1">
        <v>-14.3</v>
      </c>
      <c r="E6747" t="s">
        <v>35</v>
      </c>
      <c r="F6747" s="2">
        <v>610148001</v>
      </c>
      <c r="G6747" s="2" t="s">
        <v>41</v>
      </c>
      <c r="I6747" s="95" t="s">
        <v>7231</v>
      </c>
      <c r="J6747" t="s">
        <v>42</v>
      </c>
      <c r="K6747" t="s">
        <v>41</v>
      </c>
      <c r="M6747">
        <v>114.41</v>
      </c>
      <c r="N6747" s="4">
        <f t="shared" si="105"/>
        <v>-0.12498907438161001</v>
      </c>
      <c r="O6747" t="s">
        <v>4936</v>
      </c>
    </row>
    <row r="6748" spans="1:17" x14ac:dyDescent="0.25">
      <c r="A6748" s="22">
        <v>45849</v>
      </c>
      <c r="B6748" s="1" t="s">
        <v>1919</v>
      </c>
      <c r="C6748" t="s">
        <v>622</v>
      </c>
      <c r="D6748" s="1">
        <v>-11.44</v>
      </c>
      <c r="E6748" t="s">
        <v>35</v>
      </c>
      <c r="F6748" s="2">
        <v>610148001</v>
      </c>
      <c r="G6748" s="2" t="s">
        <v>41</v>
      </c>
      <c r="I6748" s="95" t="s">
        <v>7231</v>
      </c>
      <c r="J6748" t="s">
        <v>42</v>
      </c>
      <c r="K6748" t="s">
        <v>41</v>
      </c>
      <c r="M6748">
        <v>114.41</v>
      </c>
      <c r="N6748" s="4">
        <f t="shared" si="105"/>
        <v>-9.9991259505287991E-2</v>
      </c>
      <c r="O6748" t="s">
        <v>4936</v>
      </c>
    </row>
    <row r="6749" spans="1:17" x14ac:dyDescent="0.25">
      <c r="A6749" s="22">
        <v>45849</v>
      </c>
      <c r="B6749" s="1" t="s">
        <v>624</v>
      </c>
      <c r="C6749" t="s">
        <v>622</v>
      </c>
      <c r="D6749" s="1">
        <v>-17.16</v>
      </c>
      <c r="E6749" t="s">
        <v>35</v>
      </c>
      <c r="F6749" s="2">
        <v>610148001</v>
      </c>
      <c r="G6749" s="2" t="s">
        <v>41</v>
      </c>
      <c r="I6749" s="95" t="s">
        <v>7231</v>
      </c>
      <c r="J6749" t="s">
        <v>42</v>
      </c>
      <c r="K6749" t="s">
        <v>41</v>
      </c>
      <c r="M6749">
        <v>114.41</v>
      </c>
      <c r="N6749" s="4">
        <f t="shared" si="105"/>
        <v>-0.14998688925793199</v>
      </c>
      <c r="O6749" t="s">
        <v>4936</v>
      </c>
    </row>
    <row r="6750" spans="1:17" x14ac:dyDescent="0.25">
      <c r="A6750" s="22">
        <v>45849</v>
      </c>
      <c r="B6750" s="1" t="s">
        <v>624</v>
      </c>
      <c r="C6750" t="s">
        <v>622</v>
      </c>
      <c r="D6750" s="1">
        <v>-14.3</v>
      </c>
      <c r="E6750" t="s">
        <v>35</v>
      </c>
      <c r="F6750" s="2">
        <v>610148001</v>
      </c>
      <c r="G6750" s="2" t="s">
        <v>41</v>
      </c>
      <c r="I6750" s="95" t="s">
        <v>7231</v>
      </c>
      <c r="J6750" t="s">
        <v>42</v>
      </c>
      <c r="K6750" t="s">
        <v>41</v>
      </c>
      <c r="M6750">
        <v>114.41</v>
      </c>
      <c r="N6750" s="4">
        <f t="shared" si="105"/>
        <v>-0.12498907438161001</v>
      </c>
      <c r="O6750" t="s">
        <v>4936</v>
      </c>
    </row>
    <row r="6751" spans="1:17" x14ac:dyDescent="0.25">
      <c r="A6751" s="22">
        <v>45849</v>
      </c>
      <c r="B6751" s="1" t="s">
        <v>623</v>
      </c>
      <c r="C6751" t="s">
        <v>622</v>
      </c>
      <c r="D6751" s="1">
        <v>-11.44</v>
      </c>
      <c r="E6751" t="s">
        <v>35</v>
      </c>
      <c r="F6751" s="2">
        <v>610148001</v>
      </c>
      <c r="G6751" s="2" t="s">
        <v>41</v>
      </c>
      <c r="I6751" s="95" t="s">
        <v>7231</v>
      </c>
      <c r="J6751" t="s">
        <v>42</v>
      </c>
      <c r="K6751" t="s">
        <v>41</v>
      </c>
      <c r="M6751">
        <v>114.41</v>
      </c>
      <c r="N6751" s="4">
        <f t="shared" si="105"/>
        <v>-9.9991259505287991E-2</v>
      </c>
      <c r="O6751" t="s">
        <v>4936</v>
      </c>
    </row>
    <row r="6752" spans="1:17" x14ac:dyDescent="0.25">
      <c r="A6752" s="22">
        <v>45849</v>
      </c>
      <c r="B6752" s="1" t="s">
        <v>624</v>
      </c>
      <c r="C6752" t="s">
        <v>622</v>
      </c>
      <c r="D6752" s="1">
        <v>-17.16</v>
      </c>
      <c r="E6752" t="s">
        <v>35</v>
      </c>
      <c r="F6752" s="2">
        <v>610148001</v>
      </c>
      <c r="G6752" s="2" t="s">
        <v>41</v>
      </c>
      <c r="I6752" s="95" t="s">
        <v>7231</v>
      </c>
      <c r="J6752" t="s">
        <v>42</v>
      </c>
      <c r="K6752" t="s">
        <v>41</v>
      </c>
      <c r="M6752">
        <v>114.41</v>
      </c>
      <c r="N6752" s="4">
        <f t="shared" si="105"/>
        <v>-0.14998688925793199</v>
      </c>
      <c r="O6752" t="s">
        <v>4936</v>
      </c>
    </row>
    <row r="6753" spans="1:15" x14ac:dyDescent="0.25">
      <c r="A6753" s="22">
        <v>45849</v>
      </c>
      <c r="B6753" s="1" t="s">
        <v>1916</v>
      </c>
      <c r="C6753" t="s">
        <v>622</v>
      </c>
      <c r="D6753" s="1">
        <v>-14.3</v>
      </c>
      <c r="E6753" t="s">
        <v>35</v>
      </c>
      <c r="F6753" s="2">
        <v>610148001</v>
      </c>
      <c r="G6753" s="2" t="s">
        <v>41</v>
      </c>
      <c r="I6753" s="95" t="s">
        <v>7231</v>
      </c>
      <c r="J6753" t="s">
        <v>42</v>
      </c>
      <c r="K6753" t="s">
        <v>41</v>
      </c>
      <c r="M6753">
        <v>114.41</v>
      </c>
      <c r="N6753" s="4">
        <f t="shared" si="105"/>
        <v>-0.12498907438161001</v>
      </c>
      <c r="O6753" t="s">
        <v>4936</v>
      </c>
    </row>
    <row r="6754" spans="1:15" x14ac:dyDescent="0.25">
      <c r="A6754" s="22">
        <v>45849</v>
      </c>
      <c r="B6754" s="1" t="s">
        <v>1913</v>
      </c>
      <c r="C6754" t="s">
        <v>622</v>
      </c>
      <c r="D6754" s="1">
        <v>-11.44</v>
      </c>
      <c r="E6754" t="s">
        <v>35</v>
      </c>
      <c r="F6754" s="2">
        <v>610148001</v>
      </c>
      <c r="G6754" s="2" t="s">
        <v>41</v>
      </c>
      <c r="I6754" s="95" t="s">
        <v>7231</v>
      </c>
      <c r="J6754" t="s">
        <v>42</v>
      </c>
      <c r="K6754" t="s">
        <v>41</v>
      </c>
      <c r="M6754">
        <v>114.41</v>
      </c>
      <c r="N6754" s="4">
        <f t="shared" si="105"/>
        <v>-9.9991259505287991E-2</v>
      </c>
      <c r="O6754" t="s">
        <v>4936</v>
      </c>
    </row>
    <row r="6755" spans="1:15" x14ac:dyDescent="0.25">
      <c r="A6755" s="22">
        <v>45849</v>
      </c>
      <c r="B6755" s="1" t="s">
        <v>623</v>
      </c>
      <c r="C6755" t="s">
        <v>622</v>
      </c>
      <c r="D6755" s="1">
        <v>-22.88</v>
      </c>
      <c r="E6755" t="s">
        <v>35</v>
      </c>
      <c r="F6755" s="2">
        <v>610148001</v>
      </c>
      <c r="G6755" s="2" t="s">
        <v>41</v>
      </c>
      <c r="I6755" s="95" t="s">
        <v>7231</v>
      </c>
      <c r="J6755" t="s">
        <v>42</v>
      </c>
      <c r="K6755" t="s">
        <v>41</v>
      </c>
      <c r="M6755">
        <v>114.41</v>
      </c>
      <c r="N6755" s="4">
        <f t="shared" si="105"/>
        <v>-0.19998251901057598</v>
      </c>
      <c r="O6755" t="s">
        <v>4936</v>
      </c>
    </row>
    <row r="6756" spans="1:15" x14ac:dyDescent="0.25">
      <c r="A6756" s="22">
        <v>45849</v>
      </c>
      <c r="B6756" s="1" t="s">
        <v>624</v>
      </c>
      <c r="C6756" t="s">
        <v>622</v>
      </c>
      <c r="D6756" s="1">
        <v>-14.3</v>
      </c>
      <c r="E6756" t="s">
        <v>35</v>
      </c>
      <c r="F6756" s="2">
        <v>610148001</v>
      </c>
      <c r="G6756" s="2" t="s">
        <v>41</v>
      </c>
      <c r="I6756" s="95" t="s">
        <v>7231</v>
      </c>
      <c r="J6756" t="s">
        <v>42</v>
      </c>
      <c r="K6756" t="s">
        <v>41</v>
      </c>
      <c r="M6756">
        <v>114.41</v>
      </c>
      <c r="N6756" s="4">
        <f t="shared" si="105"/>
        <v>-0.12498907438161001</v>
      </c>
      <c r="O6756" t="s">
        <v>4936</v>
      </c>
    </row>
    <row r="6757" spans="1:15" x14ac:dyDescent="0.25">
      <c r="A6757" s="22">
        <v>45852</v>
      </c>
      <c r="B6757" s="1" t="s">
        <v>5050</v>
      </c>
      <c r="C6757" t="s">
        <v>293</v>
      </c>
      <c r="D6757" s="44">
        <v>750000</v>
      </c>
      <c r="E6757" t="s">
        <v>45</v>
      </c>
      <c r="F6757" s="2">
        <v>210115002</v>
      </c>
      <c r="G6757" s="2" t="s">
        <v>46</v>
      </c>
      <c r="I6757" s="95" t="s">
        <v>7231</v>
      </c>
      <c r="K6757" t="s">
        <v>293</v>
      </c>
      <c r="M6757">
        <v>115.33</v>
      </c>
      <c r="N6757" s="4">
        <f t="shared" si="105"/>
        <v>6503.0781236451921</v>
      </c>
      <c r="O6757" t="s">
        <v>4936</v>
      </c>
    </row>
    <row r="6758" spans="1:15" x14ac:dyDescent="0.25">
      <c r="A6758" s="22">
        <v>45852</v>
      </c>
      <c r="B6758" s="1" t="s">
        <v>617</v>
      </c>
      <c r="C6758" t="s">
        <v>5051</v>
      </c>
      <c r="D6758" s="1">
        <v>-318.51</v>
      </c>
      <c r="E6758" t="s">
        <v>35</v>
      </c>
      <c r="F6758" s="2">
        <v>210101001</v>
      </c>
      <c r="G6758" s="2" t="s">
        <v>36</v>
      </c>
      <c r="I6758" s="95" t="s">
        <v>7231</v>
      </c>
      <c r="J6758" t="s">
        <v>1864</v>
      </c>
      <c r="K6758" t="s">
        <v>1865</v>
      </c>
      <c r="M6758">
        <v>115.33</v>
      </c>
      <c r="N6758" s="4">
        <f t="shared" si="105"/>
        <v>-2.7617272175496401</v>
      </c>
      <c r="O6758" t="s">
        <v>4936</v>
      </c>
    </row>
    <row r="6759" spans="1:15" x14ac:dyDescent="0.25">
      <c r="A6759" s="22">
        <v>45852</v>
      </c>
      <c r="B6759" s="1" t="s">
        <v>619</v>
      </c>
      <c r="C6759" t="s">
        <v>5052</v>
      </c>
      <c r="D6759" s="44">
        <v>-200000</v>
      </c>
      <c r="E6759" t="s">
        <v>35</v>
      </c>
      <c r="F6759" s="2">
        <v>210101001</v>
      </c>
      <c r="G6759" s="2" t="s">
        <v>36</v>
      </c>
      <c r="I6759" s="95" t="s">
        <v>7231</v>
      </c>
      <c r="J6759" t="s">
        <v>37</v>
      </c>
      <c r="K6759" t="s">
        <v>38</v>
      </c>
      <c r="M6759">
        <v>115.33</v>
      </c>
      <c r="N6759" s="4">
        <f t="shared" si="105"/>
        <v>-1734.1541663053845</v>
      </c>
      <c r="O6759" t="s">
        <v>4936</v>
      </c>
    </row>
    <row r="6760" spans="1:15" x14ac:dyDescent="0.25">
      <c r="A6760" s="22">
        <v>45852</v>
      </c>
      <c r="B6760" s="1" t="s">
        <v>615</v>
      </c>
      <c r="C6760" t="s">
        <v>5053</v>
      </c>
      <c r="D6760" s="44">
        <v>-350000</v>
      </c>
      <c r="E6760" t="s">
        <v>35</v>
      </c>
      <c r="F6760" s="2">
        <v>110114001</v>
      </c>
      <c r="G6760" s="2" t="s">
        <v>181</v>
      </c>
      <c r="I6760" s="95" t="s">
        <v>7231</v>
      </c>
      <c r="K6760" t="s">
        <v>1256</v>
      </c>
      <c r="M6760">
        <v>115.33</v>
      </c>
      <c r="N6760" s="4">
        <f t="shared" si="105"/>
        <v>-3034.7697910344232</v>
      </c>
      <c r="O6760" t="s">
        <v>4936</v>
      </c>
    </row>
    <row r="6761" spans="1:15" x14ac:dyDescent="0.25">
      <c r="A6761" s="22">
        <v>45852</v>
      </c>
      <c r="B6761" s="1" t="s">
        <v>613</v>
      </c>
      <c r="C6761" t="s">
        <v>5054</v>
      </c>
      <c r="D6761" s="44">
        <v>-185053.98</v>
      </c>
      <c r="E6761" t="s">
        <v>35</v>
      </c>
      <c r="F6761" s="2">
        <v>210101001</v>
      </c>
      <c r="G6761" s="2" t="s">
        <v>36</v>
      </c>
      <c r="I6761" s="95" t="s">
        <v>7231</v>
      </c>
      <c r="J6761" t="s">
        <v>502</v>
      </c>
      <c r="K6761" t="s">
        <v>503</v>
      </c>
      <c r="M6761">
        <v>115.33</v>
      </c>
      <c r="N6761" s="4">
        <f t="shared" si="105"/>
        <v>-1604.5606520419667</v>
      </c>
      <c r="O6761" t="s">
        <v>4936</v>
      </c>
    </row>
    <row r="6762" spans="1:15" x14ac:dyDescent="0.25">
      <c r="A6762" s="22">
        <v>45852</v>
      </c>
      <c r="B6762" s="1" t="s">
        <v>1268</v>
      </c>
      <c r="C6762" t="s">
        <v>5052</v>
      </c>
      <c r="D6762" s="44">
        <v>-16709.34</v>
      </c>
      <c r="E6762" t="s">
        <v>35</v>
      </c>
      <c r="F6762" s="2">
        <v>210101001</v>
      </c>
      <c r="G6762" s="2" t="s">
        <v>36</v>
      </c>
      <c r="I6762" s="95" t="s">
        <v>7231</v>
      </c>
      <c r="J6762" t="s">
        <v>37</v>
      </c>
      <c r="K6762" t="s">
        <v>38</v>
      </c>
      <c r="M6762">
        <v>115.33</v>
      </c>
      <c r="N6762" s="4">
        <f t="shared" si="105"/>
        <v>-144.88285788606606</v>
      </c>
      <c r="O6762" t="s">
        <v>4936</v>
      </c>
    </row>
    <row r="6763" spans="1:15" x14ac:dyDescent="0.25">
      <c r="A6763" s="22">
        <v>45852</v>
      </c>
      <c r="B6763" s="1" t="s">
        <v>624</v>
      </c>
      <c r="C6763" t="s">
        <v>622</v>
      </c>
      <c r="D6763" s="1">
        <v>-0.79</v>
      </c>
      <c r="E6763" t="s">
        <v>35</v>
      </c>
      <c r="F6763" s="2">
        <v>610148001</v>
      </c>
      <c r="G6763" s="2" t="s">
        <v>41</v>
      </c>
      <c r="I6763" s="95" t="s">
        <v>7231</v>
      </c>
      <c r="J6763" t="s">
        <v>42</v>
      </c>
      <c r="K6763" t="s">
        <v>41</v>
      </c>
      <c r="M6763">
        <v>115.33</v>
      </c>
      <c r="N6763" s="4">
        <f t="shared" si="105"/>
        <v>-6.8499089569062695E-3</v>
      </c>
      <c r="O6763" t="s">
        <v>4936</v>
      </c>
    </row>
    <row r="6764" spans="1:15" x14ac:dyDescent="0.25">
      <c r="A6764" s="22">
        <v>45852</v>
      </c>
      <c r="B6764" s="1" t="s">
        <v>1271</v>
      </c>
      <c r="C6764" t="s">
        <v>622</v>
      </c>
      <c r="D6764" s="1">
        <v>-41.77</v>
      </c>
      <c r="E6764" t="s">
        <v>35</v>
      </c>
      <c r="F6764" s="2">
        <v>610148001</v>
      </c>
      <c r="G6764" s="2" t="s">
        <v>41</v>
      </c>
      <c r="I6764" s="95" t="s">
        <v>7231</v>
      </c>
      <c r="J6764" t="s">
        <v>42</v>
      </c>
      <c r="K6764" t="s">
        <v>41</v>
      </c>
      <c r="M6764">
        <v>115.33</v>
      </c>
      <c r="N6764" s="4">
        <f t="shared" si="105"/>
        <v>-0.36217809763287961</v>
      </c>
      <c r="O6764" t="s">
        <v>4936</v>
      </c>
    </row>
    <row r="6765" spans="1:15" x14ac:dyDescent="0.25">
      <c r="A6765" s="22">
        <v>45852</v>
      </c>
      <c r="B6765" s="1" t="s">
        <v>625</v>
      </c>
      <c r="C6765" t="s">
        <v>622</v>
      </c>
      <c r="D6765" s="1">
        <v>-875</v>
      </c>
      <c r="E6765" t="s">
        <v>35</v>
      </c>
      <c r="F6765" s="2">
        <v>610148001</v>
      </c>
      <c r="G6765" s="2" t="s">
        <v>41</v>
      </c>
      <c r="I6765" s="95" t="s">
        <v>7231</v>
      </c>
      <c r="J6765" t="s">
        <v>42</v>
      </c>
      <c r="K6765" t="s">
        <v>41</v>
      </c>
      <c r="M6765">
        <v>115.33</v>
      </c>
      <c r="N6765" s="4">
        <f t="shared" si="105"/>
        <v>-7.5869244775860576</v>
      </c>
      <c r="O6765" t="s">
        <v>4936</v>
      </c>
    </row>
    <row r="6766" spans="1:15" x14ac:dyDescent="0.25">
      <c r="A6766" s="22">
        <v>45852</v>
      </c>
      <c r="B6766" s="1" t="s">
        <v>623</v>
      </c>
      <c r="C6766" t="s">
        <v>622</v>
      </c>
      <c r="D6766" s="1">
        <v>-462.63</v>
      </c>
      <c r="E6766" t="s">
        <v>35</v>
      </c>
      <c r="F6766" s="2">
        <v>610148001</v>
      </c>
      <c r="G6766" s="2" t="s">
        <v>41</v>
      </c>
      <c r="I6766" s="95" t="s">
        <v>7231</v>
      </c>
      <c r="J6766" t="s">
        <v>42</v>
      </c>
      <c r="K6766" t="s">
        <v>41</v>
      </c>
      <c r="M6766">
        <v>115.33</v>
      </c>
      <c r="N6766" s="4">
        <f t="shared" si="105"/>
        <v>-4.0113587097893006</v>
      </c>
      <c r="O6766" t="s">
        <v>4936</v>
      </c>
    </row>
    <row r="6767" spans="1:15" x14ac:dyDescent="0.25">
      <c r="A6767" s="22">
        <v>45852</v>
      </c>
      <c r="B6767" s="1" t="s">
        <v>621</v>
      </c>
      <c r="C6767" t="s">
        <v>622</v>
      </c>
      <c r="D6767" s="1">
        <v>-500</v>
      </c>
      <c r="E6767" t="s">
        <v>35</v>
      </c>
      <c r="F6767" s="2">
        <v>610148001</v>
      </c>
      <c r="G6767" s="2" t="s">
        <v>41</v>
      </c>
      <c r="I6767" s="95" t="s">
        <v>7231</v>
      </c>
      <c r="J6767" t="s">
        <v>42</v>
      </c>
      <c r="K6767" t="s">
        <v>41</v>
      </c>
      <c r="M6767">
        <v>115.33</v>
      </c>
      <c r="N6767" s="4">
        <f t="shared" si="105"/>
        <v>-4.3353854157634615</v>
      </c>
      <c r="O6767" t="s">
        <v>4936</v>
      </c>
    </row>
    <row r="6768" spans="1:15" x14ac:dyDescent="0.25">
      <c r="A6768" s="22">
        <v>45854</v>
      </c>
      <c r="B6768" s="1" t="s">
        <v>5055</v>
      </c>
      <c r="C6768" t="s">
        <v>293</v>
      </c>
      <c r="D6768" s="44">
        <v>1120000</v>
      </c>
      <c r="E6768" t="s">
        <v>45</v>
      </c>
      <c r="F6768" s="2">
        <v>210115002</v>
      </c>
      <c r="G6768" s="2" t="s">
        <v>46</v>
      </c>
      <c r="I6768" s="95" t="s">
        <v>7231</v>
      </c>
      <c r="K6768" t="s">
        <v>293</v>
      </c>
      <c r="M6768">
        <v>116.82</v>
      </c>
      <c r="N6768" s="4">
        <f t="shared" si="105"/>
        <v>9587.3994179078927</v>
      </c>
      <c r="O6768" t="s">
        <v>4936</v>
      </c>
    </row>
    <row r="6769" spans="1:17" x14ac:dyDescent="0.25">
      <c r="A6769" s="22">
        <v>45854</v>
      </c>
      <c r="B6769" s="1" t="s">
        <v>617</v>
      </c>
      <c r="C6769" t="s">
        <v>5056</v>
      </c>
      <c r="D6769" s="44">
        <v>-25114.58</v>
      </c>
      <c r="E6769" t="s">
        <v>35</v>
      </c>
      <c r="F6769" s="2">
        <v>210101001</v>
      </c>
      <c r="G6769" s="2" t="s">
        <v>36</v>
      </c>
      <c r="I6769" s="95" t="s">
        <v>7231</v>
      </c>
      <c r="J6769" t="s">
        <v>414</v>
      </c>
      <c r="K6769" t="s">
        <v>415</v>
      </c>
      <c r="M6769">
        <v>116.82</v>
      </c>
      <c r="N6769" s="4">
        <f t="shared" si="105"/>
        <v>-214.98527649375109</v>
      </c>
      <c r="O6769" t="s">
        <v>4936</v>
      </c>
    </row>
    <row r="6770" spans="1:17" x14ac:dyDescent="0.25">
      <c r="A6770" s="22">
        <v>45854</v>
      </c>
      <c r="B6770" s="1" t="s">
        <v>617</v>
      </c>
      <c r="C6770" t="s">
        <v>5057</v>
      </c>
      <c r="D6770" s="44">
        <v>-20775.27</v>
      </c>
      <c r="E6770" t="s">
        <v>35</v>
      </c>
      <c r="F6770" s="2">
        <v>210101001</v>
      </c>
      <c r="G6770" s="2" t="s">
        <v>36</v>
      </c>
      <c r="I6770" s="95" t="s">
        <v>7231</v>
      </c>
      <c r="J6770" t="s">
        <v>376</v>
      </c>
      <c r="K6770" t="s">
        <v>377</v>
      </c>
      <c r="M6770">
        <v>116.82</v>
      </c>
      <c r="N6770" s="4">
        <f t="shared" si="105"/>
        <v>-177.84001027221368</v>
      </c>
      <c r="O6770" t="s">
        <v>4936</v>
      </c>
    </row>
    <row r="6771" spans="1:17" x14ac:dyDescent="0.25">
      <c r="A6771" s="33">
        <v>45854</v>
      </c>
      <c r="B6771" s="27" t="s">
        <v>617</v>
      </c>
      <c r="C6771" s="28" t="s">
        <v>5058</v>
      </c>
      <c r="D6771" s="47">
        <v>-2336.4</v>
      </c>
      <c r="E6771" s="28" t="s">
        <v>35</v>
      </c>
      <c r="F6771" s="30">
        <v>610125001</v>
      </c>
      <c r="G6771" s="30" t="s">
        <v>2536</v>
      </c>
      <c r="H6771" s="30"/>
      <c r="I6771" s="95" t="s">
        <v>7231</v>
      </c>
      <c r="J6771" s="28" t="s">
        <v>406</v>
      </c>
      <c r="K6771" s="28" t="s">
        <v>407</v>
      </c>
      <c r="L6771" s="28" t="s">
        <v>56</v>
      </c>
      <c r="M6771" s="28">
        <v>116.82</v>
      </c>
      <c r="N6771" s="4">
        <f t="shared" si="105"/>
        <v>-20.000000000000004</v>
      </c>
      <c r="O6771" t="s">
        <v>4936</v>
      </c>
      <c r="Q6771" s="24" t="s">
        <v>5059</v>
      </c>
    </row>
    <row r="6772" spans="1:17" x14ac:dyDescent="0.25">
      <c r="A6772" s="22">
        <v>45854</v>
      </c>
      <c r="B6772" s="1" t="s">
        <v>617</v>
      </c>
      <c r="C6772" t="s">
        <v>5060</v>
      </c>
      <c r="D6772" s="44" t="s">
        <v>5061</v>
      </c>
      <c r="E6772" t="s">
        <v>35</v>
      </c>
      <c r="F6772" s="2">
        <v>210101001</v>
      </c>
      <c r="G6772" s="2" t="s">
        <v>36</v>
      </c>
      <c r="I6772" s="95" t="s">
        <v>7231</v>
      </c>
      <c r="J6772" t="s">
        <v>37</v>
      </c>
      <c r="K6772" t="s">
        <v>38</v>
      </c>
      <c r="M6772">
        <v>116.82</v>
      </c>
      <c r="N6772" s="4">
        <f t="shared" si="105"/>
        <v>-1090.3999315185756</v>
      </c>
      <c r="O6772" t="s">
        <v>4936</v>
      </c>
    </row>
    <row r="6773" spans="1:17" x14ac:dyDescent="0.25">
      <c r="A6773" s="22">
        <v>45854</v>
      </c>
      <c r="B6773" s="1" t="s">
        <v>615</v>
      </c>
      <c r="C6773" t="s">
        <v>5062</v>
      </c>
      <c r="D6773" s="44" t="s">
        <v>5063</v>
      </c>
      <c r="E6773" t="s">
        <v>35</v>
      </c>
      <c r="F6773" s="2">
        <v>210101001</v>
      </c>
      <c r="G6773" s="2" t="s">
        <v>36</v>
      </c>
      <c r="I6773" s="95" t="s">
        <v>7231</v>
      </c>
      <c r="J6773" t="s">
        <v>283</v>
      </c>
      <c r="K6773" t="s">
        <v>1628</v>
      </c>
      <c r="M6773">
        <v>116.82</v>
      </c>
      <c r="N6773" s="4">
        <f t="shared" si="105"/>
        <v>-222.30003424071222</v>
      </c>
      <c r="O6773" t="s">
        <v>4936</v>
      </c>
    </row>
    <row r="6774" spans="1:17" x14ac:dyDescent="0.25">
      <c r="A6774" s="22">
        <v>45854</v>
      </c>
      <c r="B6774" s="1" t="s">
        <v>613</v>
      </c>
      <c r="C6774" t="s">
        <v>5064</v>
      </c>
      <c r="D6774" s="44" t="s">
        <v>5065</v>
      </c>
      <c r="E6774" t="s">
        <v>35</v>
      </c>
      <c r="F6774" s="2">
        <v>110114001</v>
      </c>
      <c r="G6774" s="2" t="s">
        <v>181</v>
      </c>
      <c r="I6774" s="95" t="s">
        <v>7231</v>
      </c>
      <c r="J6774" t="s">
        <v>37</v>
      </c>
      <c r="K6774" t="s">
        <v>38</v>
      </c>
      <c r="M6774">
        <v>116.82</v>
      </c>
      <c r="N6774" s="4">
        <f t="shared" si="105"/>
        <v>-7814.4494949494956</v>
      </c>
      <c r="O6774" t="s">
        <v>4936</v>
      </c>
    </row>
    <row r="6775" spans="1:17" x14ac:dyDescent="0.25">
      <c r="A6775" s="22">
        <v>45854</v>
      </c>
      <c r="B6775" s="1" t="s">
        <v>625</v>
      </c>
      <c r="C6775" t="s">
        <v>622</v>
      </c>
      <c r="D6775" s="44" t="s">
        <v>5066</v>
      </c>
      <c r="E6775" t="s">
        <v>35</v>
      </c>
      <c r="F6775" s="2">
        <v>610148001</v>
      </c>
      <c r="G6775" s="2" t="s">
        <v>41</v>
      </c>
      <c r="I6775" s="95" t="s">
        <v>7231</v>
      </c>
      <c r="J6775" t="s">
        <v>42</v>
      </c>
      <c r="K6775" t="s">
        <v>41</v>
      </c>
      <c r="M6775">
        <v>116.82</v>
      </c>
      <c r="N6775" s="4">
        <f t="shared" si="105"/>
        <v>-0.55572675911658964</v>
      </c>
      <c r="O6775" t="s">
        <v>4936</v>
      </c>
    </row>
    <row r="6776" spans="1:17" x14ac:dyDescent="0.25">
      <c r="A6776" s="22">
        <v>45854</v>
      </c>
      <c r="B6776" s="1" t="s">
        <v>624</v>
      </c>
      <c r="C6776" t="s">
        <v>622</v>
      </c>
      <c r="D6776" s="44" t="s">
        <v>5067</v>
      </c>
      <c r="E6776" t="s">
        <v>35</v>
      </c>
      <c r="F6776" s="2">
        <v>610148001</v>
      </c>
      <c r="G6776" s="2" t="s">
        <v>41</v>
      </c>
      <c r="I6776" s="95" t="s">
        <v>7231</v>
      </c>
      <c r="J6776" t="s">
        <v>42</v>
      </c>
      <c r="K6776" t="s">
        <v>41</v>
      </c>
      <c r="M6776">
        <v>116.82</v>
      </c>
      <c r="N6776" s="4">
        <f t="shared" si="105"/>
        <v>-2.7259887005649719</v>
      </c>
      <c r="O6776" t="s">
        <v>4936</v>
      </c>
    </row>
    <row r="6777" spans="1:17" x14ac:dyDescent="0.25">
      <c r="A6777" s="22">
        <v>45854</v>
      </c>
      <c r="B6777" s="1" t="s">
        <v>623</v>
      </c>
      <c r="C6777" t="s">
        <v>622</v>
      </c>
      <c r="D6777" s="44" t="s">
        <v>5068</v>
      </c>
      <c r="E6777" t="s">
        <v>35</v>
      </c>
      <c r="F6777" s="2">
        <v>610148001</v>
      </c>
      <c r="G6777" s="2" t="s">
        <v>41</v>
      </c>
      <c r="I6777" s="95" t="s">
        <v>7231</v>
      </c>
      <c r="J6777" t="s">
        <v>42</v>
      </c>
      <c r="K6777" t="s">
        <v>41</v>
      </c>
      <c r="M6777">
        <v>116.82</v>
      </c>
      <c r="N6777" s="4">
        <f t="shared" si="105"/>
        <v>-19.536038349597671</v>
      </c>
      <c r="O6777" t="s">
        <v>4936</v>
      </c>
    </row>
    <row r="6778" spans="1:17" x14ac:dyDescent="0.25">
      <c r="A6778" s="22">
        <v>45854</v>
      </c>
      <c r="B6778" s="1" t="s">
        <v>624</v>
      </c>
      <c r="C6778" t="s">
        <v>622</v>
      </c>
      <c r="D6778" s="44" t="s">
        <v>5069</v>
      </c>
      <c r="E6778" t="s">
        <v>35</v>
      </c>
      <c r="F6778" s="2">
        <v>610148001</v>
      </c>
      <c r="G6778" s="2" t="s">
        <v>41</v>
      </c>
      <c r="I6778" s="95" t="s">
        <v>7231</v>
      </c>
      <c r="J6778" t="s">
        <v>42</v>
      </c>
      <c r="K6778" t="s">
        <v>41</v>
      </c>
      <c r="M6778">
        <v>116.82</v>
      </c>
      <c r="N6778" s="4">
        <f t="shared" si="105"/>
        <v>-0.5374079780859442</v>
      </c>
      <c r="O6778" t="s">
        <v>4936</v>
      </c>
    </row>
    <row r="6779" spans="1:17" x14ac:dyDescent="0.25">
      <c r="A6779" s="22">
        <v>45854</v>
      </c>
      <c r="B6779" s="1" t="s">
        <v>624</v>
      </c>
      <c r="C6779" t="s">
        <v>622</v>
      </c>
      <c r="D6779" s="44" t="s">
        <v>5070</v>
      </c>
      <c r="E6779" t="s">
        <v>35</v>
      </c>
      <c r="F6779" s="2">
        <v>610148001</v>
      </c>
      <c r="G6779" s="2" t="s">
        <v>41</v>
      </c>
      <c r="I6779" s="95" t="s">
        <v>7231</v>
      </c>
      <c r="J6779" t="s">
        <v>42</v>
      </c>
      <c r="K6779" t="s">
        <v>41</v>
      </c>
      <c r="M6779">
        <v>116.82</v>
      </c>
      <c r="N6779" s="4">
        <f t="shared" si="105"/>
        <v>-0.44453004622496151</v>
      </c>
      <c r="O6779" t="s">
        <v>4936</v>
      </c>
    </row>
    <row r="6780" spans="1:17" x14ac:dyDescent="0.25">
      <c r="A6780" s="22">
        <v>45854</v>
      </c>
      <c r="B6780" s="1" t="s">
        <v>624</v>
      </c>
      <c r="C6780" t="s">
        <v>622</v>
      </c>
      <c r="D6780" s="44" t="s">
        <v>5071</v>
      </c>
      <c r="E6780" t="s">
        <v>35</v>
      </c>
      <c r="F6780" s="2">
        <v>610148001</v>
      </c>
      <c r="G6780" s="2" t="s">
        <v>41</v>
      </c>
      <c r="I6780" s="95" t="s">
        <v>7231</v>
      </c>
      <c r="J6780" t="s">
        <v>42</v>
      </c>
      <c r="K6780" t="s">
        <v>41</v>
      </c>
      <c r="M6780">
        <v>116.82</v>
      </c>
      <c r="N6780" s="4">
        <f t="shared" si="105"/>
        <v>-4.99914398219483E-2</v>
      </c>
      <c r="O6780" t="s">
        <v>4936</v>
      </c>
    </row>
    <row r="6781" spans="1:17" x14ac:dyDescent="0.25">
      <c r="A6781" s="22">
        <v>45855</v>
      </c>
      <c r="B6781" s="1" t="s">
        <v>5072</v>
      </c>
      <c r="C6781" t="s">
        <v>293</v>
      </c>
      <c r="D6781" s="44" t="s">
        <v>5073</v>
      </c>
      <c r="E6781" t="s">
        <v>45</v>
      </c>
      <c r="F6781" s="2">
        <v>210115002</v>
      </c>
      <c r="G6781" s="2" t="s">
        <v>46</v>
      </c>
      <c r="I6781" s="95" t="s">
        <v>7231</v>
      </c>
      <c r="K6781" t="s">
        <v>293</v>
      </c>
      <c r="M6781">
        <v>117.4</v>
      </c>
      <c r="N6781" s="4">
        <f t="shared" si="105"/>
        <v>11073.253833049403</v>
      </c>
      <c r="O6781" t="s">
        <v>4936</v>
      </c>
    </row>
    <row r="6782" spans="1:17" x14ac:dyDescent="0.25">
      <c r="A6782" s="22">
        <v>45855</v>
      </c>
      <c r="B6782" s="1" t="s">
        <v>5074</v>
      </c>
      <c r="C6782" t="s">
        <v>5075</v>
      </c>
      <c r="D6782" s="44" t="s">
        <v>5076</v>
      </c>
      <c r="E6782" t="s">
        <v>35</v>
      </c>
      <c r="F6782" s="2">
        <v>110114001</v>
      </c>
      <c r="G6782" s="2" t="s">
        <v>181</v>
      </c>
      <c r="I6782" s="95" t="s">
        <v>7231</v>
      </c>
      <c r="K6782" t="s">
        <v>1256</v>
      </c>
      <c r="M6782">
        <v>117.4</v>
      </c>
      <c r="N6782" s="4">
        <f t="shared" si="105"/>
        <v>-10907.320613287904</v>
      </c>
      <c r="O6782" t="s">
        <v>4936</v>
      </c>
    </row>
    <row r="6783" spans="1:17" x14ac:dyDescent="0.25">
      <c r="A6783" s="22">
        <v>45855</v>
      </c>
      <c r="B6783" s="1" t="s">
        <v>5077</v>
      </c>
      <c r="C6783" t="s">
        <v>622</v>
      </c>
      <c r="D6783" s="44" t="s">
        <v>5078</v>
      </c>
      <c r="E6783" t="s">
        <v>35</v>
      </c>
      <c r="F6783" s="2">
        <v>610148001</v>
      </c>
      <c r="G6783" s="2" t="s">
        <v>41</v>
      </c>
      <c r="I6783" s="95" t="s">
        <v>7231</v>
      </c>
      <c r="J6783" t="s">
        <v>42</v>
      </c>
      <c r="K6783" t="s">
        <v>41</v>
      </c>
      <c r="M6783">
        <v>117.4</v>
      </c>
      <c r="N6783" s="4">
        <f t="shared" si="105"/>
        <v>-27.268228279386712</v>
      </c>
      <c r="O6783" t="s">
        <v>4936</v>
      </c>
    </row>
    <row r="6784" spans="1:17" x14ac:dyDescent="0.25">
      <c r="A6784" s="22">
        <v>45856</v>
      </c>
      <c r="B6784" s="1" t="s">
        <v>5079</v>
      </c>
      <c r="C6784" t="s">
        <v>293</v>
      </c>
      <c r="D6784" s="44" t="s">
        <v>5080</v>
      </c>
      <c r="E6784" t="s">
        <v>45</v>
      </c>
      <c r="F6784" s="2">
        <v>210115002</v>
      </c>
      <c r="G6784" s="2" t="s">
        <v>46</v>
      </c>
      <c r="I6784" s="95" t="s">
        <v>7231</v>
      </c>
      <c r="K6784" t="s">
        <v>293</v>
      </c>
      <c r="M6784">
        <v>118.29</v>
      </c>
      <c r="N6784" s="4">
        <f t="shared" si="105"/>
        <v>12511.623974976752</v>
      </c>
      <c r="O6784" t="s">
        <v>4936</v>
      </c>
    </row>
    <row r="6785" spans="1:17" x14ac:dyDescent="0.25">
      <c r="A6785" s="22">
        <v>45856</v>
      </c>
      <c r="B6785" s="1" t="s">
        <v>5081</v>
      </c>
      <c r="C6785" t="s">
        <v>5082</v>
      </c>
      <c r="D6785" s="44">
        <v>-1182.9000000000001</v>
      </c>
      <c r="E6785" t="s">
        <v>35</v>
      </c>
      <c r="F6785" s="2">
        <v>212901001</v>
      </c>
      <c r="G6785" s="2" t="s">
        <v>91</v>
      </c>
      <c r="I6785" s="95" t="s">
        <v>7231</v>
      </c>
      <c r="J6785" t="s">
        <v>61</v>
      </c>
      <c r="K6785" t="s">
        <v>62</v>
      </c>
      <c r="M6785">
        <v>118.29</v>
      </c>
      <c r="N6785" s="4">
        <f t="shared" si="105"/>
        <v>-10</v>
      </c>
      <c r="O6785" t="s">
        <v>4936</v>
      </c>
    </row>
    <row r="6786" spans="1:17" x14ac:dyDescent="0.25">
      <c r="A6786" s="22">
        <v>45856</v>
      </c>
      <c r="B6786" s="1" t="s">
        <v>5083</v>
      </c>
      <c r="C6786" t="s">
        <v>622</v>
      </c>
      <c r="D6786" s="44">
        <v>-2.95</v>
      </c>
      <c r="E6786" t="s">
        <v>35</v>
      </c>
      <c r="F6786" s="2">
        <v>610148001</v>
      </c>
      <c r="G6786" s="2" t="s">
        <v>41</v>
      </c>
      <c r="I6786" s="95" t="s">
        <v>7231</v>
      </c>
      <c r="J6786" t="s">
        <v>42</v>
      </c>
      <c r="K6786" t="s">
        <v>41</v>
      </c>
      <c r="M6786">
        <v>118.29</v>
      </c>
      <c r="N6786" s="4">
        <f t="shared" si="105"/>
        <v>-2.4938709950122581E-2</v>
      </c>
      <c r="O6786" t="s">
        <v>4936</v>
      </c>
    </row>
    <row r="6787" spans="1:17" x14ac:dyDescent="0.25">
      <c r="A6787" s="22">
        <v>45856</v>
      </c>
      <c r="B6787" s="1" t="s">
        <v>5084</v>
      </c>
      <c r="C6787" t="s">
        <v>5085</v>
      </c>
      <c r="D6787" s="44">
        <v>-17743.5</v>
      </c>
      <c r="E6787" t="s">
        <v>35</v>
      </c>
      <c r="F6787" s="2">
        <v>212901001</v>
      </c>
      <c r="G6787" s="2" t="s">
        <v>91</v>
      </c>
      <c r="I6787" s="95" t="s">
        <v>7231</v>
      </c>
      <c r="J6787" t="s">
        <v>61</v>
      </c>
      <c r="K6787" t="s">
        <v>62</v>
      </c>
      <c r="M6787">
        <v>118.29</v>
      </c>
      <c r="N6787" s="4">
        <f t="shared" si="105"/>
        <v>-150</v>
      </c>
      <c r="O6787" t="s">
        <v>4936</v>
      </c>
    </row>
    <row r="6788" spans="1:17" x14ac:dyDescent="0.25">
      <c r="A6788" s="22">
        <v>45856</v>
      </c>
      <c r="B6788" s="1" t="s">
        <v>5086</v>
      </c>
      <c r="C6788" t="s">
        <v>622</v>
      </c>
      <c r="D6788" s="44">
        <v>-44.35</v>
      </c>
      <c r="E6788" t="s">
        <v>35</v>
      </c>
      <c r="F6788" s="2">
        <v>610148001</v>
      </c>
      <c r="G6788" s="2" t="s">
        <v>41</v>
      </c>
      <c r="I6788" s="95" t="s">
        <v>7231</v>
      </c>
      <c r="J6788" t="s">
        <v>42</v>
      </c>
      <c r="K6788" t="s">
        <v>41</v>
      </c>
      <c r="M6788">
        <v>118.29</v>
      </c>
      <c r="N6788" s="4">
        <f t="shared" si="105"/>
        <v>-0.37492602925014795</v>
      </c>
      <c r="O6788" t="s">
        <v>4936</v>
      </c>
    </row>
    <row r="6789" spans="1:17" x14ac:dyDescent="0.25">
      <c r="A6789" s="22">
        <v>45856</v>
      </c>
      <c r="B6789" s="1" t="s">
        <v>5087</v>
      </c>
      <c r="C6789" t="s">
        <v>5088</v>
      </c>
      <c r="D6789" s="44">
        <v>-563774.52</v>
      </c>
      <c r="E6789" t="s">
        <v>35</v>
      </c>
      <c r="F6789" s="2">
        <v>210101001</v>
      </c>
      <c r="G6789" s="2" t="s">
        <v>36</v>
      </c>
      <c r="I6789" s="95" t="s">
        <v>7231</v>
      </c>
      <c r="J6789" t="s">
        <v>182</v>
      </c>
      <c r="K6789" t="s">
        <v>183</v>
      </c>
      <c r="M6789">
        <v>118.29</v>
      </c>
      <c r="N6789" s="4">
        <f t="shared" si="105"/>
        <v>-4766.0370276439262</v>
      </c>
      <c r="O6789" t="s">
        <v>4936</v>
      </c>
    </row>
    <row r="6790" spans="1:17" x14ac:dyDescent="0.25">
      <c r="A6790" s="22">
        <v>45856</v>
      </c>
      <c r="B6790" s="1" t="s">
        <v>5089</v>
      </c>
      <c r="C6790" t="s">
        <v>622</v>
      </c>
      <c r="D6790" s="44">
        <v>-1409.43</v>
      </c>
      <c r="E6790" t="s">
        <v>35</v>
      </c>
      <c r="F6790" s="2">
        <v>610148001</v>
      </c>
      <c r="G6790" s="2" t="s">
        <v>41</v>
      </c>
      <c r="I6790" s="95" t="s">
        <v>7231</v>
      </c>
      <c r="J6790" t="s">
        <v>42</v>
      </c>
      <c r="K6790" t="s">
        <v>41</v>
      </c>
      <c r="M6790">
        <v>118.29</v>
      </c>
      <c r="N6790" s="4">
        <f t="shared" si="105"/>
        <v>-11.915039310169922</v>
      </c>
      <c r="O6790" t="s">
        <v>4936</v>
      </c>
    </row>
    <row r="6791" spans="1:17" x14ac:dyDescent="0.25">
      <c r="A6791" s="22">
        <v>45856</v>
      </c>
      <c r="B6791" s="1" t="s">
        <v>5090</v>
      </c>
      <c r="C6791" t="s">
        <v>5091</v>
      </c>
      <c r="D6791" s="44">
        <v>-141731.16</v>
      </c>
      <c r="E6791" t="s">
        <v>35</v>
      </c>
      <c r="F6791" s="2">
        <v>210101001</v>
      </c>
      <c r="G6791" s="2" t="s">
        <v>36</v>
      </c>
      <c r="I6791" s="95" t="s">
        <v>7231</v>
      </c>
      <c r="J6791" t="s">
        <v>37</v>
      </c>
      <c r="K6791" t="s">
        <v>38</v>
      </c>
      <c r="M6791">
        <v>118.29</v>
      </c>
      <c r="N6791" s="4">
        <f t="shared" si="105"/>
        <v>-1198.1668780116663</v>
      </c>
      <c r="O6791" t="s">
        <v>4936</v>
      </c>
    </row>
    <row r="6792" spans="1:17" x14ac:dyDescent="0.25">
      <c r="A6792" s="22">
        <v>45856</v>
      </c>
      <c r="B6792" s="1" t="s">
        <v>5092</v>
      </c>
      <c r="C6792" t="s">
        <v>622</v>
      </c>
      <c r="D6792" s="44">
        <v>-354.32</v>
      </c>
      <c r="E6792" t="s">
        <v>35</v>
      </c>
      <c r="F6792" s="2">
        <v>610148001</v>
      </c>
      <c r="G6792" s="2" t="s">
        <v>41</v>
      </c>
      <c r="I6792" s="95" t="s">
        <v>7231</v>
      </c>
      <c r="J6792" t="s">
        <v>42</v>
      </c>
      <c r="K6792" t="s">
        <v>41</v>
      </c>
      <c r="M6792">
        <v>118.29</v>
      </c>
      <c r="N6792" s="4">
        <f t="shared" si="105"/>
        <v>-2.9953504100092991</v>
      </c>
      <c r="O6792" t="s">
        <v>4936</v>
      </c>
    </row>
    <row r="6793" spans="1:17" x14ac:dyDescent="0.25">
      <c r="A6793" s="22">
        <v>45856</v>
      </c>
      <c r="B6793" s="1" t="s">
        <v>5093</v>
      </c>
      <c r="C6793" t="s">
        <v>5094</v>
      </c>
      <c r="D6793" s="44">
        <v>-2365.8000000000002</v>
      </c>
      <c r="E6793" t="s">
        <v>35</v>
      </c>
      <c r="F6793" s="2">
        <v>212901001</v>
      </c>
      <c r="G6793" s="2" t="s">
        <v>91</v>
      </c>
      <c r="I6793" s="95" t="s">
        <v>7231</v>
      </c>
      <c r="J6793" t="s">
        <v>61</v>
      </c>
      <c r="K6793" t="s">
        <v>62</v>
      </c>
      <c r="M6793">
        <v>118.29</v>
      </c>
      <c r="N6793" s="4">
        <f t="shared" si="105"/>
        <v>-20</v>
      </c>
      <c r="O6793" t="s">
        <v>4936</v>
      </c>
    </row>
    <row r="6794" spans="1:17" x14ac:dyDescent="0.25">
      <c r="A6794" s="22">
        <v>45856</v>
      </c>
      <c r="B6794" s="1" t="s">
        <v>5095</v>
      </c>
      <c r="C6794" t="s">
        <v>622</v>
      </c>
      <c r="D6794" s="44">
        <v>-5.91</v>
      </c>
      <c r="E6794" t="s">
        <v>35</v>
      </c>
      <c r="F6794" s="2">
        <v>610148001</v>
      </c>
      <c r="G6794" s="2" t="s">
        <v>41</v>
      </c>
      <c r="I6794" s="95" t="s">
        <v>7231</v>
      </c>
      <c r="J6794" t="s">
        <v>42</v>
      </c>
      <c r="K6794" t="s">
        <v>41</v>
      </c>
      <c r="M6794">
        <v>118.29</v>
      </c>
      <c r="N6794" s="4">
        <f t="shared" si="105"/>
        <v>-4.9961957900076084E-2</v>
      </c>
      <c r="O6794" t="s">
        <v>4936</v>
      </c>
    </row>
    <row r="6795" spans="1:17" x14ac:dyDescent="0.25">
      <c r="A6795" s="22">
        <v>45856</v>
      </c>
      <c r="B6795" s="1" t="s">
        <v>5096</v>
      </c>
      <c r="C6795" t="s">
        <v>5097</v>
      </c>
      <c r="D6795" s="44">
        <v>-2365.8000000000002</v>
      </c>
      <c r="E6795" t="s">
        <v>35</v>
      </c>
      <c r="F6795" s="2">
        <v>212901001</v>
      </c>
      <c r="G6795" s="2" t="s">
        <v>91</v>
      </c>
      <c r="I6795" s="95" t="s">
        <v>7231</v>
      </c>
      <c r="J6795" t="s">
        <v>61</v>
      </c>
      <c r="K6795" t="s">
        <v>62</v>
      </c>
      <c r="M6795">
        <v>118.29</v>
      </c>
      <c r="N6795" s="4">
        <f t="shared" si="105"/>
        <v>-20</v>
      </c>
      <c r="O6795" t="s">
        <v>4936</v>
      </c>
    </row>
    <row r="6796" spans="1:17" x14ac:dyDescent="0.25">
      <c r="A6796" s="22">
        <v>45856</v>
      </c>
      <c r="B6796" s="1" t="s">
        <v>5098</v>
      </c>
      <c r="C6796" t="s">
        <v>622</v>
      </c>
      <c r="D6796" s="44">
        <v>-5.91</v>
      </c>
      <c r="E6796" t="s">
        <v>35</v>
      </c>
      <c r="F6796" s="2">
        <v>610148001</v>
      </c>
      <c r="G6796" s="2" t="s">
        <v>41</v>
      </c>
      <c r="I6796" s="95" t="s">
        <v>7231</v>
      </c>
      <c r="J6796" t="s">
        <v>42</v>
      </c>
      <c r="K6796" t="s">
        <v>41</v>
      </c>
      <c r="M6796">
        <v>118.29</v>
      </c>
      <c r="N6796" s="4">
        <f t="shared" ref="N6796:N6859" si="106">D6796/M6796</f>
        <v>-4.9961957900076084E-2</v>
      </c>
      <c r="O6796" t="s">
        <v>4936</v>
      </c>
    </row>
    <row r="6797" spans="1:17" x14ac:dyDescent="0.25">
      <c r="A6797" s="33">
        <v>45856</v>
      </c>
      <c r="B6797" s="27" t="s">
        <v>5099</v>
      </c>
      <c r="C6797" s="28" t="s">
        <v>5100</v>
      </c>
      <c r="D6797" s="47">
        <v>-27916.44</v>
      </c>
      <c r="E6797" s="28" t="s">
        <v>35</v>
      </c>
      <c r="F6797" s="30">
        <v>610156001</v>
      </c>
      <c r="G6797" s="30" t="s">
        <v>72</v>
      </c>
      <c r="H6797" s="30"/>
      <c r="I6797" s="95" t="s">
        <v>7231</v>
      </c>
      <c r="J6797" s="28" t="s">
        <v>2398</v>
      </c>
      <c r="K6797" s="28" t="s">
        <v>632</v>
      </c>
      <c r="L6797" s="28" t="s">
        <v>56</v>
      </c>
      <c r="M6797" s="28">
        <v>118.29</v>
      </c>
      <c r="N6797" s="4">
        <f t="shared" si="106"/>
        <v>-235.99999999999997</v>
      </c>
      <c r="O6797" t="s">
        <v>4936</v>
      </c>
      <c r="Q6797" s="24" t="s">
        <v>5101</v>
      </c>
    </row>
    <row r="6798" spans="1:17" x14ac:dyDescent="0.25">
      <c r="A6798" s="22">
        <v>45856</v>
      </c>
      <c r="B6798" s="1" t="s">
        <v>5102</v>
      </c>
      <c r="C6798" t="s">
        <v>622</v>
      </c>
      <c r="D6798" s="44">
        <v>-69.790000000000006</v>
      </c>
      <c r="E6798" t="s">
        <v>35</v>
      </c>
      <c r="F6798" s="2">
        <v>610148001</v>
      </c>
      <c r="G6798" s="2" t="s">
        <v>41</v>
      </c>
      <c r="I6798" s="95" t="s">
        <v>7231</v>
      </c>
      <c r="J6798" t="s">
        <v>42</v>
      </c>
      <c r="K6798" t="s">
        <v>41</v>
      </c>
      <c r="M6798">
        <v>118.29</v>
      </c>
      <c r="N6798" s="4">
        <f t="shared" si="106"/>
        <v>-0.58999070082001859</v>
      </c>
      <c r="O6798" t="s">
        <v>4936</v>
      </c>
    </row>
    <row r="6799" spans="1:17" x14ac:dyDescent="0.25">
      <c r="A6799" s="22">
        <v>45856</v>
      </c>
      <c r="B6799" s="1" t="s">
        <v>5103</v>
      </c>
      <c r="C6799" t="s">
        <v>5104</v>
      </c>
      <c r="D6799" s="44">
        <v>-4518.54</v>
      </c>
      <c r="E6799" t="s">
        <v>35</v>
      </c>
      <c r="F6799" s="2">
        <v>210101001</v>
      </c>
      <c r="G6799" s="2" t="s">
        <v>36</v>
      </c>
      <c r="I6799" s="95" t="s">
        <v>7231</v>
      </c>
      <c r="J6799" t="s">
        <v>86</v>
      </c>
      <c r="K6799" t="s">
        <v>87</v>
      </c>
      <c r="M6799">
        <v>118.29</v>
      </c>
      <c r="N6799" s="4">
        <f t="shared" si="106"/>
        <v>-38.198833375602334</v>
      </c>
      <c r="O6799" t="s">
        <v>4936</v>
      </c>
    </row>
    <row r="6800" spans="1:17" x14ac:dyDescent="0.25">
      <c r="A6800" s="22">
        <v>45856</v>
      </c>
      <c r="B6800" s="1" t="s">
        <v>5105</v>
      </c>
      <c r="C6800" t="s">
        <v>622</v>
      </c>
      <c r="D6800" s="44">
        <v>-11.29</v>
      </c>
      <c r="E6800" t="s">
        <v>35</v>
      </c>
      <c r="F6800" s="2">
        <v>610148001</v>
      </c>
      <c r="G6800" s="2" t="s">
        <v>41</v>
      </c>
      <c r="I6800" s="95" t="s">
        <v>7231</v>
      </c>
      <c r="J6800" t="s">
        <v>42</v>
      </c>
      <c r="K6800" t="s">
        <v>41</v>
      </c>
      <c r="M6800">
        <v>118.29</v>
      </c>
      <c r="N6800" s="4">
        <f t="shared" si="106"/>
        <v>-9.544340180911319E-2</v>
      </c>
      <c r="O6800" t="s">
        <v>4936</v>
      </c>
    </row>
    <row r="6801" spans="1:17" x14ac:dyDescent="0.25">
      <c r="A6801" s="22">
        <v>45856</v>
      </c>
      <c r="B6801" s="1" t="s">
        <v>5106</v>
      </c>
      <c r="C6801" t="s">
        <v>622</v>
      </c>
      <c r="D6801" s="44">
        <v>-1034.31</v>
      </c>
      <c r="E6801" t="s">
        <v>35</v>
      </c>
      <c r="F6801" s="2">
        <v>610148001</v>
      </c>
      <c r="G6801" s="2" t="s">
        <v>41</v>
      </c>
      <c r="I6801" s="95" t="s">
        <v>7231</v>
      </c>
      <c r="J6801" t="s">
        <v>42</v>
      </c>
      <c r="K6801" t="s">
        <v>41</v>
      </c>
      <c r="M6801">
        <v>118.29</v>
      </c>
      <c r="N6801" s="4">
        <f t="shared" si="106"/>
        <v>-8.7438498605122987</v>
      </c>
      <c r="O6801" t="s">
        <v>4936</v>
      </c>
    </row>
    <row r="6802" spans="1:17" x14ac:dyDescent="0.25">
      <c r="A6802" s="22">
        <v>45856</v>
      </c>
      <c r="B6802" s="1" t="s">
        <v>5107</v>
      </c>
      <c r="C6802" t="s">
        <v>5108</v>
      </c>
      <c r="D6802" s="44">
        <v>-413725.19</v>
      </c>
      <c r="E6802" t="s">
        <v>35</v>
      </c>
      <c r="F6802" s="2">
        <v>110114001</v>
      </c>
      <c r="G6802" s="2" t="s">
        <v>181</v>
      </c>
      <c r="I6802" s="95" t="s">
        <v>7231</v>
      </c>
      <c r="J6802" t="s">
        <v>37</v>
      </c>
      <c r="K6802" t="s">
        <v>38</v>
      </c>
      <c r="M6802">
        <v>118.29</v>
      </c>
      <c r="N6802" s="4">
        <f t="shared" si="106"/>
        <v>-3497.5500042269</v>
      </c>
      <c r="O6802" t="s">
        <v>4936</v>
      </c>
    </row>
    <row r="6803" spans="1:17" x14ac:dyDescent="0.25">
      <c r="A6803" s="22">
        <v>45856</v>
      </c>
      <c r="B6803" s="1" t="s">
        <v>5109</v>
      </c>
      <c r="C6803" t="s">
        <v>622</v>
      </c>
      <c r="D6803" s="44">
        <v>-5.91</v>
      </c>
      <c r="E6803" t="s">
        <v>35</v>
      </c>
      <c r="F6803" s="2">
        <v>610148001</v>
      </c>
      <c r="G6803" s="2" t="s">
        <v>41</v>
      </c>
      <c r="I6803" s="95" t="s">
        <v>7231</v>
      </c>
      <c r="J6803" t="s">
        <v>42</v>
      </c>
      <c r="K6803" t="s">
        <v>41</v>
      </c>
      <c r="M6803">
        <v>118.29</v>
      </c>
      <c r="N6803" s="4">
        <f t="shared" si="106"/>
        <v>-4.9961957900076084E-2</v>
      </c>
      <c r="O6803" t="s">
        <v>4936</v>
      </c>
    </row>
    <row r="6804" spans="1:17" x14ac:dyDescent="0.25">
      <c r="A6804" s="22">
        <v>45856</v>
      </c>
      <c r="B6804" s="1" t="s">
        <v>5110</v>
      </c>
      <c r="C6804" t="s">
        <v>5111</v>
      </c>
      <c r="D6804" s="44">
        <v>-2365.8000000000002</v>
      </c>
      <c r="E6804" t="s">
        <v>35</v>
      </c>
      <c r="F6804" s="2">
        <v>212901001</v>
      </c>
      <c r="G6804" s="2" t="s">
        <v>91</v>
      </c>
      <c r="I6804" s="95" t="s">
        <v>7231</v>
      </c>
      <c r="J6804" t="s">
        <v>61</v>
      </c>
      <c r="K6804" t="s">
        <v>62</v>
      </c>
      <c r="M6804">
        <v>118.29</v>
      </c>
      <c r="N6804" s="4">
        <f t="shared" si="106"/>
        <v>-20</v>
      </c>
      <c r="O6804" t="s">
        <v>4936</v>
      </c>
    </row>
    <row r="6805" spans="1:17" x14ac:dyDescent="0.25">
      <c r="A6805" s="22">
        <v>45856</v>
      </c>
      <c r="B6805" s="1" t="s">
        <v>5112</v>
      </c>
      <c r="C6805" t="s">
        <v>622</v>
      </c>
      <c r="D6805" s="44">
        <v>-34.54</v>
      </c>
      <c r="E6805" t="s">
        <v>35</v>
      </c>
      <c r="F6805" s="2">
        <v>610148001</v>
      </c>
      <c r="G6805" s="2" t="s">
        <v>41</v>
      </c>
      <c r="I6805" s="95" t="s">
        <v>7231</v>
      </c>
      <c r="J6805" t="s">
        <v>42</v>
      </c>
      <c r="K6805" t="s">
        <v>41</v>
      </c>
      <c r="M6805">
        <v>118.29</v>
      </c>
      <c r="N6805" s="4">
        <f t="shared" si="106"/>
        <v>-0.29199425141601149</v>
      </c>
      <c r="O6805" t="s">
        <v>4936</v>
      </c>
    </row>
    <row r="6806" spans="1:17" ht="15.75" x14ac:dyDescent="0.25">
      <c r="A6806" s="22">
        <v>45856</v>
      </c>
      <c r="B6806" s="1" t="s">
        <v>5113</v>
      </c>
      <c r="C6806" t="s">
        <v>5114</v>
      </c>
      <c r="D6806" s="44">
        <v>-13818.94</v>
      </c>
      <c r="E6806" t="s">
        <v>35</v>
      </c>
      <c r="F6806" s="2">
        <v>210101001</v>
      </c>
      <c r="G6806" s="2" t="s">
        <v>36</v>
      </c>
      <c r="I6806" s="95" t="s">
        <v>7231</v>
      </c>
      <c r="J6806" t="s">
        <v>182</v>
      </c>
      <c r="K6806" t="s">
        <v>183</v>
      </c>
      <c r="M6806">
        <v>118.29</v>
      </c>
      <c r="N6806" s="4">
        <f t="shared" si="106"/>
        <v>-116.8225547383549</v>
      </c>
      <c r="O6806" t="s">
        <v>4936</v>
      </c>
      <c r="P6806" s="37" t="s">
        <v>3907</v>
      </c>
    </row>
    <row r="6807" spans="1:17" x14ac:dyDescent="0.25">
      <c r="A6807" s="22">
        <v>45856</v>
      </c>
      <c r="B6807" s="1" t="s">
        <v>5115</v>
      </c>
      <c r="C6807" t="s">
        <v>622</v>
      </c>
      <c r="D6807" s="44">
        <v>-576.83000000000004</v>
      </c>
      <c r="E6807" t="s">
        <v>35</v>
      </c>
      <c r="F6807" s="2">
        <v>610148001</v>
      </c>
      <c r="G6807" s="2" t="s">
        <v>41</v>
      </c>
      <c r="I6807" s="95" t="s">
        <v>7231</v>
      </c>
      <c r="J6807" t="s">
        <v>42</v>
      </c>
      <c r="K6807" t="s">
        <v>41</v>
      </c>
      <c r="M6807">
        <v>118.29</v>
      </c>
      <c r="N6807" s="4">
        <f t="shared" si="106"/>
        <v>-4.8764054442471894</v>
      </c>
      <c r="O6807" t="s">
        <v>4936</v>
      </c>
    </row>
    <row r="6808" spans="1:17" x14ac:dyDescent="0.25">
      <c r="A6808" s="22">
        <v>45856</v>
      </c>
      <c r="B6808" s="1" t="s">
        <v>5116</v>
      </c>
      <c r="C6808" t="s">
        <v>5117</v>
      </c>
      <c r="D6808" s="44">
        <v>-230734.05</v>
      </c>
      <c r="E6808" t="s">
        <v>35</v>
      </c>
      <c r="F6808" s="2">
        <v>210101001</v>
      </c>
      <c r="G6808" s="2" t="s">
        <v>36</v>
      </c>
      <c r="I6808" s="95" t="s">
        <v>7231</v>
      </c>
      <c r="J6808" t="s">
        <v>182</v>
      </c>
      <c r="K6808" t="s">
        <v>183</v>
      </c>
      <c r="M6808">
        <v>118.29</v>
      </c>
      <c r="N6808" s="4">
        <f t="shared" si="106"/>
        <v>-1950.5795079888408</v>
      </c>
      <c r="O6808" t="s">
        <v>4936</v>
      </c>
    </row>
    <row r="6809" spans="1:17" x14ac:dyDescent="0.25">
      <c r="A6809" s="22">
        <v>45856</v>
      </c>
      <c r="B6809" s="1" t="s">
        <v>5118</v>
      </c>
      <c r="C6809" t="s">
        <v>622</v>
      </c>
      <c r="D6809" s="44">
        <v>-35.479999999999997</v>
      </c>
      <c r="E6809" t="s">
        <v>35</v>
      </c>
      <c r="F6809" s="2">
        <v>610148001</v>
      </c>
      <c r="G6809" s="2" t="s">
        <v>41</v>
      </c>
      <c r="I6809" s="95" t="s">
        <v>7231</v>
      </c>
      <c r="J6809" t="s">
        <v>42</v>
      </c>
      <c r="K6809" t="s">
        <v>41</v>
      </c>
      <c r="M6809">
        <v>118.29</v>
      </c>
      <c r="N6809" s="4">
        <f t="shared" si="106"/>
        <v>-0.29994082340011829</v>
      </c>
      <c r="O6809" t="s">
        <v>4936</v>
      </c>
    </row>
    <row r="6810" spans="1:17" x14ac:dyDescent="0.25">
      <c r="A6810" s="33">
        <v>45856</v>
      </c>
      <c r="B6810" s="27" t="s">
        <v>5119</v>
      </c>
      <c r="C6810" s="28" t="s">
        <v>52</v>
      </c>
      <c r="D6810" s="47">
        <v>-14194.8</v>
      </c>
      <c r="E6810" s="28" t="s">
        <v>35</v>
      </c>
      <c r="F6810" s="30">
        <v>610129001</v>
      </c>
      <c r="G6810" s="30" t="s">
        <v>53</v>
      </c>
      <c r="H6810" s="30"/>
      <c r="I6810" s="95" t="s">
        <v>7231</v>
      </c>
      <c r="J6810" s="28" t="s">
        <v>54</v>
      </c>
      <c r="K6810" s="28" t="s">
        <v>55</v>
      </c>
      <c r="L6810" s="28" t="s">
        <v>56</v>
      </c>
      <c r="M6810" s="28">
        <v>118.29</v>
      </c>
      <c r="N6810" s="4">
        <f t="shared" si="106"/>
        <v>-119.99999999999999</v>
      </c>
      <c r="O6810" t="s">
        <v>4936</v>
      </c>
      <c r="Q6810" s="24" t="s">
        <v>5120</v>
      </c>
    </row>
    <row r="6811" spans="1:17" x14ac:dyDescent="0.25">
      <c r="A6811" s="22">
        <v>45856</v>
      </c>
      <c r="B6811" s="1" t="s">
        <v>5121</v>
      </c>
      <c r="C6811" t="s">
        <v>622</v>
      </c>
      <c r="D6811" s="44">
        <v>-2.95</v>
      </c>
      <c r="E6811" t="s">
        <v>35</v>
      </c>
      <c r="F6811" s="2">
        <v>610148001</v>
      </c>
      <c r="G6811" s="2" t="s">
        <v>41</v>
      </c>
      <c r="I6811" s="95" t="s">
        <v>7231</v>
      </c>
      <c r="J6811" t="s">
        <v>42</v>
      </c>
      <c r="K6811" t="s">
        <v>41</v>
      </c>
      <c r="M6811">
        <v>118.29</v>
      </c>
      <c r="N6811" s="4">
        <f t="shared" si="106"/>
        <v>-2.4938709950122581E-2</v>
      </c>
      <c r="O6811" t="s">
        <v>4936</v>
      </c>
    </row>
    <row r="6812" spans="1:17" x14ac:dyDescent="0.25">
      <c r="A6812" s="22">
        <v>45856</v>
      </c>
      <c r="B6812" s="1" t="s">
        <v>5122</v>
      </c>
      <c r="C6812" t="s">
        <v>5123</v>
      </c>
      <c r="D6812" s="44">
        <v>-1182.9000000000001</v>
      </c>
      <c r="E6812" t="s">
        <v>35</v>
      </c>
      <c r="F6812" s="2">
        <v>212901001</v>
      </c>
      <c r="G6812" s="2" t="s">
        <v>91</v>
      </c>
      <c r="I6812" s="95" t="s">
        <v>7231</v>
      </c>
      <c r="J6812" t="s">
        <v>61</v>
      </c>
      <c r="K6812" t="s">
        <v>62</v>
      </c>
      <c r="M6812">
        <v>118.29</v>
      </c>
      <c r="N6812" s="4">
        <f t="shared" si="106"/>
        <v>-10</v>
      </c>
      <c r="O6812" t="s">
        <v>4936</v>
      </c>
    </row>
    <row r="6813" spans="1:17" x14ac:dyDescent="0.25">
      <c r="A6813" s="22">
        <v>45856</v>
      </c>
      <c r="B6813" s="1" t="s">
        <v>5124</v>
      </c>
      <c r="C6813" t="s">
        <v>622</v>
      </c>
      <c r="D6813" s="44">
        <v>-33.200000000000003</v>
      </c>
      <c r="E6813" t="s">
        <v>35</v>
      </c>
      <c r="F6813" s="2">
        <v>610148001</v>
      </c>
      <c r="G6813" s="2" t="s">
        <v>41</v>
      </c>
      <c r="I6813" s="95" t="s">
        <v>7231</v>
      </c>
      <c r="J6813" t="s">
        <v>42</v>
      </c>
      <c r="K6813" t="s">
        <v>41</v>
      </c>
      <c r="M6813">
        <v>118.29</v>
      </c>
      <c r="N6813" s="4">
        <f t="shared" si="106"/>
        <v>-0.28066615943866768</v>
      </c>
      <c r="O6813" t="s">
        <v>4936</v>
      </c>
    </row>
    <row r="6814" spans="1:17" x14ac:dyDescent="0.25">
      <c r="A6814" s="22">
        <v>45856</v>
      </c>
      <c r="B6814" s="1" t="s">
        <v>5125</v>
      </c>
      <c r="C6814" t="s">
        <v>5126</v>
      </c>
      <c r="D6814" s="44">
        <v>-13280.55</v>
      </c>
      <c r="E6814" t="s">
        <v>35</v>
      </c>
      <c r="F6814" s="2">
        <v>110101002</v>
      </c>
      <c r="G6814" s="2" t="s">
        <v>2771</v>
      </c>
      <c r="I6814" s="95" t="s">
        <v>7231</v>
      </c>
      <c r="K6814" t="s">
        <v>2772</v>
      </c>
      <c r="M6814">
        <v>118.29</v>
      </c>
      <c r="N6814" s="4">
        <f t="shared" si="106"/>
        <v>-112.27111336545777</v>
      </c>
      <c r="O6814" t="s">
        <v>4936</v>
      </c>
    </row>
    <row r="6815" spans="1:17" x14ac:dyDescent="0.25">
      <c r="A6815" s="22">
        <v>45856</v>
      </c>
      <c r="B6815" s="1" t="s">
        <v>5127</v>
      </c>
      <c r="C6815" t="s">
        <v>622</v>
      </c>
      <c r="D6815" s="44">
        <v>-5.91</v>
      </c>
      <c r="E6815" t="s">
        <v>35</v>
      </c>
      <c r="F6815" s="2">
        <v>610148001</v>
      </c>
      <c r="G6815" s="2" t="s">
        <v>41</v>
      </c>
      <c r="I6815" s="95" t="s">
        <v>7231</v>
      </c>
      <c r="J6815" t="s">
        <v>42</v>
      </c>
      <c r="K6815" t="s">
        <v>41</v>
      </c>
      <c r="M6815">
        <v>118.29</v>
      </c>
      <c r="N6815" s="4">
        <f t="shared" si="106"/>
        <v>-4.9961957900076084E-2</v>
      </c>
      <c r="O6815" t="s">
        <v>4936</v>
      </c>
    </row>
    <row r="6816" spans="1:17" x14ac:dyDescent="0.25">
      <c r="A6816" s="22">
        <v>45856</v>
      </c>
      <c r="B6816" s="1" t="s">
        <v>5128</v>
      </c>
      <c r="C6816" t="s">
        <v>5129</v>
      </c>
      <c r="D6816" s="44">
        <v>-2365.8000000000002</v>
      </c>
      <c r="E6816" t="s">
        <v>35</v>
      </c>
      <c r="F6816" s="2">
        <v>212901001</v>
      </c>
      <c r="G6816" s="2" t="s">
        <v>91</v>
      </c>
      <c r="I6816" s="95" t="s">
        <v>7231</v>
      </c>
      <c r="J6816" t="s">
        <v>61</v>
      </c>
      <c r="K6816" t="s">
        <v>62</v>
      </c>
      <c r="M6816">
        <v>118.29</v>
      </c>
      <c r="N6816" s="4">
        <f t="shared" si="106"/>
        <v>-20</v>
      </c>
      <c r="O6816" t="s">
        <v>4936</v>
      </c>
    </row>
    <row r="6817" spans="1:17" x14ac:dyDescent="0.25">
      <c r="A6817" s="22">
        <v>45856</v>
      </c>
      <c r="B6817" s="1" t="s">
        <v>5130</v>
      </c>
      <c r="C6817" t="s">
        <v>622</v>
      </c>
      <c r="D6817" s="44" t="s">
        <v>5131</v>
      </c>
      <c r="E6817" t="s">
        <v>35</v>
      </c>
      <c r="F6817" s="2">
        <v>610148001</v>
      </c>
      <c r="G6817" s="2" t="s">
        <v>41</v>
      </c>
      <c r="I6817" s="95" t="s">
        <v>7231</v>
      </c>
      <c r="J6817" t="s">
        <v>42</v>
      </c>
      <c r="K6817" t="s">
        <v>41</v>
      </c>
      <c r="M6817">
        <v>118.29</v>
      </c>
      <c r="N6817" s="4">
        <f t="shared" si="106"/>
        <v>-0.29994082340011829</v>
      </c>
      <c r="O6817" t="s">
        <v>4936</v>
      </c>
    </row>
    <row r="6818" spans="1:17" x14ac:dyDescent="0.25">
      <c r="A6818" s="33">
        <v>45856</v>
      </c>
      <c r="B6818" s="27" t="s">
        <v>5132</v>
      </c>
      <c r="C6818" s="28" t="s">
        <v>5133</v>
      </c>
      <c r="D6818" s="47">
        <v>-14194.8</v>
      </c>
      <c r="E6818" s="28" t="s">
        <v>35</v>
      </c>
      <c r="F6818" s="30">
        <v>610156001</v>
      </c>
      <c r="G6818" s="30" t="s">
        <v>72</v>
      </c>
      <c r="H6818" s="30"/>
      <c r="I6818" s="95" t="s">
        <v>7231</v>
      </c>
      <c r="J6818" s="28" t="s">
        <v>73</v>
      </c>
      <c r="K6818" s="28" t="s">
        <v>74</v>
      </c>
      <c r="L6818" s="28" t="s">
        <v>56</v>
      </c>
      <c r="M6818" s="28">
        <v>118.29</v>
      </c>
      <c r="N6818" s="4">
        <f t="shared" si="106"/>
        <v>-119.99999999999999</v>
      </c>
      <c r="O6818" t="s">
        <v>4936</v>
      </c>
      <c r="Q6818" s="24" t="s">
        <v>5134</v>
      </c>
    </row>
    <row r="6819" spans="1:17" x14ac:dyDescent="0.25">
      <c r="A6819" s="22">
        <v>45860</v>
      </c>
      <c r="B6819" s="1" t="s">
        <v>5135</v>
      </c>
      <c r="C6819" t="s">
        <v>647</v>
      </c>
      <c r="D6819" s="44">
        <v>1200000</v>
      </c>
      <c r="E6819" t="s">
        <v>45</v>
      </c>
      <c r="F6819" s="2">
        <v>210115002</v>
      </c>
      <c r="G6819" s="2" t="s">
        <v>46</v>
      </c>
      <c r="I6819" s="95" t="s">
        <v>7231</v>
      </c>
      <c r="K6819" t="s">
        <v>647</v>
      </c>
      <c r="M6819">
        <v>119.67</v>
      </c>
      <c r="N6819" s="4">
        <f t="shared" si="106"/>
        <v>10027.575833542242</v>
      </c>
      <c r="O6819" t="s">
        <v>4936</v>
      </c>
    </row>
    <row r="6820" spans="1:17" x14ac:dyDescent="0.25">
      <c r="A6820" s="22">
        <v>45860</v>
      </c>
      <c r="B6820" s="1" t="s">
        <v>5136</v>
      </c>
      <c r="C6820" t="s">
        <v>622</v>
      </c>
      <c r="D6820" s="44">
        <v>-1457.58</v>
      </c>
      <c r="E6820" t="s">
        <v>35</v>
      </c>
      <c r="F6820" s="2">
        <v>610148001</v>
      </c>
      <c r="G6820" s="2" t="s">
        <v>41</v>
      </c>
      <c r="I6820" s="95" t="s">
        <v>7231</v>
      </c>
      <c r="J6820" t="s">
        <v>42</v>
      </c>
      <c r="K6820" t="s">
        <v>41</v>
      </c>
      <c r="M6820">
        <v>119.67</v>
      </c>
      <c r="N6820" s="4">
        <f t="shared" si="106"/>
        <v>-12.179994986212083</v>
      </c>
      <c r="O6820" t="s">
        <v>4936</v>
      </c>
    </row>
    <row r="6821" spans="1:17" x14ac:dyDescent="0.25">
      <c r="A6821" s="22">
        <v>45860</v>
      </c>
      <c r="B6821" s="1" t="s">
        <v>5137</v>
      </c>
      <c r="C6821" t="s">
        <v>5138</v>
      </c>
      <c r="D6821" s="44">
        <v>-583032.24</v>
      </c>
      <c r="E6821" t="s">
        <v>35</v>
      </c>
      <c r="F6821" s="2">
        <v>210101001</v>
      </c>
      <c r="G6821" s="2" t="s">
        <v>36</v>
      </c>
      <c r="I6821" s="95" t="s">
        <v>7231</v>
      </c>
      <c r="J6821" t="s">
        <v>37</v>
      </c>
      <c r="K6821" t="s">
        <v>38</v>
      </c>
      <c r="M6821">
        <v>119.67</v>
      </c>
      <c r="N6821" s="4">
        <f t="shared" si="106"/>
        <v>-4872</v>
      </c>
      <c r="O6821" t="s">
        <v>4936</v>
      </c>
    </row>
    <row r="6822" spans="1:17" x14ac:dyDescent="0.25">
      <c r="A6822" s="22">
        <v>45860</v>
      </c>
      <c r="B6822" s="1" t="s">
        <v>5139</v>
      </c>
      <c r="C6822" t="s">
        <v>622</v>
      </c>
      <c r="D6822" s="1">
        <v>-140.52000000000001</v>
      </c>
      <c r="E6822" t="s">
        <v>35</v>
      </c>
      <c r="F6822" s="2">
        <v>610148001</v>
      </c>
      <c r="G6822" s="2" t="s">
        <v>41</v>
      </c>
      <c r="I6822" s="95" t="s">
        <v>7231</v>
      </c>
      <c r="J6822" t="s">
        <v>42</v>
      </c>
      <c r="K6822" t="s">
        <v>41</v>
      </c>
      <c r="M6822">
        <v>119.67</v>
      </c>
      <c r="N6822" s="4">
        <f t="shared" si="106"/>
        <v>-1.1742291301077965</v>
      </c>
      <c r="O6822" t="s">
        <v>4936</v>
      </c>
    </row>
    <row r="6823" spans="1:17" x14ac:dyDescent="0.25">
      <c r="A6823" s="22">
        <v>45860</v>
      </c>
      <c r="B6823" s="1" t="s">
        <v>5140</v>
      </c>
      <c r="C6823" t="s">
        <v>5141</v>
      </c>
      <c r="D6823" s="44">
        <v>-56210.34</v>
      </c>
      <c r="E6823" t="s">
        <v>35</v>
      </c>
      <c r="F6823" s="2">
        <v>210101001</v>
      </c>
      <c r="G6823" s="2" t="s">
        <v>36</v>
      </c>
      <c r="I6823" s="95" t="s">
        <v>7231</v>
      </c>
      <c r="J6823" t="s">
        <v>394</v>
      </c>
      <c r="K6823" t="s">
        <v>395</v>
      </c>
      <c r="M6823">
        <v>119.67</v>
      </c>
      <c r="N6823" s="4">
        <f t="shared" si="106"/>
        <v>-469.71120581599394</v>
      </c>
      <c r="O6823" t="s">
        <v>4936</v>
      </c>
    </row>
    <row r="6824" spans="1:17" x14ac:dyDescent="0.25">
      <c r="A6824" s="22">
        <v>45860</v>
      </c>
      <c r="B6824" s="1" t="s">
        <v>5142</v>
      </c>
      <c r="C6824" t="s">
        <v>622</v>
      </c>
      <c r="D6824" s="1">
        <v>-962.21</v>
      </c>
      <c r="E6824" t="s">
        <v>35</v>
      </c>
      <c r="F6824" s="2">
        <v>610148001</v>
      </c>
      <c r="G6824" s="2" t="s">
        <v>41</v>
      </c>
      <c r="I6824" s="95" t="s">
        <v>7231</v>
      </c>
      <c r="J6824" t="s">
        <v>42</v>
      </c>
      <c r="K6824" t="s">
        <v>41</v>
      </c>
      <c r="M6824">
        <v>119.67</v>
      </c>
      <c r="N6824" s="4">
        <f t="shared" si="106"/>
        <v>-8.0405281189938993</v>
      </c>
      <c r="O6824" t="s">
        <v>4936</v>
      </c>
    </row>
    <row r="6825" spans="1:17" x14ac:dyDescent="0.25">
      <c r="A6825" s="22">
        <v>45860</v>
      </c>
      <c r="B6825" s="1" t="s">
        <v>5143</v>
      </c>
      <c r="C6825" t="s">
        <v>5144</v>
      </c>
      <c r="D6825" s="44">
        <v>-384887.44</v>
      </c>
      <c r="E6825" t="s">
        <v>35</v>
      </c>
      <c r="F6825" s="2">
        <v>110114001</v>
      </c>
      <c r="G6825" s="2" t="s">
        <v>181</v>
      </c>
      <c r="I6825" s="95" t="s">
        <v>7231</v>
      </c>
      <c r="J6825" t="s">
        <v>37</v>
      </c>
      <c r="K6825" t="s">
        <v>38</v>
      </c>
      <c r="M6825">
        <v>119.67</v>
      </c>
      <c r="N6825" s="4">
        <f t="shared" si="106"/>
        <v>-3216.2399933149495</v>
      </c>
      <c r="O6825" t="s">
        <v>4936</v>
      </c>
      <c r="P6825" s="34" t="s">
        <v>3907</v>
      </c>
    </row>
    <row r="6826" spans="1:17" x14ac:dyDescent="0.25">
      <c r="A6826" s="22">
        <v>45860</v>
      </c>
      <c r="B6826" s="1" t="s">
        <v>5145</v>
      </c>
      <c r="C6826" t="s">
        <v>622</v>
      </c>
      <c r="D6826" s="1">
        <v>-140.52000000000001</v>
      </c>
      <c r="E6826" t="s">
        <v>35</v>
      </c>
      <c r="F6826" s="2">
        <v>610148001</v>
      </c>
      <c r="G6826" s="2" t="s">
        <v>41</v>
      </c>
      <c r="I6826" s="95" t="s">
        <v>7231</v>
      </c>
      <c r="J6826" t="s">
        <v>42</v>
      </c>
      <c r="K6826" t="s">
        <v>41</v>
      </c>
      <c r="M6826">
        <v>119.67</v>
      </c>
      <c r="N6826" s="4">
        <f t="shared" si="106"/>
        <v>-1.1742291301077965</v>
      </c>
      <c r="O6826" t="s">
        <v>4936</v>
      </c>
    </row>
    <row r="6827" spans="1:17" x14ac:dyDescent="0.25">
      <c r="A6827" s="22">
        <v>45860</v>
      </c>
      <c r="B6827" s="1" t="s">
        <v>5146</v>
      </c>
      <c r="C6827" t="s">
        <v>5147</v>
      </c>
      <c r="D6827" s="44">
        <v>-56210.34</v>
      </c>
      <c r="E6827" t="s">
        <v>35</v>
      </c>
      <c r="F6827" s="2">
        <v>210101001</v>
      </c>
      <c r="G6827" s="2" t="s">
        <v>36</v>
      </c>
      <c r="I6827" s="95" t="s">
        <v>7231</v>
      </c>
      <c r="J6827" t="s">
        <v>394</v>
      </c>
      <c r="K6827" t="s">
        <v>395</v>
      </c>
      <c r="M6827">
        <v>119.67</v>
      </c>
      <c r="N6827" s="4">
        <f t="shared" si="106"/>
        <v>-469.71120581599394</v>
      </c>
      <c r="O6827" t="s">
        <v>4936</v>
      </c>
    </row>
    <row r="6828" spans="1:17" x14ac:dyDescent="0.25">
      <c r="A6828" s="22">
        <v>45860</v>
      </c>
      <c r="B6828" s="1" t="s">
        <v>5148</v>
      </c>
      <c r="C6828" t="s">
        <v>622</v>
      </c>
      <c r="D6828" s="1">
        <v>-115.95</v>
      </c>
      <c r="E6828" t="s">
        <v>35</v>
      </c>
      <c r="F6828" s="2">
        <v>610148001</v>
      </c>
      <c r="G6828" s="2" t="s">
        <v>41</v>
      </c>
      <c r="I6828" s="95" t="s">
        <v>7231</v>
      </c>
      <c r="J6828" t="s">
        <v>42</v>
      </c>
      <c r="K6828" t="s">
        <v>41</v>
      </c>
      <c r="M6828">
        <v>119.67</v>
      </c>
      <c r="N6828" s="4">
        <f t="shared" si="106"/>
        <v>-0.9689145149160191</v>
      </c>
      <c r="O6828" t="s">
        <v>4936</v>
      </c>
    </row>
    <row r="6829" spans="1:17" x14ac:dyDescent="0.25">
      <c r="A6829" s="22">
        <v>45860</v>
      </c>
      <c r="B6829" s="1" t="s">
        <v>5149</v>
      </c>
      <c r="C6829" t="s">
        <v>5150</v>
      </c>
      <c r="D6829" s="44">
        <v>-46382.62</v>
      </c>
      <c r="E6829" t="s">
        <v>35</v>
      </c>
      <c r="F6829" s="2">
        <v>210101001</v>
      </c>
      <c r="G6829" s="2" t="s">
        <v>36</v>
      </c>
      <c r="I6829" s="95" t="s">
        <v>7231</v>
      </c>
      <c r="J6829" t="s">
        <v>701</v>
      </c>
      <c r="K6829" t="s">
        <v>702</v>
      </c>
      <c r="M6829">
        <v>119.67</v>
      </c>
      <c r="N6829" s="4">
        <f t="shared" si="106"/>
        <v>-387.58769950697751</v>
      </c>
      <c r="O6829" t="s">
        <v>4936</v>
      </c>
    </row>
    <row r="6830" spans="1:17" x14ac:dyDescent="0.25">
      <c r="A6830" s="22">
        <v>45861</v>
      </c>
      <c r="B6830" s="1" t="s">
        <v>5151</v>
      </c>
      <c r="C6830" t="s">
        <v>3252</v>
      </c>
      <c r="D6830" s="44">
        <v>8150000</v>
      </c>
      <c r="E6830" t="s">
        <v>45</v>
      </c>
      <c r="F6830" s="2">
        <v>210115002</v>
      </c>
      <c r="G6830" s="2" t="s">
        <v>46</v>
      </c>
      <c r="I6830" s="95" t="s">
        <v>7231</v>
      </c>
      <c r="K6830" t="s">
        <v>293</v>
      </c>
      <c r="M6830">
        <v>120.42</v>
      </c>
      <c r="N6830" s="4">
        <f t="shared" si="106"/>
        <v>67679.787410729114</v>
      </c>
      <c r="O6830" t="s">
        <v>4936</v>
      </c>
    </row>
    <row r="6831" spans="1:17" x14ac:dyDescent="0.25">
      <c r="A6831" s="22">
        <v>45861</v>
      </c>
      <c r="B6831" s="1" t="s">
        <v>5152</v>
      </c>
      <c r="C6831" t="s">
        <v>622</v>
      </c>
      <c r="D6831" s="44">
        <v>-2500</v>
      </c>
      <c r="E6831" t="s">
        <v>35</v>
      </c>
      <c r="F6831" s="2">
        <v>610148001</v>
      </c>
      <c r="G6831" s="2" t="s">
        <v>41</v>
      </c>
      <c r="I6831" s="95" t="s">
        <v>7231</v>
      </c>
      <c r="J6831" t="s">
        <v>42</v>
      </c>
      <c r="K6831" t="s">
        <v>41</v>
      </c>
      <c r="M6831">
        <v>120.42</v>
      </c>
      <c r="N6831" s="4">
        <f t="shared" si="106"/>
        <v>-20.760670984886232</v>
      </c>
      <c r="O6831" t="s">
        <v>4936</v>
      </c>
    </row>
    <row r="6832" spans="1:17" x14ac:dyDescent="0.25">
      <c r="A6832" s="22">
        <v>45861</v>
      </c>
      <c r="B6832" s="1" t="s">
        <v>5153</v>
      </c>
      <c r="C6832" t="s">
        <v>5154</v>
      </c>
      <c r="D6832" s="44">
        <v>-1000000</v>
      </c>
      <c r="E6832" t="s">
        <v>35</v>
      </c>
      <c r="F6832" s="2">
        <v>110114001</v>
      </c>
      <c r="G6832" s="2" t="s">
        <v>181</v>
      </c>
      <c r="I6832" s="95" t="s">
        <v>7231</v>
      </c>
      <c r="K6832" t="s">
        <v>1862</v>
      </c>
      <c r="M6832">
        <v>120.42</v>
      </c>
      <c r="N6832" s="4">
        <f t="shared" si="106"/>
        <v>-8304.2683939544931</v>
      </c>
      <c r="O6832" t="s">
        <v>4936</v>
      </c>
    </row>
    <row r="6833" spans="1:15" x14ac:dyDescent="0.25">
      <c r="A6833" s="22">
        <v>45861</v>
      </c>
      <c r="B6833" s="1" t="s">
        <v>5155</v>
      </c>
      <c r="C6833" t="s">
        <v>5154</v>
      </c>
      <c r="D6833" s="44">
        <v>1000000</v>
      </c>
      <c r="E6833" t="s">
        <v>45</v>
      </c>
      <c r="F6833" s="2">
        <v>110114001</v>
      </c>
      <c r="G6833" s="2" t="s">
        <v>181</v>
      </c>
      <c r="I6833" s="95" t="s">
        <v>7231</v>
      </c>
      <c r="K6833" t="s">
        <v>5156</v>
      </c>
      <c r="M6833">
        <v>120.42</v>
      </c>
      <c r="N6833" s="4">
        <f t="shared" si="106"/>
        <v>8304.2683939544931</v>
      </c>
      <c r="O6833" t="s">
        <v>4936</v>
      </c>
    </row>
    <row r="6834" spans="1:15" x14ac:dyDescent="0.25">
      <c r="A6834" s="22">
        <v>45861</v>
      </c>
      <c r="B6834" s="1" t="s">
        <v>5157</v>
      </c>
      <c r="C6834" t="s">
        <v>622</v>
      </c>
      <c r="D6834" s="44">
        <v>-2500</v>
      </c>
      <c r="E6834" t="s">
        <v>35</v>
      </c>
      <c r="F6834" s="2">
        <v>610148001</v>
      </c>
      <c r="G6834" s="2" t="s">
        <v>41</v>
      </c>
      <c r="I6834" s="95" t="s">
        <v>7231</v>
      </c>
      <c r="J6834" t="s">
        <v>42</v>
      </c>
      <c r="K6834" t="s">
        <v>41</v>
      </c>
      <c r="M6834">
        <v>120.42</v>
      </c>
      <c r="N6834" s="4">
        <f t="shared" si="106"/>
        <v>-20.760670984886232</v>
      </c>
      <c r="O6834" t="s">
        <v>4936</v>
      </c>
    </row>
    <row r="6835" spans="1:15" x14ac:dyDescent="0.25">
      <c r="A6835" s="22">
        <v>45861</v>
      </c>
      <c r="B6835" s="1" t="s">
        <v>5158</v>
      </c>
      <c r="C6835" t="s">
        <v>5154</v>
      </c>
      <c r="D6835" s="44">
        <v>-1000000</v>
      </c>
      <c r="E6835" t="s">
        <v>35</v>
      </c>
      <c r="F6835" s="2">
        <v>110114001</v>
      </c>
      <c r="G6835" s="2" t="s">
        <v>181</v>
      </c>
      <c r="I6835" s="95" t="s">
        <v>7231</v>
      </c>
      <c r="K6835" t="s">
        <v>1862</v>
      </c>
      <c r="M6835">
        <v>120.42</v>
      </c>
      <c r="N6835" s="4">
        <f t="shared" si="106"/>
        <v>-8304.2683939544931</v>
      </c>
      <c r="O6835" t="s">
        <v>4936</v>
      </c>
    </row>
    <row r="6836" spans="1:15" x14ac:dyDescent="0.25">
      <c r="A6836" s="22">
        <v>45861</v>
      </c>
      <c r="B6836" s="1" t="s">
        <v>5159</v>
      </c>
      <c r="C6836" t="s">
        <v>622</v>
      </c>
      <c r="D6836" s="44">
        <v>-2500</v>
      </c>
      <c r="E6836" t="s">
        <v>35</v>
      </c>
      <c r="F6836" s="2">
        <v>610148001</v>
      </c>
      <c r="G6836" s="2" t="s">
        <v>41</v>
      </c>
      <c r="I6836" s="95" t="s">
        <v>7231</v>
      </c>
      <c r="J6836" t="s">
        <v>42</v>
      </c>
      <c r="K6836" t="s">
        <v>41</v>
      </c>
      <c r="M6836">
        <v>120.42</v>
      </c>
      <c r="N6836" s="4">
        <f t="shared" si="106"/>
        <v>-20.760670984886232</v>
      </c>
      <c r="O6836" t="s">
        <v>4936</v>
      </c>
    </row>
    <row r="6837" spans="1:15" x14ac:dyDescent="0.25">
      <c r="A6837" s="22">
        <v>45861</v>
      </c>
      <c r="B6837" s="1" t="s">
        <v>5160</v>
      </c>
      <c r="C6837" t="s">
        <v>5154</v>
      </c>
      <c r="D6837" s="44">
        <v>-1000000</v>
      </c>
      <c r="E6837" t="s">
        <v>35</v>
      </c>
      <c r="F6837" s="2">
        <v>110114001</v>
      </c>
      <c r="G6837" s="2" t="s">
        <v>181</v>
      </c>
      <c r="I6837" s="95" t="s">
        <v>7231</v>
      </c>
      <c r="K6837" t="s">
        <v>1862</v>
      </c>
      <c r="M6837">
        <v>120.42</v>
      </c>
      <c r="N6837" s="4">
        <f t="shared" si="106"/>
        <v>-8304.2683939544931</v>
      </c>
      <c r="O6837" t="s">
        <v>4936</v>
      </c>
    </row>
    <row r="6838" spans="1:15" x14ac:dyDescent="0.25">
      <c r="A6838" s="22">
        <v>45861</v>
      </c>
      <c r="B6838" s="1" t="s">
        <v>5161</v>
      </c>
      <c r="C6838" t="s">
        <v>5154</v>
      </c>
      <c r="D6838" s="44">
        <v>1000000</v>
      </c>
      <c r="E6838" t="s">
        <v>45</v>
      </c>
      <c r="F6838" s="2">
        <v>110114001</v>
      </c>
      <c r="G6838" s="2" t="s">
        <v>181</v>
      </c>
      <c r="I6838" s="95" t="s">
        <v>7231</v>
      </c>
      <c r="K6838" t="s">
        <v>5156</v>
      </c>
      <c r="M6838">
        <v>120.42</v>
      </c>
      <c r="N6838" s="4">
        <f t="shared" si="106"/>
        <v>8304.2683939544931</v>
      </c>
      <c r="O6838" t="s">
        <v>4936</v>
      </c>
    </row>
    <row r="6839" spans="1:15" x14ac:dyDescent="0.25">
      <c r="A6839" s="22">
        <v>45861</v>
      </c>
      <c r="B6839" s="1" t="s">
        <v>5162</v>
      </c>
      <c r="C6839" t="s">
        <v>5154</v>
      </c>
      <c r="D6839" s="44">
        <v>1000000</v>
      </c>
      <c r="E6839" t="s">
        <v>45</v>
      </c>
      <c r="F6839" s="2">
        <v>110114001</v>
      </c>
      <c r="G6839" s="2" t="s">
        <v>181</v>
      </c>
      <c r="I6839" s="95" t="s">
        <v>7231</v>
      </c>
      <c r="K6839" t="s">
        <v>5156</v>
      </c>
      <c r="M6839">
        <v>120.42</v>
      </c>
      <c r="N6839" s="4">
        <f t="shared" si="106"/>
        <v>8304.2683939544931</v>
      </c>
      <c r="O6839" t="s">
        <v>4936</v>
      </c>
    </row>
    <row r="6840" spans="1:15" x14ac:dyDescent="0.25">
      <c r="A6840" s="22">
        <v>45861</v>
      </c>
      <c r="B6840" s="1" t="s">
        <v>5163</v>
      </c>
      <c r="C6840" t="s">
        <v>622</v>
      </c>
      <c r="D6840" s="44">
        <v>-589.49</v>
      </c>
      <c r="E6840" t="s">
        <v>35</v>
      </c>
      <c r="F6840" s="2">
        <v>610148001</v>
      </c>
      <c r="G6840" s="2" t="s">
        <v>41</v>
      </c>
      <c r="I6840" s="95" t="s">
        <v>7231</v>
      </c>
      <c r="J6840" t="s">
        <v>42</v>
      </c>
      <c r="K6840" t="s">
        <v>41</v>
      </c>
      <c r="M6840">
        <v>120.42</v>
      </c>
      <c r="N6840" s="4">
        <f t="shared" si="106"/>
        <v>-4.8952831755522341</v>
      </c>
      <c r="O6840" t="s">
        <v>4936</v>
      </c>
    </row>
    <row r="6841" spans="1:15" x14ac:dyDescent="0.25">
      <c r="A6841" s="22">
        <v>45861</v>
      </c>
      <c r="B6841" s="1" t="s">
        <v>5164</v>
      </c>
      <c r="C6841" t="s">
        <v>5154</v>
      </c>
      <c r="D6841" s="44">
        <v>-235796.96</v>
      </c>
      <c r="E6841" t="s">
        <v>35</v>
      </c>
      <c r="F6841" s="2">
        <v>110114001</v>
      </c>
      <c r="G6841" s="2" t="s">
        <v>181</v>
      </c>
      <c r="I6841" s="95" t="s">
        <v>7231</v>
      </c>
      <c r="K6841" t="s">
        <v>1862</v>
      </c>
      <c r="M6841">
        <v>120.42</v>
      </c>
      <c r="N6841" s="4">
        <f t="shared" si="106"/>
        <v>-1958.1212423185516</v>
      </c>
      <c r="O6841" t="s">
        <v>4936</v>
      </c>
    </row>
    <row r="6842" spans="1:15" x14ac:dyDescent="0.25">
      <c r="A6842" s="22">
        <v>45861</v>
      </c>
      <c r="B6842" s="1" t="s">
        <v>5165</v>
      </c>
      <c r="C6842" t="s">
        <v>622</v>
      </c>
      <c r="D6842" s="44">
        <v>-248.3</v>
      </c>
      <c r="E6842" t="s">
        <v>35</v>
      </c>
      <c r="F6842" s="2">
        <v>610148001</v>
      </c>
      <c r="G6842" s="2" t="s">
        <v>41</v>
      </c>
      <c r="I6842" s="95" t="s">
        <v>7231</v>
      </c>
      <c r="J6842" t="s">
        <v>42</v>
      </c>
      <c r="K6842" t="s">
        <v>41</v>
      </c>
      <c r="M6842">
        <v>120.42</v>
      </c>
      <c r="N6842" s="4">
        <f t="shared" si="106"/>
        <v>-2.0619498422189007</v>
      </c>
      <c r="O6842" t="s">
        <v>4936</v>
      </c>
    </row>
    <row r="6843" spans="1:15" x14ac:dyDescent="0.25">
      <c r="A6843" s="22">
        <v>45861</v>
      </c>
      <c r="B6843" s="1" t="s">
        <v>5166</v>
      </c>
      <c r="C6843" t="s">
        <v>5167</v>
      </c>
      <c r="D6843" s="44">
        <v>-99321.21</v>
      </c>
      <c r="E6843" t="s">
        <v>35</v>
      </c>
      <c r="F6843" s="2">
        <v>210101001</v>
      </c>
      <c r="G6843" s="2" t="s">
        <v>36</v>
      </c>
      <c r="I6843" s="95" t="s">
        <v>7231</v>
      </c>
      <c r="J6843" t="s">
        <v>37</v>
      </c>
      <c r="K6843" t="s">
        <v>38</v>
      </c>
      <c r="M6843">
        <v>120.42</v>
      </c>
      <c r="N6843" s="4">
        <f t="shared" si="106"/>
        <v>-824.78998505231698</v>
      </c>
      <c r="O6843" t="s">
        <v>4936</v>
      </c>
    </row>
    <row r="6844" spans="1:15" x14ac:dyDescent="0.25">
      <c r="A6844" s="22">
        <v>45861</v>
      </c>
      <c r="B6844" s="1" t="s">
        <v>5168</v>
      </c>
      <c r="C6844" t="s">
        <v>5154</v>
      </c>
      <c r="D6844" s="44">
        <v>235796.96</v>
      </c>
      <c r="E6844" t="s">
        <v>45</v>
      </c>
      <c r="F6844" s="2">
        <v>110114001</v>
      </c>
      <c r="G6844" s="2" t="s">
        <v>181</v>
      </c>
      <c r="I6844" s="95" t="s">
        <v>7231</v>
      </c>
      <c r="K6844" t="s">
        <v>5156</v>
      </c>
      <c r="M6844">
        <v>120.42</v>
      </c>
      <c r="N6844" s="4">
        <f t="shared" si="106"/>
        <v>1958.1212423185516</v>
      </c>
      <c r="O6844" t="s">
        <v>4936</v>
      </c>
    </row>
    <row r="6845" spans="1:15" x14ac:dyDescent="0.25">
      <c r="A6845" s="22">
        <v>45861</v>
      </c>
      <c r="B6845" s="1" t="s">
        <v>5169</v>
      </c>
      <c r="C6845" t="s">
        <v>622</v>
      </c>
      <c r="D6845" s="44">
        <v>-36.119999999999997</v>
      </c>
      <c r="E6845" t="s">
        <v>35</v>
      </c>
      <c r="F6845" s="2">
        <v>610148001</v>
      </c>
      <c r="G6845" s="2" t="s">
        <v>41</v>
      </c>
      <c r="I6845" s="95" t="s">
        <v>7231</v>
      </c>
      <c r="J6845" t="s">
        <v>42</v>
      </c>
      <c r="K6845" t="s">
        <v>41</v>
      </c>
      <c r="M6845">
        <v>120.42</v>
      </c>
      <c r="N6845" s="4">
        <f t="shared" si="106"/>
        <v>-0.29995017438963623</v>
      </c>
      <c r="O6845" t="s">
        <v>4936</v>
      </c>
    </row>
    <row r="6846" spans="1:15" x14ac:dyDescent="0.25">
      <c r="A6846" s="22">
        <v>45861</v>
      </c>
      <c r="B6846" s="1" t="s">
        <v>5170</v>
      </c>
      <c r="C6846" t="s">
        <v>5171</v>
      </c>
      <c r="D6846" s="44">
        <v>-14450.21</v>
      </c>
      <c r="E6846" t="s">
        <v>35</v>
      </c>
      <c r="F6846" s="2">
        <v>210101001</v>
      </c>
      <c r="G6846" s="2" t="s">
        <v>36</v>
      </c>
      <c r="I6846" s="95" t="s">
        <v>7231</v>
      </c>
      <c r="J6846" t="s">
        <v>37</v>
      </c>
      <c r="K6846" t="s">
        <v>38</v>
      </c>
      <c r="M6846">
        <v>120.42</v>
      </c>
      <c r="N6846" s="4">
        <f t="shared" si="106"/>
        <v>-119.99842218900514</v>
      </c>
      <c r="O6846" t="s">
        <v>4936</v>
      </c>
    </row>
    <row r="6847" spans="1:15" x14ac:dyDescent="0.25">
      <c r="A6847" s="22">
        <v>45861</v>
      </c>
      <c r="B6847" s="1" t="s">
        <v>5172</v>
      </c>
      <c r="C6847" t="s">
        <v>622</v>
      </c>
      <c r="D6847" s="44">
        <v>-2500</v>
      </c>
      <c r="E6847" t="s">
        <v>35</v>
      </c>
      <c r="F6847" s="2">
        <v>610148001</v>
      </c>
      <c r="G6847" s="2" t="s">
        <v>41</v>
      </c>
      <c r="I6847" s="95" t="s">
        <v>7231</v>
      </c>
      <c r="J6847" t="s">
        <v>42</v>
      </c>
      <c r="K6847" t="s">
        <v>41</v>
      </c>
      <c r="M6847">
        <v>120.42</v>
      </c>
      <c r="N6847" s="4">
        <f t="shared" si="106"/>
        <v>-20.760670984886232</v>
      </c>
      <c r="O6847" t="s">
        <v>4936</v>
      </c>
    </row>
    <row r="6848" spans="1:15" x14ac:dyDescent="0.25">
      <c r="A6848" s="22">
        <v>45861</v>
      </c>
      <c r="B6848" s="1" t="s">
        <v>5173</v>
      </c>
      <c r="C6848" t="s">
        <v>5154</v>
      </c>
      <c r="D6848" s="44">
        <v>-1000000</v>
      </c>
      <c r="E6848" t="s">
        <v>35</v>
      </c>
      <c r="F6848" s="2">
        <v>110114001</v>
      </c>
      <c r="G6848" s="2" t="s">
        <v>181</v>
      </c>
      <c r="I6848" s="95" t="s">
        <v>7231</v>
      </c>
      <c r="K6848" t="s">
        <v>1862</v>
      </c>
      <c r="M6848">
        <v>120.42</v>
      </c>
      <c r="N6848" s="4">
        <f t="shared" si="106"/>
        <v>-8304.2683939544931</v>
      </c>
      <c r="O6848" t="s">
        <v>4936</v>
      </c>
    </row>
    <row r="6849" spans="1:16" x14ac:dyDescent="0.25">
      <c r="A6849" s="22">
        <v>45861</v>
      </c>
      <c r="B6849" s="1" t="s">
        <v>5174</v>
      </c>
      <c r="C6849" t="s">
        <v>622</v>
      </c>
      <c r="D6849" s="44">
        <v>-2500</v>
      </c>
      <c r="E6849" t="s">
        <v>35</v>
      </c>
      <c r="F6849" s="2">
        <v>610148001</v>
      </c>
      <c r="G6849" s="2" t="s">
        <v>41</v>
      </c>
      <c r="I6849" s="95" t="s">
        <v>7231</v>
      </c>
      <c r="J6849" t="s">
        <v>42</v>
      </c>
      <c r="K6849" t="s">
        <v>41</v>
      </c>
      <c r="M6849">
        <v>120.42</v>
      </c>
      <c r="N6849" s="4">
        <f t="shared" si="106"/>
        <v>-20.760670984886232</v>
      </c>
      <c r="O6849" t="s">
        <v>4936</v>
      </c>
    </row>
    <row r="6850" spans="1:16" x14ac:dyDescent="0.25">
      <c r="A6850" s="22">
        <v>45861</v>
      </c>
      <c r="B6850" s="1" t="s">
        <v>5175</v>
      </c>
      <c r="C6850" t="s">
        <v>5154</v>
      </c>
      <c r="D6850" s="44">
        <v>-1000000</v>
      </c>
      <c r="E6850" t="s">
        <v>35</v>
      </c>
      <c r="F6850" s="2">
        <v>110114001</v>
      </c>
      <c r="G6850" s="2" t="s">
        <v>181</v>
      </c>
      <c r="I6850" s="95" t="s">
        <v>7231</v>
      </c>
      <c r="K6850" t="s">
        <v>1862</v>
      </c>
      <c r="M6850">
        <v>120.42</v>
      </c>
      <c r="N6850" s="4">
        <f t="shared" si="106"/>
        <v>-8304.2683939544931</v>
      </c>
      <c r="O6850" t="s">
        <v>4936</v>
      </c>
    </row>
    <row r="6851" spans="1:16" x14ac:dyDescent="0.25">
      <c r="A6851" s="22">
        <v>45861</v>
      </c>
      <c r="B6851" s="1" t="s">
        <v>5176</v>
      </c>
      <c r="C6851" t="s">
        <v>622</v>
      </c>
      <c r="D6851" s="44">
        <v>-1966.54</v>
      </c>
      <c r="E6851" t="s">
        <v>35</v>
      </c>
      <c r="F6851" s="2">
        <v>610148001</v>
      </c>
      <c r="G6851" s="2" t="s">
        <v>41</v>
      </c>
      <c r="I6851" s="95" t="s">
        <v>7231</v>
      </c>
      <c r="J6851" t="s">
        <v>42</v>
      </c>
      <c r="K6851" t="s">
        <v>41</v>
      </c>
      <c r="M6851">
        <v>120.42</v>
      </c>
      <c r="N6851" s="4">
        <f t="shared" si="106"/>
        <v>-16.330675967447267</v>
      </c>
      <c r="O6851" t="s">
        <v>4936</v>
      </c>
    </row>
    <row r="6852" spans="1:16" x14ac:dyDescent="0.25">
      <c r="A6852" s="22">
        <v>45861</v>
      </c>
      <c r="B6852" s="1" t="s">
        <v>5177</v>
      </c>
      <c r="C6852" t="s">
        <v>5178</v>
      </c>
      <c r="D6852" s="44">
        <v>-786619.57</v>
      </c>
      <c r="E6852" t="s">
        <v>35</v>
      </c>
      <c r="F6852" s="2">
        <v>110114001</v>
      </c>
      <c r="G6852" s="2" t="s">
        <v>181</v>
      </c>
      <c r="I6852" s="95" t="s">
        <v>7231</v>
      </c>
      <c r="J6852" t="s">
        <v>37</v>
      </c>
      <c r="K6852" t="s">
        <v>38</v>
      </c>
      <c r="M6852">
        <v>120.42</v>
      </c>
      <c r="N6852" s="4">
        <f t="shared" si="106"/>
        <v>-6532.3000332170732</v>
      </c>
      <c r="O6852" t="s">
        <v>4936</v>
      </c>
      <c r="P6852" s="34" t="s">
        <v>3907</v>
      </c>
    </row>
    <row r="6853" spans="1:16" x14ac:dyDescent="0.25">
      <c r="A6853" s="22">
        <v>45861</v>
      </c>
      <c r="B6853" s="1" t="s">
        <v>5179</v>
      </c>
      <c r="C6853" t="s">
        <v>622</v>
      </c>
      <c r="D6853" s="44">
        <v>-2500</v>
      </c>
      <c r="E6853" t="s">
        <v>35</v>
      </c>
      <c r="F6853" s="2">
        <v>610148001</v>
      </c>
      <c r="G6853" s="2" t="s">
        <v>41</v>
      </c>
      <c r="I6853" s="95" t="s">
        <v>7231</v>
      </c>
      <c r="J6853" t="s">
        <v>42</v>
      </c>
      <c r="K6853" t="s">
        <v>41</v>
      </c>
      <c r="M6853">
        <v>120.42</v>
      </c>
      <c r="N6853" s="4">
        <f t="shared" si="106"/>
        <v>-20.760670984886232</v>
      </c>
      <c r="O6853" t="s">
        <v>4936</v>
      </c>
    </row>
    <row r="6854" spans="1:16" x14ac:dyDescent="0.25">
      <c r="A6854" s="22">
        <v>45861</v>
      </c>
      <c r="B6854" s="1" t="s">
        <v>5180</v>
      </c>
      <c r="C6854" t="s">
        <v>5154</v>
      </c>
      <c r="D6854" s="44">
        <v>1000000</v>
      </c>
      <c r="E6854" t="s">
        <v>45</v>
      </c>
      <c r="F6854" s="2">
        <v>110114001</v>
      </c>
      <c r="G6854" s="2" t="s">
        <v>181</v>
      </c>
      <c r="I6854" s="95" t="s">
        <v>7231</v>
      </c>
      <c r="K6854" t="s">
        <v>5156</v>
      </c>
      <c r="M6854">
        <v>120.42</v>
      </c>
      <c r="N6854" s="4">
        <f t="shared" si="106"/>
        <v>8304.2683939544931</v>
      </c>
      <c r="O6854" t="s">
        <v>4936</v>
      </c>
    </row>
    <row r="6855" spans="1:16" x14ac:dyDescent="0.25">
      <c r="A6855" s="22">
        <v>45861</v>
      </c>
      <c r="B6855" s="1" t="s">
        <v>5181</v>
      </c>
      <c r="C6855" t="s">
        <v>5154</v>
      </c>
      <c r="D6855" s="44">
        <v>-1000000</v>
      </c>
      <c r="E6855" t="s">
        <v>35</v>
      </c>
      <c r="F6855" s="2">
        <v>110114001</v>
      </c>
      <c r="G6855" s="2" t="s">
        <v>181</v>
      </c>
      <c r="I6855" s="95" t="s">
        <v>7231</v>
      </c>
      <c r="K6855" t="s">
        <v>1862</v>
      </c>
      <c r="M6855">
        <v>120.42</v>
      </c>
      <c r="N6855" s="4">
        <f t="shared" si="106"/>
        <v>-8304.2683939544931</v>
      </c>
      <c r="O6855" t="s">
        <v>4936</v>
      </c>
    </row>
    <row r="6856" spans="1:16" x14ac:dyDescent="0.25">
      <c r="A6856" s="22">
        <v>45861</v>
      </c>
      <c r="B6856" s="1" t="s">
        <v>5182</v>
      </c>
      <c r="C6856" t="s">
        <v>5154</v>
      </c>
      <c r="D6856" s="44">
        <v>1000000</v>
      </c>
      <c r="E6856" t="s">
        <v>45</v>
      </c>
      <c r="F6856" s="2">
        <v>110114001</v>
      </c>
      <c r="G6856" s="2" t="s">
        <v>181</v>
      </c>
      <c r="I6856" s="95" t="s">
        <v>7231</v>
      </c>
      <c r="K6856" t="s">
        <v>5156</v>
      </c>
      <c r="M6856">
        <v>120.42</v>
      </c>
      <c r="N6856" s="4">
        <f t="shared" si="106"/>
        <v>8304.2683939544931</v>
      </c>
      <c r="O6856" t="s">
        <v>4936</v>
      </c>
    </row>
    <row r="6857" spans="1:16" x14ac:dyDescent="0.25">
      <c r="A6857" s="22">
        <v>45861</v>
      </c>
      <c r="B6857" s="1" t="s">
        <v>5183</v>
      </c>
      <c r="C6857" t="s">
        <v>622</v>
      </c>
      <c r="D6857" s="44">
        <v>-2500</v>
      </c>
      <c r="E6857" t="s">
        <v>35</v>
      </c>
      <c r="F6857" s="2">
        <v>610148001</v>
      </c>
      <c r="G6857" s="2" t="s">
        <v>41</v>
      </c>
      <c r="I6857" s="95" t="s">
        <v>7231</v>
      </c>
      <c r="J6857" t="s">
        <v>42</v>
      </c>
      <c r="K6857" t="s">
        <v>41</v>
      </c>
      <c r="M6857">
        <v>120.42</v>
      </c>
      <c r="N6857" s="4">
        <f t="shared" si="106"/>
        <v>-20.760670984886232</v>
      </c>
      <c r="O6857" t="s">
        <v>4936</v>
      </c>
    </row>
    <row r="6858" spans="1:16" x14ac:dyDescent="0.25">
      <c r="A6858" s="22">
        <v>45861</v>
      </c>
      <c r="B6858" s="1" t="s">
        <v>5184</v>
      </c>
      <c r="C6858" t="s">
        <v>5154</v>
      </c>
      <c r="D6858" s="44">
        <v>-1000000</v>
      </c>
      <c r="E6858" t="s">
        <v>35</v>
      </c>
      <c r="F6858" s="2">
        <v>110114001</v>
      </c>
      <c r="G6858" s="2" t="s">
        <v>181</v>
      </c>
      <c r="I6858" s="95" t="s">
        <v>7231</v>
      </c>
      <c r="K6858" t="s">
        <v>1862</v>
      </c>
      <c r="M6858">
        <v>120.42</v>
      </c>
      <c r="N6858" s="4">
        <f t="shared" si="106"/>
        <v>-8304.2683939544931</v>
      </c>
      <c r="O6858" t="s">
        <v>4936</v>
      </c>
    </row>
    <row r="6859" spans="1:16" x14ac:dyDescent="0.25">
      <c r="A6859" s="22">
        <v>45861</v>
      </c>
      <c r="B6859" s="1" t="s">
        <v>5185</v>
      </c>
      <c r="C6859" t="s">
        <v>5154</v>
      </c>
      <c r="D6859" s="44">
        <v>1000000</v>
      </c>
      <c r="E6859" t="s">
        <v>45</v>
      </c>
      <c r="F6859" s="2">
        <v>110114001</v>
      </c>
      <c r="G6859" s="2" t="s">
        <v>181</v>
      </c>
      <c r="I6859" s="95" t="s">
        <v>7231</v>
      </c>
      <c r="K6859" t="s">
        <v>5156</v>
      </c>
      <c r="M6859">
        <v>120.42</v>
      </c>
      <c r="N6859" s="4">
        <f t="shared" si="106"/>
        <v>8304.2683939544931</v>
      </c>
      <c r="O6859" t="s">
        <v>4936</v>
      </c>
    </row>
    <row r="6860" spans="1:16" x14ac:dyDescent="0.25">
      <c r="A6860" s="22">
        <v>45861</v>
      </c>
      <c r="B6860" s="1" t="s">
        <v>5186</v>
      </c>
      <c r="C6860" t="s">
        <v>5154</v>
      </c>
      <c r="D6860" s="44">
        <v>1000000</v>
      </c>
      <c r="E6860" t="s">
        <v>45</v>
      </c>
      <c r="F6860" s="2">
        <v>110114001</v>
      </c>
      <c r="G6860" s="2" t="s">
        <v>181</v>
      </c>
      <c r="I6860" s="95" t="s">
        <v>7231</v>
      </c>
      <c r="K6860" t="s">
        <v>5156</v>
      </c>
      <c r="M6860">
        <v>120.42</v>
      </c>
      <c r="N6860" s="4">
        <f t="shared" ref="N6860:N6923" si="107">D6860/M6860</f>
        <v>8304.2683939544931</v>
      </c>
      <c r="O6860" t="s">
        <v>4936</v>
      </c>
    </row>
    <row r="6861" spans="1:16" x14ac:dyDescent="0.25">
      <c r="A6861" s="22">
        <v>45861</v>
      </c>
      <c r="B6861" s="1" t="s">
        <v>5187</v>
      </c>
      <c r="C6861" t="s">
        <v>622</v>
      </c>
      <c r="D6861" s="44">
        <v>-2500</v>
      </c>
      <c r="E6861" t="s">
        <v>35</v>
      </c>
      <c r="F6861" s="2">
        <v>610148001</v>
      </c>
      <c r="G6861" s="2" t="s">
        <v>41</v>
      </c>
      <c r="I6861" s="95" t="s">
        <v>7231</v>
      </c>
      <c r="J6861" t="s">
        <v>42</v>
      </c>
      <c r="K6861" t="s">
        <v>41</v>
      </c>
      <c r="M6861">
        <v>120.42</v>
      </c>
      <c r="N6861" s="4">
        <f t="shared" si="107"/>
        <v>-20.760670984886232</v>
      </c>
      <c r="O6861" t="s">
        <v>4936</v>
      </c>
    </row>
    <row r="6862" spans="1:16" x14ac:dyDescent="0.25">
      <c r="A6862" s="22">
        <v>45861</v>
      </c>
      <c r="B6862" s="1" t="s">
        <v>5188</v>
      </c>
      <c r="C6862" t="s">
        <v>5189</v>
      </c>
      <c r="D6862" s="44">
        <v>-1000000</v>
      </c>
      <c r="E6862" t="s">
        <v>35</v>
      </c>
      <c r="F6862" s="2">
        <v>110114001</v>
      </c>
      <c r="G6862" s="2" t="s">
        <v>181</v>
      </c>
      <c r="I6862" s="95" t="s">
        <v>7231</v>
      </c>
      <c r="J6862" t="s">
        <v>37</v>
      </c>
      <c r="K6862" t="s">
        <v>38</v>
      </c>
      <c r="M6862">
        <v>120.42</v>
      </c>
      <c r="N6862" s="4">
        <f t="shared" si="107"/>
        <v>-8304.2683939544931</v>
      </c>
      <c r="O6862" t="s">
        <v>4936</v>
      </c>
      <c r="P6862" s="34" t="s">
        <v>4794</v>
      </c>
    </row>
    <row r="6863" spans="1:16" x14ac:dyDescent="0.25">
      <c r="A6863" s="22">
        <v>45861</v>
      </c>
      <c r="B6863" s="1" t="s">
        <v>5190</v>
      </c>
      <c r="C6863" t="s">
        <v>622</v>
      </c>
      <c r="D6863" s="44">
        <v>-2500</v>
      </c>
      <c r="E6863" t="s">
        <v>35</v>
      </c>
      <c r="F6863" s="2">
        <v>610148001</v>
      </c>
      <c r="G6863" s="2" t="s">
        <v>41</v>
      </c>
      <c r="I6863" s="95" t="s">
        <v>7231</v>
      </c>
      <c r="J6863" t="s">
        <v>42</v>
      </c>
      <c r="K6863" t="s">
        <v>41</v>
      </c>
      <c r="M6863">
        <v>120.42</v>
      </c>
      <c r="N6863" s="4">
        <f t="shared" si="107"/>
        <v>-20.760670984886232</v>
      </c>
      <c r="O6863" t="s">
        <v>4936</v>
      </c>
    </row>
    <row r="6864" spans="1:16" x14ac:dyDescent="0.25">
      <c r="A6864" s="22">
        <v>45861</v>
      </c>
      <c r="B6864" s="1" t="s">
        <v>5191</v>
      </c>
      <c r="C6864" t="s">
        <v>5189</v>
      </c>
      <c r="D6864" s="44">
        <v>-1000000</v>
      </c>
      <c r="E6864" t="s">
        <v>35</v>
      </c>
      <c r="F6864" s="2">
        <v>110114001</v>
      </c>
      <c r="G6864" s="2" t="s">
        <v>181</v>
      </c>
      <c r="I6864" s="95" t="s">
        <v>7231</v>
      </c>
      <c r="J6864" t="s">
        <v>37</v>
      </c>
      <c r="K6864" t="s">
        <v>38</v>
      </c>
      <c r="M6864">
        <v>120.42</v>
      </c>
      <c r="N6864" s="4">
        <f t="shared" si="107"/>
        <v>-8304.2683939544931</v>
      </c>
      <c r="O6864" t="s">
        <v>4936</v>
      </c>
      <c r="P6864" s="34" t="s">
        <v>4794</v>
      </c>
    </row>
    <row r="6865" spans="1:17" x14ac:dyDescent="0.25">
      <c r="A6865" s="22">
        <v>45861</v>
      </c>
      <c r="B6865" s="1" t="s">
        <v>5192</v>
      </c>
      <c r="C6865" t="s">
        <v>622</v>
      </c>
      <c r="D6865" s="44">
        <v>-589.49</v>
      </c>
      <c r="E6865" t="s">
        <v>35</v>
      </c>
      <c r="F6865" s="2">
        <v>610148001</v>
      </c>
      <c r="G6865" s="2" t="s">
        <v>41</v>
      </c>
      <c r="I6865" s="95" t="s">
        <v>7231</v>
      </c>
      <c r="J6865" t="s">
        <v>42</v>
      </c>
      <c r="K6865" t="s">
        <v>41</v>
      </c>
      <c r="M6865">
        <v>120.42</v>
      </c>
      <c r="N6865" s="4">
        <f t="shared" si="107"/>
        <v>-4.8952831755522341</v>
      </c>
      <c r="O6865" t="s">
        <v>4936</v>
      </c>
    </row>
    <row r="6866" spans="1:17" x14ac:dyDescent="0.25">
      <c r="A6866" s="22">
        <v>45861</v>
      </c>
      <c r="B6866" s="1" t="s">
        <v>5193</v>
      </c>
      <c r="C6866" t="s">
        <v>5189</v>
      </c>
      <c r="D6866" s="44">
        <v>-235796.96</v>
      </c>
      <c r="E6866" t="s">
        <v>35</v>
      </c>
      <c r="F6866" s="2">
        <v>110114001</v>
      </c>
      <c r="G6866" s="2" t="s">
        <v>181</v>
      </c>
      <c r="I6866" s="95" t="s">
        <v>7231</v>
      </c>
      <c r="J6866" t="s">
        <v>37</v>
      </c>
      <c r="K6866" t="s">
        <v>38</v>
      </c>
      <c r="M6866">
        <v>120.42</v>
      </c>
      <c r="N6866" s="4">
        <f t="shared" si="107"/>
        <v>-1958.1212423185516</v>
      </c>
      <c r="O6866" t="s">
        <v>4936</v>
      </c>
      <c r="P6866" s="34" t="s">
        <v>4794</v>
      </c>
    </row>
    <row r="6867" spans="1:17" x14ac:dyDescent="0.25">
      <c r="A6867" s="22">
        <v>45861</v>
      </c>
      <c r="B6867" s="1" t="s">
        <v>5194</v>
      </c>
      <c r="C6867" t="s">
        <v>622</v>
      </c>
      <c r="D6867" s="44">
        <v>-2500</v>
      </c>
      <c r="E6867" t="s">
        <v>35</v>
      </c>
      <c r="F6867" s="2">
        <v>610148001</v>
      </c>
      <c r="G6867" s="2" t="s">
        <v>41</v>
      </c>
      <c r="I6867" s="95" t="s">
        <v>7231</v>
      </c>
      <c r="J6867" t="s">
        <v>42</v>
      </c>
      <c r="K6867" t="s">
        <v>41</v>
      </c>
      <c r="M6867">
        <v>120.42</v>
      </c>
      <c r="N6867" s="4">
        <f t="shared" si="107"/>
        <v>-20.760670984886232</v>
      </c>
      <c r="O6867" t="s">
        <v>4936</v>
      </c>
    </row>
    <row r="6868" spans="1:17" x14ac:dyDescent="0.25">
      <c r="A6868" s="22">
        <v>45861</v>
      </c>
      <c r="B6868" s="1" t="s">
        <v>5195</v>
      </c>
      <c r="C6868" t="s">
        <v>5189</v>
      </c>
      <c r="D6868" s="44">
        <v>-1000000</v>
      </c>
      <c r="E6868" t="s">
        <v>35</v>
      </c>
      <c r="F6868" s="2">
        <v>110114001</v>
      </c>
      <c r="G6868" s="2" t="s">
        <v>181</v>
      </c>
      <c r="I6868" s="95" t="s">
        <v>7231</v>
      </c>
      <c r="J6868" t="s">
        <v>37</v>
      </c>
      <c r="K6868" t="s">
        <v>38</v>
      </c>
      <c r="M6868">
        <v>120.42</v>
      </c>
      <c r="N6868" s="4">
        <f t="shared" si="107"/>
        <v>-8304.2683939544931</v>
      </c>
      <c r="O6868" t="s">
        <v>4936</v>
      </c>
      <c r="P6868" s="34" t="s">
        <v>4794</v>
      </c>
    </row>
    <row r="6869" spans="1:17" x14ac:dyDescent="0.25">
      <c r="A6869" s="22">
        <v>45861</v>
      </c>
      <c r="B6869" s="1" t="s">
        <v>5196</v>
      </c>
      <c r="C6869" t="s">
        <v>622</v>
      </c>
      <c r="D6869" s="44">
        <v>-2500</v>
      </c>
      <c r="E6869" t="s">
        <v>35</v>
      </c>
      <c r="F6869" s="2">
        <v>610148001</v>
      </c>
      <c r="G6869" s="2" t="s">
        <v>41</v>
      </c>
      <c r="I6869" s="95" t="s">
        <v>7231</v>
      </c>
      <c r="J6869" t="s">
        <v>42</v>
      </c>
      <c r="K6869" t="s">
        <v>41</v>
      </c>
      <c r="M6869">
        <v>120.42</v>
      </c>
      <c r="N6869" s="4">
        <f t="shared" si="107"/>
        <v>-20.760670984886232</v>
      </c>
      <c r="O6869" t="s">
        <v>4936</v>
      </c>
    </row>
    <row r="6870" spans="1:17" x14ac:dyDescent="0.25">
      <c r="A6870" s="22">
        <v>45861</v>
      </c>
      <c r="B6870" s="1" t="s">
        <v>5197</v>
      </c>
      <c r="C6870" t="s">
        <v>5189</v>
      </c>
      <c r="D6870" s="44">
        <v>-1000000</v>
      </c>
      <c r="E6870" t="s">
        <v>35</v>
      </c>
      <c r="F6870" s="2">
        <v>110114001</v>
      </c>
      <c r="G6870" s="2" t="s">
        <v>181</v>
      </c>
      <c r="I6870" s="95" t="s">
        <v>7231</v>
      </c>
      <c r="J6870" t="s">
        <v>37</v>
      </c>
      <c r="K6870" t="s">
        <v>38</v>
      </c>
      <c r="M6870">
        <v>120.42</v>
      </c>
      <c r="N6870" s="4">
        <f t="shared" si="107"/>
        <v>-8304.2683939544931</v>
      </c>
      <c r="O6870" t="s">
        <v>4936</v>
      </c>
      <c r="P6870" s="34" t="s">
        <v>4794</v>
      </c>
    </row>
    <row r="6871" spans="1:17" x14ac:dyDescent="0.25">
      <c r="A6871" s="22">
        <v>45861</v>
      </c>
      <c r="B6871" s="1" t="s">
        <v>5198</v>
      </c>
      <c r="C6871" t="s">
        <v>622</v>
      </c>
      <c r="D6871" s="44">
        <v>-2500</v>
      </c>
      <c r="E6871" t="s">
        <v>35</v>
      </c>
      <c r="F6871" s="2">
        <v>610148001</v>
      </c>
      <c r="G6871" s="2" t="s">
        <v>41</v>
      </c>
      <c r="I6871" s="95" t="s">
        <v>7231</v>
      </c>
      <c r="J6871" t="s">
        <v>42</v>
      </c>
      <c r="K6871" t="s">
        <v>41</v>
      </c>
      <c r="M6871">
        <v>120.42</v>
      </c>
      <c r="N6871" s="4">
        <f t="shared" si="107"/>
        <v>-20.760670984886232</v>
      </c>
      <c r="O6871" t="s">
        <v>4936</v>
      </c>
    </row>
    <row r="6872" spans="1:17" x14ac:dyDescent="0.25">
      <c r="A6872" s="22">
        <v>45861</v>
      </c>
      <c r="B6872" s="1" t="s">
        <v>5199</v>
      </c>
      <c r="C6872" t="s">
        <v>5189</v>
      </c>
      <c r="D6872" s="44">
        <v>-1000000</v>
      </c>
      <c r="E6872" t="s">
        <v>35</v>
      </c>
      <c r="F6872" s="2">
        <v>110114001</v>
      </c>
      <c r="G6872" s="2" t="s">
        <v>181</v>
      </c>
      <c r="I6872" s="95" t="s">
        <v>7231</v>
      </c>
      <c r="J6872" t="s">
        <v>37</v>
      </c>
      <c r="K6872" t="s">
        <v>38</v>
      </c>
      <c r="M6872">
        <v>120.42</v>
      </c>
      <c r="N6872" s="4">
        <f t="shared" si="107"/>
        <v>-8304.2683939544931</v>
      </c>
      <c r="O6872" t="s">
        <v>4936</v>
      </c>
      <c r="P6872" s="34" t="s">
        <v>4794</v>
      </c>
    </row>
    <row r="6873" spans="1:17" x14ac:dyDescent="0.25">
      <c r="A6873" s="22">
        <v>45861</v>
      </c>
      <c r="B6873" s="1" t="s">
        <v>5200</v>
      </c>
      <c r="C6873" t="s">
        <v>622</v>
      </c>
      <c r="D6873" s="44">
        <v>-2500</v>
      </c>
      <c r="E6873" t="s">
        <v>35</v>
      </c>
      <c r="F6873" s="2">
        <v>610148001</v>
      </c>
      <c r="G6873" s="2" t="s">
        <v>41</v>
      </c>
      <c r="I6873" s="95" t="s">
        <v>7231</v>
      </c>
      <c r="J6873" t="s">
        <v>42</v>
      </c>
      <c r="K6873" t="s">
        <v>41</v>
      </c>
      <c r="M6873">
        <v>120.42</v>
      </c>
      <c r="N6873" s="4">
        <f t="shared" si="107"/>
        <v>-20.760670984886232</v>
      </c>
      <c r="O6873" t="s">
        <v>4936</v>
      </c>
    </row>
    <row r="6874" spans="1:17" x14ac:dyDescent="0.25">
      <c r="A6874" s="22">
        <v>45861</v>
      </c>
      <c r="B6874" s="1" t="s">
        <v>5201</v>
      </c>
      <c r="C6874" t="s">
        <v>5189</v>
      </c>
      <c r="D6874" s="44">
        <v>-1000000</v>
      </c>
      <c r="E6874" t="s">
        <v>35</v>
      </c>
      <c r="F6874" s="2">
        <v>110114001</v>
      </c>
      <c r="G6874" s="2" t="s">
        <v>181</v>
      </c>
      <c r="I6874" s="95" t="s">
        <v>7231</v>
      </c>
      <c r="J6874" t="s">
        <v>37</v>
      </c>
      <c r="K6874" t="s">
        <v>38</v>
      </c>
      <c r="M6874">
        <v>120.42</v>
      </c>
      <c r="N6874" s="4">
        <f t="shared" si="107"/>
        <v>-8304.2683939544931</v>
      </c>
      <c r="O6874" t="s">
        <v>4936</v>
      </c>
      <c r="P6874" s="34" t="s">
        <v>4794</v>
      </c>
    </row>
    <row r="6875" spans="1:17" x14ac:dyDescent="0.25">
      <c r="A6875" s="22">
        <v>45861</v>
      </c>
      <c r="B6875" s="1" t="s">
        <v>5202</v>
      </c>
      <c r="C6875" t="s">
        <v>622</v>
      </c>
      <c r="D6875" s="44">
        <v>-2500</v>
      </c>
      <c r="E6875" t="s">
        <v>35</v>
      </c>
      <c r="F6875" s="2">
        <v>610148001</v>
      </c>
      <c r="G6875" s="2" t="s">
        <v>41</v>
      </c>
      <c r="I6875" s="95" t="s">
        <v>7231</v>
      </c>
      <c r="J6875" t="s">
        <v>42</v>
      </c>
      <c r="K6875" t="s">
        <v>41</v>
      </c>
      <c r="M6875">
        <v>120.42</v>
      </c>
      <c r="N6875" s="4">
        <f t="shared" si="107"/>
        <v>-20.760670984886232</v>
      </c>
      <c r="O6875" t="s">
        <v>4936</v>
      </c>
    </row>
    <row r="6876" spans="1:17" x14ac:dyDescent="0.25">
      <c r="A6876" s="22">
        <v>45861</v>
      </c>
      <c r="B6876" s="1" t="s">
        <v>5203</v>
      </c>
      <c r="C6876" t="s">
        <v>5189</v>
      </c>
      <c r="D6876" s="44">
        <v>-1000000</v>
      </c>
      <c r="E6876" t="s">
        <v>35</v>
      </c>
      <c r="F6876" s="2">
        <v>110114001</v>
      </c>
      <c r="G6876" s="2" t="s">
        <v>181</v>
      </c>
      <c r="I6876" s="95" t="s">
        <v>7231</v>
      </c>
      <c r="J6876" t="s">
        <v>37</v>
      </c>
      <c r="K6876" t="s">
        <v>38</v>
      </c>
      <c r="M6876">
        <v>120.42</v>
      </c>
      <c r="N6876" s="4">
        <f t="shared" si="107"/>
        <v>-8304.2683939544931</v>
      </c>
      <c r="O6876" t="s">
        <v>4936</v>
      </c>
      <c r="P6876" s="34" t="s">
        <v>4794</v>
      </c>
    </row>
    <row r="6877" spans="1:17" x14ac:dyDescent="0.25">
      <c r="A6877" s="33">
        <v>45866</v>
      </c>
      <c r="B6877" s="27" t="s">
        <v>5204</v>
      </c>
      <c r="C6877" s="28" t="s">
        <v>5205</v>
      </c>
      <c r="D6877" s="47">
        <v>-57801.599999999999</v>
      </c>
      <c r="E6877" s="28" t="s">
        <v>35</v>
      </c>
      <c r="F6877" s="30">
        <v>610122005</v>
      </c>
      <c r="G6877" s="30" t="s">
        <v>401</v>
      </c>
      <c r="H6877" s="30"/>
      <c r="I6877" s="95" t="s">
        <v>7231</v>
      </c>
      <c r="J6877" s="28" t="s">
        <v>908</v>
      </c>
      <c r="K6877" s="28" t="s">
        <v>909</v>
      </c>
      <c r="L6877" s="28" t="s">
        <v>56</v>
      </c>
      <c r="M6877" s="28">
        <v>122.17</v>
      </c>
      <c r="N6877" s="4">
        <f t="shared" si="107"/>
        <v>-473.12433494311205</v>
      </c>
      <c r="O6877" t="s">
        <v>4936</v>
      </c>
      <c r="Q6877" s="24" t="s">
        <v>5206</v>
      </c>
    </row>
    <row r="6878" spans="1:17" x14ac:dyDescent="0.25">
      <c r="A6878" s="22">
        <v>45866</v>
      </c>
      <c r="B6878" s="1" t="s">
        <v>5207</v>
      </c>
      <c r="C6878" t="s">
        <v>293</v>
      </c>
      <c r="D6878" s="44">
        <v>995000</v>
      </c>
      <c r="E6878" t="s">
        <v>45</v>
      </c>
      <c r="F6878" s="2">
        <v>210115002</v>
      </c>
      <c r="G6878" s="2" t="s">
        <v>46</v>
      </c>
      <c r="I6878" s="95" t="s">
        <v>7231</v>
      </c>
      <c r="K6878" t="s">
        <v>293</v>
      </c>
      <c r="M6878">
        <v>122.17</v>
      </c>
      <c r="N6878" s="4">
        <f t="shared" si="107"/>
        <v>8144.3889661946469</v>
      </c>
      <c r="O6878" t="s">
        <v>4936</v>
      </c>
    </row>
    <row r="6879" spans="1:17" x14ac:dyDescent="0.25">
      <c r="A6879" s="22">
        <v>45866</v>
      </c>
      <c r="B6879" s="1" t="s">
        <v>5208</v>
      </c>
      <c r="C6879" t="s">
        <v>5209</v>
      </c>
      <c r="D6879" s="44">
        <v>-126482.58</v>
      </c>
      <c r="E6879" t="s">
        <v>35</v>
      </c>
      <c r="F6879" s="2">
        <v>210101001</v>
      </c>
      <c r="G6879" s="2" t="s">
        <v>36</v>
      </c>
      <c r="I6879" s="95" t="s">
        <v>7231</v>
      </c>
      <c r="J6879" t="s">
        <v>1614</v>
      </c>
      <c r="K6879" t="s">
        <v>1615</v>
      </c>
      <c r="M6879">
        <v>122.17</v>
      </c>
      <c r="N6879" s="4">
        <f t="shared" si="107"/>
        <v>-1035.2998281083735</v>
      </c>
      <c r="O6879" t="s">
        <v>4936</v>
      </c>
    </row>
    <row r="6880" spans="1:17" x14ac:dyDescent="0.25">
      <c r="A6880" s="22">
        <v>45866</v>
      </c>
      <c r="B6880" s="1" t="s">
        <v>5210</v>
      </c>
      <c r="C6880" t="s">
        <v>622</v>
      </c>
      <c r="D6880" s="1">
        <v>-316.2</v>
      </c>
      <c r="E6880" t="s">
        <v>35</v>
      </c>
      <c r="F6880" s="2">
        <v>610148001</v>
      </c>
      <c r="G6880" s="2" t="s">
        <v>41</v>
      </c>
      <c r="I6880" s="95" t="s">
        <v>7231</v>
      </c>
      <c r="J6880" t="s">
        <v>42</v>
      </c>
      <c r="K6880" t="s">
        <v>41</v>
      </c>
      <c r="M6880">
        <v>122.17</v>
      </c>
      <c r="N6880" s="4">
        <f t="shared" si="107"/>
        <v>-2.5881967749856756</v>
      </c>
      <c r="O6880" t="s">
        <v>4936</v>
      </c>
    </row>
    <row r="6881" spans="1:15" x14ac:dyDescent="0.25">
      <c r="A6881" s="22">
        <v>45866</v>
      </c>
      <c r="B6881" s="1" t="s">
        <v>5211</v>
      </c>
      <c r="C6881" t="s">
        <v>5212</v>
      </c>
      <c r="D6881" s="44">
        <v>-144551.51999999999</v>
      </c>
      <c r="E6881" t="s">
        <v>35</v>
      </c>
      <c r="F6881" s="2">
        <v>210101001</v>
      </c>
      <c r="G6881" s="2" t="s">
        <v>36</v>
      </c>
      <c r="I6881" s="95" t="s">
        <v>7231</v>
      </c>
      <c r="J6881" t="s">
        <v>1614</v>
      </c>
      <c r="K6881" t="s">
        <v>1615</v>
      </c>
      <c r="M6881">
        <v>122.17</v>
      </c>
      <c r="N6881" s="4">
        <f t="shared" si="107"/>
        <v>-1183.1998035524268</v>
      </c>
      <c r="O6881" t="s">
        <v>4936</v>
      </c>
    </row>
    <row r="6882" spans="1:15" x14ac:dyDescent="0.25">
      <c r="A6882" s="22">
        <v>45866</v>
      </c>
      <c r="B6882" s="1" t="s">
        <v>5213</v>
      </c>
      <c r="C6882" t="s">
        <v>622</v>
      </c>
      <c r="D6882" s="1">
        <v>-361.37</v>
      </c>
      <c r="E6882" t="s">
        <v>35</v>
      </c>
      <c r="F6882" s="2">
        <v>610148001</v>
      </c>
      <c r="G6882" s="2" t="s">
        <v>41</v>
      </c>
      <c r="I6882" s="95" t="s">
        <v>7231</v>
      </c>
      <c r="J6882" t="s">
        <v>42</v>
      </c>
      <c r="K6882" t="s">
        <v>41</v>
      </c>
      <c r="M6882">
        <v>122.17</v>
      </c>
      <c r="N6882" s="4">
        <f t="shared" si="107"/>
        <v>-2.9579274781042808</v>
      </c>
      <c r="O6882" t="s">
        <v>4936</v>
      </c>
    </row>
    <row r="6883" spans="1:15" x14ac:dyDescent="0.25">
      <c r="A6883" s="22">
        <v>45866</v>
      </c>
      <c r="B6883" s="1" t="s">
        <v>5214</v>
      </c>
      <c r="C6883" t="s">
        <v>5215</v>
      </c>
      <c r="D6883" s="44">
        <v>-12045.96</v>
      </c>
      <c r="E6883" t="s">
        <v>35</v>
      </c>
      <c r="F6883" s="2">
        <v>210101001</v>
      </c>
      <c r="G6883" s="2" t="s">
        <v>36</v>
      </c>
      <c r="I6883" s="95" t="s">
        <v>7231</v>
      </c>
      <c r="J6883" t="s">
        <v>1614</v>
      </c>
      <c r="K6883" t="s">
        <v>1615</v>
      </c>
      <c r="M6883">
        <v>122.17</v>
      </c>
      <c r="N6883" s="4">
        <f t="shared" si="107"/>
        <v>-98.599983629368907</v>
      </c>
      <c r="O6883" t="s">
        <v>4936</v>
      </c>
    </row>
    <row r="6884" spans="1:15" x14ac:dyDescent="0.25">
      <c r="A6884" s="22">
        <v>45866</v>
      </c>
      <c r="B6884" s="1" t="s">
        <v>5216</v>
      </c>
      <c r="C6884" t="s">
        <v>622</v>
      </c>
      <c r="D6884" s="1">
        <v>-30.11</v>
      </c>
      <c r="E6884" t="s">
        <v>35</v>
      </c>
      <c r="F6884" s="2">
        <v>610148001</v>
      </c>
      <c r="G6884" s="2" t="s">
        <v>41</v>
      </c>
      <c r="I6884" s="95" t="s">
        <v>7231</v>
      </c>
      <c r="J6884" t="s">
        <v>42</v>
      </c>
      <c r="K6884" t="s">
        <v>41</v>
      </c>
      <c r="M6884">
        <v>122.17</v>
      </c>
      <c r="N6884" s="4">
        <f t="shared" si="107"/>
        <v>-0.24645985102725709</v>
      </c>
      <c r="O6884" t="s">
        <v>4936</v>
      </c>
    </row>
    <row r="6885" spans="1:15" x14ac:dyDescent="0.25">
      <c r="A6885" s="22">
        <v>45866</v>
      </c>
      <c r="B6885" s="1" t="s">
        <v>5217</v>
      </c>
      <c r="C6885" t="s">
        <v>5218</v>
      </c>
      <c r="D6885" s="44">
        <v>-144551.51999999999</v>
      </c>
      <c r="E6885" t="s">
        <v>35</v>
      </c>
      <c r="F6885" s="2">
        <v>210101001</v>
      </c>
      <c r="G6885" s="2" t="s">
        <v>36</v>
      </c>
      <c r="I6885" s="95" t="s">
        <v>7231</v>
      </c>
      <c r="J6885" t="s">
        <v>1614</v>
      </c>
      <c r="K6885" t="s">
        <v>1615</v>
      </c>
      <c r="M6885">
        <v>122.17</v>
      </c>
      <c r="N6885" s="4">
        <f t="shared" si="107"/>
        <v>-1183.1998035524268</v>
      </c>
      <c r="O6885" t="s">
        <v>4936</v>
      </c>
    </row>
    <row r="6886" spans="1:15" x14ac:dyDescent="0.25">
      <c r="A6886" s="22">
        <v>45866</v>
      </c>
      <c r="B6886" s="1" t="s">
        <v>5219</v>
      </c>
      <c r="C6886" t="s">
        <v>622</v>
      </c>
      <c r="D6886" s="1">
        <v>-361.37</v>
      </c>
      <c r="E6886" t="s">
        <v>35</v>
      </c>
      <c r="F6886" s="2">
        <v>610148001</v>
      </c>
      <c r="G6886" s="2" t="s">
        <v>41</v>
      </c>
      <c r="I6886" s="95" t="s">
        <v>7231</v>
      </c>
      <c r="J6886" t="s">
        <v>42</v>
      </c>
      <c r="K6886" t="s">
        <v>41</v>
      </c>
      <c r="M6886">
        <v>122.17</v>
      </c>
      <c r="N6886" s="4">
        <f t="shared" si="107"/>
        <v>-2.9579274781042808</v>
      </c>
      <c r="O6886" t="s">
        <v>4936</v>
      </c>
    </row>
    <row r="6887" spans="1:15" x14ac:dyDescent="0.25">
      <c r="A6887" s="22">
        <v>45866</v>
      </c>
      <c r="B6887" s="1" t="s">
        <v>5220</v>
      </c>
      <c r="C6887" t="s">
        <v>5221</v>
      </c>
      <c r="D6887" s="44">
        <v>-198758.34</v>
      </c>
      <c r="E6887" t="s">
        <v>35</v>
      </c>
      <c r="F6887" s="2">
        <v>210101001</v>
      </c>
      <c r="G6887" s="2" t="s">
        <v>36</v>
      </c>
      <c r="I6887" s="95" t="s">
        <v>7231</v>
      </c>
      <c r="J6887" t="s">
        <v>1614</v>
      </c>
      <c r="K6887" t="s">
        <v>1615</v>
      </c>
      <c r="M6887">
        <v>122.17</v>
      </c>
      <c r="N6887" s="4">
        <f t="shared" si="107"/>
        <v>-1626.899729884587</v>
      </c>
      <c r="O6887" t="s">
        <v>4936</v>
      </c>
    </row>
    <row r="6888" spans="1:15" x14ac:dyDescent="0.25">
      <c r="A6888" s="22">
        <v>45866</v>
      </c>
      <c r="B6888" s="1" t="s">
        <v>5222</v>
      </c>
      <c r="C6888" t="s">
        <v>622</v>
      </c>
      <c r="D6888" s="1">
        <v>-496.89</v>
      </c>
      <c r="E6888" t="s">
        <v>35</v>
      </c>
      <c r="F6888" s="2">
        <v>610148001</v>
      </c>
      <c r="G6888" s="2" t="s">
        <v>41</v>
      </c>
      <c r="I6888" s="95" t="s">
        <v>7231</v>
      </c>
      <c r="J6888" t="s">
        <v>42</v>
      </c>
      <c r="K6888" t="s">
        <v>41</v>
      </c>
      <c r="M6888">
        <v>122.17</v>
      </c>
      <c r="N6888" s="4">
        <f t="shared" si="107"/>
        <v>-4.0672014406155359</v>
      </c>
      <c r="O6888" t="s">
        <v>4936</v>
      </c>
    </row>
    <row r="6889" spans="1:15" x14ac:dyDescent="0.25">
      <c r="A6889" s="22">
        <v>45866</v>
      </c>
      <c r="B6889" s="1" t="s">
        <v>5223</v>
      </c>
      <c r="C6889" t="s">
        <v>622</v>
      </c>
      <c r="D6889" s="1">
        <v>-738.15</v>
      </c>
      <c r="E6889" t="s">
        <v>35</v>
      </c>
      <c r="F6889" s="2">
        <v>610148001</v>
      </c>
      <c r="G6889" s="2" t="s">
        <v>41</v>
      </c>
      <c r="I6889" s="95" t="s">
        <v>7231</v>
      </c>
      <c r="J6889" t="s">
        <v>42</v>
      </c>
      <c r="K6889" t="s">
        <v>41</v>
      </c>
      <c r="M6889">
        <v>122.17</v>
      </c>
      <c r="N6889" s="4">
        <f t="shared" si="107"/>
        <v>-6.0419906687402793</v>
      </c>
      <c r="O6889" t="s">
        <v>4936</v>
      </c>
    </row>
    <row r="6890" spans="1:15" x14ac:dyDescent="0.25">
      <c r="A6890" s="22">
        <v>45866</v>
      </c>
      <c r="B6890" s="1" t="s">
        <v>5224</v>
      </c>
      <c r="C6890" t="s">
        <v>5225</v>
      </c>
      <c r="D6890" s="44">
        <v>-295260.45</v>
      </c>
      <c r="E6890" t="s">
        <v>35</v>
      </c>
      <c r="F6890" s="2">
        <v>210101001</v>
      </c>
      <c r="G6890" s="2" t="s">
        <v>36</v>
      </c>
      <c r="I6890" s="95" t="s">
        <v>7231</v>
      </c>
      <c r="J6890" t="s">
        <v>376</v>
      </c>
      <c r="K6890" t="s">
        <v>377</v>
      </c>
      <c r="M6890">
        <v>122.17</v>
      </c>
      <c r="N6890" s="4">
        <f t="shared" si="107"/>
        <v>-2416.7999508881067</v>
      </c>
      <c r="O6890" t="s">
        <v>4936</v>
      </c>
    </row>
    <row r="6891" spans="1:15" x14ac:dyDescent="0.25">
      <c r="A6891" s="22">
        <v>45866</v>
      </c>
      <c r="B6891" s="1" t="s">
        <v>5226</v>
      </c>
      <c r="C6891" t="s">
        <v>622</v>
      </c>
      <c r="D6891" s="1">
        <v>-27.66</v>
      </c>
      <c r="E6891" t="s">
        <v>35</v>
      </c>
      <c r="F6891" s="2">
        <v>610148001</v>
      </c>
      <c r="G6891" s="2" t="s">
        <v>41</v>
      </c>
      <c r="I6891" s="95" t="s">
        <v>7231</v>
      </c>
      <c r="J6891" t="s">
        <v>42</v>
      </c>
      <c r="K6891" t="s">
        <v>41</v>
      </c>
      <c r="M6891">
        <v>122.17</v>
      </c>
      <c r="N6891" s="4">
        <f t="shared" si="107"/>
        <v>-0.22640582794466727</v>
      </c>
      <c r="O6891" t="s">
        <v>4936</v>
      </c>
    </row>
    <row r="6892" spans="1:15" x14ac:dyDescent="0.25">
      <c r="A6892" s="22">
        <v>45866</v>
      </c>
      <c r="B6892" s="1" t="s">
        <v>5227</v>
      </c>
      <c r="C6892" t="s">
        <v>5228</v>
      </c>
      <c r="D6892" s="44">
        <v>-11066.84</v>
      </c>
      <c r="E6892" t="s">
        <v>35</v>
      </c>
      <c r="F6892" s="2">
        <v>210101001</v>
      </c>
      <c r="G6892" s="2" t="s">
        <v>36</v>
      </c>
      <c r="I6892" s="95" t="s">
        <v>7231</v>
      </c>
      <c r="J6892" t="s">
        <v>37</v>
      </c>
      <c r="K6892" t="s">
        <v>38</v>
      </c>
      <c r="M6892">
        <v>122.17</v>
      </c>
      <c r="N6892" s="4">
        <f t="shared" si="107"/>
        <v>-90.585577474011629</v>
      </c>
      <c r="O6892" t="s">
        <v>4936</v>
      </c>
    </row>
    <row r="6893" spans="1:15" x14ac:dyDescent="0.25">
      <c r="A6893" s="22">
        <v>45866</v>
      </c>
      <c r="B6893" s="1" t="s">
        <v>5229</v>
      </c>
      <c r="C6893" t="s">
        <v>622</v>
      </c>
      <c r="D6893" s="1">
        <v>-108.91</v>
      </c>
      <c r="E6893" t="s">
        <v>35</v>
      </c>
      <c r="F6893" s="2">
        <v>610148001</v>
      </c>
      <c r="G6893" s="2" t="s">
        <v>41</v>
      </c>
      <c r="I6893" s="95" t="s">
        <v>7231</v>
      </c>
      <c r="J6893" t="s">
        <v>42</v>
      </c>
      <c r="K6893" t="s">
        <v>41</v>
      </c>
      <c r="M6893">
        <v>122.17</v>
      </c>
      <c r="N6893" s="4">
        <f t="shared" si="107"/>
        <v>-0.89146271588769743</v>
      </c>
      <c r="O6893" t="s">
        <v>4936</v>
      </c>
    </row>
    <row r="6894" spans="1:15" x14ac:dyDescent="0.25">
      <c r="A6894" s="22">
        <v>45866</v>
      </c>
      <c r="B6894" s="1" t="s">
        <v>5230</v>
      </c>
      <c r="C6894" t="s">
        <v>5231</v>
      </c>
      <c r="D6894" s="44">
        <v>-43566.55</v>
      </c>
      <c r="E6894" t="s">
        <v>35</v>
      </c>
      <c r="F6894" s="2">
        <v>210101001</v>
      </c>
      <c r="G6894" s="2" t="s">
        <v>36</v>
      </c>
      <c r="I6894" s="95" t="s">
        <v>7231</v>
      </c>
      <c r="J6894" t="s">
        <v>376</v>
      </c>
      <c r="K6894" t="s">
        <v>377</v>
      </c>
      <c r="M6894">
        <v>122.17</v>
      </c>
      <c r="N6894" s="4">
        <f t="shared" si="107"/>
        <v>-356.60595890971598</v>
      </c>
      <c r="O6894" t="s">
        <v>4936</v>
      </c>
    </row>
    <row r="6895" spans="1:15" x14ac:dyDescent="0.25">
      <c r="A6895" s="22">
        <v>45866</v>
      </c>
      <c r="B6895" s="1" t="s">
        <v>5232</v>
      </c>
      <c r="C6895" t="s">
        <v>622</v>
      </c>
      <c r="D6895" s="1">
        <v>-41.78</v>
      </c>
      <c r="E6895" t="s">
        <v>35</v>
      </c>
      <c r="F6895" s="2">
        <v>610148001</v>
      </c>
      <c r="G6895" s="2" t="s">
        <v>41</v>
      </c>
      <c r="I6895" s="95" t="s">
        <v>7231</v>
      </c>
      <c r="J6895" t="s">
        <v>42</v>
      </c>
      <c r="K6895" t="s">
        <v>41</v>
      </c>
      <c r="M6895">
        <v>122.17</v>
      </c>
      <c r="N6895" s="4">
        <f t="shared" si="107"/>
        <v>-0.34198248342473603</v>
      </c>
      <c r="O6895" t="s">
        <v>4936</v>
      </c>
    </row>
    <row r="6896" spans="1:15" x14ac:dyDescent="0.25">
      <c r="A6896" s="22">
        <v>45866</v>
      </c>
      <c r="B6896" s="1" t="s">
        <v>5233</v>
      </c>
      <c r="C6896" t="s">
        <v>5234</v>
      </c>
      <c r="D6896" s="44">
        <v>-16712.86</v>
      </c>
      <c r="E6896" t="s">
        <v>35</v>
      </c>
      <c r="F6896" s="2">
        <v>210101001</v>
      </c>
      <c r="G6896" s="2" t="s">
        <v>36</v>
      </c>
      <c r="I6896" s="95" t="s">
        <v>7231</v>
      </c>
      <c r="J6896" t="s">
        <v>701</v>
      </c>
      <c r="K6896" t="s">
        <v>702</v>
      </c>
      <c r="M6896">
        <v>122.17</v>
      </c>
      <c r="N6896" s="4">
        <f t="shared" si="107"/>
        <v>-136.80003274126219</v>
      </c>
      <c r="O6896" t="s">
        <v>4936</v>
      </c>
    </row>
    <row r="6897" spans="1:20" x14ac:dyDescent="0.25">
      <c r="A6897" s="22">
        <v>45867</v>
      </c>
      <c r="B6897" s="1" t="s">
        <v>5235</v>
      </c>
      <c r="C6897" t="s">
        <v>3252</v>
      </c>
      <c r="D6897" s="44">
        <v>790000</v>
      </c>
      <c r="E6897" t="s">
        <v>45</v>
      </c>
      <c r="F6897" s="2">
        <v>210115002</v>
      </c>
      <c r="G6897" s="2" t="s">
        <v>46</v>
      </c>
      <c r="I6897" s="95" t="s">
        <v>7231</v>
      </c>
      <c r="K6897" t="s">
        <v>293</v>
      </c>
      <c r="M6897">
        <v>122.84</v>
      </c>
      <c r="N6897" s="4">
        <f t="shared" si="107"/>
        <v>6431.129925105829</v>
      </c>
      <c r="O6897" t="s">
        <v>4936</v>
      </c>
    </row>
    <row r="6898" spans="1:20" x14ac:dyDescent="0.25">
      <c r="A6898" s="22">
        <v>45867</v>
      </c>
      <c r="B6898" s="1" t="s">
        <v>5236</v>
      </c>
      <c r="C6898" t="s">
        <v>622</v>
      </c>
      <c r="D6898" s="44">
        <v>-1995.64</v>
      </c>
      <c r="E6898" t="s">
        <v>35</v>
      </c>
      <c r="F6898" s="2">
        <v>610148001</v>
      </c>
      <c r="G6898" s="2" t="s">
        <v>41</v>
      </c>
      <c r="I6898" s="95" t="s">
        <v>7231</v>
      </c>
      <c r="J6898" t="s">
        <v>42</v>
      </c>
      <c r="K6898" t="s">
        <v>41</v>
      </c>
      <c r="M6898">
        <v>122.84</v>
      </c>
      <c r="N6898" s="4">
        <f t="shared" si="107"/>
        <v>-16.245848257896451</v>
      </c>
      <c r="O6898" t="s">
        <v>4936</v>
      </c>
    </row>
    <row r="6899" spans="1:20" x14ac:dyDescent="0.25">
      <c r="A6899" s="22">
        <v>45867</v>
      </c>
      <c r="B6899" s="1" t="s">
        <v>5237</v>
      </c>
      <c r="C6899" t="s">
        <v>5238</v>
      </c>
      <c r="D6899" s="44">
        <v>-798259.33</v>
      </c>
      <c r="E6899" t="s">
        <v>35</v>
      </c>
      <c r="F6899" s="2">
        <v>110114001</v>
      </c>
      <c r="G6899" s="2" t="s">
        <v>181</v>
      </c>
      <c r="I6899" s="95" t="s">
        <v>7231</v>
      </c>
      <c r="J6899" t="s">
        <v>37</v>
      </c>
      <c r="K6899" t="s">
        <v>38</v>
      </c>
      <c r="M6899">
        <v>122.84</v>
      </c>
      <c r="N6899" s="4">
        <f t="shared" si="107"/>
        <v>-6498.3664115923148</v>
      </c>
      <c r="O6899" t="s">
        <v>4936</v>
      </c>
      <c r="P6899" s="34" t="s">
        <v>4794</v>
      </c>
    </row>
    <row r="6900" spans="1:20" x14ac:dyDescent="0.25">
      <c r="A6900" s="22">
        <v>45867</v>
      </c>
      <c r="B6900" s="1" t="s">
        <v>5239</v>
      </c>
      <c r="C6900" t="s">
        <v>3252</v>
      </c>
      <c r="D6900" s="44">
        <v>740000</v>
      </c>
      <c r="E6900" t="s">
        <v>45</v>
      </c>
      <c r="F6900" s="2">
        <v>210115002</v>
      </c>
      <c r="G6900" s="2" t="s">
        <v>46</v>
      </c>
      <c r="I6900" s="95" t="s">
        <v>7231</v>
      </c>
      <c r="K6900" t="s">
        <v>293</v>
      </c>
      <c r="M6900">
        <v>122.84</v>
      </c>
      <c r="N6900" s="4">
        <f t="shared" si="107"/>
        <v>6024.0963855421687</v>
      </c>
      <c r="O6900" t="s">
        <v>4936</v>
      </c>
    </row>
    <row r="6901" spans="1:20" x14ac:dyDescent="0.25">
      <c r="A6901" s="22">
        <v>45867</v>
      </c>
      <c r="B6901" s="1" t="s">
        <v>5240</v>
      </c>
      <c r="C6901" t="s">
        <v>3305</v>
      </c>
      <c r="D6901" s="44">
        <v>-750000</v>
      </c>
      <c r="E6901" t="s">
        <v>35</v>
      </c>
      <c r="F6901" s="2">
        <v>110101003</v>
      </c>
      <c r="G6901" s="2" t="s">
        <v>2945</v>
      </c>
      <c r="I6901" s="95" t="s">
        <v>7231</v>
      </c>
      <c r="K6901" t="s">
        <v>3305</v>
      </c>
      <c r="M6901">
        <v>122.84</v>
      </c>
      <c r="N6901" s="4">
        <f t="shared" si="107"/>
        <v>-6105.5030934549004</v>
      </c>
      <c r="O6901" t="s">
        <v>4936</v>
      </c>
    </row>
    <row r="6902" spans="1:20" x14ac:dyDescent="0.25">
      <c r="A6902" s="22">
        <v>45867</v>
      </c>
      <c r="B6902" s="1" t="s">
        <v>5240</v>
      </c>
      <c r="C6902" t="s">
        <v>5241</v>
      </c>
      <c r="D6902" s="44">
        <v>-2250</v>
      </c>
      <c r="E6902" t="s">
        <v>35</v>
      </c>
      <c r="F6902" s="2">
        <v>610148001</v>
      </c>
      <c r="G6902" s="2" t="s">
        <v>41</v>
      </c>
      <c r="I6902" s="95" t="s">
        <v>7231</v>
      </c>
      <c r="J6902" t="s">
        <v>42</v>
      </c>
      <c r="K6902" t="s">
        <v>41</v>
      </c>
      <c r="M6902">
        <v>122.84</v>
      </c>
      <c r="N6902" s="4">
        <f t="shared" si="107"/>
        <v>-18.316509280364702</v>
      </c>
      <c r="O6902" t="s">
        <v>4936</v>
      </c>
    </row>
    <row r="6903" spans="1:20" x14ac:dyDescent="0.25">
      <c r="A6903" s="22">
        <v>45867</v>
      </c>
      <c r="B6903" s="1" t="s">
        <v>5242</v>
      </c>
      <c r="C6903" t="s">
        <v>5243</v>
      </c>
      <c r="D6903" s="1">
        <v>278.02</v>
      </c>
      <c r="E6903" t="s">
        <v>45</v>
      </c>
      <c r="F6903" s="2">
        <v>210101001</v>
      </c>
      <c r="G6903" s="2" t="s">
        <v>36</v>
      </c>
      <c r="I6903" s="95" t="s">
        <v>7231</v>
      </c>
      <c r="K6903" t="s">
        <v>1162</v>
      </c>
      <c r="M6903">
        <v>122.84</v>
      </c>
      <c r="N6903" s="4">
        <f t="shared" si="107"/>
        <v>2.2632692933897749</v>
      </c>
      <c r="O6903" t="s">
        <v>4936</v>
      </c>
    </row>
    <row r="6904" spans="1:20" x14ac:dyDescent="0.25">
      <c r="A6904" s="33">
        <v>45869</v>
      </c>
      <c r="B6904" s="27" t="s">
        <v>5244</v>
      </c>
      <c r="C6904" s="28" t="s">
        <v>5245</v>
      </c>
      <c r="D6904" s="87">
        <v>-2</v>
      </c>
      <c r="E6904" s="28" t="s">
        <v>35</v>
      </c>
      <c r="F6904" s="30">
        <v>610122005</v>
      </c>
      <c r="G6904" s="30" t="s">
        <v>401</v>
      </c>
      <c r="H6904" s="30"/>
      <c r="I6904" s="95" t="s">
        <v>7231</v>
      </c>
      <c r="J6904" s="28" t="s">
        <v>608</v>
      </c>
      <c r="K6904" s="28" t="s">
        <v>609</v>
      </c>
      <c r="L6904" s="28" t="s">
        <v>56</v>
      </c>
      <c r="M6904" s="28">
        <v>124.51</v>
      </c>
      <c r="N6904" s="4">
        <f t="shared" si="107"/>
        <v>-1.6062966829973494E-2</v>
      </c>
      <c r="O6904" t="s">
        <v>4936</v>
      </c>
      <c r="Q6904" s="24" t="s">
        <v>5246</v>
      </c>
    </row>
    <row r="6905" spans="1:20" x14ac:dyDescent="0.25">
      <c r="A6905" s="22">
        <v>45869</v>
      </c>
      <c r="B6905" s="1" t="s">
        <v>5247</v>
      </c>
      <c r="C6905" t="s">
        <v>612</v>
      </c>
      <c r="D6905" s="44" t="s">
        <v>5248</v>
      </c>
      <c r="E6905" t="s">
        <v>35</v>
      </c>
      <c r="F6905" s="2">
        <v>610148001</v>
      </c>
      <c r="G6905" s="2" t="s">
        <v>41</v>
      </c>
      <c r="I6905" s="95" t="s">
        <v>7231</v>
      </c>
      <c r="J6905" t="s">
        <v>42</v>
      </c>
      <c r="K6905" t="s">
        <v>41</v>
      </c>
      <c r="M6905">
        <v>124.51</v>
      </c>
      <c r="N6905" s="4">
        <f t="shared" si="107"/>
        <v>-1.0440928439482773E-3</v>
      </c>
      <c r="O6905" t="s">
        <v>4936</v>
      </c>
    </row>
    <row r="6906" spans="1:20" x14ac:dyDescent="0.25">
      <c r="A6906" s="22">
        <v>45870</v>
      </c>
      <c r="B6906" s="1" t="s">
        <v>5249</v>
      </c>
      <c r="C6906" t="s">
        <v>4390</v>
      </c>
      <c r="D6906" s="44" t="s">
        <v>5250</v>
      </c>
      <c r="E6906" t="s">
        <v>35</v>
      </c>
      <c r="F6906" s="2">
        <v>610148001</v>
      </c>
      <c r="G6906" s="2" t="s">
        <v>41</v>
      </c>
      <c r="I6906" s="95" t="s">
        <v>7231</v>
      </c>
      <c r="J6906" t="s">
        <v>42</v>
      </c>
      <c r="K6906" t="s">
        <v>41</v>
      </c>
      <c r="M6906">
        <v>125.42</v>
      </c>
      <c r="N6906" s="4">
        <f t="shared" si="107"/>
        <v>-9.3286557167915802</v>
      </c>
      <c r="O6906" t="s">
        <v>39</v>
      </c>
      <c r="Q6906" s="24" t="s">
        <v>5251</v>
      </c>
    </row>
    <row r="6907" spans="1:20" x14ac:dyDescent="0.25">
      <c r="A6907" s="22">
        <v>45870</v>
      </c>
      <c r="B6907" s="1" t="s">
        <v>5252</v>
      </c>
      <c r="C6907" t="s">
        <v>5144</v>
      </c>
      <c r="D6907" s="44" t="s">
        <v>5253</v>
      </c>
      <c r="E6907" t="s">
        <v>35</v>
      </c>
      <c r="F6907" s="2">
        <v>110114001</v>
      </c>
      <c r="G6907" s="2" t="s">
        <v>181</v>
      </c>
      <c r="I6907" s="95" t="s">
        <v>7231</v>
      </c>
      <c r="J6907" t="s">
        <v>37</v>
      </c>
      <c r="K6907" t="s">
        <v>38</v>
      </c>
      <c r="M6907">
        <v>125.42</v>
      </c>
      <c r="N6907" s="4">
        <f t="shared" si="107"/>
        <v>-3109.5519055971936</v>
      </c>
      <c r="O6907" t="s">
        <v>39</v>
      </c>
    </row>
    <row r="6908" spans="1:20" x14ac:dyDescent="0.25">
      <c r="A6908" s="22">
        <v>45898</v>
      </c>
      <c r="B6908" s="1" t="s">
        <v>5254</v>
      </c>
      <c r="C6908" t="s">
        <v>4410</v>
      </c>
      <c r="D6908" s="44" t="s">
        <v>4411</v>
      </c>
      <c r="E6908" t="s">
        <v>35</v>
      </c>
      <c r="F6908" s="2">
        <v>610148001</v>
      </c>
      <c r="G6908" s="2" t="s">
        <v>41</v>
      </c>
      <c r="I6908" s="95" t="s">
        <v>7231</v>
      </c>
      <c r="J6908" t="s">
        <v>42</v>
      </c>
      <c r="K6908" t="s">
        <v>41</v>
      </c>
      <c r="M6908">
        <v>147.08000000000001</v>
      </c>
      <c r="N6908" s="4">
        <f t="shared" si="107"/>
        <v>-3.399510470492249E-3</v>
      </c>
      <c r="O6908" t="s">
        <v>39</v>
      </c>
      <c r="Q6908" s="24" t="s">
        <v>5251</v>
      </c>
    </row>
    <row r="6909" spans="1:20" s="3" customFormat="1" x14ac:dyDescent="0.25">
      <c r="A6909" s="88">
        <v>45898</v>
      </c>
      <c r="B6909" s="56" t="s">
        <v>5255</v>
      </c>
      <c r="C6909" s="3" t="s">
        <v>4412</v>
      </c>
      <c r="D6909" s="44" t="s">
        <v>4411</v>
      </c>
      <c r="E6909" s="3" t="s">
        <v>35</v>
      </c>
      <c r="F6909" s="2">
        <v>610148001</v>
      </c>
      <c r="G6909" s="2" t="s">
        <v>41</v>
      </c>
      <c r="H6909" s="2"/>
      <c r="I6909" s="95" t="s">
        <v>7231</v>
      </c>
      <c r="J6909" t="s">
        <v>42</v>
      </c>
      <c r="K6909" t="s">
        <v>41</v>
      </c>
      <c r="L6909"/>
      <c r="M6909">
        <v>147.08000000000001</v>
      </c>
      <c r="N6909" s="4">
        <f t="shared" si="107"/>
        <v>-3.399510470492249E-3</v>
      </c>
      <c r="O6909" t="s">
        <v>51</v>
      </c>
      <c r="Q6909" s="24" t="s">
        <v>5251</v>
      </c>
      <c r="R6909"/>
      <c r="S6909"/>
      <c r="T6909"/>
    </row>
    <row r="6910" spans="1:20" x14ac:dyDescent="0.25">
      <c r="A6910" s="22">
        <v>45883</v>
      </c>
      <c r="B6910" s="1">
        <v>130</v>
      </c>
      <c r="C6910" t="s">
        <v>50</v>
      </c>
      <c r="D6910" s="44">
        <v>-100.14</v>
      </c>
      <c r="E6910" t="s">
        <v>35</v>
      </c>
      <c r="F6910" s="2">
        <v>610148001</v>
      </c>
      <c r="G6910" s="2" t="s">
        <v>41</v>
      </c>
      <c r="I6910" s="95" t="s">
        <v>7231</v>
      </c>
      <c r="J6910" t="s">
        <v>42</v>
      </c>
      <c r="K6910" t="s">
        <v>41</v>
      </c>
      <c r="M6910">
        <v>134.47999999999999</v>
      </c>
      <c r="N6910" s="4">
        <f t="shared" si="107"/>
        <v>-0.74464604402141588</v>
      </c>
      <c r="O6910" t="s">
        <v>51</v>
      </c>
      <c r="Q6910" s="24" t="s">
        <v>5251</v>
      </c>
    </row>
    <row r="6911" spans="1:20" x14ac:dyDescent="0.25">
      <c r="A6911" s="22">
        <v>45883</v>
      </c>
      <c r="B6911" s="1">
        <v>129</v>
      </c>
      <c r="C6911" t="s">
        <v>5256</v>
      </c>
      <c r="D6911" s="44">
        <v>-33380</v>
      </c>
      <c r="E6911" t="s">
        <v>35</v>
      </c>
      <c r="F6911" s="2">
        <v>840101001</v>
      </c>
      <c r="G6911" s="2" t="s">
        <v>5257</v>
      </c>
      <c r="I6911" s="95" t="s">
        <v>7231</v>
      </c>
      <c r="J6911" t="s">
        <v>61</v>
      </c>
      <c r="K6911" t="s">
        <v>62</v>
      </c>
      <c r="M6911">
        <v>134.47999999999999</v>
      </c>
      <c r="N6911" s="4">
        <f t="shared" si="107"/>
        <v>-248.21534800713863</v>
      </c>
      <c r="O6911" t="s">
        <v>51</v>
      </c>
    </row>
    <row r="6912" spans="1:20" x14ac:dyDescent="0.25">
      <c r="A6912" s="22">
        <v>45883</v>
      </c>
      <c r="B6912" s="1">
        <v>128</v>
      </c>
      <c r="C6912" t="s">
        <v>50</v>
      </c>
      <c r="D6912" s="44">
        <v>-100.14</v>
      </c>
      <c r="E6912" t="s">
        <v>35</v>
      </c>
      <c r="F6912" s="2">
        <v>610148001</v>
      </c>
      <c r="G6912" s="2" t="s">
        <v>41</v>
      </c>
      <c r="I6912" s="95" t="s">
        <v>7231</v>
      </c>
      <c r="J6912" t="s">
        <v>42</v>
      </c>
      <c r="K6912" t="s">
        <v>41</v>
      </c>
      <c r="M6912">
        <v>134.47999999999999</v>
      </c>
      <c r="N6912" s="4">
        <f t="shared" si="107"/>
        <v>-0.74464604402141588</v>
      </c>
      <c r="O6912" t="s">
        <v>51</v>
      </c>
      <c r="Q6912" s="24" t="s">
        <v>5251</v>
      </c>
    </row>
    <row r="6913" spans="1:17" x14ac:dyDescent="0.25">
      <c r="A6913" s="22">
        <v>45883</v>
      </c>
      <c r="B6913" s="1">
        <v>127</v>
      </c>
      <c r="C6913" t="s">
        <v>5258</v>
      </c>
      <c r="D6913" s="44">
        <v>-33380</v>
      </c>
      <c r="E6913" t="s">
        <v>35</v>
      </c>
      <c r="F6913" s="2">
        <v>840101001</v>
      </c>
      <c r="G6913" s="2" t="s">
        <v>5257</v>
      </c>
      <c r="I6913" s="95" t="s">
        <v>7231</v>
      </c>
      <c r="J6913" t="s">
        <v>61</v>
      </c>
      <c r="K6913" t="s">
        <v>62</v>
      </c>
      <c r="M6913">
        <v>134.47999999999999</v>
      </c>
      <c r="N6913" s="4">
        <f t="shared" si="107"/>
        <v>-248.21534800713863</v>
      </c>
      <c r="O6913" t="s">
        <v>51</v>
      </c>
    </row>
    <row r="6914" spans="1:17" x14ac:dyDescent="0.25">
      <c r="A6914" s="22">
        <v>45883</v>
      </c>
      <c r="B6914" s="1">
        <v>126</v>
      </c>
      <c r="C6914" t="s">
        <v>82</v>
      </c>
      <c r="D6914" s="44">
        <v>70000</v>
      </c>
      <c r="E6914" t="s">
        <v>45</v>
      </c>
      <c r="F6914" s="2">
        <v>210115002</v>
      </c>
      <c r="G6914" s="2" t="s">
        <v>5259</v>
      </c>
      <c r="I6914" s="95" t="s">
        <v>7231</v>
      </c>
      <c r="K6914" t="s">
        <v>82</v>
      </c>
      <c r="M6914">
        <v>134.47999999999999</v>
      </c>
      <c r="N6914" s="4">
        <f t="shared" si="107"/>
        <v>520.52349791790607</v>
      </c>
      <c r="O6914" t="s">
        <v>51</v>
      </c>
    </row>
    <row r="6915" spans="1:17" x14ac:dyDescent="0.25">
      <c r="A6915" s="22">
        <v>45897</v>
      </c>
      <c r="B6915" s="1">
        <v>135</v>
      </c>
      <c r="C6915" t="s">
        <v>50</v>
      </c>
      <c r="D6915" s="44">
        <v>-108.27</v>
      </c>
      <c r="E6915" t="s">
        <v>35</v>
      </c>
      <c r="F6915" s="2">
        <v>610148001</v>
      </c>
      <c r="G6915" s="2" t="s">
        <v>41</v>
      </c>
      <c r="I6915" s="95" t="s">
        <v>7231</v>
      </c>
      <c r="J6915" t="s">
        <v>42</v>
      </c>
      <c r="K6915" t="s">
        <v>41</v>
      </c>
      <c r="M6915">
        <v>145.75</v>
      </c>
      <c r="N6915" s="4">
        <f t="shared" si="107"/>
        <v>-0.74284734133790731</v>
      </c>
      <c r="O6915" t="s">
        <v>51</v>
      </c>
      <c r="Q6915" s="24" t="s">
        <v>5251</v>
      </c>
    </row>
    <row r="6916" spans="1:17" x14ac:dyDescent="0.25">
      <c r="A6916" s="22">
        <v>45897</v>
      </c>
      <c r="B6916" s="1">
        <v>134</v>
      </c>
      <c r="C6916" t="s">
        <v>5260</v>
      </c>
      <c r="D6916" s="44">
        <v>-36092.5</v>
      </c>
      <c r="E6916" t="s">
        <v>35</v>
      </c>
      <c r="F6916" s="2">
        <v>840101001</v>
      </c>
      <c r="G6916" s="2" t="s">
        <v>5257</v>
      </c>
      <c r="I6916" s="95" t="s">
        <v>7231</v>
      </c>
      <c r="J6916" t="s">
        <v>61</v>
      </c>
      <c r="K6916" t="s">
        <v>62</v>
      </c>
      <c r="M6916">
        <v>145.75</v>
      </c>
      <c r="N6916" s="4">
        <f t="shared" si="107"/>
        <v>-247.63293310463121</v>
      </c>
      <c r="O6916" t="s">
        <v>51</v>
      </c>
    </row>
    <row r="6917" spans="1:17" x14ac:dyDescent="0.25">
      <c r="A6917" s="22">
        <v>45897</v>
      </c>
      <c r="B6917" s="1">
        <v>133</v>
      </c>
      <c r="C6917" t="s">
        <v>50</v>
      </c>
      <c r="D6917" s="44">
        <v>-108.27</v>
      </c>
      <c r="E6917" t="s">
        <v>35</v>
      </c>
      <c r="F6917" s="2">
        <v>610148001</v>
      </c>
      <c r="G6917" s="2" t="s">
        <v>41</v>
      </c>
      <c r="I6917" s="95" t="s">
        <v>7231</v>
      </c>
      <c r="J6917" t="s">
        <v>42</v>
      </c>
      <c r="K6917" t="s">
        <v>41</v>
      </c>
      <c r="M6917">
        <v>145.75</v>
      </c>
      <c r="N6917" s="4">
        <f t="shared" si="107"/>
        <v>-0.74284734133790731</v>
      </c>
      <c r="O6917" t="s">
        <v>51</v>
      </c>
      <c r="Q6917" s="24" t="s">
        <v>5251</v>
      </c>
    </row>
    <row r="6918" spans="1:17" x14ac:dyDescent="0.25">
      <c r="A6918" s="22">
        <v>45897</v>
      </c>
      <c r="B6918" s="1">
        <v>132</v>
      </c>
      <c r="C6918" t="s">
        <v>5261</v>
      </c>
      <c r="D6918" s="44">
        <v>-36092.5</v>
      </c>
      <c r="E6918" t="s">
        <v>35</v>
      </c>
      <c r="F6918" s="2">
        <v>840101001</v>
      </c>
      <c r="G6918" s="2" t="s">
        <v>5257</v>
      </c>
      <c r="I6918" s="95" t="s">
        <v>7231</v>
      </c>
      <c r="J6918" t="s">
        <v>61</v>
      </c>
      <c r="K6918" t="s">
        <v>62</v>
      </c>
      <c r="M6918">
        <v>145.75</v>
      </c>
      <c r="N6918" s="4">
        <f t="shared" si="107"/>
        <v>-247.63293310463121</v>
      </c>
      <c r="O6918" t="s">
        <v>51</v>
      </c>
    </row>
    <row r="6919" spans="1:17" x14ac:dyDescent="0.25">
      <c r="A6919" s="22">
        <v>45897</v>
      </c>
      <c r="B6919" s="1">
        <v>131</v>
      </c>
      <c r="C6919" t="s">
        <v>82</v>
      </c>
      <c r="D6919" s="44">
        <v>80000</v>
      </c>
      <c r="E6919" t="s">
        <v>45</v>
      </c>
      <c r="F6919" s="2">
        <v>210115002</v>
      </c>
      <c r="G6919" s="2" t="s">
        <v>5259</v>
      </c>
      <c r="I6919" s="95" t="s">
        <v>7231</v>
      </c>
      <c r="K6919" t="s">
        <v>82</v>
      </c>
      <c r="M6919">
        <v>145.75</v>
      </c>
      <c r="N6919" s="4">
        <f t="shared" si="107"/>
        <v>548.88507718696394</v>
      </c>
      <c r="O6919" t="s">
        <v>51</v>
      </c>
    </row>
    <row r="6920" spans="1:17" x14ac:dyDescent="0.25">
      <c r="A6920" s="22">
        <v>45900</v>
      </c>
      <c r="B6920" s="1">
        <v>137</v>
      </c>
      <c r="C6920" t="s">
        <v>68</v>
      </c>
      <c r="D6920" s="44">
        <v>-0.5</v>
      </c>
      <c r="E6920" t="s">
        <v>35</v>
      </c>
      <c r="F6920" s="2">
        <v>610148001</v>
      </c>
      <c r="G6920" s="2" t="s">
        <v>41</v>
      </c>
      <c r="I6920" s="95" t="s">
        <v>7231</v>
      </c>
      <c r="J6920" t="s">
        <v>42</v>
      </c>
      <c r="K6920" t="s">
        <v>41</v>
      </c>
      <c r="M6920">
        <v>147.08000000000001</v>
      </c>
      <c r="N6920" s="4">
        <f t="shared" si="107"/>
        <v>-3.399510470492249E-3</v>
      </c>
      <c r="O6920" t="s">
        <v>51</v>
      </c>
      <c r="Q6920" s="24" t="s">
        <v>5251</v>
      </c>
    </row>
    <row r="6921" spans="1:17" x14ac:dyDescent="0.25">
      <c r="A6921" s="22">
        <v>45900</v>
      </c>
      <c r="B6921" s="1">
        <v>136</v>
      </c>
      <c r="C6921" t="s">
        <v>69</v>
      </c>
      <c r="D6921" s="44">
        <v>-0.5</v>
      </c>
      <c r="E6921" t="s">
        <v>35</v>
      </c>
      <c r="F6921" s="2">
        <v>610148001</v>
      </c>
      <c r="G6921" s="2" t="s">
        <v>41</v>
      </c>
      <c r="I6921" s="95" t="s">
        <v>7231</v>
      </c>
      <c r="J6921" t="s">
        <v>42</v>
      </c>
      <c r="K6921" t="s">
        <v>41</v>
      </c>
      <c r="M6921">
        <v>147.08000000000001</v>
      </c>
      <c r="N6921" s="4">
        <f t="shared" si="107"/>
        <v>-3.399510470492249E-3</v>
      </c>
      <c r="O6921" t="s">
        <v>51</v>
      </c>
      <c r="Q6921" s="24" t="s">
        <v>5251</v>
      </c>
    </row>
    <row r="6922" spans="1:17" x14ac:dyDescent="0.25">
      <c r="A6922" s="22">
        <v>45870</v>
      </c>
      <c r="B6922" s="1">
        <v>130540299</v>
      </c>
      <c r="C6922" t="s">
        <v>82</v>
      </c>
      <c r="D6922" s="44">
        <v>350000</v>
      </c>
      <c r="E6922" t="s">
        <v>45</v>
      </c>
      <c r="F6922" s="2">
        <v>210115002</v>
      </c>
      <c r="G6922" s="2" t="s">
        <v>46</v>
      </c>
      <c r="I6922" s="95" t="s">
        <v>7231</v>
      </c>
      <c r="K6922" t="s">
        <v>82</v>
      </c>
      <c r="M6922">
        <v>125.42</v>
      </c>
      <c r="N6922" s="4">
        <f t="shared" si="107"/>
        <v>2790.6235050231221</v>
      </c>
      <c r="O6922" t="s">
        <v>83</v>
      </c>
    </row>
    <row r="6923" spans="1:17" x14ac:dyDescent="0.25">
      <c r="A6923" s="33">
        <v>45870</v>
      </c>
      <c r="B6923" s="27">
        <v>815959693</v>
      </c>
      <c r="C6923" s="28" t="s">
        <v>5262</v>
      </c>
      <c r="D6923" s="47">
        <v>-15050.4</v>
      </c>
      <c r="E6923" s="28" t="s">
        <v>35</v>
      </c>
      <c r="F6923" s="30">
        <v>610156001</v>
      </c>
      <c r="G6923" s="30" t="s">
        <v>72</v>
      </c>
      <c r="H6923" s="30"/>
      <c r="I6923" s="95" t="s">
        <v>7231</v>
      </c>
      <c r="J6923" s="28" t="s">
        <v>73</v>
      </c>
      <c r="K6923" s="28" t="s">
        <v>74</v>
      </c>
      <c r="L6923" s="28" t="s">
        <v>56</v>
      </c>
      <c r="M6923" s="28">
        <v>125.42</v>
      </c>
      <c r="N6923" s="4">
        <f t="shared" si="107"/>
        <v>-120</v>
      </c>
      <c r="O6923" t="s">
        <v>83</v>
      </c>
      <c r="Q6923" s="24" t="s">
        <v>5263</v>
      </c>
    </row>
    <row r="6924" spans="1:17" x14ac:dyDescent="0.25">
      <c r="A6924" s="22">
        <v>45870</v>
      </c>
      <c r="B6924" s="1">
        <v>815959692</v>
      </c>
      <c r="C6924" t="s">
        <v>4703</v>
      </c>
      <c r="D6924" s="44">
        <v>-7577.13</v>
      </c>
      <c r="E6924" t="s">
        <v>35</v>
      </c>
      <c r="F6924" s="2">
        <v>110101002</v>
      </c>
      <c r="G6924" s="2" t="s">
        <v>2771</v>
      </c>
      <c r="I6924" s="95" t="s">
        <v>7231</v>
      </c>
      <c r="K6924" t="s">
        <v>3285</v>
      </c>
      <c r="M6924">
        <v>125.42</v>
      </c>
      <c r="N6924" s="4">
        <f t="shared" ref="N6924:N6987" si="108">D6924/M6924</f>
        <v>-60.414048796045286</v>
      </c>
      <c r="O6924" t="s">
        <v>83</v>
      </c>
    </row>
    <row r="6925" spans="1:17" x14ac:dyDescent="0.25">
      <c r="A6925" s="22">
        <v>45870</v>
      </c>
      <c r="B6925" s="1">
        <v>915959694</v>
      </c>
      <c r="C6925" t="s">
        <v>5264</v>
      </c>
      <c r="D6925" s="44">
        <v>-257736.2</v>
      </c>
      <c r="E6925" t="s">
        <v>35</v>
      </c>
      <c r="F6925" s="2">
        <v>210101001</v>
      </c>
      <c r="G6925" s="2" t="s">
        <v>36</v>
      </c>
      <c r="I6925" s="95" t="s">
        <v>7231</v>
      </c>
      <c r="J6925" t="s">
        <v>37</v>
      </c>
      <c r="K6925" t="s">
        <v>38</v>
      </c>
      <c r="M6925">
        <v>125.42</v>
      </c>
      <c r="N6925" s="4">
        <f t="shared" si="108"/>
        <v>-2054.984850900973</v>
      </c>
      <c r="O6925" t="s">
        <v>83</v>
      </c>
    </row>
    <row r="6926" spans="1:17" x14ac:dyDescent="0.25">
      <c r="A6926" s="33">
        <v>45870</v>
      </c>
      <c r="B6926" s="27">
        <v>915959695</v>
      </c>
      <c r="C6926" s="28" t="s">
        <v>5265</v>
      </c>
      <c r="D6926" s="47">
        <v>-1500</v>
      </c>
      <c r="E6926" s="28" t="s">
        <v>35</v>
      </c>
      <c r="F6926" s="30">
        <v>610156001</v>
      </c>
      <c r="G6926" s="30" t="s">
        <v>72</v>
      </c>
      <c r="H6926" s="30"/>
      <c r="I6926" s="95" t="s">
        <v>7231</v>
      </c>
      <c r="J6926" s="28" t="s">
        <v>2398</v>
      </c>
      <c r="K6926" s="28" t="s">
        <v>632</v>
      </c>
      <c r="L6926" s="28" t="s">
        <v>56</v>
      </c>
      <c r="M6926" s="28">
        <v>125.42</v>
      </c>
      <c r="N6926" s="4">
        <f t="shared" si="108"/>
        <v>-11.959815021527668</v>
      </c>
      <c r="O6926" t="s">
        <v>83</v>
      </c>
      <c r="Q6926" s="24" t="s">
        <v>5266</v>
      </c>
    </row>
    <row r="6927" spans="1:17" x14ac:dyDescent="0.25">
      <c r="A6927" s="22">
        <v>45870</v>
      </c>
      <c r="B6927" s="1">
        <v>915959699</v>
      </c>
      <c r="C6927" t="s">
        <v>5267</v>
      </c>
      <c r="D6927" s="44">
        <v>-1254.2</v>
      </c>
      <c r="E6927" t="s">
        <v>35</v>
      </c>
      <c r="F6927" s="2">
        <v>212901001</v>
      </c>
      <c r="G6927" s="2" t="s">
        <v>91</v>
      </c>
      <c r="I6927" s="95" t="s">
        <v>7231</v>
      </c>
      <c r="J6927" t="s">
        <v>61</v>
      </c>
      <c r="K6927" t="s">
        <v>62</v>
      </c>
      <c r="M6927">
        <v>125.42</v>
      </c>
      <c r="N6927" s="4">
        <f t="shared" si="108"/>
        <v>-10</v>
      </c>
      <c r="O6927" t="s">
        <v>83</v>
      </c>
    </row>
    <row r="6928" spans="1:17" x14ac:dyDescent="0.25">
      <c r="A6928" s="22">
        <v>45870</v>
      </c>
      <c r="B6928" s="1">
        <v>915959698</v>
      </c>
      <c r="C6928" t="s">
        <v>5268</v>
      </c>
      <c r="D6928" s="44">
        <v>-12542</v>
      </c>
      <c r="E6928" t="s">
        <v>35</v>
      </c>
      <c r="F6928" s="2">
        <v>212901001</v>
      </c>
      <c r="G6928" s="2" t="s">
        <v>91</v>
      </c>
      <c r="I6928" s="95" t="s">
        <v>7231</v>
      </c>
      <c r="J6928" t="s">
        <v>61</v>
      </c>
      <c r="K6928" t="s">
        <v>62</v>
      </c>
      <c r="M6928">
        <v>125.42</v>
      </c>
      <c r="N6928" s="4">
        <f t="shared" si="108"/>
        <v>-100</v>
      </c>
      <c r="O6928" t="s">
        <v>83</v>
      </c>
    </row>
    <row r="6929" spans="1:17" x14ac:dyDescent="0.25">
      <c r="A6929" s="22">
        <v>45870</v>
      </c>
      <c r="B6929" s="1">
        <v>915959696</v>
      </c>
      <c r="C6929" t="s">
        <v>5269</v>
      </c>
      <c r="D6929" s="44">
        <v>-12542</v>
      </c>
      <c r="E6929" t="s">
        <v>35</v>
      </c>
      <c r="F6929" s="2">
        <v>212901001</v>
      </c>
      <c r="G6929" s="2" t="s">
        <v>91</v>
      </c>
      <c r="I6929" s="95" t="s">
        <v>7231</v>
      </c>
      <c r="J6929" t="s">
        <v>61</v>
      </c>
      <c r="K6929" t="s">
        <v>62</v>
      </c>
      <c r="M6929">
        <v>125.42</v>
      </c>
      <c r="N6929" s="4">
        <f t="shared" si="108"/>
        <v>-100</v>
      </c>
      <c r="O6929" t="s">
        <v>83</v>
      </c>
    </row>
    <row r="6930" spans="1:17" x14ac:dyDescent="0.25">
      <c r="A6930" s="22">
        <v>45870</v>
      </c>
      <c r="B6930" s="1">
        <v>915959700</v>
      </c>
      <c r="C6930" t="s">
        <v>5270</v>
      </c>
      <c r="D6930" s="44">
        <v>-2508.4</v>
      </c>
      <c r="E6930" t="s">
        <v>35</v>
      </c>
      <c r="F6930" s="2">
        <v>212901001</v>
      </c>
      <c r="G6930" s="2" t="s">
        <v>91</v>
      </c>
      <c r="I6930" s="95" t="s">
        <v>7231</v>
      </c>
      <c r="J6930" t="s">
        <v>61</v>
      </c>
      <c r="K6930" t="s">
        <v>62</v>
      </c>
      <c r="M6930">
        <v>125.42</v>
      </c>
      <c r="N6930" s="4">
        <f t="shared" si="108"/>
        <v>-20</v>
      </c>
      <c r="O6930" t="s">
        <v>83</v>
      </c>
    </row>
    <row r="6931" spans="1:17" x14ac:dyDescent="0.25">
      <c r="A6931" s="22">
        <v>45870</v>
      </c>
      <c r="B6931" s="1">
        <v>915959701</v>
      </c>
      <c r="C6931" t="s">
        <v>5271</v>
      </c>
      <c r="D6931" s="44">
        <v>-2508.4</v>
      </c>
      <c r="E6931" t="s">
        <v>35</v>
      </c>
      <c r="F6931" s="2">
        <v>212901001</v>
      </c>
      <c r="G6931" s="2" t="s">
        <v>91</v>
      </c>
      <c r="I6931" s="95" t="s">
        <v>7231</v>
      </c>
      <c r="J6931" t="s">
        <v>61</v>
      </c>
      <c r="K6931" t="s">
        <v>62</v>
      </c>
      <c r="M6931">
        <v>125.42</v>
      </c>
      <c r="N6931" s="4">
        <f t="shared" si="108"/>
        <v>-20</v>
      </c>
      <c r="O6931" t="s">
        <v>83</v>
      </c>
    </row>
    <row r="6932" spans="1:17" x14ac:dyDescent="0.25">
      <c r="A6932" s="22">
        <v>45870</v>
      </c>
      <c r="B6932" s="1">
        <v>915959702</v>
      </c>
      <c r="C6932" t="s">
        <v>5272</v>
      </c>
      <c r="D6932" s="44">
        <v>-2508.4</v>
      </c>
      <c r="E6932" t="s">
        <v>35</v>
      </c>
      <c r="F6932" s="2">
        <v>212901001</v>
      </c>
      <c r="G6932" s="2" t="s">
        <v>91</v>
      </c>
      <c r="I6932" s="95" t="s">
        <v>7231</v>
      </c>
      <c r="J6932" t="s">
        <v>61</v>
      </c>
      <c r="K6932" t="s">
        <v>62</v>
      </c>
      <c r="M6932">
        <v>125.42</v>
      </c>
      <c r="N6932" s="4">
        <f t="shared" si="108"/>
        <v>-20</v>
      </c>
      <c r="O6932" t="s">
        <v>83</v>
      </c>
    </row>
    <row r="6933" spans="1:17" x14ac:dyDescent="0.25">
      <c r="A6933" s="22">
        <v>45870</v>
      </c>
      <c r="B6933" s="1">
        <v>915959703</v>
      </c>
      <c r="C6933" t="s">
        <v>5273</v>
      </c>
      <c r="D6933" s="44">
        <v>-2508.4</v>
      </c>
      <c r="E6933" t="s">
        <v>35</v>
      </c>
      <c r="F6933" s="2">
        <v>212901001</v>
      </c>
      <c r="G6933" s="2" t="s">
        <v>91</v>
      </c>
      <c r="I6933" s="95" t="s">
        <v>7231</v>
      </c>
      <c r="J6933" t="s">
        <v>61</v>
      </c>
      <c r="K6933" t="s">
        <v>62</v>
      </c>
      <c r="M6933">
        <v>125.42</v>
      </c>
      <c r="N6933" s="4">
        <f t="shared" si="108"/>
        <v>-20</v>
      </c>
      <c r="O6933" t="s">
        <v>83</v>
      </c>
    </row>
    <row r="6934" spans="1:17" x14ac:dyDescent="0.25">
      <c r="A6934" s="22">
        <v>45870</v>
      </c>
      <c r="B6934" s="1">
        <v>15959705</v>
      </c>
      <c r="C6934" t="s">
        <v>5274</v>
      </c>
      <c r="D6934" s="44">
        <v>-2508.4</v>
      </c>
      <c r="E6934" t="s">
        <v>35</v>
      </c>
      <c r="F6934" s="2">
        <v>212901001</v>
      </c>
      <c r="G6934" s="2" t="s">
        <v>91</v>
      </c>
      <c r="I6934" s="95" t="s">
        <v>7231</v>
      </c>
      <c r="J6934" t="s">
        <v>61</v>
      </c>
      <c r="K6934" t="s">
        <v>62</v>
      </c>
      <c r="M6934">
        <v>125.42</v>
      </c>
      <c r="N6934" s="4">
        <f t="shared" si="108"/>
        <v>-20</v>
      </c>
      <c r="O6934" t="s">
        <v>83</v>
      </c>
    </row>
    <row r="6935" spans="1:17" x14ac:dyDescent="0.25">
      <c r="A6935" s="33">
        <v>45870</v>
      </c>
      <c r="B6935" s="27">
        <v>15959707</v>
      </c>
      <c r="C6935" s="28" t="s">
        <v>5275</v>
      </c>
      <c r="D6935" s="47">
        <v>-29599.119999999999</v>
      </c>
      <c r="E6935" s="28" t="s">
        <v>35</v>
      </c>
      <c r="F6935" s="30">
        <v>610156001</v>
      </c>
      <c r="G6935" s="30" t="s">
        <v>72</v>
      </c>
      <c r="H6935" s="30"/>
      <c r="I6935" s="95" t="s">
        <v>7231</v>
      </c>
      <c r="J6935" s="28" t="s">
        <v>2398</v>
      </c>
      <c r="K6935" s="28" t="s">
        <v>632</v>
      </c>
      <c r="L6935" s="28" t="s">
        <v>56</v>
      </c>
      <c r="M6935" s="28">
        <v>125.42</v>
      </c>
      <c r="N6935" s="4">
        <f t="shared" si="108"/>
        <v>-236</v>
      </c>
      <c r="O6935" t="s">
        <v>83</v>
      </c>
      <c r="Q6935" s="24" t="s">
        <v>5266</v>
      </c>
    </row>
    <row r="6936" spans="1:17" x14ac:dyDescent="0.25">
      <c r="A6936" s="22">
        <v>45870</v>
      </c>
      <c r="B6936" s="1">
        <v>15959708</v>
      </c>
      <c r="C6936" t="s">
        <v>5144</v>
      </c>
      <c r="D6936" s="44">
        <v>-29124.32</v>
      </c>
      <c r="E6936" t="s">
        <v>35</v>
      </c>
      <c r="F6936" s="2">
        <v>110114001</v>
      </c>
      <c r="G6936" s="2" t="s">
        <v>181</v>
      </c>
      <c r="I6936" s="95" t="s">
        <v>7231</v>
      </c>
      <c r="J6936" t="s">
        <v>37</v>
      </c>
      <c r="K6936" t="s">
        <v>38</v>
      </c>
      <c r="M6936">
        <v>125.42</v>
      </c>
      <c r="N6936" s="4">
        <f t="shared" si="108"/>
        <v>-232.21431988518577</v>
      </c>
      <c r="O6936" t="s">
        <v>83</v>
      </c>
    </row>
    <row r="6937" spans="1:17" x14ac:dyDescent="0.25">
      <c r="A6937" s="22">
        <v>45870</v>
      </c>
      <c r="B6937" s="1">
        <v>50883108</v>
      </c>
      <c r="C6937" t="s">
        <v>89</v>
      </c>
      <c r="D6937" s="44">
        <v>-948.66</v>
      </c>
      <c r="E6937" t="s">
        <v>35</v>
      </c>
      <c r="F6937" s="2">
        <v>610148001</v>
      </c>
      <c r="G6937" s="2" t="s">
        <v>41</v>
      </c>
      <c r="I6937" s="95" t="s">
        <v>7231</v>
      </c>
      <c r="J6937" t="s">
        <v>42</v>
      </c>
      <c r="K6937" t="s">
        <v>41</v>
      </c>
      <c r="M6937">
        <v>125.42</v>
      </c>
      <c r="N6937" s="4">
        <f t="shared" si="108"/>
        <v>-7.5638654122149571</v>
      </c>
      <c r="O6937" t="s">
        <v>83</v>
      </c>
      <c r="Q6937" s="24" t="s">
        <v>5251</v>
      </c>
    </row>
    <row r="6938" spans="1:17" x14ac:dyDescent="0.25">
      <c r="A6938" s="22">
        <v>45870</v>
      </c>
      <c r="C6938" t="s">
        <v>792</v>
      </c>
      <c r="D6938" s="44">
        <v>-0.13</v>
      </c>
      <c r="E6938" t="s">
        <v>35</v>
      </c>
      <c r="F6938" s="2">
        <v>610148001</v>
      </c>
      <c r="G6938" s="2" t="s">
        <v>41</v>
      </c>
      <c r="I6938" s="95" t="s">
        <v>7231</v>
      </c>
      <c r="J6938" t="s">
        <v>42</v>
      </c>
      <c r="K6938" t="s">
        <v>41</v>
      </c>
      <c r="M6938">
        <v>125.42</v>
      </c>
      <c r="N6938" s="4">
        <f t="shared" si="108"/>
        <v>-1.0365173018657312E-3</v>
      </c>
      <c r="O6938" t="s">
        <v>83</v>
      </c>
      <c r="Q6938" s="24" t="s">
        <v>5251</v>
      </c>
    </row>
    <row r="6939" spans="1:17" x14ac:dyDescent="0.25">
      <c r="A6939" s="33">
        <v>45870</v>
      </c>
      <c r="B6939" s="27">
        <v>155020174</v>
      </c>
      <c r="C6939" s="28" t="s">
        <v>5276</v>
      </c>
      <c r="D6939" s="47">
        <v>-15570.64</v>
      </c>
      <c r="E6939" s="28" t="s">
        <v>35</v>
      </c>
      <c r="F6939" s="30">
        <v>610122003</v>
      </c>
      <c r="G6939" s="30" t="s">
        <v>2738</v>
      </c>
      <c r="H6939" s="30"/>
      <c r="I6939" s="95" t="s">
        <v>7231</v>
      </c>
      <c r="J6939" s="28" t="s">
        <v>5277</v>
      </c>
      <c r="K6939" s="28" t="s">
        <v>2740</v>
      </c>
      <c r="L6939" s="28" t="s">
        <v>56</v>
      </c>
      <c r="M6939" s="28">
        <v>125.42</v>
      </c>
      <c r="N6939" s="4">
        <f t="shared" si="108"/>
        <v>-124.14798277786636</v>
      </c>
      <c r="O6939" t="s">
        <v>83</v>
      </c>
      <c r="Q6939" s="24" t="s">
        <v>5278</v>
      </c>
    </row>
    <row r="6940" spans="1:17" x14ac:dyDescent="0.25">
      <c r="A6940" s="22">
        <v>45873</v>
      </c>
      <c r="B6940" s="1">
        <v>90207462</v>
      </c>
      <c r="C6940" t="s">
        <v>82</v>
      </c>
      <c r="D6940" s="44">
        <v>260000</v>
      </c>
      <c r="E6940" t="s">
        <v>45</v>
      </c>
      <c r="F6940" s="2">
        <v>210115002</v>
      </c>
      <c r="G6940" s="2" t="s">
        <v>46</v>
      </c>
      <c r="I6940" s="95" t="s">
        <v>7231</v>
      </c>
      <c r="K6940" t="s">
        <v>82</v>
      </c>
      <c r="M6940">
        <v>126.28</v>
      </c>
      <c r="N6940" s="4">
        <f t="shared" si="108"/>
        <v>2058.9166930630345</v>
      </c>
      <c r="O6940" t="s">
        <v>83</v>
      </c>
    </row>
    <row r="6941" spans="1:17" x14ac:dyDescent="0.25">
      <c r="A6941" s="22">
        <v>45873</v>
      </c>
      <c r="B6941" s="1">
        <v>876725343</v>
      </c>
      <c r="C6941" t="s">
        <v>98</v>
      </c>
      <c r="D6941" s="44">
        <v>600000</v>
      </c>
      <c r="E6941" t="s">
        <v>45</v>
      </c>
      <c r="F6941" s="2">
        <v>210115002</v>
      </c>
      <c r="G6941" s="2" t="s">
        <v>46</v>
      </c>
      <c r="I6941" s="95" t="s">
        <v>7231</v>
      </c>
      <c r="K6941" t="s">
        <v>98</v>
      </c>
      <c r="M6941">
        <v>126.28</v>
      </c>
      <c r="N6941" s="4">
        <f t="shared" si="108"/>
        <v>4751.3462147608489</v>
      </c>
      <c r="O6941" t="s">
        <v>83</v>
      </c>
    </row>
    <row r="6942" spans="1:17" x14ac:dyDescent="0.25">
      <c r="A6942" s="22">
        <v>45873</v>
      </c>
      <c r="B6942" s="1">
        <v>116002627</v>
      </c>
      <c r="C6942" t="s">
        <v>5279</v>
      </c>
      <c r="D6942" s="44">
        <v>-12451</v>
      </c>
      <c r="E6942" t="s">
        <v>35</v>
      </c>
      <c r="F6942" s="2">
        <v>212901001</v>
      </c>
      <c r="G6942" s="2" t="s">
        <v>91</v>
      </c>
      <c r="I6942" s="95" t="s">
        <v>7231</v>
      </c>
      <c r="J6942" t="s">
        <v>61</v>
      </c>
      <c r="K6942" t="s">
        <v>62</v>
      </c>
      <c r="M6942">
        <v>126.28</v>
      </c>
      <c r="N6942" s="4">
        <f t="shared" si="108"/>
        <v>-98.598352866645556</v>
      </c>
      <c r="O6942" t="s">
        <v>83</v>
      </c>
    </row>
    <row r="6943" spans="1:17" x14ac:dyDescent="0.25">
      <c r="A6943" s="22">
        <v>45873</v>
      </c>
      <c r="B6943" s="1">
        <v>116002626</v>
      </c>
      <c r="C6943" t="s">
        <v>5280</v>
      </c>
      <c r="D6943" s="44">
        <v>-14941.2</v>
      </c>
      <c r="E6943" t="s">
        <v>35</v>
      </c>
      <c r="F6943" s="2">
        <v>212901001</v>
      </c>
      <c r="G6943" s="2" t="s">
        <v>91</v>
      </c>
      <c r="I6943" s="95" t="s">
        <v>7231</v>
      </c>
      <c r="J6943" t="s">
        <v>61</v>
      </c>
      <c r="K6943" t="s">
        <v>62</v>
      </c>
      <c r="M6943">
        <v>126.28</v>
      </c>
      <c r="N6943" s="4">
        <f t="shared" si="108"/>
        <v>-118.31802343997467</v>
      </c>
      <c r="O6943" t="s">
        <v>83</v>
      </c>
    </row>
    <row r="6944" spans="1:17" x14ac:dyDescent="0.25">
      <c r="A6944" s="22">
        <v>45873</v>
      </c>
      <c r="B6944" s="1">
        <v>216002628</v>
      </c>
      <c r="C6944" t="s">
        <v>5281</v>
      </c>
      <c r="D6944" s="44">
        <v>-12451</v>
      </c>
      <c r="E6944" t="s">
        <v>35</v>
      </c>
      <c r="F6944" s="2">
        <v>212901001</v>
      </c>
      <c r="G6944" s="2" t="s">
        <v>91</v>
      </c>
      <c r="I6944" s="95" t="s">
        <v>7231</v>
      </c>
      <c r="J6944" t="s">
        <v>61</v>
      </c>
      <c r="K6944" t="s">
        <v>62</v>
      </c>
      <c r="M6944">
        <v>126.28</v>
      </c>
      <c r="N6944" s="4">
        <f t="shared" si="108"/>
        <v>-98.598352866645556</v>
      </c>
      <c r="O6944" t="s">
        <v>83</v>
      </c>
    </row>
    <row r="6945" spans="1:15" x14ac:dyDescent="0.25">
      <c r="A6945" s="22">
        <v>45873</v>
      </c>
      <c r="B6945" s="1">
        <v>216002629</v>
      </c>
      <c r="C6945" t="s">
        <v>5282</v>
      </c>
      <c r="D6945" s="44">
        <v>-12451</v>
      </c>
      <c r="E6945" t="s">
        <v>35</v>
      </c>
      <c r="F6945" s="2">
        <v>212901001</v>
      </c>
      <c r="G6945" s="2" t="s">
        <v>91</v>
      </c>
      <c r="I6945" s="95" t="s">
        <v>7231</v>
      </c>
      <c r="J6945" t="s">
        <v>61</v>
      </c>
      <c r="K6945" t="s">
        <v>62</v>
      </c>
      <c r="M6945">
        <v>126.28</v>
      </c>
      <c r="N6945" s="4">
        <f t="shared" si="108"/>
        <v>-98.598352866645556</v>
      </c>
      <c r="O6945" t="s">
        <v>83</v>
      </c>
    </row>
    <row r="6946" spans="1:15" x14ac:dyDescent="0.25">
      <c r="A6946" s="22">
        <v>45873</v>
      </c>
      <c r="B6946" s="1">
        <v>216002631</v>
      </c>
      <c r="C6946" t="s">
        <v>5283</v>
      </c>
      <c r="D6946" s="44">
        <v>-12451</v>
      </c>
      <c r="E6946" t="s">
        <v>35</v>
      </c>
      <c r="F6946" s="2">
        <v>212901001</v>
      </c>
      <c r="G6946" s="2" t="s">
        <v>91</v>
      </c>
      <c r="I6946" s="95" t="s">
        <v>7231</v>
      </c>
      <c r="J6946" t="s">
        <v>61</v>
      </c>
      <c r="K6946" t="s">
        <v>62</v>
      </c>
      <c r="M6946">
        <v>126.28</v>
      </c>
      <c r="N6946" s="4">
        <f t="shared" si="108"/>
        <v>-98.598352866645556</v>
      </c>
      <c r="O6946" t="s">
        <v>83</v>
      </c>
    </row>
    <row r="6947" spans="1:15" x14ac:dyDescent="0.25">
      <c r="A6947" s="22">
        <v>45873</v>
      </c>
      <c r="B6947" s="1">
        <v>216002633</v>
      </c>
      <c r="C6947" t="s">
        <v>5284</v>
      </c>
      <c r="D6947" s="44">
        <v>-12451</v>
      </c>
      <c r="E6947" t="s">
        <v>35</v>
      </c>
      <c r="F6947" s="2">
        <v>212901001</v>
      </c>
      <c r="G6947" s="2" t="s">
        <v>91</v>
      </c>
      <c r="I6947" s="95" t="s">
        <v>7231</v>
      </c>
      <c r="J6947" t="s">
        <v>61</v>
      </c>
      <c r="K6947" t="s">
        <v>62</v>
      </c>
      <c r="M6947">
        <v>126.28</v>
      </c>
      <c r="N6947" s="4">
        <f t="shared" si="108"/>
        <v>-98.598352866645556</v>
      </c>
      <c r="O6947" t="s">
        <v>83</v>
      </c>
    </row>
    <row r="6948" spans="1:15" x14ac:dyDescent="0.25">
      <c r="A6948" s="22">
        <v>45873</v>
      </c>
      <c r="B6948" s="1">
        <v>216002630</v>
      </c>
      <c r="C6948" t="s">
        <v>5285</v>
      </c>
      <c r="D6948" s="44">
        <v>-12451</v>
      </c>
      <c r="E6948" t="s">
        <v>35</v>
      </c>
      <c r="F6948" s="2">
        <v>212901001</v>
      </c>
      <c r="G6948" s="2" t="s">
        <v>91</v>
      </c>
      <c r="I6948" s="95" t="s">
        <v>7231</v>
      </c>
      <c r="J6948" t="s">
        <v>61</v>
      </c>
      <c r="K6948" t="s">
        <v>62</v>
      </c>
      <c r="M6948">
        <v>126.28</v>
      </c>
      <c r="N6948" s="4">
        <f t="shared" si="108"/>
        <v>-98.598352866645556</v>
      </c>
      <c r="O6948" t="s">
        <v>83</v>
      </c>
    </row>
    <row r="6949" spans="1:15" x14ac:dyDescent="0.25">
      <c r="A6949" s="22">
        <v>45873</v>
      </c>
      <c r="B6949" s="1">
        <v>216002632</v>
      </c>
      <c r="C6949" t="s">
        <v>5286</v>
      </c>
      <c r="D6949" s="44">
        <v>-12451</v>
      </c>
      <c r="E6949" t="s">
        <v>35</v>
      </c>
      <c r="F6949" s="2">
        <v>212901001</v>
      </c>
      <c r="G6949" s="2" t="s">
        <v>91</v>
      </c>
      <c r="I6949" s="95" t="s">
        <v>7231</v>
      </c>
      <c r="J6949" t="s">
        <v>61</v>
      </c>
      <c r="K6949" t="s">
        <v>62</v>
      </c>
      <c r="M6949">
        <v>126.28</v>
      </c>
      <c r="N6949" s="4">
        <f t="shared" si="108"/>
        <v>-98.598352866645556</v>
      </c>
      <c r="O6949" t="s">
        <v>83</v>
      </c>
    </row>
    <row r="6950" spans="1:15" x14ac:dyDescent="0.25">
      <c r="A6950" s="22">
        <v>45873</v>
      </c>
      <c r="B6950" s="1">
        <v>316002638</v>
      </c>
      <c r="C6950" t="s">
        <v>5287</v>
      </c>
      <c r="D6950" s="44">
        <v>-12451</v>
      </c>
      <c r="E6950" t="s">
        <v>35</v>
      </c>
      <c r="F6950" s="2">
        <v>212901001</v>
      </c>
      <c r="G6950" s="2" t="s">
        <v>91</v>
      </c>
      <c r="I6950" s="95" t="s">
        <v>7231</v>
      </c>
      <c r="J6950" t="s">
        <v>61</v>
      </c>
      <c r="K6950" t="s">
        <v>62</v>
      </c>
      <c r="M6950">
        <v>126.28</v>
      </c>
      <c r="N6950" s="4">
        <f t="shared" si="108"/>
        <v>-98.598352866645556</v>
      </c>
      <c r="O6950" t="s">
        <v>83</v>
      </c>
    </row>
    <row r="6951" spans="1:15" x14ac:dyDescent="0.25">
      <c r="A6951" s="22">
        <v>45873</v>
      </c>
      <c r="B6951" s="1">
        <v>216002635</v>
      </c>
      <c r="C6951" t="s">
        <v>5288</v>
      </c>
      <c r="D6951" s="44">
        <v>-12451</v>
      </c>
      <c r="E6951" t="s">
        <v>35</v>
      </c>
      <c r="F6951" s="2">
        <v>212901001</v>
      </c>
      <c r="G6951" s="2" t="s">
        <v>91</v>
      </c>
      <c r="I6951" s="95" t="s">
        <v>7231</v>
      </c>
      <c r="J6951" t="s">
        <v>61</v>
      </c>
      <c r="K6951" t="s">
        <v>62</v>
      </c>
      <c r="M6951">
        <v>126.28</v>
      </c>
      <c r="N6951" s="4">
        <f t="shared" si="108"/>
        <v>-98.598352866645556</v>
      </c>
      <c r="O6951" t="s">
        <v>83</v>
      </c>
    </row>
    <row r="6952" spans="1:15" x14ac:dyDescent="0.25">
      <c r="A6952" s="22">
        <v>45873</v>
      </c>
      <c r="B6952" s="1">
        <v>316002637</v>
      </c>
      <c r="C6952" t="s">
        <v>5289</v>
      </c>
      <c r="D6952" s="44">
        <v>-12451</v>
      </c>
      <c r="E6952" t="s">
        <v>35</v>
      </c>
      <c r="F6952" s="2">
        <v>212901001</v>
      </c>
      <c r="G6952" s="2" t="s">
        <v>91</v>
      </c>
      <c r="I6952" s="95" t="s">
        <v>7231</v>
      </c>
      <c r="J6952" t="s">
        <v>61</v>
      </c>
      <c r="K6952" t="s">
        <v>62</v>
      </c>
      <c r="M6952">
        <v>126.28</v>
      </c>
      <c r="N6952" s="4">
        <f t="shared" si="108"/>
        <v>-98.598352866645556</v>
      </c>
      <c r="O6952" t="s">
        <v>83</v>
      </c>
    </row>
    <row r="6953" spans="1:15" x14ac:dyDescent="0.25">
      <c r="A6953" s="22">
        <v>45873</v>
      </c>
      <c r="B6953" s="1">
        <v>216002636</v>
      </c>
      <c r="C6953" t="s">
        <v>5290</v>
      </c>
      <c r="D6953" s="44">
        <v>-12451</v>
      </c>
      <c r="E6953" t="s">
        <v>35</v>
      </c>
      <c r="F6953" s="2">
        <v>212901001</v>
      </c>
      <c r="G6953" s="2" t="s">
        <v>91</v>
      </c>
      <c r="I6953" s="95" t="s">
        <v>7231</v>
      </c>
      <c r="J6953" t="s">
        <v>61</v>
      </c>
      <c r="K6953" t="s">
        <v>62</v>
      </c>
      <c r="M6953">
        <v>126.28</v>
      </c>
      <c r="N6953" s="4">
        <f t="shared" si="108"/>
        <v>-98.598352866645556</v>
      </c>
      <c r="O6953" t="s">
        <v>83</v>
      </c>
    </row>
    <row r="6954" spans="1:15" x14ac:dyDescent="0.25">
      <c r="A6954" s="22">
        <v>45873</v>
      </c>
      <c r="B6954" s="1">
        <v>316002640</v>
      </c>
      <c r="C6954" t="s">
        <v>5291</v>
      </c>
      <c r="D6954" s="44">
        <v>-12451</v>
      </c>
      <c r="E6954" t="s">
        <v>35</v>
      </c>
      <c r="F6954" s="2">
        <v>212901001</v>
      </c>
      <c r="G6954" s="2" t="s">
        <v>91</v>
      </c>
      <c r="I6954" s="95" t="s">
        <v>7231</v>
      </c>
      <c r="J6954" t="s">
        <v>61</v>
      </c>
      <c r="K6954" t="s">
        <v>62</v>
      </c>
      <c r="M6954">
        <v>126.28</v>
      </c>
      <c r="N6954" s="4">
        <f t="shared" si="108"/>
        <v>-98.598352866645556</v>
      </c>
      <c r="O6954" t="s">
        <v>83</v>
      </c>
    </row>
    <row r="6955" spans="1:15" x14ac:dyDescent="0.25">
      <c r="A6955" s="22">
        <v>45873</v>
      </c>
      <c r="B6955" s="1">
        <v>316002641</v>
      </c>
      <c r="C6955" t="s">
        <v>5292</v>
      </c>
      <c r="D6955" s="44">
        <v>-12451</v>
      </c>
      <c r="E6955" t="s">
        <v>35</v>
      </c>
      <c r="F6955" s="2">
        <v>212901001</v>
      </c>
      <c r="G6955" s="2" t="s">
        <v>91</v>
      </c>
      <c r="I6955" s="95" t="s">
        <v>7231</v>
      </c>
      <c r="J6955" t="s">
        <v>61</v>
      </c>
      <c r="K6955" t="s">
        <v>62</v>
      </c>
      <c r="M6955">
        <v>126.28</v>
      </c>
      <c r="N6955" s="4">
        <f t="shared" si="108"/>
        <v>-98.598352866645556</v>
      </c>
      <c r="O6955" t="s">
        <v>83</v>
      </c>
    </row>
    <row r="6956" spans="1:15" x14ac:dyDescent="0.25">
      <c r="A6956" s="22">
        <v>45873</v>
      </c>
      <c r="B6956" s="1">
        <v>316002642</v>
      </c>
      <c r="C6956" t="s">
        <v>5293</v>
      </c>
      <c r="D6956" s="44">
        <v>-12451</v>
      </c>
      <c r="E6956" t="s">
        <v>35</v>
      </c>
      <c r="F6956" s="2">
        <v>212901001</v>
      </c>
      <c r="G6956" s="2" t="s">
        <v>91</v>
      </c>
      <c r="I6956" s="95" t="s">
        <v>7231</v>
      </c>
      <c r="J6956" t="s">
        <v>61</v>
      </c>
      <c r="K6956" t="s">
        <v>62</v>
      </c>
      <c r="M6956">
        <v>126.28</v>
      </c>
      <c r="N6956" s="4">
        <f t="shared" si="108"/>
        <v>-98.598352866645556</v>
      </c>
      <c r="O6956" t="s">
        <v>83</v>
      </c>
    </row>
    <row r="6957" spans="1:15" x14ac:dyDescent="0.25">
      <c r="A6957" s="22">
        <v>45873</v>
      </c>
      <c r="B6957" s="1">
        <v>316002639</v>
      </c>
      <c r="C6957" t="s">
        <v>5294</v>
      </c>
      <c r="D6957" s="44">
        <v>-12451</v>
      </c>
      <c r="E6957" t="s">
        <v>35</v>
      </c>
      <c r="F6957" s="2">
        <v>212901001</v>
      </c>
      <c r="G6957" s="2" t="s">
        <v>91</v>
      </c>
      <c r="I6957" s="95" t="s">
        <v>7231</v>
      </c>
      <c r="J6957" t="s">
        <v>61</v>
      </c>
      <c r="K6957" t="s">
        <v>62</v>
      </c>
      <c r="M6957">
        <v>126.28</v>
      </c>
      <c r="N6957" s="4">
        <f t="shared" si="108"/>
        <v>-98.598352866645556</v>
      </c>
      <c r="O6957" t="s">
        <v>83</v>
      </c>
    </row>
    <row r="6958" spans="1:15" x14ac:dyDescent="0.25">
      <c r="A6958" s="22">
        <v>45873</v>
      </c>
      <c r="B6958" s="1">
        <v>316002645</v>
      </c>
      <c r="C6958" t="s">
        <v>5295</v>
      </c>
      <c r="D6958" s="44">
        <v>-14941.2</v>
      </c>
      <c r="E6958" t="s">
        <v>35</v>
      </c>
      <c r="F6958" s="2">
        <v>212901001</v>
      </c>
      <c r="G6958" s="2" t="s">
        <v>91</v>
      </c>
      <c r="I6958" s="95" t="s">
        <v>7231</v>
      </c>
      <c r="J6958" t="s">
        <v>61</v>
      </c>
      <c r="K6958" t="s">
        <v>62</v>
      </c>
      <c r="M6958">
        <v>126.28</v>
      </c>
      <c r="N6958" s="4">
        <f t="shared" si="108"/>
        <v>-118.31802343997467</v>
      </c>
      <c r="O6958" t="s">
        <v>83</v>
      </c>
    </row>
    <row r="6959" spans="1:15" x14ac:dyDescent="0.25">
      <c r="A6959" s="22">
        <v>45873</v>
      </c>
      <c r="B6959" s="1">
        <v>416002648</v>
      </c>
      <c r="C6959" t="s">
        <v>5296</v>
      </c>
      <c r="D6959" s="44">
        <v>-14941.2</v>
      </c>
      <c r="E6959" t="s">
        <v>35</v>
      </c>
      <c r="F6959" s="2">
        <v>212901001</v>
      </c>
      <c r="G6959" s="2" t="s">
        <v>91</v>
      </c>
      <c r="I6959" s="95" t="s">
        <v>7231</v>
      </c>
      <c r="J6959" t="s">
        <v>61</v>
      </c>
      <c r="K6959" t="s">
        <v>62</v>
      </c>
      <c r="M6959">
        <v>126.28</v>
      </c>
      <c r="N6959" s="4">
        <f t="shared" si="108"/>
        <v>-118.31802343997467</v>
      </c>
      <c r="O6959" t="s">
        <v>83</v>
      </c>
    </row>
    <row r="6960" spans="1:15" x14ac:dyDescent="0.25">
      <c r="A6960" s="22">
        <v>45873</v>
      </c>
      <c r="B6960" s="1">
        <v>316002643</v>
      </c>
      <c r="C6960" t="s">
        <v>5297</v>
      </c>
      <c r="D6960" s="44">
        <v>-23656.9</v>
      </c>
      <c r="E6960" t="s">
        <v>35</v>
      </c>
      <c r="F6960" s="2">
        <v>212901001</v>
      </c>
      <c r="G6960" s="2" t="s">
        <v>91</v>
      </c>
      <c r="I6960" s="95" t="s">
        <v>7231</v>
      </c>
      <c r="J6960" t="s">
        <v>61</v>
      </c>
      <c r="K6960" t="s">
        <v>62</v>
      </c>
      <c r="M6960">
        <v>126.28</v>
      </c>
      <c r="N6960" s="4">
        <f t="shared" si="108"/>
        <v>-187.33687044662656</v>
      </c>
      <c r="O6960" t="s">
        <v>83</v>
      </c>
    </row>
    <row r="6961" spans="1:15" x14ac:dyDescent="0.25">
      <c r="A6961" s="22">
        <v>45873</v>
      </c>
      <c r="B6961" s="1">
        <v>416002647</v>
      </c>
      <c r="C6961" t="s">
        <v>5298</v>
      </c>
      <c r="D6961" s="44">
        <v>-14941.2</v>
      </c>
      <c r="E6961" t="s">
        <v>35</v>
      </c>
      <c r="F6961" s="2">
        <v>212901001</v>
      </c>
      <c r="G6961" s="2" t="s">
        <v>91</v>
      </c>
      <c r="I6961" s="95" t="s">
        <v>7231</v>
      </c>
      <c r="J6961" t="s">
        <v>61</v>
      </c>
      <c r="K6961" t="s">
        <v>62</v>
      </c>
      <c r="M6961">
        <v>126.28</v>
      </c>
      <c r="N6961" s="4">
        <f t="shared" si="108"/>
        <v>-118.31802343997467</v>
      </c>
      <c r="O6961" t="s">
        <v>83</v>
      </c>
    </row>
    <row r="6962" spans="1:15" x14ac:dyDescent="0.25">
      <c r="A6962" s="22">
        <v>45873</v>
      </c>
      <c r="B6962" s="1">
        <v>316002644</v>
      </c>
      <c r="C6962" t="s">
        <v>5299</v>
      </c>
      <c r="D6962" s="44">
        <v>-17431.400000000001</v>
      </c>
      <c r="E6962" t="s">
        <v>35</v>
      </c>
      <c r="F6962" s="2">
        <v>212901001</v>
      </c>
      <c r="G6962" s="2" t="s">
        <v>91</v>
      </c>
      <c r="I6962" s="95" t="s">
        <v>7231</v>
      </c>
      <c r="J6962" t="s">
        <v>61</v>
      </c>
      <c r="K6962" t="s">
        <v>62</v>
      </c>
      <c r="M6962">
        <v>126.28</v>
      </c>
      <c r="N6962" s="4">
        <f t="shared" si="108"/>
        <v>-138.03769401330379</v>
      </c>
      <c r="O6962" t="s">
        <v>83</v>
      </c>
    </row>
    <row r="6963" spans="1:15" x14ac:dyDescent="0.25">
      <c r="A6963" s="22">
        <v>45873</v>
      </c>
      <c r="B6963" s="1">
        <v>416002650</v>
      </c>
      <c r="C6963" t="s">
        <v>5300</v>
      </c>
      <c r="D6963" s="44">
        <v>-14941.2</v>
      </c>
      <c r="E6963" t="s">
        <v>35</v>
      </c>
      <c r="F6963" s="2">
        <v>212901001</v>
      </c>
      <c r="G6963" s="2" t="s">
        <v>91</v>
      </c>
      <c r="I6963" s="95" t="s">
        <v>7231</v>
      </c>
      <c r="J6963" t="s">
        <v>61</v>
      </c>
      <c r="K6963" t="s">
        <v>62</v>
      </c>
      <c r="M6963">
        <v>126.28</v>
      </c>
      <c r="N6963" s="4">
        <f t="shared" si="108"/>
        <v>-118.31802343997467</v>
      </c>
      <c r="O6963" t="s">
        <v>83</v>
      </c>
    </row>
    <row r="6964" spans="1:15" x14ac:dyDescent="0.25">
      <c r="A6964" s="22">
        <v>45873</v>
      </c>
      <c r="B6964" s="1">
        <v>416002649</v>
      </c>
      <c r="C6964" t="s">
        <v>5301</v>
      </c>
      <c r="D6964" s="44">
        <v>-14941.2</v>
      </c>
      <c r="E6964" t="s">
        <v>35</v>
      </c>
      <c r="F6964" s="2">
        <v>212901001</v>
      </c>
      <c r="G6964" s="2" t="s">
        <v>91</v>
      </c>
      <c r="I6964" s="95" t="s">
        <v>7231</v>
      </c>
      <c r="J6964" t="s">
        <v>61</v>
      </c>
      <c r="K6964" t="s">
        <v>62</v>
      </c>
      <c r="M6964">
        <v>126.28</v>
      </c>
      <c r="N6964" s="4">
        <f t="shared" si="108"/>
        <v>-118.31802343997467</v>
      </c>
      <c r="O6964" t="s">
        <v>83</v>
      </c>
    </row>
    <row r="6965" spans="1:15" x14ac:dyDescent="0.25">
      <c r="A6965" s="22">
        <v>45873</v>
      </c>
      <c r="B6965" s="1">
        <v>416002651</v>
      </c>
      <c r="C6965" t="s">
        <v>5302</v>
      </c>
      <c r="D6965" s="44">
        <v>-14941.2</v>
      </c>
      <c r="E6965" t="s">
        <v>35</v>
      </c>
      <c r="F6965" s="2">
        <v>212901001</v>
      </c>
      <c r="G6965" s="2" t="s">
        <v>91</v>
      </c>
      <c r="I6965" s="95" t="s">
        <v>7231</v>
      </c>
      <c r="J6965" t="s">
        <v>61</v>
      </c>
      <c r="K6965" t="s">
        <v>62</v>
      </c>
      <c r="M6965">
        <v>126.28</v>
      </c>
      <c r="N6965" s="4">
        <f t="shared" si="108"/>
        <v>-118.31802343997467</v>
      </c>
      <c r="O6965" t="s">
        <v>83</v>
      </c>
    </row>
    <row r="6966" spans="1:15" x14ac:dyDescent="0.25">
      <c r="A6966" s="22">
        <v>45873</v>
      </c>
      <c r="B6966" s="1">
        <v>416002652</v>
      </c>
      <c r="C6966" t="s">
        <v>5303</v>
      </c>
      <c r="D6966" s="44">
        <v>-11205.9</v>
      </c>
      <c r="E6966" t="s">
        <v>35</v>
      </c>
      <c r="F6966" s="2">
        <v>212901001</v>
      </c>
      <c r="G6966" s="2" t="s">
        <v>91</v>
      </c>
      <c r="I6966" s="95" t="s">
        <v>7231</v>
      </c>
      <c r="J6966" t="s">
        <v>61</v>
      </c>
      <c r="K6966" t="s">
        <v>62</v>
      </c>
      <c r="M6966">
        <v>126.28</v>
      </c>
      <c r="N6966" s="4">
        <f t="shared" si="108"/>
        <v>-88.738517579980993</v>
      </c>
      <c r="O6966" t="s">
        <v>83</v>
      </c>
    </row>
    <row r="6967" spans="1:15" x14ac:dyDescent="0.25">
      <c r="A6967" s="22">
        <v>45873</v>
      </c>
      <c r="B6967" s="1">
        <v>416002653</v>
      </c>
      <c r="C6967" t="s">
        <v>5304</v>
      </c>
      <c r="D6967" s="44">
        <v>-11205.9</v>
      </c>
      <c r="E6967" t="s">
        <v>35</v>
      </c>
      <c r="F6967" s="2">
        <v>212901001</v>
      </c>
      <c r="G6967" s="2" t="s">
        <v>91</v>
      </c>
      <c r="I6967" s="95" t="s">
        <v>7231</v>
      </c>
      <c r="J6967" t="s">
        <v>61</v>
      </c>
      <c r="K6967" t="s">
        <v>62</v>
      </c>
      <c r="M6967">
        <v>126.28</v>
      </c>
      <c r="N6967" s="4">
        <f t="shared" si="108"/>
        <v>-88.738517579980993</v>
      </c>
      <c r="O6967" t="s">
        <v>83</v>
      </c>
    </row>
    <row r="6968" spans="1:15" x14ac:dyDescent="0.25">
      <c r="A6968" s="22">
        <v>45873</v>
      </c>
      <c r="B6968" s="1">
        <v>416002654</v>
      </c>
      <c r="C6968" t="s">
        <v>5305</v>
      </c>
      <c r="D6968" s="44">
        <v>-11205.9</v>
      </c>
      <c r="E6968" t="s">
        <v>35</v>
      </c>
      <c r="F6968" s="2">
        <v>212901001</v>
      </c>
      <c r="G6968" s="2" t="s">
        <v>91</v>
      </c>
      <c r="I6968" s="95" t="s">
        <v>7231</v>
      </c>
      <c r="J6968" t="s">
        <v>61</v>
      </c>
      <c r="K6968" t="s">
        <v>62</v>
      </c>
      <c r="M6968">
        <v>126.28</v>
      </c>
      <c r="N6968" s="4">
        <f t="shared" si="108"/>
        <v>-88.738517579980993</v>
      </c>
      <c r="O6968" t="s">
        <v>83</v>
      </c>
    </row>
    <row r="6969" spans="1:15" x14ac:dyDescent="0.25">
      <c r="A6969" s="22">
        <v>45873</v>
      </c>
      <c r="B6969" s="1">
        <v>516002657</v>
      </c>
      <c r="C6969" t="s">
        <v>5306</v>
      </c>
      <c r="D6969" s="44">
        <v>-11205.9</v>
      </c>
      <c r="E6969" t="s">
        <v>35</v>
      </c>
      <c r="F6969" s="2">
        <v>212901001</v>
      </c>
      <c r="G6969" s="2" t="s">
        <v>91</v>
      </c>
      <c r="I6969" s="95" t="s">
        <v>7231</v>
      </c>
      <c r="J6969" t="s">
        <v>61</v>
      </c>
      <c r="K6969" t="s">
        <v>62</v>
      </c>
      <c r="M6969">
        <v>126.28</v>
      </c>
      <c r="N6969" s="4">
        <f t="shared" si="108"/>
        <v>-88.738517579980993</v>
      </c>
      <c r="O6969" t="s">
        <v>83</v>
      </c>
    </row>
    <row r="6970" spans="1:15" x14ac:dyDescent="0.25">
      <c r="A6970" s="22">
        <v>45873</v>
      </c>
      <c r="B6970" s="1">
        <v>516002655</v>
      </c>
      <c r="C6970" t="s">
        <v>5307</v>
      </c>
      <c r="D6970" s="44">
        <v>-11205.9</v>
      </c>
      <c r="E6970" t="s">
        <v>35</v>
      </c>
      <c r="F6970" s="2">
        <v>212901001</v>
      </c>
      <c r="G6970" s="2" t="s">
        <v>91</v>
      </c>
      <c r="I6970" s="95" t="s">
        <v>7231</v>
      </c>
      <c r="J6970" t="s">
        <v>61</v>
      </c>
      <c r="K6970" t="s">
        <v>62</v>
      </c>
      <c r="M6970">
        <v>126.28</v>
      </c>
      <c r="N6970" s="4">
        <f t="shared" si="108"/>
        <v>-88.738517579980993</v>
      </c>
      <c r="O6970" t="s">
        <v>83</v>
      </c>
    </row>
    <row r="6971" spans="1:15" x14ac:dyDescent="0.25">
      <c r="A6971" s="22">
        <v>45873</v>
      </c>
      <c r="B6971" s="1">
        <v>516002658</v>
      </c>
      <c r="C6971" t="s">
        <v>5308</v>
      </c>
      <c r="D6971" s="44">
        <v>-11205.9</v>
      </c>
      <c r="E6971" t="s">
        <v>35</v>
      </c>
      <c r="F6971" s="2">
        <v>212901001</v>
      </c>
      <c r="G6971" s="2" t="s">
        <v>91</v>
      </c>
      <c r="I6971" s="95" t="s">
        <v>7231</v>
      </c>
      <c r="J6971" t="s">
        <v>61</v>
      </c>
      <c r="K6971" t="s">
        <v>62</v>
      </c>
      <c r="M6971">
        <v>126.28</v>
      </c>
      <c r="N6971" s="4">
        <f t="shared" si="108"/>
        <v>-88.738517579980993</v>
      </c>
      <c r="O6971" t="s">
        <v>83</v>
      </c>
    </row>
    <row r="6972" spans="1:15" x14ac:dyDescent="0.25">
      <c r="A6972" s="22">
        <v>45873</v>
      </c>
      <c r="B6972" s="1">
        <v>516002662</v>
      </c>
      <c r="C6972" t="s">
        <v>5309</v>
      </c>
      <c r="D6972" s="44">
        <v>-9960.7999999999993</v>
      </c>
      <c r="E6972" t="s">
        <v>35</v>
      </c>
      <c r="F6972" s="2">
        <v>212901001</v>
      </c>
      <c r="G6972" s="2" t="s">
        <v>91</v>
      </c>
      <c r="I6972" s="95" t="s">
        <v>7231</v>
      </c>
      <c r="J6972" t="s">
        <v>61</v>
      </c>
      <c r="K6972" t="s">
        <v>62</v>
      </c>
      <c r="M6972">
        <v>126.28</v>
      </c>
      <c r="N6972" s="4">
        <f t="shared" si="108"/>
        <v>-78.87868229331643</v>
      </c>
      <c r="O6972" t="s">
        <v>83</v>
      </c>
    </row>
    <row r="6973" spans="1:15" x14ac:dyDescent="0.25">
      <c r="A6973" s="22">
        <v>45873</v>
      </c>
      <c r="B6973" s="1">
        <v>516002660</v>
      </c>
      <c r="C6973" t="s">
        <v>5310</v>
      </c>
      <c r="D6973" s="44">
        <v>-9960.7999999999993</v>
      </c>
      <c r="E6973" t="s">
        <v>35</v>
      </c>
      <c r="F6973" s="2">
        <v>212901001</v>
      </c>
      <c r="G6973" s="2" t="s">
        <v>91</v>
      </c>
      <c r="I6973" s="95" t="s">
        <v>7231</v>
      </c>
      <c r="J6973" t="s">
        <v>61</v>
      </c>
      <c r="K6973" t="s">
        <v>62</v>
      </c>
      <c r="M6973">
        <v>126.28</v>
      </c>
      <c r="N6973" s="4">
        <f t="shared" si="108"/>
        <v>-78.87868229331643</v>
      </c>
      <c r="O6973" t="s">
        <v>83</v>
      </c>
    </row>
    <row r="6974" spans="1:15" x14ac:dyDescent="0.25">
      <c r="A6974" s="22">
        <v>45873</v>
      </c>
      <c r="B6974" s="1">
        <v>516002659</v>
      </c>
      <c r="C6974" t="s">
        <v>5311</v>
      </c>
      <c r="D6974" s="44">
        <v>-9960.7999999999993</v>
      </c>
      <c r="E6974" t="s">
        <v>35</v>
      </c>
      <c r="F6974" s="2">
        <v>212901001</v>
      </c>
      <c r="G6974" s="2" t="s">
        <v>91</v>
      </c>
      <c r="I6974" s="95" t="s">
        <v>7231</v>
      </c>
      <c r="J6974" t="s">
        <v>61</v>
      </c>
      <c r="K6974" t="s">
        <v>62</v>
      </c>
      <c r="M6974">
        <v>126.28</v>
      </c>
      <c r="N6974" s="4">
        <f t="shared" si="108"/>
        <v>-78.87868229331643</v>
      </c>
      <c r="O6974" t="s">
        <v>83</v>
      </c>
    </row>
    <row r="6975" spans="1:15" x14ac:dyDescent="0.25">
      <c r="A6975" s="22">
        <v>45873</v>
      </c>
      <c r="B6975" s="1">
        <v>516002661</v>
      </c>
      <c r="C6975" t="s">
        <v>5312</v>
      </c>
      <c r="D6975" s="44">
        <v>-9960.7999999999993</v>
      </c>
      <c r="E6975" t="s">
        <v>35</v>
      </c>
      <c r="F6975" s="2">
        <v>212901001</v>
      </c>
      <c r="G6975" s="2" t="s">
        <v>91</v>
      </c>
      <c r="I6975" s="95" t="s">
        <v>7231</v>
      </c>
      <c r="J6975" t="s">
        <v>61</v>
      </c>
      <c r="K6975" t="s">
        <v>62</v>
      </c>
      <c r="M6975">
        <v>126.28</v>
      </c>
      <c r="N6975" s="4">
        <f t="shared" si="108"/>
        <v>-78.87868229331643</v>
      </c>
      <c r="O6975" t="s">
        <v>83</v>
      </c>
    </row>
    <row r="6976" spans="1:15" x14ac:dyDescent="0.25">
      <c r="A6976" s="22">
        <v>45873</v>
      </c>
      <c r="B6976" s="1">
        <v>516002663</v>
      </c>
      <c r="C6976" t="s">
        <v>5313</v>
      </c>
      <c r="D6976" s="44">
        <v>-9960.7999999999993</v>
      </c>
      <c r="E6976" t="s">
        <v>35</v>
      </c>
      <c r="F6976" s="2">
        <v>212901001</v>
      </c>
      <c r="G6976" s="2" t="s">
        <v>91</v>
      </c>
      <c r="I6976" s="95" t="s">
        <v>7231</v>
      </c>
      <c r="J6976" t="s">
        <v>61</v>
      </c>
      <c r="K6976" t="s">
        <v>62</v>
      </c>
      <c r="M6976">
        <v>126.28</v>
      </c>
      <c r="N6976" s="4">
        <f t="shared" si="108"/>
        <v>-78.87868229331643</v>
      </c>
      <c r="O6976" t="s">
        <v>83</v>
      </c>
    </row>
    <row r="6977" spans="1:15" x14ac:dyDescent="0.25">
      <c r="A6977" s="22">
        <v>45873</v>
      </c>
      <c r="B6977" s="1">
        <v>616002666</v>
      </c>
      <c r="C6977" t="s">
        <v>5314</v>
      </c>
      <c r="D6977" s="44">
        <v>-12451</v>
      </c>
      <c r="E6977" t="s">
        <v>35</v>
      </c>
      <c r="F6977" s="2">
        <v>212901001</v>
      </c>
      <c r="G6977" s="2" t="s">
        <v>91</v>
      </c>
      <c r="I6977" s="95" t="s">
        <v>7231</v>
      </c>
      <c r="J6977" t="s">
        <v>61</v>
      </c>
      <c r="K6977" t="s">
        <v>62</v>
      </c>
      <c r="M6977">
        <v>126.28</v>
      </c>
      <c r="N6977" s="4">
        <f t="shared" si="108"/>
        <v>-98.598352866645556</v>
      </c>
      <c r="O6977" t="s">
        <v>83</v>
      </c>
    </row>
    <row r="6978" spans="1:15" x14ac:dyDescent="0.25">
      <c r="A6978" s="22">
        <v>45873</v>
      </c>
      <c r="B6978" s="1">
        <v>516002664</v>
      </c>
      <c r="C6978" t="s">
        <v>5315</v>
      </c>
      <c r="D6978" s="44">
        <v>-9960.7999999999993</v>
      </c>
      <c r="E6978" t="s">
        <v>35</v>
      </c>
      <c r="F6978" s="2">
        <v>212901001</v>
      </c>
      <c r="G6978" s="2" t="s">
        <v>91</v>
      </c>
      <c r="I6978" s="95" t="s">
        <v>7231</v>
      </c>
      <c r="J6978" t="s">
        <v>61</v>
      </c>
      <c r="K6978" t="s">
        <v>62</v>
      </c>
      <c r="M6978">
        <v>126.28</v>
      </c>
      <c r="N6978" s="4">
        <f t="shared" si="108"/>
        <v>-78.87868229331643</v>
      </c>
      <c r="O6978" t="s">
        <v>83</v>
      </c>
    </row>
    <row r="6979" spans="1:15" x14ac:dyDescent="0.25">
      <c r="A6979" s="22">
        <v>45873</v>
      </c>
      <c r="B6979" s="1">
        <v>616002665</v>
      </c>
      <c r="C6979" t="s">
        <v>5316</v>
      </c>
      <c r="D6979" s="44">
        <v>-9960.7999999999993</v>
      </c>
      <c r="E6979" t="s">
        <v>35</v>
      </c>
      <c r="F6979" s="2">
        <v>212901001</v>
      </c>
      <c r="G6979" s="2" t="s">
        <v>91</v>
      </c>
      <c r="I6979" s="95" t="s">
        <v>7231</v>
      </c>
      <c r="J6979" t="s">
        <v>61</v>
      </c>
      <c r="K6979" t="s">
        <v>62</v>
      </c>
      <c r="M6979">
        <v>126.28</v>
      </c>
      <c r="N6979" s="4">
        <f t="shared" si="108"/>
        <v>-78.87868229331643</v>
      </c>
      <c r="O6979" t="s">
        <v>83</v>
      </c>
    </row>
    <row r="6980" spans="1:15" x14ac:dyDescent="0.25">
      <c r="A6980" s="22">
        <v>45873</v>
      </c>
      <c r="B6980" s="1">
        <v>616002667</v>
      </c>
      <c r="C6980" t="s">
        <v>5317</v>
      </c>
      <c r="D6980" s="44">
        <v>-17431.400000000001</v>
      </c>
      <c r="E6980" t="s">
        <v>35</v>
      </c>
      <c r="F6980" s="2">
        <v>212901001</v>
      </c>
      <c r="G6980" s="2" t="s">
        <v>91</v>
      </c>
      <c r="I6980" s="95" t="s">
        <v>7231</v>
      </c>
      <c r="J6980" t="s">
        <v>61</v>
      </c>
      <c r="K6980" t="s">
        <v>62</v>
      </c>
      <c r="M6980">
        <v>126.28</v>
      </c>
      <c r="N6980" s="4">
        <f t="shared" si="108"/>
        <v>-138.03769401330379</v>
      </c>
      <c r="O6980" t="s">
        <v>83</v>
      </c>
    </row>
    <row r="6981" spans="1:15" x14ac:dyDescent="0.25">
      <c r="A6981" s="22">
        <v>45873</v>
      </c>
      <c r="B6981" s="1">
        <v>616002669</v>
      </c>
      <c r="C6981" t="s">
        <v>5318</v>
      </c>
      <c r="D6981" s="44">
        <v>-23656.9</v>
      </c>
      <c r="E6981" t="s">
        <v>35</v>
      </c>
      <c r="F6981" s="2">
        <v>212901001</v>
      </c>
      <c r="G6981" s="2" t="s">
        <v>91</v>
      </c>
      <c r="I6981" s="95" t="s">
        <v>7231</v>
      </c>
      <c r="J6981" t="s">
        <v>61</v>
      </c>
      <c r="K6981" t="s">
        <v>62</v>
      </c>
      <c r="M6981">
        <v>126.28</v>
      </c>
      <c r="N6981" s="4">
        <f t="shared" si="108"/>
        <v>-187.33687044662656</v>
      </c>
      <c r="O6981" t="s">
        <v>83</v>
      </c>
    </row>
    <row r="6982" spans="1:15" x14ac:dyDescent="0.25">
      <c r="A6982" s="22">
        <v>45873</v>
      </c>
      <c r="B6982" s="1">
        <v>616002670</v>
      </c>
      <c r="C6982" t="s">
        <v>5319</v>
      </c>
      <c r="D6982" s="44">
        <v>-18676.5</v>
      </c>
      <c r="E6982" t="s">
        <v>35</v>
      </c>
      <c r="F6982" s="2">
        <v>212901001</v>
      </c>
      <c r="G6982" s="2" t="s">
        <v>91</v>
      </c>
      <c r="I6982" s="95" t="s">
        <v>7231</v>
      </c>
      <c r="J6982" t="s">
        <v>61</v>
      </c>
      <c r="K6982" t="s">
        <v>62</v>
      </c>
      <c r="M6982">
        <v>126.28</v>
      </c>
      <c r="N6982" s="4">
        <f t="shared" si="108"/>
        <v>-147.89752929996831</v>
      </c>
      <c r="O6982" t="s">
        <v>83</v>
      </c>
    </row>
    <row r="6983" spans="1:15" x14ac:dyDescent="0.25">
      <c r="A6983" s="22">
        <v>45873</v>
      </c>
      <c r="B6983" s="1">
        <v>616002671</v>
      </c>
      <c r="C6983" t="s">
        <v>5320</v>
      </c>
      <c r="D6983" s="44">
        <v>-14941.2</v>
      </c>
      <c r="E6983" t="s">
        <v>35</v>
      </c>
      <c r="F6983" s="2">
        <v>212901001</v>
      </c>
      <c r="G6983" s="2" t="s">
        <v>91</v>
      </c>
      <c r="I6983" s="95" t="s">
        <v>7231</v>
      </c>
      <c r="J6983" t="s">
        <v>61</v>
      </c>
      <c r="K6983" t="s">
        <v>62</v>
      </c>
      <c r="M6983">
        <v>126.28</v>
      </c>
      <c r="N6983" s="4">
        <f t="shared" si="108"/>
        <v>-118.31802343997467</v>
      </c>
      <c r="O6983" t="s">
        <v>83</v>
      </c>
    </row>
    <row r="6984" spans="1:15" x14ac:dyDescent="0.25">
      <c r="A6984" s="22">
        <v>45873</v>
      </c>
      <c r="B6984" s="1">
        <v>616002672</v>
      </c>
      <c r="C6984" t="s">
        <v>5321</v>
      </c>
      <c r="D6984" s="44">
        <v>-17431.400000000001</v>
      </c>
      <c r="E6984" t="s">
        <v>35</v>
      </c>
      <c r="F6984" s="2">
        <v>212901001</v>
      </c>
      <c r="G6984" s="2" t="s">
        <v>91</v>
      </c>
      <c r="I6984" s="95" t="s">
        <v>7231</v>
      </c>
      <c r="J6984" t="s">
        <v>61</v>
      </c>
      <c r="K6984" t="s">
        <v>62</v>
      </c>
      <c r="M6984">
        <v>126.28</v>
      </c>
      <c r="N6984" s="4">
        <f t="shared" si="108"/>
        <v>-138.03769401330379</v>
      </c>
      <c r="O6984" t="s">
        <v>83</v>
      </c>
    </row>
    <row r="6985" spans="1:15" x14ac:dyDescent="0.25">
      <c r="A6985" s="22">
        <v>45873</v>
      </c>
      <c r="B6985" s="1">
        <v>616002673</v>
      </c>
      <c r="C6985" t="s">
        <v>5322</v>
      </c>
      <c r="D6985" s="44">
        <v>-13696.1</v>
      </c>
      <c r="E6985" t="s">
        <v>35</v>
      </c>
      <c r="F6985" s="2">
        <v>212901001</v>
      </c>
      <c r="G6985" s="2" t="s">
        <v>91</v>
      </c>
      <c r="I6985" s="95" t="s">
        <v>7231</v>
      </c>
      <c r="J6985" t="s">
        <v>61</v>
      </c>
      <c r="K6985" t="s">
        <v>62</v>
      </c>
      <c r="M6985">
        <v>126.28</v>
      </c>
      <c r="N6985" s="4">
        <f t="shared" si="108"/>
        <v>-108.4581881533101</v>
      </c>
      <c r="O6985" t="s">
        <v>83</v>
      </c>
    </row>
    <row r="6986" spans="1:15" x14ac:dyDescent="0.25">
      <c r="A6986" s="22">
        <v>45873</v>
      </c>
      <c r="B6986" s="1">
        <v>616002674</v>
      </c>
      <c r="C6986" t="s">
        <v>5323</v>
      </c>
      <c r="D6986" s="44">
        <v>-12451</v>
      </c>
      <c r="E6986" t="s">
        <v>35</v>
      </c>
      <c r="F6986" s="2">
        <v>212901001</v>
      </c>
      <c r="G6986" s="2" t="s">
        <v>91</v>
      </c>
      <c r="I6986" s="95" t="s">
        <v>7231</v>
      </c>
      <c r="J6986" t="s">
        <v>61</v>
      </c>
      <c r="K6986" t="s">
        <v>62</v>
      </c>
      <c r="M6986">
        <v>126.28</v>
      </c>
      <c r="N6986" s="4">
        <f t="shared" si="108"/>
        <v>-98.598352866645556</v>
      </c>
      <c r="O6986" t="s">
        <v>83</v>
      </c>
    </row>
    <row r="6987" spans="1:15" x14ac:dyDescent="0.25">
      <c r="A6987" s="22">
        <v>45873</v>
      </c>
      <c r="B6987" s="1">
        <v>716002677</v>
      </c>
      <c r="C6987" t="s">
        <v>5324</v>
      </c>
      <c r="D6987" s="44">
        <v>-11205.9</v>
      </c>
      <c r="E6987" t="s">
        <v>35</v>
      </c>
      <c r="F6987" s="2">
        <v>212901001</v>
      </c>
      <c r="G6987" s="2" t="s">
        <v>91</v>
      </c>
      <c r="I6987" s="95" t="s">
        <v>7231</v>
      </c>
      <c r="J6987" t="s">
        <v>61</v>
      </c>
      <c r="K6987" t="s">
        <v>62</v>
      </c>
      <c r="M6987">
        <v>126.28</v>
      </c>
      <c r="N6987" s="4">
        <f t="shared" si="108"/>
        <v>-88.738517579980993</v>
      </c>
      <c r="O6987" t="s">
        <v>83</v>
      </c>
    </row>
    <row r="6988" spans="1:15" x14ac:dyDescent="0.25">
      <c r="A6988" s="22">
        <v>45873</v>
      </c>
      <c r="B6988" s="1">
        <v>716002678</v>
      </c>
      <c r="C6988" t="s">
        <v>5325</v>
      </c>
      <c r="D6988" s="44">
        <v>-11205.9</v>
      </c>
      <c r="E6988" t="s">
        <v>35</v>
      </c>
      <c r="F6988" s="2">
        <v>212901001</v>
      </c>
      <c r="G6988" s="2" t="s">
        <v>91</v>
      </c>
      <c r="I6988" s="95" t="s">
        <v>7231</v>
      </c>
      <c r="J6988" t="s">
        <v>61</v>
      </c>
      <c r="K6988" t="s">
        <v>62</v>
      </c>
      <c r="M6988">
        <v>126.28</v>
      </c>
      <c r="N6988" s="4">
        <f t="shared" ref="N6988:N7051" si="109">D6988/M6988</f>
        <v>-88.738517579980993</v>
      </c>
      <c r="O6988" t="s">
        <v>83</v>
      </c>
    </row>
    <row r="6989" spans="1:15" x14ac:dyDescent="0.25">
      <c r="A6989" s="22">
        <v>45873</v>
      </c>
      <c r="B6989" s="1">
        <v>716002675</v>
      </c>
      <c r="C6989" t="s">
        <v>5326</v>
      </c>
      <c r="D6989" s="44">
        <v>-11205.9</v>
      </c>
      <c r="E6989" t="s">
        <v>35</v>
      </c>
      <c r="F6989" s="2">
        <v>212901001</v>
      </c>
      <c r="G6989" s="2" t="s">
        <v>91</v>
      </c>
      <c r="I6989" s="95" t="s">
        <v>7231</v>
      </c>
      <c r="J6989" t="s">
        <v>61</v>
      </c>
      <c r="K6989" t="s">
        <v>62</v>
      </c>
      <c r="M6989">
        <v>126.28</v>
      </c>
      <c r="N6989" s="4">
        <f t="shared" si="109"/>
        <v>-88.738517579980993</v>
      </c>
      <c r="O6989" t="s">
        <v>83</v>
      </c>
    </row>
    <row r="6990" spans="1:15" x14ac:dyDescent="0.25">
      <c r="A6990" s="22">
        <v>45873</v>
      </c>
      <c r="B6990" s="1">
        <v>716002676</v>
      </c>
      <c r="C6990" t="s">
        <v>5327</v>
      </c>
      <c r="D6990" s="44">
        <v>-13696.1</v>
      </c>
      <c r="E6990" t="s">
        <v>35</v>
      </c>
      <c r="F6990" s="2">
        <v>212901001</v>
      </c>
      <c r="G6990" s="2" t="s">
        <v>91</v>
      </c>
      <c r="I6990" s="95" t="s">
        <v>7231</v>
      </c>
      <c r="J6990" t="s">
        <v>61</v>
      </c>
      <c r="K6990" t="s">
        <v>62</v>
      </c>
      <c r="M6990">
        <v>126.28</v>
      </c>
      <c r="N6990" s="4">
        <f t="shared" si="109"/>
        <v>-108.4581881533101</v>
      </c>
      <c r="O6990" t="s">
        <v>83</v>
      </c>
    </row>
    <row r="6991" spans="1:15" x14ac:dyDescent="0.25">
      <c r="A6991" s="22">
        <v>45873</v>
      </c>
      <c r="B6991" s="1">
        <v>716002681</v>
      </c>
      <c r="C6991" t="s">
        <v>5328</v>
      </c>
      <c r="D6991" s="44">
        <v>-11205.9</v>
      </c>
      <c r="E6991" t="s">
        <v>35</v>
      </c>
      <c r="F6991" s="2">
        <v>212901001</v>
      </c>
      <c r="G6991" s="2" t="s">
        <v>91</v>
      </c>
      <c r="I6991" s="95" t="s">
        <v>7231</v>
      </c>
      <c r="J6991" t="s">
        <v>61</v>
      </c>
      <c r="K6991" t="s">
        <v>62</v>
      </c>
      <c r="M6991">
        <v>126.28</v>
      </c>
      <c r="N6991" s="4">
        <f t="shared" si="109"/>
        <v>-88.738517579980993</v>
      </c>
      <c r="O6991" t="s">
        <v>83</v>
      </c>
    </row>
    <row r="6992" spans="1:15" x14ac:dyDescent="0.25">
      <c r="A6992" s="22">
        <v>45873</v>
      </c>
      <c r="B6992" s="1">
        <v>716002680</v>
      </c>
      <c r="C6992" t="s">
        <v>5329</v>
      </c>
      <c r="D6992" s="44">
        <v>-11205.9</v>
      </c>
      <c r="E6992" t="s">
        <v>35</v>
      </c>
      <c r="F6992" s="2">
        <v>212901001</v>
      </c>
      <c r="G6992" s="2" t="s">
        <v>91</v>
      </c>
      <c r="I6992" s="95" t="s">
        <v>7231</v>
      </c>
      <c r="J6992" t="s">
        <v>61</v>
      </c>
      <c r="K6992" t="s">
        <v>62</v>
      </c>
      <c r="M6992">
        <v>126.28</v>
      </c>
      <c r="N6992" s="4">
        <f t="shared" si="109"/>
        <v>-88.738517579980993</v>
      </c>
      <c r="O6992" t="s">
        <v>83</v>
      </c>
    </row>
    <row r="6993" spans="1:15" x14ac:dyDescent="0.25">
      <c r="A6993" s="22">
        <v>45873</v>
      </c>
      <c r="B6993" s="1">
        <v>716002679</v>
      </c>
      <c r="C6993" t="s">
        <v>5327</v>
      </c>
      <c r="D6993" s="44">
        <v>-11205.9</v>
      </c>
      <c r="E6993" t="s">
        <v>35</v>
      </c>
      <c r="F6993" s="2">
        <v>212901001</v>
      </c>
      <c r="G6993" s="2" t="s">
        <v>91</v>
      </c>
      <c r="I6993" s="95" t="s">
        <v>7231</v>
      </c>
      <c r="J6993" t="s">
        <v>61</v>
      </c>
      <c r="K6993" t="s">
        <v>62</v>
      </c>
      <c r="M6993">
        <v>126.28</v>
      </c>
      <c r="N6993" s="4">
        <f t="shared" si="109"/>
        <v>-88.738517579980993</v>
      </c>
      <c r="O6993" t="s">
        <v>83</v>
      </c>
    </row>
    <row r="6994" spans="1:15" x14ac:dyDescent="0.25">
      <c r="A6994" s="22">
        <v>45873</v>
      </c>
      <c r="B6994" s="1">
        <v>716002682</v>
      </c>
      <c r="C6994" t="s">
        <v>5330</v>
      </c>
      <c r="D6994" s="44">
        <v>-11205.9</v>
      </c>
      <c r="E6994" t="s">
        <v>35</v>
      </c>
      <c r="F6994" s="2">
        <v>212901001</v>
      </c>
      <c r="G6994" s="2" t="s">
        <v>91</v>
      </c>
      <c r="I6994" s="95" t="s">
        <v>7231</v>
      </c>
      <c r="J6994" t="s">
        <v>61</v>
      </c>
      <c r="K6994" t="s">
        <v>62</v>
      </c>
      <c r="M6994">
        <v>126.28</v>
      </c>
      <c r="N6994" s="4">
        <f t="shared" si="109"/>
        <v>-88.738517579980993</v>
      </c>
      <c r="O6994" t="s">
        <v>83</v>
      </c>
    </row>
    <row r="6995" spans="1:15" x14ac:dyDescent="0.25">
      <c r="A6995" s="22">
        <v>45873</v>
      </c>
      <c r="B6995" s="1">
        <v>716002683</v>
      </c>
      <c r="C6995" t="s">
        <v>5331</v>
      </c>
      <c r="D6995" s="44">
        <v>-11205.9</v>
      </c>
      <c r="E6995" t="s">
        <v>35</v>
      </c>
      <c r="F6995" s="2">
        <v>212901001</v>
      </c>
      <c r="G6995" s="2" t="s">
        <v>91</v>
      </c>
      <c r="I6995" s="95" t="s">
        <v>7231</v>
      </c>
      <c r="J6995" t="s">
        <v>61</v>
      </c>
      <c r="K6995" t="s">
        <v>62</v>
      </c>
      <c r="M6995">
        <v>126.28</v>
      </c>
      <c r="N6995" s="4">
        <f t="shared" si="109"/>
        <v>-88.738517579980993</v>
      </c>
      <c r="O6995" t="s">
        <v>83</v>
      </c>
    </row>
    <row r="6996" spans="1:15" x14ac:dyDescent="0.25">
      <c r="A6996" s="22">
        <v>45873</v>
      </c>
      <c r="B6996" s="1">
        <v>816002688</v>
      </c>
      <c r="C6996" t="s">
        <v>5332</v>
      </c>
      <c r="D6996" s="44">
        <v>-11205.9</v>
      </c>
      <c r="E6996" t="s">
        <v>35</v>
      </c>
      <c r="F6996" s="2">
        <v>212901001</v>
      </c>
      <c r="G6996" s="2" t="s">
        <v>91</v>
      </c>
      <c r="I6996" s="95" t="s">
        <v>7231</v>
      </c>
      <c r="J6996" t="s">
        <v>61</v>
      </c>
      <c r="K6996" t="s">
        <v>62</v>
      </c>
      <c r="M6996">
        <v>126.28</v>
      </c>
      <c r="N6996" s="4">
        <f t="shared" si="109"/>
        <v>-88.738517579980993</v>
      </c>
      <c r="O6996" t="s">
        <v>83</v>
      </c>
    </row>
    <row r="6997" spans="1:15" x14ac:dyDescent="0.25">
      <c r="A6997" s="22">
        <v>45873</v>
      </c>
      <c r="B6997" s="1">
        <v>816002686</v>
      </c>
      <c r="C6997" t="s">
        <v>5333</v>
      </c>
      <c r="D6997" s="44">
        <v>-11205.9</v>
      </c>
      <c r="E6997" t="s">
        <v>35</v>
      </c>
      <c r="F6997" s="2">
        <v>212901001</v>
      </c>
      <c r="G6997" s="2" t="s">
        <v>91</v>
      </c>
      <c r="I6997" s="95" t="s">
        <v>7231</v>
      </c>
      <c r="J6997" t="s">
        <v>61</v>
      </c>
      <c r="K6997" t="s">
        <v>62</v>
      </c>
      <c r="M6997">
        <v>126.28</v>
      </c>
      <c r="N6997" s="4">
        <f t="shared" si="109"/>
        <v>-88.738517579980993</v>
      </c>
      <c r="O6997" t="s">
        <v>83</v>
      </c>
    </row>
    <row r="6998" spans="1:15" x14ac:dyDescent="0.25">
      <c r="A6998" s="22">
        <v>45873</v>
      </c>
      <c r="B6998" s="1">
        <v>816002684</v>
      </c>
      <c r="C6998" t="s">
        <v>5334</v>
      </c>
      <c r="D6998" s="44">
        <v>-12201.98</v>
      </c>
      <c r="E6998" t="s">
        <v>35</v>
      </c>
      <c r="F6998" s="2">
        <v>212901001</v>
      </c>
      <c r="G6998" s="2" t="s">
        <v>91</v>
      </c>
      <c r="I6998" s="95" t="s">
        <v>7231</v>
      </c>
      <c r="J6998" t="s">
        <v>61</v>
      </c>
      <c r="K6998" t="s">
        <v>62</v>
      </c>
      <c r="M6998">
        <v>126.28</v>
      </c>
      <c r="N6998" s="4">
        <f t="shared" si="109"/>
        <v>-96.626385809312637</v>
      </c>
      <c r="O6998" t="s">
        <v>83</v>
      </c>
    </row>
    <row r="6999" spans="1:15" x14ac:dyDescent="0.25">
      <c r="A6999" s="22">
        <v>45873</v>
      </c>
      <c r="B6999" s="1">
        <v>816002685</v>
      </c>
      <c r="C6999" t="s">
        <v>5335</v>
      </c>
      <c r="D6999" s="44">
        <v>-11205.9</v>
      </c>
      <c r="E6999" t="s">
        <v>35</v>
      </c>
      <c r="F6999" s="2">
        <v>212901001</v>
      </c>
      <c r="G6999" s="2" t="s">
        <v>91</v>
      </c>
      <c r="I6999" s="95" t="s">
        <v>7231</v>
      </c>
      <c r="J6999" t="s">
        <v>61</v>
      </c>
      <c r="K6999" t="s">
        <v>62</v>
      </c>
      <c r="M6999">
        <v>126.28</v>
      </c>
      <c r="N6999" s="4">
        <f t="shared" si="109"/>
        <v>-88.738517579980993</v>
      </c>
      <c r="O6999" t="s">
        <v>83</v>
      </c>
    </row>
    <row r="7000" spans="1:15" x14ac:dyDescent="0.25">
      <c r="A7000" s="22">
        <v>45873</v>
      </c>
      <c r="B7000" s="1">
        <v>816002687</v>
      </c>
      <c r="C7000" t="s">
        <v>5336</v>
      </c>
      <c r="D7000" s="44">
        <v>-11205.9</v>
      </c>
      <c r="E7000" t="s">
        <v>35</v>
      </c>
      <c r="F7000" s="2">
        <v>212901001</v>
      </c>
      <c r="G7000" s="2" t="s">
        <v>91</v>
      </c>
      <c r="I7000" s="95" t="s">
        <v>7231</v>
      </c>
      <c r="J7000" t="s">
        <v>61</v>
      </c>
      <c r="K7000" t="s">
        <v>62</v>
      </c>
      <c r="M7000">
        <v>126.28</v>
      </c>
      <c r="N7000" s="4">
        <f t="shared" si="109"/>
        <v>-88.738517579980993</v>
      </c>
      <c r="O7000" t="s">
        <v>83</v>
      </c>
    </row>
    <row r="7001" spans="1:15" x14ac:dyDescent="0.25">
      <c r="A7001" s="22">
        <v>45873</v>
      </c>
      <c r="B7001" s="1">
        <v>816002691</v>
      </c>
      <c r="C7001" t="s">
        <v>5337</v>
      </c>
      <c r="D7001" s="44">
        <v>-7470.6</v>
      </c>
      <c r="E7001" t="s">
        <v>35</v>
      </c>
      <c r="F7001" s="2">
        <v>212901001</v>
      </c>
      <c r="G7001" s="2" t="s">
        <v>91</v>
      </c>
      <c r="I7001" s="95" t="s">
        <v>7231</v>
      </c>
      <c r="J7001" t="s">
        <v>61</v>
      </c>
      <c r="K7001" t="s">
        <v>62</v>
      </c>
      <c r="M7001">
        <v>126.28</v>
      </c>
      <c r="N7001" s="4">
        <f t="shared" si="109"/>
        <v>-59.159011719987333</v>
      </c>
      <c r="O7001" t="s">
        <v>83</v>
      </c>
    </row>
    <row r="7002" spans="1:15" x14ac:dyDescent="0.25">
      <c r="A7002" s="22">
        <v>45873</v>
      </c>
      <c r="B7002" s="1">
        <v>816002692</v>
      </c>
      <c r="C7002" t="s">
        <v>5338</v>
      </c>
      <c r="D7002" s="44">
        <v>-7470.6</v>
      </c>
      <c r="E7002" t="s">
        <v>35</v>
      </c>
      <c r="F7002" s="2">
        <v>212901001</v>
      </c>
      <c r="G7002" s="2" t="s">
        <v>91</v>
      </c>
      <c r="I7002" s="95" t="s">
        <v>7231</v>
      </c>
      <c r="J7002" t="s">
        <v>61</v>
      </c>
      <c r="K7002" t="s">
        <v>62</v>
      </c>
      <c r="M7002">
        <v>126.28</v>
      </c>
      <c r="N7002" s="4">
        <f t="shared" si="109"/>
        <v>-59.159011719987333</v>
      </c>
      <c r="O7002" t="s">
        <v>83</v>
      </c>
    </row>
    <row r="7003" spans="1:15" x14ac:dyDescent="0.25">
      <c r="A7003" s="22">
        <v>45873</v>
      </c>
      <c r="B7003" s="1">
        <v>816002693</v>
      </c>
      <c r="C7003" t="s">
        <v>5339</v>
      </c>
      <c r="D7003" s="44">
        <v>-7470.6</v>
      </c>
      <c r="E7003" t="s">
        <v>35</v>
      </c>
      <c r="F7003" s="2">
        <v>212901001</v>
      </c>
      <c r="G7003" s="2" t="s">
        <v>91</v>
      </c>
      <c r="I7003" s="95" t="s">
        <v>7231</v>
      </c>
      <c r="J7003" t="s">
        <v>61</v>
      </c>
      <c r="K7003" t="s">
        <v>62</v>
      </c>
      <c r="M7003">
        <v>126.28</v>
      </c>
      <c r="N7003" s="4">
        <f t="shared" si="109"/>
        <v>-59.159011719987333</v>
      </c>
      <c r="O7003" t="s">
        <v>83</v>
      </c>
    </row>
    <row r="7004" spans="1:15" x14ac:dyDescent="0.25">
      <c r="A7004" s="22">
        <v>45873</v>
      </c>
      <c r="B7004" s="1">
        <v>816002690</v>
      </c>
      <c r="C7004" t="s">
        <v>5340</v>
      </c>
      <c r="D7004" s="44">
        <v>-11205.9</v>
      </c>
      <c r="E7004" t="s">
        <v>35</v>
      </c>
      <c r="F7004" s="2">
        <v>212901001</v>
      </c>
      <c r="G7004" s="2" t="s">
        <v>91</v>
      </c>
      <c r="I7004" s="95" t="s">
        <v>7231</v>
      </c>
      <c r="J7004" t="s">
        <v>61</v>
      </c>
      <c r="K7004" t="s">
        <v>62</v>
      </c>
      <c r="M7004">
        <v>126.28</v>
      </c>
      <c r="N7004" s="4">
        <f t="shared" si="109"/>
        <v>-88.738517579980993</v>
      </c>
      <c r="O7004" t="s">
        <v>83</v>
      </c>
    </row>
    <row r="7005" spans="1:15" x14ac:dyDescent="0.25">
      <c r="A7005" s="22">
        <v>45873</v>
      </c>
      <c r="B7005" s="1">
        <v>916002696</v>
      </c>
      <c r="C7005" t="s">
        <v>5341</v>
      </c>
      <c r="D7005" s="44">
        <v>-24902</v>
      </c>
      <c r="E7005" t="s">
        <v>35</v>
      </c>
      <c r="F7005" s="2">
        <v>212901001</v>
      </c>
      <c r="G7005" s="2" t="s">
        <v>91</v>
      </c>
      <c r="I7005" s="95" t="s">
        <v>7231</v>
      </c>
      <c r="J7005" t="s">
        <v>61</v>
      </c>
      <c r="K7005" t="s">
        <v>62</v>
      </c>
      <c r="M7005">
        <v>126.28</v>
      </c>
      <c r="N7005" s="4">
        <f t="shared" si="109"/>
        <v>-197.19670573329111</v>
      </c>
      <c r="O7005" t="s">
        <v>83</v>
      </c>
    </row>
    <row r="7006" spans="1:15" x14ac:dyDescent="0.25">
      <c r="A7006" s="22">
        <v>45873</v>
      </c>
      <c r="B7006" s="1">
        <v>816002694</v>
      </c>
      <c r="C7006" t="s">
        <v>5342</v>
      </c>
      <c r="D7006" s="44">
        <v>-7470.6</v>
      </c>
      <c r="E7006" t="s">
        <v>35</v>
      </c>
      <c r="F7006" s="2">
        <v>212901001</v>
      </c>
      <c r="G7006" s="2" t="s">
        <v>91</v>
      </c>
      <c r="I7006" s="95" t="s">
        <v>7231</v>
      </c>
      <c r="J7006" t="s">
        <v>61</v>
      </c>
      <c r="K7006" t="s">
        <v>62</v>
      </c>
      <c r="M7006">
        <v>126.28</v>
      </c>
      <c r="N7006" s="4">
        <f t="shared" si="109"/>
        <v>-59.159011719987333</v>
      </c>
      <c r="O7006" t="s">
        <v>83</v>
      </c>
    </row>
    <row r="7007" spans="1:15" x14ac:dyDescent="0.25">
      <c r="A7007" s="22">
        <v>45873</v>
      </c>
      <c r="B7007" s="1">
        <v>916002695</v>
      </c>
      <c r="C7007" t="s">
        <v>5343</v>
      </c>
      <c r="D7007" s="44">
        <v>-12451</v>
      </c>
      <c r="E7007" t="s">
        <v>35</v>
      </c>
      <c r="F7007" s="2">
        <v>212901001</v>
      </c>
      <c r="G7007" s="2" t="s">
        <v>91</v>
      </c>
      <c r="I7007" s="95" t="s">
        <v>7231</v>
      </c>
      <c r="J7007" t="s">
        <v>61</v>
      </c>
      <c r="K7007" t="s">
        <v>62</v>
      </c>
      <c r="M7007">
        <v>126.28</v>
      </c>
      <c r="N7007" s="4">
        <f t="shared" si="109"/>
        <v>-98.598352866645556</v>
      </c>
      <c r="O7007" t="s">
        <v>83</v>
      </c>
    </row>
    <row r="7008" spans="1:15" x14ac:dyDescent="0.25">
      <c r="A7008" s="22">
        <v>45873</v>
      </c>
      <c r="B7008" s="1">
        <v>916002698</v>
      </c>
      <c r="C7008" t="s">
        <v>5344</v>
      </c>
      <c r="D7008" s="44">
        <v>-8715.7000000000007</v>
      </c>
      <c r="E7008" t="s">
        <v>35</v>
      </c>
      <c r="F7008" s="2">
        <v>212901001</v>
      </c>
      <c r="G7008" s="2" t="s">
        <v>91</v>
      </c>
      <c r="I7008" s="95" t="s">
        <v>7231</v>
      </c>
      <c r="J7008" t="s">
        <v>61</v>
      </c>
      <c r="K7008" t="s">
        <v>62</v>
      </c>
      <c r="M7008">
        <v>126.28</v>
      </c>
      <c r="N7008" s="4">
        <f t="shared" si="109"/>
        <v>-69.018847006651896</v>
      </c>
      <c r="O7008" t="s">
        <v>83</v>
      </c>
    </row>
    <row r="7009" spans="1:17" x14ac:dyDescent="0.25">
      <c r="A7009" s="22">
        <v>45873</v>
      </c>
      <c r="B7009" s="1">
        <v>916002697</v>
      </c>
      <c r="C7009" t="s">
        <v>5345</v>
      </c>
      <c r="D7009" s="44">
        <v>-15190.22</v>
      </c>
      <c r="E7009" t="s">
        <v>35</v>
      </c>
      <c r="F7009" s="2">
        <v>212901001</v>
      </c>
      <c r="G7009" s="2" t="s">
        <v>91</v>
      </c>
      <c r="I7009" s="95" t="s">
        <v>7231</v>
      </c>
      <c r="J7009" t="s">
        <v>61</v>
      </c>
      <c r="K7009" t="s">
        <v>62</v>
      </c>
      <c r="M7009">
        <v>126.28</v>
      </c>
      <c r="N7009" s="4">
        <f t="shared" si="109"/>
        <v>-120.28999049730757</v>
      </c>
      <c r="O7009" t="s">
        <v>83</v>
      </c>
    </row>
    <row r="7010" spans="1:17" x14ac:dyDescent="0.25">
      <c r="A7010" s="22">
        <v>45873</v>
      </c>
      <c r="B7010" s="1">
        <v>916002700</v>
      </c>
      <c r="C7010" t="s">
        <v>5346</v>
      </c>
      <c r="D7010" s="44">
        <v>-9960.7999999999993</v>
      </c>
      <c r="E7010" t="s">
        <v>35</v>
      </c>
      <c r="F7010" s="2">
        <v>212901001</v>
      </c>
      <c r="G7010" s="2" t="s">
        <v>91</v>
      </c>
      <c r="I7010" s="95" t="s">
        <v>7231</v>
      </c>
      <c r="J7010" t="s">
        <v>61</v>
      </c>
      <c r="K7010" t="s">
        <v>62</v>
      </c>
      <c r="M7010">
        <v>126.28</v>
      </c>
      <c r="N7010" s="4">
        <f t="shared" si="109"/>
        <v>-78.87868229331643</v>
      </c>
      <c r="O7010" t="s">
        <v>83</v>
      </c>
    </row>
    <row r="7011" spans="1:17" x14ac:dyDescent="0.25">
      <c r="A7011" s="22">
        <v>45873</v>
      </c>
      <c r="B7011" s="1">
        <v>50827465</v>
      </c>
      <c r="C7011" t="s">
        <v>5347</v>
      </c>
      <c r="D7011" s="44">
        <v>-22411.8</v>
      </c>
      <c r="E7011" t="s">
        <v>35</v>
      </c>
      <c r="F7011" s="2">
        <v>212901001</v>
      </c>
      <c r="G7011" s="2" t="s">
        <v>91</v>
      </c>
      <c r="I7011" s="95" t="s">
        <v>7231</v>
      </c>
      <c r="J7011" t="s">
        <v>61</v>
      </c>
      <c r="K7011" t="s">
        <v>62</v>
      </c>
      <c r="M7011">
        <v>126.28</v>
      </c>
      <c r="N7011" s="4">
        <f t="shared" si="109"/>
        <v>-177.47703515996199</v>
      </c>
      <c r="O7011" t="s">
        <v>83</v>
      </c>
    </row>
    <row r="7012" spans="1:17" x14ac:dyDescent="0.25">
      <c r="A7012" s="22">
        <v>45873</v>
      </c>
      <c r="B7012" s="1">
        <v>50827465</v>
      </c>
      <c r="C7012" t="s">
        <v>179</v>
      </c>
      <c r="D7012" s="44">
        <v>-33.61</v>
      </c>
      <c r="E7012" t="s">
        <v>35</v>
      </c>
      <c r="F7012" s="2">
        <v>610148001</v>
      </c>
      <c r="G7012" s="2" t="s">
        <v>41</v>
      </c>
      <c r="I7012" s="95" t="s">
        <v>7231</v>
      </c>
      <c r="J7012" t="s">
        <v>42</v>
      </c>
      <c r="K7012" t="s">
        <v>41</v>
      </c>
      <c r="M7012">
        <v>126.28</v>
      </c>
      <c r="N7012" s="4">
        <f t="shared" si="109"/>
        <v>-0.26615457713018686</v>
      </c>
      <c r="O7012" t="s">
        <v>83</v>
      </c>
      <c r="Q7012" s="24" t="s">
        <v>5251</v>
      </c>
    </row>
    <row r="7013" spans="1:17" x14ac:dyDescent="0.25">
      <c r="A7013" s="22">
        <v>45873</v>
      </c>
      <c r="B7013" s="1">
        <v>50827465</v>
      </c>
      <c r="C7013" t="s">
        <v>89</v>
      </c>
      <c r="D7013" s="44">
        <v>-2182.0300000000002</v>
      </c>
      <c r="E7013" t="s">
        <v>35</v>
      </c>
      <c r="F7013" s="2">
        <v>610148001</v>
      </c>
      <c r="G7013" s="2" t="s">
        <v>41</v>
      </c>
      <c r="I7013" s="95" t="s">
        <v>7231</v>
      </c>
      <c r="J7013" t="s">
        <v>42</v>
      </c>
      <c r="K7013" t="s">
        <v>41</v>
      </c>
      <c r="M7013">
        <v>126.28</v>
      </c>
      <c r="N7013" s="4">
        <f t="shared" si="109"/>
        <v>-17.279299968324359</v>
      </c>
      <c r="O7013" t="s">
        <v>83</v>
      </c>
      <c r="Q7013" s="24" t="s">
        <v>5251</v>
      </c>
    </row>
    <row r="7014" spans="1:17" x14ac:dyDescent="0.25">
      <c r="A7014" s="22">
        <v>45873</v>
      </c>
      <c r="B7014" s="1">
        <v>140609261</v>
      </c>
      <c r="C7014" t="s">
        <v>82</v>
      </c>
      <c r="D7014" s="44">
        <v>5500</v>
      </c>
      <c r="E7014" t="s">
        <v>45</v>
      </c>
      <c r="F7014" s="2">
        <v>210115002</v>
      </c>
      <c r="G7014" s="2" t="s">
        <v>46</v>
      </c>
      <c r="I7014" s="95" t="s">
        <v>7231</v>
      </c>
      <c r="K7014" t="s">
        <v>82</v>
      </c>
      <c r="M7014">
        <v>126.28</v>
      </c>
      <c r="N7014" s="4">
        <f t="shared" si="109"/>
        <v>43.554006968641112</v>
      </c>
      <c r="O7014" t="s">
        <v>83</v>
      </c>
    </row>
    <row r="7015" spans="1:17" x14ac:dyDescent="0.25">
      <c r="A7015" s="22">
        <v>45873</v>
      </c>
      <c r="B7015" s="1">
        <v>141220212</v>
      </c>
      <c r="C7015" t="s">
        <v>5348</v>
      </c>
      <c r="D7015" s="44">
        <v>-2689.76</v>
      </c>
      <c r="E7015" t="s">
        <v>35</v>
      </c>
      <c r="F7015" s="2">
        <v>210101001</v>
      </c>
      <c r="G7015" s="2" t="s">
        <v>36</v>
      </c>
      <c r="I7015" s="95" t="s">
        <v>7231</v>
      </c>
      <c r="J7015" t="s">
        <v>5349</v>
      </c>
      <c r="K7015" t="s">
        <v>3025</v>
      </c>
      <c r="M7015">
        <v>126.28</v>
      </c>
      <c r="N7015" s="4">
        <f t="shared" si="109"/>
        <v>-21.29996832435857</v>
      </c>
      <c r="O7015" t="s">
        <v>83</v>
      </c>
    </row>
    <row r="7016" spans="1:17" x14ac:dyDescent="0.25">
      <c r="A7016" s="22">
        <v>45873</v>
      </c>
      <c r="B7016" s="1">
        <v>141246037</v>
      </c>
      <c r="C7016" t="s">
        <v>5350</v>
      </c>
      <c r="D7016" s="44">
        <v>-2689.76</v>
      </c>
      <c r="E7016" t="s">
        <v>35</v>
      </c>
      <c r="F7016" s="2">
        <v>210101001</v>
      </c>
      <c r="G7016" s="2" t="s">
        <v>36</v>
      </c>
      <c r="I7016" s="95" t="s">
        <v>7231</v>
      </c>
      <c r="J7016" t="s">
        <v>5349</v>
      </c>
      <c r="K7016" t="s">
        <v>3025</v>
      </c>
      <c r="M7016">
        <v>126.28</v>
      </c>
      <c r="N7016" s="4">
        <f t="shared" si="109"/>
        <v>-21.29996832435857</v>
      </c>
      <c r="O7016" t="s">
        <v>83</v>
      </c>
    </row>
    <row r="7017" spans="1:17" x14ac:dyDescent="0.25">
      <c r="A7017" s="22">
        <v>45876</v>
      </c>
      <c r="B7017" s="1">
        <v>141106047</v>
      </c>
      <c r="C7017" t="s">
        <v>82</v>
      </c>
      <c r="D7017" s="44">
        <v>85000</v>
      </c>
      <c r="E7017" t="s">
        <v>45</v>
      </c>
      <c r="F7017" s="2">
        <v>210115002</v>
      </c>
      <c r="G7017" s="2" t="s">
        <v>46</v>
      </c>
      <c r="I7017" s="95" t="s">
        <v>7231</v>
      </c>
      <c r="K7017" t="s">
        <v>82</v>
      </c>
      <c r="M7017">
        <v>129.05000000000001</v>
      </c>
      <c r="N7017" s="4">
        <f t="shared" si="109"/>
        <v>658.65943432777988</v>
      </c>
      <c r="O7017" t="s">
        <v>83</v>
      </c>
    </row>
    <row r="7018" spans="1:17" x14ac:dyDescent="0.25">
      <c r="A7018" s="22">
        <v>45876</v>
      </c>
      <c r="B7018" s="1">
        <v>816268488</v>
      </c>
      <c r="C7018" t="s">
        <v>5351</v>
      </c>
      <c r="D7018" s="44">
        <v>-64733.24</v>
      </c>
      <c r="E7018" t="s">
        <v>35</v>
      </c>
      <c r="F7018" s="2">
        <v>210101001</v>
      </c>
      <c r="G7018" s="2" t="s">
        <v>36</v>
      </c>
      <c r="I7018" s="95" t="s">
        <v>7231</v>
      </c>
      <c r="J7018" t="s">
        <v>701</v>
      </c>
      <c r="K7018" t="s">
        <v>702</v>
      </c>
      <c r="M7018">
        <v>129.05000000000001</v>
      </c>
      <c r="N7018" s="4">
        <f t="shared" si="109"/>
        <v>-501.61363812475781</v>
      </c>
      <c r="O7018" t="s">
        <v>83</v>
      </c>
    </row>
    <row r="7019" spans="1:17" x14ac:dyDescent="0.25">
      <c r="A7019" s="22">
        <v>45876</v>
      </c>
      <c r="B7019" s="1">
        <v>816268488</v>
      </c>
      <c r="C7019" t="s">
        <v>185</v>
      </c>
      <c r="D7019" s="44">
        <v>-194.2</v>
      </c>
      <c r="E7019" t="s">
        <v>35</v>
      </c>
      <c r="F7019" s="2">
        <v>610148001</v>
      </c>
      <c r="G7019" s="2" t="s">
        <v>41</v>
      </c>
      <c r="I7019" s="95" t="s">
        <v>7231</v>
      </c>
      <c r="J7019" t="s">
        <v>42</v>
      </c>
      <c r="K7019" t="s">
        <v>41</v>
      </c>
      <c r="M7019">
        <v>129.05000000000001</v>
      </c>
      <c r="N7019" s="4">
        <f t="shared" si="109"/>
        <v>-1.5048430840759393</v>
      </c>
      <c r="O7019" t="s">
        <v>83</v>
      </c>
      <c r="Q7019" s="24" t="s">
        <v>5251</v>
      </c>
    </row>
    <row r="7020" spans="1:17" x14ac:dyDescent="0.25">
      <c r="A7020" s="22">
        <v>45876</v>
      </c>
      <c r="B7020" s="1">
        <v>616268523</v>
      </c>
      <c r="C7020" t="s">
        <v>5352</v>
      </c>
      <c r="D7020" s="44">
        <v>-17963.759999999998</v>
      </c>
      <c r="E7020" t="s">
        <v>35</v>
      </c>
      <c r="F7020" s="2">
        <v>210101001</v>
      </c>
      <c r="G7020" s="2" t="s">
        <v>36</v>
      </c>
      <c r="I7020" s="95" t="s">
        <v>7231</v>
      </c>
      <c r="J7020" t="s">
        <v>414</v>
      </c>
      <c r="K7020" t="s">
        <v>415</v>
      </c>
      <c r="M7020">
        <v>129.05000000000001</v>
      </c>
      <c r="N7020" s="4">
        <f t="shared" si="109"/>
        <v>-139.19999999999999</v>
      </c>
      <c r="O7020" t="s">
        <v>83</v>
      </c>
    </row>
    <row r="7021" spans="1:17" x14ac:dyDescent="0.25">
      <c r="A7021" s="22">
        <v>45876</v>
      </c>
      <c r="B7021" s="1">
        <v>616268523</v>
      </c>
      <c r="C7021" t="s">
        <v>185</v>
      </c>
      <c r="D7021" s="44">
        <v>-53.89</v>
      </c>
      <c r="E7021" t="s">
        <v>35</v>
      </c>
      <c r="F7021" s="2">
        <v>610148001</v>
      </c>
      <c r="G7021" s="2" t="s">
        <v>41</v>
      </c>
      <c r="I7021" s="95" t="s">
        <v>7231</v>
      </c>
      <c r="J7021" t="s">
        <v>42</v>
      </c>
      <c r="K7021" t="s">
        <v>41</v>
      </c>
      <c r="M7021">
        <v>129.05000000000001</v>
      </c>
      <c r="N7021" s="4">
        <f t="shared" si="109"/>
        <v>-0.41759008136381243</v>
      </c>
      <c r="O7021" t="s">
        <v>83</v>
      </c>
      <c r="Q7021" s="24" t="s">
        <v>5251</v>
      </c>
    </row>
    <row r="7022" spans="1:17" x14ac:dyDescent="0.25">
      <c r="A7022" s="22">
        <v>45876</v>
      </c>
      <c r="B7022" s="1">
        <v>161125705</v>
      </c>
      <c r="C7022" t="s">
        <v>82</v>
      </c>
      <c r="D7022" s="44">
        <v>365000</v>
      </c>
      <c r="E7022" t="s">
        <v>45</v>
      </c>
      <c r="F7022" s="2">
        <v>210115002</v>
      </c>
      <c r="G7022" s="2" t="s">
        <v>46</v>
      </c>
      <c r="I7022" s="95" t="s">
        <v>7231</v>
      </c>
      <c r="K7022" t="s">
        <v>82</v>
      </c>
      <c r="M7022">
        <v>129.05000000000001</v>
      </c>
      <c r="N7022" s="4">
        <f t="shared" si="109"/>
        <v>2828.3611003487017</v>
      </c>
      <c r="O7022" t="s">
        <v>83</v>
      </c>
    </row>
    <row r="7023" spans="1:17" x14ac:dyDescent="0.25">
      <c r="A7023" s="22">
        <v>45876</v>
      </c>
      <c r="C7023" t="s">
        <v>3739</v>
      </c>
      <c r="D7023" s="44">
        <v>-126.28</v>
      </c>
      <c r="E7023" t="s">
        <v>35</v>
      </c>
      <c r="F7023" s="2">
        <v>610148001</v>
      </c>
      <c r="G7023" s="2" t="s">
        <v>41</v>
      </c>
      <c r="I7023" s="95" t="s">
        <v>7231</v>
      </c>
      <c r="J7023" t="s">
        <v>42</v>
      </c>
      <c r="K7023" t="s">
        <v>41</v>
      </c>
      <c r="M7023">
        <v>129.05000000000001</v>
      </c>
      <c r="N7023" s="4">
        <f t="shared" si="109"/>
        <v>-0.97853545137543585</v>
      </c>
      <c r="O7023" t="s">
        <v>83</v>
      </c>
      <c r="Q7023" s="24" t="s">
        <v>5251</v>
      </c>
    </row>
    <row r="7024" spans="1:17" x14ac:dyDescent="0.25">
      <c r="A7024" s="22">
        <v>45876</v>
      </c>
      <c r="B7024" s="1">
        <v>108798</v>
      </c>
      <c r="C7024" t="s">
        <v>5353</v>
      </c>
      <c r="D7024" s="44">
        <v>-363377.71</v>
      </c>
      <c r="E7024" t="s">
        <v>35</v>
      </c>
      <c r="F7024" s="2">
        <v>210601001</v>
      </c>
      <c r="G7024" s="2" t="s">
        <v>272</v>
      </c>
      <c r="I7024" s="95" t="s">
        <v>7231</v>
      </c>
      <c r="J7024" t="s">
        <v>273</v>
      </c>
      <c r="K7024" t="s">
        <v>274</v>
      </c>
      <c r="M7024">
        <v>129.05000000000001</v>
      </c>
      <c r="N7024" s="4">
        <f t="shared" si="109"/>
        <v>-2815.7900813638125</v>
      </c>
      <c r="O7024" t="s">
        <v>83</v>
      </c>
      <c r="Q7024" s="24" t="s">
        <v>5354</v>
      </c>
    </row>
    <row r="7025" spans="1:15" x14ac:dyDescent="0.25">
      <c r="A7025" s="22">
        <v>45877</v>
      </c>
      <c r="B7025" s="1">
        <v>134407727</v>
      </c>
      <c r="C7025" t="s">
        <v>82</v>
      </c>
      <c r="D7025" s="44">
        <v>586000</v>
      </c>
      <c r="E7025" t="s">
        <v>45</v>
      </c>
      <c r="F7025" s="2">
        <v>210115002</v>
      </c>
      <c r="G7025" s="2" t="s">
        <v>46</v>
      </c>
      <c r="I7025" s="95" t="s">
        <v>7231</v>
      </c>
      <c r="K7025" t="s">
        <v>82</v>
      </c>
      <c r="M7025">
        <v>130.07</v>
      </c>
      <c r="N7025" s="4">
        <f t="shared" si="109"/>
        <v>4505.2663950180677</v>
      </c>
      <c r="O7025" t="s">
        <v>83</v>
      </c>
    </row>
    <row r="7026" spans="1:15" x14ac:dyDescent="0.25">
      <c r="A7026" s="22">
        <v>45877</v>
      </c>
      <c r="B7026" s="1">
        <v>116324722</v>
      </c>
      <c r="C7026" t="s">
        <v>5355</v>
      </c>
      <c r="D7026" s="44">
        <v>-9033.5</v>
      </c>
      <c r="E7026" t="s">
        <v>35</v>
      </c>
      <c r="F7026" s="2">
        <v>212901001</v>
      </c>
      <c r="G7026" s="2" t="s">
        <v>91</v>
      </c>
      <c r="I7026" s="95" t="s">
        <v>7231</v>
      </c>
      <c r="J7026" t="s">
        <v>61</v>
      </c>
      <c r="K7026" t="s">
        <v>62</v>
      </c>
      <c r="M7026">
        <v>130.07</v>
      </c>
      <c r="N7026" s="4">
        <f t="shared" si="109"/>
        <v>-69.451064811255478</v>
      </c>
      <c r="O7026" t="s">
        <v>83</v>
      </c>
    </row>
    <row r="7027" spans="1:15" x14ac:dyDescent="0.25">
      <c r="A7027" s="22">
        <v>45877</v>
      </c>
      <c r="B7027" s="1">
        <v>116324724</v>
      </c>
      <c r="C7027" t="s">
        <v>5356</v>
      </c>
      <c r="D7027" s="44">
        <v>-6452.5</v>
      </c>
      <c r="E7027" t="s">
        <v>35</v>
      </c>
      <c r="F7027" s="2">
        <v>212901001</v>
      </c>
      <c r="G7027" s="2" t="s">
        <v>91</v>
      </c>
      <c r="I7027" s="95" t="s">
        <v>7231</v>
      </c>
      <c r="J7027" t="s">
        <v>61</v>
      </c>
      <c r="K7027" t="s">
        <v>62</v>
      </c>
      <c r="M7027">
        <v>130.07</v>
      </c>
      <c r="N7027" s="4">
        <f t="shared" si="109"/>
        <v>-49.60790343661106</v>
      </c>
      <c r="O7027" t="s">
        <v>83</v>
      </c>
    </row>
    <row r="7028" spans="1:15" x14ac:dyDescent="0.25">
      <c r="A7028" s="22">
        <v>45877</v>
      </c>
      <c r="B7028" s="1">
        <v>116324721</v>
      </c>
      <c r="C7028" t="s">
        <v>5357</v>
      </c>
      <c r="D7028" s="44">
        <v>-9033.5</v>
      </c>
      <c r="E7028" t="s">
        <v>35</v>
      </c>
      <c r="F7028" s="2">
        <v>212901001</v>
      </c>
      <c r="G7028" s="2" t="s">
        <v>91</v>
      </c>
      <c r="I7028" s="95" t="s">
        <v>7231</v>
      </c>
      <c r="J7028" t="s">
        <v>61</v>
      </c>
      <c r="K7028" t="s">
        <v>62</v>
      </c>
      <c r="M7028">
        <v>130.07</v>
      </c>
      <c r="N7028" s="4">
        <f t="shared" si="109"/>
        <v>-69.451064811255478</v>
      </c>
      <c r="O7028" t="s">
        <v>83</v>
      </c>
    </row>
    <row r="7029" spans="1:15" x14ac:dyDescent="0.25">
      <c r="A7029" s="22">
        <v>45877</v>
      </c>
      <c r="B7029" s="1">
        <v>116324729</v>
      </c>
      <c r="C7029" t="s">
        <v>5358</v>
      </c>
      <c r="D7029" s="44">
        <v>-6452.5</v>
      </c>
      <c r="E7029" t="s">
        <v>35</v>
      </c>
      <c r="F7029" s="2">
        <v>212901001</v>
      </c>
      <c r="G7029" s="2" t="s">
        <v>91</v>
      </c>
      <c r="I7029" s="95" t="s">
        <v>7231</v>
      </c>
      <c r="J7029" t="s">
        <v>61</v>
      </c>
      <c r="K7029" t="s">
        <v>62</v>
      </c>
      <c r="M7029">
        <v>130.07</v>
      </c>
      <c r="N7029" s="4">
        <f t="shared" si="109"/>
        <v>-49.60790343661106</v>
      </c>
      <c r="O7029" t="s">
        <v>83</v>
      </c>
    </row>
    <row r="7030" spans="1:15" x14ac:dyDescent="0.25">
      <c r="A7030" s="22">
        <v>45877</v>
      </c>
      <c r="B7030" s="1">
        <v>116324728</v>
      </c>
      <c r="C7030" t="s">
        <v>5359</v>
      </c>
      <c r="D7030" s="44">
        <v>-6452.5</v>
      </c>
      <c r="E7030" t="s">
        <v>35</v>
      </c>
      <c r="F7030" s="2">
        <v>212901001</v>
      </c>
      <c r="G7030" s="2" t="s">
        <v>91</v>
      </c>
      <c r="I7030" s="95" t="s">
        <v>7231</v>
      </c>
      <c r="J7030" t="s">
        <v>61</v>
      </c>
      <c r="K7030" t="s">
        <v>62</v>
      </c>
      <c r="M7030">
        <v>130.07</v>
      </c>
      <c r="N7030" s="4">
        <f t="shared" si="109"/>
        <v>-49.60790343661106</v>
      </c>
      <c r="O7030" t="s">
        <v>83</v>
      </c>
    </row>
    <row r="7031" spans="1:15" x14ac:dyDescent="0.25">
      <c r="A7031" s="22">
        <v>45877</v>
      </c>
      <c r="B7031" s="1">
        <v>116324725</v>
      </c>
      <c r="C7031" t="s">
        <v>5360</v>
      </c>
      <c r="D7031" s="44">
        <v>-9033.5</v>
      </c>
      <c r="E7031" t="s">
        <v>35</v>
      </c>
      <c r="F7031" s="2">
        <v>212901001</v>
      </c>
      <c r="G7031" s="2" t="s">
        <v>91</v>
      </c>
      <c r="I7031" s="95" t="s">
        <v>7231</v>
      </c>
      <c r="J7031" t="s">
        <v>61</v>
      </c>
      <c r="K7031" t="s">
        <v>62</v>
      </c>
      <c r="M7031">
        <v>130.07</v>
      </c>
      <c r="N7031" s="4">
        <f t="shared" si="109"/>
        <v>-69.451064811255478</v>
      </c>
      <c r="O7031" t="s">
        <v>83</v>
      </c>
    </row>
    <row r="7032" spans="1:15" x14ac:dyDescent="0.25">
      <c r="A7032" s="22">
        <v>45877</v>
      </c>
      <c r="B7032" s="1">
        <v>216324732</v>
      </c>
      <c r="C7032" t="s">
        <v>5361</v>
      </c>
      <c r="D7032" s="44">
        <v>-6452.5</v>
      </c>
      <c r="E7032" t="s">
        <v>35</v>
      </c>
      <c r="F7032" s="2">
        <v>212901001</v>
      </c>
      <c r="G7032" s="2" t="s">
        <v>91</v>
      </c>
      <c r="I7032" s="95" t="s">
        <v>7231</v>
      </c>
      <c r="J7032" t="s">
        <v>61</v>
      </c>
      <c r="K7032" t="s">
        <v>62</v>
      </c>
      <c r="M7032">
        <v>130.07</v>
      </c>
      <c r="N7032" s="4">
        <f t="shared" si="109"/>
        <v>-49.60790343661106</v>
      </c>
      <c r="O7032" t="s">
        <v>83</v>
      </c>
    </row>
    <row r="7033" spans="1:15" x14ac:dyDescent="0.25">
      <c r="A7033" s="22">
        <v>45877</v>
      </c>
      <c r="B7033" s="1">
        <v>116324727</v>
      </c>
      <c r="C7033" t="s">
        <v>5362</v>
      </c>
      <c r="D7033" s="44">
        <v>-6452.5</v>
      </c>
      <c r="E7033" t="s">
        <v>35</v>
      </c>
      <c r="F7033" s="2">
        <v>212901001</v>
      </c>
      <c r="G7033" s="2" t="s">
        <v>91</v>
      </c>
      <c r="I7033" s="95" t="s">
        <v>7231</v>
      </c>
      <c r="J7033" t="s">
        <v>61</v>
      </c>
      <c r="K7033" t="s">
        <v>62</v>
      </c>
      <c r="M7033">
        <v>130.07</v>
      </c>
      <c r="N7033" s="4">
        <f t="shared" si="109"/>
        <v>-49.60790343661106</v>
      </c>
      <c r="O7033" t="s">
        <v>83</v>
      </c>
    </row>
    <row r="7034" spans="1:15" x14ac:dyDescent="0.25">
      <c r="A7034" s="22">
        <v>45877</v>
      </c>
      <c r="B7034" s="1">
        <v>216324731</v>
      </c>
      <c r="C7034" t="s">
        <v>5363</v>
      </c>
      <c r="D7034" s="44">
        <v>-6452.5</v>
      </c>
      <c r="E7034" t="s">
        <v>35</v>
      </c>
      <c r="F7034" s="2">
        <v>212901001</v>
      </c>
      <c r="G7034" s="2" t="s">
        <v>91</v>
      </c>
      <c r="I7034" s="95" t="s">
        <v>7231</v>
      </c>
      <c r="J7034" t="s">
        <v>61</v>
      </c>
      <c r="K7034" t="s">
        <v>62</v>
      </c>
      <c r="M7034">
        <v>130.07</v>
      </c>
      <c r="N7034" s="4">
        <f t="shared" si="109"/>
        <v>-49.60790343661106</v>
      </c>
      <c r="O7034" t="s">
        <v>83</v>
      </c>
    </row>
    <row r="7035" spans="1:15" x14ac:dyDescent="0.25">
      <c r="A7035" s="22">
        <v>45877</v>
      </c>
      <c r="B7035" s="1">
        <v>216324733</v>
      </c>
      <c r="C7035" t="s">
        <v>5364</v>
      </c>
      <c r="D7035" s="44">
        <v>-5420.1</v>
      </c>
      <c r="E7035" t="s">
        <v>35</v>
      </c>
      <c r="F7035" s="2">
        <v>212901001</v>
      </c>
      <c r="G7035" s="2" t="s">
        <v>91</v>
      </c>
      <c r="I7035" s="95" t="s">
        <v>7231</v>
      </c>
      <c r="J7035" t="s">
        <v>61</v>
      </c>
      <c r="K7035" t="s">
        <v>62</v>
      </c>
      <c r="M7035">
        <v>130.07</v>
      </c>
      <c r="N7035" s="4">
        <f t="shared" si="109"/>
        <v>-41.670638886753295</v>
      </c>
      <c r="O7035" t="s">
        <v>83</v>
      </c>
    </row>
    <row r="7036" spans="1:15" x14ac:dyDescent="0.25">
      <c r="A7036" s="22">
        <v>45877</v>
      </c>
      <c r="B7036" s="1">
        <v>216324734</v>
      </c>
      <c r="C7036" t="s">
        <v>5365</v>
      </c>
      <c r="D7036" s="44">
        <v>-6452.5</v>
      </c>
      <c r="E7036" t="s">
        <v>35</v>
      </c>
      <c r="F7036" s="2">
        <v>212901001</v>
      </c>
      <c r="G7036" s="2" t="s">
        <v>91</v>
      </c>
      <c r="I7036" s="95" t="s">
        <v>7231</v>
      </c>
      <c r="J7036" t="s">
        <v>61</v>
      </c>
      <c r="K7036" t="s">
        <v>62</v>
      </c>
      <c r="M7036">
        <v>130.07</v>
      </c>
      <c r="N7036" s="4">
        <f t="shared" si="109"/>
        <v>-49.60790343661106</v>
      </c>
      <c r="O7036" t="s">
        <v>83</v>
      </c>
    </row>
    <row r="7037" spans="1:15" x14ac:dyDescent="0.25">
      <c r="A7037" s="22">
        <v>45877</v>
      </c>
      <c r="B7037" s="1">
        <v>116324730</v>
      </c>
      <c r="C7037" t="s">
        <v>5366</v>
      </c>
      <c r="D7037" s="44">
        <v>-6452.5</v>
      </c>
      <c r="E7037" t="s">
        <v>35</v>
      </c>
      <c r="F7037" s="2">
        <v>212901001</v>
      </c>
      <c r="G7037" s="2" t="s">
        <v>91</v>
      </c>
      <c r="I7037" s="95" t="s">
        <v>7231</v>
      </c>
      <c r="J7037" t="s">
        <v>61</v>
      </c>
      <c r="K7037" t="s">
        <v>62</v>
      </c>
      <c r="M7037">
        <v>130.07</v>
      </c>
      <c r="N7037" s="4">
        <f t="shared" si="109"/>
        <v>-49.60790343661106</v>
      </c>
      <c r="O7037" t="s">
        <v>83</v>
      </c>
    </row>
    <row r="7038" spans="1:15" x14ac:dyDescent="0.25">
      <c r="A7038" s="22">
        <v>45877</v>
      </c>
      <c r="B7038" s="1">
        <v>216324735</v>
      </c>
      <c r="C7038" t="s">
        <v>5367</v>
      </c>
      <c r="D7038" s="44">
        <v>-6452.5</v>
      </c>
      <c r="E7038" t="s">
        <v>35</v>
      </c>
      <c r="F7038" s="2">
        <v>212901001</v>
      </c>
      <c r="G7038" s="2" t="s">
        <v>91</v>
      </c>
      <c r="I7038" s="95" t="s">
        <v>7231</v>
      </c>
      <c r="J7038" t="s">
        <v>61</v>
      </c>
      <c r="K7038" t="s">
        <v>62</v>
      </c>
      <c r="M7038">
        <v>130.07</v>
      </c>
      <c r="N7038" s="4">
        <f t="shared" si="109"/>
        <v>-49.60790343661106</v>
      </c>
      <c r="O7038" t="s">
        <v>83</v>
      </c>
    </row>
    <row r="7039" spans="1:15" x14ac:dyDescent="0.25">
      <c r="A7039" s="22">
        <v>45877</v>
      </c>
      <c r="B7039" s="1">
        <v>216324736</v>
      </c>
      <c r="C7039" t="s">
        <v>5368</v>
      </c>
      <c r="D7039" s="44">
        <v>-6452.5</v>
      </c>
      <c r="E7039" t="s">
        <v>35</v>
      </c>
      <c r="F7039" s="2">
        <v>212901001</v>
      </c>
      <c r="G7039" s="2" t="s">
        <v>91</v>
      </c>
      <c r="I7039" s="95" t="s">
        <v>7231</v>
      </c>
      <c r="J7039" t="s">
        <v>61</v>
      </c>
      <c r="K7039" t="s">
        <v>62</v>
      </c>
      <c r="M7039">
        <v>130.07</v>
      </c>
      <c r="N7039" s="4">
        <f t="shared" si="109"/>
        <v>-49.60790343661106</v>
      </c>
      <c r="O7039" t="s">
        <v>83</v>
      </c>
    </row>
    <row r="7040" spans="1:15" x14ac:dyDescent="0.25">
      <c r="A7040" s="22">
        <v>45877</v>
      </c>
      <c r="B7040" s="1">
        <v>216324737</v>
      </c>
      <c r="C7040" t="s">
        <v>5360</v>
      </c>
      <c r="D7040" s="44">
        <v>-6452.5</v>
      </c>
      <c r="E7040" t="s">
        <v>35</v>
      </c>
      <c r="F7040" s="2">
        <v>212901001</v>
      </c>
      <c r="G7040" s="2" t="s">
        <v>91</v>
      </c>
      <c r="I7040" s="95" t="s">
        <v>7231</v>
      </c>
      <c r="J7040" t="s">
        <v>61</v>
      </c>
      <c r="K7040" t="s">
        <v>62</v>
      </c>
      <c r="M7040">
        <v>130.07</v>
      </c>
      <c r="N7040" s="4">
        <f t="shared" si="109"/>
        <v>-49.60790343661106</v>
      </c>
      <c r="O7040" t="s">
        <v>83</v>
      </c>
    </row>
    <row r="7041" spans="1:15" x14ac:dyDescent="0.25">
      <c r="A7041" s="22">
        <v>45877</v>
      </c>
      <c r="B7041" s="1">
        <v>316324740</v>
      </c>
      <c r="C7041" t="s">
        <v>5369</v>
      </c>
      <c r="D7041" s="44">
        <v>-2581</v>
      </c>
      <c r="E7041" t="s">
        <v>35</v>
      </c>
      <c r="F7041" s="2">
        <v>212901001</v>
      </c>
      <c r="G7041" s="2" t="s">
        <v>91</v>
      </c>
      <c r="I7041" s="95" t="s">
        <v>7231</v>
      </c>
      <c r="J7041" t="s">
        <v>61</v>
      </c>
      <c r="K7041" t="s">
        <v>62</v>
      </c>
      <c r="M7041">
        <v>130.07</v>
      </c>
      <c r="N7041" s="4">
        <f t="shared" si="109"/>
        <v>-19.843161374644424</v>
      </c>
      <c r="O7041" t="s">
        <v>83</v>
      </c>
    </row>
    <row r="7042" spans="1:15" x14ac:dyDescent="0.25">
      <c r="A7042" s="22">
        <v>45877</v>
      </c>
      <c r="B7042" s="1">
        <v>316324738</v>
      </c>
      <c r="C7042" t="s">
        <v>5370</v>
      </c>
      <c r="D7042" s="44">
        <v>-6452.5</v>
      </c>
      <c r="E7042" t="s">
        <v>35</v>
      </c>
      <c r="F7042" s="2">
        <v>212901001</v>
      </c>
      <c r="G7042" s="2" t="s">
        <v>91</v>
      </c>
      <c r="I7042" s="95" t="s">
        <v>7231</v>
      </c>
      <c r="J7042" t="s">
        <v>61</v>
      </c>
      <c r="K7042" t="s">
        <v>62</v>
      </c>
      <c r="M7042">
        <v>130.07</v>
      </c>
      <c r="N7042" s="4">
        <f t="shared" si="109"/>
        <v>-49.60790343661106</v>
      </c>
      <c r="O7042" t="s">
        <v>83</v>
      </c>
    </row>
    <row r="7043" spans="1:15" x14ac:dyDescent="0.25">
      <c r="A7043" s="22">
        <v>45877</v>
      </c>
      <c r="B7043" s="1">
        <v>316324739</v>
      </c>
      <c r="C7043" t="s">
        <v>5371</v>
      </c>
      <c r="D7043" s="44">
        <v>-6452.5</v>
      </c>
      <c r="E7043" t="s">
        <v>35</v>
      </c>
      <c r="F7043" s="2">
        <v>212901001</v>
      </c>
      <c r="G7043" s="2" t="s">
        <v>91</v>
      </c>
      <c r="I7043" s="95" t="s">
        <v>7231</v>
      </c>
      <c r="J7043" t="s">
        <v>61</v>
      </c>
      <c r="K7043" t="s">
        <v>62</v>
      </c>
      <c r="M7043">
        <v>130.07</v>
      </c>
      <c r="N7043" s="4">
        <f t="shared" si="109"/>
        <v>-49.60790343661106</v>
      </c>
      <c r="O7043" t="s">
        <v>83</v>
      </c>
    </row>
    <row r="7044" spans="1:15" x14ac:dyDescent="0.25">
      <c r="A7044" s="22">
        <v>45877</v>
      </c>
      <c r="B7044" s="1">
        <v>316324742</v>
      </c>
      <c r="C7044" t="s">
        <v>5372</v>
      </c>
      <c r="D7044" s="44">
        <v>-2581</v>
      </c>
      <c r="E7044" t="s">
        <v>35</v>
      </c>
      <c r="F7044" s="2">
        <v>212901001</v>
      </c>
      <c r="G7044" s="2" t="s">
        <v>91</v>
      </c>
      <c r="I7044" s="95" t="s">
        <v>7231</v>
      </c>
      <c r="J7044" t="s">
        <v>61</v>
      </c>
      <c r="K7044" t="s">
        <v>62</v>
      </c>
      <c r="M7044">
        <v>130.07</v>
      </c>
      <c r="N7044" s="4">
        <f t="shared" si="109"/>
        <v>-19.843161374644424</v>
      </c>
      <c r="O7044" t="s">
        <v>83</v>
      </c>
    </row>
    <row r="7045" spans="1:15" x14ac:dyDescent="0.25">
      <c r="A7045" s="22">
        <v>45877</v>
      </c>
      <c r="B7045" s="1">
        <v>416324747</v>
      </c>
      <c r="C7045" t="s">
        <v>5373</v>
      </c>
      <c r="D7045" s="44">
        <v>-15744.1</v>
      </c>
      <c r="E7045" t="s">
        <v>35</v>
      </c>
      <c r="F7045" s="2">
        <v>212901001</v>
      </c>
      <c r="G7045" s="2" t="s">
        <v>91</v>
      </c>
      <c r="I7045" s="95" t="s">
        <v>7231</v>
      </c>
      <c r="J7045" t="s">
        <v>61</v>
      </c>
      <c r="K7045" t="s">
        <v>62</v>
      </c>
      <c r="M7045">
        <v>130.07</v>
      </c>
      <c r="N7045" s="4">
        <f t="shared" si="109"/>
        <v>-121.04328438533099</v>
      </c>
      <c r="O7045" t="s">
        <v>83</v>
      </c>
    </row>
    <row r="7046" spans="1:15" x14ac:dyDescent="0.25">
      <c r="A7046" s="22">
        <v>45877</v>
      </c>
      <c r="B7046" s="1">
        <v>316324746</v>
      </c>
      <c r="C7046" t="s">
        <v>5374</v>
      </c>
      <c r="D7046" s="44">
        <v>-25810</v>
      </c>
      <c r="E7046" t="s">
        <v>35</v>
      </c>
      <c r="F7046" s="2">
        <v>212901001</v>
      </c>
      <c r="G7046" s="2" t="s">
        <v>91</v>
      </c>
      <c r="I7046" s="95" t="s">
        <v>7231</v>
      </c>
      <c r="J7046" t="s">
        <v>61</v>
      </c>
      <c r="K7046" t="s">
        <v>62</v>
      </c>
      <c r="M7046">
        <v>130.07</v>
      </c>
      <c r="N7046" s="4">
        <f t="shared" si="109"/>
        <v>-198.43161374644424</v>
      </c>
      <c r="O7046" t="s">
        <v>83</v>
      </c>
    </row>
    <row r="7047" spans="1:15" x14ac:dyDescent="0.25">
      <c r="A7047" s="22">
        <v>45877</v>
      </c>
      <c r="B7047" s="1">
        <v>316324745</v>
      </c>
      <c r="C7047" t="s">
        <v>5375</v>
      </c>
      <c r="D7047" s="44">
        <v>-12905</v>
      </c>
      <c r="E7047" t="s">
        <v>35</v>
      </c>
      <c r="F7047" s="2">
        <v>212901001</v>
      </c>
      <c r="G7047" s="2" t="s">
        <v>91</v>
      </c>
      <c r="I7047" s="95" t="s">
        <v>7231</v>
      </c>
      <c r="J7047" t="s">
        <v>61</v>
      </c>
      <c r="K7047" t="s">
        <v>62</v>
      </c>
      <c r="M7047">
        <v>130.07</v>
      </c>
      <c r="N7047" s="4">
        <f t="shared" si="109"/>
        <v>-99.215806873222121</v>
      </c>
      <c r="O7047" t="s">
        <v>83</v>
      </c>
    </row>
    <row r="7048" spans="1:15" x14ac:dyDescent="0.25">
      <c r="A7048" s="22">
        <v>45877</v>
      </c>
      <c r="B7048" s="1">
        <v>416324748</v>
      </c>
      <c r="C7048" t="s">
        <v>5376</v>
      </c>
      <c r="D7048" s="44">
        <v>-3871.5</v>
      </c>
      <c r="E7048" t="s">
        <v>35</v>
      </c>
      <c r="F7048" s="2">
        <v>212901001</v>
      </c>
      <c r="G7048" s="2" t="s">
        <v>91</v>
      </c>
      <c r="I7048" s="95" t="s">
        <v>7231</v>
      </c>
      <c r="J7048" t="s">
        <v>61</v>
      </c>
      <c r="K7048" t="s">
        <v>62</v>
      </c>
      <c r="M7048">
        <v>130.07</v>
      </c>
      <c r="N7048" s="4">
        <f t="shared" si="109"/>
        <v>-29.764742061966636</v>
      </c>
      <c r="O7048" t="s">
        <v>83</v>
      </c>
    </row>
    <row r="7049" spans="1:15" x14ac:dyDescent="0.25">
      <c r="A7049" s="22">
        <v>45877</v>
      </c>
      <c r="B7049" s="1">
        <v>416324749</v>
      </c>
      <c r="C7049" t="s">
        <v>5377</v>
      </c>
      <c r="D7049" s="44">
        <v>-5162</v>
      </c>
      <c r="E7049" t="s">
        <v>35</v>
      </c>
      <c r="F7049" s="2">
        <v>212901001</v>
      </c>
      <c r="G7049" s="2" t="s">
        <v>91</v>
      </c>
      <c r="I7049" s="95" t="s">
        <v>7231</v>
      </c>
      <c r="J7049" t="s">
        <v>61</v>
      </c>
      <c r="K7049" t="s">
        <v>62</v>
      </c>
      <c r="M7049">
        <v>130.07</v>
      </c>
      <c r="N7049" s="4">
        <f t="shared" si="109"/>
        <v>-39.686322749288848</v>
      </c>
      <c r="O7049" t="s">
        <v>83</v>
      </c>
    </row>
    <row r="7050" spans="1:15" x14ac:dyDescent="0.25">
      <c r="A7050" s="22">
        <v>45877</v>
      </c>
      <c r="B7050" s="1">
        <v>316324743</v>
      </c>
      <c r="C7050" t="s">
        <v>5378</v>
      </c>
      <c r="D7050" s="44">
        <v>-2581</v>
      </c>
      <c r="E7050" t="s">
        <v>35</v>
      </c>
      <c r="F7050" s="2">
        <v>212901001</v>
      </c>
      <c r="G7050" s="2" t="s">
        <v>91</v>
      </c>
      <c r="I7050" s="95" t="s">
        <v>7231</v>
      </c>
      <c r="J7050" t="s">
        <v>61</v>
      </c>
      <c r="K7050" t="s">
        <v>62</v>
      </c>
      <c r="M7050">
        <v>130.07</v>
      </c>
      <c r="N7050" s="4">
        <f t="shared" si="109"/>
        <v>-19.843161374644424</v>
      </c>
      <c r="O7050" t="s">
        <v>83</v>
      </c>
    </row>
    <row r="7051" spans="1:15" x14ac:dyDescent="0.25">
      <c r="A7051" s="22">
        <v>45877</v>
      </c>
      <c r="B7051" s="1">
        <v>316324741</v>
      </c>
      <c r="C7051" t="s">
        <v>5379</v>
      </c>
      <c r="D7051" s="44">
        <v>-2581</v>
      </c>
      <c r="E7051" t="s">
        <v>35</v>
      </c>
      <c r="F7051" s="2">
        <v>212901001</v>
      </c>
      <c r="G7051" s="2" t="s">
        <v>91</v>
      </c>
      <c r="I7051" s="95" t="s">
        <v>7231</v>
      </c>
      <c r="J7051" t="s">
        <v>61</v>
      </c>
      <c r="K7051" t="s">
        <v>62</v>
      </c>
      <c r="M7051">
        <v>130.07</v>
      </c>
      <c r="N7051" s="4">
        <f t="shared" si="109"/>
        <v>-19.843161374644424</v>
      </c>
      <c r="O7051" t="s">
        <v>83</v>
      </c>
    </row>
    <row r="7052" spans="1:15" x14ac:dyDescent="0.25">
      <c r="A7052" s="22">
        <v>45877</v>
      </c>
      <c r="B7052" s="1">
        <v>416324750</v>
      </c>
      <c r="C7052" t="s">
        <v>5380</v>
      </c>
      <c r="D7052" s="44">
        <v>-10324</v>
      </c>
      <c r="E7052" t="s">
        <v>35</v>
      </c>
      <c r="F7052" s="2">
        <v>212901001</v>
      </c>
      <c r="G7052" s="2" t="s">
        <v>91</v>
      </c>
      <c r="I7052" s="95" t="s">
        <v>7231</v>
      </c>
      <c r="J7052" t="s">
        <v>61</v>
      </c>
      <c r="K7052" t="s">
        <v>62</v>
      </c>
      <c r="M7052">
        <v>130.07</v>
      </c>
      <c r="N7052" s="4">
        <f t="shared" ref="N7052:N7115" si="110">D7052/M7052</f>
        <v>-79.372645498577697</v>
      </c>
      <c r="O7052" t="s">
        <v>83</v>
      </c>
    </row>
    <row r="7053" spans="1:15" x14ac:dyDescent="0.25">
      <c r="A7053" s="22">
        <v>45877</v>
      </c>
      <c r="B7053" s="1">
        <v>416324753</v>
      </c>
      <c r="C7053" t="s">
        <v>5381</v>
      </c>
      <c r="D7053" s="44">
        <v>-7743</v>
      </c>
      <c r="E7053" t="s">
        <v>35</v>
      </c>
      <c r="F7053" s="2">
        <v>212901001</v>
      </c>
      <c r="G7053" s="2" t="s">
        <v>91</v>
      </c>
      <c r="I7053" s="95" t="s">
        <v>7231</v>
      </c>
      <c r="J7053" t="s">
        <v>61</v>
      </c>
      <c r="K7053" t="s">
        <v>62</v>
      </c>
      <c r="M7053">
        <v>130.07</v>
      </c>
      <c r="N7053" s="4">
        <f t="shared" si="110"/>
        <v>-59.529484123933273</v>
      </c>
      <c r="O7053" t="s">
        <v>83</v>
      </c>
    </row>
    <row r="7054" spans="1:15" x14ac:dyDescent="0.25">
      <c r="A7054" s="22">
        <v>45877</v>
      </c>
      <c r="B7054" s="1">
        <v>416324751</v>
      </c>
      <c r="C7054" t="s">
        <v>5382</v>
      </c>
      <c r="D7054" s="44">
        <v>-7743</v>
      </c>
      <c r="E7054" t="s">
        <v>35</v>
      </c>
      <c r="F7054" s="2">
        <v>212901001</v>
      </c>
      <c r="G7054" s="2" t="s">
        <v>91</v>
      </c>
      <c r="I7054" s="95" t="s">
        <v>7231</v>
      </c>
      <c r="J7054" t="s">
        <v>61</v>
      </c>
      <c r="K7054" t="s">
        <v>62</v>
      </c>
      <c r="M7054">
        <v>130.07</v>
      </c>
      <c r="N7054" s="4">
        <f t="shared" si="110"/>
        <v>-59.529484123933273</v>
      </c>
      <c r="O7054" t="s">
        <v>83</v>
      </c>
    </row>
    <row r="7055" spans="1:15" x14ac:dyDescent="0.25">
      <c r="A7055" s="22">
        <v>45877</v>
      </c>
      <c r="B7055" s="1">
        <v>416324755</v>
      </c>
      <c r="C7055" t="s">
        <v>5383</v>
      </c>
      <c r="D7055" s="44">
        <v>-7743</v>
      </c>
      <c r="E7055" t="s">
        <v>35</v>
      </c>
      <c r="F7055" s="2">
        <v>212901001</v>
      </c>
      <c r="G7055" s="2" t="s">
        <v>91</v>
      </c>
      <c r="I7055" s="95" t="s">
        <v>7231</v>
      </c>
      <c r="J7055" t="s">
        <v>61</v>
      </c>
      <c r="K7055" t="s">
        <v>62</v>
      </c>
      <c r="M7055">
        <v>130.07</v>
      </c>
      <c r="N7055" s="4">
        <f t="shared" si="110"/>
        <v>-59.529484123933273</v>
      </c>
      <c r="O7055" t="s">
        <v>83</v>
      </c>
    </row>
    <row r="7056" spans="1:15" x14ac:dyDescent="0.25">
      <c r="A7056" s="22">
        <v>45877</v>
      </c>
      <c r="B7056" s="1">
        <v>416324754</v>
      </c>
      <c r="C7056" t="s">
        <v>5384</v>
      </c>
      <c r="D7056" s="44">
        <v>-7743</v>
      </c>
      <c r="E7056" t="s">
        <v>35</v>
      </c>
      <c r="F7056" s="2">
        <v>212901001</v>
      </c>
      <c r="G7056" s="2" t="s">
        <v>91</v>
      </c>
      <c r="I7056" s="95" t="s">
        <v>7231</v>
      </c>
      <c r="J7056" t="s">
        <v>61</v>
      </c>
      <c r="K7056" t="s">
        <v>62</v>
      </c>
      <c r="M7056">
        <v>130.07</v>
      </c>
      <c r="N7056" s="4">
        <f t="shared" si="110"/>
        <v>-59.529484123933273</v>
      </c>
      <c r="O7056" t="s">
        <v>83</v>
      </c>
    </row>
    <row r="7057" spans="1:15" x14ac:dyDescent="0.25">
      <c r="A7057" s="22">
        <v>45877</v>
      </c>
      <c r="B7057" s="1">
        <v>416324752</v>
      </c>
      <c r="C7057" t="s">
        <v>5385</v>
      </c>
      <c r="D7057" s="44">
        <v>-7743</v>
      </c>
      <c r="E7057" t="s">
        <v>35</v>
      </c>
      <c r="F7057" s="2">
        <v>212901001</v>
      </c>
      <c r="G7057" s="2" t="s">
        <v>91</v>
      </c>
      <c r="I7057" s="95" t="s">
        <v>7231</v>
      </c>
      <c r="J7057" t="s">
        <v>61</v>
      </c>
      <c r="K7057" t="s">
        <v>62</v>
      </c>
      <c r="M7057">
        <v>130.07</v>
      </c>
      <c r="N7057" s="4">
        <f t="shared" si="110"/>
        <v>-59.529484123933273</v>
      </c>
      <c r="O7057" t="s">
        <v>83</v>
      </c>
    </row>
    <row r="7058" spans="1:15" x14ac:dyDescent="0.25">
      <c r="A7058" s="22">
        <v>45877</v>
      </c>
      <c r="B7058" s="1">
        <v>516324756</v>
      </c>
      <c r="C7058" t="s">
        <v>5386</v>
      </c>
      <c r="D7058" s="44">
        <v>-7743</v>
      </c>
      <c r="E7058" t="s">
        <v>35</v>
      </c>
      <c r="F7058" s="2">
        <v>212901001</v>
      </c>
      <c r="G7058" s="2" t="s">
        <v>91</v>
      </c>
      <c r="I7058" s="95" t="s">
        <v>7231</v>
      </c>
      <c r="J7058" t="s">
        <v>61</v>
      </c>
      <c r="K7058" t="s">
        <v>62</v>
      </c>
      <c r="M7058">
        <v>130.07</v>
      </c>
      <c r="N7058" s="4">
        <f t="shared" si="110"/>
        <v>-59.529484123933273</v>
      </c>
      <c r="O7058" t="s">
        <v>83</v>
      </c>
    </row>
    <row r="7059" spans="1:15" x14ac:dyDescent="0.25">
      <c r="A7059" s="22">
        <v>45877</v>
      </c>
      <c r="B7059" s="1">
        <v>516324757</v>
      </c>
      <c r="C7059" t="s">
        <v>5387</v>
      </c>
      <c r="D7059" s="44">
        <v>-7743</v>
      </c>
      <c r="E7059" t="s">
        <v>35</v>
      </c>
      <c r="F7059" s="2">
        <v>212901001</v>
      </c>
      <c r="G7059" s="2" t="s">
        <v>91</v>
      </c>
      <c r="I7059" s="95" t="s">
        <v>7231</v>
      </c>
      <c r="J7059" t="s">
        <v>61</v>
      </c>
      <c r="K7059" t="s">
        <v>62</v>
      </c>
      <c r="M7059">
        <v>130.07</v>
      </c>
      <c r="N7059" s="4">
        <f t="shared" si="110"/>
        <v>-59.529484123933273</v>
      </c>
      <c r="O7059" t="s">
        <v>83</v>
      </c>
    </row>
    <row r="7060" spans="1:15" x14ac:dyDescent="0.25">
      <c r="A7060" s="22">
        <v>45877</v>
      </c>
      <c r="B7060" s="1">
        <v>516324759</v>
      </c>
      <c r="C7060" t="s">
        <v>5388</v>
      </c>
      <c r="D7060" s="44">
        <v>-7743</v>
      </c>
      <c r="E7060" t="s">
        <v>35</v>
      </c>
      <c r="F7060" s="2">
        <v>212901001</v>
      </c>
      <c r="G7060" s="2" t="s">
        <v>91</v>
      </c>
      <c r="I7060" s="95" t="s">
        <v>7231</v>
      </c>
      <c r="J7060" t="s">
        <v>61</v>
      </c>
      <c r="K7060" t="s">
        <v>62</v>
      </c>
      <c r="M7060">
        <v>130.07</v>
      </c>
      <c r="N7060" s="4">
        <f t="shared" si="110"/>
        <v>-59.529484123933273</v>
      </c>
      <c r="O7060" t="s">
        <v>83</v>
      </c>
    </row>
    <row r="7061" spans="1:15" x14ac:dyDescent="0.25">
      <c r="A7061" s="22">
        <v>45877</v>
      </c>
      <c r="B7061" s="1">
        <v>516324761</v>
      </c>
      <c r="C7061" t="s">
        <v>5389</v>
      </c>
      <c r="D7061" s="44">
        <v>-7743</v>
      </c>
      <c r="E7061" t="s">
        <v>35</v>
      </c>
      <c r="F7061" s="2">
        <v>212901001</v>
      </c>
      <c r="G7061" s="2" t="s">
        <v>91</v>
      </c>
      <c r="I7061" s="95" t="s">
        <v>7231</v>
      </c>
      <c r="J7061" t="s">
        <v>61</v>
      </c>
      <c r="K7061" t="s">
        <v>62</v>
      </c>
      <c r="M7061">
        <v>130.07</v>
      </c>
      <c r="N7061" s="4">
        <f t="shared" si="110"/>
        <v>-59.529484123933273</v>
      </c>
      <c r="O7061" t="s">
        <v>83</v>
      </c>
    </row>
    <row r="7062" spans="1:15" x14ac:dyDescent="0.25">
      <c r="A7062" s="22">
        <v>45877</v>
      </c>
      <c r="B7062" s="1">
        <v>516324760</v>
      </c>
      <c r="C7062" t="s">
        <v>5390</v>
      </c>
      <c r="D7062" s="44">
        <v>-7743</v>
      </c>
      <c r="E7062" t="s">
        <v>35</v>
      </c>
      <c r="F7062" s="2">
        <v>212901001</v>
      </c>
      <c r="G7062" s="2" t="s">
        <v>91</v>
      </c>
      <c r="I7062" s="95" t="s">
        <v>7231</v>
      </c>
      <c r="J7062" t="s">
        <v>61</v>
      </c>
      <c r="K7062" t="s">
        <v>62</v>
      </c>
      <c r="M7062">
        <v>130.07</v>
      </c>
      <c r="N7062" s="4">
        <f t="shared" si="110"/>
        <v>-59.529484123933273</v>
      </c>
      <c r="O7062" t="s">
        <v>83</v>
      </c>
    </row>
    <row r="7063" spans="1:15" x14ac:dyDescent="0.25">
      <c r="A7063" s="22">
        <v>45877</v>
      </c>
      <c r="B7063" s="1">
        <v>516324758</v>
      </c>
      <c r="C7063" t="s">
        <v>5391</v>
      </c>
      <c r="D7063" s="44">
        <v>-7743</v>
      </c>
      <c r="E7063" t="s">
        <v>35</v>
      </c>
      <c r="F7063" s="2">
        <v>212901001</v>
      </c>
      <c r="G7063" s="2" t="s">
        <v>91</v>
      </c>
      <c r="I7063" s="95" t="s">
        <v>7231</v>
      </c>
      <c r="J7063" t="s">
        <v>61</v>
      </c>
      <c r="K7063" t="s">
        <v>62</v>
      </c>
      <c r="M7063">
        <v>130.07</v>
      </c>
      <c r="N7063" s="4">
        <f t="shared" si="110"/>
        <v>-59.529484123933273</v>
      </c>
      <c r="O7063" t="s">
        <v>83</v>
      </c>
    </row>
    <row r="7064" spans="1:15" x14ac:dyDescent="0.25">
      <c r="A7064" s="22">
        <v>45877</v>
      </c>
      <c r="B7064" s="1">
        <v>516324765</v>
      </c>
      <c r="C7064" t="s">
        <v>5392</v>
      </c>
      <c r="D7064" s="44">
        <v>-7743</v>
      </c>
      <c r="E7064" t="s">
        <v>35</v>
      </c>
      <c r="F7064" s="2">
        <v>212901001</v>
      </c>
      <c r="G7064" s="2" t="s">
        <v>91</v>
      </c>
      <c r="I7064" s="95" t="s">
        <v>7231</v>
      </c>
      <c r="J7064" t="s">
        <v>61</v>
      </c>
      <c r="K7064" t="s">
        <v>62</v>
      </c>
      <c r="M7064">
        <v>130.07</v>
      </c>
      <c r="N7064" s="4">
        <f t="shared" si="110"/>
        <v>-59.529484123933273</v>
      </c>
      <c r="O7064" t="s">
        <v>83</v>
      </c>
    </row>
    <row r="7065" spans="1:15" x14ac:dyDescent="0.25">
      <c r="A7065" s="22">
        <v>45877</v>
      </c>
      <c r="B7065" s="1">
        <v>516324763</v>
      </c>
      <c r="C7065" t="s">
        <v>5393</v>
      </c>
      <c r="D7065" s="44">
        <v>-7743</v>
      </c>
      <c r="E7065" t="s">
        <v>35</v>
      </c>
      <c r="F7065" s="2">
        <v>212901001</v>
      </c>
      <c r="G7065" s="2" t="s">
        <v>91</v>
      </c>
      <c r="I7065" s="95" t="s">
        <v>7231</v>
      </c>
      <c r="J7065" t="s">
        <v>61</v>
      </c>
      <c r="K7065" t="s">
        <v>62</v>
      </c>
      <c r="M7065">
        <v>130.07</v>
      </c>
      <c r="N7065" s="4">
        <f t="shared" si="110"/>
        <v>-59.529484123933273</v>
      </c>
      <c r="O7065" t="s">
        <v>83</v>
      </c>
    </row>
    <row r="7066" spans="1:15" x14ac:dyDescent="0.25">
      <c r="A7066" s="22">
        <v>45877</v>
      </c>
      <c r="B7066" s="1">
        <v>516324766</v>
      </c>
      <c r="C7066" t="s">
        <v>5394</v>
      </c>
      <c r="D7066" s="44">
        <v>-7743</v>
      </c>
      <c r="E7066" t="s">
        <v>35</v>
      </c>
      <c r="F7066" s="2">
        <v>212901001</v>
      </c>
      <c r="G7066" s="2" t="s">
        <v>91</v>
      </c>
      <c r="I7066" s="95" t="s">
        <v>7231</v>
      </c>
      <c r="J7066" t="s">
        <v>61</v>
      </c>
      <c r="K7066" t="s">
        <v>62</v>
      </c>
      <c r="M7066">
        <v>130.07</v>
      </c>
      <c r="N7066" s="4">
        <f t="shared" si="110"/>
        <v>-59.529484123933273</v>
      </c>
      <c r="O7066" t="s">
        <v>83</v>
      </c>
    </row>
    <row r="7067" spans="1:15" x14ac:dyDescent="0.25">
      <c r="A7067" s="22">
        <v>45877</v>
      </c>
      <c r="B7067" s="1">
        <v>616324767</v>
      </c>
      <c r="C7067" t="s">
        <v>5395</v>
      </c>
      <c r="D7067" s="44">
        <v>-7743</v>
      </c>
      <c r="E7067" t="s">
        <v>35</v>
      </c>
      <c r="F7067" s="2">
        <v>212901001</v>
      </c>
      <c r="G7067" s="2" t="s">
        <v>91</v>
      </c>
      <c r="I7067" s="95" t="s">
        <v>7231</v>
      </c>
      <c r="J7067" t="s">
        <v>61</v>
      </c>
      <c r="K7067" t="s">
        <v>62</v>
      </c>
      <c r="M7067">
        <v>130.07</v>
      </c>
      <c r="N7067" s="4">
        <f t="shared" si="110"/>
        <v>-59.529484123933273</v>
      </c>
      <c r="O7067" t="s">
        <v>83</v>
      </c>
    </row>
    <row r="7068" spans="1:15" x14ac:dyDescent="0.25">
      <c r="A7068" s="22">
        <v>45877</v>
      </c>
      <c r="B7068" s="1">
        <v>616324770</v>
      </c>
      <c r="C7068" t="s">
        <v>5396</v>
      </c>
      <c r="D7068" s="44">
        <v>-12905</v>
      </c>
      <c r="E7068" t="s">
        <v>35</v>
      </c>
      <c r="F7068" s="2">
        <v>212901001</v>
      </c>
      <c r="G7068" s="2" t="s">
        <v>91</v>
      </c>
      <c r="I7068" s="95" t="s">
        <v>7231</v>
      </c>
      <c r="J7068" t="s">
        <v>61</v>
      </c>
      <c r="K7068" t="s">
        <v>62</v>
      </c>
      <c r="M7068">
        <v>130.07</v>
      </c>
      <c r="N7068" s="4">
        <f t="shared" si="110"/>
        <v>-99.215806873222121</v>
      </c>
      <c r="O7068" t="s">
        <v>83</v>
      </c>
    </row>
    <row r="7069" spans="1:15" x14ac:dyDescent="0.25">
      <c r="A7069" s="22">
        <v>45877</v>
      </c>
      <c r="B7069" s="1">
        <v>616324773</v>
      </c>
      <c r="C7069" t="s">
        <v>5397</v>
      </c>
      <c r="D7069" s="44">
        <v>-10324</v>
      </c>
      <c r="E7069" t="s">
        <v>35</v>
      </c>
      <c r="F7069" s="2">
        <v>212901001</v>
      </c>
      <c r="G7069" s="2" t="s">
        <v>91</v>
      </c>
      <c r="I7069" s="95" t="s">
        <v>7231</v>
      </c>
      <c r="J7069" t="s">
        <v>61</v>
      </c>
      <c r="K7069" t="s">
        <v>62</v>
      </c>
      <c r="M7069">
        <v>130.07</v>
      </c>
      <c r="N7069" s="4">
        <f t="shared" si="110"/>
        <v>-79.372645498577697</v>
      </c>
      <c r="O7069" t="s">
        <v>83</v>
      </c>
    </row>
    <row r="7070" spans="1:15" x14ac:dyDescent="0.25">
      <c r="A7070" s="22">
        <v>45877</v>
      </c>
      <c r="B7070" s="1">
        <v>616324769</v>
      </c>
      <c r="C7070" t="s">
        <v>5398</v>
      </c>
      <c r="D7070" s="44">
        <v>-19357.5</v>
      </c>
      <c r="E7070" t="s">
        <v>35</v>
      </c>
      <c r="F7070" s="2">
        <v>212901001</v>
      </c>
      <c r="G7070" s="2" t="s">
        <v>91</v>
      </c>
      <c r="I7070" s="95" t="s">
        <v>7231</v>
      </c>
      <c r="J7070" t="s">
        <v>61</v>
      </c>
      <c r="K7070" t="s">
        <v>62</v>
      </c>
      <c r="M7070">
        <v>130.07</v>
      </c>
      <c r="N7070" s="4">
        <f t="shared" si="110"/>
        <v>-148.82371030983319</v>
      </c>
      <c r="O7070" t="s">
        <v>83</v>
      </c>
    </row>
    <row r="7071" spans="1:15" x14ac:dyDescent="0.25">
      <c r="A7071" s="22">
        <v>45877</v>
      </c>
      <c r="B7071" s="1">
        <v>616324775</v>
      </c>
      <c r="C7071" t="s">
        <v>5399</v>
      </c>
      <c r="D7071" s="44">
        <v>-10324</v>
      </c>
      <c r="E7071" t="s">
        <v>35</v>
      </c>
      <c r="F7071" s="2">
        <v>212901001</v>
      </c>
      <c r="G7071" s="2" t="s">
        <v>91</v>
      </c>
      <c r="I7071" s="95" t="s">
        <v>7231</v>
      </c>
      <c r="J7071" t="s">
        <v>61</v>
      </c>
      <c r="K7071" t="s">
        <v>62</v>
      </c>
      <c r="M7071">
        <v>130.07</v>
      </c>
      <c r="N7071" s="4">
        <f t="shared" si="110"/>
        <v>-79.372645498577697</v>
      </c>
      <c r="O7071" t="s">
        <v>83</v>
      </c>
    </row>
    <row r="7072" spans="1:15" x14ac:dyDescent="0.25">
      <c r="A7072" s="22">
        <v>45877</v>
      </c>
      <c r="B7072" s="1">
        <v>616324774</v>
      </c>
      <c r="C7072" t="s">
        <v>5400</v>
      </c>
      <c r="D7072" s="44">
        <v>-10324</v>
      </c>
      <c r="E7072" t="s">
        <v>35</v>
      </c>
      <c r="F7072" s="2">
        <v>212901001</v>
      </c>
      <c r="G7072" s="2" t="s">
        <v>91</v>
      </c>
      <c r="I7072" s="95" t="s">
        <v>7231</v>
      </c>
      <c r="J7072" t="s">
        <v>61</v>
      </c>
      <c r="K7072" t="s">
        <v>62</v>
      </c>
      <c r="M7072">
        <v>130.07</v>
      </c>
      <c r="N7072" s="4">
        <f t="shared" si="110"/>
        <v>-79.372645498577697</v>
      </c>
      <c r="O7072" t="s">
        <v>83</v>
      </c>
    </row>
    <row r="7073" spans="1:15" x14ac:dyDescent="0.25">
      <c r="A7073" s="22">
        <v>45877</v>
      </c>
      <c r="B7073" s="1">
        <v>616324771</v>
      </c>
      <c r="C7073" t="s">
        <v>5401</v>
      </c>
      <c r="D7073" s="44">
        <v>-10324</v>
      </c>
      <c r="E7073" t="s">
        <v>35</v>
      </c>
      <c r="F7073" s="2">
        <v>212901001</v>
      </c>
      <c r="G7073" s="2" t="s">
        <v>91</v>
      </c>
      <c r="I7073" s="95" t="s">
        <v>7231</v>
      </c>
      <c r="J7073" t="s">
        <v>61</v>
      </c>
      <c r="K7073" t="s">
        <v>62</v>
      </c>
      <c r="M7073">
        <v>130.07</v>
      </c>
      <c r="N7073" s="4">
        <f t="shared" si="110"/>
        <v>-79.372645498577697</v>
      </c>
      <c r="O7073" t="s">
        <v>83</v>
      </c>
    </row>
    <row r="7074" spans="1:15" x14ac:dyDescent="0.25">
      <c r="A7074" s="22">
        <v>45877</v>
      </c>
      <c r="B7074" s="1">
        <v>716324777</v>
      </c>
      <c r="C7074" t="s">
        <v>5402</v>
      </c>
      <c r="D7074" s="44">
        <v>-10324</v>
      </c>
      <c r="E7074" t="s">
        <v>35</v>
      </c>
      <c r="F7074" s="2">
        <v>212901001</v>
      </c>
      <c r="G7074" s="2" t="s">
        <v>91</v>
      </c>
      <c r="I7074" s="95" t="s">
        <v>7231</v>
      </c>
      <c r="J7074" t="s">
        <v>61</v>
      </c>
      <c r="K7074" t="s">
        <v>62</v>
      </c>
      <c r="M7074">
        <v>130.07</v>
      </c>
      <c r="N7074" s="4">
        <f t="shared" si="110"/>
        <v>-79.372645498577697</v>
      </c>
      <c r="O7074" t="s">
        <v>83</v>
      </c>
    </row>
    <row r="7075" spans="1:15" x14ac:dyDescent="0.25">
      <c r="A7075" s="22">
        <v>45877</v>
      </c>
      <c r="B7075" s="1">
        <v>616324776</v>
      </c>
      <c r="C7075" t="s">
        <v>5403</v>
      </c>
      <c r="D7075" s="44">
        <v>-10324</v>
      </c>
      <c r="E7075" t="s">
        <v>35</v>
      </c>
      <c r="F7075" s="2">
        <v>212901001</v>
      </c>
      <c r="G7075" s="2" t="s">
        <v>91</v>
      </c>
      <c r="I7075" s="95" t="s">
        <v>7231</v>
      </c>
      <c r="J7075" t="s">
        <v>61</v>
      </c>
      <c r="K7075" t="s">
        <v>62</v>
      </c>
      <c r="M7075">
        <v>130.07</v>
      </c>
      <c r="N7075" s="4">
        <f t="shared" si="110"/>
        <v>-79.372645498577697</v>
      </c>
      <c r="O7075" t="s">
        <v>83</v>
      </c>
    </row>
    <row r="7076" spans="1:15" x14ac:dyDescent="0.25">
      <c r="A7076" s="22">
        <v>45877</v>
      </c>
      <c r="B7076" s="1">
        <v>716324779</v>
      </c>
      <c r="C7076" t="s">
        <v>5404</v>
      </c>
      <c r="D7076" s="44">
        <v>-6452.5</v>
      </c>
      <c r="E7076" t="s">
        <v>35</v>
      </c>
      <c r="F7076" s="2">
        <v>212901001</v>
      </c>
      <c r="G7076" s="2" t="s">
        <v>91</v>
      </c>
      <c r="I7076" s="95" t="s">
        <v>7231</v>
      </c>
      <c r="J7076" t="s">
        <v>61</v>
      </c>
      <c r="K7076" t="s">
        <v>62</v>
      </c>
      <c r="M7076">
        <v>130.07</v>
      </c>
      <c r="N7076" s="4">
        <f t="shared" si="110"/>
        <v>-49.60790343661106</v>
      </c>
      <c r="O7076" t="s">
        <v>83</v>
      </c>
    </row>
    <row r="7077" spans="1:15" x14ac:dyDescent="0.25">
      <c r="A7077" s="22">
        <v>45877</v>
      </c>
      <c r="B7077" s="1">
        <v>716324780</v>
      </c>
      <c r="C7077" t="s">
        <v>5405</v>
      </c>
      <c r="D7077" s="44">
        <v>-6452.5</v>
      </c>
      <c r="E7077" t="s">
        <v>35</v>
      </c>
      <c r="F7077" s="2">
        <v>212901001</v>
      </c>
      <c r="G7077" s="2" t="s">
        <v>91</v>
      </c>
      <c r="I7077" s="95" t="s">
        <v>7231</v>
      </c>
      <c r="J7077" t="s">
        <v>61</v>
      </c>
      <c r="K7077" t="s">
        <v>62</v>
      </c>
      <c r="M7077">
        <v>130.07</v>
      </c>
      <c r="N7077" s="4">
        <f t="shared" si="110"/>
        <v>-49.60790343661106</v>
      </c>
      <c r="O7077" t="s">
        <v>83</v>
      </c>
    </row>
    <row r="7078" spans="1:15" x14ac:dyDescent="0.25">
      <c r="A7078" s="22">
        <v>45877</v>
      </c>
      <c r="B7078" s="1">
        <v>716324781</v>
      </c>
      <c r="C7078" t="s">
        <v>5406</v>
      </c>
      <c r="D7078" s="44">
        <v>-5420.1</v>
      </c>
      <c r="E7078" t="s">
        <v>35</v>
      </c>
      <c r="F7078" s="2">
        <v>212901001</v>
      </c>
      <c r="G7078" s="2" t="s">
        <v>91</v>
      </c>
      <c r="I7078" s="95" t="s">
        <v>7231</v>
      </c>
      <c r="J7078" t="s">
        <v>61</v>
      </c>
      <c r="K7078" t="s">
        <v>62</v>
      </c>
      <c r="M7078">
        <v>130.07</v>
      </c>
      <c r="N7078" s="4">
        <f t="shared" si="110"/>
        <v>-41.670638886753295</v>
      </c>
      <c r="O7078" t="s">
        <v>83</v>
      </c>
    </row>
    <row r="7079" spans="1:15" x14ac:dyDescent="0.25">
      <c r="A7079" s="22">
        <v>45877</v>
      </c>
      <c r="B7079" s="1">
        <v>716324785</v>
      </c>
      <c r="C7079" t="s">
        <v>5407</v>
      </c>
      <c r="D7079" s="44">
        <v>-6452.5</v>
      </c>
      <c r="E7079" t="s">
        <v>35</v>
      </c>
      <c r="F7079" s="2">
        <v>212901001</v>
      </c>
      <c r="G7079" s="2" t="s">
        <v>91</v>
      </c>
      <c r="I7079" s="95" t="s">
        <v>7231</v>
      </c>
      <c r="J7079" t="s">
        <v>61</v>
      </c>
      <c r="K7079" t="s">
        <v>62</v>
      </c>
      <c r="M7079">
        <v>130.07</v>
      </c>
      <c r="N7079" s="4">
        <f t="shared" si="110"/>
        <v>-49.60790343661106</v>
      </c>
      <c r="O7079" t="s">
        <v>83</v>
      </c>
    </row>
    <row r="7080" spans="1:15" x14ac:dyDescent="0.25">
      <c r="A7080" s="22">
        <v>45877</v>
      </c>
      <c r="B7080" s="1">
        <v>716324782</v>
      </c>
      <c r="C7080" t="s">
        <v>5408</v>
      </c>
      <c r="D7080" s="44">
        <v>-6452.5</v>
      </c>
      <c r="E7080" t="s">
        <v>35</v>
      </c>
      <c r="F7080" s="2">
        <v>212901001</v>
      </c>
      <c r="G7080" s="2" t="s">
        <v>91</v>
      </c>
      <c r="I7080" s="95" t="s">
        <v>7231</v>
      </c>
      <c r="J7080" t="s">
        <v>61</v>
      </c>
      <c r="K7080" t="s">
        <v>62</v>
      </c>
      <c r="M7080">
        <v>130.07</v>
      </c>
      <c r="N7080" s="4">
        <f t="shared" si="110"/>
        <v>-49.60790343661106</v>
      </c>
      <c r="O7080" t="s">
        <v>83</v>
      </c>
    </row>
    <row r="7081" spans="1:15" x14ac:dyDescent="0.25">
      <c r="A7081" s="22">
        <v>45877</v>
      </c>
      <c r="B7081" s="1">
        <v>716324786</v>
      </c>
      <c r="C7081" t="s">
        <v>5409</v>
      </c>
      <c r="D7081" s="44">
        <v>-5162</v>
      </c>
      <c r="E7081" t="s">
        <v>35</v>
      </c>
      <c r="F7081" s="2">
        <v>212901001</v>
      </c>
      <c r="G7081" s="2" t="s">
        <v>91</v>
      </c>
      <c r="I7081" s="95" t="s">
        <v>7231</v>
      </c>
      <c r="J7081" t="s">
        <v>61</v>
      </c>
      <c r="K7081" t="s">
        <v>62</v>
      </c>
      <c r="M7081">
        <v>130.07</v>
      </c>
      <c r="N7081" s="4">
        <f t="shared" si="110"/>
        <v>-39.686322749288848</v>
      </c>
      <c r="O7081" t="s">
        <v>83</v>
      </c>
    </row>
    <row r="7082" spans="1:15" x14ac:dyDescent="0.25">
      <c r="A7082" s="22">
        <v>45877</v>
      </c>
      <c r="B7082" s="1">
        <v>816324787</v>
      </c>
      <c r="C7082" t="s">
        <v>5410</v>
      </c>
      <c r="D7082" s="44">
        <v>-5162</v>
      </c>
      <c r="E7082" t="s">
        <v>35</v>
      </c>
      <c r="F7082" s="2">
        <v>212901001</v>
      </c>
      <c r="G7082" s="2" t="s">
        <v>91</v>
      </c>
      <c r="I7082" s="95" t="s">
        <v>7231</v>
      </c>
      <c r="J7082" t="s">
        <v>61</v>
      </c>
      <c r="K7082" t="s">
        <v>62</v>
      </c>
      <c r="M7082">
        <v>130.07</v>
      </c>
      <c r="N7082" s="4">
        <f t="shared" si="110"/>
        <v>-39.686322749288848</v>
      </c>
      <c r="O7082" t="s">
        <v>83</v>
      </c>
    </row>
    <row r="7083" spans="1:15" x14ac:dyDescent="0.25">
      <c r="A7083" s="22">
        <v>45877</v>
      </c>
      <c r="B7083" s="1">
        <v>816324792</v>
      </c>
      <c r="C7083" t="s">
        <v>5411</v>
      </c>
      <c r="D7083" s="44">
        <v>-5162</v>
      </c>
      <c r="E7083" t="s">
        <v>35</v>
      </c>
      <c r="F7083" s="2">
        <v>212901001</v>
      </c>
      <c r="G7083" s="2" t="s">
        <v>91</v>
      </c>
      <c r="I7083" s="95" t="s">
        <v>7231</v>
      </c>
      <c r="J7083" t="s">
        <v>61</v>
      </c>
      <c r="K7083" t="s">
        <v>62</v>
      </c>
      <c r="M7083">
        <v>130.07</v>
      </c>
      <c r="N7083" s="4">
        <f t="shared" si="110"/>
        <v>-39.686322749288848</v>
      </c>
      <c r="O7083" t="s">
        <v>83</v>
      </c>
    </row>
    <row r="7084" spans="1:15" x14ac:dyDescent="0.25">
      <c r="A7084" s="22">
        <v>45877</v>
      </c>
      <c r="B7084" s="1">
        <v>816324791</v>
      </c>
      <c r="C7084" t="s">
        <v>5412</v>
      </c>
      <c r="D7084" s="44">
        <v>-5162</v>
      </c>
      <c r="E7084" t="s">
        <v>35</v>
      </c>
      <c r="F7084" s="2">
        <v>212901001</v>
      </c>
      <c r="G7084" s="2" t="s">
        <v>91</v>
      </c>
      <c r="I7084" s="95" t="s">
        <v>7231</v>
      </c>
      <c r="J7084" t="s">
        <v>61</v>
      </c>
      <c r="K7084" t="s">
        <v>62</v>
      </c>
      <c r="M7084">
        <v>130.07</v>
      </c>
      <c r="N7084" s="4">
        <f t="shared" si="110"/>
        <v>-39.686322749288848</v>
      </c>
      <c r="O7084" t="s">
        <v>83</v>
      </c>
    </row>
    <row r="7085" spans="1:15" x14ac:dyDescent="0.25">
      <c r="A7085" s="22">
        <v>45877</v>
      </c>
      <c r="B7085" s="1">
        <v>816324790</v>
      </c>
      <c r="C7085" t="s">
        <v>5413</v>
      </c>
      <c r="D7085" s="44">
        <v>-5162</v>
      </c>
      <c r="E7085" t="s">
        <v>35</v>
      </c>
      <c r="F7085" s="2">
        <v>212901001</v>
      </c>
      <c r="G7085" s="2" t="s">
        <v>91</v>
      </c>
      <c r="I7085" s="95" t="s">
        <v>7231</v>
      </c>
      <c r="J7085" t="s">
        <v>61</v>
      </c>
      <c r="K7085" t="s">
        <v>62</v>
      </c>
      <c r="M7085">
        <v>130.07</v>
      </c>
      <c r="N7085" s="4">
        <f t="shared" si="110"/>
        <v>-39.686322749288848</v>
      </c>
      <c r="O7085" t="s">
        <v>83</v>
      </c>
    </row>
    <row r="7086" spans="1:15" x14ac:dyDescent="0.25">
      <c r="A7086" s="22">
        <v>45877</v>
      </c>
      <c r="B7086" s="1">
        <v>816324788</v>
      </c>
      <c r="C7086" t="s">
        <v>5414</v>
      </c>
      <c r="D7086" s="44">
        <v>-5162</v>
      </c>
      <c r="E7086" t="s">
        <v>35</v>
      </c>
      <c r="F7086" s="2">
        <v>212901001</v>
      </c>
      <c r="G7086" s="2" t="s">
        <v>91</v>
      </c>
      <c r="I7086" s="95" t="s">
        <v>7231</v>
      </c>
      <c r="J7086" t="s">
        <v>61</v>
      </c>
      <c r="K7086" t="s">
        <v>62</v>
      </c>
      <c r="M7086">
        <v>130.07</v>
      </c>
      <c r="N7086" s="4">
        <f t="shared" si="110"/>
        <v>-39.686322749288848</v>
      </c>
      <c r="O7086" t="s">
        <v>83</v>
      </c>
    </row>
    <row r="7087" spans="1:15" x14ac:dyDescent="0.25">
      <c r="A7087" s="22">
        <v>45877</v>
      </c>
      <c r="B7087" s="1">
        <v>916324796</v>
      </c>
      <c r="C7087" t="s">
        <v>5415</v>
      </c>
      <c r="D7087" s="44">
        <v>-19357.5</v>
      </c>
      <c r="E7087" t="s">
        <v>35</v>
      </c>
      <c r="F7087" s="2">
        <v>212901001</v>
      </c>
      <c r="G7087" s="2" t="s">
        <v>91</v>
      </c>
      <c r="I7087" s="95" t="s">
        <v>7231</v>
      </c>
      <c r="J7087" t="s">
        <v>61</v>
      </c>
      <c r="K7087" t="s">
        <v>62</v>
      </c>
      <c r="M7087">
        <v>130.07</v>
      </c>
      <c r="N7087" s="4">
        <f t="shared" si="110"/>
        <v>-148.82371030983319</v>
      </c>
      <c r="O7087" t="s">
        <v>83</v>
      </c>
    </row>
    <row r="7088" spans="1:15" x14ac:dyDescent="0.25">
      <c r="A7088" s="22">
        <v>45877</v>
      </c>
      <c r="B7088" s="1">
        <v>816324794</v>
      </c>
      <c r="C7088" t="s">
        <v>5416</v>
      </c>
      <c r="D7088" s="44">
        <v>-12905</v>
      </c>
      <c r="E7088" t="s">
        <v>35</v>
      </c>
      <c r="F7088" s="2">
        <v>212901001</v>
      </c>
      <c r="G7088" s="2" t="s">
        <v>91</v>
      </c>
      <c r="I7088" s="95" t="s">
        <v>7231</v>
      </c>
      <c r="J7088" t="s">
        <v>61</v>
      </c>
      <c r="K7088" t="s">
        <v>62</v>
      </c>
      <c r="M7088">
        <v>130.07</v>
      </c>
      <c r="N7088" s="4">
        <f t="shared" si="110"/>
        <v>-99.215806873222121</v>
      </c>
      <c r="O7088" t="s">
        <v>83</v>
      </c>
    </row>
    <row r="7089" spans="1:17" x14ac:dyDescent="0.25">
      <c r="A7089" s="22">
        <v>45877</v>
      </c>
      <c r="B7089" s="1">
        <v>916324795</v>
      </c>
      <c r="C7089" t="s">
        <v>5417</v>
      </c>
      <c r="D7089" s="44">
        <v>-12905</v>
      </c>
      <c r="E7089" t="s">
        <v>35</v>
      </c>
      <c r="F7089" s="2">
        <v>212901001</v>
      </c>
      <c r="G7089" s="2" t="s">
        <v>91</v>
      </c>
      <c r="I7089" s="95" t="s">
        <v>7231</v>
      </c>
      <c r="J7089" t="s">
        <v>61</v>
      </c>
      <c r="K7089" t="s">
        <v>62</v>
      </c>
      <c r="M7089">
        <v>130.07</v>
      </c>
      <c r="N7089" s="4">
        <f t="shared" si="110"/>
        <v>-99.215806873222121</v>
      </c>
      <c r="O7089" t="s">
        <v>83</v>
      </c>
    </row>
    <row r="7090" spans="1:17" x14ac:dyDescent="0.25">
      <c r="A7090" s="22">
        <v>45877</v>
      </c>
      <c r="B7090" s="1">
        <v>916324802</v>
      </c>
      <c r="C7090" t="s">
        <v>5418</v>
      </c>
      <c r="D7090" s="44">
        <v>-12905</v>
      </c>
      <c r="E7090" t="s">
        <v>35</v>
      </c>
      <c r="F7090" s="2">
        <v>212901001</v>
      </c>
      <c r="G7090" s="2" t="s">
        <v>91</v>
      </c>
      <c r="I7090" s="95" t="s">
        <v>7231</v>
      </c>
      <c r="J7090" t="s">
        <v>61</v>
      </c>
      <c r="K7090" t="s">
        <v>62</v>
      </c>
      <c r="M7090">
        <v>130.07</v>
      </c>
      <c r="N7090" s="4">
        <f t="shared" si="110"/>
        <v>-99.215806873222121</v>
      </c>
      <c r="O7090" t="s">
        <v>83</v>
      </c>
    </row>
    <row r="7091" spans="1:17" x14ac:dyDescent="0.25">
      <c r="A7091" s="22">
        <v>45877</v>
      </c>
      <c r="B7091" s="1">
        <v>816324793</v>
      </c>
      <c r="C7091" t="s">
        <v>5419</v>
      </c>
      <c r="D7091" s="44">
        <v>-5162</v>
      </c>
      <c r="E7091" t="s">
        <v>35</v>
      </c>
      <c r="F7091" s="2">
        <v>212901001</v>
      </c>
      <c r="G7091" s="2" t="s">
        <v>91</v>
      </c>
      <c r="I7091" s="95" t="s">
        <v>7231</v>
      </c>
      <c r="J7091" t="s">
        <v>61</v>
      </c>
      <c r="K7091" t="s">
        <v>62</v>
      </c>
      <c r="M7091">
        <v>130.07</v>
      </c>
      <c r="N7091" s="4">
        <f t="shared" si="110"/>
        <v>-39.686322749288848</v>
      </c>
      <c r="O7091" t="s">
        <v>83</v>
      </c>
    </row>
    <row r="7092" spans="1:17" x14ac:dyDescent="0.25">
      <c r="A7092" s="22">
        <v>45877</v>
      </c>
      <c r="B7092" s="1">
        <v>916324797</v>
      </c>
      <c r="C7092" t="s">
        <v>5420</v>
      </c>
      <c r="D7092" s="44">
        <v>-14195.5</v>
      </c>
      <c r="E7092" t="s">
        <v>35</v>
      </c>
      <c r="F7092" s="2">
        <v>212901001</v>
      </c>
      <c r="G7092" s="2" t="s">
        <v>91</v>
      </c>
      <c r="I7092" s="95" t="s">
        <v>7231</v>
      </c>
      <c r="J7092" t="s">
        <v>61</v>
      </c>
      <c r="K7092" t="s">
        <v>62</v>
      </c>
      <c r="M7092">
        <v>130.07</v>
      </c>
      <c r="N7092" s="4">
        <f t="shared" si="110"/>
        <v>-109.13738756054433</v>
      </c>
      <c r="O7092" t="s">
        <v>83</v>
      </c>
    </row>
    <row r="7093" spans="1:17" x14ac:dyDescent="0.25">
      <c r="A7093" s="22">
        <v>45877</v>
      </c>
      <c r="B7093" s="1">
        <v>916324799</v>
      </c>
      <c r="C7093" t="s">
        <v>5421</v>
      </c>
      <c r="D7093" s="44">
        <v>-10324</v>
      </c>
      <c r="E7093" t="s">
        <v>35</v>
      </c>
      <c r="F7093" s="2">
        <v>212901001</v>
      </c>
      <c r="G7093" s="2" t="s">
        <v>91</v>
      </c>
      <c r="I7093" s="95" t="s">
        <v>7231</v>
      </c>
      <c r="J7093" t="s">
        <v>61</v>
      </c>
      <c r="K7093" t="s">
        <v>62</v>
      </c>
      <c r="M7093">
        <v>130.07</v>
      </c>
      <c r="N7093" s="4">
        <f t="shared" si="110"/>
        <v>-79.372645498577697</v>
      </c>
      <c r="O7093" t="s">
        <v>83</v>
      </c>
    </row>
    <row r="7094" spans="1:17" x14ac:dyDescent="0.25">
      <c r="A7094" s="22">
        <v>45877</v>
      </c>
      <c r="B7094" s="1">
        <v>716324778</v>
      </c>
      <c r="C7094" t="s">
        <v>5422</v>
      </c>
      <c r="D7094" s="44">
        <v>-6452.5</v>
      </c>
      <c r="E7094" t="s">
        <v>35</v>
      </c>
      <c r="F7094" s="2">
        <v>212901001</v>
      </c>
      <c r="G7094" s="2" t="s">
        <v>91</v>
      </c>
      <c r="I7094" s="95" t="s">
        <v>7231</v>
      </c>
      <c r="J7094" t="s">
        <v>61</v>
      </c>
      <c r="K7094" t="s">
        <v>62</v>
      </c>
      <c r="M7094">
        <v>130.07</v>
      </c>
      <c r="N7094" s="4">
        <f t="shared" si="110"/>
        <v>-49.60790343661106</v>
      </c>
      <c r="O7094" t="s">
        <v>83</v>
      </c>
    </row>
    <row r="7095" spans="1:17" x14ac:dyDescent="0.25">
      <c r="A7095" s="22">
        <v>45877</v>
      </c>
      <c r="B7095" s="1">
        <v>50815237</v>
      </c>
      <c r="C7095" t="s">
        <v>5423</v>
      </c>
      <c r="D7095" s="44">
        <v>-18067</v>
      </c>
      <c r="E7095" t="s">
        <v>35</v>
      </c>
      <c r="F7095" s="2">
        <v>212901001</v>
      </c>
      <c r="G7095" s="2" t="s">
        <v>91</v>
      </c>
      <c r="I7095" s="95" t="s">
        <v>7231</v>
      </c>
      <c r="J7095" t="s">
        <v>61</v>
      </c>
      <c r="K7095" t="s">
        <v>62</v>
      </c>
      <c r="M7095">
        <v>130.07</v>
      </c>
      <c r="N7095" s="4">
        <f t="shared" si="110"/>
        <v>-138.90212962251096</v>
      </c>
      <c r="O7095" t="s">
        <v>83</v>
      </c>
    </row>
    <row r="7096" spans="1:17" x14ac:dyDescent="0.25">
      <c r="A7096" s="22">
        <v>45877</v>
      </c>
      <c r="B7096" s="1">
        <v>50815237</v>
      </c>
      <c r="C7096" t="s">
        <v>179</v>
      </c>
      <c r="D7096" s="44">
        <v>-27.1</v>
      </c>
      <c r="E7096" t="s">
        <v>35</v>
      </c>
      <c r="F7096" s="2">
        <v>610148001</v>
      </c>
      <c r="G7096" s="2" t="s">
        <v>41</v>
      </c>
      <c r="I7096" s="95" t="s">
        <v>7231</v>
      </c>
      <c r="J7096" t="s">
        <v>42</v>
      </c>
      <c r="K7096" t="s">
        <v>41</v>
      </c>
      <c r="M7096">
        <v>130.07</v>
      </c>
      <c r="N7096" s="4">
        <f t="shared" si="110"/>
        <v>-0.20834935034981167</v>
      </c>
      <c r="O7096" t="s">
        <v>83</v>
      </c>
      <c r="Q7096" s="24" t="s">
        <v>5251</v>
      </c>
    </row>
    <row r="7097" spans="1:17" x14ac:dyDescent="0.25">
      <c r="A7097" s="22">
        <v>45877</v>
      </c>
      <c r="B7097" s="1">
        <v>50815237</v>
      </c>
      <c r="C7097" t="s">
        <v>89</v>
      </c>
      <c r="D7097" s="44">
        <v>-1418.25</v>
      </c>
      <c r="E7097" t="s">
        <v>35</v>
      </c>
      <c r="F7097" s="2">
        <v>610148001</v>
      </c>
      <c r="G7097" s="2" t="s">
        <v>41</v>
      </c>
      <c r="I7097" s="95" t="s">
        <v>7231</v>
      </c>
      <c r="J7097" t="s">
        <v>42</v>
      </c>
      <c r="K7097" t="s">
        <v>41</v>
      </c>
      <c r="M7097">
        <v>130.07</v>
      </c>
      <c r="N7097" s="4">
        <f t="shared" si="110"/>
        <v>-10.903744137771969</v>
      </c>
      <c r="O7097" t="s">
        <v>83</v>
      </c>
      <c r="Q7097" s="24" t="s">
        <v>5251</v>
      </c>
    </row>
    <row r="7098" spans="1:17" x14ac:dyDescent="0.25">
      <c r="A7098" s="22">
        <v>45877</v>
      </c>
      <c r="B7098" s="1">
        <v>512383935</v>
      </c>
      <c r="C7098" t="s">
        <v>5424</v>
      </c>
      <c r="D7098" s="44">
        <v>45451.66</v>
      </c>
      <c r="E7098" t="s">
        <v>45</v>
      </c>
      <c r="F7098" s="2">
        <v>110106001</v>
      </c>
      <c r="G7098" s="2" t="s">
        <v>1011</v>
      </c>
      <c r="I7098" s="95" t="s">
        <v>7231</v>
      </c>
      <c r="K7098" t="s">
        <v>5425</v>
      </c>
      <c r="M7098">
        <v>130.07</v>
      </c>
      <c r="N7098" s="4">
        <f t="shared" si="110"/>
        <v>349.43999384946574</v>
      </c>
      <c r="O7098" t="s">
        <v>83</v>
      </c>
    </row>
    <row r="7099" spans="1:17" x14ac:dyDescent="0.25">
      <c r="A7099" s="22">
        <v>45877</v>
      </c>
      <c r="B7099" s="1">
        <v>135546498</v>
      </c>
      <c r="C7099" t="s">
        <v>5426</v>
      </c>
      <c r="D7099" s="44">
        <v>440639.37</v>
      </c>
      <c r="E7099" t="s">
        <v>45</v>
      </c>
      <c r="F7099" s="2">
        <v>110106001</v>
      </c>
      <c r="G7099" s="2" t="s">
        <v>1011</v>
      </c>
      <c r="I7099" s="95" t="s">
        <v>7231</v>
      </c>
      <c r="K7099" t="s">
        <v>5427</v>
      </c>
      <c r="M7099">
        <v>130.07</v>
      </c>
      <c r="N7099" s="4">
        <f t="shared" si="110"/>
        <v>3387.7094641346966</v>
      </c>
      <c r="O7099" t="s">
        <v>83</v>
      </c>
    </row>
    <row r="7100" spans="1:17" x14ac:dyDescent="0.25">
      <c r="A7100" s="22">
        <v>45877</v>
      </c>
      <c r="B7100" s="1">
        <v>135753971</v>
      </c>
      <c r="C7100" t="s">
        <v>5428</v>
      </c>
      <c r="D7100" s="44">
        <v>221576.85</v>
      </c>
      <c r="E7100" t="s">
        <v>45</v>
      </c>
      <c r="F7100" s="2">
        <v>110106001</v>
      </c>
      <c r="G7100" s="2" t="s">
        <v>1011</v>
      </c>
      <c r="I7100" s="95" t="s">
        <v>7231</v>
      </c>
      <c r="K7100" t="s">
        <v>5429</v>
      </c>
      <c r="M7100">
        <v>130.07</v>
      </c>
      <c r="N7100" s="4">
        <f t="shared" si="110"/>
        <v>1703.5200276774046</v>
      </c>
      <c r="O7100" t="s">
        <v>83</v>
      </c>
    </row>
    <row r="7101" spans="1:17" x14ac:dyDescent="0.25">
      <c r="A7101" s="22">
        <v>45877</v>
      </c>
      <c r="B7101" s="1">
        <v>140548689</v>
      </c>
      <c r="C7101" t="s">
        <v>5430</v>
      </c>
      <c r="D7101" s="44">
        <v>-496293.53</v>
      </c>
      <c r="E7101" t="s">
        <v>35</v>
      </c>
      <c r="F7101" s="2">
        <v>210101001</v>
      </c>
      <c r="G7101" s="2" t="s">
        <v>36</v>
      </c>
      <c r="I7101" s="95" t="s">
        <v>7231</v>
      </c>
      <c r="J7101" t="s">
        <v>37</v>
      </c>
      <c r="K7101" t="s">
        <v>38</v>
      </c>
      <c r="M7101">
        <v>130.07</v>
      </c>
      <c r="N7101" s="4">
        <f t="shared" si="110"/>
        <v>-3815.5879910817257</v>
      </c>
      <c r="O7101" t="s">
        <v>83</v>
      </c>
    </row>
    <row r="7102" spans="1:17" x14ac:dyDescent="0.25">
      <c r="A7102" s="22">
        <v>45877</v>
      </c>
      <c r="B7102" s="1">
        <v>141121134</v>
      </c>
      <c r="C7102" t="s">
        <v>82</v>
      </c>
      <c r="D7102" s="44">
        <v>550000</v>
      </c>
      <c r="E7102" t="s">
        <v>45</v>
      </c>
      <c r="F7102" s="2">
        <v>210115002</v>
      </c>
      <c r="G7102" s="2" t="s">
        <v>46</v>
      </c>
      <c r="I7102" s="95" t="s">
        <v>7231</v>
      </c>
      <c r="K7102" t="s">
        <v>82</v>
      </c>
      <c r="M7102">
        <v>130.07</v>
      </c>
      <c r="N7102" s="4">
        <f t="shared" si="110"/>
        <v>4228.4923502729298</v>
      </c>
      <c r="O7102" t="s">
        <v>83</v>
      </c>
    </row>
    <row r="7103" spans="1:17" x14ac:dyDescent="0.25">
      <c r="A7103" s="22">
        <v>45877</v>
      </c>
      <c r="B7103" s="1">
        <v>16327237</v>
      </c>
      <c r="C7103" t="s">
        <v>5431</v>
      </c>
      <c r="D7103" s="44">
        <v>-113911.1</v>
      </c>
      <c r="E7103" t="s">
        <v>35</v>
      </c>
      <c r="F7103" s="2">
        <v>210101001</v>
      </c>
      <c r="G7103" s="2" t="s">
        <v>36</v>
      </c>
      <c r="I7103" s="95" t="s">
        <v>7231</v>
      </c>
      <c r="J7103" t="s">
        <v>182</v>
      </c>
      <c r="K7103" t="s">
        <v>183</v>
      </c>
      <c r="M7103">
        <v>130.07</v>
      </c>
      <c r="N7103" s="4">
        <f t="shared" si="110"/>
        <v>-875.76766356577241</v>
      </c>
      <c r="O7103" t="s">
        <v>83</v>
      </c>
    </row>
    <row r="7104" spans="1:17" x14ac:dyDescent="0.25">
      <c r="A7104" s="22">
        <v>45877</v>
      </c>
      <c r="B7104" s="1">
        <v>16327238</v>
      </c>
      <c r="C7104" t="s">
        <v>5432</v>
      </c>
      <c r="D7104" s="44">
        <v>-11862.4</v>
      </c>
      <c r="E7104" t="s">
        <v>35</v>
      </c>
      <c r="F7104" s="2">
        <v>210101001</v>
      </c>
      <c r="G7104" s="2" t="s">
        <v>36</v>
      </c>
      <c r="I7104" s="95" t="s">
        <v>7231</v>
      </c>
      <c r="J7104" t="s">
        <v>368</v>
      </c>
      <c r="K7104" t="s">
        <v>80</v>
      </c>
      <c r="M7104">
        <v>130.07</v>
      </c>
      <c r="N7104" s="4">
        <f t="shared" si="110"/>
        <v>-91.200123010686553</v>
      </c>
      <c r="O7104" t="s">
        <v>83</v>
      </c>
    </row>
    <row r="7105" spans="1:17" x14ac:dyDescent="0.25">
      <c r="A7105" s="22">
        <v>45877</v>
      </c>
      <c r="B7105" s="1">
        <v>16327240</v>
      </c>
      <c r="C7105" t="s">
        <v>5433</v>
      </c>
      <c r="D7105" s="44">
        <v>-598131.48</v>
      </c>
      <c r="E7105" t="s">
        <v>35</v>
      </c>
      <c r="F7105" s="2">
        <v>210101001</v>
      </c>
      <c r="G7105" s="2" t="s">
        <v>36</v>
      </c>
      <c r="I7105" s="95" t="s">
        <v>7231</v>
      </c>
      <c r="J7105" t="s">
        <v>182</v>
      </c>
      <c r="K7105" t="s">
        <v>183</v>
      </c>
      <c r="M7105">
        <v>130.07</v>
      </c>
      <c r="N7105" s="4">
        <f t="shared" si="110"/>
        <v>-4598.5352502498654</v>
      </c>
      <c r="O7105" t="s">
        <v>83</v>
      </c>
    </row>
    <row r="7106" spans="1:17" x14ac:dyDescent="0.25">
      <c r="A7106" s="22">
        <v>45877</v>
      </c>
      <c r="B7106" s="1">
        <v>16327239</v>
      </c>
      <c r="C7106" t="s">
        <v>4703</v>
      </c>
      <c r="D7106" s="44">
        <v>-15608.4</v>
      </c>
      <c r="E7106" t="s">
        <v>35</v>
      </c>
      <c r="F7106" s="2">
        <v>110101002</v>
      </c>
      <c r="G7106" s="2" t="s">
        <v>2771</v>
      </c>
      <c r="I7106" s="95" t="s">
        <v>7231</v>
      </c>
      <c r="K7106" t="s">
        <v>3285</v>
      </c>
      <c r="M7106">
        <v>130.07</v>
      </c>
      <c r="N7106" s="4">
        <f t="shared" si="110"/>
        <v>-120</v>
      </c>
      <c r="O7106" t="s">
        <v>83</v>
      </c>
    </row>
    <row r="7107" spans="1:17" x14ac:dyDescent="0.25">
      <c r="A7107" s="22">
        <v>45877</v>
      </c>
      <c r="B7107" s="1">
        <v>50875316</v>
      </c>
      <c r="C7107" t="s">
        <v>89</v>
      </c>
      <c r="D7107" s="44">
        <v>-1848.78</v>
      </c>
      <c r="E7107" t="s">
        <v>35</v>
      </c>
      <c r="F7107" s="2">
        <v>610148001</v>
      </c>
      <c r="G7107" s="2" t="s">
        <v>41</v>
      </c>
      <c r="I7107" s="95" t="s">
        <v>7231</v>
      </c>
      <c r="J7107" t="s">
        <v>42</v>
      </c>
      <c r="K7107" t="s">
        <v>41</v>
      </c>
      <c r="M7107">
        <v>130.07</v>
      </c>
      <c r="N7107" s="4">
        <f t="shared" si="110"/>
        <v>-14.213731067886522</v>
      </c>
      <c r="O7107" t="s">
        <v>83</v>
      </c>
      <c r="Q7107" s="24" t="s">
        <v>5251</v>
      </c>
    </row>
    <row r="7108" spans="1:17" x14ac:dyDescent="0.25">
      <c r="A7108" s="22">
        <v>45877</v>
      </c>
      <c r="B7108" s="1">
        <v>144245088</v>
      </c>
      <c r="C7108" t="s">
        <v>82</v>
      </c>
      <c r="D7108" s="44">
        <v>240000</v>
      </c>
      <c r="E7108" t="s">
        <v>45</v>
      </c>
      <c r="F7108" s="2">
        <v>210115002</v>
      </c>
      <c r="G7108" s="2" t="s">
        <v>46</v>
      </c>
      <c r="I7108" s="95" t="s">
        <v>7231</v>
      </c>
      <c r="K7108" t="s">
        <v>82</v>
      </c>
      <c r="M7108">
        <v>130.07</v>
      </c>
      <c r="N7108" s="4">
        <f t="shared" si="110"/>
        <v>1845.160298300915</v>
      </c>
      <c r="O7108" t="s">
        <v>83</v>
      </c>
    </row>
    <row r="7109" spans="1:17" x14ac:dyDescent="0.25">
      <c r="A7109" s="22">
        <v>45877</v>
      </c>
      <c r="B7109" s="1">
        <v>50878466</v>
      </c>
      <c r="C7109" t="s">
        <v>5434</v>
      </c>
      <c r="D7109" s="44">
        <v>42246.74</v>
      </c>
      <c r="E7109" t="s">
        <v>45</v>
      </c>
      <c r="F7109" s="2">
        <v>110106001</v>
      </c>
      <c r="G7109" s="2" t="s">
        <v>1011</v>
      </c>
      <c r="I7109" s="95" t="s">
        <v>7231</v>
      </c>
      <c r="K7109" t="s">
        <v>5435</v>
      </c>
      <c r="M7109">
        <v>130.07</v>
      </c>
      <c r="N7109" s="4">
        <f t="shared" si="110"/>
        <v>324.80003075267166</v>
      </c>
      <c r="O7109" t="s">
        <v>83</v>
      </c>
    </row>
    <row r="7110" spans="1:17" x14ac:dyDescent="0.25">
      <c r="A7110" s="22">
        <v>45880</v>
      </c>
      <c r="B7110" s="1">
        <v>151902845</v>
      </c>
      <c r="C7110" t="s">
        <v>82</v>
      </c>
      <c r="D7110" s="44">
        <v>65000</v>
      </c>
      <c r="E7110" t="s">
        <v>45</v>
      </c>
      <c r="F7110" s="2">
        <v>210115002</v>
      </c>
      <c r="G7110" s="2" t="s">
        <v>46</v>
      </c>
      <c r="I7110" s="95" t="s">
        <v>7231</v>
      </c>
      <c r="K7110" t="s">
        <v>82</v>
      </c>
      <c r="M7110">
        <v>131.12</v>
      </c>
      <c r="N7110" s="4">
        <f t="shared" si="110"/>
        <v>495.72910311165344</v>
      </c>
      <c r="O7110" t="s">
        <v>83</v>
      </c>
    </row>
    <row r="7111" spans="1:17" x14ac:dyDescent="0.25">
      <c r="A7111" s="22">
        <v>45880</v>
      </c>
      <c r="C7111" t="s">
        <v>3739</v>
      </c>
      <c r="D7111" s="44">
        <v>-126.28</v>
      </c>
      <c r="E7111" t="s">
        <v>35</v>
      </c>
      <c r="F7111" s="2">
        <v>610148001</v>
      </c>
      <c r="G7111" s="2" t="s">
        <v>41</v>
      </c>
      <c r="I7111" s="95" t="s">
        <v>7231</v>
      </c>
      <c r="J7111" t="s">
        <v>42</v>
      </c>
      <c r="K7111" t="s">
        <v>41</v>
      </c>
      <c r="M7111">
        <v>131.12</v>
      </c>
      <c r="N7111" s="4">
        <f t="shared" si="110"/>
        <v>-0.96308724832214765</v>
      </c>
      <c r="O7111" t="s">
        <v>83</v>
      </c>
      <c r="Q7111" s="24" t="s">
        <v>5251</v>
      </c>
    </row>
    <row r="7112" spans="1:17" x14ac:dyDescent="0.25">
      <c r="A7112" s="22">
        <v>45880</v>
      </c>
      <c r="B7112" s="1">
        <v>54161</v>
      </c>
      <c r="C7112" t="s">
        <v>5436</v>
      </c>
      <c r="D7112" s="44">
        <v>-62753.14</v>
      </c>
      <c r="E7112" t="s">
        <v>35</v>
      </c>
      <c r="F7112" s="2">
        <v>213401001</v>
      </c>
      <c r="G7112" s="2" t="s">
        <v>94</v>
      </c>
      <c r="I7112" s="95" t="s">
        <v>7231</v>
      </c>
      <c r="J7112" t="s">
        <v>95</v>
      </c>
      <c r="K7112" t="s">
        <v>96</v>
      </c>
      <c r="M7112">
        <v>131.12</v>
      </c>
      <c r="N7112" s="4">
        <f t="shared" si="110"/>
        <v>-478.59319707138496</v>
      </c>
      <c r="O7112" t="s">
        <v>83</v>
      </c>
      <c r="Q7112" s="24" t="s">
        <v>5437</v>
      </c>
    </row>
    <row r="7113" spans="1:17" x14ac:dyDescent="0.25">
      <c r="A7113" s="22">
        <v>45881</v>
      </c>
      <c r="B7113" s="1">
        <v>132221764</v>
      </c>
      <c r="C7113" t="s">
        <v>82</v>
      </c>
      <c r="D7113" s="44">
        <v>190000</v>
      </c>
      <c r="E7113" t="s">
        <v>45</v>
      </c>
      <c r="F7113" s="2">
        <v>210115002</v>
      </c>
      <c r="G7113" s="2" t="s">
        <v>46</v>
      </c>
      <c r="I7113" s="95" t="s">
        <v>7231</v>
      </c>
      <c r="K7113" t="s">
        <v>82</v>
      </c>
      <c r="M7113">
        <v>132.30000000000001</v>
      </c>
      <c r="N7113" s="4">
        <f t="shared" si="110"/>
        <v>1436.1300075585789</v>
      </c>
      <c r="O7113" t="s">
        <v>83</v>
      </c>
    </row>
    <row r="7114" spans="1:17" x14ac:dyDescent="0.25">
      <c r="A7114" s="22">
        <v>45881</v>
      </c>
      <c r="B7114" s="1">
        <v>916519126</v>
      </c>
      <c r="C7114" t="s">
        <v>5438</v>
      </c>
      <c r="D7114" s="44">
        <v>-165902.63</v>
      </c>
      <c r="E7114" t="s">
        <v>35</v>
      </c>
      <c r="F7114" s="2">
        <v>210101001</v>
      </c>
      <c r="G7114" s="2" t="s">
        <v>36</v>
      </c>
      <c r="I7114" s="95" t="s">
        <v>7231</v>
      </c>
      <c r="J7114" t="s">
        <v>502</v>
      </c>
      <c r="K7114" t="s">
        <v>503</v>
      </c>
      <c r="M7114">
        <v>132.30000000000001</v>
      </c>
      <c r="N7114" s="4">
        <f t="shared" si="110"/>
        <v>-1253.9881330309902</v>
      </c>
      <c r="O7114" t="s">
        <v>83</v>
      </c>
    </row>
    <row r="7115" spans="1:17" x14ac:dyDescent="0.25">
      <c r="A7115" s="22">
        <v>45881</v>
      </c>
      <c r="B7115" s="1">
        <v>916519127</v>
      </c>
      <c r="C7115" t="s">
        <v>5439</v>
      </c>
      <c r="D7115" s="44">
        <v>-19905.599999999999</v>
      </c>
      <c r="E7115" t="s">
        <v>35</v>
      </c>
      <c r="F7115" s="2">
        <v>210101001</v>
      </c>
      <c r="G7115" s="2" t="s">
        <v>36</v>
      </c>
      <c r="I7115" s="95" t="s">
        <v>7231</v>
      </c>
      <c r="J7115" t="s">
        <v>37</v>
      </c>
      <c r="K7115" t="s">
        <v>38</v>
      </c>
      <c r="M7115">
        <v>132.30000000000001</v>
      </c>
      <c r="N7115" s="4">
        <f t="shared" si="110"/>
        <v>-150.4580498866213</v>
      </c>
      <c r="O7115" t="s">
        <v>83</v>
      </c>
    </row>
    <row r="7116" spans="1:17" x14ac:dyDescent="0.25">
      <c r="A7116" s="22">
        <v>45882</v>
      </c>
      <c r="B7116" s="1">
        <v>140410528</v>
      </c>
      <c r="C7116" t="s">
        <v>82</v>
      </c>
      <c r="D7116" s="44">
        <v>520000</v>
      </c>
      <c r="E7116" t="s">
        <v>45</v>
      </c>
      <c r="F7116" s="2">
        <v>210115002</v>
      </c>
      <c r="G7116" s="2" t="s">
        <v>46</v>
      </c>
      <c r="I7116" s="95" t="s">
        <v>7231</v>
      </c>
      <c r="K7116" t="s">
        <v>82</v>
      </c>
      <c r="M7116">
        <v>133.52000000000001</v>
      </c>
      <c r="N7116" s="4">
        <f t="shared" ref="N7116:N7179" si="111">D7116/M7116</f>
        <v>3894.5476333133611</v>
      </c>
      <c r="O7116" t="s">
        <v>83</v>
      </c>
    </row>
    <row r="7117" spans="1:17" x14ac:dyDescent="0.25">
      <c r="A7117" s="22">
        <v>45882</v>
      </c>
      <c r="B7117" s="1">
        <v>216566335</v>
      </c>
      <c r="C7117" t="s">
        <v>5440</v>
      </c>
      <c r="D7117" s="44">
        <v>-176566.85</v>
      </c>
      <c r="E7117" t="s">
        <v>35</v>
      </c>
      <c r="F7117" s="2">
        <v>210101001</v>
      </c>
      <c r="G7117" s="2" t="s">
        <v>36</v>
      </c>
      <c r="I7117" s="95" t="s">
        <v>7231</v>
      </c>
      <c r="J7117" t="s">
        <v>37</v>
      </c>
      <c r="K7117" t="s">
        <v>38</v>
      </c>
      <c r="M7117">
        <v>133.52000000000001</v>
      </c>
      <c r="N7117" s="4">
        <f t="shared" si="111"/>
        <v>-1322.4000149790293</v>
      </c>
      <c r="O7117" t="s">
        <v>83</v>
      </c>
    </row>
    <row r="7118" spans="1:17" x14ac:dyDescent="0.25">
      <c r="A7118" s="22">
        <v>45882</v>
      </c>
      <c r="B7118" s="1">
        <v>216566336</v>
      </c>
      <c r="C7118" t="s">
        <v>5441</v>
      </c>
      <c r="D7118" s="44">
        <v>-325254.7</v>
      </c>
      <c r="E7118" t="s">
        <v>35</v>
      </c>
      <c r="F7118" s="2">
        <v>210101001</v>
      </c>
      <c r="G7118" s="2" t="s">
        <v>36</v>
      </c>
      <c r="I7118" s="95" t="s">
        <v>7231</v>
      </c>
      <c r="J7118" t="s">
        <v>414</v>
      </c>
      <c r="K7118" t="s">
        <v>415</v>
      </c>
      <c r="M7118">
        <v>133.52000000000001</v>
      </c>
      <c r="N7118" s="4">
        <f t="shared" si="111"/>
        <v>-2435.9998502097064</v>
      </c>
      <c r="O7118" t="s">
        <v>83</v>
      </c>
    </row>
    <row r="7119" spans="1:17" x14ac:dyDescent="0.25">
      <c r="A7119" s="22">
        <v>45882</v>
      </c>
      <c r="B7119" s="1">
        <v>316566337</v>
      </c>
      <c r="C7119" t="s">
        <v>5442</v>
      </c>
      <c r="D7119" s="44">
        <v>-16022</v>
      </c>
      <c r="E7119" t="s">
        <v>35</v>
      </c>
      <c r="F7119" s="2">
        <v>210101001</v>
      </c>
      <c r="G7119" s="2" t="s">
        <v>36</v>
      </c>
      <c r="I7119" s="95" t="s">
        <v>7231</v>
      </c>
      <c r="J7119" t="s">
        <v>414</v>
      </c>
      <c r="K7119" t="s">
        <v>415</v>
      </c>
      <c r="M7119">
        <v>133.52000000000001</v>
      </c>
      <c r="N7119" s="4">
        <f t="shared" si="111"/>
        <v>-119.99700419412821</v>
      </c>
      <c r="O7119" t="s">
        <v>83</v>
      </c>
    </row>
    <row r="7120" spans="1:17" x14ac:dyDescent="0.25">
      <c r="A7120" s="22">
        <v>45882</v>
      </c>
      <c r="B7120" s="1">
        <v>50855510</v>
      </c>
      <c r="C7120" t="s">
        <v>89</v>
      </c>
      <c r="D7120" s="44">
        <v>-1294.5999999999999</v>
      </c>
      <c r="E7120" t="s">
        <v>35</v>
      </c>
      <c r="F7120" s="2">
        <v>610148001</v>
      </c>
      <c r="G7120" s="2" t="s">
        <v>41</v>
      </c>
      <c r="I7120" s="95" t="s">
        <v>7231</v>
      </c>
      <c r="J7120" t="s">
        <v>42</v>
      </c>
      <c r="K7120" t="s">
        <v>41</v>
      </c>
      <c r="M7120">
        <v>133.52000000000001</v>
      </c>
      <c r="N7120" s="4">
        <f t="shared" si="111"/>
        <v>-9.6959257040143783</v>
      </c>
      <c r="O7120" t="s">
        <v>83</v>
      </c>
      <c r="Q7120" s="24" t="s">
        <v>5251</v>
      </c>
    </row>
    <row r="7121" spans="1:20" x14ac:dyDescent="0.25">
      <c r="A7121" s="22">
        <v>45881</v>
      </c>
      <c r="B7121" s="1">
        <v>50885751</v>
      </c>
      <c r="C7121" t="s">
        <v>89</v>
      </c>
      <c r="D7121" s="44">
        <v>-464.52</v>
      </c>
      <c r="E7121" t="s">
        <v>35</v>
      </c>
      <c r="F7121" s="2">
        <v>610148001</v>
      </c>
      <c r="G7121" s="2" t="s">
        <v>41</v>
      </c>
      <c r="I7121" s="95" t="s">
        <v>7231</v>
      </c>
      <c r="J7121" t="s">
        <v>42</v>
      </c>
      <c r="K7121" t="s">
        <v>41</v>
      </c>
      <c r="M7121">
        <v>132.30000000000001</v>
      </c>
      <c r="N7121" s="4">
        <f t="shared" si="111"/>
        <v>-3.5111111111111106</v>
      </c>
      <c r="O7121" t="s">
        <v>83</v>
      </c>
      <c r="Q7121" s="24" t="s">
        <v>5251</v>
      </c>
    </row>
    <row r="7122" spans="1:20" x14ac:dyDescent="0.25">
      <c r="A7122" s="22">
        <v>45883</v>
      </c>
      <c r="B7122" s="1">
        <v>143135411</v>
      </c>
      <c r="C7122" t="s">
        <v>5443</v>
      </c>
      <c r="D7122" s="44">
        <v>160000</v>
      </c>
      <c r="E7122" t="s">
        <v>45</v>
      </c>
      <c r="F7122" s="2">
        <v>210115002</v>
      </c>
      <c r="G7122" s="2" t="s">
        <v>46</v>
      </c>
      <c r="I7122" s="95" t="s">
        <v>7231</v>
      </c>
      <c r="K7122" t="s">
        <v>5443</v>
      </c>
      <c r="M7122">
        <v>134.47999999999999</v>
      </c>
      <c r="N7122" s="4">
        <f t="shared" si="111"/>
        <v>1189.767995240928</v>
      </c>
      <c r="O7122" t="s">
        <v>83</v>
      </c>
    </row>
    <row r="7123" spans="1:20" x14ac:dyDescent="0.25">
      <c r="A7123" s="22">
        <v>45883</v>
      </c>
      <c r="B7123" s="1">
        <v>616619088</v>
      </c>
      <c r="C7123" t="s">
        <v>5444</v>
      </c>
      <c r="D7123" s="44">
        <v>-112273.5</v>
      </c>
      <c r="E7123" t="s">
        <v>35</v>
      </c>
      <c r="F7123" s="2">
        <v>210101001</v>
      </c>
      <c r="G7123" s="2" t="s">
        <v>36</v>
      </c>
      <c r="I7123" s="95" t="s">
        <v>7231</v>
      </c>
      <c r="J7123" t="s">
        <v>685</v>
      </c>
      <c r="K7123" t="s">
        <v>686</v>
      </c>
      <c r="M7123">
        <v>134.47999999999999</v>
      </c>
      <c r="N7123" s="4">
        <f t="shared" si="111"/>
        <v>-834.87135633551463</v>
      </c>
      <c r="O7123" t="s">
        <v>83</v>
      </c>
    </row>
    <row r="7124" spans="1:20" x14ac:dyDescent="0.25">
      <c r="A7124" s="22">
        <v>45883</v>
      </c>
      <c r="B7124" s="1">
        <v>616619088</v>
      </c>
      <c r="C7124" t="s">
        <v>185</v>
      </c>
      <c r="D7124" s="44">
        <v>-336.82</v>
      </c>
      <c r="E7124" t="s">
        <v>35</v>
      </c>
      <c r="F7124" s="2">
        <v>610148001</v>
      </c>
      <c r="G7124" s="2" t="s">
        <v>41</v>
      </c>
      <c r="I7124" s="95" t="s">
        <v>7231</v>
      </c>
      <c r="J7124" t="s">
        <v>42</v>
      </c>
      <c r="K7124" t="s">
        <v>41</v>
      </c>
      <c r="M7124">
        <v>134.47999999999999</v>
      </c>
      <c r="N7124" s="4">
        <f t="shared" si="111"/>
        <v>-2.5046103509815589</v>
      </c>
      <c r="O7124" t="s">
        <v>83</v>
      </c>
      <c r="Q7124" s="24" t="s">
        <v>5251</v>
      </c>
    </row>
    <row r="7125" spans="1:20" x14ac:dyDescent="0.25">
      <c r="A7125" s="22">
        <v>45883</v>
      </c>
      <c r="B7125" s="1">
        <v>143832444</v>
      </c>
      <c r="C7125" t="s">
        <v>5445</v>
      </c>
      <c r="D7125" s="44">
        <v>-38745.480000000003</v>
      </c>
      <c r="E7125" t="s">
        <v>35</v>
      </c>
      <c r="F7125" s="2">
        <v>210101001</v>
      </c>
      <c r="G7125" s="2" t="s">
        <v>36</v>
      </c>
      <c r="I7125" s="95" t="s">
        <v>7231</v>
      </c>
      <c r="J7125" t="s">
        <v>1301</v>
      </c>
      <c r="K7125" t="s">
        <v>1302</v>
      </c>
      <c r="M7125">
        <v>134.47999999999999</v>
      </c>
      <c r="N7125" s="4">
        <f t="shared" si="111"/>
        <v>-288.11332540154672</v>
      </c>
      <c r="O7125" t="s">
        <v>83</v>
      </c>
    </row>
    <row r="7126" spans="1:20" x14ac:dyDescent="0.25">
      <c r="A7126" s="22">
        <v>45883</v>
      </c>
      <c r="B7126" s="1">
        <v>516619164</v>
      </c>
      <c r="C7126" t="s">
        <v>5446</v>
      </c>
      <c r="D7126" s="44">
        <v>-5756.16</v>
      </c>
      <c r="E7126" t="s">
        <v>35</v>
      </c>
      <c r="F7126" s="2">
        <v>110114001</v>
      </c>
      <c r="G7126" s="2" t="s">
        <v>181</v>
      </c>
      <c r="I7126" s="95" t="s">
        <v>7231</v>
      </c>
      <c r="J7126" t="s">
        <v>376</v>
      </c>
      <c r="K7126" t="s">
        <v>377</v>
      </c>
      <c r="M7126">
        <v>134.47999999999999</v>
      </c>
      <c r="N7126" s="4">
        <f t="shared" si="111"/>
        <v>-42.803093396787631</v>
      </c>
      <c r="O7126" t="s">
        <v>83</v>
      </c>
    </row>
    <row r="7127" spans="1:20" x14ac:dyDescent="0.25">
      <c r="A7127" s="22">
        <v>45883</v>
      </c>
      <c r="B7127" s="1">
        <v>516619164</v>
      </c>
      <c r="C7127" t="s">
        <v>185</v>
      </c>
      <c r="D7127" s="44">
        <v>-17.27</v>
      </c>
      <c r="E7127" t="s">
        <v>35</v>
      </c>
      <c r="F7127" s="2">
        <v>610148001</v>
      </c>
      <c r="G7127" s="2" t="s">
        <v>41</v>
      </c>
      <c r="I7127" s="95" t="s">
        <v>7231</v>
      </c>
      <c r="J7127" t="s">
        <v>42</v>
      </c>
      <c r="K7127" t="s">
        <v>41</v>
      </c>
      <c r="M7127">
        <v>134.47999999999999</v>
      </c>
      <c r="N7127" s="4">
        <f t="shared" si="111"/>
        <v>-0.12842058298631767</v>
      </c>
      <c r="O7127" t="s">
        <v>83</v>
      </c>
      <c r="Q7127" s="24" t="s">
        <v>5251</v>
      </c>
    </row>
    <row r="7128" spans="1:20" x14ac:dyDescent="0.25">
      <c r="A7128" s="22">
        <v>45883</v>
      </c>
      <c r="B7128" s="1">
        <v>173653379</v>
      </c>
      <c r="C7128" t="s">
        <v>5447</v>
      </c>
      <c r="D7128" s="44">
        <v>-12024.6</v>
      </c>
      <c r="E7128" t="s">
        <v>35</v>
      </c>
      <c r="F7128" s="2">
        <v>210101001</v>
      </c>
      <c r="G7128" s="2" t="s">
        <v>36</v>
      </c>
      <c r="I7128" s="95" t="s">
        <v>7231</v>
      </c>
      <c r="J7128" t="s">
        <v>1306</v>
      </c>
      <c r="K7128" t="s">
        <v>600</v>
      </c>
      <c r="M7128">
        <v>134.47999999999999</v>
      </c>
      <c r="N7128" s="4">
        <f t="shared" si="111"/>
        <v>-89.415526472337902</v>
      </c>
      <c r="O7128" t="s">
        <v>83</v>
      </c>
    </row>
    <row r="7129" spans="1:20" x14ac:dyDescent="0.25">
      <c r="A7129" s="22">
        <v>45883</v>
      </c>
      <c r="B7129" s="1">
        <v>183846024</v>
      </c>
      <c r="C7129" t="s">
        <v>5443</v>
      </c>
      <c r="D7129" s="44">
        <v>200000</v>
      </c>
      <c r="E7129" t="s">
        <v>45</v>
      </c>
      <c r="F7129" s="2">
        <v>210115002</v>
      </c>
      <c r="G7129" s="2" t="s">
        <v>46</v>
      </c>
      <c r="I7129" s="95" t="s">
        <v>7231</v>
      </c>
      <c r="K7129" t="s">
        <v>5443</v>
      </c>
      <c r="M7129">
        <v>134.47999999999999</v>
      </c>
      <c r="N7129" s="4">
        <f t="shared" si="111"/>
        <v>1487.20999405116</v>
      </c>
      <c r="O7129" t="s">
        <v>83</v>
      </c>
    </row>
    <row r="7130" spans="1:20" x14ac:dyDescent="0.25">
      <c r="A7130" s="22">
        <v>45883</v>
      </c>
      <c r="B7130" s="1">
        <v>816634933</v>
      </c>
      <c r="C7130" t="s">
        <v>5448</v>
      </c>
      <c r="D7130" s="44">
        <v>-66694.58</v>
      </c>
      <c r="E7130" t="s">
        <v>35</v>
      </c>
      <c r="F7130" s="2">
        <v>212901001</v>
      </c>
      <c r="G7130" s="2" t="s">
        <v>91</v>
      </c>
      <c r="I7130" s="95" t="s">
        <v>7231</v>
      </c>
      <c r="J7130" t="s">
        <v>61</v>
      </c>
      <c r="K7130" t="s">
        <v>62</v>
      </c>
      <c r="M7130">
        <v>134.47999999999999</v>
      </c>
      <c r="N7130" s="4">
        <f t="shared" si="111"/>
        <v>-495.94422962522316</v>
      </c>
      <c r="O7130" t="s">
        <v>83</v>
      </c>
      <c r="R7130">
        <v>2</v>
      </c>
      <c r="S7130" t="e">
        <f>VLOOKUP(Tabla3[[#This Row],[Nº]],[1]!NOMINA[#Data],4,FALSE)</f>
        <v>#REF!</v>
      </c>
      <c r="T7130" t="e">
        <f>VLOOKUP(Tabla3[[#This Row],[Nº]],[1]!NOMINA[#Data],5,FALSE)</f>
        <v>#REF!</v>
      </c>
    </row>
    <row r="7131" spans="1:20" x14ac:dyDescent="0.25">
      <c r="A7131" s="22">
        <v>45883</v>
      </c>
      <c r="B7131" s="1">
        <v>816634936</v>
      </c>
      <c r="C7131" t="s">
        <v>5449</v>
      </c>
      <c r="D7131" s="44">
        <v>-6631.94</v>
      </c>
      <c r="E7131" t="s">
        <v>35</v>
      </c>
      <c r="F7131" s="2">
        <v>212901001</v>
      </c>
      <c r="G7131" s="2" t="s">
        <v>91</v>
      </c>
      <c r="I7131" s="95" t="s">
        <v>7231</v>
      </c>
      <c r="J7131" t="s">
        <v>61</v>
      </c>
      <c r="K7131" t="s">
        <v>62</v>
      </c>
      <c r="M7131">
        <v>134.47999999999999</v>
      </c>
      <c r="N7131" s="4">
        <f t="shared" si="111"/>
        <v>-49.315437239738252</v>
      </c>
      <c r="O7131" t="s">
        <v>83</v>
      </c>
      <c r="R7131">
        <v>22</v>
      </c>
      <c r="S7131" t="e">
        <f>VLOOKUP(Tabla3[[#This Row],[Nº]],[1]!NOMINA[#Data],4,FALSE)</f>
        <v>#REF!</v>
      </c>
      <c r="T7131" t="e">
        <f>VLOOKUP(R7131,[1]!NOMINA[#Data],5,FALSE)</f>
        <v>#REF!</v>
      </c>
    </row>
    <row r="7132" spans="1:20" x14ac:dyDescent="0.25">
      <c r="A7132" s="22">
        <v>45883</v>
      </c>
      <c r="B7132" s="1">
        <v>816634935</v>
      </c>
      <c r="C7132" t="s">
        <v>5450</v>
      </c>
      <c r="D7132" s="44">
        <v>-5295.4</v>
      </c>
      <c r="E7132" t="s">
        <v>35</v>
      </c>
      <c r="F7132" s="2">
        <v>212901001</v>
      </c>
      <c r="G7132" s="2" t="s">
        <v>91</v>
      </c>
      <c r="I7132" s="95" t="s">
        <v>7231</v>
      </c>
      <c r="J7132" t="s">
        <v>61</v>
      </c>
      <c r="K7132" t="s">
        <v>62</v>
      </c>
      <c r="M7132">
        <v>134.47999999999999</v>
      </c>
      <c r="N7132" s="4">
        <f t="shared" si="111"/>
        <v>-39.376859012492567</v>
      </c>
      <c r="O7132" t="s">
        <v>83</v>
      </c>
      <c r="R7132">
        <v>29</v>
      </c>
      <c r="S7132" t="e">
        <f>VLOOKUP(R7132,[1]!NOMINA[#Data],4,FALSE)</f>
        <v>#REF!</v>
      </c>
      <c r="T7132" t="e">
        <f>VLOOKUP(R7132,[1]!NOMINA[#Data],5,FALSE)</f>
        <v>#REF!</v>
      </c>
    </row>
    <row r="7133" spans="1:20" x14ac:dyDescent="0.25">
      <c r="A7133" s="22">
        <v>45883</v>
      </c>
      <c r="B7133" s="1">
        <v>816634934</v>
      </c>
      <c r="C7133" t="s">
        <v>5451</v>
      </c>
      <c r="D7133" s="44">
        <v>-12759.17</v>
      </c>
      <c r="E7133" t="s">
        <v>35</v>
      </c>
      <c r="F7133" s="2">
        <v>212901001</v>
      </c>
      <c r="G7133" s="2" t="s">
        <v>91</v>
      </c>
      <c r="I7133" s="95" t="s">
        <v>7231</v>
      </c>
      <c r="J7133" t="s">
        <v>61</v>
      </c>
      <c r="K7133" t="s">
        <v>62</v>
      </c>
      <c r="M7133">
        <v>134.47999999999999</v>
      </c>
      <c r="N7133" s="4">
        <f t="shared" si="111"/>
        <v>-94.877825698988701</v>
      </c>
      <c r="O7133" t="s">
        <v>83</v>
      </c>
      <c r="R7133">
        <v>31</v>
      </c>
      <c r="S7133" t="e">
        <f>VLOOKUP(Tabla3[[#This Row],[Nº]],[1]!NOMINA[#Data],4,FALSE)</f>
        <v>#REF!</v>
      </c>
      <c r="T7133" t="e">
        <f>VLOOKUP(R7133,[1]!NOMINA[#Data],5,FALSE)</f>
        <v>#REF!</v>
      </c>
    </row>
    <row r="7134" spans="1:20" x14ac:dyDescent="0.25">
      <c r="A7134" s="22">
        <v>45883</v>
      </c>
      <c r="B7134" s="1">
        <v>816634940</v>
      </c>
      <c r="C7134" t="s">
        <v>5452</v>
      </c>
      <c r="D7134" s="44">
        <v>-9541.34</v>
      </c>
      <c r="E7134" t="s">
        <v>35</v>
      </c>
      <c r="F7134" s="2">
        <v>212901001</v>
      </c>
      <c r="G7134" s="2" t="s">
        <v>91</v>
      </c>
      <c r="I7134" s="95" t="s">
        <v>7231</v>
      </c>
      <c r="J7134" t="s">
        <v>61</v>
      </c>
      <c r="K7134" t="s">
        <v>62</v>
      </c>
      <c r="M7134">
        <v>134.47999999999999</v>
      </c>
      <c r="N7134" s="4">
        <f t="shared" si="111"/>
        <v>-70.949881023200476</v>
      </c>
      <c r="O7134" t="s">
        <v>83</v>
      </c>
      <c r="R7134">
        <v>15</v>
      </c>
      <c r="S7134" t="e">
        <f>VLOOKUP(Tabla3[[#This Row],[Nº]],[1]!NOMINA[#Data],4,FALSE)</f>
        <v>#REF!</v>
      </c>
      <c r="T7134" t="e">
        <f>VLOOKUP(R7134,[1]!NOMINA[#Data],5,FALSE)</f>
        <v>#REF!</v>
      </c>
    </row>
    <row r="7135" spans="1:20" x14ac:dyDescent="0.25">
      <c r="A7135" s="22">
        <v>45883</v>
      </c>
      <c r="B7135" s="1">
        <v>916634943</v>
      </c>
      <c r="C7135" t="s">
        <v>5453</v>
      </c>
      <c r="D7135" s="44">
        <v>-9984.6299999999992</v>
      </c>
      <c r="E7135" t="s">
        <v>35</v>
      </c>
      <c r="F7135" s="2">
        <v>212901001</v>
      </c>
      <c r="G7135" s="2" t="s">
        <v>91</v>
      </c>
      <c r="I7135" s="95" t="s">
        <v>7231</v>
      </c>
      <c r="J7135" t="s">
        <v>61</v>
      </c>
      <c r="K7135" t="s">
        <v>62</v>
      </c>
      <c r="M7135">
        <v>134.47999999999999</v>
      </c>
      <c r="N7135" s="4">
        <f t="shared" si="111"/>
        <v>-74.246207614515171</v>
      </c>
      <c r="O7135" t="s">
        <v>83</v>
      </c>
      <c r="R7135">
        <v>8</v>
      </c>
      <c r="S7135" t="e">
        <f>VLOOKUP(Tabla3[[#This Row],[Nº]],[1]!NOMINA[#Data],4,FALSE)</f>
        <v>#REF!</v>
      </c>
      <c r="T7135" t="e">
        <f>VLOOKUP(R7135,[1]!NOMINA[#Data],5,FALSE)</f>
        <v>#REF!</v>
      </c>
    </row>
    <row r="7136" spans="1:20" x14ac:dyDescent="0.25">
      <c r="A7136" s="22">
        <v>45883</v>
      </c>
      <c r="B7136" s="1">
        <v>916634942</v>
      </c>
      <c r="C7136" t="s">
        <v>5454</v>
      </c>
      <c r="D7136" s="44">
        <v>-4587.75</v>
      </c>
      <c r="E7136" t="s">
        <v>35</v>
      </c>
      <c r="F7136" s="2">
        <v>212901001</v>
      </c>
      <c r="G7136" s="2" t="s">
        <v>91</v>
      </c>
      <c r="I7136" s="95" t="s">
        <v>7231</v>
      </c>
      <c r="J7136" t="s">
        <v>61</v>
      </c>
      <c r="K7136" t="s">
        <v>62</v>
      </c>
      <c r="M7136">
        <v>134.47999999999999</v>
      </c>
      <c r="N7136" s="4">
        <f t="shared" si="111"/>
        <v>-34.114738251041047</v>
      </c>
      <c r="O7136" t="s">
        <v>83</v>
      </c>
      <c r="R7136">
        <v>26</v>
      </c>
      <c r="S7136" t="e">
        <f>VLOOKUP(Tabla3[[#This Row],[Nº]],[1]!NOMINA[#Data],4,FALSE)</f>
        <v>#REF!</v>
      </c>
      <c r="T7136" t="e">
        <f>VLOOKUP(Tabla3[[#This Row],[Nº]],[1]!NOMINA[#Data],5,FALSE)</f>
        <v>#REF!</v>
      </c>
    </row>
    <row r="7137" spans="1:20" x14ac:dyDescent="0.25">
      <c r="A7137" s="22">
        <v>45883</v>
      </c>
      <c r="B7137" s="1">
        <v>816634939</v>
      </c>
      <c r="C7137" t="s">
        <v>5455</v>
      </c>
      <c r="D7137" s="44">
        <v>-10191.58</v>
      </c>
      <c r="E7137" t="s">
        <v>35</v>
      </c>
      <c r="F7137" s="2">
        <v>212901001</v>
      </c>
      <c r="G7137" s="2" t="s">
        <v>91</v>
      </c>
      <c r="I7137" s="95" t="s">
        <v>7231</v>
      </c>
      <c r="J7137" t="s">
        <v>61</v>
      </c>
      <c r="K7137" t="s">
        <v>62</v>
      </c>
      <c r="M7137">
        <v>134.47999999999999</v>
      </c>
      <c r="N7137" s="4">
        <f t="shared" si="111"/>
        <v>-75.785098155859615</v>
      </c>
      <c r="O7137" t="s">
        <v>83</v>
      </c>
      <c r="R7137">
        <v>17</v>
      </c>
      <c r="S7137" t="e">
        <f>VLOOKUP(Tabla3[[#This Row],[Nº]],[1]!NOMINA[#Data],4,FALSE)</f>
        <v>#REF!</v>
      </c>
      <c r="T7137" t="e">
        <f>VLOOKUP(R7137,[1]!NOMINA[#Data],5,FALSE)</f>
        <v>#REF!</v>
      </c>
    </row>
    <row r="7138" spans="1:20" x14ac:dyDescent="0.25">
      <c r="A7138" s="22">
        <v>45883</v>
      </c>
      <c r="B7138" s="1">
        <v>816634937</v>
      </c>
      <c r="C7138" t="s">
        <v>5456</v>
      </c>
      <c r="D7138" s="44">
        <v>-4625.13</v>
      </c>
      <c r="E7138" t="s">
        <v>35</v>
      </c>
      <c r="F7138" s="2">
        <v>212901001</v>
      </c>
      <c r="G7138" s="2" t="s">
        <v>91</v>
      </c>
      <c r="I7138" s="95" t="s">
        <v>7231</v>
      </c>
      <c r="J7138" t="s">
        <v>61</v>
      </c>
      <c r="K7138" t="s">
        <v>62</v>
      </c>
      <c r="M7138">
        <v>134.47999999999999</v>
      </c>
      <c r="N7138" s="4">
        <f t="shared" si="111"/>
        <v>-34.392697798929213</v>
      </c>
      <c r="O7138" t="s">
        <v>83</v>
      </c>
      <c r="R7138">
        <v>23</v>
      </c>
      <c r="S7138" t="e">
        <f>VLOOKUP(Tabla3[[#This Row],[Nº]],[1]!NOMINA[#Data],4,FALSE)</f>
        <v>#REF!</v>
      </c>
      <c r="T7138" t="e">
        <f>VLOOKUP(R7138,[1]!NOMINA[#Data],5,FALSE)</f>
        <v>#REF!</v>
      </c>
    </row>
    <row r="7139" spans="1:20" x14ac:dyDescent="0.25">
      <c r="A7139" s="22">
        <v>45883</v>
      </c>
      <c r="B7139" s="1">
        <v>916634941</v>
      </c>
      <c r="C7139" t="s">
        <v>5457</v>
      </c>
      <c r="D7139" s="44">
        <v>-10678.93</v>
      </c>
      <c r="E7139" t="s">
        <v>35</v>
      </c>
      <c r="F7139" s="2">
        <v>212901001</v>
      </c>
      <c r="G7139" s="2" t="s">
        <v>91</v>
      </c>
      <c r="I7139" s="95" t="s">
        <v>7231</v>
      </c>
      <c r="J7139" t="s">
        <v>61</v>
      </c>
      <c r="K7139" t="s">
        <v>62</v>
      </c>
      <c r="M7139">
        <v>134.47999999999999</v>
      </c>
      <c r="N7139" s="4">
        <f t="shared" si="111"/>
        <v>-79.409057108863777</v>
      </c>
      <c r="O7139" t="s">
        <v>83</v>
      </c>
      <c r="R7139">
        <v>14</v>
      </c>
      <c r="S7139" t="e">
        <f>VLOOKUP(Tabla3[[#This Row],[Nº]],[1]!NOMINA[#Data],4,FALSE)</f>
        <v>#REF!</v>
      </c>
      <c r="T7139" t="e">
        <f>VLOOKUP(R7139,[1]!NOMINA[#Data],5,FALSE)</f>
        <v>#REF!</v>
      </c>
    </row>
    <row r="7140" spans="1:20" x14ac:dyDescent="0.25">
      <c r="A7140" s="22">
        <v>45883</v>
      </c>
      <c r="B7140" s="1">
        <v>916634945</v>
      </c>
      <c r="C7140" t="s">
        <v>5458</v>
      </c>
      <c r="D7140" s="44">
        <v>-53342.58</v>
      </c>
      <c r="E7140" t="s">
        <v>35</v>
      </c>
      <c r="F7140" s="2">
        <v>212901001</v>
      </c>
      <c r="G7140" s="2" t="s">
        <v>91</v>
      </c>
      <c r="I7140" s="95" t="s">
        <v>7231</v>
      </c>
      <c r="J7140" t="s">
        <v>61</v>
      </c>
      <c r="K7140" t="s">
        <v>62</v>
      </c>
      <c r="M7140">
        <v>134.47999999999999</v>
      </c>
      <c r="N7140" s="4">
        <f t="shared" si="111"/>
        <v>-396.65809042236771</v>
      </c>
      <c r="O7140" t="s">
        <v>83</v>
      </c>
      <c r="R7140">
        <v>1</v>
      </c>
      <c r="S7140" t="e">
        <f>VLOOKUP(R7140,[1]!NOMINA[#Data],4,FALSE)</f>
        <v>#REF!</v>
      </c>
      <c r="T7140" t="e">
        <f>VLOOKUP(R7140,[1]!NOMINA[#Data],5,FALSE)</f>
        <v>#REF!</v>
      </c>
    </row>
    <row r="7141" spans="1:20" x14ac:dyDescent="0.25">
      <c r="A7141" s="22">
        <v>45883</v>
      </c>
      <c r="B7141" s="1">
        <v>816634938</v>
      </c>
      <c r="C7141" t="s">
        <v>5459</v>
      </c>
      <c r="D7141" s="44">
        <v>-6647.96</v>
      </c>
      <c r="E7141" t="s">
        <v>35</v>
      </c>
      <c r="F7141" s="2">
        <v>212901001</v>
      </c>
      <c r="G7141" s="2" t="s">
        <v>91</v>
      </c>
      <c r="I7141" s="95" t="s">
        <v>7231</v>
      </c>
      <c r="J7141" t="s">
        <v>61</v>
      </c>
      <c r="K7141" t="s">
        <v>62</v>
      </c>
      <c r="M7141">
        <v>134.47999999999999</v>
      </c>
      <c r="N7141" s="4">
        <f t="shared" si="111"/>
        <v>-49.434562760261755</v>
      </c>
      <c r="O7141" t="s">
        <v>83</v>
      </c>
      <c r="R7141">
        <v>19</v>
      </c>
      <c r="S7141" t="e">
        <f>VLOOKUP(Tabla3[[#This Row],[Nº]],[1]!NOMINA[#Data],4,FALSE)</f>
        <v>#REF!</v>
      </c>
      <c r="T7141" t="e">
        <f>VLOOKUP(R7141,[1]!NOMINA[#Data],5,FALSE)</f>
        <v>#REF!</v>
      </c>
    </row>
    <row r="7142" spans="1:20" x14ac:dyDescent="0.25">
      <c r="A7142" s="22">
        <v>45883</v>
      </c>
      <c r="B7142" s="1">
        <v>916634944</v>
      </c>
      <c r="C7142" t="s">
        <v>5460</v>
      </c>
      <c r="D7142" s="44">
        <v>-9948.58</v>
      </c>
      <c r="E7142" t="s">
        <v>35</v>
      </c>
      <c r="F7142" s="2">
        <v>212901001</v>
      </c>
      <c r="G7142" s="2" t="s">
        <v>91</v>
      </c>
      <c r="I7142" s="95" t="s">
        <v>7231</v>
      </c>
      <c r="J7142" t="s">
        <v>61</v>
      </c>
      <c r="K7142" t="s">
        <v>62</v>
      </c>
      <c r="M7142">
        <v>134.47999999999999</v>
      </c>
      <c r="N7142" s="4">
        <f t="shared" si="111"/>
        <v>-73.97813801308746</v>
      </c>
      <c r="O7142" t="s">
        <v>83</v>
      </c>
      <c r="R7142">
        <v>13</v>
      </c>
      <c r="S7142" t="e">
        <f>VLOOKUP(Tabla3[[#This Row],[Nº]],[1]!NOMINA[#Data],4,FALSE)</f>
        <v>#REF!</v>
      </c>
      <c r="T7142" t="e">
        <f>VLOOKUP(R7142,[1]!NOMINA[#Data],5,FALSE)</f>
        <v>#REF!</v>
      </c>
    </row>
    <row r="7143" spans="1:20" x14ac:dyDescent="0.25">
      <c r="A7143" s="22">
        <v>45883</v>
      </c>
      <c r="B7143" s="1">
        <v>916634947</v>
      </c>
      <c r="C7143" t="s">
        <v>5461</v>
      </c>
      <c r="D7143" s="44">
        <v>-12493.47</v>
      </c>
      <c r="E7143" t="s">
        <v>35</v>
      </c>
      <c r="F7143" s="2">
        <v>212901001</v>
      </c>
      <c r="G7143" s="2" t="s">
        <v>91</v>
      </c>
      <c r="I7143" s="95" t="s">
        <v>7231</v>
      </c>
      <c r="J7143" t="s">
        <v>61</v>
      </c>
      <c r="K7143" t="s">
        <v>62</v>
      </c>
      <c r="M7143">
        <v>134.47999999999999</v>
      </c>
      <c r="N7143" s="4">
        <f t="shared" si="111"/>
        <v>-92.902067221891727</v>
      </c>
      <c r="O7143" t="s">
        <v>83</v>
      </c>
      <c r="R7143">
        <v>12</v>
      </c>
      <c r="S7143" t="e">
        <f>VLOOKUP(Tabla3[[#This Row],[Nº]],[1]!NOMINA[#Data],4,FALSE)</f>
        <v>#REF!</v>
      </c>
      <c r="T7143" t="e">
        <f>VLOOKUP(R7143,[1]!NOMINA[#Data],5,FALSE)</f>
        <v>#REF!</v>
      </c>
    </row>
    <row r="7144" spans="1:20" x14ac:dyDescent="0.25">
      <c r="A7144" s="22">
        <v>45883</v>
      </c>
      <c r="B7144" s="1">
        <v>916634946</v>
      </c>
      <c r="C7144" t="s">
        <v>5462</v>
      </c>
      <c r="D7144" s="44">
        <v>-8987.23</v>
      </c>
      <c r="E7144" t="s">
        <v>35</v>
      </c>
      <c r="F7144" s="2">
        <v>212901001</v>
      </c>
      <c r="G7144" s="2" t="s">
        <v>91</v>
      </c>
      <c r="I7144" s="95" t="s">
        <v>7231</v>
      </c>
      <c r="J7144" t="s">
        <v>61</v>
      </c>
      <c r="K7144" t="s">
        <v>62</v>
      </c>
      <c r="M7144">
        <v>134.47999999999999</v>
      </c>
      <c r="N7144" s="4">
        <f t="shared" si="111"/>
        <v>-66.829491374182041</v>
      </c>
      <c r="O7144" t="s">
        <v>83</v>
      </c>
      <c r="R7144">
        <v>20</v>
      </c>
      <c r="S7144" t="e">
        <f>VLOOKUP(Tabla3[[#This Row],[Nº]],[1]!NOMINA[#Data],4,FALSE)</f>
        <v>#REF!</v>
      </c>
      <c r="T7144" t="e">
        <f>VLOOKUP(R7144,[1]!NOMINA[#Data],5,FALSE)</f>
        <v>#REF!</v>
      </c>
    </row>
    <row r="7145" spans="1:20" x14ac:dyDescent="0.25">
      <c r="A7145" s="22">
        <v>45883</v>
      </c>
      <c r="B7145" s="1">
        <v>16634952</v>
      </c>
      <c r="C7145" t="s">
        <v>5463</v>
      </c>
      <c r="D7145" s="44">
        <v>-16624.580000000002</v>
      </c>
      <c r="E7145" t="s">
        <v>35</v>
      </c>
      <c r="F7145" s="2">
        <v>212901001</v>
      </c>
      <c r="G7145" s="2" t="s">
        <v>91</v>
      </c>
      <c r="I7145" s="95" t="s">
        <v>7231</v>
      </c>
      <c r="J7145" t="s">
        <v>61</v>
      </c>
      <c r="K7145" t="s">
        <v>62</v>
      </c>
      <c r="M7145">
        <v>134.47999999999999</v>
      </c>
      <c r="N7145" s="4">
        <f t="shared" si="111"/>
        <v>-123.62120761451519</v>
      </c>
      <c r="O7145" t="s">
        <v>83</v>
      </c>
      <c r="R7145">
        <v>6</v>
      </c>
      <c r="S7145" t="e">
        <f>VLOOKUP(Tabla3[[#This Row],[Nº]],[1]!NOMINA[#Data],4,FALSE)</f>
        <v>#REF!</v>
      </c>
      <c r="T7145" t="e">
        <f>VLOOKUP(R7145,[1]!NOMINA[#Data],5,FALSE)</f>
        <v>#REF!</v>
      </c>
    </row>
    <row r="7146" spans="1:20" x14ac:dyDescent="0.25">
      <c r="A7146" s="22">
        <v>45883</v>
      </c>
      <c r="B7146" s="1">
        <v>916634948</v>
      </c>
      <c r="C7146" t="s">
        <v>5464</v>
      </c>
      <c r="D7146" s="44">
        <v>-14621.78</v>
      </c>
      <c r="E7146" t="s">
        <v>35</v>
      </c>
      <c r="F7146" s="2">
        <v>212901001</v>
      </c>
      <c r="G7146" s="2" t="s">
        <v>91</v>
      </c>
      <c r="I7146" s="95" t="s">
        <v>7231</v>
      </c>
      <c r="J7146" t="s">
        <v>61</v>
      </c>
      <c r="K7146" t="s">
        <v>62</v>
      </c>
      <c r="M7146">
        <v>134.47999999999999</v>
      </c>
      <c r="N7146" s="4">
        <f t="shared" si="111"/>
        <v>-108.72828673408686</v>
      </c>
      <c r="O7146" t="s">
        <v>83</v>
      </c>
      <c r="R7146">
        <v>4</v>
      </c>
      <c r="S7146" t="s">
        <v>5465</v>
      </c>
      <c r="T7146" t="e">
        <f>VLOOKUP(R7146,[1]!NOMINA[#Data],5,FALSE)</f>
        <v>#REF!</v>
      </c>
    </row>
    <row r="7147" spans="1:20" x14ac:dyDescent="0.25">
      <c r="A7147" s="22">
        <v>45883</v>
      </c>
      <c r="B7147" s="1">
        <v>16634951</v>
      </c>
      <c r="C7147" t="s">
        <v>5466</v>
      </c>
      <c r="D7147" s="44">
        <v>-10191.58</v>
      </c>
      <c r="E7147" t="s">
        <v>35</v>
      </c>
      <c r="F7147" s="2">
        <v>212901001</v>
      </c>
      <c r="G7147" s="2" t="s">
        <v>91</v>
      </c>
      <c r="I7147" s="95" t="s">
        <v>7231</v>
      </c>
      <c r="J7147" t="s">
        <v>61</v>
      </c>
      <c r="K7147" t="s">
        <v>62</v>
      </c>
      <c r="M7147">
        <v>134.47999999999999</v>
      </c>
      <c r="N7147" s="4">
        <f t="shared" si="111"/>
        <v>-75.785098155859615</v>
      </c>
      <c r="O7147" t="s">
        <v>83</v>
      </c>
      <c r="R7147">
        <v>16</v>
      </c>
      <c r="S7147" t="e">
        <f>VLOOKUP(Tabla3[[#This Row],[Nº]],[1]!NOMINA[#Data],4,FALSE)</f>
        <v>#REF!</v>
      </c>
      <c r="T7147" t="e">
        <f>VLOOKUP(Tabla3[[#This Row],[Nº]],[1]!NOMINA[#Data],5,FALSE)</f>
        <v>#REF!</v>
      </c>
    </row>
    <row r="7148" spans="1:20" x14ac:dyDescent="0.25">
      <c r="A7148" s="22">
        <v>45883</v>
      </c>
      <c r="B7148" s="1">
        <v>916634949</v>
      </c>
      <c r="C7148" t="s">
        <v>5467</v>
      </c>
      <c r="D7148" s="44">
        <v>-12759.17</v>
      </c>
      <c r="E7148" t="s">
        <v>35</v>
      </c>
      <c r="F7148" s="2">
        <v>212901001</v>
      </c>
      <c r="G7148" s="2" t="s">
        <v>91</v>
      </c>
      <c r="I7148" s="95" t="s">
        <v>7231</v>
      </c>
      <c r="J7148" t="s">
        <v>61</v>
      </c>
      <c r="K7148" t="s">
        <v>62</v>
      </c>
      <c r="M7148">
        <v>134.47999999999999</v>
      </c>
      <c r="N7148" s="4">
        <f t="shared" si="111"/>
        <v>-94.877825698988701</v>
      </c>
      <c r="O7148" t="s">
        <v>83</v>
      </c>
      <c r="R7148">
        <v>33</v>
      </c>
      <c r="S7148" t="e">
        <f>VLOOKUP(R7148,[1]!NOMINA[#Data],4,FALSE)</f>
        <v>#REF!</v>
      </c>
      <c r="T7148" t="e">
        <f>VLOOKUP(R7148,[1]!NOMINA[#Data],5,FALSE)</f>
        <v>#REF!</v>
      </c>
    </row>
    <row r="7149" spans="1:20" x14ac:dyDescent="0.25">
      <c r="A7149" s="22">
        <v>45883</v>
      </c>
      <c r="B7149" s="1">
        <v>16634950</v>
      </c>
      <c r="C7149" t="s">
        <v>5468</v>
      </c>
      <c r="D7149" s="44">
        <v>-16314.81</v>
      </c>
      <c r="E7149" t="s">
        <v>35</v>
      </c>
      <c r="F7149" s="2">
        <v>212901001</v>
      </c>
      <c r="G7149" s="2" t="s">
        <v>91</v>
      </c>
      <c r="I7149" s="95" t="s">
        <v>7231</v>
      </c>
      <c r="J7149" t="s">
        <v>61</v>
      </c>
      <c r="K7149" t="s">
        <v>62</v>
      </c>
      <c r="M7149">
        <v>134.47999999999999</v>
      </c>
      <c r="N7149" s="4">
        <f t="shared" si="111"/>
        <v>-121.31774241522903</v>
      </c>
      <c r="O7149" t="s">
        <v>83</v>
      </c>
      <c r="R7149">
        <v>34</v>
      </c>
      <c r="S7149" t="e">
        <f>VLOOKUP(R7149,[1]!NOMINA[#Data],4,FALSE)</f>
        <v>#REF!</v>
      </c>
      <c r="T7149" t="e">
        <f>VLOOKUP(R7149,[1]!NOMINA[#Data],5,FALSE)</f>
        <v>#REF!</v>
      </c>
    </row>
    <row r="7150" spans="1:20" x14ac:dyDescent="0.25">
      <c r="A7150" s="22">
        <v>45883</v>
      </c>
      <c r="B7150" s="1">
        <v>16634953</v>
      </c>
      <c r="C7150" t="s">
        <v>5469</v>
      </c>
      <c r="D7150" s="44">
        <v>-41937.300000000003</v>
      </c>
      <c r="E7150" t="s">
        <v>35</v>
      </c>
      <c r="F7150" s="2">
        <v>212901001</v>
      </c>
      <c r="G7150" s="2" t="s">
        <v>91</v>
      </c>
      <c r="I7150" s="95" t="s">
        <v>7231</v>
      </c>
      <c r="J7150" t="s">
        <v>61</v>
      </c>
      <c r="K7150" t="s">
        <v>62</v>
      </c>
      <c r="M7150">
        <v>134.47999999999999</v>
      </c>
      <c r="N7150" s="4">
        <f t="shared" si="111"/>
        <v>-311.84785841760862</v>
      </c>
      <c r="O7150" t="s">
        <v>83</v>
      </c>
      <c r="R7150">
        <v>3</v>
      </c>
      <c r="S7150" t="s">
        <v>5465</v>
      </c>
      <c r="T7150" t="e">
        <f>VLOOKUP(R7150,[1]!NOMINA[#Data],5,FALSE)</f>
        <v>#REF!</v>
      </c>
    </row>
    <row r="7151" spans="1:20" x14ac:dyDescent="0.25">
      <c r="A7151" s="22">
        <v>45883</v>
      </c>
      <c r="B7151" s="1">
        <v>16634957</v>
      </c>
      <c r="C7151" t="s">
        <v>5470</v>
      </c>
      <c r="D7151" s="44">
        <v>-14498.94</v>
      </c>
      <c r="E7151" t="s">
        <v>35</v>
      </c>
      <c r="F7151" s="2">
        <v>212901001</v>
      </c>
      <c r="G7151" s="2" t="s">
        <v>91</v>
      </c>
      <c r="I7151" s="95" t="s">
        <v>7231</v>
      </c>
      <c r="J7151" t="s">
        <v>61</v>
      </c>
      <c r="K7151" t="s">
        <v>62</v>
      </c>
      <c r="M7151">
        <v>134.47999999999999</v>
      </c>
      <c r="N7151" s="4">
        <f t="shared" si="111"/>
        <v>-107.81484235574064</v>
      </c>
      <c r="O7151" t="s">
        <v>83</v>
      </c>
      <c r="R7151">
        <v>30</v>
      </c>
      <c r="S7151" t="e">
        <f>VLOOKUP(Tabla3[[#This Row],[Nº]],[1]!NOMINA[#Data],4,FALSE)</f>
        <v>#REF!</v>
      </c>
      <c r="T7151" t="e">
        <f>VLOOKUP(R7151,[1]!NOMINA[#Data],5,FALSE)</f>
        <v>#REF!</v>
      </c>
    </row>
    <row r="7152" spans="1:20" x14ac:dyDescent="0.25">
      <c r="A7152" s="22">
        <v>45883</v>
      </c>
      <c r="B7152" s="1">
        <v>16634956</v>
      </c>
      <c r="C7152" t="s">
        <v>5471</v>
      </c>
      <c r="D7152" s="44">
        <v>-14890.15</v>
      </c>
      <c r="E7152" t="s">
        <v>35</v>
      </c>
      <c r="F7152" s="2">
        <v>212901001</v>
      </c>
      <c r="G7152" s="2" t="s">
        <v>91</v>
      </c>
      <c r="I7152" s="95" t="s">
        <v>7231</v>
      </c>
      <c r="J7152" t="s">
        <v>61</v>
      </c>
      <c r="K7152" t="s">
        <v>62</v>
      </c>
      <c r="M7152">
        <v>134.47999999999999</v>
      </c>
      <c r="N7152" s="4">
        <f t="shared" si="111"/>
        <v>-110.72389946460441</v>
      </c>
      <c r="O7152" t="s">
        <v>83</v>
      </c>
      <c r="R7152">
        <v>32</v>
      </c>
      <c r="S7152" t="e">
        <f>VLOOKUP(Tabla3[[#This Row],[Nº]],[1]!NOMINA[#Data],4,FALSE)</f>
        <v>#REF!</v>
      </c>
      <c r="T7152" t="e">
        <f>VLOOKUP(R7152,[1]!NOMINA[#Data],5,FALSE)</f>
        <v>#REF!</v>
      </c>
    </row>
    <row r="7153" spans="1:20" x14ac:dyDescent="0.25">
      <c r="A7153" s="22">
        <v>45883</v>
      </c>
      <c r="B7153" s="1">
        <v>16634958</v>
      </c>
      <c r="C7153" t="s">
        <v>5472</v>
      </c>
      <c r="D7153" s="44">
        <v>-4626.47</v>
      </c>
      <c r="E7153" t="s">
        <v>35</v>
      </c>
      <c r="F7153" s="2">
        <v>212901001</v>
      </c>
      <c r="G7153" s="2" t="s">
        <v>91</v>
      </c>
      <c r="I7153" s="95" t="s">
        <v>7231</v>
      </c>
      <c r="J7153" t="s">
        <v>61</v>
      </c>
      <c r="K7153" t="s">
        <v>62</v>
      </c>
      <c r="M7153">
        <v>134.47999999999999</v>
      </c>
      <c r="N7153" s="4">
        <f t="shared" si="111"/>
        <v>-34.402662105889355</v>
      </c>
      <c r="O7153" t="s">
        <v>83</v>
      </c>
      <c r="R7153">
        <v>27</v>
      </c>
      <c r="S7153" t="e">
        <f>VLOOKUP(Tabla3[[#This Row],[Nº]],[1]!NOMINA[#Data],4,FALSE)</f>
        <v>#REF!</v>
      </c>
      <c r="T7153" t="e">
        <f>VLOOKUP(R7153,[1]!NOMINA[#Data],5,FALSE)</f>
        <v>#REF!</v>
      </c>
    </row>
    <row r="7154" spans="1:20" x14ac:dyDescent="0.25">
      <c r="A7154" s="22">
        <v>45883</v>
      </c>
      <c r="B7154" s="1">
        <v>16634955</v>
      </c>
      <c r="C7154" t="s">
        <v>5473</v>
      </c>
      <c r="D7154" s="44">
        <v>-10616.18</v>
      </c>
      <c r="E7154" t="s">
        <v>35</v>
      </c>
      <c r="F7154" s="2">
        <v>212901001</v>
      </c>
      <c r="G7154" s="2" t="s">
        <v>91</v>
      </c>
      <c r="I7154" s="95" t="s">
        <v>7231</v>
      </c>
      <c r="J7154" t="s">
        <v>61</v>
      </c>
      <c r="K7154" t="s">
        <v>62</v>
      </c>
      <c r="M7154">
        <v>134.47999999999999</v>
      </c>
      <c r="N7154" s="4">
        <f t="shared" si="111"/>
        <v>-78.942444973230224</v>
      </c>
      <c r="O7154" t="s">
        <v>83</v>
      </c>
      <c r="R7154">
        <v>5</v>
      </c>
      <c r="S7154" t="s">
        <v>5465</v>
      </c>
      <c r="T7154" t="e">
        <f>VLOOKUP(R7154,[1]!NOMINA[#Data],5,FALSE)</f>
        <v>#REF!</v>
      </c>
    </row>
    <row r="7155" spans="1:20" x14ac:dyDescent="0.25">
      <c r="A7155" s="22">
        <v>45883</v>
      </c>
      <c r="B7155" s="1">
        <v>16634954</v>
      </c>
      <c r="C7155" t="s">
        <v>5474</v>
      </c>
      <c r="D7155" s="44">
        <v>-6639.95</v>
      </c>
      <c r="E7155" t="s">
        <v>35</v>
      </c>
      <c r="F7155" s="2">
        <v>212901001</v>
      </c>
      <c r="G7155" s="2" t="s">
        <v>91</v>
      </c>
      <c r="I7155" s="95" t="s">
        <v>7231</v>
      </c>
      <c r="J7155" t="s">
        <v>61</v>
      </c>
      <c r="K7155" t="s">
        <v>62</v>
      </c>
      <c r="M7155">
        <v>134.47999999999999</v>
      </c>
      <c r="N7155" s="4">
        <f t="shared" si="111"/>
        <v>-49.375</v>
      </c>
      <c r="O7155" t="s">
        <v>83</v>
      </c>
      <c r="R7155">
        <v>24</v>
      </c>
      <c r="S7155" t="e">
        <f>VLOOKUP(Tabla3[[#This Row],[Nº]],[1]!NOMINA[#Data],4,FALSE)</f>
        <v>#REF!</v>
      </c>
      <c r="T7155" t="e">
        <f>VLOOKUP(R7155,[1]!NOMINA[#Data],5,FALSE)</f>
        <v>#REF!</v>
      </c>
    </row>
    <row r="7156" spans="1:20" x14ac:dyDescent="0.25">
      <c r="A7156" s="22">
        <v>45883</v>
      </c>
      <c r="B7156" s="1">
        <v>116634959</v>
      </c>
      <c r="C7156" t="s">
        <v>5475</v>
      </c>
      <c r="D7156" s="44">
        <v>-6045.79</v>
      </c>
      <c r="E7156" t="s">
        <v>35</v>
      </c>
      <c r="F7156" s="2">
        <v>212901001</v>
      </c>
      <c r="G7156" s="2" t="s">
        <v>91</v>
      </c>
      <c r="I7156" s="95" t="s">
        <v>7231</v>
      </c>
      <c r="J7156" t="s">
        <v>61</v>
      </c>
      <c r="K7156" t="s">
        <v>62</v>
      </c>
      <c r="M7156">
        <v>134.47999999999999</v>
      </c>
      <c r="N7156" s="4">
        <f t="shared" si="111"/>
        <v>-44.956796549672816</v>
      </c>
      <c r="O7156" t="s">
        <v>83</v>
      </c>
      <c r="R7156">
        <v>21</v>
      </c>
      <c r="S7156" t="e">
        <f>VLOOKUP(Tabla3[[#This Row],[Nº]],[1]!NOMINA[#Data],4,FALSE)</f>
        <v>#REF!</v>
      </c>
      <c r="T7156" t="e">
        <f>VLOOKUP(R7156,[1]!NOMINA[#Data],5,FALSE)</f>
        <v>#REF!</v>
      </c>
    </row>
    <row r="7157" spans="1:20" x14ac:dyDescent="0.25">
      <c r="A7157" s="22">
        <v>45883</v>
      </c>
      <c r="B7157" s="1">
        <v>116634961</v>
      </c>
      <c r="C7157" t="s">
        <v>5476</v>
      </c>
      <c r="D7157" s="44">
        <v>-19795.68</v>
      </c>
      <c r="E7157" t="s">
        <v>35</v>
      </c>
      <c r="F7157" s="2">
        <v>212901001</v>
      </c>
      <c r="G7157" s="2" t="s">
        <v>91</v>
      </c>
      <c r="I7157" s="95" t="s">
        <v>7231</v>
      </c>
      <c r="J7157" t="s">
        <v>61</v>
      </c>
      <c r="K7157" t="s">
        <v>62</v>
      </c>
      <c r="M7157">
        <v>134.47999999999999</v>
      </c>
      <c r="N7157" s="4">
        <f t="shared" si="111"/>
        <v>-147.20166567519334</v>
      </c>
      <c r="O7157" t="s">
        <v>83</v>
      </c>
      <c r="R7157">
        <v>35</v>
      </c>
      <c r="S7157" t="e">
        <f>VLOOKUP(Tabla3[[#This Row],[Nº]],[1]!NOMINA[#Data],4,FALSE)</f>
        <v>#REF!</v>
      </c>
      <c r="T7157" t="e">
        <f>VLOOKUP(R7157,[1]!NOMINA[#Data],5,FALSE)</f>
        <v>#REF!</v>
      </c>
    </row>
    <row r="7158" spans="1:20" x14ac:dyDescent="0.25">
      <c r="A7158" s="22">
        <v>45883</v>
      </c>
      <c r="B7158" s="1">
        <v>116634963</v>
      </c>
      <c r="C7158" t="s">
        <v>5477</v>
      </c>
      <c r="D7158" s="44">
        <v>-9984.6299999999992</v>
      </c>
      <c r="E7158" t="s">
        <v>35</v>
      </c>
      <c r="F7158" s="2">
        <v>212901001</v>
      </c>
      <c r="G7158" s="2" t="s">
        <v>91</v>
      </c>
      <c r="I7158" s="95" t="s">
        <v>7231</v>
      </c>
      <c r="J7158" t="s">
        <v>61</v>
      </c>
      <c r="K7158" t="s">
        <v>62</v>
      </c>
      <c r="M7158">
        <v>134.47999999999999</v>
      </c>
      <c r="N7158" s="4">
        <f t="shared" si="111"/>
        <v>-74.246207614515171</v>
      </c>
      <c r="O7158" t="s">
        <v>83</v>
      </c>
      <c r="R7158">
        <v>11</v>
      </c>
      <c r="S7158" t="e">
        <f>VLOOKUP(Tabla3[[#This Row],[Nº]],[1]!NOMINA[#Data],4,FALSE)</f>
        <v>#REF!</v>
      </c>
      <c r="T7158" t="e">
        <f>VLOOKUP(R7158,[1]!NOMINA[#Data],5,FALSE)</f>
        <v>#REF!</v>
      </c>
    </row>
    <row r="7159" spans="1:20" x14ac:dyDescent="0.25">
      <c r="A7159" s="22">
        <v>45883</v>
      </c>
      <c r="B7159" s="1">
        <v>116634966</v>
      </c>
      <c r="C7159" t="s">
        <v>5478</v>
      </c>
      <c r="D7159" s="44">
        <v>-8653.43</v>
      </c>
      <c r="E7159" t="s">
        <v>35</v>
      </c>
      <c r="F7159" s="2">
        <v>212901001</v>
      </c>
      <c r="G7159" s="2" t="s">
        <v>91</v>
      </c>
      <c r="I7159" s="95" t="s">
        <v>7231</v>
      </c>
      <c r="J7159" t="s">
        <v>61</v>
      </c>
      <c r="K7159" t="s">
        <v>62</v>
      </c>
      <c r="M7159">
        <v>134.47999999999999</v>
      </c>
      <c r="N7159" s="4">
        <f t="shared" si="111"/>
        <v>-64.347337894110652</v>
      </c>
      <c r="O7159" t="s">
        <v>83</v>
      </c>
      <c r="R7159">
        <v>10</v>
      </c>
      <c r="S7159" t="e">
        <f>VLOOKUP(Tabla3[[#This Row],[Nº]],[1]!NOMINA[#Data],4,FALSE)</f>
        <v>#REF!</v>
      </c>
      <c r="T7159" t="e">
        <f>VLOOKUP(R7159,[1]!NOMINA[#Data],5,FALSE)</f>
        <v>#REF!</v>
      </c>
    </row>
    <row r="7160" spans="1:20" x14ac:dyDescent="0.25">
      <c r="A7160" s="22">
        <v>45883</v>
      </c>
      <c r="B7160" s="1">
        <v>116634967</v>
      </c>
      <c r="C7160" t="s">
        <v>5479</v>
      </c>
      <c r="D7160" s="44">
        <v>-9984.6299999999992</v>
      </c>
      <c r="E7160" t="s">
        <v>35</v>
      </c>
      <c r="F7160" s="2">
        <v>212901001</v>
      </c>
      <c r="G7160" s="2" t="s">
        <v>91</v>
      </c>
      <c r="I7160" s="95" t="s">
        <v>7231</v>
      </c>
      <c r="J7160" t="s">
        <v>61</v>
      </c>
      <c r="K7160" t="s">
        <v>62</v>
      </c>
      <c r="M7160">
        <v>134.47999999999999</v>
      </c>
      <c r="N7160" s="4">
        <f t="shared" si="111"/>
        <v>-74.246207614515171</v>
      </c>
      <c r="O7160" t="s">
        <v>83</v>
      </c>
      <c r="R7160">
        <v>9</v>
      </c>
      <c r="S7160" t="e">
        <f>VLOOKUP(Tabla3[[#This Row],[Nº]],[1]!NOMINA[#Data],4,FALSE)</f>
        <v>#REF!</v>
      </c>
      <c r="T7160" t="e">
        <f>VLOOKUP(R7160,[1]!NOMINA[#Data],5,FALSE)</f>
        <v>#REF!</v>
      </c>
    </row>
    <row r="7161" spans="1:20" x14ac:dyDescent="0.25">
      <c r="A7161" s="22">
        <v>45883</v>
      </c>
      <c r="B7161" s="1">
        <v>116634965</v>
      </c>
      <c r="C7161" t="s">
        <v>5480</v>
      </c>
      <c r="D7161" s="44">
        <v>-5295.4</v>
      </c>
      <c r="E7161" t="s">
        <v>35</v>
      </c>
      <c r="F7161" s="2">
        <v>212901001</v>
      </c>
      <c r="G7161" s="2" t="s">
        <v>91</v>
      </c>
      <c r="I7161" s="95" t="s">
        <v>7231</v>
      </c>
      <c r="J7161" t="s">
        <v>61</v>
      </c>
      <c r="K7161" t="s">
        <v>62</v>
      </c>
      <c r="M7161">
        <v>134.47999999999999</v>
      </c>
      <c r="N7161" s="4">
        <f t="shared" si="111"/>
        <v>-39.376859012492567</v>
      </c>
      <c r="O7161" t="s">
        <v>83</v>
      </c>
      <c r="R7161">
        <v>28</v>
      </c>
      <c r="S7161" t="e">
        <f>VLOOKUP(Tabla3[[#This Row],[Nº]],[1]!NOMINA[#Data],4,FALSE)</f>
        <v>#REF!</v>
      </c>
      <c r="T7161" t="e">
        <f>VLOOKUP(R7161,[1]!NOMINA[#Data],5,FALSE)</f>
        <v>#REF!</v>
      </c>
    </row>
    <row r="7162" spans="1:20" x14ac:dyDescent="0.25">
      <c r="A7162" s="22">
        <v>45883</v>
      </c>
      <c r="B7162" s="1">
        <v>116634960</v>
      </c>
      <c r="C7162" t="s">
        <v>5481</v>
      </c>
      <c r="D7162" s="44">
        <v>-4627.8</v>
      </c>
      <c r="E7162" t="s">
        <v>35</v>
      </c>
      <c r="F7162" s="2">
        <v>212901001</v>
      </c>
      <c r="G7162" s="2" t="s">
        <v>91</v>
      </c>
      <c r="I7162" s="95" t="s">
        <v>7231</v>
      </c>
      <c r="J7162" t="s">
        <v>61</v>
      </c>
      <c r="K7162" t="s">
        <v>62</v>
      </c>
      <c r="M7162">
        <v>134.47999999999999</v>
      </c>
      <c r="N7162" s="4">
        <f t="shared" si="111"/>
        <v>-34.412552052349795</v>
      </c>
      <c r="O7162" t="s">
        <v>83</v>
      </c>
      <c r="R7162">
        <v>7</v>
      </c>
      <c r="S7162" t="e">
        <f>VLOOKUP(Tabla3[[#This Row],[Nº]],[1]!NOMINA[#Data],4,FALSE)</f>
        <v>#REF!</v>
      </c>
      <c r="T7162" t="e">
        <f>VLOOKUP(R7162,[1]!NOMINA[#Data],5,FALSE)</f>
        <v>#REF!</v>
      </c>
    </row>
    <row r="7163" spans="1:20" x14ac:dyDescent="0.25">
      <c r="A7163" s="22">
        <v>45883</v>
      </c>
      <c r="B7163" s="1">
        <v>216634968</v>
      </c>
      <c r="C7163" t="s">
        <v>5482</v>
      </c>
      <c r="D7163" s="44">
        <v>-10191.58</v>
      </c>
      <c r="E7163" t="s">
        <v>35</v>
      </c>
      <c r="F7163" s="2">
        <v>212901001</v>
      </c>
      <c r="G7163" s="2" t="s">
        <v>91</v>
      </c>
      <c r="I7163" s="95" t="s">
        <v>7231</v>
      </c>
      <c r="J7163" t="s">
        <v>61</v>
      </c>
      <c r="K7163" t="s">
        <v>62</v>
      </c>
      <c r="M7163">
        <v>134.47999999999999</v>
      </c>
      <c r="N7163" s="4">
        <f t="shared" si="111"/>
        <v>-75.785098155859615</v>
      </c>
      <c r="O7163" t="s">
        <v>83</v>
      </c>
      <c r="R7163">
        <v>18</v>
      </c>
      <c r="S7163" t="e">
        <f>VLOOKUP(Tabla3[[#This Row],[Nº]],[1]!NOMINA[#Data],4,FALSE)</f>
        <v>#REF!</v>
      </c>
      <c r="T7163" t="e">
        <f>VLOOKUP(Tabla3[[#This Row],[Nº]],[1]!NOMINA[#Data],5,FALSE)</f>
        <v>#REF!</v>
      </c>
    </row>
    <row r="7164" spans="1:20" x14ac:dyDescent="0.25">
      <c r="A7164" s="22">
        <v>45883</v>
      </c>
      <c r="B7164" s="1">
        <v>216634969</v>
      </c>
      <c r="C7164" t="s">
        <v>5483</v>
      </c>
      <c r="D7164" s="44">
        <v>-61.65</v>
      </c>
      <c r="E7164" t="s">
        <v>35</v>
      </c>
      <c r="F7164" s="2">
        <v>212901001</v>
      </c>
      <c r="G7164" s="2" t="s">
        <v>91</v>
      </c>
      <c r="I7164" s="95" t="s">
        <v>7231</v>
      </c>
      <c r="J7164" t="s">
        <v>61</v>
      </c>
      <c r="K7164" t="s">
        <v>62</v>
      </c>
      <c r="M7164">
        <v>134.47999999999999</v>
      </c>
      <c r="N7164" s="4">
        <f t="shared" si="111"/>
        <v>-0.45843248066627013</v>
      </c>
      <c r="O7164" t="s">
        <v>83</v>
      </c>
      <c r="R7164">
        <v>2</v>
      </c>
      <c r="S7164" t="e">
        <f>VLOOKUP(Tabla3[[#This Row],[Nº]],[1]!NOMINA[#Data],4,FALSE)</f>
        <v>#REF!</v>
      </c>
      <c r="T7164" t="e">
        <f>VLOOKUP(Tabla3[[#This Row],[Nº]],[1]!NOMINA[#Data],5,FALSE)</f>
        <v>#REF!</v>
      </c>
    </row>
    <row r="7165" spans="1:20" x14ac:dyDescent="0.25">
      <c r="A7165" s="22">
        <v>45883</v>
      </c>
      <c r="B7165" s="1">
        <v>216634973</v>
      </c>
      <c r="C7165" t="s">
        <v>5484</v>
      </c>
      <c r="D7165" s="44">
        <v>-61.65</v>
      </c>
      <c r="E7165" t="s">
        <v>35</v>
      </c>
      <c r="F7165" s="2">
        <v>212901001</v>
      </c>
      <c r="G7165" s="2" t="s">
        <v>91</v>
      </c>
      <c r="I7165" s="95" t="s">
        <v>7231</v>
      </c>
      <c r="J7165" t="s">
        <v>61</v>
      </c>
      <c r="K7165" t="s">
        <v>62</v>
      </c>
      <c r="M7165">
        <v>134.47999999999999</v>
      </c>
      <c r="N7165" s="4">
        <f t="shared" si="111"/>
        <v>-0.45843248066627013</v>
      </c>
      <c r="O7165" t="s">
        <v>83</v>
      </c>
      <c r="R7165">
        <v>28</v>
      </c>
      <c r="S7165" t="e">
        <f>VLOOKUP(Tabla3[[#This Row],[Nº]],[1]!NOMINA[#Data],4,FALSE)</f>
        <v>#REF!</v>
      </c>
      <c r="T7165" t="e">
        <f>VLOOKUP(R7165,[1]!NOMINA[#Data],5,FALSE)</f>
        <v>#REF!</v>
      </c>
    </row>
    <row r="7166" spans="1:20" x14ac:dyDescent="0.25">
      <c r="A7166" s="22">
        <v>45883</v>
      </c>
      <c r="B7166" s="1">
        <v>216634971</v>
      </c>
      <c r="C7166" t="s">
        <v>5485</v>
      </c>
      <c r="D7166" s="44">
        <v>-57.36</v>
      </c>
      <c r="E7166" t="s">
        <v>35</v>
      </c>
      <c r="F7166" s="2">
        <v>212901001</v>
      </c>
      <c r="G7166" s="2" t="s">
        <v>91</v>
      </c>
      <c r="I7166" s="95" t="s">
        <v>7231</v>
      </c>
      <c r="J7166" t="s">
        <v>61</v>
      </c>
      <c r="K7166" t="s">
        <v>62</v>
      </c>
      <c r="M7166">
        <v>134.47999999999999</v>
      </c>
      <c r="N7166" s="4">
        <f t="shared" si="111"/>
        <v>-0.42653182629387271</v>
      </c>
      <c r="O7166" t="s">
        <v>83</v>
      </c>
      <c r="R7166">
        <v>31</v>
      </c>
      <c r="S7166" t="e">
        <f>VLOOKUP(Tabla3[[#This Row],[Nº]],[1]!NOMINA[#Data],4,FALSE)</f>
        <v>#REF!</v>
      </c>
      <c r="T7166" t="e">
        <f>VLOOKUP(R7166,[1]!NOMINA[#Data],5,FALSE)</f>
        <v>#REF!</v>
      </c>
    </row>
    <row r="7167" spans="1:20" x14ac:dyDescent="0.25">
      <c r="A7167" s="22">
        <v>45883</v>
      </c>
      <c r="B7167" s="1">
        <v>216634974</v>
      </c>
      <c r="C7167" t="s">
        <v>5486</v>
      </c>
      <c r="D7167" s="44">
        <v>-61.65</v>
      </c>
      <c r="E7167" t="s">
        <v>35</v>
      </c>
      <c r="F7167" s="2">
        <v>212901001</v>
      </c>
      <c r="G7167" s="2" t="s">
        <v>91</v>
      </c>
      <c r="I7167" s="95" t="s">
        <v>7231</v>
      </c>
      <c r="J7167" t="s">
        <v>61</v>
      </c>
      <c r="K7167" t="s">
        <v>62</v>
      </c>
      <c r="M7167">
        <v>134.47999999999999</v>
      </c>
      <c r="N7167" s="4">
        <f t="shared" si="111"/>
        <v>-0.45843248066627013</v>
      </c>
      <c r="O7167" t="s">
        <v>83</v>
      </c>
      <c r="R7167">
        <v>22</v>
      </c>
      <c r="S7167" t="e">
        <f>VLOOKUP(Tabla3[[#This Row],[Nº]],[1]!NOMINA[#Data],4,FALSE)</f>
        <v>#REF!</v>
      </c>
      <c r="T7167" t="e">
        <f>VLOOKUP(R7167,[1]!NOMINA[#Data],5,FALSE)</f>
        <v>#REF!</v>
      </c>
    </row>
    <row r="7168" spans="1:20" x14ac:dyDescent="0.25">
      <c r="A7168" s="22">
        <v>45883</v>
      </c>
      <c r="B7168" s="1">
        <v>216634972</v>
      </c>
      <c r="C7168" t="s">
        <v>5487</v>
      </c>
      <c r="D7168" s="44">
        <v>-61.65</v>
      </c>
      <c r="E7168" t="s">
        <v>35</v>
      </c>
      <c r="F7168" s="2">
        <v>212901001</v>
      </c>
      <c r="G7168" s="2" t="s">
        <v>91</v>
      </c>
      <c r="I7168" s="95" t="s">
        <v>7231</v>
      </c>
      <c r="J7168" t="s">
        <v>61</v>
      </c>
      <c r="K7168" t="s">
        <v>62</v>
      </c>
      <c r="M7168">
        <v>134.47999999999999</v>
      </c>
      <c r="N7168" s="4">
        <f t="shared" si="111"/>
        <v>-0.45843248066627013</v>
      </c>
      <c r="O7168" t="s">
        <v>83</v>
      </c>
      <c r="R7168">
        <v>18</v>
      </c>
      <c r="S7168" t="e">
        <f>VLOOKUP(Tabla3[[#This Row],[Nº]],[1]!NOMINA[#Data],4,FALSE)</f>
        <v>#REF!</v>
      </c>
      <c r="T7168" t="e">
        <f>VLOOKUP(Tabla3[[#This Row],[Nº]],[1]!NOMINA[#Data],5,FALSE)</f>
        <v>#REF!</v>
      </c>
    </row>
    <row r="7169" spans="1:20" x14ac:dyDescent="0.25">
      <c r="A7169" s="22">
        <v>45883</v>
      </c>
      <c r="B7169" s="1">
        <v>216634975</v>
      </c>
      <c r="C7169" t="s">
        <v>5488</v>
      </c>
      <c r="D7169" s="44">
        <v>-61.65</v>
      </c>
      <c r="E7169" t="s">
        <v>35</v>
      </c>
      <c r="F7169" s="2">
        <v>212901001</v>
      </c>
      <c r="G7169" s="2" t="s">
        <v>91</v>
      </c>
      <c r="I7169" s="95" t="s">
        <v>7231</v>
      </c>
      <c r="J7169" t="s">
        <v>61</v>
      </c>
      <c r="K7169" t="s">
        <v>62</v>
      </c>
      <c r="M7169">
        <v>134.47999999999999</v>
      </c>
      <c r="N7169" s="4">
        <f t="shared" si="111"/>
        <v>-0.45843248066627013</v>
      </c>
      <c r="O7169" t="s">
        <v>83</v>
      </c>
      <c r="R7169">
        <v>23</v>
      </c>
      <c r="S7169" t="e">
        <f>VLOOKUP(Tabla3[[#This Row],[Nº]],[1]!NOMINA[#Data],4,FALSE)</f>
        <v>#REF!</v>
      </c>
      <c r="T7169" t="e">
        <f>VLOOKUP(R7169,[1]!NOMINA[#Data],5,FALSE)</f>
        <v>#REF!</v>
      </c>
    </row>
    <row r="7170" spans="1:20" x14ac:dyDescent="0.25">
      <c r="A7170" s="22">
        <v>45883</v>
      </c>
      <c r="B7170" s="1">
        <v>216634978</v>
      </c>
      <c r="C7170" t="s">
        <v>5489</v>
      </c>
      <c r="D7170" s="44">
        <v>-57.36</v>
      </c>
      <c r="E7170" t="s">
        <v>35</v>
      </c>
      <c r="F7170" s="2">
        <v>212901001</v>
      </c>
      <c r="G7170" s="2" t="s">
        <v>91</v>
      </c>
      <c r="I7170" s="95" t="s">
        <v>7231</v>
      </c>
      <c r="J7170" t="s">
        <v>61</v>
      </c>
      <c r="K7170" t="s">
        <v>62</v>
      </c>
      <c r="M7170">
        <v>134.47999999999999</v>
      </c>
      <c r="N7170" s="4">
        <f t="shared" si="111"/>
        <v>-0.42653182629387271</v>
      </c>
      <c r="O7170" t="s">
        <v>83</v>
      </c>
      <c r="R7170">
        <v>14</v>
      </c>
      <c r="S7170" t="e">
        <f>VLOOKUP(Tabla3[[#This Row],[Nº]],[1]!NOMINA[#Data],4,FALSE)</f>
        <v>#REF!</v>
      </c>
      <c r="T7170" t="e">
        <f>VLOOKUP(R7170,[1]!NOMINA[#Data],5,FALSE)</f>
        <v>#REF!</v>
      </c>
    </row>
    <row r="7171" spans="1:20" x14ac:dyDescent="0.25">
      <c r="A7171" s="22">
        <v>45883</v>
      </c>
      <c r="B7171" s="1">
        <v>216634977</v>
      </c>
      <c r="C7171" t="s">
        <v>5490</v>
      </c>
      <c r="D7171" s="44">
        <v>-61.65</v>
      </c>
      <c r="E7171" t="s">
        <v>35</v>
      </c>
      <c r="F7171" s="2">
        <v>212901001</v>
      </c>
      <c r="G7171" s="2" t="s">
        <v>91</v>
      </c>
      <c r="I7171" s="95" t="s">
        <v>7231</v>
      </c>
      <c r="J7171" t="s">
        <v>61</v>
      </c>
      <c r="K7171" t="s">
        <v>62</v>
      </c>
      <c r="M7171">
        <v>134.47999999999999</v>
      </c>
      <c r="N7171" s="4">
        <f t="shared" si="111"/>
        <v>-0.45843248066627013</v>
      </c>
      <c r="O7171" t="s">
        <v>83</v>
      </c>
      <c r="R7171">
        <v>19</v>
      </c>
      <c r="S7171" t="e">
        <f>VLOOKUP(Tabla3[[#This Row],[Nº]],[1]!NOMINA[#Data],4,FALSE)</f>
        <v>#REF!</v>
      </c>
      <c r="T7171" t="e">
        <f>VLOOKUP(R7171,[1]!NOMINA[#Data],5,FALSE)</f>
        <v>#REF!</v>
      </c>
    </row>
    <row r="7172" spans="1:20" x14ac:dyDescent="0.25">
      <c r="A7172" s="22">
        <v>45883</v>
      </c>
      <c r="B7172" s="1">
        <v>316634980</v>
      </c>
      <c r="C7172" t="s">
        <v>5491</v>
      </c>
      <c r="D7172" s="44">
        <v>-61.65</v>
      </c>
      <c r="E7172" t="s">
        <v>35</v>
      </c>
      <c r="F7172" s="2">
        <v>212901001</v>
      </c>
      <c r="G7172" s="2" t="s">
        <v>91</v>
      </c>
      <c r="I7172" s="95" t="s">
        <v>7231</v>
      </c>
      <c r="J7172" t="s">
        <v>61</v>
      </c>
      <c r="K7172" t="s">
        <v>62</v>
      </c>
      <c r="M7172">
        <v>134.47999999999999</v>
      </c>
      <c r="N7172" s="4">
        <f t="shared" si="111"/>
        <v>-0.45843248066627013</v>
      </c>
      <c r="O7172" t="s">
        <v>83</v>
      </c>
      <c r="R7172">
        <v>17</v>
      </c>
      <c r="S7172" t="e">
        <f>VLOOKUP(Tabla3[[#This Row],[Nº]],[1]!NOMINA[#Data],4,FALSE)</f>
        <v>#REF!</v>
      </c>
      <c r="T7172" t="e">
        <f>VLOOKUP(R7172,[1]!NOMINA[#Data],5,FALSE)</f>
        <v>#REF!</v>
      </c>
    </row>
    <row r="7173" spans="1:20" x14ac:dyDescent="0.25">
      <c r="A7173" s="22">
        <v>45883</v>
      </c>
      <c r="B7173" s="1">
        <v>316634979</v>
      </c>
      <c r="C7173" t="s">
        <v>5492</v>
      </c>
      <c r="D7173" s="44">
        <v>-61.65</v>
      </c>
      <c r="E7173" t="s">
        <v>35</v>
      </c>
      <c r="F7173" s="2">
        <v>212901001</v>
      </c>
      <c r="G7173" s="2" t="s">
        <v>91</v>
      </c>
      <c r="I7173" s="95" t="s">
        <v>7231</v>
      </c>
      <c r="J7173" t="s">
        <v>61</v>
      </c>
      <c r="K7173" t="s">
        <v>62</v>
      </c>
      <c r="M7173">
        <v>134.47999999999999</v>
      </c>
      <c r="N7173" s="4">
        <f t="shared" si="111"/>
        <v>-0.45843248066627013</v>
      </c>
      <c r="O7173" t="s">
        <v>83</v>
      </c>
      <c r="R7173">
        <v>15</v>
      </c>
      <c r="S7173" t="e">
        <f>VLOOKUP(Tabla3[[#This Row],[Nº]],[1]!NOMINA[#Data],4,FALSE)</f>
        <v>#REF!</v>
      </c>
      <c r="T7173" t="e">
        <f>VLOOKUP(R7173,[1]!NOMINA[#Data],5,FALSE)</f>
        <v>#REF!</v>
      </c>
    </row>
    <row r="7174" spans="1:20" x14ac:dyDescent="0.25">
      <c r="A7174" s="22">
        <v>45883</v>
      </c>
      <c r="B7174" s="1">
        <v>316634982</v>
      </c>
      <c r="C7174" t="s">
        <v>5493</v>
      </c>
      <c r="D7174" s="44">
        <v>-61.65</v>
      </c>
      <c r="E7174" t="s">
        <v>35</v>
      </c>
      <c r="F7174" s="2">
        <v>212901001</v>
      </c>
      <c r="G7174" s="2" t="s">
        <v>91</v>
      </c>
      <c r="I7174" s="95" t="s">
        <v>7231</v>
      </c>
      <c r="J7174" t="s">
        <v>61</v>
      </c>
      <c r="K7174" t="s">
        <v>62</v>
      </c>
      <c r="M7174">
        <v>134.47999999999999</v>
      </c>
      <c r="N7174" s="4">
        <f t="shared" si="111"/>
        <v>-0.45843248066627013</v>
      </c>
      <c r="O7174" t="s">
        <v>83</v>
      </c>
      <c r="R7174">
        <v>26</v>
      </c>
      <c r="S7174" t="e">
        <f>VLOOKUP(Tabla3[[#This Row],[Nº]],[1]!NOMINA[#Data],4,FALSE)</f>
        <v>#REF!</v>
      </c>
      <c r="T7174" t="e">
        <f>VLOOKUP(Tabla3[[#This Row],[Nº]],[1]!NOMINA[#Data],5,FALSE)</f>
        <v>#REF!</v>
      </c>
    </row>
    <row r="7175" spans="1:20" x14ac:dyDescent="0.25">
      <c r="A7175" s="22">
        <v>45883</v>
      </c>
      <c r="B7175" s="1">
        <v>316634983</v>
      </c>
      <c r="C7175" t="s">
        <v>5494</v>
      </c>
      <c r="D7175" s="44">
        <v>-57.36</v>
      </c>
      <c r="E7175" t="s">
        <v>35</v>
      </c>
      <c r="F7175" s="2">
        <v>212901001</v>
      </c>
      <c r="G7175" s="2" t="s">
        <v>91</v>
      </c>
      <c r="I7175" s="95" t="s">
        <v>7231</v>
      </c>
      <c r="J7175" t="s">
        <v>61</v>
      </c>
      <c r="K7175" t="s">
        <v>62</v>
      </c>
      <c r="M7175">
        <v>134.47999999999999</v>
      </c>
      <c r="N7175" s="4">
        <f t="shared" si="111"/>
        <v>-0.42653182629387271</v>
      </c>
      <c r="O7175" t="s">
        <v>83</v>
      </c>
      <c r="R7175">
        <v>20</v>
      </c>
      <c r="S7175" t="e">
        <f>VLOOKUP(Tabla3[[#This Row],[Nº]],[1]!NOMINA[#Data],4,FALSE)</f>
        <v>#REF!</v>
      </c>
      <c r="T7175" t="e">
        <f>VLOOKUP(R7175,[1]!NOMINA[#Data],5,FALSE)</f>
        <v>#REF!</v>
      </c>
    </row>
    <row r="7176" spans="1:20" x14ac:dyDescent="0.25">
      <c r="A7176" s="22">
        <v>45883</v>
      </c>
      <c r="B7176" s="1">
        <v>316634981</v>
      </c>
      <c r="C7176" t="s">
        <v>5495</v>
      </c>
      <c r="D7176" s="44">
        <v>-61.65</v>
      </c>
      <c r="E7176" t="s">
        <v>35</v>
      </c>
      <c r="F7176" s="2">
        <v>212901001</v>
      </c>
      <c r="G7176" s="2" t="s">
        <v>91</v>
      </c>
      <c r="I7176" s="95" t="s">
        <v>7231</v>
      </c>
      <c r="J7176" t="s">
        <v>61</v>
      </c>
      <c r="K7176" t="s">
        <v>62</v>
      </c>
      <c r="M7176">
        <v>134.47999999999999</v>
      </c>
      <c r="N7176" s="4">
        <f t="shared" si="111"/>
        <v>-0.45843248066627013</v>
      </c>
      <c r="O7176" t="s">
        <v>83</v>
      </c>
      <c r="R7176">
        <v>8</v>
      </c>
      <c r="S7176" t="e">
        <f>VLOOKUP(Tabla3[[#This Row],[Nº]],[1]!NOMINA[#Data],4,FALSE)</f>
        <v>#REF!</v>
      </c>
      <c r="T7176" t="e">
        <f>VLOOKUP(R7176,[1]!NOMINA[#Data],5,FALSE)</f>
        <v>#REF!</v>
      </c>
    </row>
    <row r="7177" spans="1:20" x14ac:dyDescent="0.25">
      <c r="A7177" s="22">
        <v>45883</v>
      </c>
      <c r="B7177" s="1">
        <v>316634984</v>
      </c>
      <c r="C7177" t="s">
        <v>5496</v>
      </c>
      <c r="D7177" s="44">
        <v>-61.65</v>
      </c>
      <c r="E7177" t="s">
        <v>35</v>
      </c>
      <c r="F7177" s="2">
        <v>212901001</v>
      </c>
      <c r="G7177" s="2" t="s">
        <v>91</v>
      </c>
      <c r="I7177" s="95" t="s">
        <v>7231</v>
      </c>
      <c r="J7177" t="s">
        <v>61</v>
      </c>
      <c r="K7177" t="s">
        <v>62</v>
      </c>
      <c r="M7177">
        <v>134.47999999999999</v>
      </c>
      <c r="N7177" s="4">
        <f t="shared" si="111"/>
        <v>-0.45843248066627013</v>
      </c>
      <c r="O7177" t="s">
        <v>83</v>
      </c>
      <c r="R7177">
        <v>13</v>
      </c>
      <c r="S7177" t="e">
        <f>VLOOKUP(Tabla3[[#This Row],[Nº]],[1]!NOMINA[#Data],4,FALSE)</f>
        <v>#REF!</v>
      </c>
      <c r="T7177" t="e">
        <f>VLOOKUP(R7177,[1]!NOMINA[#Data],5,FALSE)</f>
        <v>#REF!</v>
      </c>
    </row>
    <row r="7178" spans="1:20" x14ac:dyDescent="0.25">
      <c r="A7178" s="22">
        <v>45883</v>
      </c>
      <c r="B7178" s="1">
        <v>416634989</v>
      </c>
      <c r="C7178" t="s">
        <v>5497</v>
      </c>
      <c r="D7178" s="44">
        <v>-61.65</v>
      </c>
      <c r="E7178" t="s">
        <v>35</v>
      </c>
      <c r="F7178" s="2">
        <v>212901001</v>
      </c>
      <c r="G7178" s="2" t="s">
        <v>91</v>
      </c>
      <c r="I7178" s="95" t="s">
        <v>7231</v>
      </c>
      <c r="J7178" t="s">
        <v>61</v>
      </c>
      <c r="K7178" t="s">
        <v>62</v>
      </c>
      <c r="M7178">
        <v>134.47999999999999</v>
      </c>
      <c r="N7178" s="4">
        <f t="shared" si="111"/>
        <v>-0.45843248066627013</v>
      </c>
      <c r="O7178" t="s">
        <v>83</v>
      </c>
      <c r="R7178">
        <v>1</v>
      </c>
      <c r="S7178" t="e">
        <f>VLOOKUP(R7178,[1]!NOMINA[#Data],4,FALSE)</f>
        <v>#REF!</v>
      </c>
      <c r="T7178" t="e">
        <f>VLOOKUP(R7178,[1]!NOMINA[#Data],5,FALSE)</f>
        <v>#REF!</v>
      </c>
    </row>
    <row r="7179" spans="1:20" x14ac:dyDescent="0.25">
      <c r="A7179" s="22">
        <v>45883</v>
      </c>
      <c r="B7179" s="1">
        <v>416634990</v>
      </c>
      <c r="C7179" t="s">
        <v>5498</v>
      </c>
      <c r="D7179" s="44">
        <v>-61.65</v>
      </c>
      <c r="E7179" t="s">
        <v>35</v>
      </c>
      <c r="F7179" s="2">
        <v>212901001</v>
      </c>
      <c r="G7179" s="2" t="s">
        <v>91</v>
      </c>
      <c r="I7179" s="95" t="s">
        <v>7231</v>
      </c>
      <c r="J7179" t="s">
        <v>61</v>
      </c>
      <c r="K7179" t="s">
        <v>62</v>
      </c>
      <c r="M7179">
        <v>134.47999999999999</v>
      </c>
      <c r="N7179" s="4">
        <f t="shared" si="111"/>
        <v>-0.45843248066627013</v>
      </c>
      <c r="O7179" t="s">
        <v>83</v>
      </c>
      <c r="R7179">
        <v>12</v>
      </c>
      <c r="S7179" t="e">
        <f>VLOOKUP(Tabla3[[#This Row],[Nº]],[1]!NOMINA[#Data],4,FALSE)</f>
        <v>#REF!</v>
      </c>
      <c r="T7179" t="e">
        <f>VLOOKUP(R7179,[1]!NOMINA[#Data],5,FALSE)</f>
        <v>#REF!</v>
      </c>
    </row>
    <row r="7180" spans="1:20" x14ac:dyDescent="0.25">
      <c r="A7180" s="22">
        <v>45883</v>
      </c>
      <c r="B7180" s="1">
        <v>116634962</v>
      </c>
      <c r="C7180" t="s">
        <v>5499</v>
      </c>
      <c r="D7180" s="44">
        <v>-4626.47</v>
      </c>
      <c r="E7180" t="s">
        <v>35</v>
      </c>
      <c r="F7180" s="2">
        <v>212901001</v>
      </c>
      <c r="G7180" s="2" t="s">
        <v>91</v>
      </c>
      <c r="I7180" s="95" t="s">
        <v>7231</v>
      </c>
      <c r="J7180" t="s">
        <v>61</v>
      </c>
      <c r="K7180" t="s">
        <v>62</v>
      </c>
      <c r="M7180">
        <v>134.47999999999999</v>
      </c>
      <c r="N7180" s="4">
        <f t="shared" ref="N7180:N7243" si="112">D7180/M7180</f>
        <v>-34.402662105889355</v>
      </c>
      <c r="O7180" t="s">
        <v>83</v>
      </c>
      <c r="R7180">
        <v>25</v>
      </c>
      <c r="S7180" t="e">
        <f>VLOOKUP(Tabla3[[#This Row],[Nº]],[1]!NOMINA[#Data],4,FALSE)</f>
        <v>#REF!</v>
      </c>
      <c r="T7180" t="e">
        <f>VLOOKUP(R7180,[1]!NOMINA[#Data],5,FALSE)</f>
        <v>#REF!</v>
      </c>
    </row>
    <row r="7181" spans="1:20" x14ac:dyDescent="0.25">
      <c r="A7181" s="22">
        <v>45883</v>
      </c>
      <c r="B7181" s="1">
        <v>316634988</v>
      </c>
      <c r="C7181" t="s">
        <v>5500</v>
      </c>
      <c r="D7181" s="44">
        <v>-57.36</v>
      </c>
      <c r="E7181" t="s">
        <v>35</v>
      </c>
      <c r="F7181" s="2">
        <v>212901001</v>
      </c>
      <c r="G7181" s="2" t="s">
        <v>91</v>
      </c>
      <c r="I7181" s="95" t="s">
        <v>7231</v>
      </c>
      <c r="J7181" t="s">
        <v>61</v>
      </c>
      <c r="K7181" t="s">
        <v>62</v>
      </c>
      <c r="M7181">
        <v>134.47999999999999</v>
      </c>
      <c r="N7181" s="4">
        <f t="shared" si="112"/>
        <v>-0.42653182629387271</v>
      </c>
      <c r="O7181" t="s">
        <v>83</v>
      </c>
      <c r="R7181">
        <v>33</v>
      </c>
      <c r="S7181" t="e">
        <f>VLOOKUP(R7181,[1]!NOMINA[#Data],4,FALSE)</f>
        <v>#REF!</v>
      </c>
      <c r="T7181" t="e">
        <f>VLOOKUP(R7181,[1]!NOMINA[#Data],5,FALSE)</f>
        <v>#REF!</v>
      </c>
    </row>
    <row r="7182" spans="1:20" x14ac:dyDescent="0.25">
      <c r="A7182" s="22">
        <v>45883</v>
      </c>
      <c r="B7182" s="1">
        <v>416634996</v>
      </c>
      <c r="C7182" t="s">
        <v>5501</v>
      </c>
      <c r="D7182" s="44">
        <v>-61.65</v>
      </c>
      <c r="E7182" t="s">
        <v>35</v>
      </c>
      <c r="F7182" s="2">
        <v>212901001</v>
      </c>
      <c r="G7182" s="2" t="s">
        <v>91</v>
      </c>
      <c r="I7182" s="95" t="s">
        <v>7231</v>
      </c>
      <c r="J7182" t="s">
        <v>61</v>
      </c>
      <c r="K7182" t="s">
        <v>62</v>
      </c>
      <c r="M7182">
        <v>134.47999999999999</v>
      </c>
      <c r="N7182" s="4">
        <f t="shared" si="112"/>
        <v>-0.45843248066627013</v>
      </c>
      <c r="O7182" t="s">
        <v>83</v>
      </c>
      <c r="R7182">
        <v>4</v>
      </c>
      <c r="S7182" t="s">
        <v>5465</v>
      </c>
      <c r="T7182" t="e">
        <f>VLOOKUP(R7182,[1]!NOMINA[#Data],5,FALSE)</f>
        <v>#REF!</v>
      </c>
    </row>
    <row r="7183" spans="1:20" x14ac:dyDescent="0.25">
      <c r="A7183" s="22">
        <v>45883</v>
      </c>
      <c r="B7183" s="1">
        <v>416634997</v>
      </c>
      <c r="C7183" t="s">
        <v>5502</v>
      </c>
      <c r="D7183" s="44">
        <v>-61.65</v>
      </c>
      <c r="E7183" t="s">
        <v>35</v>
      </c>
      <c r="F7183" s="2">
        <v>212901001</v>
      </c>
      <c r="G7183" s="2" t="s">
        <v>91</v>
      </c>
      <c r="I7183" s="95" t="s">
        <v>7231</v>
      </c>
      <c r="J7183" t="s">
        <v>61</v>
      </c>
      <c r="K7183" t="s">
        <v>62</v>
      </c>
      <c r="M7183">
        <v>134.47999999999999</v>
      </c>
      <c r="N7183" s="4">
        <f t="shared" si="112"/>
        <v>-0.45843248066627013</v>
      </c>
      <c r="O7183" t="s">
        <v>83</v>
      </c>
      <c r="R7183">
        <v>34</v>
      </c>
      <c r="S7183" t="e">
        <f>VLOOKUP(R7183,[1]!NOMINA[#Data],4,FALSE)</f>
        <v>#REF!</v>
      </c>
      <c r="T7183" t="e">
        <f>VLOOKUP(R7183,[1]!NOMINA[#Data],5,FALSE)</f>
        <v>#REF!</v>
      </c>
    </row>
    <row r="7184" spans="1:20" x14ac:dyDescent="0.25">
      <c r="A7184" s="22">
        <v>45883</v>
      </c>
      <c r="B7184" s="1">
        <v>216634976</v>
      </c>
      <c r="C7184" t="s">
        <v>5503</v>
      </c>
      <c r="D7184" s="44">
        <v>-61.65</v>
      </c>
      <c r="E7184" t="s">
        <v>35</v>
      </c>
      <c r="F7184" s="2">
        <v>212901001</v>
      </c>
      <c r="G7184" s="2" t="s">
        <v>91</v>
      </c>
      <c r="I7184" s="95" t="s">
        <v>7231</v>
      </c>
      <c r="J7184" t="s">
        <v>61</v>
      </c>
      <c r="K7184" t="s">
        <v>62</v>
      </c>
      <c r="M7184">
        <v>134.47999999999999</v>
      </c>
      <c r="N7184" s="4">
        <f t="shared" si="112"/>
        <v>-0.45843248066627013</v>
      </c>
      <c r="O7184" t="s">
        <v>83</v>
      </c>
      <c r="R7184">
        <v>16</v>
      </c>
      <c r="S7184" t="e">
        <f>VLOOKUP(Tabla3[[#This Row],[Nº]],[1]!NOMINA[#Data],4,FALSE)</f>
        <v>#REF!</v>
      </c>
      <c r="T7184" t="e">
        <f>VLOOKUP(Tabla3[[#This Row],[Nº]],[1]!NOMINA[#Data],5,FALSE)</f>
        <v>#REF!</v>
      </c>
    </row>
    <row r="7185" spans="1:20" x14ac:dyDescent="0.25">
      <c r="A7185" s="22">
        <v>45883</v>
      </c>
      <c r="B7185" s="1">
        <v>416634991</v>
      </c>
      <c r="C7185" t="s">
        <v>5504</v>
      </c>
      <c r="D7185" s="44">
        <v>-61.65</v>
      </c>
      <c r="E7185" t="s">
        <v>35</v>
      </c>
      <c r="F7185" s="2">
        <v>212901001</v>
      </c>
      <c r="G7185" s="2" t="s">
        <v>91</v>
      </c>
      <c r="I7185" s="95" t="s">
        <v>7231</v>
      </c>
      <c r="J7185" t="s">
        <v>61</v>
      </c>
      <c r="K7185" t="s">
        <v>62</v>
      </c>
      <c r="M7185">
        <v>134.47999999999999</v>
      </c>
      <c r="N7185" s="4">
        <f t="shared" si="112"/>
        <v>-0.45843248066627013</v>
      </c>
      <c r="O7185" t="s">
        <v>83</v>
      </c>
      <c r="R7185">
        <v>6</v>
      </c>
      <c r="S7185" t="e">
        <f>VLOOKUP(Tabla3[[#This Row],[Nº]],[1]!NOMINA[#Data],4,FALSE)</f>
        <v>#REF!</v>
      </c>
      <c r="T7185" t="e">
        <f>VLOOKUP(R7185,[1]!NOMINA[#Data],5,FALSE)</f>
        <v>#REF!</v>
      </c>
    </row>
    <row r="7186" spans="1:20" x14ac:dyDescent="0.25">
      <c r="A7186" s="22">
        <v>45883</v>
      </c>
      <c r="B7186" s="1">
        <v>416634994</v>
      </c>
      <c r="C7186" t="s">
        <v>5505</v>
      </c>
      <c r="D7186" s="44">
        <v>-61.65</v>
      </c>
      <c r="E7186" t="s">
        <v>35</v>
      </c>
      <c r="F7186" s="2">
        <v>212901001</v>
      </c>
      <c r="G7186" s="2" t="s">
        <v>91</v>
      </c>
      <c r="I7186" s="95" t="s">
        <v>7231</v>
      </c>
      <c r="J7186" t="s">
        <v>61</v>
      </c>
      <c r="K7186" t="s">
        <v>62</v>
      </c>
      <c r="M7186">
        <v>134.47999999999999</v>
      </c>
      <c r="N7186" s="4">
        <f t="shared" si="112"/>
        <v>-0.45843248066627013</v>
      </c>
      <c r="O7186" t="s">
        <v>83</v>
      </c>
      <c r="R7186">
        <v>3</v>
      </c>
      <c r="S7186" t="s">
        <v>5465</v>
      </c>
      <c r="T7186" t="e">
        <f>VLOOKUP(R7186,[1]!NOMINA[#Data],5,FALSE)</f>
        <v>#REF!</v>
      </c>
    </row>
    <row r="7187" spans="1:20" x14ac:dyDescent="0.25">
      <c r="A7187" s="22">
        <v>45883</v>
      </c>
      <c r="B7187" s="1">
        <v>416634993</v>
      </c>
      <c r="C7187" t="s">
        <v>5506</v>
      </c>
      <c r="D7187" s="44">
        <v>-61.65</v>
      </c>
      <c r="E7187" t="s">
        <v>35</v>
      </c>
      <c r="F7187" s="2">
        <v>212901001</v>
      </c>
      <c r="G7187" s="2" t="s">
        <v>91</v>
      </c>
      <c r="I7187" s="95" t="s">
        <v>7231</v>
      </c>
      <c r="J7187" t="s">
        <v>61</v>
      </c>
      <c r="K7187" t="s">
        <v>62</v>
      </c>
      <c r="M7187">
        <v>134.47999999999999</v>
      </c>
      <c r="N7187" s="4">
        <f t="shared" si="112"/>
        <v>-0.45843248066627013</v>
      </c>
      <c r="O7187" t="s">
        <v>83</v>
      </c>
      <c r="R7187">
        <v>24</v>
      </c>
      <c r="S7187" t="e">
        <f>VLOOKUP(Tabla3[[#This Row],[Nº]],[1]!NOMINA[#Data],4,FALSE)</f>
        <v>#REF!</v>
      </c>
      <c r="T7187" t="e">
        <f>VLOOKUP(R7187,[1]!NOMINA[#Data],5,FALSE)</f>
        <v>#REF!</v>
      </c>
    </row>
    <row r="7188" spans="1:20" x14ac:dyDescent="0.25">
      <c r="A7188" s="22">
        <v>45883</v>
      </c>
      <c r="B7188" s="1">
        <v>516635004</v>
      </c>
      <c r="C7188" t="s">
        <v>5507</v>
      </c>
      <c r="D7188" s="44">
        <v>-53.07</v>
      </c>
      <c r="E7188" t="s">
        <v>35</v>
      </c>
      <c r="F7188" s="2">
        <v>212901001</v>
      </c>
      <c r="G7188" s="2" t="s">
        <v>91</v>
      </c>
      <c r="I7188" s="95" t="s">
        <v>7231</v>
      </c>
      <c r="J7188" t="s">
        <v>61</v>
      </c>
      <c r="K7188" t="s">
        <v>62</v>
      </c>
      <c r="M7188">
        <v>134.47999999999999</v>
      </c>
      <c r="N7188" s="4">
        <f t="shared" si="112"/>
        <v>-0.39463117192147534</v>
      </c>
      <c r="O7188" t="s">
        <v>83</v>
      </c>
      <c r="R7188">
        <v>10</v>
      </c>
      <c r="S7188" t="e">
        <f>VLOOKUP(Tabla3[[#This Row],[Nº]],[1]!NOMINA[#Data],4,FALSE)</f>
        <v>#REF!</v>
      </c>
      <c r="T7188" t="e">
        <f>VLOOKUP(R7188,[1]!NOMINA[#Data],5,FALSE)</f>
        <v>#REF!</v>
      </c>
    </row>
    <row r="7189" spans="1:20" x14ac:dyDescent="0.25">
      <c r="A7189" s="22">
        <v>45883</v>
      </c>
      <c r="B7189" s="1">
        <v>516634999</v>
      </c>
      <c r="C7189" t="s">
        <v>5508</v>
      </c>
      <c r="D7189" s="44">
        <v>-61.65</v>
      </c>
      <c r="E7189" t="s">
        <v>35</v>
      </c>
      <c r="F7189" s="2">
        <v>212901001</v>
      </c>
      <c r="G7189" s="2" t="s">
        <v>91</v>
      </c>
      <c r="I7189" s="95" t="s">
        <v>7231</v>
      </c>
      <c r="J7189" t="s">
        <v>61</v>
      </c>
      <c r="K7189" t="s">
        <v>62</v>
      </c>
      <c r="M7189">
        <v>134.47999999999999</v>
      </c>
      <c r="N7189" s="4">
        <f t="shared" si="112"/>
        <v>-0.45843248066627013</v>
      </c>
      <c r="O7189" t="s">
        <v>83</v>
      </c>
      <c r="R7189">
        <v>5</v>
      </c>
      <c r="S7189" t="s">
        <v>5465</v>
      </c>
      <c r="T7189" t="e">
        <f>VLOOKUP(R7189,[1]!NOMINA[#Data],5,FALSE)</f>
        <v>#REF!</v>
      </c>
    </row>
    <row r="7190" spans="1:20" x14ac:dyDescent="0.25">
      <c r="A7190" s="22">
        <v>45883</v>
      </c>
      <c r="B7190" s="1">
        <v>516635002</v>
      </c>
      <c r="C7190" t="s">
        <v>5509</v>
      </c>
      <c r="D7190" s="44">
        <v>-61.65</v>
      </c>
      <c r="E7190" t="s">
        <v>35</v>
      </c>
      <c r="F7190" s="2">
        <v>212901001</v>
      </c>
      <c r="G7190" s="2" t="s">
        <v>91</v>
      </c>
      <c r="I7190" s="95" t="s">
        <v>7231</v>
      </c>
      <c r="J7190" t="s">
        <v>61</v>
      </c>
      <c r="K7190" t="s">
        <v>62</v>
      </c>
      <c r="M7190">
        <v>134.47999999999999</v>
      </c>
      <c r="N7190" s="4">
        <f t="shared" si="112"/>
        <v>-0.45843248066627013</v>
      </c>
      <c r="O7190" t="s">
        <v>83</v>
      </c>
      <c r="R7190">
        <v>32</v>
      </c>
      <c r="S7190" t="e">
        <f>VLOOKUP(Tabla3[[#This Row],[Nº]],[1]!NOMINA[#Data],4,FALSE)</f>
        <v>#REF!</v>
      </c>
      <c r="T7190" t="e">
        <f>VLOOKUP(R7190,[1]!NOMINA[#Data],5,FALSE)</f>
        <v>#REF!</v>
      </c>
    </row>
    <row r="7191" spans="1:20" x14ac:dyDescent="0.25">
      <c r="A7191" s="22">
        <v>45883</v>
      </c>
      <c r="B7191" s="1">
        <v>516635000</v>
      </c>
      <c r="C7191" t="s">
        <v>5510</v>
      </c>
      <c r="D7191" s="44">
        <v>-61.65</v>
      </c>
      <c r="E7191" t="s">
        <v>35</v>
      </c>
      <c r="F7191" s="2">
        <v>212901001</v>
      </c>
      <c r="G7191" s="2" t="s">
        <v>91</v>
      </c>
      <c r="I7191" s="95" t="s">
        <v>7231</v>
      </c>
      <c r="J7191" t="s">
        <v>61</v>
      </c>
      <c r="K7191" t="s">
        <v>62</v>
      </c>
      <c r="M7191">
        <v>134.47999999999999</v>
      </c>
      <c r="N7191" s="4">
        <f t="shared" si="112"/>
        <v>-0.45843248066627013</v>
      </c>
      <c r="O7191" t="s">
        <v>83</v>
      </c>
      <c r="R7191">
        <v>30</v>
      </c>
      <c r="S7191" t="e">
        <f>VLOOKUP(Tabla3[[#This Row],[Nº]],[1]!NOMINA[#Data],4,FALSE)</f>
        <v>#REF!</v>
      </c>
      <c r="T7191" t="e">
        <f>VLOOKUP(R7191,[1]!NOMINA[#Data],5,FALSE)</f>
        <v>#REF!</v>
      </c>
    </row>
    <row r="7192" spans="1:20" x14ac:dyDescent="0.25">
      <c r="A7192" s="22">
        <v>45883</v>
      </c>
      <c r="B7192" s="1">
        <v>516635003</v>
      </c>
      <c r="C7192" t="s">
        <v>5511</v>
      </c>
      <c r="D7192" s="44">
        <v>-61.65</v>
      </c>
      <c r="E7192" t="s">
        <v>35</v>
      </c>
      <c r="F7192" s="2">
        <v>212901001</v>
      </c>
      <c r="G7192" s="2" t="s">
        <v>91</v>
      </c>
      <c r="I7192" s="95" t="s">
        <v>7231</v>
      </c>
      <c r="J7192" t="s">
        <v>61</v>
      </c>
      <c r="K7192" t="s">
        <v>62</v>
      </c>
      <c r="M7192">
        <v>134.47999999999999</v>
      </c>
      <c r="N7192" s="4">
        <f t="shared" si="112"/>
        <v>-0.45843248066627013</v>
      </c>
      <c r="O7192" t="s">
        <v>83</v>
      </c>
      <c r="R7192">
        <v>27</v>
      </c>
      <c r="S7192" t="e">
        <f>VLOOKUP(Tabla3[[#This Row],[Nº]],[1]!NOMINA[#Data],4,FALSE)</f>
        <v>#REF!</v>
      </c>
      <c r="T7192" t="e">
        <f>VLOOKUP(R7192,[1]!NOMINA[#Data],5,FALSE)</f>
        <v>#REF!</v>
      </c>
    </row>
    <row r="7193" spans="1:20" x14ac:dyDescent="0.25">
      <c r="A7193" s="22">
        <v>45883</v>
      </c>
      <c r="B7193" s="1">
        <v>416634998</v>
      </c>
      <c r="C7193" t="s">
        <v>5512</v>
      </c>
      <c r="D7193" s="44">
        <v>-61.65</v>
      </c>
      <c r="E7193" t="s">
        <v>35</v>
      </c>
      <c r="F7193" s="2">
        <v>212901001</v>
      </c>
      <c r="G7193" s="2" t="s">
        <v>91</v>
      </c>
      <c r="I7193" s="95" t="s">
        <v>7231</v>
      </c>
      <c r="J7193" t="s">
        <v>61</v>
      </c>
      <c r="K7193" t="s">
        <v>62</v>
      </c>
      <c r="M7193">
        <v>134.47999999999999</v>
      </c>
      <c r="N7193" s="4">
        <f t="shared" si="112"/>
        <v>-0.45843248066627013</v>
      </c>
      <c r="O7193" t="s">
        <v>83</v>
      </c>
      <c r="R7193">
        <v>21</v>
      </c>
      <c r="S7193" t="e">
        <f>VLOOKUP(Tabla3[[#This Row],[Nº]],[1]!NOMINA[#Data],4,FALSE)</f>
        <v>#REF!</v>
      </c>
      <c r="T7193" t="e">
        <f>VLOOKUP(R7193,[1]!NOMINA[#Data],5,FALSE)</f>
        <v>#REF!</v>
      </c>
    </row>
    <row r="7194" spans="1:20" x14ac:dyDescent="0.25">
      <c r="A7194" s="22">
        <v>45883</v>
      </c>
      <c r="B7194" s="1">
        <v>516635001</v>
      </c>
      <c r="C7194" t="s">
        <v>5513</v>
      </c>
      <c r="D7194" s="44">
        <v>-61.65</v>
      </c>
      <c r="E7194" t="s">
        <v>35</v>
      </c>
      <c r="F7194" s="2">
        <v>212901001</v>
      </c>
      <c r="G7194" s="2" t="s">
        <v>91</v>
      </c>
      <c r="I7194" s="95" t="s">
        <v>7231</v>
      </c>
      <c r="J7194" t="s">
        <v>61</v>
      </c>
      <c r="K7194" t="s">
        <v>62</v>
      </c>
      <c r="M7194">
        <v>134.47999999999999</v>
      </c>
      <c r="N7194" s="4">
        <f t="shared" si="112"/>
        <v>-0.45843248066627013</v>
      </c>
      <c r="O7194" t="s">
        <v>83</v>
      </c>
      <c r="R7194">
        <v>7</v>
      </c>
      <c r="S7194" t="e">
        <f>VLOOKUP(Tabla3[[#This Row],[Nº]],[1]!NOMINA[#Data],4,FALSE)</f>
        <v>#REF!</v>
      </c>
      <c r="T7194" t="e">
        <f>VLOOKUP(R7194,[1]!NOMINA[#Data],5,FALSE)</f>
        <v>#REF!</v>
      </c>
    </row>
    <row r="7195" spans="1:20" x14ac:dyDescent="0.25">
      <c r="A7195" s="22">
        <v>45883</v>
      </c>
      <c r="B7195" s="1">
        <v>516635005</v>
      </c>
      <c r="C7195" t="s">
        <v>5514</v>
      </c>
      <c r="D7195" s="44">
        <v>-61.65</v>
      </c>
      <c r="E7195" t="s">
        <v>35</v>
      </c>
      <c r="F7195" s="2">
        <v>212901001</v>
      </c>
      <c r="G7195" s="2" t="s">
        <v>91</v>
      </c>
      <c r="I7195" s="95" t="s">
        <v>7231</v>
      </c>
      <c r="J7195" t="s">
        <v>61</v>
      </c>
      <c r="K7195" t="s">
        <v>62</v>
      </c>
      <c r="M7195">
        <v>134.47999999999999</v>
      </c>
      <c r="N7195" s="4">
        <f t="shared" si="112"/>
        <v>-0.45843248066627013</v>
      </c>
      <c r="O7195" t="s">
        <v>83</v>
      </c>
      <c r="R7195">
        <v>35</v>
      </c>
      <c r="S7195" t="e">
        <f>VLOOKUP(Tabla3[[#This Row],[Nº]],[1]!NOMINA[#Data],4,FALSE)</f>
        <v>#REF!</v>
      </c>
      <c r="T7195" t="e">
        <f>VLOOKUP(R7195,[1]!NOMINA[#Data],5,FALSE)</f>
        <v>#REF!</v>
      </c>
    </row>
    <row r="7196" spans="1:20" x14ac:dyDescent="0.25">
      <c r="A7196" s="22">
        <v>45883</v>
      </c>
      <c r="B7196" s="1">
        <v>516635006</v>
      </c>
      <c r="C7196" t="s">
        <v>5515</v>
      </c>
      <c r="D7196" s="44">
        <v>-61.65</v>
      </c>
      <c r="E7196" t="s">
        <v>35</v>
      </c>
      <c r="F7196" s="2">
        <v>212901001</v>
      </c>
      <c r="G7196" s="2" t="s">
        <v>91</v>
      </c>
      <c r="I7196" s="95" t="s">
        <v>7231</v>
      </c>
      <c r="J7196" t="s">
        <v>61</v>
      </c>
      <c r="K7196" t="s">
        <v>62</v>
      </c>
      <c r="M7196">
        <v>134.47999999999999</v>
      </c>
      <c r="N7196" s="4">
        <f t="shared" si="112"/>
        <v>-0.45843248066627013</v>
      </c>
      <c r="O7196" t="s">
        <v>83</v>
      </c>
      <c r="R7196">
        <v>25</v>
      </c>
      <c r="S7196" t="e">
        <f>VLOOKUP(Tabla3[[#This Row],[Nº]],[1]!NOMINA[#Data],4,FALSE)</f>
        <v>#REF!</v>
      </c>
      <c r="T7196" t="e">
        <f>VLOOKUP(R7196,[1]!NOMINA[#Data],5,FALSE)</f>
        <v>#REF!</v>
      </c>
    </row>
    <row r="7197" spans="1:20" x14ac:dyDescent="0.25">
      <c r="A7197" s="22">
        <v>45883</v>
      </c>
      <c r="B7197" s="1">
        <v>416634995</v>
      </c>
      <c r="C7197" t="s">
        <v>5516</v>
      </c>
      <c r="D7197" s="44">
        <v>-61.65</v>
      </c>
      <c r="E7197" t="s">
        <v>35</v>
      </c>
      <c r="F7197" s="2">
        <v>212901001</v>
      </c>
      <c r="G7197" s="2" t="s">
        <v>91</v>
      </c>
      <c r="I7197" s="95" t="s">
        <v>7231</v>
      </c>
      <c r="J7197" t="s">
        <v>61</v>
      </c>
      <c r="K7197" t="s">
        <v>62</v>
      </c>
      <c r="M7197">
        <v>134.47999999999999</v>
      </c>
      <c r="N7197" s="4">
        <f t="shared" si="112"/>
        <v>-0.45843248066627013</v>
      </c>
      <c r="O7197" t="s">
        <v>83</v>
      </c>
      <c r="R7197">
        <v>11</v>
      </c>
      <c r="S7197" t="e">
        <f>VLOOKUP(Tabla3[[#This Row],[Nº]],[1]!NOMINA[#Data],4,FALSE)</f>
        <v>#REF!</v>
      </c>
      <c r="T7197" t="e">
        <f>VLOOKUP(R7197,[1]!NOMINA[#Data],5,FALSE)</f>
        <v>#REF!</v>
      </c>
    </row>
    <row r="7198" spans="1:20" x14ac:dyDescent="0.25">
      <c r="A7198" s="22">
        <v>45883</v>
      </c>
      <c r="B7198" s="1">
        <v>416634992</v>
      </c>
      <c r="C7198" t="s">
        <v>5517</v>
      </c>
      <c r="D7198" s="44">
        <v>-61.65</v>
      </c>
      <c r="E7198" t="s">
        <v>35</v>
      </c>
      <c r="F7198" s="2">
        <v>212901001</v>
      </c>
      <c r="G7198" s="2" t="s">
        <v>91</v>
      </c>
      <c r="I7198" s="95" t="s">
        <v>7231</v>
      </c>
      <c r="J7198" t="s">
        <v>61</v>
      </c>
      <c r="K7198" t="s">
        <v>62</v>
      </c>
      <c r="M7198">
        <v>134.47999999999999</v>
      </c>
      <c r="N7198" s="4">
        <f t="shared" si="112"/>
        <v>-0.45843248066627013</v>
      </c>
      <c r="O7198" t="s">
        <v>83</v>
      </c>
      <c r="R7198">
        <v>29</v>
      </c>
      <c r="S7198" t="e">
        <f>VLOOKUP(R7198,[1]!NOMINA[#Data],4,FALSE)</f>
        <v>#REF!</v>
      </c>
      <c r="T7198" t="e">
        <f>VLOOKUP(R7198,[1]!NOMINA[#Data],5,FALSE)</f>
        <v>#REF!</v>
      </c>
    </row>
    <row r="7199" spans="1:20" x14ac:dyDescent="0.25">
      <c r="A7199" s="22">
        <v>45883</v>
      </c>
      <c r="B7199" s="1">
        <v>316634985</v>
      </c>
      <c r="C7199" t="s">
        <v>5518</v>
      </c>
      <c r="D7199" s="44">
        <v>-61.65</v>
      </c>
      <c r="E7199" t="s">
        <v>35</v>
      </c>
      <c r="F7199" s="2">
        <v>212901001</v>
      </c>
      <c r="G7199" s="2" t="s">
        <v>91</v>
      </c>
      <c r="I7199" s="95" t="s">
        <v>7231</v>
      </c>
      <c r="J7199" t="s">
        <v>61</v>
      </c>
      <c r="K7199" t="s">
        <v>62</v>
      </c>
      <c r="M7199">
        <v>134.47999999999999</v>
      </c>
      <c r="N7199" s="4">
        <f t="shared" si="112"/>
        <v>-0.45843248066627013</v>
      </c>
      <c r="O7199" t="s">
        <v>83</v>
      </c>
      <c r="R7199">
        <v>9</v>
      </c>
      <c r="S7199" t="e">
        <f>VLOOKUP(Tabla3[[#This Row],[Nº]],[1]!NOMINA[#Data],4,FALSE)</f>
        <v>#REF!</v>
      </c>
      <c r="T7199" t="e">
        <f>VLOOKUP(R7199,[1]!NOMINA[#Data],5,FALSE)</f>
        <v>#REF!</v>
      </c>
    </row>
    <row r="7200" spans="1:20" x14ac:dyDescent="0.25">
      <c r="A7200" s="22">
        <v>45883</v>
      </c>
      <c r="B7200" s="1">
        <v>50828075</v>
      </c>
      <c r="C7200" t="s">
        <v>89</v>
      </c>
      <c r="D7200" s="44">
        <v>-1193.67</v>
      </c>
      <c r="E7200" t="s">
        <v>35</v>
      </c>
      <c r="F7200" s="2">
        <v>610148001</v>
      </c>
      <c r="G7200" s="2" t="s">
        <v>41</v>
      </c>
      <c r="I7200" s="95" t="s">
        <v>7231</v>
      </c>
      <c r="J7200" t="s">
        <v>42</v>
      </c>
      <c r="K7200" t="s">
        <v>41</v>
      </c>
      <c r="M7200">
        <v>134.47999999999999</v>
      </c>
      <c r="N7200" s="4">
        <f t="shared" si="112"/>
        <v>-8.8761897679952426</v>
      </c>
      <c r="O7200" t="s">
        <v>83</v>
      </c>
      <c r="Q7200" s="24" t="s">
        <v>5251</v>
      </c>
    </row>
    <row r="7201" spans="1:15" x14ac:dyDescent="0.25">
      <c r="A7201" s="22">
        <v>45884</v>
      </c>
      <c r="B7201" s="1">
        <v>845353353</v>
      </c>
      <c r="C7201" t="s">
        <v>82</v>
      </c>
      <c r="D7201" s="44">
        <v>620000</v>
      </c>
      <c r="E7201" t="s">
        <v>45</v>
      </c>
      <c r="F7201" s="2">
        <v>210115002</v>
      </c>
      <c r="G7201" s="2" t="s">
        <v>46</v>
      </c>
      <c r="I7201" s="95" t="s">
        <v>7231</v>
      </c>
      <c r="K7201" t="s">
        <v>82</v>
      </c>
      <c r="M7201">
        <v>135.63999999999999</v>
      </c>
      <c r="N7201" s="4">
        <f t="shared" si="112"/>
        <v>4570.9230315541145</v>
      </c>
      <c r="O7201" t="s">
        <v>83</v>
      </c>
    </row>
    <row r="7202" spans="1:15" x14ac:dyDescent="0.25">
      <c r="A7202" s="22">
        <v>45884</v>
      </c>
      <c r="B7202" s="1">
        <v>616688793</v>
      </c>
      <c r="C7202" t="s">
        <v>5519</v>
      </c>
      <c r="D7202" s="44">
        <v>-10758.4</v>
      </c>
      <c r="E7202" t="s">
        <v>35</v>
      </c>
      <c r="F7202" s="2">
        <v>212901001</v>
      </c>
      <c r="G7202" s="2" t="s">
        <v>91</v>
      </c>
      <c r="I7202" s="95" t="s">
        <v>7231</v>
      </c>
      <c r="J7202" t="s">
        <v>61</v>
      </c>
      <c r="K7202" t="s">
        <v>62</v>
      </c>
      <c r="M7202">
        <v>135.63999999999999</v>
      </c>
      <c r="N7202" s="4">
        <f t="shared" si="112"/>
        <v>-79.31583603656739</v>
      </c>
      <c r="O7202" t="s">
        <v>83</v>
      </c>
    </row>
    <row r="7203" spans="1:15" x14ac:dyDescent="0.25">
      <c r="A7203" s="22">
        <v>45884</v>
      </c>
      <c r="B7203" s="1">
        <v>616688794</v>
      </c>
      <c r="C7203" t="s">
        <v>5520</v>
      </c>
      <c r="D7203" s="44">
        <v>-8068.8</v>
      </c>
      <c r="E7203" t="s">
        <v>35</v>
      </c>
      <c r="F7203" s="2">
        <v>212901001</v>
      </c>
      <c r="G7203" s="2" t="s">
        <v>91</v>
      </c>
      <c r="I7203" s="95" t="s">
        <v>7231</v>
      </c>
      <c r="J7203" t="s">
        <v>61</v>
      </c>
      <c r="K7203" t="s">
        <v>62</v>
      </c>
      <c r="M7203">
        <v>135.63999999999999</v>
      </c>
      <c r="N7203" s="4">
        <f t="shared" si="112"/>
        <v>-59.486877027425543</v>
      </c>
      <c r="O7203" t="s">
        <v>83</v>
      </c>
    </row>
    <row r="7204" spans="1:15" x14ac:dyDescent="0.25">
      <c r="A7204" s="22">
        <v>45884</v>
      </c>
      <c r="B7204" s="1">
        <v>616688795</v>
      </c>
      <c r="C7204" t="s">
        <v>5521</v>
      </c>
      <c r="D7204" s="44">
        <v>-8068.8</v>
      </c>
      <c r="E7204" t="s">
        <v>35</v>
      </c>
      <c r="F7204" s="2">
        <v>212901001</v>
      </c>
      <c r="G7204" s="2" t="s">
        <v>91</v>
      </c>
      <c r="I7204" s="95" t="s">
        <v>7231</v>
      </c>
      <c r="J7204" t="s">
        <v>61</v>
      </c>
      <c r="K7204" t="s">
        <v>62</v>
      </c>
      <c r="M7204">
        <v>135.63999999999999</v>
      </c>
      <c r="N7204" s="4">
        <f t="shared" si="112"/>
        <v>-59.486877027425543</v>
      </c>
      <c r="O7204" t="s">
        <v>83</v>
      </c>
    </row>
    <row r="7205" spans="1:15" x14ac:dyDescent="0.25">
      <c r="A7205" s="22">
        <v>45884</v>
      </c>
      <c r="B7205" s="1">
        <v>716688796</v>
      </c>
      <c r="C7205" t="s">
        <v>5522</v>
      </c>
      <c r="D7205" s="44">
        <v>-8068.8</v>
      </c>
      <c r="E7205" t="s">
        <v>35</v>
      </c>
      <c r="F7205" s="2">
        <v>212901001</v>
      </c>
      <c r="G7205" s="2" t="s">
        <v>91</v>
      </c>
      <c r="I7205" s="95" t="s">
        <v>7231</v>
      </c>
      <c r="J7205" t="s">
        <v>61</v>
      </c>
      <c r="K7205" t="s">
        <v>62</v>
      </c>
      <c r="M7205">
        <v>135.63999999999999</v>
      </c>
      <c r="N7205" s="4">
        <f t="shared" si="112"/>
        <v>-59.486877027425543</v>
      </c>
      <c r="O7205" t="s">
        <v>83</v>
      </c>
    </row>
    <row r="7206" spans="1:15" x14ac:dyDescent="0.25">
      <c r="A7206" s="22">
        <v>45884</v>
      </c>
      <c r="B7206" s="1">
        <v>716688797</v>
      </c>
      <c r="C7206" t="s">
        <v>5523</v>
      </c>
      <c r="D7206" s="44">
        <v>-8068.8</v>
      </c>
      <c r="E7206" t="s">
        <v>35</v>
      </c>
      <c r="F7206" s="2">
        <v>212901001</v>
      </c>
      <c r="G7206" s="2" t="s">
        <v>91</v>
      </c>
      <c r="I7206" s="95" t="s">
        <v>7231</v>
      </c>
      <c r="J7206" t="s">
        <v>61</v>
      </c>
      <c r="K7206" t="s">
        <v>62</v>
      </c>
      <c r="M7206">
        <v>135.63999999999999</v>
      </c>
      <c r="N7206" s="4">
        <f t="shared" si="112"/>
        <v>-59.486877027425543</v>
      </c>
      <c r="O7206" t="s">
        <v>83</v>
      </c>
    </row>
    <row r="7207" spans="1:15" x14ac:dyDescent="0.25">
      <c r="A7207" s="22">
        <v>45884</v>
      </c>
      <c r="B7207" s="1">
        <v>716688798</v>
      </c>
      <c r="C7207" t="s">
        <v>5524</v>
      </c>
      <c r="D7207" s="44">
        <v>-8068.8</v>
      </c>
      <c r="E7207" t="s">
        <v>35</v>
      </c>
      <c r="F7207" s="2">
        <v>212901001</v>
      </c>
      <c r="G7207" s="2" t="s">
        <v>91</v>
      </c>
      <c r="I7207" s="95" t="s">
        <v>7231</v>
      </c>
      <c r="J7207" t="s">
        <v>61</v>
      </c>
      <c r="K7207" t="s">
        <v>62</v>
      </c>
      <c r="M7207">
        <v>135.63999999999999</v>
      </c>
      <c r="N7207" s="4">
        <f t="shared" si="112"/>
        <v>-59.486877027425543</v>
      </c>
      <c r="O7207" t="s">
        <v>83</v>
      </c>
    </row>
    <row r="7208" spans="1:15" x14ac:dyDescent="0.25">
      <c r="A7208" s="22">
        <v>45884</v>
      </c>
      <c r="B7208" s="1">
        <v>716688800</v>
      </c>
      <c r="C7208" t="s">
        <v>5525</v>
      </c>
      <c r="D7208" s="44">
        <v>-8068.8</v>
      </c>
      <c r="E7208" t="s">
        <v>35</v>
      </c>
      <c r="F7208" s="2">
        <v>212901001</v>
      </c>
      <c r="G7208" s="2" t="s">
        <v>91</v>
      </c>
      <c r="I7208" s="95" t="s">
        <v>7231</v>
      </c>
      <c r="J7208" t="s">
        <v>61</v>
      </c>
      <c r="K7208" t="s">
        <v>62</v>
      </c>
      <c r="M7208">
        <v>135.63999999999999</v>
      </c>
      <c r="N7208" s="4">
        <f t="shared" si="112"/>
        <v>-59.486877027425543</v>
      </c>
      <c r="O7208" t="s">
        <v>83</v>
      </c>
    </row>
    <row r="7209" spans="1:15" x14ac:dyDescent="0.25">
      <c r="A7209" s="22">
        <v>45884</v>
      </c>
      <c r="B7209" s="1">
        <v>716688799</v>
      </c>
      <c r="C7209" t="s">
        <v>5526</v>
      </c>
      <c r="D7209" s="44">
        <v>-8068.8</v>
      </c>
      <c r="E7209" t="s">
        <v>35</v>
      </c>
      <c r="F7209" s="2">
        <v>212901001</v>
      </c>
      <c r="G7209" s="2" t="s">
        <v>91</v>
      </c>
      <c r="I7209" s="95" t="s">
        <v>7231</v>
      </c>
      <c r="J7209" t="s">
        <v>61</v>
      </c>
      <c r="K7209" t="s">
        <v>62</v>
      </c>
      <c r="M7209">
        <v>135.63999999999999</v>
      </c>
      <c r="N7209" s="4">
        <f t="shared" si="112"/>
        <v>-59.486877027425543</v>
      </c>
      <c r="O7209" t="s">
        <v>83</v>
      </c>
    </row>
    <row r="7210" spans="1:15" x14ac:dyDescent="0.25">
      <c r="A7210" s="22">
        <v>45884</v>
      </c>
      <c r="B7210" s="1">
        <v>716688802</v>
      </c>
      <c r="C7210" t="s">
        <v>5527</v>
      </c>
      <c r="D7210" s="44">
        <v>-8068.8</v>
      </c>
      <c r="E7210" t="s">
        <v>35</v>
      </c>
      <c r="F7210" s="2">
        <v>212901001</v>
      </c>
      <c r="G7210" s="2" t="s">
        <v>91</v>
      </c>
      <c r="I7210" s="95" t="s">
        <v>7231</v>
      </c>
      <c r="J7210" t="s">
        <v>61</v>
      </c>
      <c r="K7210" t="s">
        <v>62</v>
      </c>
      <c r="M7210">
        <v>135.63999999999999</v>
      </c>
      <c r="N7210" s="4">
        <f t="shared" si="112"/>
        <v>-59.486877027425543</v>
      </c>
      <c r="O7210" t="s">
        <v>83</v>
      </c>
    </row>
    <row r="7211" spans="1:15" x14ac:dyDescent="0.25">
      <c r="A7211" s="22">
        <v>45884</v>
      </c>
      <c r="B7211" s="1">
        <v>716688801</v>
      </c>
      <c r="C7211" t="s">
        <v>5528</v>
      </c>
      <c r="D7211" s="44">
        <v>-8068.8</v>
      </c>
      <c r="E7211" t="s">
        <v>35</v>
      </c>
      <c r="F7211" s="2">
        <v>212901001</v>
      </c>
      <c r="G7211" s="2" t="s">
        <v>91</v>
      </c>
      <c r="I7211" s="95" t="s">
        <v>7231</v>
      </c>
      <c r="J7211" t="s">
        <v>61</v>
      </c>
      <c r="K7211" t="s">
        <v>62</v>
      </c>
      <c r="M7211">
        <v>135.63999999999999</v>
      </c>
      <c r="N7211" s="4">
        <f t="shared" si="112"/>
        <v>-59.486877027425543</v>
      </c>
      <c r="O7211" t="s">
        <v>83</v>
      </c>
    </row>
    <row r="7212" spans="1:15" x14ac:dyDescent="0.25">
      <c r="A7212" s="22">
        <v>45884</v>
      </c>
      <c r="B7212" s="1">
        <v>716688803</v>
      </c>
      <c r="C7212" t="s">
        <v>5529</v>
      </c>
      <c r="D7212" s="44">
        <v>-8068.8</v>
      </c>
      <c r="E7212" t="s">
        <v>35</v>
      </c>
      <c r="F7212" s="2">
        <v>212901001</v>
      </c>
      <c r="G7212" s="2" t="s">
        <v>91</v>
      </c>
      <c r="I7212" s="95" t="s">
        <v>7231</v>
      </c>
      <c r="J7212" t="s">
        <v>61</v>
      </c>
      <c r="K7212" t="s">
        <v>62</v>
      </c>
      <c r="M7212">
        <v>135.63999999999999</v>
      </c>
      <c r="N7212" s="4">
        <f t="shared" si="112"/>
        <v>-59.486877027425543</v>
      </c>
      <c r="O7212" t="s">
        <v>83</v>
      </c>
    </row>
    <row r="7213" spans="1:15" x14ac:dyDescent="0.25">
      <c r="A7213" s="22">
        <v>45884</v>
      </c>
      <c r="B7213" s="1">
        <v>816688804</v>
      </c>
      <c r="C7213" t="s">
        <v>5530</v>
      </c>
      <c r="D7213" s="44">
        <v>-8068.8</v>
      </c>
      <c r="E7213" t="s">
        <v>35</v>
      </c>
      <c r="F7213" s="2">
        <v>212901001</v>
      </c>
      <c r="G7213" s="2" t="s">
        <v>91</v>
      </c>
      <c r="I7213" s="95" t="s">
        <v>7231</v>
      </c>
      <c r="J7213" t="s">
        <v>61</v>
      </c>
      <c r="K7213" t="s">
        <v>62</v>
      </c>
      <c r="M7213">
        <v>135.63999999999999</v>
      </c>
      <c r="N7213" s="4">
        <f t="shared" si="112"/>
        <v>-59.486877027425543</v>
      </c>
      <c r="O7213" t="s">
        <v>83</v>
      </c>
    </row>
    <row r="7214" spans="1:15" x14ac:dyDescent="0.25">
      <c r="A7214" s="22">
        <v>45884</v>
      </c>
      <c r="B7214" s="1">
        <v>816688806</v>
      </c>
      <c r="C7214" t="s">
        <v>5531</v>
      </c>
      <c r="D7214" s="44">
        <v>-8068.8</v>
      </c>
      <c r="E7214" t="s">
        <v>35</v>
      </c>
      <c r="F7214" s="2">
        <v>212901001</v>
      </c>
      <c r="G7214" s="2" t="s">
        <v>91</v>
      </c>
      <c r="I7214" s="95" t="s">
        <v>7231</v>
      </c>
      <c r="J7214" t="s">
        <v>61</v>
      </c>
      <c r="K7214" t="s">
        <v>62</v>
      </c>
      <c r="M7214">
        <v>135.63999999999999</v>
      </c>
      <c r="N7214" s="4">
        <f t="shared" si="112"/>
        <v>-59.486877027425543</v>
      </c>
      <c r="O7214" t="s">
        <v>83</v>
      </c>
    </row>
    <row r="7215" spans="1:15" x14ac:dyDescent="0.25">
      <c r="A7215" s="22">
        <v>45884</v>
      </c>
      <c r="B7215" s="1">
        <v>816688805</v>
      </c>
      <c r="C7215" t="s">
        <v>5532</v>
      </c>
      <c r="D7215" s="44">
        <v>-8068.8</v>
      </c>
      <c r="E7215" t="s">
        <v>35</v>
      </c>
      <c r="F7215" s="2">
        <v>212901001</v>
      </c>
      <c r="G7215" s="2" t="s">
        <v>91</v>
      </c>
      <c r="I7215" s="95" t="s">
        <v>7231</v>
      </c>
      <c r="J7215" t="s">
        <v>61</v>
      </c>
      <c r="K7215" t="s">
        <v>62</v>
      </c>
      <c r="M7215">
        <v>135.63999999999999</v>
      </c>
      <c r="N7215" s="4">
        <f t="shared" si="112"/>
        <v>-59.486877027425543</v>
      </c>
      <c r="O7215" t="s">
        <v>83</v>
      </c>
    </row>
    <row r="7216" spans="1:15" x14ac:dyDescent="0.25">
      <c r="A7216" s="22">
        <v>45884</v>
      </c>
      <c r="B7216" s="1">
        <v>816688809</v>
      </c>
      <c r="C7216" t="s">
        <v>5533</v>
      </c>
      <c r="D7216" s="44">
        <v>-20172</v>
      </c>
      <c r="E7216" t="s">
        <v>35</v>
      </c>
      <c r="F7216" s="2">
        <v>212901001</v>
      </c>
      <c r="G7216" s="2" t="s">
        <v>91</v>
      </c>
      <c r="I7216" s="95" t="s">
        <v>7231</v>
      </c>
      <c r="J7216" t="s">
        <v>61</v>
      </c>
      <c r="K7216" t="s">
        <v>62</v>
      </c>
      <c r="M7216">
        <v>135.63999999999999</v>
      </c>
      <c r="N7216" s="4">
        <f t="shared" si="112"/>
        <v>-148.71719256856386</v>
      </c>
      <c r="O7216" t="s">
        <v>83</v>
      </c>
    </row>
    <row r="7217" spans="1:15" x14ac:dyDescent="0.25">
      <c r="A7217" s="22">
        <v>45884</v>
      </c>
      <c r="B7217" s="1">
        <v>816688812</v>
      </c>
      <c r="C7217" t="s">
        <v>5534</v>
      </c>
      <c r="D7217" s="44">
        <v>-10758.4</v>
      </c>
      <c r="E7217" t="s">
        <v>35</v>
      </c>
      <c r="F7217" s="2">
        <v>212901001</v>
      </c>
      <c r="G7217" s="2" t="s">
        <v>91</v>
      </c>
      <c r="I7217" s="95" t="s">
        <v>7231</v>
      </c>
      <c r="J7217" t="s">
        <v>61</v>
      </c>
      <c r="K7217" t="s">
        <v>62</v>
      </c>
      <c r="M7217">
        <v>135.63999999999999</v>
      </c>
      <c r="N7217" s="4">
        <f t="shared" si="112"/>
        <v>-79.31583603656739</v>
      </c>
      <c r="O7217" t="s">
        <v>83</v>
      </c>
    </row>
    <row r="7218" spans="1:15" x14ac:dyDescent="0.25">
      <c r="A7218" s="22">
        <v>45884</v>
      </c>
      <c r="B7218" s="1">
        <v>816688807</v>
      </c>
      <c r="C7218" t="s">
        <v>5535</v>
      </c>
      <c r="D7218" s="44">
        <v>-8068.8</v>
      </c>
      <c r="E7218" t="s">
        <v>35</v>
      </c>
      <c r="F7218" s="2">
        <v>212901001</v>
      </c>
      <c r="G7218" s="2" t="s">
        <v>91</v>
      </c>
      <c r="I7218" s="95" t="s">
        <v>7231</v>
      </c>
      <c r="J7218" t="s">
        <v>61</v>
      </c>
      <c r="K7218" t="s">
        <v>62</v>
      </c>
      <c r="M7218">
        <v>135.63999999999999</v>
      </c>
      <c r="N7218" s="4">
        <f t="shared" si="112"/>
        <v>-59.486877027425543</v>
      </c>
      <c r="O7218" t="s">
        <v>83</v>
      </c>
    </row>
    <row r="7219" spans="1:15" x14ac:dyDescent="0.25">
      <c r="A7219" s="22">
        <v>45884</v>
      </c>
      <c r="B7219" s="1">
        <v>816688810</v>
      </c>
      <c r="C7219" t="s">
        <v>5536</v>
      </c>
      <c r="D7219" s="44">
        <v>-13448</v>
      </c>
      <c r="E7219" t="s">
        <v>35</v>
      </c>
      <c r="F7219" s="2">
        <v>212901001</v>
      </c>
      <c r="G7219" s="2" t="s">
        <v>91</v>
      </c>
      <c r="I7219" s="95" t="s">
        <v>7231</v>
      </c>
      <c r="J7219" t="s">
        <v>61</v>
      </c>
      <c r="K7219" t="s">
        <v>62</v>
      </c>
      <c r="M7219">
        <v>135.63999999999999</v>
      </c>
      <c r="N7219" s="4">
        <f t="shared" si="112"/>
        <v>-99.144795045709245</v>
      </c>
      <c r="O7219" t="s">
        <v>83</v>
      </c>
    </row>
    <row r="7220" spans="1:15" x14ac:dyDescent="0.25">
      <c r="A7220" s="22">
        <v>45884</v>
      </c>
      <c r="B7220" s="1">
        <v>916688814</v>
      </c>
      <c r="C7220" t="s">
        <v>5537</v>
      </c>
      <c r="D7220" s="44">
        <v>-10758.4</v>
      </c>
      <c r="E7220" t="s">
        <v>35</v>
      </c>
      <c r="F7220" s="2">
        <v>212901001</v>
      </c>
      <c r="G7220" s="2" t="s">
        <v>91</v>
      </c>
      <c r="I7220" s="95" t="s">
        <v>7231</v>
      </c>
      <c r="J7220" t="s">
        <v>61</v>
      </c>
      <c r="K7220" t="s">
        <v>62</v>
      </c>
      <c r="M7220">
        <v>135.63999999999999</v>
      </c>
      <c r="N7220" s="4">
        <f t="shared" si="112"/>
        <v>-79.31583603656739</v>
      </c>
      <c r="O7220" t="s">
        <v>83</v>
      </c>
    </row>
    <row r="7221" spans="1:15" x14ac:dyDescent="0.25">
      <c r="A7221" s="22">
        <v>45884</v>
      </c>
      <c r="B7221" s="1">
        <v>816688811</v>
      </c>
      <c r="C7221" t="s">
        <v>5538</v>
      </c>
      <c r="D7221" s="44">
        <v>-10758.4</v>
      </c>
      <c r="E7221" t="s">
        <v>35</v>
      </c>
      <c r="F7221" s="2">
        <v>212901001</v>
      </c>
      <c r="G7221" s="2" t="s">
        <v>91</v>
      </c>
      <c r="I7221" s="95" t="s">
        <v>7231</v>
      </c>
      <c r="J7221" t="s">
        <v>61</v>
      </c>
      <c r="K7221" t="s">
        <v>62</v>
      </c>
      <c r="M7221">
        <v>135.63999999999999</v>
      </c>
      <c r="N7221" s="4">
        <f t="shared" si="112"/>
        <v>-79.31583603656739</v>
      </c>
      <c r="O7221" t="s">
        <v>83</v>
      </c>
    </row>
    <row r="7222" spans="1:15" x14ac:dyDescent="0.25">
      <c r="A7222" s="22">
        <v>45884</v>
      </c>
      <c r="B7222" s="1">
        <v>916688816</v>
      </c>
      <c r="C7222" t="s">
        <v>5539</v>
      </c>
      <c r="D7222" s="44">
        <v>-10758.4</v>
      </c>
      <c r="E7222" t="s">
        <v>35</v>
      </c>
      <c r="F7222" s="2">
        <v>212901001</v>
      </c>
      <c r="G7222" s="2" t="s">
        <v>91</v>
      </c>
      <c r="I7222" s="95" t="s">
        <v>7231</v>
      </c>
      <c r="J7222" t="s">
        <v>61</v>
      </c>
      <c r="K7222" t="s">
        <v>62</v>
      </c>
      <c r="M7222">
        <v>135.63999999999999</v>
      </c>
      <c r="N7222" s="4">
        <f t="shared" si="112"/>
        <v>-79.31583603656739</v>
      </c>
      <c r="O7222" t="s">
        <v>83</v>
      </c>
    </row>
    <row r="7223" spans="1:15" x14ac:dyDescent="0.25">
      <c r="A7223" s="22">
        <v>45884</v>
      </c>
      <c r="B7223" s="1">
        <v>816688813</v>
      </c>
      <c r="C7223" t="s">
        <v>5540</v>
      </c>
      <c r="D7223" s="44">
        <v>-10758.4</v>
      </c>
      <c r="E7223" t="s">
        <v>35</v>
      </c>
      <c r="F7223" s="2">
        <v>212901001</v>
      </c>
      <c r="G7223" s="2" t="s">
        <v>91</v>
      </c>
      <c r="I7223" s="95" t="s">
        <v>7231</v>
      </c>
      <c r="J7223" t="s">
        <v>61</v>
      </c>
      <c r="K7223" t="s">
        <v>62</v>
      </c>
      <c r="M7223">
        <v>135.63999999999999</v>
      </c>
      <c r="N7223" s="4">
        <f t="shared" si="112"/>
        <v>-79.31583603656739</v>
      </c>
      <c r="O7223" t="s">
        <v>83</v>
      </c>
    </row>
    <row r="7224" spans="1:15" x14ac:dyDescent="0.25">
      <c r="A7224" s="22">
        <v>45884</v>
      </c>
      <c r="B7224" s="1">
        <v>916688815</v>
      </c>
      <c r="C7224" t="s">
        <v>5541</v>
      </c>
      <c r="D7224" s="44">
        <v>-10758.4</v>
      </c>
      <c r="E7224" t="s">
        <v>35</v>
      </c>
      <c r="F7224" s="2">
        <v>212901001</v>
      </c>
      <c r="G7224" s="2" t="s">
        <v>91</v>
      </c>
      <c r="I7224" s="95" t="s">
        <v>7231</v>
      </c>
      <c r="J7224" t="s">
        <v>61</v>
      </c>
      <c r="K7224" t="s">
        <v>62</v>
      </c>
      <c r="M7224">
        <v>135.63999999999999</v>
      </c>
      <c r="N7224" s="4">
        <f t="shared" si="112"/>
        <v>-79.31583603656739</v>
      </c>
      <c r="O7224" t="s">
        <v>83</v>
      </c>
    </row>
    <row r="7225" spans="1:15" x14ac:dyDescent="0.25">
      <c r="A7225" s="22">
        <v>45884</v>
      </c>
      <c r="B7225" s="1">
        <v>916688819</v>
      </c>
      <c r="C7225" t="s">
        <v>5542</v>
      </c>
      <c r="D7225" s="44">
        <v>-6724</v>
      </c>
      <c r="E7225" t="s">
        <v>35</v>
      </c>
      <c r="F7225" s="2">
        <v>212901001</v>
      </c>
      <c r="G7225" s="2" t="s">
        <v>91</v>
      </c>
      <c r="I7225" s="95" t="s">
        <v>7231</v>
      </c>
      <c r="J7225" t="s">
        <v>61</v>
      </c>
      <c r="K7225" t="s">
        <v>62</v>
      </c>
      <c r="M7225">
        <v>135.63999999999999</v>
      </c>
      <c r="N7225" s="4">
        <f t="shared" si="112"/>
        <v>-49.572397522854622</v>
      </c>
      <c r="O7225" t="s">
        <v>83</v>
      </c>
    </row>
    <row r="7226" spans="1:15" x14ac:dyDescent="0.25">
      <c r="A7226" s="22">
        <v>45884</v>
      </c>
      <c r="B7226" s="1">
        <v>916688817</v>
      </c>
      <c r="C7226" t="s">
        <v>5543</v>
      </c>
      <c r="D7226" s="44">
        <v>-4572.32</v>
      </c>
      <c r="E7226" t="s">
        <v>35</v>
      </c>
      <c r="F7226" s="2">
        <v>212901001</v>
      </c>
      <c r="G7226" s="2" t="s">
        <v>91</v>
      </c>
      <c r="I7226" s="95" t="s">
        <v>7231</v>
      </c>
      <c r="J7226" t="s">
        <v>61</v>
      </c>
      <c r="K7226" t="s">
        <v>62</v>
      </c>
      <c r="M7226">
        <v>135.63999999999999</v>
      </c>
      <c r="N7226" s="4">
        <f t="shared" si="112"/>
        <v>-33.709230315541141</v>
      </c>
      <c r="O7226" t="s">
        <v>83</v>
      </c>
    </row>
    <row r="7227" spans="1:15" x14ac:dyDescent="0.25">
      <c r="A7227" s="22">
        <v>45884</v>
      </c>
      <c r="B7227" s="1">
        <v>916688818</v>
      </c>
      <c r="C7227" t="s">
        <v>5544</v>
      </c>
      <c r="D7227" s="44">
        <v>-6724</v>
      </c>
      <c r="E7227" t="s">
        <v>35</v>
      </c>
      <c r="F7227" s="2">
        <v>212901001</v>
      </c>
      <c r="G7227" s="2" t="s">
        <v>91</v>
      </c>
      <c r="I7227" s="95" t="s">
        <v>7231</v>
      </c>
      <c r="J7227" t="s">
        <v>61</v>
      </c>
      <c r="K7227" t="s">
        <v>62</v>
      </c>
      <c r="M7227">
        <v>135.63999999999999</v>
      </c>
      <c r="N7227" s="4">
        <f t="shared" si="112"/>
        <v>-49.572397522854622</v>
      </c>
      <c r="O7227" t="s">
        <v>83</v>
      </c>
    </row>
    <row r="7228" spans="1:15" x14ac:dyDescent="0.25">
      <c r="A7228" s="22">
        <v>45884</v>
      </c>
      <c r="B7228" s="1">
        <v>916688820</v>
      </c>
      <c r="C7228" t="s">
        <v>5545</v>
      </c>
      <c r="D7228" s="44">
        <v>-6724</v>
      </c>
      <c r="E7228" t="s">
        <v>35</v>
      </c>
      <c r="F7228" s="2">
        <v>212901001</v>
      </c>
      <c r="G7228" s="2" t="s">
        <v>91</v>
      </c>
      <c r="I7228" s="95" t="s">
        <v>7231</v>
      </c>
      <c r="J7228" t="s">
        <v>61</v>
      </c>
      <c r="K7228" t="s">
        <v>62</v>
      </c>
      <c r="M7228">
        <v>135.63999999999999</v>
      </c>
      <c r="N7228" s="4">
        <f t="shared" si="112"/>
        <v>-49.572397522854622</v>
      </c>
      <c r="O7228" t="s">
        <v>83</v>
      </c>
    </row>
    <row r="7229" spans="1:15" x14ac:dyDescent="0.25">
      <c r="A7229" s="22">
        <v>45884</v>
      </c>
      <c r="B7229" s="1">
        <v>916688821</v>
      </c>
      <c r="C7229" t="s">
        <v>5546</v>
      </c>
      <c r="D7229" s="44">
        <v>-6724</v>
      </c>
      <c r="E7229" t="s">
        <v>35</v>
      </c>
      <c r="F7229" s="2">
        <v>212901001</v>
      </c>
      <c r="G7229" s="2" t="s">
        <v>91</v>
      </c>
      <c r="I7229" s="95" t="s">
        <v>7231</v>
      </c>
      <c r="J7229" t="s">
        <v>61</v>
      </c>
      <c r="K7229" t="s">
        <v>62</v>
      </c>
      <c r="M7229">
        <v>135.63999999999999</v>
      </c>
      <c r="N7229" s="4">
        <f t="shared" si="112"/>
        <v>-49.572397522854622</v>
      </c>
      <c r="O7229" t="s">
        <v>83</v>
      </c>
    </row>
    <row r="7230" spans="1:15" x14ac:dyDescent="0.25">
      <c r="A7230" s="22">
        <v>45884</v>
      </c>
      <c r="B7230" s="1">
        <v>916688822</v>
      </c>
      <c r="C7230" t="s">
        <v>5547</v>
      </c>
      <c r="D7230" s="44">
        <v>-6724</v>
      </c>
      <c r="E7230" t="s">
        <v>35</v>
      </c>
      <c r="F7230" s="2">
        <v>212901001</v>
      </c>
      <c r="G7230" s="2" t="s">
        <v>91</v>
      </c>
      <c r="I7230" s="95" t="s">
        <v>7231</v>
      </c>
      <c r="J7230" t="s">
        <v>61</v>
      </c>
      <c r="K7230" t="s">
        <v>62</v>
      </c>
      <c r="M7230">
        <v>135.63999999999999</v>
      </c>
      <c r="N7230" s="4">
        <f t="shared" si="112"/>
        <v>-49.572397522854622</v>
      </c>
      <c r="O7230" t="s">
        <v>83</v>
      </c>
    </row>
    <row r="7231" spans="1:15" x14ac:dyDescent="0.25">
      <c r="A7231" s="22">
        <v>45884</v>
      </c>
      <c r="B7231" s="1">
        <v>16688823</v>
      </c>
      <c r="C7231" t="s">
        <v>5548</v>
      </c>
      <c r="D7231" s="44">
        <v>-5379.2</v>
      </c>
      <c r="E7231" t="s">
        <v>35</v>
      </c>
      <c r="F7231" s="2">
        <v>212901001</v>
      </c>
      <c r="G7231" s="2" t="s">
        <v>91</v>
      </c>
      <c r="I7231" s="95" t="s">
        <v>7231</v>
      </c>
      <c r="J7231" t="s">
        <v>61</v>
      </c>
      <c r="K7231" t="s">
        <v>62</v>
      </c>
      <c r="M7231">
        <v>135.63999999999999</v>
      </c>
      <c r="N7231" s="4">
        <f t="shared" si="112"/>
        <v>-39.657918018283695</v>
      </c>
      <c r="O7231" t="s">
        <v>83</v>
      </c>
    </row>
    <row r="7232" spans="1:15" x14ac:dyDescent="0.25">
      <c r="A7232" s="22">
        <v>45884</v>
      </c>
      <c r="B7232" s="1">
        <v>16688826</v>
      </c>
      <c r="C7232" t="s">
        <v>5549</v>
      </c>
      <c r="D7232" s="44">
        <v>-5379.2</v>
      </c>
      <c r="E7232" t="s">
        <v>35</v>
      </c>
      <c r="F7232" s="2">
        <v>212901001</v>
      </c>
      <c r="G7232" s="2" t="s">
        <v>91</v>
      </c>
      <c r="I7232" s="95" t="s">
        <v>7231</v>
      </c>
      <c r="J7232" t="s">
        <v>61</v>
      </c>
      <c r="K7232" t="s">
        <v>62</v>
      </c>
      <c r="M7232">
        <v>135.63999999999999</v>
      </c>
      <c r="N7232" s="4">
        <f t="shared" si="112"/>
        <v>-39.657918018283695</v>
      </c>
      <c r="O7232" t="s">
        <v>83</v>
      </c>
    </row>
    <row r="7233" spans="1:15" x14ac:dyDescent="0.25">
      <c r="A7233" s="22">
        <v>45884</v>
      </c>
      <c r="B7233" s="1">
        <v>16688825</v>
      </c>
      <c r="C7233" t="s">
        <v>5550</v>
      </c>
      <c r="D7233" s="44">
        <v>-5379.2</v>
      </c>
      <c r="E7233" t="s">
        <v>35</v>
      </c>
      <c r="F7233" s="2">
        <v>212901001</v>
      </c>
      <c r="G7233" s="2" t="s">
        <v>91</v>
      </c>
      <c r="I7233" s="95" t="s">
        <v>7231</v>
      </c>
      <c r="J7233" t="s">
        <v>61</v>
      </c>
      <c r="K7233" t="s">
        <v>62</v>
      </c>
      <c r="M7233">
        <v>135.63999999999999</v>
      </c>
      <c r="N7233" s="4">
        <f t="shared" si="112"/>
        <v>-39.657918018283695</v>
      </c>
      <c r="O7233" t="s">
        <v>83</v>
      </c>
    </row>
    <row r="7234" spans="1:15" x14ac:dyDescent="0.25">
      <c r="A7234" s="22">
        <v>45884</v>
      </c>
      <c r="B7234" s="1">
        <v>16688824</v>
      </c>
      <c r="C7234" t="s">
        <v>5551</v>
      </c>
      <c r="D7234" s="44">
        <v>-5379.2</v>
      </c>
      <c r="E7234" t="s">
        <v>35</v>
      </c>
      <c r="F7234" s="2">
        <v>212901001</v>
      </c>
      <c r="G7234" s="2" t="s">
        <v>91</v>
      </c>
      <c r="I7234" s="95" t="s">
        <v>7231</v>
      </c>
      <c r="J7234" t="s">
        <v>61</v>
      </c>
      <c r="K7234" t="s">
        <v>62</v>
      </c>
      <c r="M7234">
        <v>135.63999999999999</v>
      </c>
      <c r="N7234" s="4">
        <f t="shared" si="112"/>
        <v>-39.657918018283695</v>
      </c>
      <c r="O7234" t="s">
        <v>83</v>
      </c>
    </row>
    <row r="7235" spans="1:15" x14ac:dyDescent="0.25">
      <c r="A7235" s="22">
        <v>45884</v>
      </c>
      <c r="B7235" s="1">
        <v>16688827</v>
      </c>
      <c r="C7235" t="s">
        <v>5552</v>
      </c>
      <c r="D7235" s="44">
        <v>-5379.2</v>
      </c>
      <c r="E7235" t="s">
        <v>35</v>
      </c>
      <c r="F7235" s="2">
        <v>212901001</v>
      </c>
      <c r="G7235" s="2" t="s">
        <v>91</v>
      </c>
      <c r="I7235" s="95" t="s">
        <v>7231</v>
      </c>
      <c r="J7235" t="s">
        <v>61</v>
      </c>
      <c r="K7235" t="s">
        <v>62</v>
      </c>
      <c r="M7235">
        <v>135.63999999999999</v>
      </c>
      <c r="N7235" s="4">
        <f t="shared" si="112"/>
        <v>-39.657918018283695</v>
      </c>
      <c r="O7235" t="s">
        <v>83</v>
      </c>
    </row>
    <row r="7236" spans="1:15" x14ac:dyDescent="0.25">
      <c r="A7236" s="22">
        <v>45884</v>
      </c>
      <c r="B7236" s="1">
        <v>16688832</v>
      </c>
      <c r="C7236" t="s">
        <v>5553</v>
      </c>
      <c r="D7236" s="44">
        <v>-20172</v>
      </c>
      <c r="E7236" t="s">
        <v>35</v>
      </c>
      <c r="F7236" s="2">
        <v>212901001</v>
      </c>
      <c r="G7236" s="2" t="s">
        <v>91</v>
      </c>
      <c r="I7236" s="95" t="s">
        <v>7231</v>
      </c>
      <c r="J7236" t="s">
        <v>61</v>
      </c>
      <c r="K7236" t="s">
        <v>62</v>
      </c>
      <c r="M7236">
        <v>135.63999999999999</v>
      </c>
      <c r="N7236" s="4">
        <f t="shared" si="112"/>
        <v>-148.71719256856386</v>
      </c>
      <c r="O7236" t="s">
        <v>83</v>
      </c>
    </row>
    <row r="7237" spans="1:15" x14ac:dyDescent="0.25">
      <c r="A7237" s="22">
        <v>45884</v>
      </c>
      <c r="B7237" s="1">
        <v>16688831</v>
      </c>
      <c r="C7237" t="s">
        <v>5554</v>
      </c>
      <c r="D7237" s="44">
        <v>-13448</v>
      </c>
      <c r="E7237" t="s">
        <v>35</v>
      </c>
      <c r="F7237" s="2">
        <v>212901001</v>
      </c>
      <c r="G7237" s="2" t="s">
        <v>91</v>
      </c>
      <c r="I7237" s="95" t="s">
        <v>7231</v>
      </c>
      <c r="J7237" t="s">
        <v>61</v>
      </c>
      <c r="K7237" t="s">
        <v>62</v>
      </c>
      <c r="M7237">
        <v>135.63999999999999</v>
      </c>
      <c r="N7237" s="4">
        <f t="shared" si="112"/>
        <v>-99.144795045709245</v>
      </c>
      <c r="O7237" t="s">
        <v>83</v>
      </c>
    </row>
    <row r="7238" spans="1:15" x14ac:dyDescent="0.25">
      <c r="A7238" s="22">
        <v>45884</v>
      </c>
      <c r="B7238" s="1">
        <v>16688830</v>
      </c>
      <c r="C7238" t="s">
        <v>5555</v>
      </c>
      <c r="D7238" s="44">
        <v>-13448</v>
      </c>
      <c r="E7238" t="s">
        <v>35</v>
      </c>
      <c r="F7238" s="2">
        <v>212901001</v>
      </c>
      <c r="G7238" s="2" t="s">
        <v>91</v>
      </c>
      <c r="I7238" s="95" t="s">
        <v>7231</v>
      </c>
      <c r="J7238" t="s">
        <v>61</v>
      </c>
      <c r="K7238" t="s">
        <v>62</v>
      </c>
      <c r="M7238">
        <v>135.63999999999999</v>
      </c>
      <c r="N7238" s="4">
        <f t="shared" si="112"/>
        <v>-99.144795045709245</v>
      </c>
      <c r="O7238" t="s">
        <v>83</v>
      </c>
    </row>
    <row r="7239" spans="1:15" x14ac:dyDescent="0.25">
      <c r="A7239" s="22">
        <v>45884</v>
      </c>
      <c r="B7239" s="1">
        <v>16688829</v>
      </c>
      <c r="C7239" t="s">
        <v>5556</v>
      </c>
      <c r="D7239" s="44">
        <v>-5379.2</v>
      </c>
      <c r="E7239" t="s">
        <v>35</v>
      </c>
      <c r="F7239" s="2">
        <v>212901001</v>
      </c>
      <c r="G7239" s="2" t="s">
        <v>91</v>
      </c>
      <c r="I7239" s="95" t="s">
        <v>7231</v>
      </c>
      <c r="J7239" t="s">
        <v>61</v>
      </c>
      <c r="K7239" t="s">
        <v>62</v>
      </c>
      <c r="M7239">
        <v>135.63999999999999</v>
      </c>
      <c r="N7239" s="4">
        <f t="shared" si="112"/>
        <v>-39.657918018283695</v>
      </c>
      <c r="O7239" t="s">
        <v>83</v>
      </c>
    </row>
    <row r="7240" spans="1:15" x14ac:dyDescent="0.25">
      <c r="A7240" s="22">
        <v>45884</v>
      </c>
      <c r="B7240" s="1">
        <v>116688833</v>
      </c>
      <c r="C7240" t="s">
        <v>5557</v>
      </c>
      <c r="D7240" s="44">
        <v>-14792.8</v>
      </c>
      <c r="E7240" t="s">
        <v>35</v>
      </c>
      <c r="F7240" s="2">
        <v>212901001</v>
      </c>
      <c r="G7240" s="2" t="s">
        <v>91</v>
      </c>
      <c r="I7240" s="95" t="s">
        <v>7231</v>
      </c>
      <c r="J7240" t="s">
        <v>61</v>
      </c>
      <c r="K7240" t="s">
        <v>62</v>
      </c>
      <c r="M7240">
        <v>135.63999999999999</v>
      </c>
      <c r="N7240" s="4">
        <f t="shared" si="112"/>
        <v>-109.05927455028016</v>
      </c>
      <c r="O7240" t="s">
        <v>83</v>
      </c>
    </row>
    <row r="7241" spans="1:15" x14ac:dyDescent="0.25">
      <c r="A7241" s="22">
        <v>45884</v>
      </c>
      <c r="B7241" s="1">
        <v>16688828</v>
      </c>
      <c r="C7241" t="s">
        <v>5558</v>
      </c>
      <c r="D7241" s="44">
        <v>-5379.2</v>
      </c>
      <c r="E7241" t="s">
        <v>35</v>
      </c>
      <c r="F7241" s="2">
        <v>212901001</v>
      </c>
      <c r="G7241" s="2" t="s">
        <v>91</v>
      </c>
      <c r="I7241" s="95" t="s">
        <v>7231</v>
      </c>
      <c r="J7241" t="s">
        <v>61</v>
      </c>
      <c r="K7241" t="s">
        <v>62</v>
      </c>
      <c r="M7241">
        <v>135.63999999999999</v>
      </c>
      <c r="N7241" s="4">
        <f t="shared" si="112"/>
        <v>-39.657918018283695</v>
      </c>
      <c r="O7241" t="s">
        <v>83</v>
      </c>
    </row>
    <row r="7242" spans="1:15" x14ac:dyDescent="0.25">
      <c r="A7242" s="22">
        <v>45884</v>
      </c>
      <c r="B7242" s="1">
        <v>116688835</v>
      </c>
      <c r="C7242" t="s">
        <v>5559</v>
      </c>
      <c r="D7242" s="44">
        <v>-13448</v>
      </c>
      <c r="E7242" t="s">
        <v>35</v>
      </c>
      <c r="F7242" s="2">
        <v>212901001</v>
      </c>
      <c r="G7242" s="2" t="s">
        <v>91</v>
      </c>
      <c r="I7242" s="95" t="s">
        <v>7231</v>
      </c>
      <c r="J7242" t="s">
        <v>61</v>
      </c>
      <c r="K7242" t="s">
        <v>62</v>
      </c>
      <c r="M7242">
        <v>135.63999999999999</v>
      </c>
      <c r="N7242" s="4">
        <f t="shared" si="112"/>
        <v>-99.144795045709245</v>
      </c>
      <c r="O7242" t="s">
        <v>83</v>
      </c>
    </row>
    <row r="7243" spans="1:15" x14ac:dyDescent="0.25">
      <c r="A7243" s="22">
        <v>45884</v>
      </c>
      <c r="B7243" s="1">
        <v>116688836</v>
      </c>
      <c r="C7243" t="s">
        <v>5560</v>
      </c>
      <c r="D7243" s="44">
        <v>-9413.6</v>
      </c>
      <c r="E7243" t="s">
        <v>35</v>
      </c>
      <c r="F7243" s="2">
        <v>212901001</v>
      </c>
      <c r="G7243" s="2" t="s">
        <v>91</v>
      </c>
      <c r="I7243" s="95" t="s">
        <v>7231</v>
      </c>
      <c r="J7243" t="s">
        <v>61</v>
      </c>
      <c r="K7243" t="s">
        <v>62</v>
      </c>
      <c r="M7243">
        <v>135.63999999999999</v>
      </c>
      <c r="N7243" s="4">
        <f t="shared" si="112"/>
        <v>-69.40135653199647</v>
      </c>
      <c r="O7243" t="s">
        <v>83</v>
      </c>
    </row>
    <row r="7244" spans="1:15" x14ac:dyDescent="0.25">
      <c r="A7244" s="22">
        <v>45884</v>
      </c>
      <c r="B7244" s="1">
        <v>116688837</v>
      </c>
      <c r="C7244" t="s">
        <v>5561</v>
      </c>
      <c r="D7244" s="44">
        <v>-9413.6</v>
      </c>
      <c r="E7244" t="s">
        <v>35</v>
      </c>
      <c r="F7244" s="2">
        <v>212901001</v>
      </c>
      <c r="G7244" s="2" t="s">
        <v>91</v>
      </c>
      <c r="I7244" s="95" t="s">
        <v>7231</v>
      </c>
      <c r="J7244" t="s">
        <v>61</v>
      </c>
      <c r="K7244" t="s">
        <v>62</v>
      </c>
      <c r="M7244">
        <v>135.63999999999999</v>
      </c>
      <c r="N7244" s="4">
        <f t="shared" ref="N7244:N7307" si="113">D7244/M7244</f>
        <v>-69.40135653199647</v>
      </c>
      <c r="O7244" t="s">
        <v>83</v>
      </c>
    </row>
    <row r="7245" spans="1:15" x14ac:dyDescent="0.25">
      <c r="A7245" s="22">
        <v>45884</v>
      </c>
      <c r="B7245" s="1">
        <v>116688838</v>
      </c>
      <c r="C7245" t="s">
        <v>5562</v>
      </c>
      <c r="D7245" s="44">
        <v>-6724</v>
      </c>
      <c r="E7245" t="s">
        <v>35</v>
      </c>
      <c r="F7245" s="2">
        <v>212901001</v>
      </c>
      <c r="G7245" s="2" t="s">
        <v>91</v>
      </c>
      <c r="I7245" s="95" t="s">
        <v>7231</v>
      </c>
      <c r="J7245" t="s">
        <v>61</v>
      </c>
      <c r="K7245" t="s">
        <v>62</v>
      </c>
      <c r="M7245">
        <v>135.63999999999999</v>
      </c>
      <c r="N7245" s="4">
        <f t="shared" si="113"/>
        <v>-49.572397522854622</v>
      </c>
      <c r="O7245" t="s">
        <v>83</v>
      </c>
    </row>
    <row r="7246" spans="1:15" x14ac:dyDescent="0.25">
      <c r="A7246" s="22">
        <v>45884</v>
      </c>
      <c r="B7246" s="1">
        <v>116688840</v>
      </c>
      <c r="C7246" t="s">
        <v>5563</v>
      </c>
      <c r="D7246" s="44">
        <v>-6724</v>
      </c>
      <c r="E7246" t="s">
        <v>35</v>
      </c>
      <c r="F7246" s="2">
        <v>212901001</v>
      </c>
      <c r="G7246" s="2" t="s">
        <v>91</v>
      </c>
      <c r="I7246" s="95" t="s">
        <v>7231</v>
      </c>
      <c r="J7246" t="s">
        <v>61</v>
      </c>
      <c r="K7246" t="s">
        <v>62</v>
      </c>
      <c r="M7246">
        <v>135.63999999999999</v>
      </c>
      <c r="N7246" s="4">
        <f t="shared" si="113"/>
        <v>-49.572397522854622</v>
      </c>
      <c r="O7246" t="s">
        <v>83</v>
      </c>
    </row>
    <row r="7247" spans="1:15" x14ac:dyDescent="0.25">
      <c r="A7247" s="22">
        <v>45884</v>
      </c>
      <c r="B7247" s="1">
        <v>116688841</v>
      </c>
      <c r="C7247" t="s">
        <v>5564</v>
      </c>
      <c r="D7247" s="44">
        <v>-6724</v>
      </c>
      <c r="E7247" t="s">
        <v>35</v>
      </c>
      <c r="F7247" s="2">
        <v>212901001</v>
      </c>
      <c r="G7247" s="2" t="s">
        <v>91</v>
      </c>
      <c r="I7247" s="95" t="s">
        <v>7231</v>
      </c>
      <c r="J7247" t="s">
        <v>61</v>
      </c>
      <c r="K7247" t="s">
        <v>62</v>
      </c>
      <c r="M7247">
        <v>135.63999999999999</v>
      </c>
      <c r="N7247" s="4">
        <f t="shared" si="113"/>
        <v>-49.572397522854622</v>
      </c>
      <c r="O7247" t="s">
        <v>83</v>
      </c>
    </row>
    <row r="7248" spans="1:15" x14ac:dyDescent="0.25">
      <c r="A7248" s="22">
        <v>45884</v>
      </c>
      <c r="B7248" s="1">
        <v>216688843</v>
      </c>
      <c r="C7248" t="s">
        <v>5565</v>
      </c>
      <c r="D7248" s="44">
        <v>-6724</v>
      </c>
      <c r="E7248" t="s">
        <v>35</v>
      </c>
      <c r="F7248" s="2">
        <v>212901001</v>
      </c>
      <c r="G7248" s="2" t="s">
        <v>91</v>
      </c>
      <c r="I7248" s="95" t="s">
        <v>7231</v>
      </c>
      <c r="J7248" t="s">
        <v>61</v>
      </c>
      <c r="K7248" t="s">
        <v>62</v>
      </c>
      <c r="M7248">
        <v>135.63999999999999</v>
      </c>
      <c r="N7248" s="4">
        <f t="shared" si="113"/>
        <v>-49.572397522854622</v>
      </c>
      <c r="O7248" t="s">
        <v>83</v>
      </c>
    </row>
    <row r="7249" spans="1:15" x14ac:dyDescent="0.25">
      <c r="A7249" s="22">
        <v>45884</v>
      </c>
      <c r="B7249" s="1">
        <v>116688839</v>
      </c>
      <c r="C7249" t="s">
        <v>5566</v>
      </c>
      <c r="D7249" s="44">
        <v>-9413.6</v>
      </c>
      <c r="E7249" t="s">
        <v>35</v>
      </c>
      <c r="F7249" s="2">
        <v>212901001</v>
      </c>
      <c r="G7249" s="2" t="s">
        <v>91</v>
      </c>
      <c r="I7249" s="95" t="s">
        <v>7231</v>
      </c>
      <c r="J7249" t="s">
        <v>61</v>
      </c>
      <c r="K7249" t="s">
        <v>62</v>
      </c>
      <c r="M7249">
        <v>135.63999999999999</v>
      </c>
      <c r="N7249" s="4">
        <f t="shared" si="113"/>
        <v>-69.40135653199647</v>
      </c>
      <c r="O7249" t="s">
        <v>83</v>
      </c>
    </row>
    <row r="7250" spans="1:15" x14ac:dyDescent="0.25">
      <c r="A7250" s="22">
        <v>45884</v>
      </c>
      <c r="B7250" s="1">
        <v>216688845</v>
      </c>
      <c r="C7250" t="s">
        <v>5567</v>
      </c>
      <c r="D7250" s="44">
        <v>-6724</v>
      </c>
      <c r="E7250" t="s">
        <v>35</v>
      </c>
      <c r="F7250" s="2">
        <v>212901001</v>
      </c>
      <c r="G7250" s="2" t="s">
        <v>91</v>
      </c>
      <c r="I7250" s="95" t="s">
        <v>7231</v>
      </c>
      <c r="J7250" t="s">
        <v>61</v>
      </c>
      <c r="K7250" t="s">
        <v>62</v>
      </c>
      <c r="M7250">
        <v>135.63999999999999</v>
      </c>
      <c r="N7250" s="4">
        <f t="shared" si="113"/>
        <v>-49.572397522854622</v>
      </c>
      <c r="O7250" t="s">
        <v>83</v>
      </c>
    </row>
    <row r="7251" spans="1:15" x14ac:dyDescent="0.25">
      <c r="A7251" s="22">
        <v>45884</v>
      </c>
      <c r="B7251" s="1">
        <v>216688842</v>
      </c>
      <c r="C7251" t="s">
        <v>5566</v>
      </c>
      <c r="D7251" s="44">
        <v>-6724</v>
      </c>
      <c r="E7251" t="s">
        <v>35</v>
      </c>
      <c r="F7251" s="2">
        <v>212901001</v>
      </c>
      <c r="G7251" s="2" t="s">
        <v>91</v>
      </c>
      <c r="I7251" s="95" t="s">
        <v>7231</v>
      </c>
      <c r="J7251" t="s">
        <v>61</v>
      </c>
      <c r="K7251" t="s">
        <v>62</v>
      </c>
      <c r="M7251">
        <v>135.63999999999999</v>
      </c>
      <c r="N7251" s="4">
        <f t="shared" si="113"/>
        <v>-49.572397522854622</v>
      </c>
      <c r="O7251" t="s">
        <v>83</v>
      </c>
    </row>
    <row r="7252" spans="1:15" x14ac:dyDescent="0.25">
      <c r="A7252" s="22">
        <v>45884</v>
      </c>
      <c r="B7252" s="1">
        <v>216688844</v>
      </c>
      <c r="C7252" t="s">
        <v>5568</v>
      </c>
      <c r="D7252" s="44">
        <v>-6724</v>
      </c>
      <c r="E7252" t="s">
        <v>35</v>
      </c>
      <c r="F7252" s="2">
        <v>212901001</v>
      </c>
      <c r="G7252" s="2" t="s">
        <v>91</v>
      </c>
      <c r="I7252" s="95" t="s">
        <v>7231</v>
      </c>
      <c r="J7252" t="s">
        <v>61</v>
      </c>
      <c r="K7252" t="s">
        <v>62</v>
      </c>
      <c r="M7252">
        <v>135.63999999999999</v>
      </c>
      <c r="N7252" s="4">
        <f t="shared" si="113"/>
        <v>-49.572397522854622</v>
      </c>
      <c r="O7252" t="s">
        <v>83</v>
      </c>
    </row>
    <row r="7253" spans="1:15" x14ac:dyDescent="0.25">
      <c r="A7253" s="22">
        <v>45884</v>
      </c>
      <c r="B7253" s="1">
        <v>216688849</v>
      </c>
      <c r="C7253" t="s">
        <v>5569</v>
      </c>
      <c r="D7253" s="44">
        <v>-6724</v>
      </c>
      <c r="E7253" t="s">
        <v>35</v>
      </c>
      <c r="F7253" s="2">
        <v>212901001</v>
      </c>
      <c r="G7253" s="2" t="s">
        <v>91</v>
      </c>
      <c r="I7253" s="95" t="s">
        <v>7231</v>
      </c>
      <c r="J7253" t="s">
        <v>61</v>
      </c>
      <c r="K7253" t="s">
        <v>62</v>
      </c>
      <c r="M7253">
        <v>135.63999999999999</v>
      </c>
      <c r="N7253" s="4">
        <f t="shared" si="113"/>
        <v>-49.572397522854622</v>
      </c>
      <c r="O7253" t="s">
        <v>83</v>
      </c>
    </row>
    <row r="7254" spans="1:15" x14ac:dyDescent="0.25">
      <c r="A7254" s="22">
        <v>45884</v>
      </c>
      <c r="B7254" s="1">
        <v>216688851</v>
      </c>
      <c r="C7254" t="s">
        <v>5570</v>
      </c>
      <c r="D7254" s="44">
        <v>-6724</v>
      </c>
      <c r="E7254" t="s">
        <v>35</v>
      </c>
      <c r="F7254" s="2">
        <v>212901001</v>
      </c>
      <c r="G7254" s="2" t="s">
        <v>91</v>
      </c>
      <c r="I7254" s="95" t="s">
        <v>7231</v>
      </c>
      <c r="J7254" t="s">
        <v>61</v>
      </c>
      <c r="K7254" t="s">
        <v>62</v>
      </c>
      <c r="M7254">
        <v>135.63999999999999</v>
      </c>
      <c r="N7254" s="4">
        <f t="shared" si="113"/>
        <v>-49.572397522854622</v>
      </c>
      <c r="O7254" t="s">
        <v>83</v>
      </c>
    </row>
    <row r="7255" spans="1:15" x14ac:dyDescent="0.25">
      <c r="A7255" s="22">
        <v>45884</v>
      </c>
      <c r="B7255" s="1">
        <v>216688847</v>
      </c>
      <c r="C7255" t="s">
        <v>5571</v>
      </c>
      <c r="D7255" s="44">
        <v>-6724</v>
      </c>
      <c r="E7255" t="s">
        <v>35</v>
      </c>
      <c r="F7255" s="2">
        <v>212901001</v>
      </c>
      <c r="G7255" s="2" t="s">
        <v>91</v>
      </c>
      <c r="I7255" s="95" t="s">
        <v>7231</v>
      </c>
      <c r="J7255" t="s">
        <v>61</v>
      </c>
      <c r="K7255" t="s">
        <v>62</v>
      </c>
      <c r="M7255">
        <v>135.63999999999999</v>
      </c>
      <c r="N7255" s="4">
        <f t="shared" si="113"/>
        <v>-49.572397522854622</v>
      </c>
      <c r="O7255" t="s">
        <v>83</v>
      </c>
    </row>
    <row r="7256" spans="1:15" x14ac:dyDescent="0.25">
      <c r="A7256" s="22">
        <v>45884</v>
      </c>
      <c r="B7256" s="1">
        <v>216688852</v>
      </c>
      <c r="C7256" t="s">
        <v>5572</v>
      </c>
      <c r="D7256" s="44">
        <v>-6724</v>
      </c>
      <c r="E7256" t="s">
        <v>35</v>
      </c>
      <c r="F7256" s="2">
        <v>212901001</v>
      </c>
      <c r="G7256" s="2" t="s">
        <v>91</v>
      </c>
      <c r="I7256" s="95" t="s">
        <v>7231</v>
      </c>
      <c r="J7256" t="s">
        <v>61</v>
      </c>
      <c r="K7256" t="s">
        <v>62</v>
      </c>
      <c r="M7256">
        <v>135.63999999999999</v>
      </c>
      <c r="N7256" s="4">
        <f t="shared" si="113"/>
        <v>-49.572397522854622</v>
      </c>
      <c r="O7256" t="s">
        <v>83</v>
      </c>
    </row>
    <row r="7257" spans="1:15" x14ac:dyDescent="0.25">
      <c r="A7257" s="22">
        <v>45884</v>
      </c>
      <c r="B7257" s="1">
        <v>316688857</v>
      </c>
      <c r="C7257" t="s">
        <v>5573</v>
      </c>
      <c r="D7257" s="44">
        <v>-6724</v>
      </c>
      <c r="E7257" t="s">
        <v>35</v>
      </c>
      <c r="F7257" s="2">
        <v>212901001</v>
      </c>
      <c r="G7257" s="2" t="s">
        <v>91</v>
      </c>
      <c r="I7257" s="95" t="s">
        <v>7231</v>
      </c>
      <c r="J7257" t="s">
        <v>61</v>
      </c>
      <c r="K7257" t="s">
        <v>62</v>
      </c>
      <c r="M7257">
        <v>135.63999999999999</v>
      </c>
      <c r="N7257" s="4">
        <f t="shared" si="113"/>
        <v>-49.572397522854622</v>
      </c>
      <c r="O7257" t="s">
        <v>83</v>
      </c>
    </row>
    <row r="7258" spans="1:15" x14ac:dyDescent="0.25">
      <c r="A7258" s="22">
        <v>45884</v>
      </c>
      <c r="B7258" s="1">
        <v>316688859</v>
      </c>
      <c r="C7258" t="s">
        <v>5574</v>
      </c>
      <c r="D7258" s="44">
        <v>-6724</v>
      </c>
      <c r="E7258" t="s">
        <v>35</v>
      </c>
      <c r="F7258" s="2">
        <v>212901001</v>
      </c>
      <c r="G7258" s="2" t="s">
        <v>91</v>
      </c>
      <c r="I7258" s="95" t="s">
        <v>7231</v>
      </c>
      <c r="J7258" t="s">
        <v>61</v>
      </c>
      <c r="K7258" t="s">
        <v>62</v>
      </c>
      <c r="M7258">
        <v>135.63999999999999</v>
      </c>
      <c r="N7258" s="4">
        <f t="shared" si="113"/>
        <v>-49.572397522854622</v>
      </c>
      <c r="O7258" t="s">
        <v>83</v>
      </c>
    </row>
    <row r="7259" spans="1:15" x14ac:dyDescent="0.25">
      <c r="A7259" s="22">
        <v>45884</v>
      </c>
      <c r="B7259" s="1">
        <v>316688855</v>
      </c>
      <c r="C7259" t="s">
        <v>5575</v>
      </c>
      <c r="D7259" s="44">
        <v>-6724</v>
      </c>
      <c r="E7259" t="s">
        <v>35</v>
      </c>
      <c r="F7259" s="2">
        <v>212901001</v>
      </c>
      <c r="G7259" s="2" t="s">
        <v>91</v>
      </c>
      <c r="I7259" s="95" t="s">
        <v>7231</v>
      </c>
      <c r="J7259" t="s">
        <v>61</v>
      </c>
      <c r="K7259" t="s">
        <v>62</v>
      </c>
      <c r="M7259">
        <v>135.63999999999999</v>
      </c>
      <c r="N7259" s="4">
        <f t="shared" si="113"/>
        <v>-49.572397522854622</v>
      </c>
      <c r="O7259" t="s">
        <v>83</v>
      </c>
    </row>
    <row r="7260" spans="1:15" x14ac:dyDescent="0.25">
      <c r="A7260" s="22">
        <v>45884</v>
      </c>
      <c r="B7260" s="1">
        <v>316688864</v>
      </c>
      <c r="C7260" t="s">
        <v>5576</v>
      </c>
      <c r="D7260" s="44">
        <v>-2689.6</v>
      </c>
      <c r="E7260" t="s">
        <v>35</v>
      </c>
      <c r="F7260" s="2">
        <v>212901001</v>
      </c>
      <c r="G7260" s="2" t="s">
        <v>91</v>
      </c>
      <c r="I7260" s="95" t="s">
        <v>7231</v>
      </c>
      <c r="J7260" t="s">
        <v>61</v>
      </c>
      <c r="K7260" t="s">
        <v>62</v>
      </c>
      <c r="M7260">
        <v>135.63999999999999</v>
      </c>
      <c r="N7260" s="4">
        <f t="shared" si="113"/>
        <v>-19.828959009141848</v>
      </c>
      <c r="O7260" t="s">
        <v>83</v>
      </c>
    </row>
    <row r="7261" spans="1:15" x14ac:dyDescent="0.25">
      <c r="A7261" s="22">
        <v>45884</v>
      </c>
      <c r="B7261" s="1">
        <v>116688834</v>
      </c>
      <c r="C7261" t="s">
        <v>5577</v>
      </c>
      <c r="D7261" s="44">
        <v>-10758.4</v>
      </c>
      <c r="E7261" t="s">
        <v>35</v>
      </c>
      <c r="F7261" s="2">
        <v>212901001</v>
      </c>
      <c r="G7261" s="2" t="s">
        <v>91</v>
      </c>
      <c r="I7261" s="95" t="s">
        <v>7231</v>
      </c>
      <c r="J7261" t="s">
        <v>61</v>
      </c>
      <c r="K7261" t="s">
        <v>62</v>
      </c>
      <c r="M7261">
        <v>135.63999999999999</v>
      </c>
      <c r="N7261" s="4">
        <f t="shared" si="113"/>
        <v>-79.31583603656739</v>
      </c>
      <c r="O7261" t="s">
        <v>83</v>
      </c>
    </row>
    <row r="7262" spans="1:15" x14ac:dyDescent="0.25">
      <c r="A7262" s="22">
        <v>45884</v>
      </c>
      <c r="B7262" s="1">
        <v>316688865</v>
      </c>
      <c r="C7262" t="s">
        <v>5578</v>
      </c>
      <c r="D7262" s="44">
        <v>-2689.6</v>
      </c>
      <c r="E7262" t="s">
        <v>35</v>
      </c>
      <c r="F7262" s="2">
        <v>212901001</v>
      </c>
      <c r="G7262" s="2" t="s">
        <v>91</v>
      </c>
      <c r="I7262" s="95" t="s">
        <v>7231</v>
      </c>
      <c r="J7262" t="s">
        <v>61</v>
      </c>
      <c r="K7262" t="s">
        <v>62</v>
      </c>
      <c r="M7262">
        <v>135.63999999999999</v>
      </c>
      <c r="N7262" s="4">
        <f t="shared" si="113"/>
        <v>-19.828959009141848</v>
      </c>
      <c r="O7262" t="s">
        <v>83</v>
      </c>
    </row>
    <row r="7263" spans="1:15" x14ac:dyDescent="0.25">
      <c r="A7263" s="22">
        <v>45884</v>
      </c>
      <c r="B7263" s="1">
        <v>316688863</v>
      </c>
      <c r="C7263" t="s">
        <v>5579</v>
      </c>
      <c r="D7263" s="44">
        <v>-2689.6</v>
      </c>
      <c r="E7263" t="s">
        <v>35</v>
      </c>
      <c r="F7263" s="2">
        <v>212901001</v>
      </c>
      <c r="G7263" s="2" t="s">
        <v>91</v>
      </c>
      <c r="I7263" s="95" t="s">
        <v>7231</v>
      </c>
      <c r="J7263" t="s">
        <v>61</v>
      </c>
      <c r="K7263" t="s">
        <v>62</v>
      </c>
      <c r="M7263">
        <v>135.63999999999999</v>
      </c>
      <c r="N7263" s="4">
        <f t="shared" si="113"/>
        <v>-19.828959009141848</v>
      </c>
      <c r="O7263" t="s">
        <v>83</v>
      </c>
    </row>
    <row r="7264" spans="1:15" x14ac:dyDescent="0.25">
      <c r="A7264" s="22">
        <v>45884</v>
      </c>
      <c r="B7264" s="1">
        <v>316688867</v>
      </c>
      <c r="C7264" t="s">
        <v>5580</v>
      </c>
      <c r="D7264" s="44">
        <v>-13448</v>
      </c>
      <c r="E7264" t="s">
        <v>35</v>
      </c>
      <c r="F7264" s="2">
        <v>212901001</v>
      </c>
      <c r="G7264" s="2" t="s">
        <v>91</v>
      </c>
      <c r="I7264" s="95" t="s">
        <v>7231</v>
      </c>
      <c r="J7264" t="s">
        <v>61</v>
      </c>
      <c r="K7264" t="s">
        <v>62</v>
      </c>
      <c r="M7264">
        <v>135.63999999999999</v>
      </c>
      <c r="N7264" s="4">
        <f t="shared" si="113"/>
        <v>-99.144795045709245</v>
      </c>
      <c r="O7264" t="s">
        <v>83</v>
      </c>
    </row>
    <row r="7265" spans="1:17" x14ac:dyDescent="0.25">
      <c r="A7265" s="22">
        <v>45884</v>
      </c>
      <c r="B7265" s="1">
        <v>316688868</v>
      </c>
      <c r="C7265" t="s">
        <v>5581</v>
      </c>
      <c r="D7265" s="44">
        <v>-26896</v>
      </c>
      <c r="E7265" t="s">
        <v>35</v>
      </c>
      <c r="F7265" s="2">
        <v>212901001</v>
      </c>
      <c r="G7265" s="2" t="s">
        <v>91</v>
      </c>
      <c r="I7265" s="95" t="s">
        <v>7231</v>
      </c>
      <c r="J7265" t="s">
        <v>61</v>
      </c>
      <c r="K7265" t="s">
        <v>62</v>
      </c>
      <c r="M7265">
        <v>135.63999999999999</v>
      </c>
      <c r="N7265" s="4">
        <f t="shared" si="113"/>
        <v>-198.28959009141849</v>
      </c>
      <c r="O7265" t="s">
        <v>83</v>
      </c>
    </row>
    <row r="7266" spans="1:17" x14ac:dyDescent="0.25">
      <c r="A7266" s="22">
        <v>45884</v>
      </c>
      <c r="B7266" s="1">
        <v>416688870</v>
      </c>
      <c r="C7266" t="s">
        <v>5582</v>
      </c>
      <c r="D7266" s="44">
        <v>-17213.439999999999</v>
      </c>
      <c r="E7266" t="s">
        <v>35</v>
      </c>
      <c r="F7266" s="2">
        <v>212901001</v>
      </c>
      <c r="G7266" s="2" t="s">
        <v>91</v>
      </c>
      <c r="I7266" s="95" t="s">
        <v>7231</v>
      </c>
      <c r="J7266" t="s">
        <v>61</v>
      </c>
      <c r="K7266" t="s">
        <v>62</v>
      </c>
      <c r="M7266">
        <v>135.63999999999999</v>
      </c>
      <c r="N7266" s="4">
        <f t="shared" si="113"/>
        <v>-126.90533765850782</v>
      </c>
      <c r="O7266" t="s">
        <v>83</v>
      </c>
    </row>
    <row r="7267" spans="1:17" x14ac:dyDescent="0.25">
      <c r="A7267" s="22">
        <v>45884</v>
      </c>
      <c r="B7267" s="1">
        <v>316688861</v>
      </c>
      <c r="C7267" t="s">
        <v>5583</v>
      </c>
      <c r="D7267" s="44">
        <v>-2689.6</v>
      </c>
      <c r="E7267" t="s">
        <v>35</v>
      </c>
      <c r="F7267" s="2">
        <v>212901001</v>
      </c>
      <c r="G7267" s="2" t="s">
        <v>91</v>
      </c>
      <c r="I7267" s="95" t="s">
        <v>7231</v>
      </c>
      <c r="J7267" t="s">
        <v>61</v>
      </c>
      <c r="K7267" t="s">
        <v>62</v>
      </c>
      <c r="M7267">
        <v>135.63999999999999</v>
      </c>
      <c r="N7267" s="4">
        <f t="shared" si="113"/>
        <v>-19.828959009141848</v>
      </c>
      <c r="O7267" t="s">
        <v>83</v>
      </c>
    </row>
    <row r="7268" spans="1:17" x14ac:dyDescent="0.25">
      <c r="A7268" s="22">
        <v>45884</v>
      </c>
      <c r="B7268" s="1">
        <v>416688871</v>
      </c>
      <c r="C7268" t="s">
        <v>5584</v>
      </c>
      <c r="D7268" s="44">
        <v>-4034.4</v>
      </c>
      <c r="E7268" t="s">
        <v>35</v>
      </c>
      <c r="F7268" s="2">
        <v>212901001</v>
      </c>
      <c r="G7268" s="2" t="s">
        <v>91</v>
      </c>
      <c r="I7268" s="95" t="s">
        <v>7231</v>
      </c>
      <c r="J7268" t="s">
        <v>61</v>
      </c>
      <c r="K7268" t="s">
        <v>62</v>
      </c>
      <c r="M7268">
        <v>135.63999999999999</v>
      </c>
      <c r="N7268" s="4">
        <f t="shared" si="113"/>
        <v>-29.743438513712771</v>
      </c>
      <c r="O7268" t="s">
        <v>83</v>
      </c>
    </row>
    <row r="7269" spans="1:17" x14ac:dyDescent="0.25">
      <c r="A7269" s="22">
        <v>45884</v>
      </c>
      <c r="B7269" s="1">
        <v>416688872</v>
      </c>
      <c r="C7269" t="s">
        <v>5585</v>
      </c>
      <c r="D7269" s="44">
        <v>-5379.2</v>
      </c>
      <c r="E7269" t="s">
        <v>35</v>
      </c>
      <c r="F7269" s="2">
        <v>212901001</v>
      </c>
      <c r="G7269" s="2" t="s">
        <v>91</v>
      </c>
      <c r="I7269" s="95" t="s">
        <v>7231</v>
      </c>
      <c r="J7269" t="s">
        <v>61</v>
      </c>
      <c r="K7269" t="s">
        <v>62</v>
      </c>
      <c r="M7269">
        <v>135.63999999999999</v>
      </c>
      <c r="N7269" s="4">
        <f t="shared" si="113"/>
        <v>-39.657918018283695</v>
      </c>
      <c r="O7269" t="s">
        <v>83</v>
      </c>
    </row>
    <row r="7270" spans="1:17" x14ac:dyDescent="0.25">
      <c r="A7270" s="22">
        <v>45884</v>
      </c>
      <c r="B7270" s="1">
        <v>50895351</v>
      </c>
      <c r="C7270" t="s">
        <v>5586</v>
      </c>
      <c r="D7270" s="44">
        <v>-18827.2</v>
      </c>
      <c r="E7270" t="s">
        <v>35</v>
      </c>
      <c r="F7270" s="2">
        <v>212901001</v>
      </c>
      <c r="G7270" s="2" t="s">
        <v>91</v>
      </c>
      <c r="I7270" s="95" t="s">
        <v>7231</v>
      </c>
      <c r="J7270" t="s">
        <v>61</v>
      </c>
      <c r="K7270" t="s">
        <v>62</v>
      </c>
      <c r="M7270">
        <v>135.63999999999999</v>
      </c>
      <c r="N7270" s="4">
        <f t="shared" si="113"/>
        <v>-138.80271306399294</v>
      </c>
      <c r="O7270" t="s">
        <v>83</v>
      </c>
    </row>
    <row r="7271" spans="1:17" x14ac:dyDescent="0.25">
      <c r="A7271" s="22">
        <v>45884</v>
      </c>
      <c r="B7271" s="1">
        <v>50895351</v>
      </c>
      <c r="C7271" t="s">
        <v>179</v>
      </c>
      <c r="D7271" s="44">
        <v>-28.24</v>
      </c>
      <c r="E7271" t="s">
        <v>35</v>
      </c>
      <c r="F7271" s="2">
        <v>610148001</v>
      </c>
      <c r="G7271" s="2" t="s">
        <v>41</v>
      </c>
      <c r="I7271" s="95" t="s">
        <v>7231</v>
      </c>
      <c r="J7271" t="s">
        <v>42</v>
      </c>
      <c r="K7271" t="s">
        <v>41</v>
      </c>
      <c r="M7271">
        <v>135.63999999999999</v>
      </c>
      <c r="N7271" s="4">
        <f t="shared" si="113"/>
        <v>-0.20819817163078738</v>
      </c>
      <c r="O7271" t="s">
        <v>83</v>
      </c>
      <c r="Q7271" s="24" t="s">
        <v>5251</v>
      </c>
    </row>
    <row r="7272" spans="1:17" x14ac:dyDescent="0.25">
      <c r="A7272" s="22">
        <v>45884</v>
      </c>
      <c r="B7272" s="1">
        <v>50895351</v>
      </c>
      <c r="C7272" t="s">
        <v>89</v>
      </c>
      <c r="D7272" s="44">
        <v>-1459.78</v>
      </c>
      <c r="E7272" t="s">
        <v>35</v>
      </c>
      <c r="F7272" s="2">
        <v>610148001</v>
      </c>
      <c r="G7272" s="2" t="s">
        <v>41</v>
      </c>
      <c r="I7272" s="95" t="s">
        <v>7231</v>
      </c>
      <c r="J7272" t="s">
        <v>42</v>
      </c>
      <c r="K7272" t="s">
        <v>41</v>
      </c>
      <c r="M7272">
        <v>135.63999999999999</v>
      </c>
      <c r="N7272" s="4">
        <f t="shared" si="113"/>
        <v>-10.762164553229137</v>
      </c>
      <c r="O7272" t="s">
        <v>83</v>
      </c>
      <c r="Q7272" s="24" t="s">
        <v>5251</v>
      </c>
    </row>
    <row r="7273" spans="1:17" x14ac:dyDescent="0.25">
      <c r="A7273" s="22">
        <v>45884</v>
      </c>
      <c r="B7273" s="1">
        <v>50895351</v>
      </c>
      <c r="C7273" t="s">
        <v>792</v>
      </c>
      <c r="D7273" s="44">
        <v>-0.13</v>
      </c>
      <c r="E7273" t="s">
        <v>35</v>
      </c>
      <c r="F7273" s="2">
        <v>610148001</v>
      </c>
      <c r="G7273" s="2" t="s">
        <v>41</v>
      </c>
      <c r="I7273" s="95" t="s">
        <v>7231</v>
      </c>
      <c r="J7273" t="s">
        <v>42</v>
      </c>
      <c r="K7273" t="s">
        <v>41</v>
      </c>
      <c r="M7273">
        <v>135.63999999999999</v>
      </c>
      <c r="N7273" s="4">
        <f t="shared" si="113"/>
        <v>-9.584193453258627E-4</v>
      </c>
      <c r="O7273" t="s">
        <v>83</v>
      </c>
      <c r="Q7273" s="24" t="s">
        <v>5251</v>
      </c>
    </row>
    <row r="7274" spans="1:17" x14ac:dyDescent="0.25">
      <c r="A7274" s="22">
        <v>45888</v>
      </c>
      <c r="B7274" s="1">
        <v>116845975</v>
      </c>
      <c r="C7274" t="s">
        <v>5587</v>
      </c>
      <c r="D7274" s="44">
        <v>-8068.8</v>
      </c>
      <c r="E7274" t="s">
        <v>35</v>
      </c>
      <c r="F7274" s="2">
        <v>212901001</v>
      </c>
      <c r="G7274" s="2" t="s">
        <v>91</v>
      </c>
      <c r="I7274" s="95" t="s">
        <v>7231</v>
      </c>
      <c r="J7274" t="s">
        <v>61</v>
      </c>
      <c r="K7274" t="s">
        <v>62</v>
      </c>
      <c r="M7274">
        <v>136.88999999999999</v>
      </c>
      <c r="N7274" s="4">
        <f t="shared" si="113"/>
        <v>-58.943677405215873</v>
      </c>
      <c r="O7274" t="s">
        <v>83</v>
      </c>
    </row>
    <row r="7275" spans="1:17" x14ac:dyDescent="0.25">
      <c r="A7275" s="22">
        <v>45888</v>
      </c>
      <c r="B7275" s="1">
        <v>116845975</v>
      </c>
      <c r="C7275" t="s">
        <v>185</v>
      </c>
      <c r="D7275" s="44">
        <v>-24.21</v>
      </c>
      <c r="E7275" t="s">
        <v>35</v>
      </c>
      <c r="F7275" s="2">
        <v>610148001</v>
      </c>
      <c r="G7275" s="2" t="s">
        <v>41</v>
      </c>
      <c r="I7275" s="95" t="s">
        <v>7231</v>
      </c>
      <c r="J7275" t="s">
        <v>42</v>
      </c>
      <c r="K7275" t="s">
        <v>41</v>
      </c>
      <c r="M7275">
        <v>136.88999999999999</v>
      </c>
      <c r="N7275" s="4">
        <f t="shared" si="113"/>
        <v>-0.17685733070348458</v>
      </c>
      <c r="O7275" t="s">
        <v>83</v>
      </c>
      <c r="Q7275" s="24" t="s">
        <v>5251</v>
      </c>
    </row>
    <row r="7276" spans="1:17" x14ac:dyDescent="0.25">
      <c r="A7276" s="33">
        <v>45888</v>
      </c>
      <c r="B7276" s="27">
        <v>115521032</v>
      </c>
      <c r="C7276" s="28" t="s">
        <v>5588</v>
      </c>
      <c r="D7276" s="47">
        <v>-8252.44</v>
      </c>
      <c r="E7276" s="28" t="s">
        <v>35</v>
      </c>
      <c r="F7276" s="30">
        <v>610122003</v>
      </c>
      <c r="G7276" s="30" t="s">
        <v>2738</v>
      </c>
      <c r="H7276" s="30"/>
      <c r="I7276" s="95" t="s">
        <v>7231</v>
      </c>
      <c r="J7276" s="28" t="s">
        <v>5277</v>
      </c>
      <c r="K7276" s="28" t="s">
        <v>2740</v>
      </c>
      <c r="L7276" s="28" t="s">
        <v>56</v>
      </c>
      <c r="M7276" s="28">
        <v>136.88999999999999</v>
      </c>
      <c r="N7276" s="4">
        <f t="shared" si="113"/>
        <v>-60.285192490320703</v>
      </c>
      <c r="O7276" t="s">
        <v>83</v>
      </c>
      <c r="Q7276" s="24" t="s">
        <v>5589</v>
      </c>
    </row>
    <row r="7277" spans="1:17" x14ac:dyDescent="0.25">
      <c r="A7277" s="22">
        <v>45888</v>
      </c>
      <c r="B7277" s="1">
        <v>485265383</v>
      </c>
      <c r="C7277" t="s">
        <v>5590</v>
      </c>
      <c r="D7277" s="44">
        <v>450000</v>
      </c>
      <c r="E7277" t="s">
        <v>45</v>
      </c>
      <c r="F7277" s="2">
        <v>210115002</v>
      </c>
      <c r="G7277" s="2" t="s">
        <v>46</v>
      </c>
      <c r="I7277" s="95" t="s">
        <v>7231</v>
      </c>
      <c r="K7277" t="s">
        <v>5590</v>
      </c>
      <c r="M7277">
        <v>136.88999999999999</v>
      </c>
      <c r="N7277" s="4">
        <f t="shared" si="113"/>
        <v>3287.3109796186723</v>
      </c>
      <c r="O7277" t="s">
        <v>83</v>
      </c>
    </row>
    <row r="7278" spans="1:17" x14ac:dyDescent="0.25">
      <c r="A7278" s="22">
        <v>45888</v>
      </c>
      <c r="B7278" s="1">
        <v>16858541</v>
      </c>
      <c r="C7278" t="s">
        <v>5591</v>
      </c>
      <c r="D7278" s="44">
        <v>-187205.39</v>
      </c>
      <c r="E7278" t="s">
        <v>35</v>
      </c>
      <c r="F7278" s="2">
        <v>210101001</v>
      </c>
      <c r="G7278" s="2" t="s">
        <v>36</v>
      </c>
      <c r="I7278" s="95" t="s">
        <v>7231</v>
      </c>
      <c r="J7278" t="s">
        <v>182</v>
      </c>
      <c r="K7278" t="s">
        <v>183</v>
      </c>
      <c r="M7278">
        <v>136.88999999999999</v>
      </c>
      <c r="N7278" s="4">
        <f t="shared" si="113"/>
        <v>-1367.5607422017681</v>
      </c>
      <c r="O7278" t="s">
        <v>83</v>
      </c>
    </row>
    <row r="7279" spans="1:17" x14ac:dyDescent="0.25">
      <c r="A7279" s="22">
        <v>45888</v>
      </c>
      <c r="B7279" s="1">
        <v>116858545</v>
      </c>
      <c r="C7279" t="s">
        <v>5592</v>
      </c>
      <c r="D7279" s="44">
        <v>-228000.92</v>
      </c>
      <c r="E7279" t="s">
        <v>35</v>
      </c>
      <c r="F7279" s="2">
        <v>210101001</v>
      </c>
      <c r="G7279" s="2" t="s">
        <v>36</v>
      </c>
      <c r="I7279" s="95" t="s">
        <v>7231</v>
      </c>
      <c r="J7279" t="s">
        <v>37</v>
      </c>
      <c r="K7279" t="s">
        <v>38</v>
      </c>
      <c r="M7279">
        <v>136.88999999999999</v>
      </c>
      <c r="N7279" s="4">
        <f t="shared" si="113"/>
        <v>-1665.5776170647969</v>
      </c>
      <c r="O7279" t="s">
        <v>83</v>
      </c>
    </row>
    <row r="7280" spans="1:17" x14ac:dyDescent="0.25">
      <c r="A7280" s="22">
        <v>45888</v>
      </c>
      <c r="B7280" s="1">
        <v>16858542</v>
      </c>
      <c r="C7280" t="s">
        <v>5593</v>
      </c>
      <c r="D7280" s="44">
        <v>-6000</v>
      </c>
      <c r="E7280" t="s">
        <v>35</v>
      </c>
      <c r="F7280" s="2">
        <v>210101001</v>
      </c>
      <c r="G7280" s="2" t="s">
        <v>36</v>
      </c>
      <c r="I7280" s="95" t="s">
        <v>7231</v>
      </c>
      <c r="J7280" t="s">
        <v>928</v>
      </c>
      <c r="K7280" t="s">
        <v>929</v>
      </c>
      <c r="M7280">
        <v>136.88999999999999</v>
      </c>
      <c r="N7280" s="4">
        <f t="shared" si="113"/>
        <v>-43.830813061582298</v>
      </c>
      <c r="O7280" t="s">
        <v>83</v>
      </c>
    </row>
    <row r="7281" spans="1:17" x14ac:dyDescent="0.25">
      <c r="A7281" s="22">
        <v>45888</v>
      </c>
      <c r="B7281" s="1">
        <v>116858546</v>
      </c>
      <c r="C7281" t="s">
        <v>5594</v>
      </c>
      <c r="D7281" s="44">
        <v>-15606.6</v>
      </c>
      <c r="E7281" t="s">
        <v>35</v>
      </c>
      <c r="F7281" s="2">
        <v>210101001</v>
      </c>
      <c r="G7281" s="2" t="s">
        <v>36</v>
      </c>
      <c r="I7281" s="95" t="s">
        <v>7231</v>
      </c>
      <c r="J7281" t="s">
        <v>376</v>
      </c>
      <c r="K7281" t="s">
        <v>377</v>
      </c>
      <c r="M7281">
        <v>136.88999999999999</v>
      </c>
      <c r="N7281" s="4">
        <f t="shared" si="113"/>
        <v>-114.00832785448172</v>
      </c>
      <c r="O7281" t="s">
        <v>83</v>
      </c>
    </row>
    <row r="7282" spans="1:17" x14ac:dyDescent="0.25">
      <c r="A7282" s="22">
        <v>45888</v>
      </c>
      <c r="B7282" s="1">
        <v>50884747</v>
      </c>
      <c r="C7282" t="s">
        <v>89</v>
      </c>
      <c r="D7282" s="44">
        <v>-1092.03</v>
      </c>
      <c r="E7282" t="s">
        <v>35</v>
      </c>
      <c r="F7282" s="2">
        <v>610148001</v>
      </c>
      <c r="G7282" s="2" t="s">
        <v>41</v>
      </c>
      <c r="I7282" s="95" t="s">
        <v>7231</v>
      </c>
      <c r="J7282" t="s">
        <v>42</v>
      </c>
      <c r="K7282" t="s">
        <v>41</v>
      </c>
      <c r="M7282">
        <v>136.88999999999999</v>
      </c>
      <c r="N7282" s="4">
        <f t="shared" si="113"/>
        <v>-7.9774271312732861</v>
      </c>
      <c r="O7282" t="s">
        <v>83</v>
      </c>
      <c r="Q7282" s="24" t="s">
        <v>5251</v>
      </c>
    </row>
    <row r="7283" spans="1:17" x14ac:dyDescent="0.25">
      <c r="A7283" s="22">
        <v>45888</v>
      </c>
      <c r="B7283" s="1">
        <v>890937069</v>
      </c>
      <c r="C7283" t="s">
        <v>5595</v>
      </c>
      <c r="D7283" s="44">
        <v>50000</v>
      </c>
      <c r="E7283" t="s">
        <v>45</v>
      </c>
      <c r="F7283" s="2">
        <v>210115002</v>
      </c>
      <c r="G7283" s="2" t="s">
        <v>46</v>
      </c>
      <c r="I7283" s="95" t="s">
        <v>7231</v>
      </c>
      <c r="K7283" t="s">
        <v>5595</v>
      </c>
      <c r="M7283">
        <v>136.88999999999999</v>
      </c>
      <c r="N7283" s="4">
        <f t="shared" si="113"/>
        <v>365.2567755131858</v>
      </c>
      <c r="O7283" t="s">
        <v>83</v>
      </c>
    </row>
    <row r="7284" spans="1:17" x14ac:dyDescent="0.25">
      <c r="A7284" s="22">
        <v>45888</v>
      </c>
      <c r="B7284" s="1">
        <v>16863989</v>
      </c>
      <c r="C7284" t="s">
        <v>5596</v>
      </c>
      <c r="D7284" s="44">
        <v>-84736.28</v>
      </c>
      <c r="E7284" t="s">
        <v>35</v>
      </c>
      <c r="F7284" s="2">
        <v>210101001</v>
      </c>
      <c r="G7284" s="2" t="s">
        <v>36</v>
      </c>
      <c r="I7284" s="95" t="s">
        <v>7231</v>
      </c>
      <c r="J7284" t="s">
        <v>182</v>
      </c>
      <c r="K7284" t="s">
        <v>183</v>
      </c>
      <c r="M7284">
        <v>136.88999999999999</v>
      </c>
      <c r="N7284" s="4">
        <f t="shared" si="113"/>
        <v>-619.01000803564909</v>
      </c>
      <c r="O7284" t="s">
        <v>83</v>
      </c>
    </row>
    <row r="7285" spans="1:17" x14ac:dyDescent="0.25">
      <c r="A7285" s="22">
        <v>45888</v>
      </c>
      <c r="B7285" s="1">
        <v>16863989</v>
      </c>
      <c r="C7285" t="s">
        <v>185</v>
      </c>
      <c r="D7285" s="44">
        <v>-254.21</v>
      </c>
      <c r="E7285" t="s">
        <v>35</v>
      </c>
      <c r="F7285" s="2">
        <v>610148001</v>
      </c>
      <c r="G7285" s="2" t="s">
        <v>41</v>
      </c>
      <c r="I7285" s="95" t="s">
        <v>7231</v>
      </c>
      <c r="J7285" t="s">
        <v>42</v>
      </c>
      <c r="K7285" t="s">
        <v>41</v>
      </c>
      <c r="M7285">
        <v>136.88999999999999</v>
      </c>
      <c r="N7285" s="4">
        <f t="shared" si="113"/>
        <v>-1.8570384980641392</v>
      </c>
      <c r="O7285" t="s">
        <v>83</v>
      </c>
      <c r="Q7285" s="24" t="s">
        <v>5251</v>
      </c>
    </row>
    <row r="7286" spans="1:17" x14ac:dyDescent="0.25">
      <c r="A7286" s="22">
        <v>45889</v>
      </c>
      <c r="B7286" s="1">
        <v>978752181</v>
      </c>
      <c r="C7286" t="s">
        <v>5595</v>
      </c>
      <c r="D7286" s="44">
        <v>185000</v>
      </c>
      <c r="E7286" t="s">
        <v>45</v>
      </c>
      <c r="F7286" s="2">
        <v>210115002</v>
      </c>
      <c r="G7286" s="2" t="s">
        <v>46</v>
      </c>
      <c r="I7286" s="95" t="s">
        <v>7231</v>
      </c>
      <c r="K7286" t="s">
        <v>5595</v>
      </c>
      <c r="M7286">
        <v>138.13</v>
      </c>
      <c r="N7286" s="4">
        <f t="shared" si="113"/>
        <v>1339.3180337363353</v>
      </c>
      <c r="O7286" t="s">
        <v>83</v>
      </c>
    </row>
    <row r="7287" spans="1:17" x14ac:dyDescent="0.25">
      <c r="A7287" s="22">
        <v>45889</v>
      </c>
      <c r="B7287" s="1">
        <v>516977673</v>
      </c>
      <c r="C7287" t="s">
        <v>5597</v>
      </c>
      <c r="D7287" s="44">
        <v>-180339.77</v>
      </c>
      <c r="E7287" t="s">
        <v>35</v>
      </c>
      <c r="F7287" s="2">
        <v>210101001</v>
      </c>
      <c r="G7287" s="2" t="s">
        <v>36</v>
      </c>
      <c r="I7287" s="95" t="s">
        <v>7231</v>
      </c>
      <c r="J7287" t="s">
        <v>37</v>
      </c>
      <c r="K7287" t="s">
        <v>38</v>
      </c>
      <c r="M7287">
        <v>138.13</v>
      </c>
      <c r="N7287" s="4">
        <f t="shared" si="113"/>
        <v>-1305.580033301962</v>
      </c>
      <c r="O7287" t="s">
        <v>83</v>
      </c>
    </row>
    <row r="7288" spans="1:17" x14ac:dyDescent="0.25">
      <c r="A7288" s="22">
        <v>45889</v>
      </c>
      <c r="B7288" s="1">
        <v>516977673</v>
      </c>
      <c r="C7288" t="s">
        <v>185</v>
      </c>
      <c r="D7288" s="44">
        <v>-541.02</v>
      </c>
      <c r="E7288" t="s">
        <v>35</v>
      </c>
      <c r="F7288" s="2">
        <v>610148001</v>
      </c>
      <c r="G7288" s="2" t="s">
        <v>41</v>
      </c>
      <c r="I7288" s="95" t="s">
        <v>7231</v>
      </c>
      <c r="J7288" t="s">
        <v>42</v>
      </c>
      <c r="K7288" t="s">
        <v>41</v>
      </c>
      <c r="M7288">
        <v>138.13</v>
      </c>
      <c r="N7288" s="4">
        <f t="shared" si="113"/>
        <v>-3.9167450952001737</v>
      </c>
      <c r="O7288" t="s">
        <v>83</v>
      </c>
      <c r="Q7288" s="24" t="s">
        <v>5251</v>
      </c>
    </row>
    <row r="7289" spans="1:17" x14ac:dyDescent="0.25">
      <c r="A7289" s="22">
        <v>45891</v>
      </c>
      <c r="B7289" s="1">
        <v>185435810</v>
      </c>
      <c r="C7289" t="s">
        <v>5595</v>
      </c>
      <c r="D7289" s="44">
        <v>200000</v>
      </c>
      <c r="E7289" t="s">
        <v>45</v>
      </c>
      <c r="F7289" s="2">
        <v>210115002</v>
      </c>
      <c r="G7289" s="2" t="s">
        <v>46</v>
      </c>
      <c r="I7289" s="95" t="s">
        <v>7231</v>
      </c>
      <c r="K7289" t="s">
        <v>5595</v>
      </c>
      <c r="M7289">
        <v>140.66</v>
      </c>
      <c r="N7289" s="4">
        <f t="shared" si="113"/>
        <v>1421.8683349921798</v>
      </c>
      <c r="O7289" t="s">
        <v>83</v>
      </c>
    </row>
    <row r="7290" spans="1:17" x14ac:dyDescent="0.25">
      <c r="A7290" s="22">
        <v>45891</v>
      </c>
      <c r="B7290" s="1">
        <v>486976835</v>
      </c>
      <c r="C7290" t="s">
        <v>5595</v>
      </c>
      <c r="D7290" s="44">
        <v>200000</v>
      </c>
      <c r="E7290" t="s">
        <v>45</v>
      </c>
      <c r="F7290" s="2">
        <v>210115002</v>
      </c>
      <c r="G7290" s="2" t="s">
        <v>46</v>
      </c>
      <c r="I7290" s="95" t="s">
        <v>7231</v>
      </c>
      <c r="K7290" t="s">
        <v>5595</v>
      </c>
      <c r="M7290">
        <v>140.66</v>
      </c>
      <c r="N7290" s="4">
        <f t="shared" si="113"/>
        <v>1421.8683349921798</v>
      </c>
      <c r="O7290" t="s">
        <v>83</v>
      </c>
    </row>
    <row r="7291" spans="1:17" x14ac:dyDescent="0.25">
      <c r="A7291" s="22">
        <v>45891</v>
      </c>
      <c r="B7291" s="1">
        <v>15863346</v>
      </c>
      <c r="C7291" t="s">
        <v>5595</v>
      </c>
      <c r="D7291" s="44">
        <v>200000</v>
      </c>
      <c r="E7291" t="s">
        <v>45</v>
      </c>
      <c r="F7291" s="2">
        <v>210115002</v>
      </c>
      <c r="G7291" s="2" t="s">
        <v>46</v>
      </c>
      <c r="I7291" s="95" t="s">
        <v>7231</v>
      </c>
      <c r="K7291" t="s">
        <v>5595</v>
      </c>
      <c r="M7291">
        <v>140.66</v>
      </c>
      <c r="N7291" s="4">
        <f t="shared" si="113"/>
        <v>1421.8683349921798</v>
      </c>
      <c r="O7291" t="s">
        <v>83</v>
      </c>
    </row>
    <row r="7292" spans="1:17" x14ac:dyDescent="0.25">
      <c r="A7292" s="22">
        <v>45891</v>
      </c>
      <c r="B7292" s="1">
        <v>829026799</v>
      </c>
      <c r="C7292" t="s">
        <v>5595</v>
      </c>
      <c r="D7292" s="44">
        <v>200000</v>
      </c>
      <c r="E7292" t="s">
        <v>45</v>
      </c>
      <c r="F7292" s="2">
        <v>210115002</v>
      </c>
      <c r="G7292" s="2" t="s">
        <v>46</v>
      </c>
      <c r="I7292" s="95" t="s">
        <v>7231</v>
      </c>
      <c r="K7292" t="s">
        <v>5595</v>
      </c>
      <c r="M7292">
        <v>140.66</v>
      </c>
      <c r="N7292" s="4">
        <f t="shared" si="113"/>
        <v>1421.8683349921798</v>
      </c>
      <c r="O7292" t="s">
        <v>83</v>
      </c>
    </row>
    <row r="7293" spans="1:17" x14ac:dyDescent="0.25">
      <c r="A7293" s="22">
        <v>45891</v>
      </c>
      <c r="B7293" s="1">
        <v>135233055</v>
      </c>
      <c r="C7293" t="s">
        <v>5595</v>
      </c>
      <c r="D7293" s="44">
        <v>200000</v>
      </c>
      <c r="E7293" t="s">
        <v>45</v>
      </c>
      <c r="F7293" s="2">
        <v>210115002</v>
      </c>
      <c r="G7293" s="2" t="s">
        <v>46</v>
      </c>
      <c r="I7293" s="95" t="s">
        <v>7231</v>
      </c>
      <c r="K7293" t="s">
        <v>5595</v>
      </c>
      <c r="M7293">
        <v>140.66</v>
      </c>
      <c r="N7293" s="4">
        <f t="shared" si="113"/>
        <v>1421.8683349921798</v>
      </c>
      <c r="O7293" t="s">
        <v>83</v>
      </c>
    </row>
    <row r="7294" spans="1:17" x14ac:dyDescent="0.25">
      <c r="A7294" s="22">
        <v>45891</v>
      </c>
      <c r="B7294" s="1">
        <v>517096091</v>
      </c>
      <c r="C7294" t="s">
        <v>5598</v>
      </c>
      <c r="D7294" s="44">
        <v>-72827.38</v>
      </c>
      <c r="E7294" t="s">
        <v>35</v>
      </c>
      <c r="F7294" s="2">
        <v>210101001</v>
      </c>
      <c r="G7294" s="2" t="s">
        <v>36</v>
      </c>
      <c r="I7294" s="95" t="s">
        <v>7231</v>
      </c>
      <c r="J7294" t="s">
        <v>394</v>
      </c>
      <c r="K7294" t="s">
        <v>395</v>
      </c>
      <c r="M7294">
        <v>140.66</v>
      </c>
      <c r="N7294" s="4">
        <f t="shared" si="113"/>
        <v>-517.75472771221393</v>
      </c>
      <c r="O7294" t="s">
        <v>83</v>
      </c>
    </row>
    <row r="7295" spans="1:17" x14ac:dyDescent="0.25">
      <c r="A7295" s="22">
        <v>45891</v>
      </c>
      <c r="B7295" s="1">
        <v>517096092</v>
      </c>
      <c r="C7295" t="s">
        <v>5599</v>
      </c>
      <c r="D7295" s="44">
        <v>-72827.38</v>
      </c>
      <c r="E7295" t="s">
        <v>35</v>
      </c>
      <c r="F7295" s="2">
        <v>210101001</v>
      </c>
      <c r="G7295" s="2" t="s">
        <v>36</v>
      </c>
      <c r="I7295" s="95" t="s">
        <v>7231</v>
      </c>
      <c r="J7295" t="s">
        <v>394</v>
      </c>
      <c r="K7295" t="s">
        <v>395</v>
      </c>
      <c r="M7295">
        <v>140.66</v>
      </c>
      <c r="N7295" s="4">
        <f t="shared" si="113"/>
        <v>-517.75472771221393</v>
      </c>
      <c r="O7295" t="s">
        <v>83</v>
      </c>
    </row>
    <row r="7296" spans="1:17" x14ac:dyDescent="0.25">
      <c r="A7296" s="22">
        <v>45891</v>
      </c>
      <c r="B7296" s="1">
        <v>517096094</v>
      </c>
      <c r="C7296" t="s">
        <v>5600</v>
      </c>
      <c r="D7296" s="44">
        <v>-51340.89</v>
      </c>
      <c r="E7296" t="s">
        <v>35</v>
      </c>
      <c r="F7296" s="2">
        <v>210101001</v>
      </c>
      <c r="G7296" s="2" t="s">
        <v>36</v>
      </c>
      <c r="I7296" s="95" t="s">
        <v>7231</v>
      </c>
      <c r="J7296" t="s">
        <v>398</v>
      </c>
      <c r="K7296" t="s">
        <v>399</v>
      </c>
      <c r="M7296">
        <v>140.66</v>
      </c>
      <c r="N7296" s="4">
        <f t="shared" si="113"/>
        <v>-364.99992890658325</v>
      </c>
      <c r="O7296" t="s">
        <v>83</v>
      </c>
    </row>
    <row r="7297" spans="1:17" x14ac:dyDescent="0.25">
      <c r="A7297" s="22">
        <v>45891</v>
      </c>
      <c r="B7297" s="1">
        <v>517096095</v>
      </c>
      <c r="C7297" t="s">
        <v>5601</v>
      </c>
      <c r="D7297" s="44">
        <v>-522716.39</v>
      </c>
      <c r="E7297" t="s">
        <v>35</v>
      </c>
      <c r="F7297" s="2">
        <v>210101001</v>
      </c>
      <c r="G7297" s="2" t="s">
        <v>36</v>
      </c>
      <c r="I7297" s="95" t="s">
        <v>7231</v>
      </c>
      <c r="J7297" t="s">
        <v>37</v>
      </c>
      <c r="K7297" t="s">
        <v>38</v>
      </c>
      <c r="M7297">
        <v>140.66</v>
      </c>
      <c r="N7297" s="4">
        <f t="shared" si="113"/>
        <v>-3716.1694156121143</v>
      </c>
      <c r="O7297" t="s">
        <v>83</v>
      </c>
    </row>
    <row r="7298" spans="1:17" x14ac:dyDescent="0.25">
      <c r="A7298" s="22">
        <v>45891</v>
      </c>
      <c r="B7298" s="1">
        <v>517096093</v>
      </c>
      <c r="C7298" t="s">
        <v>5602</v>
      </c>
      <c r="D7298" s="44">
        <v>-148621.39000000001</v>
      </c>
      <c r="E7298" t="s">
        <v>35</v>
      </c>
      <c r="F7298" s="2">
        <v>210101001</v>
      </c>
      <c r="G7298" s="2" t="s">
        <v>36</v>
      </c>
      <c r="I7298" s="95" t="s">
        <v>7231</v>
      </c>
      <c r="J7298" t="s">
        <v>37</v>
      </c>
      <c r="K7298" t="s">
        <v>38</v>
      </c>
      <c r="M7298">
        <v>140.66</v>
      </c>
      <c r="N7298" s="4">
        <f t="shared" si="113"/>
        <v>-1056.6002417176171</v>
      </c>
      <c r="O7298" t="s">
        <v>83</v>
      </c>
    </row>
    <row r="7299" spans="1:17" x14ac:dyDescent="0.25">
      <c r="A7299" s="22">
        <v>45891</v>
      </c>
      <c r="B7299" s="1">
        <v>50852295</v>
      </c>
      <c r="C7299" t="s">
        <v>89</v>
      </c>
      <c r="D7299" s="44">
        <v>-2170.83</v>
      </c>
      <c r="E7299" t="s">
        <v>35</v>
      </c>
      <c r="F7299" s="2">
        <v>610148001</v>
      </c>
      <c r="G7299" s="2" t="s">
        <v>41</v>
      </c>
      <c r="I7299" s="95" t="s">
        <v>7231</v>
      </c>
      <c r="J7299" t="s">
        <v>42</v>
      </c>
      <c r="K7299" t="s">
        <v>41</v>
      </c>
      <c r="M7299">
        <v>140.66</v>
      </c>
      <c r="N7299" s="4">
        <f t="shared" si="113"/>
        <v>-15.433172188255368</v>
      </c>
      <c r="O7299" t="s">
        <v>83</v>
      </c>
      <c r="Q7299" s="24" t="s">
        <v>5251</v>
      </c>
    </row>
    <row r="7300" spans="1:17" x14ac:dyDescent="0.25">
      <c r="A7300" s="22">
        <v>45891</v>
      </c>
      <c r="B7300" s="1">
        <v>153149028</v>
      </c>
      <c r="C7300" t="s">
        <v>82</v>
      </c>
      <c r="D7300" s="44">
        <v>533000</v>
      </c>
      <c r="E7300" t="s">
        <v>45</v>
      </c>
      <c r="F7300" s="2">
        <v>210115002</v>
      </c>
      <c r="G7300" s="2" t="s">
        <v>46</v>
      </c>
      <c r="I7300" s="95" t="s">
        <v>7231</v>
      </c>
      <c r="K7300" t="s">
        <v>82</v>
      </c>
      <c r="M7300">
        <v>140.66</v>
      </c>
      <c r="N7300" s="4">
        <f t="shared" si="113"/>
        <v>3789.2791127541591</v>
      </c>
      <c r="O7300" t="s">
        <v>83</v>
      </c>
    </row>
    <row r="7301" spans="1:17" x14ac:dyDescent="0.25">
      <c r="A7301" s="22">
        <v>45891</v>
      </c>
      <c r="B7301" s="1">
        <v>417099915</v>
      </c>
      <c r="C7301" t="s">
        <v>5603</v>
      </c>
      <c r="D7301" s="44">
        <v>-11152</v>
      </c>
      <c r="E7301" t="s">
        <v>35</v>
      </c>
      <c r="F7301" s="2">
        <v>212901001</v>
      </c>
      <c r="G7301" s="2" t="s">
        <v>91</v>
      </c>
      <c r="I7301" s="95" t="s">
        <v>7231</v>
      </c>
      <c r="J7301" t="s">
        <v>61</v>
      </c>
      <c r="K7301" t="s">
        <v>62</v>
      </c>
      <c r="M7301">
        <v>140.66</v>
      </c>
      <c r="N7301" s="4">
        <f t="shared" si="113"/>
        <v>-79.283378359163947</v>
      </c>
      <c r="O7301" t="s">
        <v>83</v>
      </c>
    </row>
    <row r="7302" spans="1:17" x14ac:dyDescent="0.25">
      <c r="A7302" s="22">
        <v>45891</v>
      </c>
      <c r="B7302" s="1">
        <v>517099917</v>
      </c>
      <c r="C7302" t="s">
        <v>5604</v>
      </c>
      <c r="D7302" s="44">
        <v>-8364</v>
      </c>
      <c r="E7302" t="s">
        <v>35</v>
      </c>
      <c r="F7302" s="2">
        <v>212901001</v>
      </c>
      <c r="G7302" s="2" t="s">
        <v>91</v>
      </c>
      <c r="I7302" s="95" t="s">
        <v>7231</v>
      </c>
      <c r="J7302" t="s">
        <v>61</v>
      </c>
      <c r="K7302" t="s">
        <v>62</v>
      </c>
      <c r="M7302">
        <v>140.66</v>
      </c>
      <c r="N7302" s="4">
        <f t="shared" si="113"/>
        <v>-59.462533769372961</v>
      </c>
      <c r="O7302" t="s">
        <v>83</v>
      </c>
    </row>
    <row r="7303" spans="1:17" x14ac:dyDescent="0.25">
      <c r="A7303" s="22">
        <v>45891</v>
      </c>
      <c r="B7303" s="1">
        <v>517099919</v>
      </c>
      <c r="C7303" t="s">
        <v>5605</v>
      </c>
      <c r="D7303" s="44">
        <v>-8364</v>
      </c>
      <c r="E7303" t="s">
        <v>35</v>
      </c>
      <c r="F7303" s="2">
        <v>212901001</v>
      </c>
      <c r="G7303" s="2" t="s">
        <v>91</v>
      </c>
      <c r="I7303" s="95" t="s">
        <v>7231</v>
      </c>
      <c r="J7303" t="s">
        <v>61</v>
      </c>
      <c r="K7303" t="s">
        <v>62</v>
      </c>
      <c r="M7303">
        <v>140.66</v>
      </c>
      <c r="N7303" s="4">
        <f t="shared" si="113"/>
        <v>-59.462533769372961</v>
      </c>
      <c r="O7303" t="s">
        <v>83</v>
      </c>
    </row>
    <row r="7304" spans="1:17" x14ac:dyDescent="0.25">
      <c r="A7304" s="22">
        <v>45891</v>
      </c>
      <c r="B7304" s="1">
        <v>417099916</v>
      </c>
      <c r="C7304" t="s">
        <v>5606</v>
      </c>
      <c r="D7304" s="44">
        <v>-8364</v>
      </c>
      <c r="E7304" t="s">
        <v>35</v>
      </c>
      <c r="F7304" s="2">
        <v>212901001</v>
      </c>
      <c r="G7304" s="2" t="s">
        <v>91</v>
      </c>
      <c r="I7304" s="95" t="s">
        <v>7231</v>
      </c>
      <c r="J7304" t="s">
        <v>61</v>
      </c>
      <c r="K7304" t="s">
        <v>62</v>
      </c>
      <c r="M7304">
        <v>140.66</v>
      </c>
      <c r="N7304" s="4">
        <f t="shared" si="113"/>
        <v>-59.462533769372961</v>
      </c>
      <c r="O7304" t="s">
        <v>83</v>
      </c>
    </row>
    <row r="7305" spans="1:17" x14ac:dyDescent="0.25">
      <c r="A7305" s="22">
        <v>45891</v>
      </c>
      <c r="B7305" s="1">
        <v>517099920</v>
      </c>
      <c r="C7305" t="s">
        <v>5607</v>
      </c>
      <c r="D7305" s="44">
        <v>-8364</v>
      </c>
      <c r="E7305" t="s">
        <v>35</v>
      </c>
      <c r="F7305" s="2">
        <v>212901001</v>
      </c>
      <c r="G7305" s="2" t="s">
        <v>91</v>
      </c>
      <c r="I7305" s="95" t="s">
        <v>7231</v>
      </c>
      <c r="J7305" t="s">
        <v>61</v>
      </c>
      <c r="K7305" t="s">
        <v>62</v>
      </c>
      <c r="M7305">
        <v>140.66</v>
      </c>
      <c r="N7305" s="4">
        <f t="shared" si="113"/>
        <v>-59.462533769372961</v>
      </c>
      <c r="O7305" t="s">
        <v>83</v>
      </c>
    </row>
    <row r="7306" spans="1:17" x14ac:dyDescent="0.25">
      <c r="A7306" s="22">
        <v>45891</v>
      </c>
      <c r="B7306" s="1">
        <v>517099924</v>
      </c>
      <c r="C7306" t="s">
        <v>5608</v>
      </c>
      <c r="D7306" s="44">
        <v>-8364</v>
      </c>
      <c r="E7306" t="s">
        <v>35</v>
      </c>
      <c r="F7306" s="2">
        <v>212901001</v>
      </c>
      <c r="G7306" s="2" t="s">
        <v>91</v>
      </c>
      <c r="I7306" s="95" t="s">
        <v>7231</v>
      </c>
      <c r="J7306" t="s">
        <v>61</v>
      </c>
      <c r="K7306" t="s">
        <v>62</v>
      </c>
      <c r="M7306">
        <v>140.66</v>
      </c>
      <c r="N7306" s="4">
        <f t="shared" si="113"/>
        <v>-59.462533769372961</v>
      </c>
      <c r="O7306" t="s">
        <v>83</v>
      </c>
    </row>
    <row r="7307" spans="1:17" x14ac:dyDescent="0.25">
      <c r="A7307" s="22">
        <v>45891</v>
      </c>
      <c r="B7307" s="1">
        <v>517099923</v>
      </c>
      <c r="C7307" t="s">
        <v>5609</v>
      </c>
      <c r="D7307" s="44">
        <v>-8364</v>
      </c>
      <c r="E7307" t="s">
        <v>35</v>
      </c>
      <c r="F7307" s="2">
        <v>212901001</v>
      </c>
      <c r="G7307" s="2" t="s">
        <v>91</v>
      </c>
      <c r="I7307" s="95" t="s">
        <v>7231</v>
      </c>
      <c r="J7307" t="s">
        <v>61</v>
      </c>
      <c r="K7307" t="s">
        <v>62</v>
      </c>
      <c r="M7307">
        <v>140.66</v>
      </c>
      <c r="N7307" s="4">
        <f t="shared" si="113"/>
        <v>-59.462533769372961</v>
      </c>
      <c r="O7307" t="s">
        <v>83</v>
      </c>
    </row>
    <row r="7308" spans="1:17" x14ac:dyDescent="0.25">
      <c r="A7308" s="22">
        <v>45891</v>
      </c>
      <c r="B7308" s="1">
        <v>517099921</v>
      </c>
      <c r="C7308" t="s">
        <v>5610</v>
      </c>
      <c r="D7308" s="44">
        <v>-8364</v>
      </c>
      <c r="E7308" t="s">
        <v>35</v>
      </c>
      <c r="F7308" s="2">
        <v>212901001</v>
      </c>
      <c r="G7308" s="2" t="s">
        <v>91</v>
      </c>
      <c r="I7308" s="95" t="s">
        <v>7231</v>
      </c>
      <c r="J7308" t="s">
        <v>61</v>
      </c>
      <c r="K7308" t="s">
        <v>62</v>
      </c>
      <c r="M7308">
        <v>140.66</v>
      </c>
      <c r="N7308" s="4">
        <f t="shared" ref="N7308:N7371" si="114">D7308/M7308</f>
        <v>-59.462533769372961</v>
      </c>
      <c r="O7308" t="s">
        <v>83</v>
      </c>
    </row>
    <row r="7309" spans="1:17" x14ac:dyDescent="0.25">
      <c r="A7309" s="22">
        <v>45891</v>
      </c>
      <c r="B7309" s="1">
        <v>517099927</v>
      </c>
      <c r="C7309" t="s">
        <v>5611</v>
      </c>
      <c r="D7309" s="44">
        <v>-8364</v>
      </c>
      <c r="E7309" t="s">
        <v>35</v>
      </c>
      <c r="F7309" s="2">
        <v>212901001</v>
      </c>
      <c r="G7309" s="2" t="s">
        <v>91</v>
      </c>
      <c r="I7309" s="95" t="s">
        <v>7231</v>
      </c>
      <c r="J7309" t="s">
        <v>61</v>
      </c>
      <c r="K7309" t="s">
        <v>62</v>
      </c>
      <c r="M7309">
        <v>140.66</v>
      </c>
      <c r="N7309" s="4">
        <f t="shared" si="114"/>
        <v>-59.462533769372961</v>
      </c>
      <c r="O7309" t="s">
        <v>83</v>
      </c>
    </row>
    <row r="7310" spans="1:17" x14ac:dyDescent="0.25">
      <c r="A7310" s="22">
        <v>45891</v>
      </c>
      <c r="B7310" s="1">
        <v>517099925</v>
      </c>
      <c r="C7310" t="s">
        <v>5612</v>
      </c>
      <c r="D7310" s="44">
        <v>-8364</v>
      </c>
      <c r="E7310" t="s">
        <v>35</v>
      </c>
      <c r="F7310" s="2">
        <v>212901001</v>
      </c>
      <c r="G7310" s="2" t="s">
        <v>91</v>
      </c>
      <c r="I7310" s="95" t="s">
        <v>7231</v>
      </c>
      <c r="J7310" t="s">
        <v>61</v>
      </c>
      <c r="K7310" t="s">
        <v>62</v>
      </c>
      <c r="M7310">
        <v>140.66</v>
      </c>
      <c r="N7310" s="4">
        <f t="shared" si="114"/>
        <v>-59.462533769372961</v>
      </c>
      <c r="O7310" t="s">
        <v>83</v>
      </c>
    </row>
    <row r="7311" spans="1:17" x14ac:dyDescent="0.25">
      <c r="A7311" s="22">
        <v>45891</v>
      </c>
      <c r="B7311" s="1">
        <v>517099926</v>
      </c>
      <c r="C7311" t="s">
        <v>5613</v>
      </c>
      <c r="D7311" s="44">
        <v>-8364</v>
      </c>
      <c r="E7311" t="s">
        <v>35</v>
      </c>
      <c r="F7311" s="2">
        <v>212901001</v>
      </c>
      <c r="G7311" s="2" t="s">
        <v>91</v>
      </c>
      <c r="I7311" s="95" t="s">
        <v>7231</v>
      </c>
      <c r="J7311" t="s">
        <v>61</v>
      </c>
      <c r="K7311" t="s">
        <v>62</v>
      </c>
      <c r="M7311">
        <v>140.66</v>
      </c>
      <c r="N7311" s="4">
        <f t="shared" si="114"/>
        <v>-59.462533769372961</v>
      </c>
      <c r="O7311" t="s">
        <v>83</v>
      </c>
    </row>
    <row r="7312" spans="1:17" x14ac:dyDescent="0.25">
      <c r="A7312" s="22">
        <v>45891</v>
      </c>
      <c r="B7312" s="1">
        <v>617099930</v>
      </c>
      <c r="C7312" t="s">
        <v>5614</v>
      </c>
      <c r="D7312" s="44">
        <v>-8364</v>
      </c>
      <c r="E7312" t="s">
        <v>35</v>
      </c>
      <c r="F7312" s="2">
        <v>212901001</v>
      </c>
      <c r="G7312" s="2" t="s">
        <v>91</v>
      </c>
      <c r="I7312" s="95" t="s">
        <v>7231</v>
      </c>
      <c r="J7312" t="s">
        <v>61</v>
      </c>
      <c r="K7312" t="s">
        <v>62</v>
      </c>
      <c r="M7312">
        <v>140.66</v>
      </c>
      <c r="N7312" s="4">
        <f t="shared" si="114"/>
        <v>-59.462533769372961</v>
      </c>
      <c r="O7312" t="s">
        <v>83</v>
      </c>
    </row>
    <row r="7313" spans="1:15" x14ac:dyDescent="0.25">
      <c r="A7313" s="22">
        <v>45891</v>
      </c>
      <c r="B7313" s="1">
        <v>617099928</v>
      </c>
      <c r="C7313" t="s">
        <v>5615</v>
      </c>
      <c r="D7313" s="44">
        <v>-8364</v>
      </c>
      <c r="E7313" t="s">
        <v>35</v>
      </c>
      <c r="F7313" s="2">
        <v>212901001</v>
      </c>
      <c r="G7313" s="2" t="s">
        <v>91</v>
      </c>
      <c r="I7313" s="95" t="s">
        <v>7231</v>
      </c>
      <c r="J7313" t="s">
        <v>61</v>
      </c>
      <c r="K7313" t="s">
        <v>62</v>
      </c>
      <c r="M7313">
        <v>140.66</v>
      </c>
      <c r="N7313" s="4">
        <f t="shared" si="114"/>
        <v>-59.462533769372961</v>
      </c>
      <c r="O7313" t="s">
        <v>83</v>
      </c>
    </row>
    <row r="7314" spans="1:15" x14ac:dyDescent="0.25">
      <c r="A7314" s="22">
        <v>45891</v>
      </c>
      <c r="B7314" s="1">
        <v>617099929</v>
      </c>
      <c r="C7314" t="s">
        <v>5616</v>
      </c>
      <c r="D7314" s="44">
        <v>-8364</v>
      </c>
      <c r="E7314" t="s">
        <v>35</v>
      </c>
      <c r="F7314" s="2">
        <v>212901001</v>
      </c>
      <c r="G7314" s="2" t="s">
        <v>91</v>
      </c>
      <c r="I7314" s="95" t="s">
        <v>7231</v>
      </c>
      <c r="J7314" t="s">
        <v>61</v>
      </c>
      <c r="K7314" t="s">
        <v>62</v>
      </c>
      <c r="M7314">
        <v>140.66</v>
      </c>
      <c r="N7314" s="4">
        <f t="shared" si="114"/>
        <v>-59.462533769372961</v>
      </c>
      <c r="O7314" t="s">
        <v>83</v>
      </c>
    </row>
    <row r="7315" spans="1:15" x14ac:dyDescent="0.25">
      <c r="A7315" s="22">
        <v>45891</v>
      </c>
      <c r="B7315" s="1">
        <v>617099932</v>
      </c>
      <c r="C7315" t="s">
        <v>5617</v>
      </c>
      <c r="D7315" s="44">
        <v>-8364</v>
      </c>
      <c r="E7315" t="s">
        <v>35</v>
      </c>
      <c r="F7315" s="2">
        <v>212901001</v>
      </c>
      <c r="G7315" s="2" t="s">
        <v>91</v>
      </c>
      <c r="I7315" s="95" t="s">
        <v>7231</v>
      </c>
      <c r="J7315" t="s">
        <v>61</v>
      </c>
      <c r="K7315" t="s">
        <v>62</v>
      </c>
      <c r="M7315">
        <v>140.66</v>
      </c>
      <c r="N7315" s="4">
        <f t="shared" si="114"/>
        <v>-59.462533769372961</v>
      </c>
      <c r="O7315" t="s">
        <v>83</v>
      </c>
    </row>
    <row r="7316" spans="1:15" x14ac:dyDescent="0.25">
      <c r="A7316" s="22">
        <v>45891</v>
      </c>
      <c r="B7316" s="1">
        <v>617099931</v>
      </c>
      <c r="C7316" t="s">
        <v>5618</v>
      </c>
      <c r="D7316" s="44">
        <v>-8364</v>
      </c>
      <c r="E7316" t="s">
        <v>35</v>
      </c>
      <c r="F7316" s="2">
        <v>212901001</v>
      </c>
      <c r="G7316" s="2" t="s">
        <v>91</v>
      </c>
      <c r="I7316" s="95" t="s">
        <v>7231</v>
      </c>
      <c r="J7316" t="s">
        <v>61</v>
      </c>
      <c r="K7316" t="s">
        <v>62</v>
      </c>
      <c r="M7316">
        <v>140.66</v>
      </c>
      <c r="N7316" s="4">
        <f t="shared" si="114"/>
        <v>-59.462533769372961</v>
      </c>
      <c r="O7316" t="s">
        <v>83</v>
      </c>
    </row>
    <row r="7317" spans="1:15" x14ac:dyDescent="0.25">
      <c r="A7317" s="22">
        <v>45891</v>
      </c>
      <c r="B7317" s="1">
        <v>617099933</v>
      </c>
      <c r="C7317" t="s">
        <v>5619</v>
      </c>
      <c r="D7317" s="44">
        <v>-20910</v>
      </c>
      <c r="E7317" t="s">
        <v>35</v>
      </c>
      <c r="F7317" s="2">
        <v>212901001</v>
      </c>
      <c r="G7317" s="2" t="s">
        <v>91</v>
      </c>
      <c r="I7317" s="95" t="s">
        <v>7231</v>
      </c>
      <c r="J7317" t="s">
        <v>61</v>
      </c>
      <c r="K7317" t="s">
        <v>62</v>
      </c>
      <c r="M7317">
        <v>140.66</v>
      </c>
      <c r="N7317" s="4">
        <f t="shared" si="114"/>
        <v>-148.65633442343238</v>
      </c>
      <c r="O7317" t="s">
        <v>83</v>
      </c>
    </row>
    <row r="7318" spans="1:15" x14ac:dyDescent="0.25">
      <c r="A7318" s="22">
        <v>45891</v>
      </c>
      <c r="B7318" s="1">
        <v>717099936</v>
      </c>
      <c r="C7318" t="s">
        <v>5620</v>
      </c>
      <c r="D7318" s="44">
        <v>-11152</v>
      </c>
      <c r="E7318" t="s">
        <v>35</v>
      </c>
      <c r="F7318" s="2">
        <v>212901001</v>
      </c>
      <c r="G7318" s="2" t="s">
        <v>91</v>
      </c>
      <c r="I7318" s="95" t="s">
        <v>7231</v>
      </c>
      <c r="J7318" t="s">
        <v>61</v>
      </c>
      <c r="K7318" t="s">
        <v>62</v>
      </c>
      <c r="M7318">
        <v>140.66</v>
      </c>
      <c r="N7318" s="4">
        <f t="shared" si="114"/>
        <v>-79.283378359163947</v>
      </c>
      <c r="O7318" t="s">
        <v>83</v>
      </c>
    </row>
    <row r="7319" spans="1:15" x14ac:dyDescent="0.25">
      <c r="A7319" s="22">
        <v>45891</v>
      </c>
      <c r="B7319" s="1">
        <v>617099934</v>
      </c>
      <c r="C7319" t="s">
        <v>5621</v>
      </c>
      <c r="D7319" s="44">
        <v>-13940</v>
      </c>
      <c r="E7319" t="s">
        <v>35</v>
      </c>
      <c r="F7319" s="2">
        <v>212901001</v>
      </c>
      <c r="G7319" s="2" t="s">
        <v>91</v>
      </c>
      <c r="I7319" s="95" t="s">
        <v>7231</v>
      </c>
      <c r="J7319" t="s">
        <v>61</v>
      </c>
      <c r="K7319" t="s">
        <v>62</v>
      </c>
      <c r="M7319">
        <v>140.66</v>
      </c>
      <c r="N7319" s="4">
        <f t="shared" si="114"/>
        <v>-99.104222948954927</v>
      </c>
      <c r="O7319" t="s">
        <v>83</v>
      </c>
    </row>
    <row r="7320" spans="1:15" x14ac:dyDescent="0.25">
      <c r="A7320" s="22">
        <v>45891</v>
      </c>
      <c r="B7320" s="1">
        <v>717099937</v>
      </c>
      <c r="C7320" t="s">
        <v>5622</v>
      </c>
      <c r="D7320" s="44">
        <v>-11152</v>
      </c>
      <c r="E7320" t="s">
        <v>35</v>
      </c>
      <c r="F7320" s="2">
        <v>212901001</v>
      </c>
      <c r="G7320" s="2" t="s">
        <v>91</v>
      </c>
      <c r="I7320" s="95" t="s">
        <v>7231</v>
      </c>
      <c r="J7320" t="s">
        <v>61</v>
      </c>
      <c r="K7320" t="s">
        <v>62</v>
      </c>
      <c r="M7320">
        <v>140.66</v>
      </c>
      <c r="N7320" s="4">
        <f t="shared" si="114"/>
        <v>-79.283378359163947</v>
      </c>
      <c r="O7320" t="s">
        <v>83</v>
      </c>
    </row>
    <row r="7321" spans="1:15" x14ac:dyDescent="0.25">
      <c r="A7321" s="22">
        <v>45891</v>
      </c>
      <c r="B7321" s="1">
        <v>717099939</v>
      </c>
      <c r="C7321" t="s">
        <v>5623</v>
      </c>
      <c r="D7321" s="44">
        <v>-11152</v>
      </c>
      <c r="E7321" t="s">
        <v>35</v>
      </c>
      <c r="F7321" s="2">
        <v>212901001</v>
      </c>
      <c r="G7321" s="2" t="s">
        <v>91</v>
      </c>
      <c r="I7321" s="95" t="s">
        <v>7231</v>
      </c>
      <c r="J7321" t="s">
        <v>61</v>
      </c>
      <c r="K7321" t="s">
        <v>62</v>
      </c>
      <c r="M7321">
        <v>140.66</v>
      </c>
      <c r="N7321" s="4">
        <f t="shared" si="114"/>
        <v>-79.283378359163947</v>
      </c>
      <c r="O7321" t="s">
        <v>83</v>
      </c>
    </row>
    <row r="7322" spans="1:15" x14ac:dyDescent="0.25">
      <c r="A7322" s="22">
        <v>45891</v>
      </c>
      <c r="B7322" s="1">
        <v>617099935</v>
      </c>
      <c r="C7322" t="s">
        <v>5624</v>
      </c>
      <c r="D7322" s="44">
        <v>-11152</v>
      </c>
      <c r="E7322" t="s">
        <v>35</v>
      </c>
      <c r="F7322" s="2">
        <v>212901001</v>
      </c>
      <c r="G7322" s="2" t="s">
        <v>91</v>
      </c>
      <c r="I7322" s="95" t="s">
        <v>7231</v>
      </c>
      <c r="J7322" t="s">
        <v>61</v>
      </c>
      <c r="K7322" t="s">
        <v>62</v>
      </c>
      <c r="M7322">
        <v>140.66</v>
      </c>
      <c r="N7322" s="4">
        <f t="shared" si="114"/>
        <v>-79.283378359163947</v>
      </c>
      <c r="O7322" t="s">
        <v>83</v>
      </c>
    </row>
    <row r="7323" spans="1:15" x14ac:dyDescent="0.25">
      <c r="A7323" s="22">
        <v>45891</v>
      </c>
      <c r="B7323" s="1">
        <v>717099938</v>
      </c>
      <c r="C7323" t="s">
        <v>5625</v>
      </c>
      <c r="D7323" s="44">
        <v>-11152</v>
      </c>
      <c r="E7323" t="s">
        <v>35</v>
      </c>
      <c r="F7323" s="2">
        <v>212901001</v>
      </c>
      <c r="G7323" s="2" t="s">
        <v>91</v>
      </c>
      <c r="I7323" s="95" t="s">
        <v>7231</v>
      </c>
      <c r="J7323" t="s">
        <v>61</v>
      </c>
      <c r="K7323" t="s">
        <v>62</v>
      </c>
      <c r="M7323">
        <v>140.66</v>
      </c>
      <c r="N7323" s="4">
        <f t="shared" si="114"/>
        <v>-79.283378359163947</v>
      </c>
      <c r="O7323" t="s">
        <v>83</v>
      </c>
    </row>
    <row r="7324" spans="1:15" x14ac:dyDescent="0.25">
      <c r="A7324" s="22">
        <v>45891</v>
      </c>
      <c r="B7324" s="1">
        <v>717099940</v>
      </c>
      <c r="C7324" t="s">
        <v>5626</v>
      </c>
      <c r="D7324" s="44">
        <v>-11152</v>
      </c>
      <c r="E7324" t="s">
        <v>35</v>
      </c>
      <c r="F7324" s="2">
        <v>212901001</v>
      </c>
      <c r="G7324" s="2" t="s">
        <v>91</v>
      </c>
      <c r="I7324" s="95" t="s">
        <v>7231</v>
      </c>
      <c r="J7324" t="s">
        <v>61</v>
      </c>
      <c r="K7324" t="s">
        <v>62</v>
      </c>
      <c r="M7324">
        <v>140.66</v>
      </c>
      <c r="N7324" s="4">
        <f t="shared" si="114"/>
        <v>-79.283378359163947</v>
      </c>
      <c r="O7324" t="s">
        <v>83</v>
      </c>
    </row>
    <row r="7325" spans="1:15" x14ac:dyDescent="0.25">
      <c r="A7325" s="22">
        <v>45891</v>
      </c>
      <c r="B7325" s="1">
        <v>717099942</v>
      </c>
      <c r="C7325" t="s">
        <v>5627</v>
      </c>
      <c r="D7325" s="44">
        <v>-6970</v>
      </c>
      <c r="E7325" t="s">
        <v>35</v>
      </c>
      <c r="F7325" s="2">
        <v>212901001</v>
      </c>
      <c r="G7325" s="2" t="s">
        <v>91</v>
      </c>
      <c r="I7325" s="95" t="s">
        <v>7231</v>
      </c>
      <c r="J7325" t="s">
        <v>61</v>
      </c>
      <c r="K7325" t="s">
        <v>62</v>
      </c>
      <c r="M7325">
        <v>140.66</v>
      </c>
      <c r="N7325" s="4">
        <f t="shared" si="114"/>
        <v>-49.552111474477464</v>
      </c>
      <c r="O7325" t="s">
        <v>83</v>
      </c>
    </row>
    <row r="7326" spans="1:15" x14ac:dyDescent="0.25">
      <c r="A7326" s="22">
        <v>45891</v>
      </c>
      <c r="B7326" s="1">
        <v>717099945</v>
      </c>
      <c r="C7326" t="s">
        <v>5628</v>
      </c>
      <c r="D7326" s="44">
        <v>-6970</v>
      </c>
      <c r="E7326" t="s">
        <v>35</v>
      </c>
      <c r="F7326" s="2">
        <v>212901001</v>
      </c>
      <c r="G7326" s="2" t="s">
        <v>91</v>
      </c>
      <c r="I7326" s="95" t="s">
        <v>7231</v>
      </c>
      <c r="J7326" t="s">
        <v>61</v>
      </c>
      <c r="K7326" t="s">
        <v>62</v>
      </c>
      <c r="M7326">
        <v>140.66</v>
      </c>
      <c r="N7326" s="4">
        <f t="shared" si="114"/>
        <v>-49.552111474477464</v>
      </c>
      <c r="O7326" t="s">
        <v>83</v>
      </c>
    </row>
    <row r="7327" spans="1:15" x14ac:dyDescent="0.25">
      <c r="A7327" s="22">
        <v>45891</v>
      </c>
      <c r="B7327" s="1">
        <v>717099944</v>
      </c>
      <c r="C7327" t="s">
        <v>5629</v>
      </c>
      <c r="D7327" s="44">
        <v>-6970</v>
      </c>
      <c r="E7327" t="s">
        <v>35</v>
      </c>
      <c r="F7327" s="2">
        <v>212901001</v>
      </c>
      <c r="G7327" s="2" t="s">
        <v>91</v>
      </c>
      <c r="I7327" s="95" t="s">
        <v>7231</v>
      </c>
      <c r="J7327" t="s">
        <v>61</v>
      </c>
      <c r="K7327" t="s">
        <v>62</v>
      </c>
      <c r="M7327">
        <v>140.66</v>
      </c>
      <c r="N7327" s="4">
        <f t="shared" si="114"/>
        <v>-49.552111474477464</v>
      </c>
      <c r="O7327" t="s">
        <v>83</v>
      </c>
    </row>
    <row r="7328" spans="1:15" x14ac:dyDescent="0.25">
      <c r="A7328" s="22">
        <v>45891</v>
      </c>
      <c r="B7328" s="1">
        <v>817099949</v>
      </c>
      <c r="C7328" t="s">
        <v>5630</v>
      </c>
      <c r="D7328" s="44">
        <v>-6970</v>
      </c>
      <c r="E7328" t="s">
        <v>35</v>
      </c>
      <c r="F7328" s="2">
        <v>212901001</v>
      </c>
      <c r="G7328" s="2" t="s">
        <v>91</v>
      </c>
      <c r="I7328" s="95" t="s">
        <v>7231</v>
      </c>
      <c r="J7328" t="s">
        <v>61</v>
      </c>
      <c r="K7328" t="s">
        <v>62</v>
      </c>
      <c r="M7328">
        <v>140.66</v>
      </c>
      <c r="N7328" s="4">
        <f t="shared" si="114"/>
        <v>-49.552111474477464</v>
      </c>
      <c r="O7328" t="s">
        <v>83</v>
      </c>
    </row>
    <row r="7329" spans="1:15" x14ac:dyDescent="0.25">
      <c r="A7329" s="22">
        <v>45891</v>
      </c>
      <c r="B7329" s="1">
        <v>817099947</v>
      </c>
      <c r="C7329" t="s">
        <v>5631</v>
      </c>
      <c r="D7329" s="44">
        <v>-6970</v>
      </c>
      <c r="E7329" t="s">
        <v>35</v>
      </c>
      <c r="F7329" s="2">
        <v>212901001</v>
      </c>
      <c r="G7329" s="2" t="s">
        <v>91</v>
      </c>
      <c r="I7329" s="95" t="s">
        <v>7231</v>
      </c>
      <c r="J7329" t="s">
        <v>61</v>
      </c>
      <c r="K7329" t="s">
        <v>62</v>
      </c>
      <c r="M7329">
        <v>140.66</v>
      </c>
      <c r="N7329" s="4">
        <f t="shared" si="114"/>
        <v>-49.552111474477464</v>
      </c>
      <c r="O7329" t="s">
        <v>83</v>
      </c>
    </row>
    <row r="7330" spans="1:15" x14ac:dyDescent="0.25">
      <c r="A7330" s="22">
        <v>45891</v>
      </c>
      <c r="B7330" s="1">
        <v>817099946</v>
      </c>
      <c r="C7330" t="s">
        <v>5632</v>
      </c>
      <c r="D7330" s="44">
        <v>-5854.8</v>
      </c>
      <c r="E7330" t="s">
        <v>35</v>
      </c>
      <c r="F7330" s="2">
        <v>212901001</v>
      </c>
      <c r="G7330" s="2" t="s">
        <v>91</v>
      </c>
      <c r="I7330" s="95" t="s">
        <v>7231</v>
      </c>
      <c r="J7330" t="s">
        <v>61</v>
      </c>
      <c r="K7330" t="s">
        <v>62</v>
      </c>
      <c r="M7330">
        <v>140.66</v>
      </c>
      <c r="N7330" s="4">
        <f t="shared" si="114"/>
        <v>-41.623773638561069</v>
      </c>
      <c r="O7330" t="s">
        <v>83</v>
      </c>
    </row>
    <row r="7331" spans="1:15" x14ac:dyDescent="0.25">
      <c r="A7331" s="22">
        <v>45891</v>
      </c>
      <c r="B7331" s="1">
        <v>817099950</v>
      </c>
      <c r="C7331" t="s">
        <v>5633</v>
      </c>
      <c r="D7331" s="44">
        <v>-5576</v>
      </c>
      <c r="E7331" t="s">
        <v>35</v>
      </c>
      <c r="F7331" s="2">
        <v>212901001</v>
      </c>
      <c r="G7331" s="2" t="s">
        <v>91</v>
      </c>
      <c r="I7331" s="95" t="s">
        <v>7231</v>
      </c>
      <c r="J7331" t="s">
        <v>61</v>
      </c>
      <c r="K7331" t="s">
        <v>62</v>
      </c>
      <c r="M7331">
        <v>140.66</v>
      </c>
      <c r="N7331" s="4">
        <f t="shared" si="114"/>
        <v>-39.641689179581974</v>
      </c>
      <c r="O7331" t="s">
        <v>83</v>
      </c>
    </row>
    <row r="7332" spans="1:15" x14ac:dyDescent="0.25">
      <c r="A7332" s="22">
        <v>45891</v>
      </c>
      <c r="B7332" s="1">
        <v>817099952</v>
      </c>
      <c r="C7332" t="s">
        <v>5634</v>
      </c>
      <c r="D7332" s="44">
        <v>-5576</v>
      </c>
      <c r="E7332" t="s">
        <v>35</v>
      </c>
      <c r="F7332" s="2">
        <v>212901001</v>
      </c>
      <c r="G7332" s="2" t="s">
        <v>91</v>
      </c>
      <c r="I7332" s="95" t="s">
        <v>7231</v>
      </c>
      <c r="J7332" t="s">
        <v>61</v>
      </c>
      <c r="K7332" t="s">
        <v>62</v>
      </c>
      <c r="M7332">
        <v>140.66</v>
      </c>
      <c r="N7332" s="4">
        <f t="shared" si="114"/>
        <v>-39.641689179581974</v>
      </c>
      <c r="O7332" t="s">
        <v>83</v>
      </c>
    </row>
    <row r="7333" spans="1:15" x14ac:dyDescent="0.25">
      <c r="A7333" s="22">
        <v>45891</v>
      </c>
      <c r="B7333" s="1">
        <v>817099951</v>
      </c>
      <c r="C7333" t="s">
        <v>5635</v>
      </c>
      <c r="D7333" s="44">
        <v>-5576</v>
      </c>
      <c r="E7333" t="s">
        <v>35</v>
      </c>
      <c r="F7333" s="2">
        <v>212901001</v>
      </c>
      <c r="G7333" s="2" t="s">
        <v>91</v>
      </c>
      <c r="I7333" s="95" t="s">
        <v>7231</v>
      </c>
      <c r="J7333" t="s">
        <v>61</v>
      </c>
      <c r="K7333" t="s">
        <v>62</v>
      </c>
      <c r="M7333">
        <v>140.66</v>
      </c>
      <c r="N7333" s="4">
        <f t="shared" si="114"/>
        <v>-39.641689179581974</v>
      </c>
      <c r="O7333" t="s">
        <v>83</v>
      </c>
    </row>
    <row r="7334" spans="1:15" x14ac:dyDescent="0.25">
      <c r="A7334" s="22">
        <v>45891</v>
      </c>
      <c r="B7334" s="1">
        <v>817099953</v>
      </c>
      <c r="C7334" t="s">
        <v>5636</v>
      </c>
      <c r="D7334" s="44">
        <v>-5576</v>
      </c>
      <c r="E7334" t="s">
        <v>35</v>
      </c>
      <c r="F7334" s="2">
        <v>212901001</v>
      </c>
      <c r="G7334" s="2" t="s">
        <v>91</v>
      </c>
      <c r="I7334" s="95" t="s">
        <v>7231</v>
      </c>
      <c r="J7334" t="s">
        <v>61</v>
      </c>
      <c r="K7334" t="s">
        <v>62</v>
      </c>
      <c r="M7334">
        <v>140.66</v>
      </c>
      <c r="N7334" s="4">
        <f t="shared" si="114"/>
        <v>-39.641689179581974</v>
      </c>
      <c r="O7334" t="s">
        <v>83</v>
      </c>
    </row>
    <row r="7335" spans="1:15" x14ac:dyDescent="0.25">
      <c r="A7335" s="22">
        <v>45891</v>
      </c>
      <c r="B7335" s="1">
        <v>917099956</v>
      </c>
      <c r="C7335" t="s">
        <v>5637</v>
      </c>
      <c r="D7335" s="44">
        <v>-5576</v>
      </c>
      <c r="E7335" t="s">
        <v>35</v>
      </c>
      <c r="F7335" s="2">
        <v>212901001</v>
      </c>
      <c r="G7335" s="2" t="s">
        <v>91</v>
      </c>
      <c r="I7335" s="95" t="s">
        <v>7231</v>
      </c>
      <c r="J7335" t="s">
        <v>61</v>
      </c>
      <c r="K7335" t="s">
        <v>62</v>
      </c>
      <c r="M7335">
        <v>140.66</v>
      </c>
      <c r="N7335" s="4">
        <f t="shared" si="114"/>
        <v>-39.641689179581974</v>
      </c>
      <c r="O7335" t="s">
        <v>83</v>
      </c>
    </row>
    <row r="7336" spans="1:15" x14ac:dyDescent="0.25">
      <c r="A7336" s="22">
        <v>45891</v>
      </c>
      <c r="B7336" s="1">
        <v>917099954</v>
      </c>
      <c r="C7336" t="s">
        <v>5638</v>
      </c>
      <c r="D7336" s="44">
        <v>-5576</v>
      </c>
      <c r="E7336" t="s">
        <v>35</v>
      </c>
      <c r="F7336" s="2">
        <v>212901001</v>
      </c>
      <c r="G7336" s="2" t="s">
        <v>91</v>
      </c>
      <c r="I7336" s="95" t="s">
        <v>7231</v>
      </c>
      <c r="J7336" t="s">
        <v>61</v>
      </c>
      <c r="K7336" t="s">
        <v>62</v>
      </c>
      <c r="M7336">
        <v>140.66</v>
      </c>
      <c r="N7336" s="4">
        <f t="shared" si="114"/>
        <v>-39.641689179581974</v>
      </c>
      <c r="O7336" t="s">
        <v>83</v>
      </c>
    </row>
    <row r="7337" spans="1:15" x14ac:dyDescent="0.25">
      <c r="A7337" s="22">
        <v>45891</v>
      </c>
      <c r="B7337" s="1">
        <v>917099957</v>
      </c>
      <c r="C7337" t="s">
        <v>5639</v>
      </c>
      <c r="D7337" s="44">
        <v>-5576</v>
      </c>
      <c r="E7337" t="s">
        <v>35</v>
      </c>
      <c r="F7337" s="2">
        <v>212901001</v>
      </c>
      <c r="G7337" s="2" t="s">
        <v>91</v>
      </c>
      <c r="I7337" s="95" t="s">
        <v>7231</v>
      </c>
      <c r="J7337" t="s">
        <v>61</v>
      </c>
      <c r="K7337" t="s">
        <v>62</v>
      </c>
      <c r="M7337">
        <v>140.66</v>
      </c>
      <c r="N7337" s="4">
        <f t="shared" si="114"/>
        <v>-39.641689179581974</v>
      </c>
      <c r="O7337" t="s">
        <v>83</v>
      </c>
    </row>
    <row r="7338" spans="1:15" x14ac:dyDescent="0.25">
      <c r="A7338" s="22">
        <v>45891</v>
      </c>
      <c r="B7338" s="1">
        <v>917099958</v>
      </c>
      <c r="C7338" t="s">
        <v>5640</v>
      </c>
      <c r="D7338" s="44">
        <v>-13940</v>
      </c>
      <c r="E7338" t="s">
        <v>35</v>
      </c>
      <c r="F7338" s="2">
        <v>212901001</v>
      </c>
      <c r="G7338" s="2" t="s">
        <v>91</v>
      </c>
      <c r="I7338" s="95" t="s">
        <v>7231</v>
      </c>
      <c r="J7338" t="s">
        <v>61</v>
      </c>
      <c r="K7338" t="s">
        <v>62</v>
      </c>
      <c r="M7338">
        <v>140.66</v>
      </c>
      <c r="N7338" s="4">
        <f t="shared" si="114"/>
        <v>-99.104222948954927</v>
      </c>
      <c r="O7338" t="s">
        <v>83</v>
      </c>
    </row>
    <row r="7339" spans="1:15" x14ac:dyDescent="0.25">
      <c r="A7339" s="22">
        <v>45891</v>
      </c>
      <c r="B7339" s="1">
        <v>917099960</v>
      </c>
      <c r="C7339" t="s">
        <v>5641</v>
      </c>
      <c r="D7339" s="44">
        <v>-20910</v>
      </c>
      <c r="E7339" t="s">
        <v>35</v>
      </c>
      <c r="F7339" s="2">
        <v>212901001</v>
      </c>
      <c r="G7339" s="2" t="s">
        <v>91</v>
      </c>
      <c r="I7339" s="95" t="s">
        <v>7231</v>
      </c>
      <c r="J7339" t="s">
        <v>61</v>
      </c>
      <c r="K7339" t="s">
        <v>62</v>
      </c>
      <c r="M7339">
        <v>140.66</v>
      </c>
      <c r="N7339" s="4">
        <f t="shared" si="114"/>
        <v>-148.65633442343238</v>
      </c>
      <c r="O7339" t="s">
        <v>83</v>
      </c>
    </row>
    <row r="7340" spans="1:15" x14ac:dyDescent="0.25">
      <c r="A7340" s="22">
        <v>45891</v>
      </c>
      <c r="B7340" s="1">
        <v>917099959</v>
      </c>
      <c r="C7340" t="s">
        <v>5642</v>
      </c>
      <c r="D7340" s="44">
        <v>-13940</v>
      </c>
      <c r="E7340" t="s">
        <v>35</v>
      </c>
      <c r="F7340" s="2">
        <v>212901001</v>
      </c>
      <c r="G7340" s="2" t="s">
        <v>91</v>
      </c>
      <c r="I7340" s="95" t="s">
        <v>7231</v>
      </c>
      <c r="J7340" t="s">
        <v>61</v>
      </c>
      <c r="K7340" t="s">
        <v>62</v>
      </c>
      <c r="M7340">
        <v>140.66</v>
      </c>
      <c r="N7340" s="4">
        <f t="shared" si="114"/>
        <v>-99.104222948954927</v>
      </c>
      <c r="O7340" t="s">
        <v>83</v>
      </c>
    </row>
    <row r="7341" spans="1:15" x14ac:dyDescent="0.25">
      <c r="A7341" s="22">
        <v>45891</v>
      </c>
      <c r="B7341" s="1">
        <v>917099963</v>
      </c>
      <c r="C7341" t="s">
        <v>5643</v>
      </c>
      <c r="D7341" s="44">
        <v>-13940</v>
      </c>
      <c r="E7341" t="s">
        <v>35</v>
      </c>
      <c r="F7341" s="2">
        <v>212901001</v>
      </c>
      <c r="G7341" s="2" t="s">
        <v>91</v>
      </c>
      <c r="I7341" s="95" t="s">
        <v>7231</v>
      </c>
      <c r="J7341" t="s">
        <v>61</v>
      </c>
      <c r="K7341" t="s">
        <v>62</v>
      </c>
      <c r="M7341">
        <v>140.66</v>
      </c>
      <c r="N7341" s="4">
        <f t="shared" si="114"/>
        <v>-99.104222948954927</v>
      </c>
      <c r="O7341" t="s">
        <v>83</v>
      </c>
    </row>
    <row r="7342" spans="1:15" x14ac:dyDescent="0.25">
      <c r="A7342" s="22">
        <v>45891</v>
      </c>
      <c r="B7342" s="1">
        <v>917099962</v>
      </c>
      <c r="C7342" t="s">
        <v>5644</v>
      </c>
      <c r="D7342" s="44">
        <v>-11152</v>
      </c>
      <c r="E7342" t="s">
        <v>35</v>
      </c>
      <c r="F7342" s="2">
        <v>212901001</v>
      </c>
      <c r="G7342" s="2" t="s">
        <v>91</v>
      </c>
      <c r="I7342" s="95" t="s">
        <v>7231</v>
      </c>
      <c r="J7342" t="s">
        <v>61</v>
      </c>
      <c r="K7342" t="s">
        <v>62</v>
      </c>
      <c r="M7342">
        <v>140.66</v>
      </c>
      <c r="N7342" s="4">
        <f t="shared" si="114"/>
        <v>-79.283378359163947</v>
      </c>
      <c r="O7342" t="s">
        <v>83</v>
      </c>
    </row>
    <row r="7343" spans="1:15" x14ac:dyDescent="0.25">
      <c r="A7343" s="22">
        <v>45891</v>
      </c>
      <c r="B7343" s="1">
        <v>917099961</v>
      </c>
      <c r="C7343" t="s">
        <v>5645</v>
      </c>
      <c r="D7343" s="44">
        <v>-15334</v>
      </c>
      <c r="E7343" t="s">
        <v>35</v>
      </c>
      <c r="F7343" s="2">
        <v>212901001</v>
      </c>
      <c r="G7343" s="2" t="s">
        <v>91</v>
      </c>
      <c r="I7343" s="95" t="s">
        <v>7231</v>
      </c>
      <c r="J7343" t="s">
        <v>61</v>
      </c>
      <c r="K7343" t="s">
        <v>62</v>
      </c>
      <c r="M7343">
        <v>140.66</v>
      </c>
      <c r="N7343" s="4">
        <f t="shared" si="114"/>
        <v>-109.01464524385042</v>
      </c>
      <c r="O7343" t="s">
        <v>83</v>
      </c>
    </row>
    <row r="7344" spans="1:15" x14ac:dyDescent="0.25">
      <c r="A7344" s="22">
        <v>45891</v>
      </c>
      <c r="B7344" s="1">
        <v>17099965</v>
      </c>
      <c r="C7344" t="s">
        <v>5646</v>
      </c>
      <c r="D7344" s="44">
        <v>-9758</v>
      </c>
      <c r="E7344" t="s">
        <v>35</v>
      </c>
      <c r="F7344" s="2">
        <v>212901001</v>
      </c>
      <c r="G7344" s="2" t="s">
        <v>91</v>
      </c>
      <c r="I7344" s="95" t="s">
        <v>7231</v>
      </c>
      <c r="J7344" t="s">
        <v>61</v>
      </c>
      <c r="K7344" t="s">
        <v>62</v>
      </c>
      <c r="M7344">
        <v>140.66</v>
      </c>
      <c r="N7344" s="4">
        <f t="shared" si="114"/>
        <v>-69.37295606426845</v>
      </c>
      <c r="O7344" t="s">
        <v>83</v>
      </c>
    </row>
    <row r="7345" spans="1:15" x14ac:dyDescent="0.25">
      <c r="A7345" s="22">
        <v>45891</v>
      </c>
      <c r="B7345" s="1">
        <v>17099967</v>
      </c>
      <c r="C7345" t="s">
        <v>5647</v>
      </c>
      <c r="D7345" s="44">
        <v>-9758</v>
      </c>
      <c r="E7345" t="s">
        <v>35</v>
      </c>
      <c r="F7345" s="2">
        <v>212901001</v>
      </c>
      <c r="G7345" s="2" t="s">
        <v>91</v>
      </c>
      <c r="I7345" s="95" t="s">
        <v>7231</v>
      </c>
      <c r="J7345" t="s">
        <v>61</v>
      </c>
      <c r="K7345" t="s">
        <v>62</v>
      </c>
      <c r="M7345">
        <v>140.66</v>
      </c>
      <c r="N7345" s="4">
        <f t="shared" si="114"/>
        <v>-69.37295606426845</v>
      </c>
      <c r="O7345" t="s">
        <v>83</v>
      </c>
    </row>
    <row r="7346" spans="1:15" x14ac:dyDescent="0.25">
      <c r="A7346" s="22">
        <v>45891</v>
      </c>
      <c r="B7346" s="1">
        <v>17099968</v>
      </c>
      <c r="C7346" t="s">
        <v>5648</v>
      </c>
      <c r="D7346" s="44">
        <v>-6970</v>
      </c>
      <c r="E7346" t="s">
        <v>35</v>
      </c>
      <c r="F7346" s="2">
        <v>212901001</v>
      </c>
      <c r="G7346" s="2" t="s">
        <v>91</v>
      </c>
      <c r="I7346" s="95" t="s">
        <v>7231</v>
      </c>
      <c r="J7346" t="s">
        <v>61</v>
      </c>
      <c r="K7346" t="s">
        <v>62</v>
      </c>
      <c r="M7346">
        <v>140.66</v>
      </c>
      <c r="N7346" s="4">
        <f t="shared" si="114"/>
        <v>-49.552111474477464</v>
      </c>
      <c r="O7346" t="s">
        <v>83</v>
      </c>
    </row>
    <row r="7347" spans="1:15" x14ac:dyDescent="0.25">
      <c r="A7347" s="22">
        <v>45891</v>
      </c>
      <c r="B7347" s="1">
        <v>17099970</v>
      </c>
      <c r="C7347" t="s">
        <v>5649</v>
      </c>
      <c r="D7347" s="44">
        <v>-6970</v>
      </c>
      <c r="E7347" t="s">
        <v>35</v>
      </c>
      <c r="F7347" s="2">
        <v>212901001</v>
      </c>
      <c r="G7347" s="2" t="s">
        <v>91</v>
      </c>
      <c r="I7347" s="95" t="s">
        <v>7231</v>
      </c>
      <c r="J7347" t="s">
        <v>61</v>
      </c>
      <c r="K7347" t="s">
        <v>62</v>
      </c>
      <c r="M7347">
        <v>140.66</v>
      </c>
      <c r="N7347" s="4">
        <f t="shared" si="114"/>
        <v>-49.552111474477464</v>
      </c>
      <c r="O7347" t="s">
        <v>83</v>
      </c>
    </row>
    <row r="7348" spans="1:15" x14ac:dyDescent="0.25">
      <c r="A7348" s="22">
        <v>45891</v>
      </c>
      <c r="B7348" s="1">
        <v>17099972</v>
      </c>
      <c r="C7348" t="s">
        <v>5650</v>
      </c>
      <c r="D7348" s="44">
        <v>-6970</v>
      </c>
      <c r="E7348" t="s">
        <v>35</v>
      </c>
      <c r="F7348" s="2">
        <v>212901001</v>
      </c>
      <c r="G7348" s="2" t="s">
        <v>91</v>
      </c>
      <c r="I7348" s="95" t="s">
        <v>7231</v>
      </c>
      <c r="J7348" t="s">
        <v>61</v>
      </c>
      <c r="K7348" t="s">
        <v>62</v>
      </c>
      <c r="M7348">
        <v>140.66</v>
      </c>
      <c r="N7348" s="4">
        <f t="shared" si="114"/>
        <v>-49.552111474477464</v>
      </c>
      <c r="O7348" t="s">
        <v>83</v>
      </c>
    </row>
    <row r="7349" spans="1:15" x14ac:dyDescent="0.25">
      <c r="A7349" s="22">
        <v>45891</v>
      </c>
      <c r="B7349" s="1">
        <v>17099969</v>
      </c>
      <c r="C7349" t="s">
        <v>5651</v>
      </c>
      <c r="D7349" s="44">
        <v>-9758</v>
      </c>
      <c r="E7349" t="s">
        <v>35</v>
      </c>
      <c r="F7349" s="2">
        <v>212901001</v>
      </c>
      <c r="G7349" s="2" t="s">
        <v>91</v>
      </c>
      <c r="I7349" s="95" t="s">
        <v>7231</v>
      </c>
      <c r="J7349" t="s">
        <v>61</v>
      </c>
      <c r="K7349" t="s">
        <v>62</v>
      </c>
      <c r="M7349">
        <v>140.66</v>
      </c>
      <c r="N7349" s="4">
        <f t="shared" si="114"/>
        <v>-69.37295606426845</v>
      </c>
      <c r="O7349" t="s">
        <v>83</v>
      </c>
    </row>
    <row r="7350" spans="1:15" x14ac:dyDescent="0.25">
      <c r="A7350" s="22">
        <v>45891</v>
      </c>
      <c r="B7350" s="1">
        <v>117099977</v>
      </c>
      <c r="C7350" t="s">
        <v>5652</v>
      </c>
      <c r="D7350" s="44">
        <v>-6970</v>
      </c>
      <c r="E7350" t="s">
        <v>35</v>
      </c>
      <c r="F7350" s="2">
        <v>212901001</v>
      </c>
      <c r="G7350" s="2" t="s">
        <v>91</v>
      </c>
      <c r="I7350" s="95" t="s">
        <v>7231</v>
      </c>
      <c r="J7350" t="s">
        <v>61</v>
      </c>
      <c r="K7350" t="s">
        <v>62</v>
      </c>
      <c r="M7350">
        <v>140.66</v>
      </c>
      <c r="N7350" s="4">
        <f t="shared" si="114"/>
        <v>-49.552111474477464</v>
      </c>
      <c r="O7350" t="s">
        <v>83</v>
      </c>
    </row>
    <row r="7351" spans="1:15" x14ac:dyDescent="0.25">
      <c r="A7351" s="22">
        <v>45891</v>
      </c>
      <c r="B7351" s="1">
        <v>117099975</v>
      </c>
      <c r="C7351" t="s">
        <v>5653</v>
      </c>
      <c r="D7351" s="44">
        <v>-6970</v>
      </c>
      <c r="E7351" t="s">
        <v>35</v>
      </c>
      <c r="F7351" s="2">
        <v>212901001</v>
      </c>
      <c r="G7351" s="2" t="s">
        <v>91</v>
      </c>
      <c r="I7351" s="95" t="s">
        <v>7231</v>
      </c>
      <c r="J7351" t="s">
        <v>61</v>
      </c>
      <c r="K7351" t="s">
        <v>62</v>
      </c>
      <c r="M7351">
        <v>140.66</v>
      </c>
      <c r="N7351" s="4">
        <f t="shared" si="114"/>
        <v>-49.552111474477464</v>
      </c>
      <c r="O7351" t="s">
        <v>83</v>
      </c>
    </row>
    <row r="7352" spans="1:15" x14ac:dyDescent="0.25">
      <c r="A7352" s="22">
        <v>45891</v>
      </c>
      <c r="B7352" s="1">
        <v>17099973</v>
      </c>
      <c r="C7352" t="s">
        <v>5651</v>
      </c>
      <c r="D7352" s="44">
        <v>-6970</v>
      </c>
      <c r="E7352" t="s">
        <v>35</v>
      </c>
      <c r="F7352" s="2">
        <v>212901001</v>
      </c>
      <c r="G7352" s="2" t="s">
        <v>91</v>
      </c>
      <c r="I7352" s="95" t="s">
        <v>7231</v>
      </c>
      <c r="J7352" t="s">
        <v>61</v>
      </c>
      <c r="K7352" t="s">
        <v>62</v>
      </c>
      <c r="M7352">
        <v>140.66</v>
      </c>
      <c r="N7352" s="4">
        <f t="shared" si="114"/>
        <v>-49.552111474477464</v>
      </c>
      <c r="O7352" t="s">
        <v>83</v>
      </c>
    </row>
    <row r="7353" spans="1:15" x14ac:dyDescent="0.25">
      <c r="A7353" s="22">
        <v>45891</v>
      </c>
      <c r="B7353" s="1">
        <v>117099976</v>
      </c>
      <c r="C7353" t="s">
        <v>5654</v>
      </c>
      <c r="D7353" s="44">
        <v>-6970</v>
      </c>
      <c r="E7353" t="s">
        <v>35</v>
      </c>
      <c r="F7353" s="2">
        <v>212901001</v>
      </c>
      <c r="G7353" s="2" t="s">
        <v>91</v>
      </c>
      <c r="I7353" s="95" t="s">
        <v>7231</v>
      </c>
      <c r="J7353" t="s">
        <v>61</v>
      </c>
      <c r="K7353" t="s">
        <v>62</v>
      </c>
      <c r="M7353">
        <v>140.66</v>
      </c>
      <c r="N7353" s="4">
        <f t="shared" si="114"/>
        <v>-49.552111474477464</v>
      </c>
      <c r="O7353" t="s">
        <v>83</v>
      </c>
    </row>
    <row r="7354" spans="1:15" x14ac:dyDescent="0.25">
      <c r="A7354" s="22">
        <v>45891</v>
      </c>
      <c r="B7354" s="1">
        <v>117099979</v>
      </c>
      <c r="C7354" t="s">
        <v>5655</v>
      </c>
      <c r="D7354" s="44">
        <v>-6970</v>
      </c>
      <c r="E7354" t="s">
        <v>35</v>
      </c>
      <c r="F7354" s="2">
        <v>212901001</v>
      </c>
      <c r="G7354" s="2" t="s">
        <v>91</v>
      </c>
      <c r="I7354" s="95" t="s">
        <v>7231</v>
      </c>
      <c r="J7354" t="s">
        <v>61</v>
      </c>
      <c r="K7354" t="s">
        <v>62</v>
      </c>
      <c r="M7354">
        <v>140.66</v>
      </c>
      <c r="N7354" s="4">
        <f t="shared" si="114"/>
        <v>-49.552111474477464</v>
      </c>
      <c r="O7354" t="s">
        <v>83</v>
      </c>
    </row>
    <row r="7355" spans="1:15" x14ac:dyDescent="0.25">
      <c r="A7355" s="22">
        <v>45891</v>
      </c>
      <c r="B7355" s="1">
        <v>117099981</v>
      </c>
      <c r="C7355" t="s">
        <v>5656</v>
      </c>
      <c r="D7355" s="44">
        <v>-6970</v>
      </c>
      <c r="E7355" t="s">
        <v>35</v>
      </c>
      <c r="F7355" s="2">
        <v>212901001</v>
      </c>
      <c r="G7355" s="2" t="s">
        <v>91</v>
      </c>
      <c r="I7355" s="95" t="s">
        <v>7231</v>
      </c>
      <c r="J7355" t="s">
        <v>61</v>
      </c>
      <c r="K7355" t="s">
        <v>62</v>
      </c>
      <c r="M7355">
        <v>140.66</v>
      </c>
      <c r="N7355" s="4">
        <f t="shared" si="114"/>
        <v>-49.552111474477464</v>
      </c>
      <c r="O7355" t="s">
        <v>83</v>
      </c>
    </row>
    <row r="7356" spans="1:15" x14ac:dyDescent="0.25">
      <c r="A7356" s="22">
        <v>45891</v>
      </c>
      <c r="B7356" s="1">
        <v>117099982</v>
      </c>
      <c r="C7356" t="s">
        <v>5657</v>
      </c>
      <c r="D7356" s="44">
        <v>-6970</v>
      </c>
      <c r="E7356" t="s">
        <v>35</v>
      </c>
      <c r="F7356" s="2">
        <v>212901001</v>
      </c>
      <c r="G7356" s="2" t="s">
        <v>91</v>
      </c>
      <c r="I7356" s="95" t="s">
        <v>7231</v>
      </c>
      <c r="J7356" t="s">
        <v>61</v>
      </c>
      <c r="K7356" t="s">
        <v>62</v>
      </c>
      <c r="M7356">
        <v>140.66</v>
      </c>
      <c r="N7356" s="4">
        <f t="shared" si="114"/>
        <v>-49.552111474477464</v>
      </c>
      <c r="O7356" t="s">
        <v>83</v>
      </c>
    </row>
    <row r="7357" spans="1:15" x14ac:dyDescent="0.25">
      <c r="A7357" s="22">
        <v>45891</v>
      </c>
      <c r="B7357" s="1">
        <v>117099980</v>
      </c>
      <c r="C7357" t="s">
        <v>5658</v>
      </c>
      <c r="D7357" s="44">
        <v>-6970</v>
      </c>
      <c r="E7357" t="s">
        <v>35</v>
      </c>
      <c r="F7357" s="2">
        <v>212901001</v>
      </c>
      <c r="G7357" s="2" t="s">
        <v>91</v>
      </c>
      <c r="I7357" s="95" t="s">
        <v>7231</v>
      </c>
      <c r="J7357" t="s">
        <v>61</v>
      </c>
      <c r="K7357" t="s">
        <v>62</v>
      </c>
      <c r="M7357">
        <v>140.66</v>
      </c>
      <c r="N7357" s="4">
        <f t="shared" si="114"/>
        <v>-49.552111474477464</v>
      </c>
      <c r="O7357" t="s">
        <v>83</v>
      </c>
    </row>
    <row r="7358" spans="1:15" x14ac:dyDescent="0.25">
      <c r="A7358" s="22">
        <v>45891</v>
      </c>
      <c r="B7358" s="1">
        <v>117099984</v>
      </c>
      <c r="C7358" t="s">
        <v>5659</v>
      </c>
      <c r="D7358" s="44">
        <v>-6970</v>
      </c>
      <c r="E7358" t="s">
        <v>35</v>
      </c>
      <c r="F7358" s="2">
        <v>212901001</v>
      </c>
      <c r="G7358" s="2" t="s">
        <v>91</v>
      </c>
      <c r="I7358" s="95" t="s">
        <v>7231</v>
      </c>
      <c r="J7358" t="s">
        <v>61</v>
      </c>
      <c r="K7358" t="s">
        <v>62</v>
      </c>
      <c r="M7358">
        <v>140.66</v>
      </c>
      <c r="N7358" s="4">
        <f t="shared" si="114"/>
        <v>-49.552111474477464</v>
      </c>
      <c r="O7358" t="s">
        <v>83</v>
      </c>
    </row>
    <row r="7359" spans="1:15" x14ac:dyDescent="0.25">
      <c r="A7359" s="22">
        <v>45891</v>
      </c>
      <c r="B7359" s="1">
        <v>117099983</v>
      </c>
      <c r="C7359" t="s">
        <v>5660</v>
      </c>
      <c r="D7359" s="44">
        <v>-6970</v>
      </c>
      <c r="E7359" t="s">
        <v>35</v>
      </c>
      <c r="F7359" s="2">
        <v>212901001</v>
      </c>
      <c r="G7359" s="2" t="s">
        <v>91</v>
      </c>
      <c r="I7359" s="95" t="s">
        <v>7231</v>
      </c>
      <c r="J7359" t="s">
        <v>61</v>
      </c>
      <c r="K7359" t="s">
        <v>62</v>
      </c>
      <c r="M7359">
        <v>140.66</v>
      </c>
      <c r="N7359" s="4">
        <f t="shared" si="114"/>
        <v>-49.552111474477464</v>
      </c>
      <c r="O7359" t="s">
        <v>83</v>
      </c>
    </row>
    <row r="7360" spans="1:15" x14ac:dyDescent="0.25">
      <c r="A7360" s="22">
        <v>45891</v>
      </c>
      <c r="B7360" s="1">
        <v>217099987</v>
      </c>
      <c r="C7360" t="s">
        <v>5661</v>
      </c>
      <c r="D7360" s="44">
        <v>-2788</v>
      </c>
      <c r="E7360" t="s">
        <v>35</v>
      </c>
      <c r="F7360" s="2">
        <v>212901001</v>
      </c>
      <c r="G7360" s="2" t="s">
        <v>91</v>
      </c>
      <c r="I7360" s="95" t="s">
        <v>7231</v>
      </c>
      <c r="J7360" t="s">
        <v>61</v>
      </c>
      <c r="K7360" t="s">
        <v>62</v>
      </c>
      <c r="M7360">
        <v>140.66</v>
      </c>
      <c r="N7360" s="4">
        <f t="shared" si="114"/>
        <v>-19.820844589790987</v>
      </c>
      <c r="O7360" t="s">
        <v>83</v>
      </c>
    </row>
    <row r="7361" spans="1:17" x14ac:dyDescent="0.25">
      <c r="A7361" s="22">
        <v>45891</v>
      </c>
      <c r="B7361" s="1">
        <v>217099986</v>
      </c>
      <c r="C7361" t="s">
        <v>5662</v>
      </c>
      <c r="D7361" s="44">
        <v>-2788</v>
      </c>
      <c r="E7361" t="s">
        <v>35</v>
      </c>
      <c r="F7361" s="2">
        <v>212901001</v>
      </c>
      <c r="G7361" s="2" t="s">
        <v>91</v>
      </c>
      <c r="I7361" s="95" t="s">
        <v>7231</v>
      </c>
      <c r="J7361" t="s">
        <v>61</v>
      </c>
      <c r="K7361" t="s">
        <v>62</v>
      </c>
      <c r="M7361">
        <v>140.66</v>
      </c>
      <c r="N7361" s="4">
        <f t="shared" si="114"/>
        <v>-19.820844589790987</v>
      </c>
      <c r="O7361" t="s">
        <v>83</v>
      </c>
    </row>
    <row r="7362" spans="1:17" x14ac:dyDescent="0.25">
      <c r="A7362" s="22">
        <v>45891</v>
      </c>
      <c r="B7362" s="1">
        <v>117099985</v>
      </c>
      <c r="C7362" t="s">
        <v>5663</v>
      </c>
      <c r="D7362" s="44">
        <v>-6970</v>
      </c>
      <c r="E7362" t="s">
        <v>35</v>
      </c>
      <c r="F7362" s="2">
        <v>212901001</v>
      </c>
      <c r="G7362" s="2" t="s">
        <v>91</v>
      </c>
      <c r="I7362" s="95" t="s">
        <v>7231</v>
      </c>
      <c r="J7362" t="s">
        <v>61</v>
      </c>
      <c r="K7362" t="s">
        <v>62</v>
      </c>
      <c r="M7362">
        <v>140.66</v>
      </c>
      <c r="N7362" s="4">
        <f t="shared" si="114"/>
        <v>-49.552111474477464</v>
      </c>
      <c r="O7362" t="s">
        <v>83</v>
      </c>
    </row>
    <row r="7363" spans="1:17" x14ac:dyDescent="0.25">
      <c r="A7363" s="22">
        <v>45891</v>
      </c>
      <c r="B7363" s="1">
        <v>217099990</v>
      </c>
      <c r="C7363" t="s">
        <v>5664</v>
      </c>
      <c r="D7363" s="44">
        <v>-2788</v>
      </c>
      <c r="E7363" t="s">
        <v>35</v>
      </c>
      <c r="F7363" s="2">
        <v>212901001</v>
      </c>
      <c r="G7363" s="2" t="s">
        <v>91</v>
      </c>
      <c r="I7363" s="95" t="s">
        <v>7231</v>
      </c>
      <c r="J7363" t="s">
        <v>61</v>
      </c>
      <c r="K7363" t="s">
        <v>62</v>
      </c>
      <c r="M7363">
        <v>140.66</v>
      </c>
      <c r="N7363" s="4">
        <f t="shared" si="114"/>
        <v>-19.820844589790987</v>
      </c>
      <c r="O7363" t="s">
        <v>83</v>
      </c>
    </row>
    <row r="7364" spans="1:17" x14ac:dyDescent="0.25">
      <c r="A7364" s="22">
        <v>45891</v>
      </c>
      <c r="B7364" s="1">
        <v>217099992</v>
      </c>
      <c r="C7364" t="s">
        <v>5665</v>
      </c>
      <c r="D7364" s="44">
        <v>-27880</v>
      </c>
      <c r="E7364" t="s">
        <v>35</v>
      </c>
      <c r="F7364" s="2">
        <v>212901001</v>
      </c>
      <c r="G7364" s="2" t="s">
        <v>91</v>
      </c>
      <c r="I7364" s="95" t="s">
        <v>7231</v>
      </c>
      <c r="J7364" t="s">
        <v>61</v>
      </c>
      <c r="K7364" t="s">
        <v>62</v>
      </c>
      <c r="M7364">
        <v>140.66</v>
      </c>
      <c r="N7364" s="4">
        <f t="shared" si="114"/>
        <v>-198.20844589790985</v>
      </c>
      <c r="O7364" t="s">
        <v>83</v>
      </c>
    </row>
    <row r="7365" spans="1:17" x14ac:dyDescent="0.25">
      <c r="A7365" s="22">
        <v>45891</v>
      </c>
      <c r="B7365" s="1">
        <v>217099988</v>
      </c>
      <c r="C7365" t="s">
        <v>5666</v>
      </c>
      <c r="D7365" s="44">
        <v>-2788</v>
      </c>
      <c r="E7365" t="s">
        <v>35</v>
      </c>
      <c r="F7365" s="2">
        <v>212901001</v>
      </c>
      <c r="G7365" s="2" t="s">
        <v>91</v>
      </c>
      <c r="I7365" s="95" t="s">
        <v>7231</v>
      </c>
      <c r="J7365" t="s">
        <v>61</v>
      </c>
      <c r="K7365" t="s">
        <v>62</v>
      </c>
      <c r="M7365">
        <v>140.66</v>
      </c>
      <c r="N7365" s="4">
        <f t="shared" si="114"/>
        <v>-19.820844589790987</v>
      </c>
      <c r="O7365" t="s">
        <v>83</v>
      </c>
    </row>
    <row r="7366" spans="1:17" x14ac:dyDescent="0.25">
      <c r="A7366" s="22">
        <v>45891</v>
      </c>
      <c r="B7366" s="1">
        <v>217099991</v>
      </c>
      <c r="C7366" t="s">
        <v>5667</v>
      </c>
      <c r="D7366" s="44">
        <v>-13940</v>
      </c>
      <c r="E7366" t="s">
        <v>35</v>
      </c>
      <c r="F7366" s="2">
        <v>212901001</v>
      </c>
      <c r="G7366" s="2" t="s">
        <v>91</v>
      </c>
      <c r="I7366" s="95" t="s">
        <v>7231</v>
      </c>
      <c r="J7366" t="s">
        <v>61</v>
      </c>
      <c r="K7366" t="s">
        <v>62</v>
      </c>
      <c r="M7366">
        <v>140.66</v>
      </c>
      <c r="N7366" s="4">
        <f t="shared" si="114"/>
        <v>-99.104222948954927</v>
      </c>
      <c r="O7366" t="s">
        <v>83</v>
      </c>
    </row>
    <row r="7367" spans="1:17" x14ac:dyDescent="0.25">
      <c r="A7367" s="22">
        <v>45891</v>
      </c>
      <c r="B7367" s="1">
        <v>217099994</v>
      </c>
      <c r="C7367" t="s">
        <v>5668</v>
      </c>
      <c r="D7367" s="44">
        <v>-4182</v>
      </c>
      <c r="E7367" t="s">
        <v>35</v>
      </c>
      <c r="F7367" s="2">
        <v>212901001</v>
      </c>
      <c r="G7367" s="2" t="s">
        <v>91</v>
      </c>
      <c r="I7367" s="95" t="s">
        <v>7231</v>
      </c>
      <c r="J7367" t="s">
        <v>61</v>
      </c>
      <c r="K7367" t="s">
        <v>62</v>
      </c>
      <c r="M7367">
        <v>140.66</v>
      </c>
      <c r="N7367" s="4">
        <f t="shared" si="114"/>
        <v>-29.73126688468648</v>
      </c>
      <c r="O7367" t="s">
        <v>83</v>
      </c>
    </row>
    <row r="7368" spans="1:17" x14ac:dyDescent="0.25">
      <c r="A7368" s="22">
        <v>45891</v>
      </c>
      <c r="B7368" s="1">
        <v>217099993</v>
      </c>
      <c r="C7368" t="s">
        <v>5669</v>
      </c>
      <c r="D7368" s="44">
        <v>-17006.8</v>
      </c>
      <c r="E7368" t="s">
        <v>35</v>
      </c>
      <c r="F7368" s="2">
        <v>212901001</v>
      </c>
      <c r="G7368" s="2" t="s">
        <v>91</v>
      </c>
      <c r="I7368" s="95" t="s">
        <v>7231</v>
      </c>
      <c r="J7368" t="s">
        <v>61</v>
      </c>
      <c r="K7368" t="s">
        <v>62</v>
      </c>
      <c r="M7368">
        <v>140.66</v>
      </c>
      <c r="N7368" s="4">
        <f t="shared" si="114"/>
        <v>-120.90715199772501</v>
      </c>
      <c r="O7368" t="s">
        <v>83</v>
      </c>
    </row>
    <row r="7369" spans="1:17" x14ac:dyDescent="0.25">
      <c r="A7369" s="22">
        <v>45891</v>
      </c>
      <c r="B7369" s="1">
        <v>317099995</v>
      </c>
      <c r="C7369" t="s">
        <v>5670</v>
      </c>
      <c r="D7369" s="44">
        <v>-5576</v>
      </c>
      <c r="E7369" t="s">
        <v>35</v>
      </c>
      <c r="F7369" s="2">
        <v>212901001</v>
      </c>
      <c r="G7369" s="2" t="s">
        <v>91</v>
      </c>
      <c r="I7369" s="95" t="s">
        <v>7231</v>
      </c>
      <c r="J7369" t="s">
        <v>61</v>
      </c>
      <c r="K7369" t="s">
        <v>62</v>
      </c>
      <c r="M7369">
        <v>140.66</v>
      </c>
      <c r="N7369" s="4">
        <f t="shared" si="114"/>
        <v>-39.641689179581974</v>
      </c>
      <c r="O7369" t="s">
        <v>83</v>
      </c>
    </row>
    <row r="7370" spans="1:17" x14ac:dyDescent="0.25">
      <c r="A7370" s="22">
        <v>45891</v>
      </c>
      <c r="B7370" s="1">
        <v>50891826</v>
      </c>
      <c r="C7370" t="s">
        <v>5671</v>
      </c>
      <c r="D7370" s="44">
        <v>-19516</v>
      </c>
      <c r="E7370" t="s">
        <v>35</v>
      </c>
      <c r="F7370" s="2">
        <v>212901001</v>
      </c>
      <c r="G7370" s="2" t="s">
        <v>91</v>
      </c>
      <c r="I7370" s="95" t="s">
        <v>7231</v>
      </c>
      <c r="J7370" t="s">
        <v>61</v>
      </c>
      <c r="K7370" t="s">
        <v>62</v>
      </c>
      <c r="M7370">
        <v>140.66</v>
      </c>
      <c r="N7370" s="4">
        <f t="shared" si="114"/>
        <v>-138.7459121285369</v>
      </c>
      <c r="O7370" t="s">
        <v>83</v>
      </c>
    </row>
    <row r="7371" spans="1:17" x14ac:dyDescent="0.25">
      <c r="A7371" s="22">
        <v>45891</v>
      </c>
      <c r="B7371" s="1">
        <v>50891826</v>
      </c>
      <c r="C7371" t="s">
        <v>179</v>
      </c>
      <c r="D7371" s="44">
        <v>-29.27</v>
      </c>
      <c r="E7371" t="s">
        <v>35</v>
      </c>
      <c r="F7371" s="2">
        <v>610148001</v>
      </c>
      <c r="G7371" s="2" t="s">
        <v>41</v>
      </c>
      <c r="I7371" s="95" t="s">
        <v>7231</v>
      </c>
      <c r="J7371" t="s">
        <v>42</v>
      </c>
      <c r="K7371" t="s">
        <v>41</v>
      </c>
      <c r="M7371">
        <v>140.66</v>
      </c>
      <c r="N7371" s="4">
        <f t="shared" si="114"/>
        <v>-0.20809043082610551</v>
      </c>
      <c r="O7371" t="s">
        <v>83</v>
      </c>
      <c r="Q7371" s="24" t="s">
        <v>5251</v>
      </c>
    </row>
    <row r="7372" spans="1:17" x14ac:dyDescent="0.25">
      <c r="A7372" s="22">
        <v>45891</v>
      </c>
      <c r="B7372" s="1">
        <v>50891826</v>
      </c>
      <c r="C7372" t="s">
        <v>89</v>
      </c>
      <c r="D7372" s="44">
        <v>-1534.79</v>
      </c>
      <c r="E7372" t="s">
        <v>35</v>
      </c>
      <c r="F7372" s="2">
        <v>610148001</v>
      </c>
      <c r="G7372" s="2" t="s">
        <v>41</v>
      </c>
      <c r="I7372" s="95" t="s">
        <v>7231</v>
      </c>
      <c r="J7372" t="s">
        <v>42</v>
      </c>
      <c r="K7372" t="s">
        <v>41</v>
      </c>
      <c r="M7372">
        <v>140.66</v>
      </c>
      <c r="N7372" s="4">
        <f t="shared" ref="N7372:N7435" si="115">D7372/M7372</f>
        <v>-10.911346509313237</v>
      </c>
      <c r="O7372" t="s">
        <v>83</v>
      </c>
      <c r="Q7372" s="24" t="s">
        <v>5251</v>
      </c>
    </row>
    <row r="7373" spans="1:17" x14ac:dyDescent="0.25">
      <c r="A7373" s="22">
        <v>45894</v>
      </c>
      <c r="B7373" s="1">
        <v>639460465</v>
      </c>
      <c r="C7373" t="s">
        <v>82</v>
      </c>
      <c r="D7373" s="44">
        <v>200000</v>
      </c>
      <c r="E7373" t="s">
        <v>45</v>
      </c>
      <c r="F7373" s="2">
        <v>210115002</v>
      </c>
      <c r="G7373" s="2" t="s">
        <v>46</v>
      </c>
      <c r="I7373" s="95" t="s">
        <v>7231</v>
      </c>
      <c r="K7373" t="s">
        <v>82</v>
      </c>
      <c r="M7373">
        <v>141.88</v>
      </c>
      <c r="N7373" s="4">
        <f t="shared" si="115"/>
        <v>1409.6419509444602</v>
      </c>
      <c r="O7373" t="s">
        <v>83</v>
      </c>
    </row>
    <row r="7374" spans="1:17" x14ac:dyDescent="0.25">
      <c r="A7374" s="22">
        <v>45894</v>
      </c>
      <c r="B7374" s="1">
        <v>952481770</v>
      </c>
      <c r="C7374" t="s">
        <v>82</v>
      </c>
      <c r="D7374" s="44">
        <v>200000</v>
      </c>
      <c r="E7374" t="s">
        <v>45</v>
      </c>
      <c r="F7374" s="2">
        <v>210115002</v>
      </c>
      <c r="G7374" s="2" t="s">
        <v>46</v>
      </c>
      <c r="I7374" s="95" t="s">
        <v>7231</v>
      </c>
      <c r="K7374" t="s">
        <v>82</v>
      </c>
      <c r="M7374">
        <v>141.88</v>
      </c>
      <c r="N7374" s="4">
        <f t="shared" si="115"/>
        <v>1409.6419509444602</v>
      </c>
      <c r="O7374" t="s">
        <v>83</v>
      </c>
    </row>
    <row r="7375" spans="1:17" x14ac:dyDescent="0.25">
      <c r="A7375" s="22">
        <v>45894</v>
      </c>
      <c r="B7375" s="1">
        <v>814885910</v>
      </c>
      <c r="C7375" t="s">
        <v>82</v>
      </c>
      <c r="D7375" s="44">
        <v>200000</v>
      </c>
      <c r="E7375" t="s">
        <v>45</v>
      </c>
      <c r="F7375" s="2">
        <v>210115002</v>
      </c>
      <c r="G7375" s="2" t="s">
        <v>46</v>
      </c>
      <c r="I7375" s="95" t="s">
        <v>7231</v>
      </c>
      <c r="K7375" t="s">
        <v>82</v>
      </c>
      <c r="M7375">
        <v>141.88</v>
      </c>
      <c r="N7375" s="4">
        <f t="shared" si="115"/>
        <v>1409.6419509444602</v>
      </c>
      <c r="O7375" t="s">
        <v>83</v>
      </c>
    </row>
    <row r="7376" spans="1:17" x14ac:dyDescent="0.25">
      <c r="A7376" s="22">
        <v>45894</v>
      </c>
      <c r="B7376" s="1">
        <v>935709410</v>
      </c>
      <c r="C7376" t="s">
        <v>82</v>
      </c>
      <c r="D7376" s="44">
        <v>200000</v>
      </c>
      <c r="E7376" t="s">
        <v>45</v>
      </c>
      <c r="F7376" s="2">
        <v>210115002</v>
      </c>
      <c r="G7376" s="2" t="s">
        <v>46</v>
      </c>
      <c r="I7376" s="95" t="s">
        <v>7231</v>
      </c>
      <c r="K7376" t="s">
        <v>82</v>
      </c>
      <c r="M7376">
        <v>141.88</v>
      </c>
      <c r="N7376" s="4">
        <f t="shared" si="115"/>
        <v>1409.6419509444602</v>
      </c>
      <c r="O7376" t="s">
        <v>83</v>
      </c>
    </row>
    <row r="7377" spans="1:17" x14ac:dyDescent="0.25">
      <c r="A7377" s="22">
        <v>45894</v>
      </c>
      <c r="B7377" s="1">
        <v>226156252</v>
      </c>
      <c r="C7377" t="s">
        <v>82</v>
      </c>
      <c r="D7377" s="44">
        <v>200000</v>
      </c>
      <c r="E7377" t="s">
        <v>45</v>
      </c>
      <c r="F7377" s="2">
        <v>210115002</v>
      </c>
      <c r="G7377" s="2" t="s">
        <v>46</v>
      </c>
      <c r="I7377" s="95" t="s">
        <v>7231</v>
      </c>
      <c r="K7377" t="s">
        <v>82</v>
      </c>
      <c r="M7377">
        <v>141.88</v>
      </c>
      <c r="N7377" s="4">
        <f t="shared" si="115"/>
        <v>1409.6419509444602</v>
      </c>
      <c r="O7377" t="s">
        <v>83</v>
      </c>
    </row>
    <row r="7378" spans="1:17" x14ac:dyDescent="0.25">
      <c r="A7378" s="22">
        <v>45894</v>
      </c>
      <c r="B7378" s="1">
        <v>80234054</v>
      </c>
      <c r="C7378" t="s">
        <v>82</v>
      </c>
      <c r="D7378" s="44">
        <v>200000</v>
      </c>
      <c r="E7378" t="s">
        <v>45</v>
      </c>
      <c r="F7378" s="2">
        <v>210115002</v>
      </c>
      <c r="G7378" s="2" t="s">
        <v>46</v>
      </c>
      <c r="I7378" s="95" t="s">
        <v>7231</v>
      </c>
      <c r="K7378" t="s">
        <v>82</v>
      </c>
      <c r="M7378">
        <v>141.88</v>
      </c>
      <c r="N7378" s="4">
        <f t="shared" si="115"/>
        <v>1409.6419509444602</v>
      </c>
      <c r="O7378" t="s">
        <v>83</v>
      </c>
    </row>
    <row r="7379" spans="1:17" x14ac:dyDescent="0.25">
      <c r="A7379" s="22">
        <v>45894</v>
      </c>
      <c r="B7379" s="1">
        <v>148484109</v>
      </c>
      <c r="C7379" t="s">
        <v>82</v>
      </c>
      <c r="D7379" s="44">
        <v>100000</v>
      </c>
      <c r="E7379" t="s">
        <v>45</v>
      </c>
      <c r="F7379" s="2">
        <v>210115002</v>
      </c>
      <c r="G7379" s="2" t="s">
        <v>46</v>
      </c>
      <c r="I7379" s="95" t="s">
        <v>7231</v>
      </c>
      <c r="K7379" t="s">
        <v>82</v>
      </c>
      <c r="M7379">
        <v>141.88</v>
      </c>
      <c r="N7379" s="4">
        <f t="shared" si="115"/>
        <v>704.82097547223009</v>
      </c>
      <c r="O7379" t="s">
        <v>83</v>
      </c>
    </row>
    <row r="7380" spans="1:17" x14ac:dyDescent="0.25">
      <c r="A7380" s="22">
        <v>45894</v>
      </c>
      <c r="B7380" s="1">
        <v>17271256</v>
      </c>
      <c r="C7380" t="s">
        <v>5672</v>
      </c>
      <c r="D7380" s="44">
        <v>-3486</v>
      </c>
      <c r="E7380" t="s">
        <v>35</v>
      </c>
      <c r="F7380" s="2">
        <v>210101001</v>
      </c>
      <c r="G7380" s="2" t="s">
        <v>36</v>
      </c>
      <c r="I7380" s="95" t="s">
        <v>7231</v>
      </c>
      <c r="J7380" t="s">
        <v>182</v>
      </c>
      <c r="K7380" t="s">
        <v>183</v>
      </c>
      <c r="M7380">
        <v>141.88</v>
      </c>
      <c r="N7380" s="4">
        <f t="shared" si="115"/>
        <v>-24.57005920496194</v>
      </c>
      <c r="O7380" t="s">
        <v>83</v>
      </c>
    </row>
    <row r="7381" spans="1:17" x14ac:dyDescent="0.25">
      <c r="A7381" s="22">
        <v>45894</v>
      </c>
      <c r="B7381" s="1">
        <v>17271257</v>
      </c>
      <c r="C7381" t="s">
        <v>5673</v>
      </c>
      <c r="D7381" s="44">
        <v>-64704.51</v>
      </c>
      <c r="E7381" t="s">
        <v>35</v>
      </c>
      <c r="F7381" s="2">
        <v>210101001</v>
      </c>
      <c r="G7381" s="2" t="s">
        <v>36</v>
      </c>
      <c r="I7381" s="95" t="s">
        <v>7231</v>
      </c>
      <c r="J7381" t="s">
        <v>376</v>
      </c>
      <c r="K7381" t="s">
        <v>377</v>
      </c>
      <c r="M7381">
        <v>141.88</v>
      </c>
      <c r="N7381" s="4">
        <f t="shared" si="115"/>
        <v>-456.05095855652667</v>
      </c>
      <c r="O7381" t="s">
        <v>83</v>
      </c>
    </row>
    <row r="7382" spans="1:17" x14ac:dyDescent="0.25">
      <c r="A7382" s="22">
        <v>45894</v>
      </c>
      <c r="B7382" s="1">
        <v>17271262</v>
      </c>
      <c r="C7382" t="s">
        <v>5674</v>
      </c>
      <c r="D7382" s="44">
        <v>-213955.04</v>
      </c>
      <c r="E7382" t="s">
        <v>35</v>
      </c>
      <c r="F7382" s="2">
        <v>110114001</v>
      </c>
      <c r="G7382" s="2" t="s">
        <v>181</v>
      </c>
      <c r="I7382" s="95" t="s">
        <v>7231</v>
      </c>
      <c r="J7382" t="s">
        <v>37</v>
      </c>
      <c r="K7382" t="s">
        <v>38</v>
      </c>
      <c r="M7382">
        <v>141.88</v>
      </c>
      <c r="N7382" s="4">
        <f t="shared" si="115"/>
        <v>-1508</v>
      </c>
      <c r="O7382" t="s">
        <v>83</v>
      </c>
      <c r="P7382" s="34" t="s">
        <v>3035</v>
      </c>
    </row>
    <row r="7383" spans="1:17" x14ac:dyDescent="0.25">
      <c r="A7383" s="22">
        <v>45894</v>
      </c>
      <c r="B7383" s="1">
        <v>17271259</v>
      </c>
      <c r="C7383" t="s">
        <v>5675</v>
      </c>
      <c r="D7383" s="44">
        <v>-49197.25</v>
      </c>
      <c r="E7383" t="s">
        <v>35</v>
      </c>
      <c r="F7383" s="2">
        <v>210101001</v>
      </c>
      <c r="G7383" s="2" t="s">
        <v>36</v>
      </c>
      <c r="I7383" s="95" t="s">
        <v>7231</v>
      </c>
      <c r="J7383" t="s">
        <v>1306</v>
      </c>
      <c r="K7383" t="s">
        <v>600</v>
      </c>
      <c r="M7383">
        <v>141.88</v>
      </c>
      <c r="N7383" s="4">
        <f t="shared" si="115"/>
        <v>-346.75253735551172</v>
      </c>
      <c r="O7383" t="s">
        <v>83</v>
      </c>
    </row>
    <row r="7384" spans="1:17" x14ac:dyDescent="0.25">
      <c r="A7384" s="22">
        <v>45894</v>
      </c>
      <c r="B7384" s="1">
        <v>50887631</v>
      </c>
      <c r="C7384" t="s">
        <v>5676</v>
      </c>
      <c r="D7384" s="44">
        <v>-903761.82</v>
      </c>
      <c r="E7384" t="s">
        <v>35</v>
      </c>
      <c r="F7384" s="2">
        <v>210101001</v>
      </c>
      <c r="G7384" s="2" t="s">
        <v>36</v>
      </c>
      <c r="I7384" s="95" t="s">
        <v>7231</v>
      </c>
      <c r="J7384" t="s">
        <v>1614</v>
      </c>
      <c r="K7384" t="s">
        <v>1615</v>
      </c>
      <c r="M7384">
        <v>141.88</v>
      </c>
      <c r="N7384" s="4">
        <f t="shared" si="115"/>
        <v>-6369.9028756695798</v>
      </c>
      <c r="O7384" t="s">
        <v>83</v>
      </c>
    </row>
    <row r="7385" spans="1:17" x14ac:dyDescent="0.25">
      <c r="A7385" s="22">
        <v>45894</v>
      </c>
      <c r="B7385" s="1">
        <v>50887631</v>
      </c>
      <c r="C7385" t="s">
        <v>179</v>
      </c>
      <c r="D7385" s="44">
        <v>-1355.64</v>
      </c>
      <c r="E7385" t="s">
        <v>35</v>
      </c>
      <c r="F7385" s="2">
        <v>610148001</v>
      </c>
      <c r="G7385" s="2" t="s">
        <v>41</v>
      </c>
      <c r="I7385" s="95" t="s">
        <v>7231</v>
      </c>
      <c r="J7385" t="s">
        <v>42</v>
      </c>
      <c r="K7385" t="s">
        <v>41</v>
      </c>
      <c r="M7385">
        <v>141.88</v>
      </c>
      <c r="N7385" s="4">
        <f t="shared" si="115"/>
        <v>-9.5548350718917412</v>
      </c>
      <c r="O7385" t="s">
        <v>83</v>
      </c>
      <c r="Q7385" s="24" t="s">
        <v>5251</v>
      </c>
    </row>
    <row r="7386" spans="1:17" x14ac:dyDescent="0.25">
      <c r="A7386" s="22">
        <v>45894</v>
      </c>
      <c r="B7386" s="1">
        <v>50887631</v>
      </c>
      <c r="C7386" t="s">
        <v>89</v>
      </c>
      <c r="D7386" s="44">
        <v>-828.35</v>
      </c>
      <c r="E7386" t="s">
        <v>35</v>
      </c>
      <c r="F7386" s="2">
        <v>610148001</v>
      </c>
      <c r="G7386" s="2" t="s">
        <v>41</v>
      </c>
      <c r="I7386" s="95" t="s">
        <v>7231</v>
      </c>
      <c r="J7386" t="s">
        <v>42</v>
      </c>
      <c r="K7386" t="s">
        <v>41</v>
      </c>
      <c r="M7386">
        <v>141.88</v>
      </c>
      <c r="N7386" s="4">
        <f t="shared" si="115"/>
        <v>-5.8383845503242178</v>
      </c>
      <c r="O7386" t="s">
        <v>83</v>
      </c>
      <c r="Q7386" s="24" t="s">
        <v>5251</v>
      </c>
    </row>
    <row r="7387" spans="1:17" x14ac:dyDescent="0.25">
      <c r="A7387" s="22">
        <v>45895</v>
      </c>
      <c r="B7387" s="1">
        <v>887887963</v>
      </c>
      <c r="C7387" t="s">
        <v>5595</v>
      </c>
      <c r="D7387" s="44">
        <v>100000</v>
      </c>
      <c r="E7387" t="s">
        <v>45</v>
      </c>
      <c r="F7387" s="2">
        <v>210115002</v>
      </c>
      <c r="G7387" s="2" t="s">
        <v>46</v>
      </c>
      <c r="I7387" s="95" t="s">
        <v>7231</v>
      </c>
      <c r="K7387" t="s">
        <v>5595</v>
      </c>
      <c r="M7387">
        <v>143.04</v>
      </c>
      <c r="N7387" s="4">
        <f t="shared" si="115"/>
        <v>699.10514541387033</v>
      </c>
      <c r="O7387" t="s">
        <v>83</v>
      </c>
    </row>
    <row r="7388" spans="1:17" x14ac:dyDescent="0.25">
      <c r="A7388" s="22">
        <v>45895</v>
      </c>
      <c r="B7388" s="1">
        <v>117337274</v>
      </c>
      <c r="C7388" t="s">
        <v>5677</v>
      </c>
      <c r="D7388" s="44">
        <v>-84622.46</v>
      </c>
      <c r="E7388" t="s">
        <v>35</v>
      </c>
      <c r="F7388" s="2">
        <v>210101001</v>
      </c>
      <c r="G7388" s="2" t="s">
        <v>36</v>
      </c>
      <c r="I7388" s="95" t="s">
        <v>7231</v>
      </c>
      <c r="J7388" t="s">
        <v>288</v>
      </c>
      <c r="K7388" t="s">
        <v>289</v>
      </c>
      <c r="M7388">
        <v>143.04</v>
      </c>
      <c r="N7388" s="4">
        <f t="shared" si="115"/>
        <v>-591.59997203579428</v>
      </c>
      <c r="O7388" t="s">
        <v>83</v>
      </c>
    </row>
    <row r="7389" spans="1:17" x14ac:dyDescent="0.25">
      <c r="A7389" s="22">
        <v>45895</v>
      </c>
      <c r="B7389" s="1">
        <v>117337274</v>
      </c>
      <c r="C7389" t="s">
        <v>185</v>
      </c>
      <c r="D7389" s="44">
        <v>-253.87</v>
      </c>
      <c r="E7389" t="s">
        <v>35</v>
      </c>
      <c r="F7389" s="2">
        <v>610148001</v>
      </c>
      <c r="G7389" s="2" t="s">
        <v>41</v>
      </c>
      <c r="I7389" s="95" t="s">
        <v>7231</v>
      </c>
      <c r="J7389" t="s">
        <v>42</v>
      </c>
      <c r="K7389" t="s">
        <v>41</v>
      </c>
      <c r="M7389">
        <v>143.04</v>
      </c>
      <c r="N7389" s="4">
        <f t="shared" si="115"/>
        <v>-1.7748182326621926</v>
      </c>
      <c r="O7389" t="s">
        <v>83</v>
      </c>
      <c r="Q7389" s="24" t="s">
        <v>5251</v>
      </c>
    </row>
    <row r="7390" spans="1:17" x14ac:dyDescent="0.25">
      <c r="A7390" s="22">
        <v>45895</v>
      </c>
      <c r="B7390" s="1">
        <v>885916749</v>
      </c>
      <c r="C7390" t="s">
        <v>366</v>
      </c>
      <c r="D7390" s="44">
        <v>20000</v>
      </c>
      <c r="E7390" t="s">
        <v>45</v>
      </c>
      <c r="F7390" s="2">
        <v>210115002</v>
      </c>
      <c r="G7390" s="2" t="s">
        <v>46</v>
      </c>
      <c r="I7390" s="95" t="s">
        <v>7231</v>
      </c>
      <c r="K7390" t="s">
        <v>5595</v>
      </c>
      <c r="M7390">
        <v>143.04</v>
      </c>
      <c r="N7390" s="4">
        <f t="shared" si="115"/>
        <v>139.82102908277406</v>
      </c>
      <c r="O7390" t="s">
        <v>83</v>
      </c>
    </row>
    <row r="7391" spans="1:17" x14ac:dyDescent="0.25">
      <c r="A7391" s="22">
        <v>45895</v>
      </c>
      <c r="B7391" s="1">
        <v>17339230</v>
      </c>
      <c r="C7391" t="s">
        <v>5678</v>
      </c>
      <c r="D7391" s="44">
        <v>-1673.4</v>
      </c>
      <c r="E7391" t="s">
        <v>35</v>
      </c>
      <c r="F7391" s="2">
        <v>110114001</v>
      </c>
      <c r="G7391" s="2" t="s">
        <v>181</v>
      </c>
      <c r="I7391" s="95" t="s">
        <v>7231</v>
      </c>
      <c r="K7391" t="s">
        <v>1256</v>
      </c>
      <c r="M7391">
        <v>143.04</v>
      </c>
      <c r="N7391" s="4">
        <f t="shared" si="115"/>
        <v>-11.698825503355707</v>
      </c>
      <c r="O7391" t="s">
        <v>83</v>
      </c>
    </row>
    <row r="7392" spans="1:17" x14ac:dyDescent="0.25">
      <c r="A7392" s="22">
        <v>45895</v>
      </c>
      <c r="B7392" s="1">
        <v>17339230</v>
      </c>
      <c r="C7392" t="s">
        <v>185</v>
      </c>
      <c r="D7392" s="44">
        <v>-5.0199999999999996</v>
      </c>
      <c r="E7392" t="s">
        <v>35</v>
      </c>
      <c r="F7392" s="2">
        <v>610148001</v>
      </c>
      <c r="G7392" s="2" t="s">
        <v>41</v>
      </c>
      <c r="I7392" s="95" t="s">
        <v>7231</v>
      </c>
      <c r="J7392" t="s">
        <v>42</v>
      </c>
      <c r="K7392" t="s">
        <v>41</v>
      </c>
      <c r="M7392">
        <v>143.04</v>
      </c>
      <c r="N7392" s="4">
        <f t="shared" si="115"/>
        <v>-3.5095078299776282E-2</v>
      </c>
      <c r="O7392" t="s">
        <v>83</v>
      </c>
      <c r="Q7392" s="24" t="s">
        <v>5251</v>
      </c>
    </row>
    <row r="7393" spans="1:20" x14ac:dyDescent="0.25">
      <c r="A7393" s="22">
        <v>45895</v>
      </c>
      <c r="B7393" s="1">
        <v>417339473</v>
      </c>
      <c r="C7393" t="s">
        <v>5679</v>
      </c>
      <c r="D7393" s="44">
        <v>-117127.62</v>
      </c>
      <c r="E7393" t="s">
        <v>35</v>
      </c>
      <c r="F7393" s="2">
        <v>212901001</v>
      </c>
      <c r="G7393" s="2" t="s">
        <v>91</v>
      </c>
      <c r="I7393" s="95" t="s">
        <v>7231</v>
      </c>
      <c r="J7393" t="s">
        <v>61</v>
      </c>
      <c r="K7393" t="s">
        <v>62</v>
      </c>
      <c r="M7393">
        <v>143.04</v>
      </c>
      <c r="N7393" s="4">
        <f t="shared" si="115"/>
        <v>-818.84521812080538</v>
      </c>
      <c r="O7393" t="s">
        <v>83</v>
      </c>
      <c r="R7393">
        <v>1</v>
      </c>
      <c r="S7393" t="e">
        <f>VLOOKUP(R7393,[1]!NOMINA[#Data],4,FALSE)</f>
        <v>#REF!</v>
      </c>
      <c r="T7393" t="e">
        <f>VLOOKUP(R7393,[1]!NOMINA[#Data],5,FALSE)</f>
        <v>#REF!</v>
      </c>
    </row>
    <row r="7394" spans="1:20" x14ac:dyDescent="0.25">
      <c r="A7394" s="22">
        <v>45895</v>
      </c>
      <c r="B7394" s="1">
        <v>417339474</v>
      </c>
      <c r="C7394" t="s">
        <v>5679</v>
      </c>
      <c r="D7394" s="44">
        <v>-153.33000000000001</v>
      </c>
      <c r="E7394" t="s">
        <v>35</v>
      </c>
      <c r="F7394" s="2">
        <v>212901001</v>
      </c>
      <c r="G7394" s="2" t="s">
        <v>91</v>
      </c>
      <c r="I7394" s="95" t="s">
        <v>7231</v>
      </c>
      <c r="J7394" t="s">
        <v>61</v>
      </c>
      <c r="K7394" t="s">
        <v>62</v>
      </c>
      <c r="M7394">
        <v>143.04</v>
      </c>
      <c r="N7394" s="4">
        <f t="shared" si="115"/>
        <v>-1.0719379194630874</v>
      </c>
      <c r="O7394" t="s">
        <v>83</v>
      </c>
      <c r="R7394">
        <v>1</v>
      </c>
      <c r="S7394" t="e">
        <f>VLOOKUP(R7394,[1]!NOMINA[#Data],4,FALSE)</f>
        <v>#REF!</v>
      </c>
      <c r="T7394" t="e">
        <f>VLOOKUP(R7394,[1]!NOMINA[#Data],5,FALSE)</f>
        <v>#REF!</v>
      </c>
    </row>
    <row r="7395" spans="1:20" x14ac:dyDescent="0.25">
      <c r="A7395" s="22">
        <v>45895</v>
      </c>
      <c r="B7395" s="1">
        <v>50857172</v>
      </c>
      <c r="C7395" t="s">
        <v>89</v>
      </c>
      <c r="D7395" s="44">
        <v>-293.2</v>
      </c>
      <c r="E7395" t="s">
        <v>35</v>
      </c>
      <c r="F7395" s="2">
        <v>610148001</v>
      </c>
      <c r="G7395" s="2" t="s">
        <v>41</v>
      </c>
      <c r="I7395" s="95" t="s">
        <v>7231</v>
      </c>
      <c r="J7395" t="s">
        <v>42</v>
      </c>
      <c r="K7395" t="s">
        <v>41</v>
      </c>
      <c r="M7395">
        <v>143.04</v>
      </c>
      <c r="N7395" s="4">
        <f t="shared" si="115"/>
        <v>-2.0497762863534676</v>
      </c>
      <c r="O7395" t="s">
        <v>83</v>
      </c>
      <c r="Q7395" s="24" t="s">
        <v>5251</v>
      </c>
    </row>
    <row r="7396" spans="1:20" x14ac:dyDescent="0.25">
      <c r="A7396" s="22">
        <v>45897</v>
      </c>
      <c r="B7396" s="1">
        <v>61146595</v>
      </c>
      <c r="C7396" t="s">
        <v>498</v>
      </c>
      <c r="D7396" s="44">
        <v>-218.62</v>
      </c>
      <c r="E7396" t="s">
        <v>35</v>
      </c>
      <c r="F7396" s="2">
        <v>610148001</v>
      </c>
      <c r="G7396" s="2" t="s">
        <v>41</v>
      </c>
      <c r="I7396" s="95" t="s">
        <v>7231</v>
      </c>
      <c r="J7396" t="s">
        <v>42</v>
      </c>
      <c r="K7396" t="s">
        <v>41</v>
      </c>
      <c r="M7396">
        <v>145.75</v>
      </c>
      <c r="N7396" s="4">
        <f t="shared" si="115"/>
        <v>-1.4999656946826758</v>
      </c>
      <c r="O7396" t="s">
        <v>83</v>
      </c>
      <c r="Q7396" s="24" t="s">
        <v>5251</v>
      </c>
    </row>
    <row r="7397" spans="1:20" x14ac:dyDescent="0.25">
      <c r="A7397" s="22">
        <v>45897</v>
      </c>
      <c r="B7397" s="1">
        <v>101833102</v>
      </c>
      <c r="C7397" t="s">
        <v>82</v>
      </c>
      <c r="D7397" s="44">
        <v>100000</v>
      </c>
      <c r="E7397" t="s">
        <v>45</v>
      </c>
      <c r="F7397" s="2">
        <v>210115002</v>
      </c>
      <c r="G7397" s="2" t="s">
        <v>46</v>
      </c>
      <c r="I7397" s="95" t="s">
        <v>7231</v>
      </c>
      <c r="K7397" t="s">
        <v>82</v>
      </c>
      <c r="M7397">
        <v>145.75</v>
      </c>
      <c r="N7397" s="4">
        <f t="shared" si="115"/>
        <v>686.10634648370501</v>
      </c>
      <c r="O7397" t="s">
        <v>83</v>
      </c>
    </row>
    <row r="7398" spans="1:20" x14ac:dyDescent="0.25">
      <c r="A7398" s="22">
        <v>45897</v>
      </c>
      <c r="B7398" s="1">
        <v>917424163</v>
      </c>
      <c r="C7398" t="s">
        <v>5680</v>
      </c>
      <c r="D7398" s="44">
        <v>-13116.61</v>
      </c>
      <c r="E7398" t="s">
        <v>35</v>
      </c>
      <c r="F7398" s="2">
        <v>210101001</v>
      </c>
      <c r="G7398" s="2" t="s">
        <v>36</v>
      </c>
      <c r="I7398" s="95" t="s">
        <v>7231</v>
      </c>
      <c r="J7398" t="s">
        <v>1007</v>
      </c>
      <c r="K7398" t="s">
        <v>1008</v>
      </c>
      <c r="M7398">
        <v>145.75</v>
      </c>
      <c r="N7398" s="4">
        <f t="shared" si="115"/>
        <v>-89.993893653516295</v>
      </c>
      <c r="O7398" t="s">
        <v>83</v>
      </c>
    </row>
    <row r="7399" spans="1:20" x14ac:dyDescent="0.25">
      <c r="A7399" s="22">
        <v>45897</v>
      </c>
      <c r="B7399" s="1">
        <v>917424163</v>
      </c>
      <c r="C7399" t="s">
        <v>185</v>
      </c>
      <c r="D7399" s="44">
        <v>-39.35</v>
      </c>
      <c r="E7399" t="s">
        <v>35</v>
      </c>
      <c r="F7399" s="2">
        <v>610148001</v>
      </c>
      <c r="G7399" s="2" t="s">
        <v>41</v>
      </c>
      <c r="I7399" s="95" t="s">
        <v>7231</v>
      </c>
      <c r="J7399" t="s">
        <v>42</v>
      </c>
      <c r="K7399" t="s">
        <v>41</v>
      </c>
      <c r="M7399">
        <v>145.75</v>
      </c>
      <c r="N7399" s="4">
        <f t="shared" si="115"/>
        <v>-0.26998284734133793</v>
      </c>
      <c r="O7399" t="s">
        <v>83</v>
      </c>
      <c r="Q7399" s="24" t="s">
        <v>5251</v>
      </c>
    </row>
    <row r="7400" spans="1:20" x14ac:dyDescent="0.25">
      <c r="A7400" s="22">
        <v>45897</v>
      </c>
      <c r="B7400" s="1">
        <v>917424276</v>
      </c>
      <c r="C7400" t="s">
        <v>5681</v>
      </c>
      <c r="D7400" s="44">
        <v>-34.92</v>
      </c>
      <c r="E7400" t="s">
        <v>35</v>
      </c>
      <c r="F7400" s="2">
        <v>210101001</v>
      </c>
      <c r="G7400" s="2" t="s">
        <v>36</v>
      </c>
      <c r="I7400" s="95" t="s">
        <v>7231</v>
      </c>
      <c r="J7400" t="s">
        <v>376</v>
      </c>
      <c r="K7400" t="s">
        <v>377</v>
      </c>
      <c r="M7400">
        <v>145.75</v>
      </c>
      <c r="N7400" s="4">
        <f t="shared" si="115"/>
        <v>-0.23958833619210979</v>
      </c>
      <c r="O7400" t="s">
        <v>83</v>
      </c>
    </row>
    <row r="7401" spans="1:20" x14ac:dyDescent="0.25">
      <c r="A7401" s="22">
        <v>45897</v>
      </c>
      <c r="B7401" s="1">
        <v>917424276</v>
      </c>
      <c r="C7401" t="s">
        <v>185</v>
      </c>
      <c r="D7401" s="44">
        <v>-0.1</v>
      </c>
      <c r="E7401" t="s">
        <v>35</v>
      </c>
      <c r="F7401" s="2">
        <v>610148001</v>
      </c>
      <c r="G7401" s="2" t="s">
        <v>41</v>
      </c>
      <c r="I7401" s="95" t="s">
        <v>7231</v>
      </c>
      <c r="J7401" t="s">
        <v>42</v>
      </c>
      <c r="K7401" t="s">
        <v>41</v>
      </c>
      <c r="M7401">
        <v>145.75</v>
      </c>
      <c r="N7401" s="4">
        <f t="shared" si="115"/>
        <v>-6.8610634648370503E-4</v>
      </c>
      <c r="O7401" t="s">
        <v>83</v>
      </c>
      <c r="Q7401" s="24" t="s">
        <v>5251</v>
      </c>
    </row>
    <row r="7402" spans="1:20" x14ac:dyDescent="0.25">
      <c r="A7402" s="22">
        <v>45897</v>
      </c>
      <c r="B7402" s="1">
        <v>102328719</v>
      </c>
      <c r="C7402" t="s">
        <v>5682</v>
      </c>
      <c r="D7402" s="44">
        <v>-94161.56</v>
      </c>
      <c r="E7402" t="s">
        <v>35</v>
      </c>
      <c r="F7402" s="2">
        <v>210101001</v>
      </c>
      <c r="G7402" s="2" t="s">
        <v>36</v>
      </c>
      <c r="I7402" s="95" t="s">
        <v>7231</v>
      </c>
      <c r="J7402" t="s">
        <v>1301</v>
      </c>
      <c r="K7402" t="s">
        <v>1302</v>
      </c>
      <c r="M7402">
        <v>145.75</v>
      </c>
      <c r="N7402" s="4">
        <f t="shared" si="115"/>
        <v>-646.04843910806176</v>
      </c>
      <c r="O7402" t="s">
        <v>83</v>
      </c>
    </row>
    <row r="7403" spans="1:20" x14ac:dyDescent="0.25">
      <c r="A7403" s="22">
        <v>45897</v>
      </c>
      <c r="B7403" s="1">
        <v>193012954</v>
      </c>
      <c r="C7403" t="s">
        <v>82</v>
      </c>
      <c r="D7403" s="44">
        <v>900000</v>
      </c>
      <c r="E7403" t="s">
        <v>45</v>
      </c>
      <c r="F7403" s="2">
        <v>210115002</v>
      </c>
      <c r="G7403" s="2" t="s">
        <v>46</v>
      </c>
      <c r="I7403" s="95" t="s">
        <v>7231</v>
      </c>
      <c r="K7403" t="s">
        <v>82</v>
      </c>
      <c r="M7403">
        <v>145.75</v>
      </c>
      <c r="N7403" s="4">
        <f t="shared" si="115"/>
        <v>6174.9571183533444</v>
      </c>
      <c r="O7403" t="s">
        <v>83</v>
      </c>
    </row>
    <row r="7404" spans="1:20" x14ac:dyDescent="0.25">
      <c r="A7404" s="22">
        <v>45897</v>
      </c>
      <c r="B7404" s="1">
        <v>317464296</v>
      </c>
      <c r="C7404" t="s">
        <v>5683</v>
      </c>
      <c r="D7404" s="44">
        <v>-1443.7</v>
      </c>
      <c r="E7404" t="s">
        <v>35</v>
      </c>
      <c r="F7404" s="2">
        <v>212901001</v>
      </c>
      <c r="G7404" s="2" t="s">
        <v>91</v>
      </c>
      <c r="I7404" s="95" t="s">
        <v>7231</v>
      </c>
      <c r="J7404" t="s">
        <v>61</v>
      </c>
      <c r="K7404" t="s">
        <v>62</v>
      </c>
      <c r="M7404">
        <v>145.75</v>
      </c>
      <c r="N7404" s="4">
        <f t="shared" si="115"/>
        <v>-9.9053173241852495</v>
      </c>
      <c r="O7404" t="s">
        <v>83</v>
      </c>
      <c r="R7404">
        <v>18</v>
      </c>
      <c r="S7404" t="e">
        <f>VLOOKUP(Tabla3[[#This Row],[Nº]],[1]!NOMINA[#Data],4,FALSE)</f>
        <v>#REF!</v>
      </c>
      <c r="T7404" t="e">
        <f>VLOOKUP(Tabla3[[#This Row],[Nº]],[1]!NOMINA[#Data],5,FALSE)</f>
        <v>#REF!</v>
      </c>
    </row>
    <row r="7405" spans="1:20" x14ac:dyDescent="0.25">
      <c r="A7405" s="22">
        <v>45897</v>
      </c>
      <c r="B7405" s="1">
        <v>217464294</v>
      </c>
      <c r="C7405" t="s">
        <v>5684</v>
      </c>
      <c r="D7405" s="44">
        <v>-43311</v>
      </c>
      <c r="E7405" t="s">
        <v>35</v>
      </c>
      <c r="F7405" s="2">
        <v>212901001</v>
      </c>
      <c r="G7405" s="2" t="s">
        <v>91</v>
      </c>
      <c r="I7405" s="95" t="s">
        <v>7231</v>
      </c>
      <c r="J7405" t="s">
        <v>61</v>
      </c>
      <c r="K7405" t="s">
        <v>62</v>
      </c>
      <c r="M7405">
        <v>145.75</v>
      </c>
      <c r="N7405" s="4">
        <f t="shared" si="115"/>
        <v>-297.15951972555746</v>
      </c>
      <c r="O7405" t="s">
        <v>83</v>
      </c>
      <c r="R7405">
        <v>2</v>
      </c>
      <c r="S7405" t="e">
        <f>VLOOKUP(Tabla3[[#This Row],[Nº]],[1]!NOMINA[#Data],4,FALSE)</f>
        <v>#REF!</v>
      </c>
      <c r="T7405" t="e">
        <f>VLOOKUP(Tabla3[[#This Row],[Nº]],[1]!NOMINA[#Data],5,FALSE)</f>
        <v>#REF!</v>
      </c>
    </row>
    <row r="7406" spans="1:20" x14ac:dyDescent="0.25">
      <c r="A7406" s="22">
        <v>45897</v>
      </c>
      <c r="B7406" s="1">
        <v>317464297</v>
      </c>
      <c r="C7406" t="s">
        <v>5685</v>
      </c>
      <c r="D7406" s="44">
        <v>-8662.2000000000007</v>
      </c>
      <c r="E7406" t="s">
        <v>35</v>
      </c>
      <c r="F7406" s="2">
        <v>212901001</v>
      </c>
      <c r="G7406" s="2" t="s">
        <v>91</v>
      </c>
      <c r="I7406" s="95" t="s">
        <v>7231</v>
      </c>
      <c r="J7406" t="s">
        <v>61</v>
      </c>
      <c r="K7406" t="s">
        <v>62</v>
      </c>
      <c r="M7406">
        <v>145.75</v>
      </c>
      <c r="N7406" s="4">
        <f t="shared" si="115"/>
        <v>-59.4319039451115</v>
      </c>
      <c r="O7406" t="s">
        <v>83</v>
      </c>
      <c r="R7406">
        <v>19</v>
      </c>
      <c r="S7406" t="e">
        <f>VLOOKUP(Tabla3[[#This Row],[Nº]],[1]!NOMINA[#Data],4,FALSE)</f>
        <v>#REF!</v>
      </c>
      <c r="T7406" t="e">
        <f>VLOOKUP(R7406,[1]!NOMINA[#Data],5,FALSE)</f>
        <v>#REF!</v>
      </c>
    </row>
    <row r="7407" spans="1:20" x14ac:dyDescent="0.25">
      <c r="A7407" s="22">
        <v>45897</v>
      </c>
      <c r="B7407" s="1">
        <v>317464299</v>
      </c>
      <c r="C7407" t="s">
        <v>5686</v>
      </c>
      <c r="D7407" s="44">
        <v>-1443.7</v>
      </c>
      <c r="E7407" t="s">
        <v>35</v>
      </c>
      <c r="F7407" s="2">
        <v>212901001</v>
      </c>
      <c r="G7407" s="2" t="s">
        <v>91</v>
      </c>
      <c r="I7407" s="95" t="s">
        <v>7231</v>
      </c>
      <c r="J7407" t="s">
        <v>61</v>
      </c>
      <c r="K7407" t="s">
        <v>62</v>
      </c>
      <c r="M7407">
        <v>145.75</v>
      </c>
      <c r="N7407" s="4">
        <f t="shared" si="115"/>
        <v>-9.9053173241852495</v>
      </c>
      <c r="O7407" t="s">
        <v>83</v>
      </c>
      <c r="R7407">
        <v>28</v>
      </c>
      <c r="S7407" t="e">
        <f>VLOOKUP(Tabla3[[#This Row],[Nº]],[1]!NOMINA[#Data],4,FALSE)</f>
        <v>#REF!</v>
      </c>
      <c r="T7407" t="e">
        <f>VLOOKUP(R7407,[1]!NOMINA[#Data],5,FALSE)</f>
        <v>#REF!</v>
      </c>
    </row>
    <row r="7408" spans="1:20" x14ac:dyDescent="0.25">
      <c r="A7408" s="22">
        <v>45897</v>
      </c>
      <c r="B7408" s="1">
        <v>317464300</v>
      </c>
      <c r="C7408" t="s">
        <v>5687</v>
      </c>
      <c r="D7408" s="44">
        <v>-1443.7</v>
      </c>
      <c r="E7408" t="s">
        <v>35</v>
      </c>
      <c r="F7408" s="2">
        <v>212901001</v>
      </c>
      <c r="G7408" s="2" t="s">
        <v>91</v>
      </c>
      <c r="I7408" s="95" t="s">
        <v>7231</v>
      </c>
      <c r="J7408" t="s">
        <v>61</v>
      </c>
      <c r="K7408" t="s">
        <v>62</v>
      </c>
      <c r="M7408">
        <v>145.75</v>
      </c>
      <c r="N7408" s="4">
        <f t="shared" si="115"/>
        <v>-9.9053173241852495</v>
      </c>
      <c r="O7408" t="s">
        <v>83</v>
      </c>
      <c r="R7408">
        <v>17</v>
      </c>
      <c r="S7408" t="e">
        <f>VLOOKUP(Tabla3[[#This Row],[Nº]],[1]!NOMINA[#Data],4,FALSE)</f>
        <v>#REF!</v>
      </c>
      <c r="T7408" t="e">
        <f>VLOOKUP(R7408,[1]!NOMINA[#Data],5,FALSE)</f>
        <v>#REF!</v>
      </c>
    </row>
    <row r="7409" spans="1:20" x14ac:dyDescent="0.25">
      <c r="A7409" s="22">
        <v>45897</v>
      </c>
      <c r="B7409" s="1">
        <v>317464301</v>
      </c>
      <c r="C7409" t="s">
        <v>5688</v>
      </c>
      <c r="D7409" s="44">
        <v>-1443.7</v>
      </c>
      <c r="E7409" t="s">
        <v>35</v>
      </c>
      <c r="F7409" s="2">
        <v>212901001</v>
      </c>
      <c r="G7409" s="2" t="s">
        <v>91</v>
      </c>
      <c r="I7409" s="95" t="s">
        <v>7231</v>
      </c>
      <c r="J7409" t="s">
        <v>61</v>
      </c>
      <c r="K7409" t="s">
        <v>62</v>
      </c>
      <c r="M7409">
        <v>145.75</v>
      </c>
      <c r="N7409" s="4">
        <f t="shared" si="115"/>
        <v>-9.9053173241852495</v>
      </c>
      <c r="O7409" t="s">
        <v>83</v>
      </c>
      <c r="R7409">
        <v>15</v>
      </c>
      <c r="S7409" t="e">
        <f>VLOOKUP(Tabla3[[#This Row],[Nº]],[1]!NOMINA[#Data],4,FALSE)</f>
        <v>#REF!</v>
      </c>
      <c r="T7409" t="e">
        <f>VLOOKUP(R7409,[1]!NOMINA[#Data],5,FALSE)</f>
        <v>#REF!</v>
      </c>
    </row>
    <row r="7410" spans="1:20" x14ac:dyDescent="0.25">
      <c r="A7410" s="22">
        <v>45897</v>
      </c>
      <c r="B7410" s="1">
        <v>317464298</v>
      </c>
      <c r="C7410" t="s">
        <v>5689</v>
      </c>
      <c r="D7410" s="44">
        <v>-1443.7</v>
      </c>
      <c r="E7410" t="s">
        <v>35</v>
      </c>
      <c r="F7410" s="2">
        <v>212901001</v>
      </c>
      <c r="G7410" s="2" t="s">
        <v>91</v>
      </c>
      <c r="I7410" s="95" t="s">
        <v>7231</v>
      </c>
      <c r="J7410" t="s">
        <v>61</v>
      </c>
      <c r="K7410" t="s">
        <v>62</v>
      </c>
      <c r="M7410">
        <v>145.75</v>
      </c>
      <c r="N7410" s="4">
        <f t="shared" si="115"/>
        <v>-9.9053173241852495</v>
      </c>
      <c r="O7410" t="s">
        <v>83</v>
      </c>
      <c r="R7410">
        <v>14</v>
      </c>
      <c r="S7410" t="e">
        <f>VLOOKUP(Tabla3[[#This Row],[Nº]],[1]!NOMINA[#Data],4,FALSE)</f>
        <v>#REF!</v>
      </c>
      <c r="T7410" t="e">
        <f>VLOOKUP(R7410,[1]!NOMINA[#Data],5,FALSE)</f>
        <v>#REF!</v>
      </c>
    </row>
    <row r="7411" spans="1:20" x14ac:dyDescent="0.25">
      <c r="A7411" s="22">
        <v>45897</v>
      </c>
      <c r="B7411" s="1">
        <v>317464303</v>
      </c>
      <c r="C7411" t="s">
        <v>5690</v>
      </c>
      <c r="D7411" s="44">
        <v>-28874</v>
      </c>
      <c r="E7411" t="s">
        <v>35</v>
      </c>
      <c r="F7411" s="2">
        <v>212901001</v>
      </c>
      <c r="G7411" s="2" t="s">
        <v>91</v>
      </c>
      <c r="I7411" s="95" t="s">
        <v>7231</v>
      </c>
      <c r="J7411" t="s">
        <v>61</v>
      </c>
      <c r="K7411" t="s">
        <v>62</v>
      </c>
      <c r="M7411">
        <v>145.75</v>
      </c>
      <c r="N7411" s="4">
        <f t="shared" si="115"/>
        <v>-198.10634648370498</v>
      </c>
      <c r="O7411" t="s">
        <v>83</v>
      </c>
      <c r="R7411">
        <v>1</v>
      </c>
      <c r="S7411" t="e">
        <f>VLOOKUP(R7411,[1]!NOMINA[#Data],4,FALSE)</f>
        <v>#REF!</v>
      </c>
      <c r="T7411" t="e">
        <f>VLOOKUP(R7411,[1]!NOMINA[#Data],5,FALSE)</f>
        <v>#REF!</v>
      </c>
    </row>
    <row r="7412" spans="1:20" x14ac:dyDescent="0.25">
      <c r="A7412" s="22">
        <v>45897</v>
      </c>
      <c r="B7412" s="1">
        <v>317464302</v>
      </c>
      <c r="C7412" t="s">
        <v>5691</v>
      </c>
      <c r="D7412" s="44">
        <v>-1443.7</v>
      </c>
      <c r="E7412" t="s">
        <v>35</v>
      </c>
      <c r="F7412" s="2">
        <v>212901001</v>
      </c>
      <c r="G7412" s="2" t="s">
        <v>91</v>
      </c>
      <c r="I7412" s="95" t="s">
        <v>7231</v>
      </c>
      <c r="J7412" t="s">
        <v>61</v>
      </c>
      <c r="K7412" t="s">
        <v>62</v>
      </c>
      <c r="M7412">
        <v>145.75</v>
      </c>
      <c r="N7412" s="4">
        <f t="shared" si="115"/>
        <v>-9.9053173241852495</v>
      </c>
      <c r="O7412" t="s">
        <v>83</v>
      </c>
      <c r="R7412">
        <v>8</v>
      </c>
      <c r="S7412" t="e">
        <f>VLOOKUP(Tabla3[[#This Row],[Nº]],[1]!NOMINA[#Data],4,FALSE)</f>
        <v>#REF!</v>
      </c>
      <c r="T7412" t="e">
        <f>VLOOKUP(R7412,[1]!NOMINA[#Data],5,FALSE)</f>
        <v>#REF!</v>
      </c>
    </row>
    <row r="7413" spans="1:20" x14ac:dyDescent="0.25">
      <c r="A7413" s="22">
        <v>45897</v>
      </c>
      <c r="B7413" s="1">
        <v>417464305</v>
      </c>
      <c r="C7413" t="s">
        <v>5692</v>
      </c>
      <c r="D7413" s="44">
        <v>-1443.7</v>
      </c>
      <c r="E7413" t="s">
        <v>35</v>
      </c>
      <c r="F7413" s="2">
        <v>212901001</v>
      </c>
      <c r="G7413" s="2" t="s">
        <v>91</v>
      </c>
      <c r="I7413" s="95" t="s">
        <v>7231</v>
      </c>
      <c r="J7413" t="s">
        <v>61</v>
      </c>
      <c r="K7413" t="s">
        <v>62</v>
      </c>
      <c r="M7413">
        <v>145.75</v>
      </c>
      <c r="N7413" s="4">
        <f t="shared" si="115"/>
        <v>-9.9053173241852495</v>
      </c>
      <c r="O7413" t="s">
        <v>83</v>
      </c>
      <c r="R7413">
        <v>13</v>
      </c>
      <c r="S7413" t="e">
        <f>VLOOKUP(Tabla3[[#This Row],[Nº]],[1]!NOMINA[#Data],4,FALSE)</f>
        <v>#REF!</v>
      </c>
      <c r="T7413" t="e">
        <f>VLOOKUP(R7413,[1]!NOMINA[#Data],5,FALSE)</f>
        <v>#REF!</v>
      </c>
    </row>
    <row r="7414" spans="1:20" x14ac:dyDescent="0.25">
      <c r="A7414" s="22">
        <v>45897</v>
      </c>
      <c r="B7414" s="1">
        <v>417464308</v>
      </c>
      <c r="C7414" t="s">
        <v>5693</v>
      </c>
      <c r="D7414" s="44">
        <v>-1443.7</v>
      </c>
      <c r="E7414" t="s">
        <v>35</v>
      </c>
      <c r="F7414" s="2">
        <v>212901001</v>
      </c>
      <c r="G7414" s="2" t="s">
        <v>91</v>
      </c>
      <c r="I7414" s="95" t="s">
        <v>7231</v>
      </c>
      <c r="J7414" t="s">
        <v>61</v>
      </c>
      <c r="K7414" t="s">
        <v>62</v>
      </c>
      <c r="M7414">
        <v>145.75</v>
      </c>
      <c r="N7414" s="4">
        <f t="shared" si="115"/>
        <v>-9.9053173241852495</v>
      </c>
      <c r="O7414" t="s">
        <v>83</v>
      </c>
      <c r="R7414">
        <v>12</v>
      </c>
      <c r="S7414" t="e">
        <f>VLOOKUP(Tabla3[[#This Row],[Nº]],[1]!NOMINA[#Data],4,FALSE)</f>
        <v>#REF!</v>
      </c>
      <c r="T7414" t="e">
        <f>VLOOKUP(R7414,[1]!NOMINA[#Data],5,FALSE)</f>
        <v>#REF!</v>
      </c>
    </row>
    <row r="7415" spans="1:20" x14ac:dyDescent="0.25">
      <c r="A7415" s="22">
        <v>45897</v>
      </c>
      <c r="B7415" s="1">
        <v>417464311</v>
      </c>
      <c r="C7415" t="s">
        <v>5694</v>
      </c>
      <c r="D7415" s="44">
        <v>-1443.7</v>
      </c>
      <c r="E7415" t="s">
        <v>35</v>
      </c>
      <c r="F7415" s="2">
        <v>212901001</v>
      </c>
      <c r="G7415" s="2" t="s">
        <v>91</v>
      </c>
      <c r="I7415" s="95" t="s">
        <v>7231</v>
      </c>
      <c r="J7415" t="s">
        <v>61</v>
      </c>
      <c r="K7415" t="s">
        <v>62</v>
      </c>
      <c r="M7415">
        <v>145.75</v>
      </c>
      <c r="N7415" s="4">
        <f t="shared" si="115"/>
        <v>-9.9053173241852495</v>
      </c>
      <c r="O7415" t="s">
        <v>83</v>
      </c>
      <c r="R7415">
        <v>16</v>
      </c>
      <c r="S7415" t="e">
        <f>VLOOKUP(Tabla3[[#This Row],[Nº]],[1]!NOMINA[#Data],4,FALSE)</f>
        <v>#REF!</v>
      </c>
      <c r="T7415" t="e">
        <f>VLOOKUP(Tabla3[[#This Row],[Nº]],[1]!NOMINA[#Data],5,FALSE)</f>
        <v>#REF!</v>
      </c>
    </row>
    <row r="7416" spans="1:20" x14ac:dyDescent="0.25">
      <c r="A7416" s="22">
        <v>45897</v>
      </c>
      <c r="B7416" s="1">
        <v>417464304</v>
      </c>
      <c r="C7416" t="s">
        <v>5695</v>
      </c>
      <c r="D7416" s="44">
        <v>-1443.7</v>
      </c>
      <c r="E7416" t="s">
        <v>35</v>
      </c>
      <c r="F7416" s="2">
        <v>212901001</v>
      </c>
      <c r="G7416" s="2" t="s">
        <v>91</v>
      </c>
      <c r="I7416" s="95" t="s">
        <v>7231</v>
      </c>
      <c r="J7416" t="s">
        <v>61</v>
      </c>
      <c r="K7416" t="s">
        <v>62</v>
      </c>
      <c r="M7416">
        <v>145.75</v>
      </c>
      <c r="N7416" s="4">
        <f t="shared" si="115"/>
        <v>-9.9053173241852495</v>
      </c>
      <c r="O7416" t="s">
        <v>83</v>
      </c>
      <c r="R7416">
        <v>6</v>
      </c>
      <c r="S7416" t="e">
        <f>VLOOKUP(Tabla3[[#This Row],[Nº]],[1]!NOMINA[#Data],4,FALSE)</f>
        <v>#REF!</v>
      </c>
      <c r="T7416" t="e">
        <f>VLOOKUP(R7416,[1]!NOMINA[#Data],5,FALSE)</f>
        <v>#REF!</v>
      </c>
    </row>
    <row r="7417" spans="1:20" x14ac:dyDescent="0.25">
      <c r="A7417" s="22">
        <v>45897</v>
      </c>
      <c r="B7417" s="1">
        <v>417464307</v>
      </c>
      <c r="C7417" t="s">
        <v>5696</v>
      </c>
      <c r="D7417" s="44">
        <v>-8662.2000000000007</v>
      </c>
      <c r="E7417" t="s">
        <v>35</v>
      </c>
      <c r="F7417" s="2">
        <v>212901001</v>
      </c>
      <c r="G7417" s="2" t="s">
        <v>91</v>
      </c>
      <c r="I7417" s="95" t="s">
        <v>7231</v>
      </c>
      <c r="J7417" t="s">
        <v>61</v>
      </c>
      <c r="K7417" t="s">
        <v>62</v>
      </c>
      <c r="M7417">
        <v>145.75</v>
      </c>
      <c r="N7417" s="4">
        <f t="shared" si="115"/>
        <v>-59.4319039451115</v>
      </c>
      <c r="O7417" t="s">
        <v>83</v>
      </c>
      <c r="R7417">
        <v>3</v>
      </c>
      <c r="S7417" t="s">
        <v>5465</v>
      </c>
      <c r="T7417" t="e">
        <f>VLOOKUP(R7417,[1]!NOMINA[#Data],5,FALSE)</f>
        <v>#REF!</v>
      </c>
    </row>
    <row r="7418" spans="1:20" x14ac:dyDescent="0.25">
      <c r="A7418" s="22">
        <v>45897</v>
      </c>
      <c r="B7418" s="1">
        <v>417464306</v>
      </c>
      <c r="C7418" t="s">
        <v>5697</v>
      </c>
      <c r="D7418" s="44">
        <v>-1443.7</v>
      </c>
      <c r="E7418" t="s">
        <v>35</v>
      </c>
      <c r="F7418" s="2">
        <v>212901001</v>
      </c>
      <c r="G7418" s="2" t="s">
        <v>91</v>
      </c>
      <c r="I7418" s="95" t="s">
        <v>7231</v>
      </c>
      <c r="J7418" t="s">
        <v>61</v>
      </c>
      <c r="K7418" t="s">
        <v>62</v>
      </c>
      <c r="M7418">
        <v>145.75</v>
      </c>
      <c r="N7418" s="4">
        <f t="shared" si="115"/>
        <v>-9.9053173241852495</v>
      </c>
      <c r="O7418" t="s">
        <v>83</v>
      </c>
      <c r="R7418">
        <v>7</v>
      </c>
      <c r="S7418" t="e">
        <f>VLOOKUP(Tabla3[[#This Row],[Nº]],[1]!NOMINA[#Data],4,FALSE)</f>
        <v>#REF!</v>
      </c>
      <c r="T7418" t="e">
        <f>VLOOKUP(R7418,[1]!NOMINA[#Data],5,FALSE)</f>
        <v>#REF!</v>
      </c>
    </row>
    <row r="7419" spans="1:20" x14ac:dyDescent="0.25">
      <c r="A7419" s="22">
        <v>45897</v>
      </c>
      <c r="B7419" s="1">
        <v>417464309</v>
      </c>
      <c r="C7419" t="s">
        <v>5698</v>
      </c>
      <c r="D7419" s="44">
        <v>-1443.7</v>
      </c>
      <c r="E7419" t="s">
        <v>35</v>
      </c>
      <c r="F7419" s="2">
        <v>212901001</v>
      </c>
      <c r="G7419" s="2" t="s">
        <v>91</v>
      </c>
      <c r="I7419" s="95" t="s">
        <v>7231</v>
      </c>
      <c r="J7419" t="s">
        <v>61</v>
      </c>
      <c r="K7419" t="s">
        <v>62</v>
      </c>
      <c r="M7419">
        <v>145.75</v>
      </c>
      <c r="N7419" s="4">
        <f t="shared" si="115"/>
        <v>-9.9053173241852495</v>
      </c>
      <c r="O7419" t="s">
        <v>83</v>
      </c>
      <c r="R7419">
        <v>11</v>
      </c>
      <c r="S7419" t="e">
        <f>VLOOKUP(Tabla3[[#This Row],[Nº]],[1]!NOMINA[#Data],4,FALSE)</f>
        <v>#REF!</v>
      </c>
      <c r="T7419" t="e">
        <f>VLOOKUP(R7419,[1]!NOMINA[#Data],5,FALSE)</f>
        <v>#REF!</v>
      </c>
    </row>
    <row r="7420" spans="1:20" x14ac:dyDescent="0.25">
      <c r="A7420" s="22">
        <v>45897</v>
      </c>
      <c r="B7420" s="1">
        <v>417464310</v>
      </c>
      <c r="C7420" t="s">
        <v>5699</v>
      </c>
      <c r="D7420" s="44">
        <v>-1443.7</v>
      </c>
      <c r="E7420" t="s">
        <v>35</v>
      </c>
      <c r="F7420" s="2">
        <v>212901001</v>
      </c>
      <c r="G7420" s="2" t="s">
        <v>91</v>
      </c>
      <c r="I7420" s="95" t="s">
        <v>7231</v>
      </c>
      <c r="J7420" t="s">
        <v>61</v>
      </c>
      <c r="K7420" t="s">
        <v>62</v>
      </c>
      <c r="M7420">
        <v>145.75</v>
      </c>
      <c r="N7420" s="4">
        <f t="shared" si="115"/>
        <v>-9.9053173241852495</v>
      </c>
      <c r="O7420" t="s">
        <v>83</v>
      </c>
      <c r="R7420">
        <v>29</v>
      </c>
      <c r="S7420" t="e">
        <f>VLOOKUP(R7420,[1]!NOMINA[#Data],4,FALSE)</f>
        <v>#REF!</v>
      </c>
      <c r="T7420" t="e">
        <f>VLOOKUP(R7420,[1]!NOMINA[#Data],5,FALSE)</f>
        <v>#REF!</v>
      </c>
    </row>
    <row r="7421" spans="1:20" x14ac:dyDescent="0.25">
      <c r="A7421" s="22">
        <v>45897</v>
      </c>
      <c r="B7421" s="1">
        <v>417464312</v>
      </c>
      <c r="C7421" t="s">
        <v>5700</v>
      </c>
      <c r="D7421" s="44">
        <v>-1443.7</v>
      </c>
      <c r="E7421" t="s">
        <v>35</v>
      </c>
      <c r="F7421" s="2">
        <v>212901001</v>
      </c>
      <c r="G7421" s="2" t="s">
        <v>91</v>
      </c>
      <c r="I7421" s="95" t="s">
        <v>7231</v>
      </c>
      <c r="J7421" t="s">
        <v>61</v>
      </c>
      <c r="K7421" t="s">
        <v>62</v>
      </c>
      <c r="M7421">
        <v>145.75</v>
      </c>
      <c r="N7421" s="4">
        <f t="shared" si="115"/>
        <v>-9.9053173241852495</v>
      </c>
      <c r="O7421" t="s">
        <v>83</v>
      </c>
      <c r="R7421">
        <v>10</v>
      </c>
      <c r="S7421" t="e">
        <f>VLOOKUP(Tabla3[[#This Row],[Nº]],[1]!NOMINA[#Data],4,FALSE)</f>
        <v>#REF!</v>
      </c>
      <c r="T7421" t="e">
        <f>VLOOKUP(R7421,[1]!NOMINA[#Data],5,FALSE)</f>
        <v>#REF!</v>
      </c>
    </row>
    <row r="7422" spans="1:20" x14ac:dyDescent="0.25">
      <c r="A7422" s="22">
        <v>45897</v>
      </c>
      <c r="B7422" s="1">
        <v>417464313</v>
      </c>
      <c r="C7422" t="s">
        <v>5701</v>
      </c>
      <c r="D7422" s="44">
        <v>-1443.7</v>
      </c>
      <c r="E7422" t="s">
        <v>35</v>
      </c>
      <c r="F7422" s="2">
        <v>212901001</v>
      </c>
      <c r="G7422" s="2" t="s">
        <v>91</v>
      </c>
      <c r="I7422" s="95" t="s">
        <v>7231</v>
      </c>
      <c r="J7422" t="s">
        <v>61</v>
      </c>
      <c r="K7422" t="s">
        <v>62</v>
      </c>
      <c r="M7422">
        <v>145.75</v>
      </c>
      <c r="N7422" s="4">
        <f t="shared" si="115"/>
        <v>-9.9053173241852495</v>
      </c>
      <c r="O7422" t="s">
        <v>83</v>
      </c>
      <c r="R7422">
        <v>9</v>
      </c>
      <c r="S7422" t="e">
        <f>VLOOKUP(Tabla3[[#This Row],[Nº]],[1]!NOMINA[#Data],4,FALSE)</f>
        <v>#REF!</v>
      </c>
      <c r="T7422" t="e">
        <f>VLOOKUP(R7422,[1]!NOMINA[#Data],5,FALSE)</f>
        <v>#REF!</v>
      </c>
    </row>
    <row r="7423" spans="1:20" x14ac:dyDescent="0.25">
      <c r="A7423" s="22">
        <v>45897</v>
      </c>
      <c r="B7423" s="1">
        <v>517464315</v>
      </c>
      <c r="C7423" t="s">
        <v>5702</v>
      </c>
      <c r="D7423" s="44">
        <v>-12993.3</v>
      </c>
      <c r="E7423" t="s">
        <v>35</v>
      </c>
      <c r="F7423" s="2">
        <v>212901001</v>
      </c>
      <c r="G7423" s="2" t="s">
        <v>91</v>
      </c>
      <c r="I7423" s="95" t="s">
        <v>7231</v>
      </c>
      <c r="J7423" t="s">
        <v>61</v>
      </c>
      <c r="K7423" t="s">
        <v>62</v>
      </c>
      <c r="M7423">
        <v>145.75</v>
      </c>
      <c r="N7423" s="4">
        <f t="shared" si="115"/>
        <v>-89.147855917667229</v>
      </c>
      <c r="O7423" t="s">
        <v>83</v>
      </c>
    </row>
    <row r="7424" spans="1:20" x14ac:dyDescent="0.25">
      <c r="A7424" s="22">
        <v>45897</v>
      </c>
      <c r="B7424" s="1">
        <v>517464316</v>
      </c>
      <c r="C7424" t="s">
        <v>5703</v>
      </c>
      <c r="D7424" s="44">
        <v>-12993.3</v>
      </c>
      <c r="E7424" t="s">
        <v>35</v>
      </c>
      <c r="F7424" s="2">
        <v>212901001</v>
      </c>
      <c r="G7424" s="2" t="s">
        <v>91</v>
      </c>
      <c r="I7424" s="95" t="s">
        <v>7231</v>
      </c>
      <c r="J7424" t="s">
        <v>61</v>
      </c>
      <c r="K7424" t="s">
        <v>62</v>
      </c>
      <c r="M7424">
        <v>145.75</v>
      </c>
      <c r="N7424" s="4">
        <f t="shared" si="115"/>
        <v>-89.147855917667229</v>
      </c>
      <c r="O7424" t="s">
        <v>83</v>
      </c>
    </row>
    <row r="7425" spans="1:20" x14ac:dyDescent="0.25">
      <c r="A7425" s="22">
        <v>45897</v>
      </c>
      <c r="B7425" s="1">
        <v>517464314</v>
      </c>
      <c r="C7425" t="s">
        <v>5704</v>
      </c>
      <c r="D7425" s="44">
        <v>-12993.3</v>
      </c>
      <c r="E7425" t="s">
        <v>35</v>
      </c>
      <c r="F7425" s="2">
        <v>212901001</v>
      </c>
      <c r="G7425" s="2" t="s">
        <v>91</v>
      </c>
      <c r="I7425" s="95" t="s">
        <v>7231</v>
      </c>
      <c r="J7425" t="s">
        <v>61</v>
      </c>
      <c r="K7425" t="s">
        <v>62</v>
      </c>
      <c r="M7425">
        <v>145.75</v>
      </c>
      <c r="N7425" s="4">
        <f t="shared" si="115"/>
        <v>-89.147855917667229</v>
      </c>
      <c r="O7425" t="s">
        <v>83</v>
      </c>
    </row>
    <row r="7426" spans="1:20" x14ac:dyDescent="0.25">
      <c r="A7426" s="22">
        <v>45897</v>
      </c>
      <c r="B7426" s="1">
        <v>517464320</v>
      </c>
      <c r="C7426" t="s">
        <v>5705</v>
      </c>
      <c r="D7426" s="89">
        <v>-7176.63</v>
      </c>
      <c r="E7426" t="s">
        <v>35</v>
      </c>
      <c r="F7426" s="2">
        <v>212901001</v>
      </c>
      <c r="G7426" s="2" t="s">
        <v>91</v>
      </c>
      <c r="I7426" s="95" t="s">
        <v>7231</v>
      </c>
      <c r="J7426" t="s">
        <v>61</v>
      </c>
      <c r="K7426" t="s">
        <v>62</v>
      </c>
      <c r="M7426">
        <v>145.75</v>
      </c>
      <c r="N7426" s="4">
        <f t="shared" si="115"/>
        <v>-49.239313893653517</v>
      </c>
      <c r="O7426" t="s">
        <v>83</v>
      </c>
      <c r="R7426">
        <v>22</v>
      </c>
      <c r="S7426" t="e">
        <f>VLOOKUP(Tabla3[[#This Row],[Nº]],[1]!NOMINA[#Data],4,FALSE)</f>
        <v>#REF!</v>
      </c>
      <c r="T7426" t="e">
        <f>VLOOKUP(R7426,[1]!NOMINA[#Data],5,FALSE)</f>
        <v>#REF!</v>
      </c>
    </row>
    <row r="7427" spans="1:20" x14ac:dyDescent="0.25">
      <c r="A7427" s="22">
        <v>45897</v>
      </c>
      <c r="B7427" s="1">
        <v>517464318</v>
      </c>
      <c r="C7427" t="s">
        <v>5706</v>
      </c>
      <c r="D7427" s="44">
        <v>-11484.63</v>
      </c>
      <c r="E7427" t="s">
        <v>35</v>
      </c>
      <c r="F7427" s="2">
        <v>212901001</v>
      </c>
      <c r="G7427" s="2" t="s">
        <v>91</v>
      </c>
      <c r="I7427" s="95" t="s">
        <v>7231</v>
      </c>
      <c r="J7427" t="s">
        <v>61</v>
      </c>
      <c r="K7427" t="s">
        <v>62</v>
      </c>
      <c r="M7427">
        <v>145.75</v>
      </c>
      <c r="N7427" s="4">
        <f t="shared" si="115"/>
        <v>-78.796775300171518</v>
      </c>
      <c r="O7427" t="s">
        <v>83</v>
      </c>
      <c r="R7427">
        <v>31</v>
      </c>
      <c r="S7427" t="e">
        <f>VLOOKUP(Tabla3[[#This Row],[Nº]],[1]!NOMINA[#Data],4,FALSE)</f>
        <v>#REF!</v>
      </c>
      <c r="T7427" t="e">
        <f>VLOOKUP(R7427,[1]!NOMINA[#Data],5,FALSE)</f>
        <v>#REF!</v>
      </c>
    </row>
    <row r="7428" spans="1:20" x14ac:dyDescent="0.25">
      <c r="A7428" s="22">
        <v>45897</v>
      </c>
      <c r="B7428" s="1">
        <v>517464319</v>
      </c>
      <c r="C7428" t="s">
        <v>5707</v>
      </c>
      <c r="D7428" s="44">
        <v>-5731.49</v>
      </c>
      <c r="E7428" t="s">
        <v>35</v>
      </c>
      <c r="F7428" s="2">
        <v>212901001</v>
      </c>
      <c r="G7428" s="2" t="s">
        <v>91</v>
      </c>
      <c r="I7428" s="95" t="s">
        <v>7231</v>
      </c>
      <c r="J7428" t="s">
        <v>61</v>
      </c>
      <c r="K7428" t="s">
        <v>62</v>
      </c>
      <c r="M7428">
        <v>145.75</v>
      </c>
      <c r="N7428" s="4">
        <f t="shared" si="115"/>
        <v>-39.324116638078898</v>
      </c>
      <c r="O7428" t="s">
        <v>83</v>
      </c>
      <c r="R7428">
        <v>29</v>
      </c>
      <c r="S7428" t="e">
        <f>VLOOKUP(R7428,[1]!NOMINA[#Data],4,FALSE)</f>
        <v>#REF!</v>
      </c>
      <c r="T7428" t="e">
        <f>VLOOKUP(R7428,[1]!NOMINA[#Data],5,FALSE)</f>
        <v>#REF!</v>
      </c>
    </row>
    <row r="7429" spans="1:20" x14ac:dyDescent="0.25">
      <c r="A7429" s="22">
        <v>45897</v>
      </c>
      <c r="B7429" s="1">
        <v>517464317</v>
      </c>
      <c r="C7429" t="s">
        <v>5708</v>
      </c>
      <c r="D7429" s="44">
        <v>-72120.03</v>
      </c>
      <c r="E7429" t="s">
        <v>35</v>
      </c>
      <c r="F7429" s="2">
        <v>212901001</v>
      </c>
      <c r="G7429" s="2" t="s">
        <v>91</v>
      </c>
      <c r="I7429" s="95" t="s">
        <v>7231</v>
      </c>
      <c r="J7429" t="s">
        <v>61</v>
      </c>
      <c r="K7429" t="s">
        <v>62</v>
      </c>
      <c r="M7429">
        <v>145.75</v>
      </c>
      <c r="N7429" s="4">
        <f t="shared" si="115"/>
        <v>-494.82010291595196</v>
      </c>
      <c r="O7429" t="s">
        <v>83</v>
      </c>
      <c r="R7429">
        <v>2</v>
      </c>
      <c r="S7429" t="e">
        <f>VLOOKUP(Tabla3[[#This Row],[Nº]],[1]!NOMINA[#Data],4,FALSE)</f>
        <v>#REF!</v>
      </c>
      <c r="T7429" t="e">
        <f>VLOOKUP(Tabla3[[#This Row],[Nº]],[1]!NOMINA[#Data],5,FALSE)</f>
        <v>#REF!</v>
      </c>
    </row>
    <row r="7430" spans="1:20" x14ac:dyDescent="0.25">
      <c r="A7430" s="22">
        <v>45897</v>
      </c>
      <c r="B7430" s="1">
        <v>517464322</v>
      </c>
      <c r="C7430" t="s">
        <v>5709</v>
      </c>
      <c r="D7430" s="89">
        <v>-8161.24</v>
      </c>
      <c r="E7430" t="s">
        <v>35</v>
      </c>
      <c r="F7430" s="2">
        <v>212901001</v>
      </c>
      <c r="G7430" s="2" t="s">
        <v>91</v>
      </c>
      <c r="I7430" s="95" t="s">
        <v>7231</v>
      </c>
      <c r="J7430" t="s">
        <v>61</v>
      </c>
      <c r="K7430" t="s">
        <v>62</v>
      </c>
      <c r="M7430">
        <v>145.75</v>
      </c>
      <c r="N7430" s="4">
        <f t="shared" si="115"/>
        <v>-55.994785591766721</v>
      </c>
      <c r="O7430" t="s">
        <v>83</v>
      </c>
      <c r="R7430">
        <v>19</v>
      </c>
      <c r="S7430" t="e">
        <f>VLOOKUP(Tabla3[[#This Row],[Nº]],[1]!NOMINA[#Data],4,FALSE)</f>
        <v>#REF!</v>
      </c>
      <c r="T7430" t="e">
        <f>VLOOKUP(R7430,[1]!NOMINA[#Data],5,FALSE)</f>
        <v>#REF!</v>
      </c>
    </row>
    <row r="7431" spans="1:20" x14ac:dyDescent="0.25">
      <c r="A7431" s="22">
        <v>45897</v>
      </c>
      <c r="B7431" s="1">
        <v>517464321</v>
      </c>
      <c r="C7431" t="s">
        <v>5710</v>
      </c>
      <c r="D7431" s="89">
        <v>-5006.75</v>
      </c>
      <c r="E7431" t="s">
        <v>35</v>
      </c>
      <c r="F7431" s="2">
        <v>212901001</v>
      </c>
      <c r="G7431" s="2" t="s">
        <v>91</v>
      </c>
      <c r="I7431" s="95" t="s">
        <v>7231</v>
      </c>
      <c r="J7431" t="s">
        <v>61</v>
      </c>
      <c r="K7431" t="s">
        <v>62</v>
      </c>
      <c r="M7431">
        <v>145.75</v>
      </c>
      <c r="N7431" s="4">
        <f t="shared" si="115"/>
        <v>-34.351629502572898</v>
      </c>
      <c r="O7431" t="s">
        <v>83</v>
      </c>
      <c r="R7431">
        <v>23</v>
      </c>
      <c r="S7431" t="e">
        <f>VLOOKUP(Tabla3[[#This Row],[Nº]],[1]!NOMINA[#Data],4,FALSE)</f>
        <v>#REF!</v>
      </c>
      <c r="T7431" t="e">
        <f>VLOOKUP(R7431,[1]!NOMINA[#Data],5,FALSE)</f>
        <v>#REF!</v>
      </c>
    </row>
    <row r="7432" spans="1:20" x14ac:dyDescent="0.25">
      <c r="A7432" s="22">
        <v>45897</v>
      </c>
      <c r="B7432" s="1">
        <v>617464323</v>
      </c>
      <c r="C7432" t="s">
        <v>5711</v>
      </c>
      <c r="D7432" s="89">
        <v>-10100.129999999999</v>
      </c>
      <c r="E7432" t="s">
        <v>35</v>
      </c>
      <c r="F7432" s="2">
        <v>212901001</v>
      </c>
      <c r="G7432" s="2" t="s">
        <v>91</v>
      </c>
      <c r="I7432" s="95" t="s">
        <v>7231</v>
      </c>
      <c r="J7432" t="s">
        <v>61</v>
      </c>
      <c r="K7432" t="s">
        <v>62</v>
      </c>
      <c r="M7432">
        <v>145.75</v>
      </c>
      <c r="N7432" s="4">
        <f t="shared" si="115"/>
        <v>-69.297632933104623</v>
      </c>
      <c r="O7432" t="s">
        <v>83</v>
      </c>
      <c r="R7432">
        <v>17</v>
      </c>
      <c r="S7432" t="e">
        <f>VLOOKUP(Tabla3[[#This Row],[Nº]],[1]!NOMINA[#Data],4,FALSE)</f>
        <v>#REF!</v>
      </c>
      <c r="T7432" t="e">
        <f>VLOOKUP(R7432,[1]!NOMINA[#Data],5,FALSE)</f>
        <v>#REF!</v>
      </c>
    </row>
    <row r="7433" spans="1:20" x14ac:dyDescent="0.25">
      <c r="A7433" s="22">
        <v>45897</v>
      </c>
      <c r="B7433" s="1">
        <v>617464324</v>
      </c>
      <c r="C7433" t="s">
        <v>5712</v>
      </c>
      <c r="D7433" s="89">
        <v>-10303.69</v>
      </c>
      <c r="E7433" t="s">
        <v>35</v>
      </c>
      <c r="F7433" s="2">
        <v>212901001</v>
      </c>
      <c r="G7433" s="2" t="s">
        <v>91</v>
      </c>
      <c r="I7433" s="95" t="s">
        <v>7231</v>
      </c>
      <c r="J7433" t="s">
        <v>61</v>
      </c>
      <c r="K7433" t="s">
        <v>62</v>
      </c>
      <c r="M7433">
        <v>145.75</v>
      </c>
      <c r="N7433" s="4">
        <f t="shared" si="115"/>
        <v>-70.694271012006865</v>
      </c>
      <c r="O7433" t="s">
        <v>83</v>
      </c>
      <c r="R7433">
        <v>15</v>
      </c>
      <c r="S7433" t="e">
        <f>VLOOKUP(Tabla3[[#This Row],[Nº]],[1]!NOMINA[#Data],4,FALSE)</f>
        <v>#REF!</v>
      </c>
      <c r="T7433" t="e">
        <f>VLOOKUP(R7433,[1]!NOMINA[#Data],5,FALSE)</f>
        <v>#REF!</v>
      </c>
    </row>
    <row r="7434" spans="1:20" x14ac:dyDescent="0.25">
      <c r="A7434" s="22">
        <v>45897</v>
      </c>
      <c r="B7434" s="1">
        <v>617464325</v>
      </c>
      <c r="C7434" t="s">
        <v>5713</v>
      </c>
      <c r="D7434" s="89">
        <v>-10821.98</v>
      </c>
      <c r="E7434" t="s">
        <v>35</v>
      </c>
      <c r="F7434" s="2">
        <v>212901001</v>
      </c>
      <c r="G7434" s="2" t="s">
        <v>91</v>
      </c>
      <c r="I7434" s="95" t="s">
        <v>7231</v>
      </c>
      <c r="J7434" t="s">
        <v>61</v>
      </c>
      <c r="K7434" t="s">
        <v>62</v>
      </c>
      <c r="M7434">
        <v>145.75</v>
      </c>
      <c r="N7434" s="4">
        <f t="shared" si="115"/>
        <v>-74.250291595197254</v>
      </c>
      <c r="O7434" t="s">
        <v>83</v>
      </c>
      <c r="R7434">
        <v>14</v>
      </c>
      <c r="S7434" t="e">
        <f>VLOOKUP(Tabla3[[#This Row],[Nº]],[1]!NOMINA[#Data],4,FALSE)</f>
        <v>#REF!</v>
      </c>
      <c r="T7434" t="e">
        <f>VLOOKUP(R7434,[1]!NOMINA[#Data],5,FALSE)</f>
        <v>#REF!</v>
      </c>
    </row>
    <row r="7435" spans="1:20" x14ac:dyDescent="0.25">
      <c r="A7435" s="22">
        <v>45897</v>
      </c>
      <c r="B7435" s="1">
        <v>617464327</v>
      </c>
      <c r="C7435" t="s">
        <v>5714</v>
      </c>
      <c r="D7435" s="89">
        <v>-10801.76</v>
      </c>
      <c r="E7435" t="s">
        <v>35</v>
      </c>
      <c r="F7435" s="2">
        <v>212901001</v>
      </c>
      <c r="G7435" s="2" t="s">
        <v>91</v>
      </c>
      <c r="I7435" s="95" t="s">
        <v>7231</v>
      </c>
      <c r="J7435" t="s">
        <v>61</v>
      </c>
      <c r="K7435" t="s">
        <v>62</v>
      </c>
      <c r="M7435">
        <v>145.75</v>
      </c>
      <c r="N7435" s="4">
        <f t="shared" si="115"/>
        <v>-74.111560891938254</v>
      </c>
      <c r="O7435" t="s">
        <v>83</v>
      </c>
      <c r="R7435">
        <v>8</v>
      </c>
      <c r="S7435" t="e">
        <f>VLOOKUP(Tabla3[[#This Row],[Nº]],[1]!NOMINA[#Data],4,FALSE)</f>
        <v>#REF!</v>
      </c>
      <c r="T7435" t="e">
        <f>VLOOKUP(R7435,[1]!NOMINA[#Data],5,FALSE)</f>
        <v>#REF!</v>
      </c>
    </row>
    <row r="7436" spans="1:20" x14ac:dyDescent="0.25">
      <c r="A7436" s="22">
        <v>45897</v>
      </c>
      <c r="B7436" s="1">
        <v>617464326</v>
      </c>
      <c r="C7436" t="s">
        <v>5715</v>
      </c>
      <c r="D7436" s="89">
        <v>-5008.2</v>
      </c>
      <c r="E7436" t="s">
        <v>35</v>
      </c>
      <c r="F7436" s="2">
        <v>212901001</v>
      </c>
      <c r="G7436" s="2" t="s">
        <v>91</v>
      </c>
      <c r="I7436" s="95" t="s">
        <v>7231</v>
      </c>
      <c r="J7436" t="s">
        <v>61</v>
      </c>
      <c r="K7436" t="s">
        <v>62</v>
      </c>
      <c r="M7436">
        <v>145.75</v>
      </c>
      <c r="N7436" s="4">
        <f t="shared" ref="N7436:N7499" si="116">D7436/M7436</f>
        <v>-34.361578044596911</v>
      </c>
      <c r="O7436" t="s">
        <v>83</v>
      </c>
      <c r="R7436">
        <v>26</v>
      </c>
      <c r="S7436" t="e">
        <f>VLOOKUP(Tabla3[[#This Row],[Nº]],[1]!NOMINA[#Data],4,FALSE)</f>
        <v>#REF!</v>
      </c>
      <c r="T7436" t="e">
        <f>VLOOKUP(Tabla3[[#This Row],[Nº]],[1]!NOMINA[#Data],5,FALSE)</f>
        <v>#REF!</v>
      </c>
    </row>
    <row r="7437" spans="1:20" x14ac:dyDescent="0.25">
      <c r="A7437" s="22">
        <v>45897</v>
      </c>
      <c r="B7437" s="1">
        <v>617464329</v>
      </c>
      <c r="C7437" t="s">
        <v>5716</v>
      </c>
      <c r="D7437" s="44">
        <v>-57683.03</v>
      </c>
      <c r="E7437" t="s">
        <v>35</v>
      </c>
      <c r="F7437" s="2">
        <v>212901001</v>
      </c>
      <c r="G7437" s="2" t="s">
        <v>91</v>
      </c>
      <c r="I7437" s="95" t="s">
        <v>7231</v>
      </c>
      <c r="J7437" t="s">
        <v>61</v>
      </c>
      <c r="K7437" t="s">
        <v>62</v>
      </c>
      <c r="M7437">
        <v>145.75</v>
      </c>
      <c r="N7437" s="4">
        <f t="shared" si="116"/>
        <v>-395.76692967409946</v>
      </c>
      <c r="O7437" t="s">
        <v>83</v>
      </c>
      <c r="R7437">
        <v>1</v>
      </c>
      <c r="S7437" t="e">
        <f>VLOOKUP(R7437,[1]!NOMINA[#Data],4,FALSE)</f>
        <v>#REF!</v>
      </c>
      <c r="T7437" t="e">
        <f>VLOOKUP(R7437,[1]!NOMINA[#Data],5,FALSE)</f>
        <v>#REF!</v>
      </c>
    </row>
    <row r="7438" spans="1:20" x14ac:dyDescent="0.25">
      <c r="A7438" s="22">
        <v>45897</v>
      </c>
      <c r="B7438" s="1">
        <v>617464330</v>
      </c>
      <c r="C7438" t="s">
        <v>5717</v>
      </c>
      <c r="D7438" s="89">
        <v>-9721.8799999999992</v>
      </c>
      <c r="E7438" t="s">
        <v>35</v>
      </c>
      <c r="F7438" s="2">
        <v>212901001</v>
      </c>
      <c r="G7438" s="2" t="s">
        <v>91</v>
      </c>
      <c r="I7438" s="95" t="s">
        <v>7231</v>
      </c>
      <c r="J7438" t="s">
        <v>61</v>
      </c>
      <c r="K7438" t="s">
        <v>62</v>
      </c>
      <c r="M7438">
        <v>145.75</v>
      </c>
      <c r="N7438" s="4">
        <f t="shared" si="116"/>
        <v>-66.702435677530005</v>
      </c>
      <c r="O7438" t="s">
        <v>83</v>
      </c>
      <c r="R7438">
        <v>20</v>
      </c>
      <c r="S7438" t="e">
        <f>VLOOKUP(Tabla3[[#This Row],[Nº]],[1]!NOMINA[#Data],4,FALSE)</f>
        <v>#REF!</v>
      </c>
      <c r="T7438" t="e">
        <f>VLOOKUP(R7438,[1]!NOMINA[#Data],5,FALSE)</f>
        <v>#REF!</v>
      </c>
    </row>
    <row r="7439" spans="1:20" x14ac:dyDescent="0.25">
      <c r="A7439" s="22">
        <v>45897</v>
      </c>
      <c r="B7439" s="1">
        <v>617464328</v>
      </c>
      <c r="C7439" t="s">
        <v>5718</v>
      </c>
      <c r="D7439" s="89">
        <v>-10491.37</v>
      </c>
      <c r="E7439" t="s">
        <v>35</v>
      </c>
      <c r="F7439" s="2">
        <v>212901001</v>
      </c>
      <c r="G7439" s="2" t="s">
        <v>91</v>
      </c>
      <c r="I7439" s="95" t="s">
        <v>7231</v>
      </c>
      <c r="J7439" t="s">
        <v>61</v>
      </c>
      <c r="K7439" t="s">
        <v>62</v>
      </c>
      <c r="M7439">
        <v>145.75</v>
      </c>
      <c r="N7439" s="4">
        <f t="shared" si="116"/>
        <v>-71.981955403087483</v>
      </c>
      <c r="O7439" t="s">
        <v>83</v>
      </c>
      <c r="R7439">
        <v>13</v>
      </c>
      <c r="S7439" t="e">
        <f>VLOOKUP(Tabla3[[#This Row],[Nº]],[1]!NOMINA[#Data],4,FALSE)</f>
        <v>#REF!</v>
      </c>
      <c r="T7439" t="e">
        <f>VLOOKUP(R7439,[1]!NOMINA[#Data],5,FALSE)</f>
        <v>#REF!</v>
      </c>
    </row>
    <row r="7440" spans="1:20" x14ac:dyDescent="0.25">
      <c r="A7440" s="22">
        <v>45897</v>
      </c>
      <c r="B7440" s="1">
        <v>717464331</v>
      </c>
      <c r="C7440" t="s">
        <v>5719</v>
      </c>
      <c r="D7440" s="89">
        <v>-11488.96</v>
      </c>
      <c r="E7440" t="s">
        <v>35</v>
      </c>
      <c r="F7440" s="2">
        <v>212901001</v>
      </c>
      <c r="G7440" s="2" t="s">
        <v>91</v>
      </c>
      <c r="I7440" s="95" t="s">
        <v>7231</v>
      </c>
      <c r="J7440" t="s">
        <v>61</v>
      </c>
      <c r="K7440" t="s">
        <v>62</v>
      </c>
      <c r="M7440">
        <v>145.75</v>
      </c>
      <c r="N7440" s="4">
        <f t="shared" si="116"/>
        <v>-78.826483704974265</v>
      </c>
      <c r="O7440" t="s">
        <v>83</v>
      </c>
      <c r="R7440">
        <v>12</v>
      </c>
      <c r="S7440" t="e">
        <f>VLOOKUP(Tabla3[[#This Row],[Nº]],[1]!NOMINA[#Data],4,FALSE)</f>
        <v>#REF!</v>
      </c>
      <c r="T7440" t="e">
        <f>VLOOKUP(R7440,[1]!NOMINA[#Data],5,FALSE)</f>
        <v>#REF!</v>
      </c>
    </row>
    <row r="7441" spans="1:20" x14ac:dyDescent="0.25">
      <c r="A7441" s="22">
        <v>45897</v>
      </c>
      <c r="B7441" s="1">
        <v>717464332</v>
      </c>
      <c r="C7441" t="s">
        <v>5720</v>
      </c>
      <c r="D7441" s="89">
        <v>-15815.73</v>
      </c>
      <c r="E7441" t="s">
        <v>35</v>
      </c>
      <c r="F7441" s="2">
        <v>212901001</v>
      </c>
      <c r="G7441" s="2" t="s">
        <v>91</v>
      </c>
      <c r="I7441" s="95" t="s">
        <v>7231</v>
      </c>
      <c r="J7441" t="s">
        <v>61</v>
      </c>
      <c r="K7441" t="s">
        <v>62</v>
      </c>
      <c r="M7441">
        <v>145.75</v>
      </c>
      <c r="N7441" s="4">
        <f t="shared" si="116"/>
        <v>-108.51272727272728</v>
      </c>
      <c r="O7441" t="s">
        <v>83</v>
      </c>
      <c r="R7441">
        <v>4</v>
      </c>
      <c r="S7441" t="s">
        <v>5465</v>
      </c>
      <c r="T7441" t="e">
        <f>VLOOKUP(R7441,[1]!NOMINA[#Data],5,FALSE)</f>
        <v>#REF!</v>
      </c>
    </row>
    <row r="7442" spans="1:20" x14ac:dyDescent="0.25">
      <c r="A7442" s="22">
        <v>45897</v>
      </c>
      <c r="B7442" s="1">
        <v>717464333</v>
      </c>
      <c r="C7442" t="s">
        <v>5721</v>
      </c>
      <c r="D7442" s="89">
        <v>-13025.06</v>
      </c>
      <c r="E7442" t="s">
        <v>35</v>
      </c>
      <c r="F7442" s="2">
        <v>212901001</v>
      </c>
      <c r="G7442" s="2" t="s">
        <v>91</v>
      </c>
      <c r="I7442" s="95" t="s">
        <v>7231</v>
      </c>
      <c r="J7442" t="s">
        <v>61</v>
      </c>
      <c r="K7442" t="s">
        <v>62</v>
      </c>
      <c r="M7442">
        <v>145.75</v>
      </c>
      <c r="N7442" s="4">
        <f t="shared" si="116"/>
        <v>-89.365763293310465</v>
      </c>
      <c r="O7442" t="s">
        <v>83</v>
      </c>
      <c r="R7442">
        <v>33</v>
      </c>
      <c r="S7442" t="e">
        <f>VLOOKUP(R7442,[1]!NOMINA[#Data],4,FALSE)</f>
        <v>#REF!</v>
      </c>
      <c r="T7442" t="e">
        <f>VLOOKUP(R7442,[1]!NOMINA[#Data],5,FALSE)</f>
        <v>#REF!</v>
      </c>
    </row>
    <row r="7443" spans="1:20" x14ac:dyDescent="0.25">
      <c r="A7443" s="22">
        <v>45897</v>
      </c>
      <c r="B7443" s="1">
        <v>717464334</v>
      </c>
      <c r="C7443" t="s">
        <v>5722</v>
      </c>
      <c r="D7443" s="89">
        <v>-13025.06</v>
      </c>
      <c r="E7443" t="s">
        <v>35</v>
      </c>
      <c r="F7443" s="2">
        <v>212901001</v>
      </c>
      <c r="G7443" s="2" t="s">
        <v>91</v>
      </c>
      <c r="I7443" s="95" t="s">
        <v>7231</v>
      </c>
      <c r="J7443" t="s">
        <v>61</v>
      </c>
      <c r="K7443" t="s">
        <v>62</v>
      </c>
      <c r="M7443">
        <v>145.75</v>
      </c>
      <c r="N7443" s="4">
        <f t="shared" si="116"/>
        <v>-89.365763293310465</v>
      </c>
      <c r="O7443" t="s">
        <v>83</v>
      </c>
      <c r="R7443">
        <v>34</v>
      </c>
      <c r="S7443" t="e">
        <f>VLOOKUP(R7443,[1]!NOMINA[#Data],4,FALSE)</f>
        <v>#REF!</v>
      </c>
      <c r="T7443" t="e">
        <f>VLOOKUP(R7443,[1]!NOMINA[#Data],5,FALSE)</f>
        <v>#REF!</v>
      </c>
    </row>
    <row r="7444" spans="1:20" x14ac:dyDescent="0.25">
      <c r="A7444" s="22">
        <v>45897</v>
      </c>
      <c r="B7444" s="1">
        <v>717464336</v>
      </c>
      <c r="C7444" t="s">
        <v>5723</v>
      </c>
      <c r="D7444" s="89">
        <v>-17981.28</v>
      </c>
      <c r="E7444" t="s">
        <v>35</v>
      </c>
      <c r="F7444" s="2">
        <v>212901001</v>
      </c>
      <c r="G7444" s="2" t="s">
        <v>91</v>
      </c>
      <c r="I7444" s="95" t="s">
        <v>7231</v>
      </c>
      <c r="J7444" t="s">
        <v>61</v>
      </c>
      <c r="K7444" t="s">
        <v>62</v>
      </c>
      <c r="M7444">
        <v>145.75</v>
      </c>
      <c r="N7444" s="4">
        <f t="shared" si="116"/>
        <v>-123.37070325900514</v>
      </c>
      <c r="O7444" t="s">
        <v>83</v>
      </c>
      <c r="R7444">
        <v>6</v>
      </c>
      <c r="S7444" t="e">
        <f>VLOOKUP(Tabla3[[#This Row],[Nº]],[1]!NOMINA[#Data],4,FALSE)</f>
        <v>#REF!</v>
      </c>
      <c r="T7444" t="e">
        <f>VLOOKUP(R7444,[1]!NOMINA[#Data],5,FALSE)</f>
        <v>#REF!</v>
      </c>
    </row>
    <row r="7445" spans="1:20" x14ac:dyDescent="0.25">
      <c r="A7445" s="22">
        <v>45897</v>
      </c>
      <c r="B7445" s="1">
        <v>717464335</v>
      </c>
      <c r="C7445" t="s">
        <v>5724</v>
      </c>
      <c r="D7445" s="89">
        <v>-10549.12</v>
      </c>
      <c r="E7445" t="s">
        <v>35</v>
      </c>
      <c r="F7445" s="2">
        <v>212901001</v>
      </c>
      <c r="G7445" s="2" t="s">
        <v>91</v>
      </c>
      <c r="I7445" s="95" t="s">
        <v>7231</v>
      </c>
      <c r="J7445" t="s">
        <v>61</v>
      </c>
      <c r="K7445" t="s">
        <v>62</v>
      </c>
      <c r="M7445">
        <v>145.75</v>
      </c>
      <c r="N7445" s="4">
        <f t="shared" si="116"/>
        <v>-72.378181818181829</v>
      </c>
      <c r="O7445" t="s">
        <v>83</v>
      </c>
      <c r="R7445">
        <v>16</v>
      </c>
      <c r="S7445" t="e">
        <f>VLOOKUP(Tabla3[[#This Row],[Nº]],[1]!NOMINA[#Data],4,FALSE)</f>
        <v>#REF!</v>
      </c>
      <c r="T7445" t="e">
        <f>VLOOKUP(Tabla3[[#This Row],[Nº]],[1]!NOMINA[#Data],5,FALSE)</f>
        <v>#REF!</v>
      </c>
    </row>
    <row r="7446" spans="1:20" x14ac:dyDescent="0.25">
      <c r="A7446" s="22">
        <v>45897</v>
      </c>
      <c r="B7446" s="1">
        <v>717464338</v>
      </c>
      <c r="C7446" t="s">
        <v>5725</v>
      </c>
      <c r="D7446" s="89">
        <v>-40839.39</v>
      </c>
      <c r="E7446" t="s">
        <v>35</v>
      </c>
      <c r="F7446" s="2">
        <v>212901001</v>
      </c>
      <c r="G7446" s="2" t="s">
        <v>91</v>
      </c>
      <c r="I7446" s="95" t="s">
        <v>7231</v>
      </c>
      <c r="J7446" t="s">
        <v>61</v>
      </c>
      <c r="K7446" t="s">
        <v>62</v>
      </c>
      <c r="M7446">
        <v>145.75</v>
      </c>
      <c r="N7446" s="4">
        <f t="shared" si="116"/>
        <v>-280.20164665523157</v>
      </c>
      <c r="O7446" t="s">
        <v>83</v>
      </c>
      <c r="R7446">
        <v>3</v>
      </c>
      <c r="S7446" t="s">
        <v>5465</v>
      </c>
      <c r="T7446" t="e">
        <f>VLOOKUP(R7446,[1]!NOMINA[#Data],5,FALSE)</f>
        <v>#REF!</v>
      </c>
    </row>
    <row r="7447" spans="1:20" x14ac:dyDescent="0.25">
      <c r="A7447" s="22">
        <v>45897</v>
      </c>
      <c r="B7447" s="1">
        <v>817464343</v>
      </c>
      <c r="C7447" t="s">
        <v>5726</v>
      </c>
      <c r="D7447" s="44">
        <v>-15551.54</v>
      </c>
      <c r="E7447" t="s">
        <v>35</v>
      </c>
      <c r="F7447" s="2">
        <v>212901001</v>
      </c>
      <c r="G7447" s="2" t="s">
        <v>91</v>
      </c>
      <c r="I7447" s="95" t="s">
        <v>7231</v>
      </c>
      <c r="J7447" t="s">
        <v>61</v>
      </c>
      <c r="K7447" t="s">
        <v>62</v>
      </c>
      <c r="M7447">
        <v>145.75</v>
      </c>
      <c r="N7447" s="4">
        <f t="shared" si="116"/>
        <v>-106.70010291595197</v>
      </c>
      <c r="O7447" t="s">
        <v>83</v>
      </c>
      <c r="R7447">
        <v>30</v>
      </c>
      <c r="S7447" t="e">
        <f>VLOOKUP(Tabla3[[#This Row],[Nº]],[1]!NOMINA[#Data],4,FALSE)</f>
        <v>#REF!</v>
      </c>
      <c r="T7447" t="e">
        <f>VLOOKUP(R7447,[1]!NOMINA[#Data],5,FALSE)</f>
        <v>#REF!</v>
      </c>
    </row>
    <row r="7448" spans="1:20" x14ac:dyDescent="0.25">
      <c r="A7448" s="22">
        <v>45897</v>
      </c>
      <c r="B7448" s="1">
        <v>817464341</v>
      </c>
      <c r="C7448" t="s">
        <v>5727</v>
      </c>
      <c r="D7448" s="44">
        <v>-12688.68</v>
      </c>
      <c r="E7448" t="s">
        <v>35</v>
      </c>
      <c r="F7448" s="2">
        <v>212901001</v>
      </c>
      <c r="G7448" s="2" t="s">
        <v>91</v>
      </c>
      <c r="I7448" s="95" t="s">
        <v>7231</v>
      </c>
      <c r="J7448" t="s">
        <v>61</v>
      </c>
      <c r="K7448" t="s">
        <v>62</v>
      </c>
      <c r="M7448">
        <v>145.75</v>
      </c>
      <c r="N7448" s="4">
        <f t="shared" si="116"/>
        <v>-87.057838765008583</v>
      </c>
      <c r="O7448" t="s">
        <v>83</v>
      </c>
      <c r="R7448">
        <v>32</v>
      </c>
      <c r="S7448" t="e">
        <f>VLOOKUP(Tabla3[[#This Row],[Nº]],[1]!NOMINA[#Data],4,FALSE)</f>
        <v>#REF!</v>
      </c>
      <c r="T7448" t="e">
        <f>VLOOKUP(R7448,[1]!NOMINA[#Data],5,FALSE)</f>
        <v>#REF!</v>
      </c>
    </row>
    <row r="7449" spans="1:20" x14ac:dyDescent="0.25">
      <c r="A7449" s="22">
        <v>45897</v>
      </c>
      <c r="B7449" s="1">
        <v>817464340</v>
      </c>
      <c r="C7449" t="s">
        <v>5728</v>
      </c>
      <c r="D7449" s="89">
        <v>-11484.63</v>
      </c>
      <c r="E7449" t="s">
        <v>35</v>
      </c>
      <c r="F7449" s="2">
        <v>212901001</v>
      </c>
      <c r="G7449" s="2" t="s">
        <v>91</v>
      </c>
      <c r="I7449" s="95" t="s">
        <v>7231</v>
      </c>
      <c r="J7449" t="s">
        <v>61</v>
      </c>
      <c r="K7449" t="s">
        <v>62</v>
      </c>
      <c r="M7449">
        <v>145.75</v>
      </c>
      <c r="N7449" s="4">
        <f t="shared" si="116"/>
        <v>-78.796775300171518</v>
      </c>
      <c r="O7449" t="s">
        <v>83</v>
      </c>
      <c r="R7449">
        <v>5</v>
      </c>
      <c r="S7449" t="s">
        <v>5465</v>
      </c>
      <c r="T7449" t="e">
        <f>VLOOKUP(R7449,[1]!NOMINA[#Data],5,FALSE)</f>
        <v>#REF!</v>
      </c>
    </row>
    <row r="7450" spans="1:20" x14ac:dyDescent="0.25">
      <c r="A7450" s="22">
        <v>45897</v>
      </c>
      <c r="B7450" s="1">
        <v>717464339</v>
      </c>
      <c r="C7450" t="s">
        <v>5729</v>
      </c>
      <c r="D7450" s="89">
        <v>-7185.29</v>
      </c>
      <c r="E7450" t="s">
        <v>35</v>
      </c>
      <c r="F7450" s="2">
        <v>212901001</v>
      </c>
      <c r="G7450" s="2" t="s">
        <v>91</v>
      </c>
      <c r="I7450" s="95" t="s">
        <v>7231</v>
      </c>
      <c r="J7450" t="s">
        <v>61</v>
      </c>
      <c r="K7450" t="s">
        <v>62</v>
      </c>
      <c r="M7450">
        <v>145.75</v>
      </c>
      <c r="N7450" s="4">
        <f t="shared" si="116"/>
        <v>-49.298730703259004</v>
      </c>
      <c r="O7450" t="s">
        <v>83</v>
      </c>
      <c r="R7450">
        <v>24</v>
      </c>
      <c r="S7450" t="e">
        <f>VLOOKUP(Tabla3[[#This Row],[Nº]],[1]!NOMINA[#Data],4,FALSE)</f>
        <v>#REF!</v>
      </c>
      <c r="T7450" t="e">
        <f>VLOOKUP(R7450,[1]!NOMINA[#Data],5,FALSE)</f>
        <v>#REF!</v>
      </c>
    </row>
    <row r="7451" spans="1:20" x14ac:dyDescent="0.25">
      <c r="A7451" s="22">
        <v>45897</v>
      </c>
      <c r="B7451" s="1">
        <v>817464344</v>
      </c>
      <c r="C7451" t="s">
        <v>5730</v>
      </c>
      <c r="D7451" s="44">
        <v>-4674.7</v>
      </c>
      <c r="E7451" t="s">
        <v>35</v>
      </c>
      <c r="F7451" s="2">
        <v>212901001</v>
      </c>
      <c r="G7451" s="2" t="s">
        <v>91</v>
      </c>
      <c r="I7451" s="95" t="s">
        <v>7231</v>
      </c>
      <c r="J7451" t="s">
        <v>61</v>
      </c>
      <c r="K7451" t="s">
        <v>62</v>
      </c>
      <c r="M7451">
        <v>145.75</v>
      </c>
      <c r="N7451" s="4">
        <f t="shared" si="116"/>
        <v>-32.073413379073756</v>
      </c>
      <c r="O7451" t="s">
        <v>83</v>
      </c>
      <c r="R7451">
        <v>27</v>
      </c>
      <c r="S7451" t="e">
        <f>VLOOKUP(Tabla3[[#This Row],[Nº]],[1]!NOMINA[#Data],4,FALSE)</f>
        <v>#REF!</v>
      </c>
      <c r="T7451" t="e">
        <f>VLOOKUP(R7451,[1]!NOMINA[#Data],5,FALSE)</f>
        <v>#REF!</v>
      </c>
    </row>
    <row r="7452" spans="1:20" x14ac:dyDescent="0.25">
      <c r="A7452" s="22">
        <v>45897</v>
      </c>
      <c r="B7452" s="1">
        <v>817464345</v>
      </c>
      <c r="C7452" t="s">
        <v>5731</v>
      </c>
      <c r="D7452" s="44">
        <v>-7055.36</v>
      </c>
      <c r="E7452" t="s">
        <v>35</v>
      </c>
      <c r="F7452" s="2">
        <v>212901001</v>
      </c>
      <c r="G7452" s="2" t="s">
        <v>91</v>
      </c>
      <c r="I7452" s="95" t="s">
        <v>7231</v>
      </c>
      <c r="J7452" t="s">
        <v>61</v>
      </c>
      <c r="K7452" t="s">
        <v>62</v>
      </c>
      <c r="M7452">
        <v>145.75</v>
      </c>
      <c r="N7452" s="4">
        <f t="shared" si="116"/>
        <v>-48.407272727272726</v>
      </c>
      <c r="O7452" t="s">
        <v>83</v>
      </c>
      <c r="R7452">
        <v>21</v>
      </c>
      <c r="S7452" t="e">
        <f>VLOOKUP(Tabla3[[#This Row],[Nº]],[1]!NOMINA[#Data],4,FALSE)</f>
        <v>#REF!</v>
      </c>
      <c r="T7452" t="e">
        <f>VLOOKUP(R7452,[1]!NOMINA[#Data],5,FALSE)</f>
        <v>#REF!</v>
      </c>
    </row>
    <row r="7453" spans="1:20" x14ac:dyDescent="0.25">
      <c r="A7453" s="22">
        <v>45897</v>
      </c>
      <c r="B7453" s="1">
        <v>817464346</v>
      </c>
      <c r="C7453" t="s">
        <v>5732</v>
      </c>
      <c r="D7453" s="44">
        <v>-5009.6400000000003</v>
      </c>
      <c r="E7453" t="s">
        <v>35</v>
      </c>
      <c r="F7453" s="2">
        <v>212901001</v>
      </c>
      <c r="G7453" s="2" t="s">
        <v>91</v>
      </c>
      <c r="I7453" s="95" t="s">
        <v>7231</v>
      </c>
      <c r="J7453" t="s">
        <v>61</v>
      </c>
      <c r="K7453" t="s">
        <v>62</v>
      </c>
      <c r="M7453">
        <v>145.75</v>
      </c>
      <c r="N7453" s="4">
        <f t="shared" si="116"/>
        <v>-34.371457975986281</v>
      </c>
      <c r="O7453" t="s">
        <v>83</v>
      </c>
      <c r="R7453">
        <v>7</v>
      </c>
      <c r="S7453" t="e">
        <f>VLOOKUP(Tabla3[[#This Row],[Nº]],[1]!NOMINA[#Data],4,FALSE)</f>
        <v>#REF!</v>
      </c>
      <c r="T7453" t="e">
        <f>VLOOKUP(R7453,[1]!NOMINA[#Data],5,FALSE)</f>
        <v>#REF!</v>
      </c>
    </row>
    <row r="7454" spans="1:20" x14ac:dyDescent="0.25">
      <c r="A7454" s="22">
        <v>45897</v>
      </c>
      <c r="B7454" s="1">
        <v>817464349</v>
      </c>
      <c r="C7454" t="s">
        <v>5733</v>
      </c>
      <c r="D7454" s="44">
        <v>-10801.76</v>
      </c>
      <c r="E7454" t="s">
        <v>35</v>
      </c>
      <c r="F7454" s="2">
        <v>212901001</v>
      </c>
      <c r="G7454" s="2" t="s">
        <v>91</v>
      </c>
      <c r="I7454" s="95" t="s">
        <v>7231</v>
      </c>
      <c r="J7454" t="s">
        <v>61</v>
      </c>
      <c r="K7454" t="s">
        <v>62</v>
      </c>
      <c r="M7454">
        <v>145.75</v>
      </c>
      <c r="N7454" s="4">
        <f t="shared" si="116"/>
        <v>-74.111560891938254</v>
      </c>
      <c r="O7454" t="s">
        <v>83</v>
      </c>
      <c r="R7454">
        <v>11</v>
      </c>
      <c r="S7454" t="e">
        <f>VLOOKUP(Tabla3[[#This Row],[Nº]],[1]!NOMINA[#Data],4,FALSE)</f>
        <v>#REF!</v>
      </c>
      <c r="T7454" t="e">
        <f>VLOOKUP(R7454,[1]!NOMINA[#Data],5,FALSE)</f>
        <v>#REF!</v>
      </c>
    </row>
    <row r="7455" spans="1:20" x14ac:dyDescent="0.25">
      <c r="A7455" s="22">
        <v>45897</v>
      </c>
      <c r="B7455" s="1">
        <v>817464347</v>
      </c>
      <c r="C7455" t="s">
        <v>5734</v>
      </c>
      <c r="D7455" s="44">
        <v>-21590.53</v>
      </c>
      <c r="E7455" t="s">
        <v>35</v>
      </c>
      <c r="F7455" s="2">
        <v>212901001</v>
      </c>
      <c r="G7455" s="2" t="s">
        <v>91</v>
      </c>
      <c r="I7455" s="95" t="s">
        <v>7231</v>
      </c>
      <c r="J7455" t="s">
        <v>61</v>
      </c>
      <c r="K7455" t="s">
        <v>62</v>
      </c>
      <c r="M7455">
        <v>145.75</v>
      </c>
      <c r="N7455" s="4">
        <f t="shared" si="116"/>
        <v>-148.13399656946825</v>
      </c>
      <c r="O7455" t="s">
        <v>83</v>
      </c>
      <c r="R7455">
        <v>35</v>
      </c>
      <c r="S7455" t="e">
        <f>VLOOKUP(Tabla3[[#This Row],[Nº]],[1]!NOMINA[#Data],4,FALSE)</f>
        <v>#REF!</v>
      </c>
      <c r="T7455" t="e">
        <f>VLOOKUP(R7455,[1]!NOMINA[#Data],5,FALSE)</f>
        <v>#REF!</v>
      </c>
    </row>
    <row r="7456" spans="1:20" x14ac:dyDescent="0.25">
      <c r="A7456" s="22">
        <v>45897</v>
      </c>
      <c r="B7456" s="1">
        <v>917464351</v>
      </c>
      <c r="C7456" t="s">
        <v>5735</v>
      </c>
      <c r="D7456" s="44">
        <v>-10801.76</v>
      </c>
      <c r="E7456" t="s">
        <v>35</v>
      </c>
      <c r="F7456" s="2">
        <v>212901001</v>
      </c>
      <c r="G7456" s="2" t="s">
        <v>91</v>
      </c>
      <c r="I7456" s="95" t="s">
        <v>7231</v>
      </c>
      <c r="J7456" t="s">
        <v>61</v>
      </c>
      <c r="K7456" t="s">
        <v>62</v>
      </c>
      <c r="M7456">
        <v>145.75</v>
      </c>
      <c r="N7456" s="4">
        <f t="shared" si="116"/>
        <v>-74.111560891938254</v>
      </c>
      <c r="O7456" t="s">
        <v>83</v>
      </c>
      <c r="R7456">
        <v>10</v>
      </c>
      <c r="S7456" t="e">
        <f>VLOOKUP(Tabla3[[#This Row],[Nº]],[1]!NOMINA[#Data],4,FALSE)</f>
        <v>#REF!</v>
      </c>
      <c r="T7456" t="e">
        <f>VLOOKUP(R7456,[1]!NOMINA[#Data],5,FALSE)</f>
        <v>#REF!</v>
      </c>
    </row>
    <row r="7457" spans="1:20" x14ac:dyDescent="0.25">
      <c r="A7457" s="22">
        <v>45897</v>
      </c>
      <c r="B7457" s="1">
        <v>817464348</v>
      </c>
      <c r="C7457" t="s">
        <v>5736</v>
      </c>
      <c r="D7457" s="44">
        <v>-5008.2</v>
      </c>
      <c r="E7457" t="s">
        <v>35</v>
      </c>
      <c r="F7457" s="2">
        <v>212901001</v>
      </c>
      <c r="G7457" s="2" t="s">
        <v>91</v>
      </c>
      <c r="I7457" s="95" t="s">
        <v>7231</v>
      </c>
      <c r="J7457" t="s">
        <v>61</v>
      </c>
      <c r="K7457" t="s">
        <v>62</v>
      </c>
      <c r="M7457">
        <v>145.75</v>
      </c>
      <c r="N7457" s="4">
        <f t="shared" si="116"/>
        <v>-34.361578044596911</v>
      </c>
      <c r="O7457" t="s">
        <v>83</v>
      </c>
      <c r="R7457">
        <v>25</v>
      </c>
      <c r="S7457" t="e">
        <f>VLOOKUP(Tabla3[[#This Row],[Nº]],[1]!NOMINA[#Data],4,FALSE)</f>
        <v>#REF!</v>
      </c>
      <c r="T7457" t="e">
        <f>VLOOKUP(R7457,[1]!NOMINA[#Data],5,FALSE)</f>
        <v>#REF!</v>
      </c>
    </row>
    <row r="7458" spans="1:20" x14ac:dyDescent="0.25">
      <c r="A7458" s="22">
        <v>45897</v>
      </c>
      <c r="B7458" s="1">
        <v>917464352</v>
      </c>
      <c r="C7458" t="s">
        <v>5737</v>
      </c>
      <c r="D7458" s="44">
        <v>-10801.76</v>
      </c>
      <c r="E7458" t="s">
        <v>35</v>
      </c>
      <c r="F7458" s="2">
        <v>212901001</v>
      </c>
      <c r="G7458" s="2" t="s">
        <v>91</v>
      </c>
      <c r="I7458" s="95" t="s">
        <v>7231</v>
      </c>
      <c r="J7458" t="s">
        <v>61</v>
      </c>
      <c r="K7458" t="s">
        <v>62</v>
      </c>
      <c r="M7458">
        <v>145.75</v>
      </c>
      <c r="N7458" s="4">
        <f t="shared" si="116"/>
        <v>-74.111560891938254</v>
      </c>
      <c r="O7458" t="s">
        <v>83</v>
      </c>
      <c r="R7458">
        <v>9</v>
      </c>
      <c r="S7458" t="e">
        <f>VLOOKUP(Tabla3[[#This Row],[Nº]],[1]!NOMINA[#Data],4,FALSE)</f>
        <v>#REF!</v>
      </c>
      <c r="T7458" t="e">
        <f>VLOOKUP(R7458,[1]!NOMINA[#Data],5,FALSE)</f>
        <v>#REF!</v>
      </c>
    </row>
    <row r="7459" spans="1:20" x14ac:dyDescent="0.25">
      <c r="A7459" s="22">
        <v>45897</v>
      </c>
      <c r="B7459" s="1">
        <v>917464350</v>
      </c>
      <c r="C7459" t="s">
        <v>5738</v>
      </c>
      <c r="D7459" s="89">
        <v>-5731.49</v>
      </c>
      <c r="E7459" t="s">
        <v>35</v>
      </c>
      <c r="F7459" s="2">
        <v>212901001</v>
      </c>
      <c r="G7459" s="2" t="s">
        <v>91</v>
      </c>
      <c r="I7459" s="95" t="s">
        <v>7231</v>
      </c>
      <c r="J7459" t="s">
        <v>61</v>
      </c>
      <c r="K7459" t="s">
        <v>62</v>
      </c>
      <c r="M7459">
        <v>145.75</v>
      </c>
      <c r="N7459" s="4">
        <f t="shared" si="116"/>
        <v>-39.324116638078898</v>
      </c>
      <c r="O7459" t="s">
        <v>83</v>
      </c>
      <c r="R7459">
        <v>28</v>
      </c>
      <c r="S7459" t="e">
        <f>VLOOKUP(Tabla3[[#This Row],[Nº]],[1]!NOMINA[#Data],4,FALSE)</f>
        <v>#REF!</v>
      </c>
      <c r="T7459" t="e">
        <f>VLOOKUP(R7459,[1]!NOMINA[#Data],5,FALSE)</f>
        <v>#REF!</v>
      </c>
    </row>
    <row r="7460" spans="1:20" x14ac:dyDescent="0.25">
      <c r="A7460" s="22">
        <v>45897</v>
      </c>
      <c r="B7460" s="1">
        <v>917464356</v>
      </c>
      <c r="C7460" t="s">
        <v>5739</v>
      </c>
      <c r="D7460" s="44">
        <v>-5774.8</v>
      </c>
      <c r="E7460" t="s">
        <v>35</v>
      </c>
      <c r="F7460" s="2">
        <v>212901001</v>
      </c>
      <c r="G7460" s="2" t="s">
        <v>91</v>
      </c>
      <c r="I7460" s="95" t="s">
        <v>7231</v>
      </c>
      <c r="J7460" t="s">
        <v>61</v>
      </c>
      <c r="K7460" t="s">
        <v>62</v>
      </c>
      <c r="M7460">
        <v>145.75</v>
      </c>
      <c r="N7460" s="4">
        <f t="shared" si="116"/>
        <v>-39.621269296740998</v>
      </c>
      <c r="O7460" t="s">
        <v>83</v>
      </c>
      <c r="R7460">
        <v>2</v>
      </c>
      <c r="S7460" t="e">
        <f>VLOOKUP(Tabla3[[#This Row],[Nº]],[1]!NOMINA[#Data],4,FALSE)</f>
        <v>#REF!</v>
      </c>
      <c r="T7460" t="e">
        <f>VLOOKUP(Tabla3[[#This Row],[Nº]],[1]!NOMINA[#Data],5,FALSE)</f>
        <v>#REF!</v>
      </c>
    </row>
    <row r="7461" spans="1:20" x14ac:dyDescent="0.25">
      <c r="A7461" s="22">
        <v>45897</v>
      </c>
      <c r="B7461" s="1">
        <v>917464353</v>
      </c>
      <c r="C7461" t="s">
        <v>5740</v>
      </c>
      <c r="D7461" s="44">
        <v>-10752.68</v>
      </c>
      <c r="E7461" t="s">
        <v>35</v>
      </c>
      <c r="F7461" s="2">
        <v>212901001</v>
      </c>
      <c r="G7461" s="2" t="s">
        <v>91</v>
      </c>
      <c r="I7461" s="95" t="s">
        <v>7231</v>
      </c>
      <c r="J7461" t="s">
        <v>61</v>
      </c>
      <c r="K7461" t="s">
        <v>62</v>
      </c>
      <c r="M7461">
        <v>145.75</v>
      </c>
      <c r="N7461" s="4">
        <f t="shared" si="116"/>
        <v>-73.774819897084043</v>
      </c>
      <c r="O7461" t="s">
        <v>83</v>
      </c>
      <c r="R7461">
        <v>18</v>
      </c>
      <c r="S7461" t="e">
        <f>VLOOKUP(Tabla3[[#This Row],[Nº]],[1]!NOMINA[#Data],4,FALSE)</f>
        <v>#REF!</v>
      </c>
      <c r="T7461" t="e">
        <f>VLOOKUP(Tabla3[[#This Row],[Nº]],[1]!NOMINA[#Data],5,FALSE)</f>
        <v>#REF!</v>
      </c>
    </row>
    <row r="7462" spans="1:20" x14ac:dyDescent="0.25">
      <c r="A7462" s="22">
        <v>45897</v>
      </c>
      <c r="B7462" s="1">
        <v>917464354</v>
      </c>
      <c r="C7462" t="s">
        <v>5741</v>
      </c>
      <c r="D7462" s="44">
        <v>-5774.8</v>
      </c>
      <c r="E7462" t="s">
        <v>35</v>
      </c>
      <c r="F7462" s="2">
        <v>212901001</v>
      </c>
      <c r="G7462" s="2" t="s">
        <v>91</v>
      </c>
      <c r="I7462" s="95" t="s">
        <v>7231</v>
      </c>
      <c r="J7462" t="s">
        <v>61</v>
      </c>
      <c r="K7462" t="s">
        <v>62</v>
      </c>
      <c r="M7462">
        <v>145.75</v>
      </c>
      <c r="N7462" s="4">
        <f t="shared" si="116"/>
        <v>-39.621269296740998</v>
      </c>
      <c r="O7462" t="s">
        <v>83</v>
      </c>
      <c r="R7462">
        <v>1</v>
      </c>
      <c r="S7462" t="e">
        <f>VLOOKUP(R7462,[1]!NOMINA[#Data],4,FALSE)</f>
        <v>#REF!</v>
      </c>
      <c r="T7462" t="e">
        <f>VLOOKUP(R7462,[1]!NOMINA[#Data],5,FALSE)</f>
        <v>#REF!</v>
      </c>
    </row>
    <row r="7463" spans="1:20" x14ac:dyDescent="0.25">
      <c r="A7463" s="22">
        <v>45897</v>
      </c>
      <c r="B7463" s="1">
        <v>917464359</v>
      </c>
      <c r="C7463" t="s">
        <v>5742</v>
      </c>
      <c r="D7463" s="44">
        <v>-5774.8</v>
      </c>
      <c r="E7463" t="s">
        <v>35</v>
      </c>
      <c r="F7463" s="2">
        <v>212901001</v>
      </c>
      <c r="G7463" s="2" t="s">
        <v>91</v>
      </c>
      <c r="I7463" s="95" t="s">
        <v>7231</v>
      </c>
      <c r="J7463" t="s">
        <v>61</v>
      </c>
      <c r="K7463" t="s">
        <v>62</v>
      </c>
      <c r="M7463">
        <v>145.75</v>
      </c>
      <c r="N7463" s="4">
        <f t="shared" si="116"/>
        <v>-39.621269296740998</v>
      </c>
      <c r="O7463" t="s">
        <v>83</v>
      </c>
      <c r="R7463">
        <v>4</v>
      </c>
      <c r="S7463" t="s">
        <v>5465</v>
      </c>
      <c r="T7463" t="e">
        <f>VLOOKUP(R7463,[1]!NOMINA[#Data],5,FALSE)</f>
        <v>#REF!</v>
      </c>
    </row>
    <row r="7464" spans="1:20" x14ac:dyDescent="0.25">
      <c r="A7464" s="22">
        <v>45897</v>
      </c>
      <c r="B7464" s="1">
        <v>917464358</v>
      </c>
      <c r="C7464" t="s">
        <v>5743</v>
      </c>
      <c r="D7464" s="44">
        <v>-5774.8</v>
      </c>
      <c r="E7464" t="s">
        <v>35</v>
      </c>
      <c r="F7464" s="2">
        <v>212901001</v>
      </c>
      <c r="G7464" s="2" t="s">
        <v>91</v>
      </c>
      <c r="I7464" s="95" t="s">
        <v>7231</v>
      </c>
      <c r="J7464" t="s">
        <v>61</v>
      </c>
      <c r="K7464" t="s">
        <v>62</v>
      </c>
      <c r="M7464">
        <v>145.75</v>
      </c>
      <c r="N7464" s="4">
        <f t="shared" si="116"/>
        <v>-39.621269296740998</v>
      </c>
      <c r="O7464" t="s">
        <v>83</v>
      </c>
      <c r="R7464">
        <v>3</v>
      </c>
      <c r="S7464" t="s">
        <v>5465</v>
      </c>
      <c r="T7464" t="e">
        <f>VLOOKUP(R7464,[1]!NOMINA[#Data],5,FALSE)</f>
        <v>#REF!</v>
      </c>
    </row>
    <row r="7465" spans="1:20" x14ac:dyDescent="0.25">
      <c r="A7465" s="22">
        <v>45897</v>
      </c>
      <c r="B7465" s="1">
        <v>917464357</v>
      </c>
      <c r="C7465" t="s">
        <v>5744</v>
      </c>
      <c r="D7465" s="44">
        <v>-5774.8</v>
      </c>
      <c r="E7465" t="s">
        <v>35</v>
      </c>
      <c r="F7465" s="2">
        <v>212901001</v>
      </c>
      <c r="G7465" s="2" t="s">
        <v>91</v>
      </c>
      <c r="I7465" s="95" t="s">
        <v>7231</v>
      </c>
      <c r="J7465" t="s">
        <v>61</v>
      </c>
      <c r="K7465" t="s">
        <v>62</v>
      </c>
      <c r="M7465">
        <v>145.75</v>
      </c>
      <c r="N7465" s="4">
        <f t="shared" si="116"/>
        <v>-39.621269296740998</v>
      </c>
      <c r="O7465" t="s">
        <v>83</v>
      </c>
      <c r="R7465">
        <v>2</v>
      </c>
      <c r="S7465" t="e">
        <f>VLOOKUP(Tabla3[[#This Row],[Nº]],[1]!NOMINA[#Data],4,FALSE)</f>
        <v>#REF!</v>
      </c>
      <c r="T7465" t="e">
        <f>VLOOKUP(Tabla3[[#This Row],[Nº]],[1]!NOMINA[#Data],5,FALSE)</f>
        <v>#REF!</v>
      </c>
    </row>
    <row r="7466" spans="1:20" x14ac:dyDescent="0.25">
      <c r="A7466" s="22">
        <v>45897</v>
      </c>
      <c r="B7466" s="1">
        <v>17464362</v>
      </c>
      <c r="C7466" t="s">
        <v>5745</v>
      </c>
      <c r="D7466" s="44">
        <v>-5774.8</v>
      </c>
      <c r="E7466" t="s">
        <v>35</v>
      </c>
      <c r="F7466" s="2">
        <v>212901001</v>
      </c>
      <c r="G7466" s="2" t="s">
        <v>91</v>
      </c>
      <c r="I7466" s="95" t="s">
        <v>7231</v>
      </c>
      <c r="J7466" t="s">
        <v>61</v>
      </c>
      <c r="K7466" t="s">
        <v>62</v>
      </c>
      <c r="M7466">
        <v>145.75</v>
      </c>
      <c r="N7466" s="4">
        <f t="shared" si="116"/>
        <v>-39.621269296740998</v>
      </c>
      <c r="O7466" t="s">
        <v>83</v>
      </c>
      <c r="R7466">
        <v>38</v>
      </c>
      <c r="S7466" t="e">
        <f>VLOOKUP(R7466,[1]!NOMINA[#Data],4,FALSE)</f>
        <v>#REF!</v>
      </c>
      <c r="T7466" t="e">
        <f>VLOOKUP(R7466,[1]!NOMINA[#Data],5,FALSE)</f>
        <v>#REF!</v>
      </c>
    </row>
    <row r="7467" spans="1:20" x14ac:dyDescent="0.25">
      <c r="A7467" s="22">
        <v>45897</v>
      </c>
      <c r="B7467" s="1">
        <v>17464361</v>
      </c>
      <c r="C7467" t="s">
        <v>5746</v>
      </c>
      <c r="D7467" s="44">
        <v>-5774.8</v>
      </c>
      <c r="E7467" t="s">
        <v>35</v>
      </c>
      <c r="F7467" s="2">
        <v>212901001</v>
      </c>
      <c r="G7467" s="2" t="s">
        <v>91</v>
      </c>
      <c r="I7467" s="95" t="s">
        <v>7231</v>
      </c>
      <c r="J7467" t="s">
        <v>61</v>
      </c>
      <c r="K7467" t="s">
        <v>62</v>
      </c>
      <c r="M7467">
        <v>145.75</v>
      </c>
      <c r="N7467" s="4">
        <f t="shared" si="116"/>
        <v>-39.621269296740998</v>
      </c>
      <c r="O7467" t="s">
        <v>83</v>
      </c>
      <c r="R7467">
        <v>31</v>
      </c>
      <c r="S7467" t="e">
        <f>VLOOKUP(Tabla3[[#This Row],[Nº]],[1]!NOMINA[#Data],4,FALSE)</f>
        <v>#REF!</v>
      </c>
      <c r="T7467" t="e">
        <f>VLOOKUP(R7467,[1]!NOMINA[#Data],5,FALSE)</f>
        <v>#REF!</v>
      </c>
    </row>
    <row r="7468" spans="1:20" x14ac:dyDescent="0.25">
      <c r="A7468" s="22">
        <v>45897</v>
      </c>
      <c r="B7468" s="1">
        <v>17464363</v>
      </c>
      <c r="C7468" t="s">
        <v>5747</v>
      </c>
      <c r="D7468" s="44">
        <v>-5774.8</v>
      </c>
      <c r="E7468" t="s">
        <v>35</v>
      </c>
      <c r="F7468" s="2">
        <v>212901001</v>
      </c>
      <c r="G7468" s="2" t="s">
        <v>91</v>
      </c>
      <c r="I7468" s="95" t="s">
        <v>7231</v>
      </c>
      <c r="J7468" t="s">
        <v>61</v>
      </c>
      <c r="K7468" t="s">
        <v>62</v>
      </c>
      <c r="M7468">
        <v>145.75</v>
      </c>
      <c r="N7468" s="4">
        <f t="shared" si="116"/>
        <v>-39.621269296740998</v>
      </c>
      <c r="O7468" t="s">
        <v>83</v>
      </c>
      <c r="R7468">
        <v>28</v>
      </c>
      <c r="S7468" t="e">
        <f>VLOOKUP(Tabla3[[#This Row],[Nº]],[1]!NOMINA[#Data],4,FALSE)</f>
        <v>#REF!</v>
      </c>
      <c r="T7468" t="e">
        <f>VLOOKUP(R7468,[1]!NOMINA[#Data],5,FALSE)</f>
        <v>#REF!</v>
      </c>
    </row>
    <row r="7469" spans="1:20" x14ac:dyDescent="0.25">
      <c r="A7469" s="22">
        <v>45897</v>
      </c>
      <c r="B7469" s="1">
        <v>17464364</v>
      </c>
      <c r="C7469" t="s">
        <v>5748</v>
      </c>
      <c r="D7469" s="44">
        <v>-5774.8</v>
      </c>
      <c r="E7469" t="s">
        <v>35</v>
      </c>
      <c r="F7469" s="2">
        <v>212901001</v>
      </c>
      <c r="G7469" s="2" t="s">
        <v>91</v>
      </c>
      <c r="I7469" s="95" t="s">
        <v>7231</v>
      </c>
      <c r="J7469" t="s">
        <v>61</v>
      </c>
      <c r="K7469" t="s">
        <v>62</v>
      </c>
      <c r="M7469">
        <v>145.75</v>
      </c>
      <c r="N7469" s="4">
        <f t="shared" si="116"/>
        <v>-39.621269296740998</v>
      </c>
      <c r="O7469" t="s">
        <v>83</v>
      </c>
      <c r="R7469">
        <v>22</v>
      </c>
      <c r="S7469" t="e">
        <f>VLOOKUP(Tabla3[[#This Row],[Nº]],[1]!NOMINA[#Data],4,FALSE)</f>
        <v>#REF!</v>
      </c>
      <c r="T7469" t="e">
        <f>VLOOKUP(R7469,[1]!NOMINA[#Data],5,FALSE)</f>
        <v>#REF!</v>
      </c>
    </row>
    <row r="7470" spans="1:20" x14ac:dyDescent="0.25">
      <c r="A7470" s="22">
        <v>45897</v>
      </c>
      <c r="B7470" s="1">
        <v>17464365</v>
      </c>
      <c r="C7470" t="s">
        <v>5749</v>
      </c>
      <c r="D7470" s="44">
        <v>-5774.8</v>
      </c>
      <c r="E7470" t="s">
        <v>35</v>
      </c>
      <c r="F7470" s="2">
        <v>212901001</v>
      </c>
      <c r="G7470" s="2" t="s">
        <v>91</v>
      </c>
      <c r="I7470" s="95" t="s">
        <v>7231</v>
      </c>
      <c r="J7470" t="s">
        <v>61</v>
      </c>
      <c r="K7470" t="s">
        <v>62</v>
      </c>
      <c r="M7470">
        <v>145.75</v>
      </c>
      <c r="N7470" s="4">
        <f t="shared" si="116"/>
        <v>-39.621269296740998</v>
      </c>
      <c r="O7470" t="s">
        <v>83</v>
      </c>
      <c r="R7470">
        <v>23</v>
      </c>
      <c r="S7470" t="e">
        <f>VLOOKUP(Tabla3[[#This Row],[Nº]],[1]!NOMINA[#Data],4,FALSE)</f>
        <v>#REF!</v>
      </c>
      <c r="T7470" t="e">
        <f>VLOOKUP(R7470,[1]!NOMINA[#Data],5,FALSE)</f>
        <v>#REF!</v>
      </c>
    </row>
    <row r="7471" spans="1:20" x14ac:dyDescent="0.25">
      <c r="A7471" s="22">
        <v>45897</v>
      </c>
      <c r="B7471" s="1">
        <v>17464368</v>
      </c>
      <c r="C7471" t="s">
        <v>5750</v>
      </c>
      <c r="D7471" s="44">
        <v>-5774.8</v>
      </c>
      <c r="E7471" t="s">
        <v>35</v>
      </c>
      <c r="F7471" s="2">
        <v>212901001</v>
      </c>
      <c r="G7471" s="2" t="s">
        <v>91</v>
      </c>
      <c r="I7471" s="95" t="s">
        <v>7231</v>
      </c>
      <c r="J7471" t="s">
        <v>61</v>
      </c>
      <c r="K7471" t="s">
        <v>62</v>
      </c>
      <c r="M7471">
        <v>145.75</v>
      </c>
      <c r="N7471" s="4">
        <f t="shared" si="116"/>
        <v>-39.621269296740998</v>
      </c>
      <c r="O7471" t="s">
        <v>83</v>
      </c>
      <c r="R7471">
        <v>19</v>
      </c>
      <c r="S7471" t="e">
        <f>VLOOKUP(Tabla3[[#This Row],[Nº]],[1]!NOMINA[#Data],4,FALSE)</f>
        <v>#REF!</v>
      </c>
      <c r="T7471" t="e">
        <f>VLOOKUP(R7471,[1]!NOMINA[#Data],5,FALSE)</f>
        <v>#REF!</v>
      </c>
    </row>
    <row r="7472" spans="1:20" x14ac:dyDescent="0.25">
      <c r="A7472" s="22">
        <v>45897</v>
      </c>
      <c r="B7472" s="1">
        <v>17464366</v>
      </c>
      <c r="C7472" t="s">
        <v>5751</v>
      </c>
      <c r="D7472" s="44">
        <v>-5774.8</v>
      </c>
      <c r="E7472" t="s">
        <v>35</v>
      </c>
      <c r="F7472" s="2">
        <v>212901001</v>
      </c>
      <c r="G7472" s="2" t="s">
        <v>91</v>
      </c>
      <c r="I7472" s="95" t="s">
        <v>7231</v>
      </c>
      <c r="J7472" t="s">
        <v>61</v>
      </c>
      <c r="K7472" t="s">
        <v>62</v>
      </c>
      <c r="M7472">
        <v>145.75</v>
      </c>
      <c r="N7472" s="4">
        <f t="shared" si="116"/>
        <v>-39.621269296740998</v>
      </c>
      <c r="O7472" t="s">
        <v>83</v>
      </c>
      <c r="R7472">
        <v>17</v>
      </c>
      <c r="S7472" t="e">
        <f>VLOOKUP(Tabla3[[#This Row],[Nº]],[1]!NOMINA[#Data],4,FALSE)</f>
        <v>#REF!</v>
      </c>
      <c r="T7472" t="e">
        <f>VLOOKUP(R7472,[1]!NOMINA[#Data],5,FALSE)</f>
        <v>#REF!</v>
      </c>
    </row>
    <row r="7473" spans="1:20" x14ac:dyDescent="0.25">
      <c r="A7473" s="22">
        <v>45897</v>
      </c>
      <c r="B7473" s="1">
        <v>17464367</v>
      </c>
      <c r="C7473" t="s">
        <v>5752</v>
      </c>
      <c r="D7473" s="44">
        <v>-5774.8</v>
      </c>
      <c r="E7473" t="s">
        <v>35</v>
      </c>
      <c r="F7473" s="2">
        <v>212901001</v>
      </c>
      <c r="G7473" s="2" t="s">
        <v>91</v>
      </c>
      <c r="I7473" s="95" t="s">
        <v>7231</v>
      </c>
      <c r="J7473" t="s">
        <v>61</v>
      </c>
      <c r="K7473" t="s">
        <v>62</v>
      </c>
      <c r="M7473">
        <v>145.75</v>
      </c>
      <c r="N7473" s="4">
        <f t="shared" si="116"/>
        <v>-39.621269296740998</v>
      </c>
      <c r="O7473" t="s">
        <v>83</v>
      </c>
      <c r="R7473">
        <v>15</v>
      </c>
      <c r="S7473" t="e">
        <f>VLOOKUP(Tabla3[[#This Row],[Nº]],[1]!NOMINA[#Data],4,FALSE)</f>
        <v>#REF!</v>
      </c>
      <c r="T7473" t="e">
        <f>VLOOKUP(R7473,[1]!NOMINA[#Data],5,FALSE)</f>
        <v>#REF!</v>
      </c>
    </row>
    <row r="7474" spans="1:20" x14ac:dyDescent="0.25">
      <c r="A7474" s="22">
        <v>45897</v>
      </c>
      <c r="B7474" s="1">
        <v>117464371</v>
      </c>
      <c r="C7474" t="s">
        <v>5753</v>
      </c>
      <c r="D7474" s="44">
        <v>-5774.8</v>
      </c>
      <c r="E7474" t="s">
        <v>35</v>
      </c>
      <c r="F7474" s="2">
        <v>212901001</v>
      </c>
      <c r="G7474" s="2" t="s">
        <v>91</v>
      </c>
      <c r="I7474" s="95" t="s">
        <v>7231</v>
      </c>
      <c r="J7474" t="s">
        <v>61</v>
      </c>
      <c r="K7474" t="s">
        <v>62</v>
      </c>
      <c r="M7474">
        <v>145.75</v>
      </c>
      <c r="N7474" s="4">
        <f t="shared" si="116"/>
        <v>-39.621269296740998</v>
      </c>
      <c r="O7474" t="s">
        <v>83</v>
      </c>
      <c r="R7474">
        <v>14</v>
      </c>
      <c r="S7474" t="e">
        <f>VLOOKUP(Tabla3[[#This Row],[Nº]],[1]!NOMINA[#Data],4,FALSE)</f>
        <v>#REF!</v>
      </c>
      <c r="T7474" t="e">
        <f>VLOOKUP(R7474,[1]!NOMINA[#Data],5,FALSE)</f>
        <v>#REF!</v>
      </c>
    </row>
    <row r="7475" spans="1:20" x14ac:dyDescent="0.25">
      <c r="A7475" s="22">
        <v>45897</v>
      </c>
      <c r="B7475" s="1">
        <v>117464372</v>
      </c>
      <c r="C7475" t="s">
        <v>5754</v>
      </c>
      <c r="D7475" s="44">
        <v>-5774.8</v>
      </c>
      <c r="E7475" t="s">
        <v>35</v>
      </c>
      <c r="F7475" s="2">
        <v>212901001</v>
      </c>
      <c r="G7475" s="2" t="s">
        <v>91</v>
      </c>
      <c r="I7475" s="95" t="s">
        <v>7231</v>
      </c>
      <c r="J7475" t="s">
        <v>61</v>
      </c>
      <c r="K7475" t="s">
        <v>62</v>
      </c>
      <c r="M7475">
        <v>145.75</v>
      </c>
      <c r="N7475" s="4">
        <f t="shared" si="116"/>
        <v>-39.621269296740998</v>
      </c>
      <c r="O7475" t="s">
        <v>83</v>
      </c>
      <c r="R7475">
        <v>26</v>
      </c>
      <c r="S7475" t="e">
        <f>VLOOKUP(Tabla3[[#This Row],[Nº]],[1]!NOMINA[#Data],4,FALSE)</f>
        <v>#REF!</v>
      </c>
      <c r="T7475" t="e">
        <f>VLOOKUP(Tabla3[[#This Row],[Nº]],[1]!NOMINA[#Data],5,FALSE)</f>
        <v>#REF!</v>
      </c>
    </row>
    <row r="7476" spans="1:20" x14ac:dyDescent="0.25">
      <c r="A7476" s="22">
        <v>45897</v>
      </c>
      <c r="B7476" s="1">
        <v>117464374</v>
      </c>
      <c r="C7476" t="s">
        <v>5755</v>
      </c>
      <c r="D7476" s="44">
        <v>-5774.8</v>
      </c>
      <c r="E7476" t="s">
        <v>35</v>
      </c>
      <c r="F7476" s="2">
        <v>212901001</v>
      </c>
      <c r="G7476" s="2" t="s">
        <v>91</v>
      </c>
      <c r="I7476" s="95" t="s">
        <v>7231</v>
      </c>
      <c r="J7476" t="s">
        <v>61</v>
      </c>
      <c r="K7476" t="s">
        <v>62</v>
      </c>
      <c r="M7476">
        <v>145.75</v>
      </c>
      <c r="N7476" s="4">
        <f t="shared" si="116"/>
        <v>-39.621269296740998</v>
      </c>
      <c r="O7476" t="s">
        <v>83</v>
      </c>
      <c r="R7476">
        <v>8</v>
      </c>
      <c r="S7476" t="e">
        <f>VLOOKUP(Tabla3[[#This Row],[Nº]],[1]!NOMINA[#Data],4,FALSE)</f>
        <v>#REF!</v>
      </c>
      <c r="T7476" t="e">
        <f>VLOOKUP(R7476,[1]!NOMINA[#Data],5,FALSE)</f>
        <v>#REF!</v>
      </c>
    </row>
    <row r="7477" spans="1:20" x14ac:dyDescent="0.25">
      <c r="A7477" s="22">
        <v>45897</v>
      </c>
      <c r="B7477" s="1">
        <v>117464370</v>
      </c>
      <c r="C7477" t="s">
        <v>5756</v>
      </c>
      <c r="D7477" s="44">
        <v>-5774.8</v>
      </c>
      <c r="E7477" t="s">
        <v>35</v>
      </c>
      <c r="F7477" s="2">
        <v>212901001</v>
      </c>
      <c r="G7477" s="2" t="s">
        <v>91</v>
      </c>
      <c r="I7477" s="95" t="s">
        <v>7231</v>
      </c>
      <c r="J7477" t="s">
        <v>61</v>
      </c>
      <c r="K7477" t="s">
        <v>62</v>
      </c>
      <c r="M7477">
        <v>145.75</v>
      </c>
      <c r="N7477" s="4">
        <f t="shared" si="116"/>
        <v>-39.621269296740998</v>
      </c>
      <c r="O7477" t="s">
        <v>83</v>
      </c>
      <c r="R7477">
        <v>13</v>
      </c>
      <c r="S7477" t="e">
        <f>VLOOKUP(Tabla3[[#This Row],[Nº]],[1]!NOMINA[#Data],4,FALSE)</f>
        <v>#REF!</v>
      </c>
      <c r="T7477" t="e">
        <f>VLOOKUP(R7477,[1]!NOMINA[#Data],5,FALSE)</f>
        <v>#REF!</v>
      </c>
    </row>
    <row r="7478" spans="1:20" x14ac:dyDescent="0.25">
      <c r="A7478" s="22">
        <v>45897</v>
      </c>
      <c r="B7478" s="1">
        <v>117464375</v>
      </c>
      <c r="C7478" t="s">
        <v>5757</v>
      </c>
      <c r="D7478" s="44">
        <v>-5774.8</v>
      </c>
      <c r="E7478" t="s">
        <v>35</v>
      </c>
      <c r="F7478" s="2">
        <v>212901001</v>
      </c>
      <c r="G7478" s="2" t="s">
        <v>91</v>
      </c>
      <c r="I7478" s="95" t="s">
        <v>7231</v>
      </c>
      <c r="J7478" t="s">
        <v>61</v>
      </c>
      <c r="K7478" t="s">
        <v>62</v>
      </c>
      <c r="M7478">
        <v>145.75</v>
      </c>
      <c r="N7478" s="4">
        <f t="shared" si="116"/>
        <v>-39.621269296740998</v>
      </c>
      <c r="O7478" t="s">
        <v>83</v>
      </c>
      <c r="R7478">
        <v>1</v>
      </c>
      <c r="S7478" t="e">
        <f>VLOOKUP(R7478,[1]!NOMINA[#Data],4,FALSE)</f>
        <v>#REF!</v>
      </c>
      <c r="T7478" t="e">
        <f>VLOOKUP(R7478,[1]!NOMINA[#Data],5,FALSE)</f>
        <v>#REF!</v>
      </c>
    </row>
    <row r="7479" spans="1:20" x14ac:dyDescent="0.25">
      <c r="A7479" s="22">
        <v>45897</v>
      </c>
      <c r="B7479" s="1">
        <v>117464376</v>
      </c>
      <c r="C7479" t="s">
        <v>5758</v>
      </c>
      <c r="D7479" s="44">
        <v>-5774.8</v>
      </c>
      <c r="E7479" t="s">
        <v>35</v>
      </c>
      <c r="F7479" s="2">
        <v>212901001</v>
      </c>
      <c r="G7479" s="2" t="s">
        <v>91</v>
      </c>
      <c r="I7479" s="95" t="s">
        <v>7231</v>
      </c>
      <c r="J7479" t="s">
        <v>61</v>
      </c>
      <c r="K7479" t="s">
        <v>62</v>
      </c>
      <c r="M7479">
        <v>145.75</v>
      </c>
      <c r="N7479" s="4">
        <f t="shared" si="116"/>
        <v>-39.621269296740998</v>
      </c>
      <c r="O7479" t="s">
        <v>83</v>
      </c>
      <c r="R7479">
        <v>20</v>
      </c>
      <c r="S7479" t="e">
        <f>VLOOKUP(Tabla3[[#This Row],[Nº]],[1]!NOMINA[#Data],4,FALSE)</f>
        <v>#REF!</v>
      </c>
      <c r="T7479" t="e">
        <f>VLOOKUP(R7479,[1]!NOMINA[#Data],5,FALSE)</f>
        <v>#REF!</v>
      </c>
    </row>
    <row r="7480" spans="1:20" x14ac:dyDescent="0.25">
      <c r="A7480" s="22">
        <v>45897</v>
      </c>
      <c r="B7480" s="1">
        <v>117464377</v>
      </c>
      <c r="C7480" t="s">
        <v>5759</v>
      </c>
      <c r="D7480" s="44">
        <v>-5774.8</v>
      </c>
      <c r="E7480" t="s">
        <v>35</v>
      </c>
      <c r="F7480" s="2">
        <v>212901001</v>
      </c>
      <c r="G7480" s="2" t="s">
        <v>91</v>
      </c>
      <c r="I7480" s="95" t="s">
        <v>7231</v>
      </c>
      <c r="J7480" t="s">
        <v>61</v>
      </c>
      <c r="K7480" t="s">
        <v>62</v>
      </c>
      <c r="M7480">
        <v>145.75</v>
      </c>
      <c r="N7480" s="4">
        <f t="shared" si="116"/>
        <v>-39.621269296740998</v>
      </c>
      <c r="O7480" t="s">
        <v>83</v>
      </c>
      <c r="R7480">
        <v>12</v>
      </c>
      <c r="S7480" t="e">
        <f>VLOOKUP(Tabla3[[#This Row],[Nº]],[1]!NOMINA[#Data],4,FALSE)</f>
        <v>#REF!</v>
      </c>
      <c r="T7480" t="e">
        <f>VLOOKUP(R7480,[1]!NOMINA[#Data],5,FALSE)</f>
        <v>#REF!</v>
      </c>
    </row>
    <row r="7481" spans="1:20" x14ac:dyDescent="0.25">
      <c r="A7481" s="22">
        <v>45897</v>
      </c>
      <c r="B7481" s="1">
        <v>117464379</v>
      </c>
      <c r="C7481" t="s">
        <v>5760</v>
      </c>
      <c r="D7481" s="44">
        <v>-5774.8</v>
      </c>
      <c r="E7481" t="s">
        <v>35</v>
      </c>
      <c r="F7481" s="2">
        <v>212901001</v>
      </c>
      <c r="G7481" s="2" t="s">
        <v>91</v>
      </c>
      <c r="I7481" s="95" t="s">
        <v>7231</v>
      </c>
      <c r="J7481" t="s">
        <v>61</v>
      </c>
      <c r="K7481" t="s">
        <v>62</v>
      </c>
      <c r="M7481">
        <v>145.75</v>
      </c>
      <c r="N7481" s="4">
        <f t="shared" si="116"/>
        <v>-39.621269296740998</v>
      </c>
      <c r="O7481" t="s">
        <v>83</v>
      </c>
      <c r="R7481">
        <v>4</v>
      </c>
      <c r="S7481" t="s">
        <v>5465</v>
      </c>
      <c r="T7481" t="e">
        <f>VLOOKUP(R7481,[1]!NOMINA[#Data],5,FALSE)</f>
        <v>#REF!</v>
      </c>
    </row>
    <row r="7482" spans="1:20" x14ac:dyDescent="0.25">
      <c r="A7482" s="22">
        <v>45897</v>
      </c>
      <c r="B7482" s="1">
        <v>217464382</v>
      </c>
      <c r="C7482" t="s">
        <v>5761</v>
      </c>
      <c r="D7482" s="44">
        <v>-5774.8</v>
      </c>
      <c r="E7482" t="s">
        <v>35</v>
      </c>
      <c r="F7482" s="2">
        <v>212901001</v>
      </c>
      <c r="G7482" s="2" t="s">
        <v>91</v>
      </c>
      <c r="I7482" s="95" t="s">
        <v>7231</v>
      </c>
      <c r="J7482" t="s">
        <v>61</v>
      </c>
      <c r="K7482" t="s">
        <v>62</v>
      </c>
      <c r="M7482">
        <v>145.75</v>
      </c>
      <c r="N7482" s="4">
        <f t="shared" si="116"/>
        <v>-39.621269296740998</v>
      </c>
      <c r="O7482" t="s">
        <v>83</v>
      </c>
      <c r="R7482">
        <v>33</v>
      </c>
      <c r="S7482" t="e">
        <f>VLOOKUP(R7482,[1]!NOMINA[#Data],4,FALSE)</f>
        <v>#REF!</v>
      </c>
      <c r="T7482" t="e">
        <f>VLOOKUP(R7482,[1]!NOMINA[#Data],5,FALSE)</f>
        <v>#REF!</v>
      </c>
    </row>
    <row r="7483" spans="1:20" x14ac:dyDescent="0.25">
      <c r="A7483" s="22">
        <v>45897</v>
      </c>
      <c r="B7483" s="1">
        <v>217464380</v>
      </c>
      <c r="C7483" t="s">
        <v>5762</v>
      </c>
      <c r="D7483" s="44">
        <v>-5774.8</v>
      </c>
      <c r="E7483" t="s">
        <v>35</v>
      </c>
      <c r="F7483" s="2">
        <v>212901001</v>
      </c>
      <c r="G7483" s="2" t="s">
        <v>91</v>
      </c>
      <c r="I7483" s="95" t="s">
        <v>7231</v>
      </c>
      <c r="J7483" t="s">
        <v>61</v>
      </c>
      <c r="K7483" t="s">
        <v>62</v>
      </c>
      <c r="M7483">
        <v>145.75</v>
      </c>
      <c r="N7483" s="4">
        <f t="shared" si="116"/>
        <v>-39.621269296740998</v>
      </c>
      <c r="O7483" t="s">
        <v>83</v>
      </c>
      <c r="R7483">
        <v>34</v>
      </c>
      <c r="S7483" t="e">
        <f>VLOOKUP(R7483,[1]!NOMINA[#Data],4,FALSE)</f>
        <v>#REF!</v>
      </c>
      <c r="T7483" t="e">
        <f>VLOOKUP(R7483,[1]!NOMINA[#Data],5,FALSE)</f>
        <v>#REF!</v>
      </c>
    </row>
    <row r="7484" spans="1:20" x14ac:dyDescent="0.25">
      <c r="A7484" s="22">
        <v>45897</v>
      </c>
      <c r="B7484" s="1">
        <v>117464378</v>
      </c>
      <c r="C7484" t="s">
        <v>5763</v>
      </c>
      <c r="D7484" s="44">
        <v>-5774.8</v>
      </c>
      <c r="E7484" t="s">
        <v>35</v>
      </c>
      <c r="F7484" s="2">
        <v>212901001</v>
      </c>
      <c r="G7484" s="2" t="s">
        <v>91</v>
      </c>
      <c r="I7484" s="95" t="s">
        <v>7231</v>
      </c>
      <c r="J7484" t="s">
        <v>61</v>
      </c>
      <c r="K7484" t="s">
        <v>62</v>
      </c>
      <c r="M7484">
        <v>145.75</v>
      </c>
      <c r="N7484" s="4">
        <f t="shared" si="116"/>
        <v>-39.621269296740998</v>
      </c>
      <c r="O7484" t="s">
        <v>83</v>
      </c>
      <c r="R7484">
        <v>16</v>
      </c>
      <c r="S7484" t="e">
        <f>VLOOKUP(Tabla3[[#This Row],[Nº]],[1]!NOMINA[#Data],4,FALSE)</f>
        <v>#REF!</v>
      </c>
      <c r="T7484" t="e">
        <f>VLOOKUP(Tabla3[[#This Row],[Nº]],[1]!NOMINA[#Data],5,FALSE)</f>
        <v>#REF!</v>
      </c>
    </row>
    <row r="7485" spans="1:20" x14ac:dyDescent="0.25">
      <c r="A7485" s="22">
        <v>45897</v>
      </c>
      <c r="B7485" s="1">
        <v>217464385</v>
      </c>
      <c r="C7485" t="s">
        <v>5764</v>
      </c>
      <c r="D7485" s="44">
        <v>-5774.8</v>
      </c>
      <c r="E7485" t="s">
        <v>35</v>
      </c>
      <c r="F7485" s="2">
        <v>212901001</v>
      </c>
      <c r="G7485" s="2" t="s">
        <v>91</v>
      </c>
      <c r="I7485" s="95" t="s">
        <v>7231</v>
      </c>
      <c r="J7485" t="s">
        <v>61</v>
      </c>
      <c r="K7485" t="s">
        <v>62</v>
      </c>
      <c r="M7485">
        <v>145.75</v>
      </c>
      <c r="N7485" s="4">
        <f t="shared" si="116"/>
        <v>-39.621269296740998</v>
      </c>
      <c r="O7485" t="s">
        <v>83</v>
      </c>
      <c r="R7485">
        <v>6</v>
      </c>
      <c r="S7485" t="e">
        <f>VLOOKUP(Tabla3[[#This Row],[Nº]],[1]!NOMINA[#Data],4,FALSE)</f>
        <v>#REF!</v>
      </c>
      <c r="T7485" t="e">
        <f>VLOOKUP(R7485,[1]!NOMINA[#Data],5,FALSE)</f>
        <v>#REF!</v>
      </c>
    </row>
    <row r="7486" spans="1:20" x14ac:dyDescent="0.25">
      <c r="A7486" s="22">
        <v>45897</v>
      </c>
      <c r="B7486" s="1">
        <v>217464383</v>
      </c>
      <c r="C7486" t="s">
        <v>5765</v>
      </c>
      <c r="D7486" s="44">
        <v>-5774.8</v>
      </c>
      <c r="E7486" t="s">
        <v>35</v>
      </c>
      <c r="F7486" s="2">
        <v>212901001</v>
      </c>
      <c r="G7486" s="2" t="s">
        <v>91</v>
      </c>
      <c r="I7486" s="95" t="s">
        <v>7231</v>
      </c>
      <c r="J7486" t="s">
        <v>61</v>
      </c>
      <c r="K7486" t="s">
        <v>62</v>
      </c>
      <c r="M7486">
        <v>145.75</v>
      </c>
      <c r="N7486" s="4">
        <f t="shared" si="116"/>
        <v>-39.621269296740998</v>
      </c>
      <c r="O7486" t="s">
        <v>83</v>
      </c>
      <c r="R7486">
        <v>3</v>
      </c>
      <c r="S7486" t="s">
        <v>5465</v>
      </c>
      <c r="T7486" t="e">
        <f>VLOOKUP(R7486,[1]!NOMINA[#Data],5,FALSE)</f>
        <v>#REF!</v>
      </c>
    </row>
    <row r="7487" spans="1:20" x14ac:dyDescent="0.25">
      <c r="A7487" s="22">
        <v>45897</v>
      </c>
      <c r="B7487" s="1">
        <v>217464384</v>
      </c>
      <c r="C7487" t="s">
        <v>5766</v>
      </c>
      <c r="D7487" s="44">
        <v>-5774.8</v>
      </c>
      <c r="E7487" t="s">
        <v>35</v>
      </c>
      <c r="F7487" s="2">
        <v>212901001</v>
      </c>
      <c r="G7487" s="2" t="s">
        <v>91</v>
      </c>
      <c r="I7487" s="95" t="s">
        <v>7231</v>
      </c>
      <c r="J7487" t="s">
        <v>61</v>
      </c>
      <c r="K7487" t="s">
        <v>62</v>
      </c>
      <c r="M7487">
        <v>145.75</v>
      </c>
      <c r="N7487" s="4">
        <f t="shared" si="116"/>
        <v>-39.621269296740998</v>
      </c>
      <c r="O7487" t="s">
        <v>83</v>
      </c>
      <c r="R7487">
        <v>24</v>
      </c>
      <c r="S7487" t="e">
        <f>VLOOKUP(Tabla3[[#This Row],[Nº]],[1]!NOMINA[#Data],4,FALSE)</f>
        <v>#REF!</v>
      </c>
      <c r="T7487" t="e">
        <f>VLOOKUP(R7487,[1]!NOMINA[#Data],5,FALSE)</f>
        <v>#REF!</v>
      </c>
    </row>
    <row r="7488" spans="1:20" x14ac:dyDescent="0.25">
      <c r="A7488" s="22">
        <v>45897</v>
      </c>
      <c r="B7488" s="1">
        <v>217464387</v>
      </c>
      <c r="C7488" t="s">
        <v>5767</v>
      </c>
      <c r="D7488" s="44">
        <v>-5774.8</v>
      </c>
      <c r="E7488" t="s">
        <v>35</v>
      </c>
      <c r="F7488" s="2">
        <v>212901001</v>
      </c>
      <c r="G7488" s="2" t="s">
        <v>91</v>
      </c>
      <c r="I7488" s="95" t="s">
        <v>7231</v>
      </c>
      <c r="J7488" t="s">
        <v>61</v>
      </c>
      <c r="K7488" t="s">
        <v>62</v>
      </c>
      <c r="M7488">
        <v>145.75</v>
      </c>
      <c r="N7488" s="4">
        <f t="shared" si="116"/>
        <v>-39.621269296740998</v>
      </c>
      <c r="O7488" t="s">
        <v>83</v>
      </c>
      <c r="R7488">
        <v>5</v>
      </c>
      <c r="S7488" t="s">
        <v>5465</v>
      </c>
      <c r="T7488" t="e">
        <f>VLOOKUP(R7488,[1]!NOMINA[#Data],5,FALSE)</f>
        <v>#REF!</v>
      </c>
    </row>
    <row r="7489" spans="1:20" x14ac:dyDescent="0.25">
      <c r="A7489" s="22">
        <v>45897</v>
      </c>
      <c r="B7489" s="1">
        <v>217464388</v>
      </c>
      <c r="C7489" t="s">
        <v>5768</v>
      </c>
      <c r="D7489" s="44">
        <v>-5774.8</v>
      </c>
      <c r="E7489" t="s">
        <v>35</v>
      </c>
      <c r="F7489" s="2">
        <v>212901001</v>
      </c>
      <c r="G7489" s="2" t="s">
        <v>91</v>
      </c>
      <c r="I7489" s="95" t="s">
        <v>7231</v>
      </c>
      <c r="J7489" t="s">
        <v>61</v>
      </c>
      <c r="K7489" t="s">
        <v>62</v>
      </c>
      <c r="M7489">
        <v>145.75</v>
      </c>
      <c r="N7489" s="4">
        <f t="shared" si="116"/>
        <v>-39.621269296740998</v>
      </c>
      <c r="O7489" t="s">
        <v>83</v>
      </c>
      <c r="R7489">
        <v>32</v>
      </c>
      <c r="S7489" t="e">
        <f>VLOOKUP(Tabla3[[#This Row],[Nº]],[1]!NOMINA[#Data],4,FALSE)</f>
        <v>#REF!</v>
      </c>
      <c r="T7489" t="e">
        <f>VLOOKUP(R7489,[1]!NOMINA[#Data],5,FALSE)</f>
        <v>#REF!</v>
      </c>
    </row>
    <row r="7490" spans="1:20" x14ac:dyDescent="0.25">
      <c r="A7490" s="22">
        <v>45897</v>
      </c>
      <c r="B7490" s="1">
        <v>217464386</v>
      </c>
      <c r="C7490" t="s">
        <v>5769</v>
      </c>
      <c r="D7490" s="44">
        <v>-5774.8</v>
      </c>
      <c r="E7490" t="s">
        <v>35</v>
      </c>
      <c r="F7490" s="2">
        <v>212901001</v>
      </c>
      <c r="G7490" s="2" t="s">
        <v>91</v>
      </c>
      <c r="I7490" s="95" t="s">
        <v>7231</v>
      </c>
      <c r="J7490" t="s">
        <v>61</v>
      </c>
      <c r="K7490" t="s">
        <v>62</v>
      </c>
      <c r="M7490">
        <v>145.75</v>
      </c>
      <c r="N7490" s="4">
        <f t="shared" si="116"/>
        <v>-39.621269296740998</v>
      </c>
      <c r="O7490" t="s">
        <v>83</v>
      </c>
      <c r="R7490">
        <v>30</v>
      </c>
      <c r="S7490" t="e">
        <f>VLOOKUP(Tabla3[[#This Row],[Nº]],[1]!NOMINA[#Data],4,FALSE)</f>
        <v>#REF!</v>
      </c>
      <c r="T7490" t="e">
        <f>VLOOKUP(R7490,[1]!NOMINA[#Data],5,FALSE)</f>
        <v>#REF!</v>
      </c>
    </row>
    <row r="7491" spans="1:20" x14ac:dyDescent="0.25">
      <c r="A7491" s="22">
        <v>45897</v>
      </c>
      <c r="B7491" s="1">
        <v>317464390</v>
      </c>
      <c r="C7491" t="s">
        <v>5770</v>
      </c>
      <c r="D7491" s="44">
        <v>-5774.8</v>
      </c>
      <c r="E7491" t="s">
        <v>35</v>
      </c>
      <c r="F7491" s="2">
        <v>212901001</v>
      </c>
      <c r="G7491" s="2" t="s">
        <v>91</v>
      </c>
      <c r="I7491" s="95" t="s">
        <v>7231</v>
      </c>
      <c r="J7491" t="s">
        <v>61</v>
      </c>
      <c r="K7491" t="s">
        <v>62</v>
      </c>
      <c r="M7491">
        <v>145.75</v>
      </c>
      <c r="N7491" s="4">
        <f t="shared" si="116"/>
        <v>-39.621269296740998</v>
      </c>
      <c r="O7491" t="s">
        <v>83</v>
      </c>
      <c r="R7491">
        <v>27</v>
      </c>
      <c r="S7491" t="e">
        <f>VLOOKUP(Tabla3[[#This Row],[Nº]],[1]!NOMINA[#Data],4,FALSE)</f>
        <v>#REF!</v>
      </c>
      <c r="T7491" t="e">
        <f>VLOOKUP(R7491,[1]!NOMINA[#Data],5,FALSE)</f>
        <v>#REF!</v>
      </c>
    </row>
    <row r="7492" spans="1:20" x14ac:dyDescent="0.25">
      <c r="A7492" s="22">
        <v>45897</v>
      </c>
      <c r="B7492" s="1">
        <v>217464389</v>
      </c>
      <c r="C7492" t="s">
        <v>5771</v>
      </c>
      <c r="D7492" s="44">
        <v>-5774.8</v>
      </c>
      <c r="E7492" t="s">
        <v>35</v>
      </c>
      <c r="F7492" s="2">
        <v>212901001</v>
      </c>
      <c r="G7492" s="2" t="s">
        <v>91</v>
      </c>
      <c r="I7492" s="95" t="s">
        <v>7231</v>
      </c>
      <c r="J7492" t="s">
        <v>61</v>
      </c>
      <c r="K7492" t="s">
        <v>62</v>
      </c>
      <c r="M7492">
        <v>145.75</v>
      </c>
      <c r="N7492" s="4">
        <f t="shared" si="116"/>
        <v>-39.621269296740998</v>
      </c>
      <c r="O7492" t="s">
        <v>83</v>
      </c>
      <c r="R7492">
        <v>21</v>
      </c>
      <c r="S7492" t="e">
        <f>VLOOKUP(Tabla3[[#This Row],[Nº]],[1]!NOMINA[#Data],4,FALSE)</f>
        <v>#REF!</v>
      </c>
      <c r="T7492" t="e">
        <f>VLOOKUP(R7492,[1]!NOMINA[#Data],5,FALSE)</f>
        <v>#REF!</v>
      </c>
    </row>
    <row r="7493" spans="1:20" x14ac:dyDescent="0.25">
      <c r="A7493" s="22">
        <v>45897</v>
      </c>
      <c r="B7493" s="1">
        <v>317464395</v>
      </c>
      <c r="C7493" t="s">
        <v>5772</v>
      </c>
      <c r="D7493" s="44">
        <v>-5774.8</v>
      </c>
      <c r="E7493" t="s">
        <v>35</v>
      </c>
      <c r="F7493" s="2">
        <v>212901001</v>
      </c>
      <c r="G7493" s="2" t="s">
        <v>91</v>
      </c>
      <c r="I7493" s="95" t="s">
        <v>7231</v>
      </c>
      <c r="J7493" t="s">
        <v>61</v>
      </c>
      <c r="K7493" t="s">
        <v>62</v>
      </c>
      <c r="M7493">
        <v>145.75</v>
      </c>
      <c r="N7493" s="4">
        <f t="shared" si="116"/>
        <v>-39.621269296740998</v>
      </c>
      <c r="O7493" t="s">
        <v>83</v>
      </c>
      <c r="R7493">
        <v>7</v>
      </c>
      <c r="S7493" t="e">
        <f>VLOOKUP(Tabla3[[#This Row],[Nº]],[1]!NOMINA[#Data],4,FALSE)</f>
        <v>#REF!</v>
      </c>
      <c r="T7493" t="e">
        <f>VLOOKUP(R7493,[1]!NOMINA[#Data],5,FALSE)</f>
        <v>#REF!</v>
      </c>
    </row>
    <row r="7494" spans="1:20" x14ac:dyDescent="0.25">
      <c r="A7494" s="22">
        <v>45897</v>
      </c>
      <c r="B7494" s="1">
        <v>317464391</v>
      </c>
      <c r="C7494" t="s">
        <v>5773</v>
      </c>
      <c r="D7494" s="44">
        <v>-5774.8</v>
      </c>
      <c r="E7494" t="s">
        <v>35</v>
      </c>
      <c r="F7494" s="2">
        <v>212901001</v>
      </c>
      <c r="G7494" s="2" t="s">
        <v>91</v>
      </c>
      <c r="I7494" s="95" t="s">
        <v>7231</v>
      </c>
      <c r="J7494" t="s">
        <v>61</v>
      </c>
      <c r="K7494" t="s">
        <v>62</v>
      </c>
      <c r="M7494">
        <v>145.75</v>
      </c>
      <c r="N7494" s="4">
        <f t="shared" si="116"/>
        <v>-39.621269296740998</v>
      </c>
      <c r="O7494" t="s">
        <v>83</v>
      </c>
      <c r="R7494">
        <v>35</v>
      </c>
      <c r="S7494" t="e">
        <f>VLOOKUP(Tabla3[[#This Row],[Nº]],[1]!NOMINA[#Data],4,FALSE)</f>
        <v>#REF!</v>
      </c>
      <c r="T7494" t="e">
        <f>VLOOKUP(R7494,[1]!NOMINA[#Data],5,FALSE)</f>
        <v>#REF!</v>
      </c>
    </row>
    <row r="7495" spans="1:20" x14ac:dyDescent="0.25">
      <c r="A7495" s="22">
        <v>45897</v>
      </c>
      <c r="B7495" s="1">
        <v>317464397</v>
      </c>
      <c r="C7495" t="s">
        <v>5774</v>
      </c>
      <c r="D7495" s="44">
        <v>-5774.8</v>
      </c>
      <c r="E7495" t="s">
        <v>35</v>
      </c>
      <c r="F7495" s="2">
        <v>212901001</v>
      </c>
      <c r="G7495" s="2" t="s">
        <v>91</v>
      </c>
      <c r="I7495" s="95" t="s">
        <v>7231</v>
      </c>
      <c r="J7495" t="s">
        <v>61</v>
      </c>
      <c r="K7495" t="s">
        <v>62</v>
      </c>
      <c r="M7495">
        <v>145.75</v>
      </c>
      <c r="N7495" s="4">
        <f t="shared" si="116"/>
        <v>-39.621269296740998</v>
      </c>
      <c r="O7495" t="s">
        <v>83</v>
      </c>
      <c r="R7495">
        <v>25</v>
      </c>
      <c r="S7495" t="e">
        <f>VLOOKUP(Tabla3[[#This Row],[Nº]],[1]!NOMINA[#Data],4,FALSE)</f>
        <v>#REF!</v>
      </c>
      <c r="T7495" t="e">
        <f>VLOOKUP(R7495,[1]!NOMINA[#Data],5,FALSE)</f>
        <v>#REF!</v>
      </c>
    </row>
    <row r="7496" spans="1:20" x14ac:dyDescent="0.25">
      <c r="A7496" s="22">
        <v>45897</v>
      </c>
      <c r="B7496" s="1">
        <v>317464393</v>
      </c>
      <c r="C7496" t="s">
        <v>5775</v>
      </c>
      <c r="D7496" s="44">
        <v>-5774.8</v>
      </c>
      <c r="E7496" t="s">
        <v>35</v>
      </c>
      <c r="F7496" s="2">
        <v>212901001</v>
      </c>
      <c r="G7496" s="2" t="s">
        <v>91</v>
      </c>
      <c r="I7496" s="95" t="s">
        <v>7231</v>
      </c>
      <c r="J7496" t="s">
        <v>61</v>
      </c>
      <c r="K7496" t="s">
        <v>62</v>
      </c>
      <c r="M7496">
        <v>145.75</v>
      </c>
      <c r="N7496" s="4">
        <f t="shared" si="116"/>
        <v>-39.621269296740998</v>
      </c>
      <c r="O7496" t="s">
        <v>83</v>
      </c>
      <c r="R7496">
        <v>11</v>
      </c>
      <c r="S7496" t="e">
        <f>VLOOKUP(Tabla3[[#This Row],[Nº]],[1]!NOMINA[#Data],4,FALSE)</f>
        <v>#REF!</v>
      </c>
      <c r="T7496" t="e">
        <f>VLOOKUP(R7496,[1]!NOMINA[#Data],5,FALSE)</f>
        <v>#REF!</v>
      </c>
    </row>
    <row r="7497" spans="1:20" x14ac:dyDescent="0.25">
      <c r="A7497" s="22">
        <v>45897</v>
      </c>
      <c r="B7497" s="1">
        <v>317464396</v>
      </c>
      <c r="C7497" t="s">
        <v>5776</v>
      </c>
      <c r="D7497" s="44">
        <v>-5774.8</v>
      </c>
      <c r="E7497" t="s">
        <v>35</v>
      </c>
      <c r="F7497" s="2">
        <v>212901001</v>
      </c>
      <c r="G7497" s="2" t="s">
        <v>91</v>
      </c>
      <c r="I7497" s="95" t="s">
        <v>7231</v>
      </c>
      <c r="J7497" t="s">
        <v>61</v>
      </c>
      <c r="K7497" t="s">
        <v>62</v>
      </c>
      <c r="M7497">
        <v>145.75</v>
      </c>
      <c r="N7497" s="4">
        <f t="shared" si="116"/>
        <v>-39.621269296740998</v>
      </c>
      <c r="O7497" t="s">
        <v>83</v>
      </c>
      <c r="R7497">
        <v>29</v>
      </c>
      <c r="S7497" t="e">
        <f>VLOOKUP(R7497,[1]!NOMINA[#Data],4,FALSE)</f>
        <v>#REF!</v>
      </c>
      <c r="T7497" t="e">
        <f>VLOOKUP(R7497,[1]!NOMINA[#Data],5,FALSE)</f>
        <v>#REF!</v>
      </c>
    </row>
    <row r="7498" spans="1:20" x14ac:dyDescent="0.25">
      <c r="A7498" s="22">
        <v>45897</v>
      </c>
      <c r="B7498" s="1">
        <v>317464400</v>
      </c>
      <c r="C7498" t="s">
        <v>5777</v>
      </c>
      <c r="D7498" s="44">
        <v>-5774.8</v>
      </c>
      <c r="E7498" t="s">
        <v>35</v>
      </c>
      <c r="F7498" s="2">
        <v>212901001</v>
      </c>
      <c r="G7498" s="2" t="s">
        <v>91</v>
      </c>
      <c r="I7498" s="95" t="s">
        <v>7231</v>
      </c>
      <c r="J7498" t="s">
        <v>61</v>
      </c>
      <c r="K7498" t="s">
        <v>62</v>
      </c>
      <c r="M7498">
        <v>145.75</v>
      </c>
      <c r="N7498" s="4">
        <f t="shared" si="116"/>
        <v>-39.621269296740998</v>
      </c>
      <c r="O7498" t="s">
        <v>83</v>
      </c>
      <c r="R7498">
        <v>10</v>
      </c>
      <c r="S7498" t="e">
        <f>VLOOKUP(Tabla3[[#This Row],[Nº]],[1]!NOMINA[#Data],4,FALSE)</f>
        <v>#REF!</v>
      </c>
      <c r="T7498" t="e">
        <f>VLOOKUP(R7498,[1]!NOMINA[#Data],5,FALSE)</f>
        <v>#REF!</v>
      </c>
    </row>
    <row r="7499" spans="1:20" x14ac:dyDescent="0.25">
      <c r="A7499" s="22">
        <v>45897</v>
      </c>
      <c r="B7499" s="1">
        <v>317464399</v>
      </c>
      <c r="C7499" t="s">
        <v>5778</v>
      </c>
      <c r="D7499" s="44">
        <v>-5774.8</v>
      </c>
      <c r="E7499" t="s">
        <v>35</v>
      </c>
      <c r="F7499" s="2">
        <v>212901001</v>
      </c>
      <c r="G7499" s="2" t="s">
        <v>91</v>
      </c>
      <c r="I7499" s="95" t="s">
        <v>7231</v>
      </c>
      <c r="J7499" t="s">
        <v>61</v>
      </c>
      <c r="K7499" t="s">
        <v>62</v>
      </c>
      <c r="M7499">
        <v>145.75</v>
      </c>
      <c r="N7499" s="4">
        <f t="shared" si="116"/>
        <v>-39.621269296740998</v>
      </c>
      <c r="O7499" t="s">
        <v>83</v>
      </c>
      <c r="R7499">
        <v>9</v>
      </c>
      <c r="S7499" t="e">
        <f>VLOOKUP(Tabla3[[#This Row],[Nº]],[1]!NOMINA[#Data],4,FALSE)</f>
        <v>#REF!</v>
      </c>
      <c r="T7499" t="e">
        <f>VLOOKUP(R7499,[1]!NOMINA[#Data],5,FALSE)</f>
        <v>#REF!</v>
      </c>
    </row>
    <row r="7500" spans="1:20" x14ac:dyDescent="0.25">
      <c r="A7500" s="22">
        <v>45897</v>
      </c>
      <c r="B7500" s="1">
        <v>417464407</v>
      </c>
      <c r="C7500" t="s">
        <v>5779</v>
      </c>
      <c r="D7500" s="44">
        <v>-61.65</v>
      </c>
      <c r="E7500" t="s">
        <v>35</v>
      </c>
      <c r="F7500" s="2">
        <v>212901001</v>
      </c>
      <c r="G7500" s="2" t="s">
        <v>91</v>
      </c>
      <c r="I7500" s="95" t="s">
        <v>7231</v>
      </c>
      <c r="J7500" t="s">
        <v>61</v>
      </c>
      <c r="K7500" t="s">
        <v>62</v>
      </c>
      <c r="M7500">
        <v>145.75</v>
      </c>
      <c r="N7500" s="4">
        <f t="shared" ref="N7500:N7563" si="117">D7500/M7500</f>
        <v>-0.42298456260720413</v>
      </c>
      <c r="O7500" t="s">
        <v>83</v>
      </c>
      <c r="R7500">
        <v>2</v>
      </c>
      <c r="S7500" t="e">
        <f>VLOOKUP(Tabla3[[#This Row],[Nº]],[1]!NOMINA[#Data],4,FALSE)</f>
        <v>#REF!</v>
      </c>
      <c r="T7500" t="e">
        <f>VLOOKUP(Tabla3[[#This Row],[Nº]],[1]!NOMINA[#Data],5,FALSE)</f>
        <v>#REF!</v>
      </c>
    </row>
    <row r="7501" spans="1:20" x14ac:dyDescent="0.25">
      <c r="A7501" s="22">
        <v>45897</v>
      </c>
      <c r="B7501" s="1">
        <v>417464401</v>
      </c>
      <c r="C7501" t="s">
        <v>5780</v>
      </c>
      <c r="D7501" s="44">
        <v>-5774.8</v>
      </c>
      <c r="E7501" t="s">
        <v>35</v>
      </c>
      <c r="F7501" s="2">
        <v>212901001</v>
      </c>
      <c r="G7501" s="2" t="s">
        <v>91</v>
      </c>
      <c r="I7501" s="95" t="s">
        <v>7231</v>
      </c>
      <c r="J7501" t="s">
        <v>61</v>
      </c>
      <c r="K7501" t="s">
        <v>62</v>
      </c>
      <c r="M7501">
        <v>145.75</v>
      </c>
      <c r="N7501" s="4">
        <f t="shared" si="117"/>
        <v>-39.621269296740998</v>
      </c>
      <c r="O7501" t="s">
        <v>83</v>
      </c>
      <c r="R7501">
        <v>18</v>
      </c>
      <c r="S7501" t="e">
        <f>VLOOKUP(Tabla3[[#This Row],[Nº]],[1]!NOMINA[#Data],4,FALSE)</f>
        <v>#REF!</v>
      </c>
      <c r="T7501" t="e">
        <f>VLOOKUP(Tabla3[[#This Row],[Nº]],[1]!NOMINA[#Data],5,FALSE)</f>
        <v>#REF!</v>
      </c>
    </row>
    <row r="7502" spans="1:20" x14ac:dyDescent="0.25">
      <c r="A7502" s="22">
        <v>45897</v>
      </c>
      <c r="B7502" s="1">
        <v>417464406</v>
      </c>
      <c r="C7502" t="s">
        <v>5781</v>
      </c>
      <c r="D7502" s="44">
        <v>-61.65</v>
      </c>
      <c r="E7502" t="s">
        <v>35</v>
      </c>
      <c r="F7502" s="2">
        <v>212901001</v>
      </c>
      <c r="G7502" s="2" t="s">
        <v>91</v>
      </c>
      <c r="I7502" s="95" t="s">
        <v>7231</v>
      </c>
      <c r="J7502" t="s">
        <v>61</v>
      </c>
      <c r="K7502" t="s">
        <v>62</v>
      </c>
      <c r="M7502">
        <v>145.75</v>
      </c>
      <c r="N7502" s="4">
        <f t="shared" si="117"/>
        <v>-0.42298456260720413</v>
      </c>
      <c r="O7502" t="s">
        <v>83</v>
      </c>
      <c r="R7502">
        <v>31</v>
      </c>
      <c r="S7502" t="e">
        <f>VLOOKUP(Tabla3[[#This Row],[Nº]],[1]!NOMINA[#Data],4,FALSE)</f>
        <v>#REF!</v>
      </c>
      <c r="T7502" t="e">
        <f>VLOOKUP(R7502,[1]!NOMINA[#Data],5,FALSE)</f>
        <v>#REF!</v>
      </c>
    </row>
    <row r="7503" spans="1:20" x14ac:dyDescent="0.25">
      <c r="A7503" s="22">
        <v>45897</v>
      </c>
      <c r="B7503" s="1">
        <v>417464402</v>
      </c>
      <c r="C7503" t="s">
        <v>5782</v>
      </c>
      <c r="D7503" s="44">
        <v>-61.65</v>
      </c>
      <c r="E7503" t="s">
        <v>35</v>
      </c>
      <c r="F7503" s="2">
        <v>212901001</v>
      </c>
      <c r="G7503" s="2" t="s">
        <v>91</v>
      </c>
      <c r="I7503" s="95" t="s">
        <v>7231</v>
      </c>
      <c r="J7503" t="s">
        <v>61</v>
      </c>
      <c r="K7503" t="s">
        <v>62</v>
      </c>
      <c r="M7503">
        <v>145.75</v>
      </c>
      <c r="N7503" s="4">
        <f t="shared" si="117"/>
        <v>-0.42298456260720413</v>
      </c>
      <c r="O7503" t="s">
        <v>83</v>
      </c>
      <c r="R7503">
        <v>28</v>
      </c>
      <c r="S7503" t="e">
        <f>VLOOKUP(Tabla3[[#This Row],[Nº]],[1]!NOMINA[#Data],4,FALSE)</f>
        <v>#REF!</v>
      </c>
      <c r="T7503" t="e">
        <f>VLOOKUP(R7503,[1]!NOMINA[#Data],5,FALSE)</f>
        <v>#REF!</v>
      </c>
    </row>
    <row r="7504" spans="1:20" x14ac:dyDescent="0.25">
      <c r="A7504" s="22">
        <v>45897</v>
      </c>
      <c r="B7504" s="1">
        <v>417464403</v>
      </c>
      <c r="C7504" t="s">
        <v>5783</v>
      </c>
      <c r="D7504" s="44">
        <v>-61.65</v>
      </c>
      <c r="E7504" t="s">
        <v>35</v>
      </c>
      <c r="F7504" s="2">
        <v>212901001</v>
      </c>
      <c r="G7504" s="2" t="s">
        <v>91</v>
      </c>
      <c r="I7504" s="95" t="s">
        <v>7231</v>
      </c>
      <c r="J7504" t="s">
        <v>61</v>
      </c>
      <c r="K7504" t="s">
        <v>62</v>
      </c>
      <c r="M7504">
        <v>145.75</v>
      </c>
      <c r="N7504" s="4">
        <f t="shared" si="117"/>
        <v>-0.42298456260720413</v>
      </c>
      <c r="O7504" t="s">
        <v>83</v>
      </c>
      <c r="R7504">
        <v>22</v>
      </c>
      <c r="S7504" t="e">
        <f>VLOOKUP(Tabla3[[#This Row],[Nº]],[1]!NOMINA[#Data],4,FALSE)</f>
        <v>#REF!</v>
      </c>
      <c r="T7504" t="e">
        <f>VLOOKUP(R7504,[1]!NOMINA[#Data],5,FALSE)</f>
        <v>#REF!</v>
      </c>
    </row>
    <row r="7505" spans="1:20" x14ac:dyDescent="0.25">
      <c r="A7505" s="22">
        <v>45897</v>
      </c>
      <c r="B7505" s="1">
        <v>417464405</v>
      </c>
      <c r="C7505" t="s">
        <v>5784</v>
      </c>
      <c r="D7505" s="44">
        <v>-61.65</v>
      </c>
      <c r="E7505" t="s">
        <v>35</v>
      </c>
      <c r="F7505" s="2">
        <v>212901001</v>
      </c>
      <c r="G7505" s="2" t="s">
        <v>91</v>
      </c>
      <c r="I7505" s="95" t="s">
        <v>7231</v>
      </c>
      <c r="J7505" t="s">
        <v>61</v>
      </c>
      <c r="K7505" t="s">
        <v>62</v>
      </c>
      <c r="M7505">
        <v>145.75</v>
      </c>
      <c r="N7505" s="4">
        <f t="shared" si="117"/>
        <v>-0.42298456260720413</v>
      </c>
      <c r="O7505" t="s">
        <v>83</v>
      </c>
      <c r="R7505">
        <v>18</v>
      </c>
      <c r="S7505" t="e">
        <f>VLOOKUP(Tabla3[[#This Row],[Nº]],[1]!NOMINA[#Data],4,FALSE)</f>
        <v>#REF!</v>
      </c>
      <c r="T7505" t="e">
        <f>VLOOKUP(Tabla3[[#This Row],[Nº]],[1]!NOMINA[#Data],5,FALSE)</f>
        <v>#REF!</v>
      </c>
    </row>
    <row r="7506" spans="1:20" x14ac:dyDescent="0.25">
      <c r="A7506" s="22">
        <v>45897</v>
      </c>
      <c r="B7506" s="1">
        <v>417464409</v>
      </c>
      <c r="C7506" t="s">
        <v>5785</v>
      </c>
      <c r="D7506" s="44">
        <v>-57.36</v>
      </c>
      <c r="E7506" t="s">
        <v>35</v>
      </c>
      <c r="F7506" s="2">
        <v>212901001</v>
      </c>
      <c r="G7506" s="2" t="s">
        <v>91</v>
      </c>
      <c r="I7506" s="95" t="s">
        <v>7231</v>
      </c>
      <c r="J7506" t="s">
        <v>61</v>
      </c>
      <c r="K7506" t="s">
        <v>62</v>
      </c>
      <c r="M7506">
        <v>145.75</v>
      </c>
      <c r="N7506" s="4">
        <f t="shared" si="117"/>
        <v>-0.39355060034305317</v>
      </c>
      <c r="O7506" t="s">
        <v>83</v>
      </c>
      <c r="R7506">
        <v>20</v>
      </c>
      <c r="S7506" t="e">
        <f>VLOOKUP(Tabla3[[#This Row],[Nº]],[1]!NOMINA[#Data],4,FALSE)</f>
        <v>#REF!</v>
      </c>
      <c r="T7506" t="e">
        <f>VLOOKUP(R7506,[1]!NOMINA[#Data],5,FALSE)</f>
        <v>#REF!</v>
      </c>
    </row>
    <row r="7507" spans="1:20" x14ac:dyDescent="0.25">
      <c r="A7507" s="22">
        <v>45897</v>
      </c>
      <c r="B7507" s="1">
        <v>417464408</v>
      </c>
      <c r="C7507" t="s">
        <v>5786</v>
      </c>
      <c r="D7507" s="44">
        <v>-61.65</v>
      </c>
      <c r="E7507" t="s">
        <v>35</v>
      </c>
      <c r="F7507" s="2">
        <v>212901001</v>
      </c>
      <c r="G7507" s="2" t="s">
        <v>91</v>
      </c>
      <c r="I7507" s="95" t="s">
        <v>7231</v>
      </c>
      <c r="J7507" t="s">
        <v>61</v>
      </c>
      <c r="K7507" t="s">
        <v>62</v>
      </c>
      <c r="M7507">
        <v>145.75</v>
      </c>
      <c r="N7507" s="4">
        <f t="shared" si="117"/>
        <v>-0.42298456260720413</v>
      </c>
      <c r="O7507" t="s">
        <v>83</v>
      </c>
      <c r="R7507">
        <v>23</v>
      </c>
      <c r="S7507" t="e">
        <f>VLOOKUP(Tabla3[[#This Row],[Nº]],[1]!NOMINA[#Data],4,FALSE)</f>
        <v>#REF!</v>
      </c>
      <c r="T7507" t="e">
        <f>VLOOKUP(R7507,[1]!NOMINA[#Data],5,FALSE)</f>
        <v>#REF!</v>
      </c>
    </row>
    <row r="7508" spans="1:20" x14ac:dyDescent="0.25">
      <c r="A7508" s="22">
        <v>45897</v>
      </c>
      <c r="B7508" s="1">
        <v>517464411</v>
      </c>
      <c r="C7508" t="s">
        <v>5787</v>
      </c>
      <c r="D7508" s="44">
        <v>-61.65</v>
      </c>
      <c r="E7508" t="s">
        <v>35</v>
      </c>
      <c r="F7508" s="2">
        <v>212901001</v>
      </c>
      <c r="G7508" s="2" t="s">
        <v>91</v>
      </c>
      <c r="I7508" s="95" t="s">
        <v>7231</v>
      </c>
      <c r="J7508" t="s">
        <v>61</v>
      </c>
      <c r="K7508" t="s">
        <v>62</v>
      </c>
      <c r="M7508">
        <v>145.75</v>
      </c>
      <c r="N7508" s="4">
        <f t="shared" si="117"/>
        <v>-0.42298456260720413</v>
      </c>
      <c r="O7508" t="s">
        <v>83</v>
      </c>
      <c r="R7508">
        <v>19</v>
      </c>
      <c r="S7508" t="e">
        <f>VLOOKUP(Tabla3[[#This Row],[Nº]],[1]!NOMINA[#Data],4,FALSE)</f>
        <v>#REF!</v>
      </c>
      <c r="T7508" t="e">
        <f>VLOOKUP(R7508,[1]!NOMINA[#Data],5,FALSE)</f>
        <v>#REF!</v>
      </c>
    </row>
    <row r="7509" spans="1:20" x14ac:dyDescent="0.25">
      <c r="A7509" s="22">
        <v>45897</v>
      </c>
      <c r="B7509" s="1">
        <v>517464413</v>
      </c>
      <c r="C7509" t="s">
        <v>5788</v>
      </c>
      <c r="D7509" s="44">
        <v>-61.65</v>
      </c>
      <c r="E7509" t="s">
        <v>35</v>
      </c>
      <c r="F7509" s="2">
        <v>212901001</v>
      </c>
      <c r="G7509" s="2" t="s">
        <v>91</v>
      </c>
      <c r="I7509" s="95" t="s">
        <v>7231</v>
      </c>
      <c r="J7509" t="s">
        <v>61</v>
      </c>
      <c r="K7509" t="s">
        <v>62</v>
      </c>
      <c r="M7509">
        <v>145.75</v>
      </c>
      <c r="N7509" s="4">
        <f t="shared" si="117"/>
        <v>-0.42298456260720413</v>
      </c>
      <c r="O7509" t="s">
        <v>83</v>
      </c>
      <c r="R7509">
        <v>14</v>
      </c>
      <c r="S7509" t="e">
        <f>VLOOKUP(Tabla3[[#This Row],[Nº]],[1]!NOMINA[#Data],4,FALSE)</f>
        <v>#REF!</v>
      </c>
      <c r="T7509" t="e">
        <f>VLOOKUP(R7509,[1]!NOMINA[#Data],5,FALSE)</f>
        <v>#REF!</v>
      </c>
    </row>
    <row r="7510" spans="1:20" x14ac:dyDescent="0.25">
      <c r="A7510" s="22">
        <v>45897</v>
      </c>
      <c r="B7510" s="1">
        <v>517464410</v>
      </c>
      <c r="C7510" t="s">
        <v>5789</v>
      </c>
      <c r="D7510" s="44">
        <v>-57.36</v>
      </c>
      <c r="E7510" t="s">
        <v>35</v>
      </c>
      <c r="F7510" s="2">
        <v>212901001</v>
      </c>
      <c r="G7510" s="2" t="s">
        <v>91</v>
      </c>
      <c r="I7510" s="95" t="s">
        <v>7231</v>
      </c>
      <c r="J7510" t="s">
        <v>61</v>
      </c>
      <c r="K7510" t="s">
        <v>62</v>
      </c>
      <c r="M7510">
        <v>145.75</v>
      </c>
      <c r="N7510" s="4">
        <f t="shared" si="117"/>
        <v>-0.39355060034305317</v>
      </c>
      <c r="O7510" t="s">
        <v>83</v>
      </c>
      <c r="R7510">
        <v>12</v>
      </c>
      <c r="S7510" t="e">
        <f>VLOOKUP(Tabla3[[#This Row],[Nº]],[1]!NOMINA[#Data],4,FALSE)</f>
        <v>#REF!</v>
      </c>
      <c r="T7510" t="e">
        <f>VLOOKUP(R7510,[1]!NOMINA[#Data],5,FALSE)</f>
        <v>#REF!</v>
      </c>
    </row>
    <row r="7511" spans="1:20" x14ac:dyDescent="0.25">
      <c r="A7511" s="22">
        <v>45897</v>
      </c>
      <c r="B7511" s="1">
        <v>517464412</v>
      </c>
      <c r="C7511" t="s">
        <v>5790</v>
      </c>
      <c r="D7511" s="44">
        <v>-61.65</v>
      </c>
      <c r="E7511" t="s">
        <v>35</v>
      </c>
      <c r="F7511" s="2">
        <v>212901001</v>
      </c>
      <c r="G7511" s="2" t="s">
        <v>91</v>
      </c>
      <c r="I7511" s="95" t="s">
        <v>7231</v>
      </c>
      <c r="J7511" t="s">
        <v>61</v>
      </c>
      <c r="K7511" t="s">
        <v>62</v>
      </c>
      <c r="M7511">
        <v>145.75</v>
      </c>
      <c r="N7511" s="4">
        <f t="shared" si="117"/>
        <v>-0.42298456260720413</v>
      </c>
      <c r="O7511" t="s">
        <v>83</v>
      </c>
      <c r="R7511">
        <v>26</v>
      </c>
      <c r="S7511" t="e">
        <f>VLOOKUP(Tabla3[[#This Row],[Nº]],[1]!NOMINA[#Data],4,FALSE)</f>
        <v>#REF!</v>
      </c>
      <c r="T7511" t="e">
        <f>VLOOKUP(Tabla3[[#This Row],[Nº]],[1]!NOMINA[#Data],5,FALSE)</f>
        <v>#REF!</v>
      </c>
    </row>
    <row r="7512" spans="1:20" x14ac:dyDescent="0.25">
      <c r="A7512" s="22">
        <v>45897</v>
      </c>
      <c r="B7512" s="1">
        <v>517464415</v>
      </c>
      <c r="C7512" t="s">
        <v>5791</v>
      </c>
      <c r="D7512" s="44">
        <v>-61.65</v>
      </c>
      <c r="E7512" t="s">
        <v>35</v>
      </c>
      <c r="F7512" s="2">
        <v>212901001</v>
      </c>
      <c r="G7512" s="2" t="s">
        <v>91</v>
      </c>
      <c r="I7512" s="95" t="s">
        <v>7231</v>
      </c>
      <c r="J7512" t="s">
        <v>61</v>
      </c>
      <c r="K7512" t="s">
        <v>62</v>
      </c>
      <c r="M7512">
        <v>145.75</v>
      </c>
      <c r="N7512" s="4">
        <f t="shared" si="117"/>
        <v>-0.42298456260720413</v>
      </c>
      <c r="O7512" t="s">
        <v>83</v>
      </c>
      <c r="R7512">
        <v>8</v>
      </c>
      <c r="S7512" t="e">
        <f>VLOOKUP(Tabla3[[#This Row],[Nº]],[1]!NOMINA[#Data],4,FALSE)</f>
        <v>#REF!</v>
      </c>
      <c r="T7512" t="e">
        <f>VLOOKUP(R7512,[1]!NOMINA[#Data],5,FALSE)</f>
        <v>#REF!</v>
      </c>
    </row>
    <row r="7513" spans="1:20" x14ac:dyDescent="0.25">
      <c r="A7513" s="22">
        <v>45897</v>
      </c>
      <c r="B7513" s="1">
        <v>517464418</v>
      </c>
      <c r="C7513" t="s">
        <v>5792</v>
      </c>
      <c r="D7513" s="44">
        <v>-57.36</v>
      </c>
      <c r="E7513" t="s">
        <v>35</v>
      </c>
      <c r="F7513" s="2">
        <v>212901001</v>
      </c>
      <c r="G7513" s="2" t="s">
        <v>91</v>
      </c>
      <c r="I7513" s="95" t="s">
        <v>7231</v>
      </c>
      <c r="J7513" t="s">
        <v>61</v>
      </c>
      <c r="K7513" t="s">
        <v>62</v>
      </c>
      <c r="M7513">
        <v>145.75</v>
      </c>
      <c r="N7513" s="4">
        <f t="shared" si="117"/>
        <v>-0.39355060034305317</v>
      </c>
      <c r="O7513" t="s">
        <v>83</v>
      </c>
      <c r="R7513">
        <v>27</v>
      </c>
      <c r="S7513" t="e">
        <f>VLOOKUP(Tabla3[[#This Row],[Nº]],[1]!NOMINA[#Data],4,FALSE)</f>
        <v>#REF!</v>
      </c>
      <c r="T7513" t="e">
        <f>VLOOKUP(R7513,[1]!NOMINA[#Data],5,FALSE)</f>
        <v>#REF!</v>
      </c>
    </row>
    <row r="7514" spans="1:20" x14ac:dyDescent="0.25">
      <c r="A7514" s="22">
        <v>45897</v>
      </c>
      <c r="B7514" s="1">
        <v>517464414</v>
      </c>
      <c r="C7514" t="s">
        <v>5793</v>
      </c>
      <c r="D7514" s="44">
        <v>-61.65</v>
      </c>
      <c r="E7514" t="s">
        <v>35</v>
      </c>
      <c r="F7514" s="2">
        <v>212901001</v>
      </c>
      <c r="G7514" s="2" t="s">
        <v>91</v>
      </c>
      <c r="I7514" s="95" t="s">
        <v>7231</v>
      </c>
      <c r="J7514" t="s">
        <v>61</v>
      </c>
      <c r="K7514" t="s">
        <v>62</v>
      </c>
      <c r="M7514">
        <v>145.75</v>
      </c>
      <c r="N7514" s="4">
        <f t="shared" si="117"/>
        <v>-0.42298456260720413</v>
      </c>
      <c r="O7514" t="s">
        <v>83</v>
      </c>
      <c r="R7514">
        <v>13</v>
      </c>
      <c r="S7514" t="e">
        <f>VLOOKUP(Tabla3[[#This Row],[Nº]],[1]!NOMINA[#Data],4,FALSE)</f>
        <v>#REF!</v>
      </c>
      <c r="T7514" t="e">
        <f>VLOOKUP(R7514,[1]!NOMINA[#Data],5,FALSE)</f>
        <v>#REF!</v>
      </c>
    </row>
    <row r="7515" spans="1:20" x14ac:dyDescent="0.25">
      <c r="A7515" s="22">
        <v>45897</v>
      </c>
      <c r="B7515" s="1">
        <v>517464419</v>
      </c>
      <c r="C7515" t="s">
        <v>5794</v>
      </c>
      <c r="D7515" s="44">
        <v>-61.65</v>
      </c>
      <c r="E7515" t="s">
        <v>35</v>
      </c>
      <c r="F7515" s="2">
        <v>212901001</v>
      </c>
      <c r="G7515" s="2" t="s">
        <v>91</v>
      </c>
      <c r="I7515" s="95" t="s">
        <v>7231</v>
      </c>
      <c r="J7515" t="s">
        <v>61</v>
      </c>
      <c r="K7515" t="s">
        <v>62</v>
      </c>
      <c r="M7515">
        <v>145.75</v>
      </c>
      <c r="N7515" s="4">
        <f t="shared" si="117"/>
        <v>-0.42298456260720413</v>
      </c>
      <c r="O7515" t="s">
        <v>83</v>
      </c>
      <c r="R7515">
        <v>1</v>
      </c>
      <c r="S7515" t="e">
        <f>VLOOKUP(R7515,[1]!NOMINA[#Data],4,FALSE)</f>
        <v>#REF!</v>
      </c>
      <c r="T7515" t="e">
        <f>VLOOKUP(R7515,[1]!NOMINA[#Data],5,FALSE)</f>
        <v>#REF!</v>
      </c>
    </row>
    <row r="7516" spans="1:20" x14ac:dyDescent="0.25">
      <c r="A7516" s="22">
        <v>45897</v>
      </c>
      <c r="B7516" s="1">
        <v>617464420</v>
      </c>
      <c r="C7516" t="s">
        <v>5795</v>
      </c>
      <c r="D7516" s="44">
        <v>-61.65</v>
      </c>
      <c r="E7516" t="s">
        <v>35</v>
      </c>
      <c r="F7516" s="2">
        <v>212901001</v>
      </c>
      <c r="G7516" s="2" t="s">
        <v>91</v>
      </c>
      <c r="I7516" s="95" t="s">
        <v>7231</v>
      </c>
      <c r="J7516" t="s">
        <v>61</v>
      </c>
      <c r="K7516" t="s">
        <v>62</v>
      </c>
      <c r="M7516">
        <v>145.75</v>
      </c>
      <c r="N7516" s="4">
        <f t="shared" si="117"/>
        <v>-0.42298456260720413</v>
      </c>
      <c r="O7516" t="s">
        <v>83</v>
      </c>
      <c r="R7516">
        <v>4</v>
      </c>
      <c r="S7516" t="s">
        <v>5465</v>
      </c>
      <c r="T7516" t="e">
        <f>VLOOKUP(R7516,[1]!NOMINA[#Data],5,FALSE)</f>
        <v>#REF!</v>
      </c>
    </row>
    <row r="7517" spans="1:20" x14ac:dyDescent="0.25">
      <c r="A7517" s="22">
        <v>45897</v>
      </c>
      <c r="B7517" s="1">
        <v>517464417</v>
      </c>
      <c r="C7517" t="s">
        <v>5796</v>
      </c>
      <c r="D7517" s="44">
        <v>-57.36</v>
      </c>
      <c r="E7517" t="s">
        <v>35</v>
      </c>
      <c r="F7517" s="2">
        <v>212901001</v>
      </c>
      <c r="G7517" s="2" t="s">
        <v>91</v>
      </c>
      <c r="I7517" s="95" t="s">
        <v>7231</v>
      </c>
      <c r="J7517" t="s">
        <v>61</v>
      </c>
      <c r="K7517" t="s">
        <v>62</v>
      </c>
      <c r="M7517">
        <v>145.75</v>
      </c>
      <c r="N7517" s="4">
        <f t="shared" si="117"/>
        <v>-0.39355060034305317</v>
      </c>
      <c r="O7517" t="s">
        <v>83</v>
      </c>
      <c r="R7517">
        <v>17</v>
      </c>
      <c r="S7517" t="e">
        <f>VLOOKUP(Tabla3[[#This Row],[Nº]],[1]!NOMINA[#Data],4,FALSE)</f>
        <v>#REF!</v>
      </c>
      <c r="T7517" t="e">
        <f>VLOOKUP(R7517,[1]!NOMINA[#Data],5,FALSE)</f>
        <v>#REF!</v>
      </c>
    </row>
    <row r="7518" spans="1:20" x14ac:dyDescent="0.25">
      <c r="A7518" s="22">
        <v>45897</v>
      </c>
      <c r="B7518" s="1">
        <v>617464422</v>
      </c>
      <c r="C7518" t="s">
        <v>5797</v>
      </c>
      <c r="D7518" s="44">
        <v>-61.65</v>
      </c>
      <c r="E7518" t="s">
        <v>35</v>
      </c>
      <c r="F7518" s="2">
        <v>212901001</v>
      </c>
      <c r="G7518" s="2" t="s">
        <v>91</v>
      </c>
      <c r="I7518" s="95" t="s">
        <v>7231</v>
      </c>
      <c r="J7518" t="s">
        <v>61</v>
      </c>
      <c r="K7518" t="s">
        <v>62</v>
      </c>
      <c r="M7518">
        <v>145.75</v>
      </c>
      <c r="N7518" s="4">
        <f t="shared" si="117"/>
        <v>-0.42298456260720413</v>
      </c>
      <c r="O7518" t="s">
        <v>83</v>
      </c>
      <c r="R7518">
        <v>33</v>
      </c>
      <c r="S7518" t="e">
        <f>VLOOKUP(R7518,[1]!NOMINA[#Data],4,FALSE)</f>
        <v>#REF!</v>
      </c>
      <c r="T7518" t="e">
        <f>VLOOKUP(R7518,[1]!NOMINA[#Data],5,FALSE)</f>
        <v>#REF!</v>
      </c>
    </row>
    <row r="7519" spans="1:20" x14ac:dyDescent="0.25">
      <c r="A7519" s="22">
        <v>45897</v>
      </c>
      <c r="B7519" s="1">
        <v>617464421</v>
      </c>
      <c r="C7519" t="s">
        <v>5798</v>
      </c>
      <c r="D7519" s="44">
        <v>-61.65</v>
      </c>
      <c r="E7519" t="s">
        <v>35</v>
      </c>
      <c r="F7519" s="2">
        <v>212901001</v>
      </c>
      <c r="G7519" s="2" t="s">
        <v>91</v>
      </c>
      <c r="I7519" s="95" t="s">
        <v>7231</v>
      </c>
      <c r="J7519" t="s">
        <v>61</v>
      </c>
      <c r="K7519" t="s">
        <v>62</v>
      </c>
      <c r="M7519">
        <v>145.75</v>
      </c>
      <c r="N7519" s="4">
        <f t="shared" si="117"/>
        <v>-0.42298456260720413</v>
      </c>
      <c r="O7519" t="s">
        <v>83</v>
      </c>
      <c r="R7519">
        <v>34</v>
      </c>
      <c r="S7519" t="e">
        <f>VLOOKUP(R7519,[1]!NOMINA[#Data],4,FALSE)</f>
        <v>#REF!</v>
      </c>
      <c r="T7519" t="e">
        <f>VLOOKUP(R7519,[1]!NOMINA[#Data],5,FALSE)</f>
        <v>#REF!</v>
      </c>
    </row>
    <row r="7520" spans="1:20" x14ac:dyDescent="0.25">
      <c r="A7520" s="22">
        <v>45897</v>
      </c>
      <c r="B7520" s="1">
        <v>617464424</v>
      </c>
      <c r="C7520" t="s">
        <v>5799</v>
      </c>
      <c r="D7520" s="44">
        <v>-61.65</v>
      </c>
      <c r="E7520" t="s">
        <v>35</v>
      </c>
      <c r="F7520" s="2">
        <v>212901001</v>
      </c>
      <c r="G7520" s="2" t="s">
        <v>91</v>
      </c>
      <c r="I7520" s="95" t="s">
        <v>7231</v>
      </c>
      <c r="J7520" t="s">
        <v>61</v>
      </c>
      <c r="K7520" t="s">
        <v>62</v>
      </c>
      <c r="M7520">
        <v>145.75</v>
      </c>
      <c r="N7520" s="4">
        <f t="shared" si="117"/>
        <v>-0.42298456260720413</v>
      </c>
      <c r="O7520" t="s">
        <v>83</v>
      </c>
      <c r="R7520">
        <v>16</v>
      </c>
      <c r="S7520" t="e">
        <f>VLOOKUP(Tabla3[[#This Row],[Nº]],[1]!NOMINA[#Data],4,FALSE)</f>
        <v>#REF!</v>
      </c>
      <c r="T7520" t="e">
        <f>VLOOKUP(Tabla3[[#This Row],[Nº]],[1]!NOMINA[#Data],5,FALSE)</f>
        <v>#REF!</v>
      </c>
    </row>
    <row r="7521" spans="1:20" x14ac:dyDescent="0.25">
      <c r="A7521" s="22">
        <v>45897</v>
      </c>
      <c r="B7521" s="1">
        <v>617464427</v>
      </c>
      <c r="C7521" t="s">
        <v>5800</v>
      </c>
      <c r="D7521" s="44">
        <v>-61.65</v>
      </c>
      <c r="E7521" t="s">
        <v>35</v>
      </c>
      <c r="F7521" s="2">
        <v>212901001</v>
      </c>
      <c r="G7521" s="2" t="s">
        <v>91</v>
      </c>
      <c r="I7521" s="95" t="s">
        <v>7231</v>
      </c>
      <c r="J7521" t="s">
        <v>61</v>
      </c>
      <c r="K7521" t="s">
        <v>62</v>
      </c>
      <c r="M7521">
        <v>145.75</v>
      </c>
      <c r="N7521" s="4">
        <f t="shared" si="117"/>
        <v>-0.42298456260720413</v>
      </c>
      <c r="O7521" t="s">
        <v>83</v>
      </c>
      <c r="R7521">
        <v>6</v>
      </c>
      <c r="S7521" t="e">
        <f>VLOOKUP(R7521,[1]!NOMINA[#Data],4,FALSE)</f>
        <v>#REF!</v>
      </c>
      <c r="T7521" t="e">
        <f>VLOOKUP(R7521,[1]!NOMINA[#Data],5,FALSE)</f>
        <v>#REF!</v>
      </c>
    </row>
    <row r="7522" spans="1:20" x14ac:dyDescent="0.25">
      <c r="A7522" s="22">
        <v>45897</v>
      </c>
      <c r="B7522" s="1">
        <v>617464425</v>
      </c>
      <c r="C7522" t="s">
        <v>5801</v>
      </c>
      <c r="D7522" s="44">
        <v>-61.65</v>
      </c>
      <c r="E7522" t="s">
        <v>35</v>
      </c>
      <c r="F7522" s="2">
        <v>212901001</v>
      </c>
      <c r="G7522" s="2" t="s">
        <v>91</v>
      </c>
      <c r="I7522" s="95" t="s">
        <v>7231</v>
      </c>
      <c r="J7522" t="s">
        <v>61</v>
      </c>
      <c r="K7522" t="s">
        <v>62</v>
      </c>
      <c r="M7522">
        <v>145.75</v>
      </c>
      <c r="N7522" s="4">
        <f t="shared" si="117"/>
        <v>-0.42298456260720413</v>
      </c>
      <c r="O7522" t="s">
        <v>83</v>
      </c>
      <c r="R7522">
        <v>3</v>
      </c>
      <c r="S7522" t="s">
        <v>5465</v>
      </c>
      <c r="T7522" t="e">
        <f>VLOOKUP(R7522,[1]!NOMINA[#Data],5,FALSE)</f>
        <v>#REF!</v>
      </c>
    </row>
    <row r="7523" spans="1:20" x14ac:dyDescent="0.25">
      <c r="A7523" s="22">
        <v>45897</v>
      </c>
      <c r="B7523" s="1">
        <v>617464423</v>
      </c>
      <c r="C7523" t="s">
        <v>5802</v>
      </c>
      <c r="D7523" s="44">
        <v>-61.65</v>
      </c>
      <c r="E7523" t="s">
        <v>35</v>
      </c>
      <c r="F7523" s="2">
        <v>212901001</v>
      </c>
      <c r="G7523" s="2" t="s">
        <v>91</v>
      </c>
      <c r="I7523" s="95" t="s">
        <v>7231</v>
      </c>
      <c r="J7523" t="s">
        <v>61</v>
      </c>
      <c r="K7523" t="s">
        <v>62</v>
      </c>
      <c r="M7523">
        <v>145.75</v>
      </c>
      <c r="N7523" s="4">
        <f t="shared" si="117"/>
        <v>-0.42298456260720413</v>
      </c>
      <c r="O7523" t="s">
        <v>83</v>
      </c>
      <c r="R7523">
        <v>24</v>
      </c>
      <c r="S7523" t="e">
        <f>VLOOKUP(R7523,[1]!NOMINA[#Data],4,FALSE)</f>
        <v>#REF!</v>
      </c>
      <c r="T7523" t="e">
        <f>VLOOKUP(R7523,[1]!NOMINA[#Data],5,FALSE)</f>
        <v>#REF!</v>
      </c>
    </row>
    <row r="7524" spans="1:20" x14ac:dyDescent="0.25">
      <c r="A7524" s="22">
        <v>45897</v>
      </c>
      <c r="B7524" s="1">
        <v>717464429</v>
      </c>
      <c r="C7524" t="s">
        <v>5803</v>
      </c>
      <c r="D7524" s="44">
        <v>-61.65</v>
      </c>
      <c r="E7524" t="s">
        <v>35</v>
      </c>
      <c r="F7524" s="2">
        <v>212901001</v>
      </c>
      <c r="G7524" s="2" t="s">
        <v>91</v>
      </c>
      <c r="I7524" s="95" t="s">
        <v>7231</v>
      </c>
      <c r="J7524" t="s">
        <v>61</v>
      </c>
      <c r="K7524" t="s">
        <v>62</v>
      </c>
      <c r="M7524">
        <v>145.75</v>
      </c>
      <c r="N7524" s="4">
        <f t="shared" si="117"/>
        <v>-0.42298456260720413</v>
      </c>
      <c r="O7524" t="s">
        <v>83</v>
      </c>
      <c r="R7524">
        <v>5</v>
      </c>
      <c r="S7524" t="s">
        <v>5465</v>
      </c>
      <c r="T7524" t="e">
        <f>VLOOKUP(R7524,[1]!NOMINA[#Data],5,FALSE)</f>
        <v>#REF!</v>
      </c>
    </row>
    <row r="7525" spans="1:20" x14ac:dyDescent="0.25">
      <c r="A7525" s="22">
        <v>45897</v>
      </c>
      <c r="B7525" s="1">
        <v>717464428</v>
      </c>
      <c r="C7525" t="s">
        <v>5804</v>
      </c>
      <c r="D7525" s="44">
        <v>-61.65</v>
      </c>
      <c r="E7525" t="s">
        <v>35</v>
      </c>
      <c r="F7525" s="2">
        <v>212901001</v>
      </c>
      <c r="G7525" s="2" t="s">
        <v>91</v>
      </c>
      <c r="I7525" s="95" t="s">
        <v>7231</v>
      </c>
      <c r="J7525" t="s">
        <v>61</v>
      </c>
      <c r="K7525" t="s">
        <v>62</v>
      </c>
      <c r="M7525">
        <v>145.75</v>
      </c>
      <c r="N7525" s="4">
        <f t="shared" si="117"/>
        <v>-0.42298456260720413</v>
      </c>
      <c r="O7525" t="s">
        <v>83</v>
      </c>
      <c r="R7525">
        <v>32</v>
      </c>
      <c r="S7525" t="e">
        <f>VLOOKUP(R7525,[1]!NOMINA[#Data],4,FALSE)</f>
        <v>#REF!</v>
      </c>
      <c r="T7525" t="e">
        <f>VLOOKUP(R7525,[1]!NOMINA[#Data],5,FALSE)</f>
        <v>#REF!</v>
      </c>
    </row>
    <row r="7526" spans="1:20" x14ac:dyDescent="0.25">
      <c r="A7526" s="22">
        <v>45897</v>
      </c>
      <c r="B7526" s="1">
        <v>717464430</v>
      </c>
      <c r="C7526" t="s">
        <v>5805</v>
      </c>
      <c r="D7526" s="44">
        <v>-57.36</v>
      </c>
      <c r="E7526" t="s">
        <v>35</v>
      </c>
      <c r="F7526" s="2">
        <v>212901001</v>
      </c>
      <c r="G7526" s="2" t="s">
        <v>91</v>
      </c>
      <c r="I7526" s="95" t="s">
        <v>7231</v>
      </c>
      <c r="J7526" t="s">
        <v>61</v>
      </c>
      <c r="K7526" t="s">
        <v>62</v>
      </c>
      <c r="M7526">
        <v>145.75</v>
      </c>
      <c r="N7526" s="4">
        <f t="shared" si="117"/>
        <v>-0.39355060034305317</v>
      </c>
      <c r="O7526" t="s">
        <v>83</v>
      </c>
      <c r="R7526">
        <v>15</v>
      </c>
      <c r="S7526" t="e">
        <f>VLOOKUP(R7526,[1]!NOMINA[#Data],4,FALSE)</f>
        <v>#REF!</v>
      </c>
      <c r="T7526" t="e">
        <f>VLOOKUP(R7526,[1]!NOMINA[#Data],5,FALSE)</f>
        <v>#REF!</v>
      </c>
    </row>
    <row r="7527" spans="1:20" x14ac:dyDescent="0.25">
      <c r="A7527" s="22">
        <v>45897</v>
      </c>
      <c r="B7527" s="1">
        <v>717464431</v>
      </c>
      <c r="C7527" t="s">
        <v>5806</v>
      </c>
      <c r="D7527" s="44">
        <v>-61.65</v>
      </c>
      <c r="E7527" t="s">
        <v>35</v>
      </c>
      <c r="F7527" s="2">
        <v>212901001</v>
      </c>
      <c r="G7527" s="2" t="s">
        <v>91</v>
      </c>
      <c r="I7527" s="95" t="s">
        <v>7231</v>
      </c>
      <c r="J7527" t="s">
        <v>61</v>
      </c>
      <c r="K7527" t="s">
        <v>62</v>
      </c>
      <c r="M7527">
        <v>145.75</v>
      </c>
      <c r="N7527" s="4">
        <f t="shared" si="117"/>
        <v>-0.42298456260720413</v>
      </c>
      <c r="O7527" t="s">
        <v>83</v>
      </c>
      <c r="R7527">
        <v>30</v>
      </c>
      <c r="S7527" t="e">
        <f>VLOOKUP(R7527,[1]!NOMINA[#Data],4,FALSE)</f>
        <v>#REF!</v>
      </c>
      <c r="T7527" t="e">
        <f>VLOOKUP(R7527,[1]!NOMINA[#Data],5,FALSE)</f>
        <v>#REF!</v>
      </c>
    </row>
    <row r="7528" spans="1:20" x14ac:dyDescent="0.25">
      <c r="A7528" s="22">
        <v>45897</v>
      </c>
      <c r="B7528" s="1">
        <v>717464432</v>
      </c>
      <c r="C7528" t="s">
        <v>5807</v>
      </c>
      <c r="D7528" s="44">
        <v>-61.65</v>
      </c>
      <c r="E7528" t="s">
        <v>35</v>
      </c>
      <c r="F7528" s="2">
        <v>212901001</v>
      </c>
      <c r="G7528" s="2" t="s">
        <v>91</v>
      </c>
      <c r="I7528" s="95" t="s">
        <v>7231</v>
      </c>
      <c r="J7528" t="s">
        <v>61</v>
      </c>
      <c r="K7528" t="s">
        <v>62</v>
      </c>
      <c r="M7528">
        <v>145.75</v>
      </c>
      <c r="N7528" s="4">
        <f t="shared" si="117"/>
        <v>-0.42298456260720413</v>
      </c>
      <c r="O7528" t="s">
        <v>83</v>
      </c>
      <c r="R7528">
        <v>21</v>
      </c>
      <c r="S7528" t="e">
        <f>VLOOKUP(R7528,[1]!NOMINA[#Data],4,FALSE)</f>
        <v>#REF!</v>
      </c>
      <c r="T7528" t="e">
        <f>VLOOKUP(R7528,[1]!NOMINA[#Data],5,FALSE)</f>
        <v>#REF!</v>
      </c>
    </row>
    <row r="7529" spans="1:20" x14ac:dyDescent="0.25">
      <c r="A7529" s="22">
        <v>45897</v>
      </c>
      <c r="B7529" s="1">
        <v>717464434</v>
      </c>
      <c r="C7529" t="s">
        <v>5808</v>
      </c>
      <c r="D7529" s="44">
        <v>-61.65</v>
      </c>
      <c r="E7529" t="s">
        <v>35</v>
      </c>
      <c r="F7529" s="2">
        <v>212901001</v>
      </c>
      <c r="G7529" s="2" t="s">
        <v>91</v>
      </c>
      <c r="I7529" s="95" t="s">
        <v>7231</v>
      </c>
      <c r="J7529" t="s">
        <v>61</v>
      </c>
      <c r="K7529" t="s">
        <v>62</v>
      </c>
      <c r="M7529">
        <v>145.75</v>
      </c>
      <c r="N7529" s="4">
        <f t="shared" si="117"/>
        <v>-0.42298456260720413</v>
      </c>
      <c r="O7529" t="s">
        <v>83</v>
      </c>
      <c r="R7529">
        <v>7</v>
      </c>
      <c r="S7529" t="e">
        <f>VLOOKUP(R7529,[1]!NOMINA[#Data],4,FALSE)</f>
        <v>#REF!</v>
      </c>
      <c r="T7529" t="e">
        <f>VLOOKUP(R7529,[1]!NOMINA[#Data],5,FALSE)</f>
        <v>#REF!</v>
      </c>
    </row>
    <row r="7530" spans="1:20" x14ac:dyDescent="0.25">
      <c r="A7530" s="22">
        <v>45897</v>
      </c>
      <c r="B7530" s="1">
        <v>717464435</v>
      </c>
      <c r="C7530" t="s">
        <v>5809</v>
      </c>
      <c r="D7530" s="44">
        <v>-61.65</v>
      </c>
      <c r="E7530" t="s">
        <v>35</v>
      </c>
      <c r="F7530" s="2">
        <v>212901001</v>
      </c>
      <c r="G7530" s="2" t="s">
        <v>91</v>
      </c>
      <c r="I7530" s="95" t="s">
        <v>7231</v>
      </c>
      <c r="J7530" t="s">
        <v>61</v>
      </c>
      <c r="K7530" t="s">
        <v>62</v>
      </c>
      <c r="M7530">
        <v>145.75</v>
      </c>
      <c r="N7530" s="4">
        <f t="shared" si="117"/>
        <v>-0.42298456260720413</v>
      </c>
      <c r="O7530" t="s">
        <v>83</v>
      </c>
      <c r="R7530">
        <v>35</v>
      </c>
      <c r="S7530" t="e">
        <f>VLOOKUP(R7530,[1]!NOMINA[#Data],4,FALSE)</f>
        <v>#REF!</v>
      </c>
      <c r="T7530" t="e">
        <f>VLOOKUP(R7530,[1]!NOMINA[#Data],5,FALSE)</f>
        <v>#REF!</v>
      </c>
    </row>
    <row r="7531" spans="1:20" x14ac:dyDescent="0.25">
      <c r="A7531" s="22">
        <v>45897</v>
      </c>
      <c r="B7531" s="1">
        <v>817464436</v>
      </c>
      <c r="C7531" t="s">
        <v>5810</v>
      </c>
      <c r="D7531" s="44">
        <v>-61.65</v>
      </c>
      <c r="E7531" t="s">
        <v>35</v>
      </c>
      <c r="F7531" s="2">
        <v>212901001</v>
      </c>
      <c r="G7531" s="2" t="s">
        <v>91</v>
      </c>
      <c r="I7531" s="95" t="s">
        <v>7231</v>
      </c>
      <c r="J7531" t="s">
        <v>61</v>
      </c>
      <c r="K7531" t="s">
        <v>62</v>
      </c>
      <c r="M7531">
        <v>145.75</v>
      </c>
      <c r="N7531" s="4">
        <f t="shared" si="117"/>
        <v>-0.42298456260720413</v>
      </c>
      <c r="O7531" t="s">
        <v>83</v>
      </c>
      <c r="R7531">
        <v>25</v>
      </c>
      <c r="S7531" t="e">
        <f>VLOOKUP(R7531,[1]!NOMINA[#Data],4,FALSE)</f>
        <v>#REF!</v>
      </c>
      <c r="T7531" t="e">
        <f>VLOOKUP(R7531,[1]!NOMINA[#Data],5,FALSE)</f>
        <v>#REF!</v>
      </c>
    </row>
    <row r="7532" spans="1:20" x14ac:dyDescent="0.25">
      <c r="A7532" s="22">
        <v>45897</v>
      </c>
      <c r="B7532" s="1">
        <v>717464433</v>
      </c>
      <c r="C7532" t="s">
        <v>5811</v>
      </c>
      <c r="D7532" s="44">
        <v>-61.65</v>
      </c>
      <c r="E7532" t="s">
        <v>35</v>
      </c>
      <c r="F7532" s="2">
        <v>212901001</v>
      </c>
      <c r="G7532" s="2" t="s">
        <v>91</v>
      </c>
      <c r="I7532" s="95" t="s">
        <v>7231</v>
      </c>
      <c r="J7532" t="s">
        <v>61</v>
      </c>
      <c r="K7532" t="s">
        <v>62</v>
      </c>
      <c r="M7532">
        <v>145.75</v>
      </c>
      <c r="N7532" s="4">
        <f t="shared" si="117"/>
        <v>-0.42298456260720413</v>
      </c>
      <c r="O7532" t="s">
        <v>83</v>
      </c>
      <c r="R7532">
        <v>11</v>
      </c>
      <c r="S7532" t="e">
        <f>VLOOKUP(R7532,[1]!NOMINA[#Data],4,FALSE)</f>
        <v>#REF!</v>
      </c>
      <c r="T7532" t="e">
        <f>VLOOKUP(R7532,[1]!NOMINA[#Data],5,FALSE)</f>
        <v>#REF!</v>
      </c>
    </row>
    <row r="7533" spans="1:20" x14ac:dyDescent="0.25">
      <c r="A7533" s="22">
        <v>45897</v>
      </c>
      <c r="B7533" s="1">
        <v>817464437</v>
      </c>
      <c r="C7533" t="s">
        <v>5812</v>
      </c>
      <c r="D7533" s="44">
        <v>-61.65</v>
      </c>
      <c r="E7533" t="s">
        <v>35</v>
      </c>
      <c r="F7533" s="2">
        <v>212901001</v>
      </c>
      <c r="G7533" s="2" t="s">
        <v>91</v>
      </c>
      <c r="I7533" s="95" t="s">
        <v>7231</v>
      </c>
      <c r="J7533" t="s">
        <v>61</v>
      </c>
      <c r="K7533" t="s">
        <v>62</v>
      </c>
      <c r="M7533">
        <v>145.75</v>
      </c>
      <c r="N7533" s="4">
        <f t="shared" si="117"/>
        <v>-0.42298456260720413</v>
      </c>
      <c r="O7533" t="s">
        <v>83</v>
      </c>
      <c r="R7533">
        <v>29</v>
      </c>
      <c r="S7533" t="e">
        <f>VLOOKUP(R7533,[1]!NOMINA[#Data],4,FALSE)</f>
        <v>#REF!</v>
      </c>
      <c r="T7533" t="e">
        <f>VLOOKUP(R7533,[1]!NOMINA[#Data],5,FALSE)</f>
        <v>#REF!</v>
      </c>
    </row>
    <row r="7534" spans="1:20" x14ac:dyDescent="0.25">
      <c r="A7534" s="22">
        <v>45897</v>
      </c>
      <c r="B7534" s="1">
        <v>817464438</v>
      </c>
      <c r="C7534" t="s">
        <v>5813</v>
      </c>
      <c r="D7534" s="44">
        <v>-61.65</v>
      </c>
      <c r="E7534" t="s">
        <v>35</v>
      </c>
      <c r="F7534" s="2">
        <v>212901001</v>
      </c>
      <c r="G7534" s="2" t="s">
        <v>91</v>
      </c>
      <c r="I7534" s="95" t="s">
        <v>7231</v>
      </c>
      <c r="J7534" t="s">
        <v>61</v>
      </c>
      <c r="K7534" t="s">
        <v>62</v>
      </c>
      <c r="M7534">
        <v>145.75</v>
      </c>
      <c r="N7534" s="4">
        <f t="shared" si="117"/>
        <v>-0.42298456260720413</v>
      </c>
      <c r="O7534" t="s">
        <v>83</v>
      </c>
      <c r="R7534">
        <v>10</v>
      </c>
      <c r="S7534" t="e">
        <f>VLOOKUP(R7534,[1]!NOMINA[#Data],4,FALSE)</f>
        <v>#REF!</v>
      </c>
      <c r="T7534" t="e">
        <f>VLOOKUP(R7534,[1]!NOMINA[#Data],5,FALSE)</f>
        <v>#REF!</v>
      </c>
    </row>
    <row r="7535" spans="1:20" x14ac:dyDescent="0.25">
      <c r="A7535" s="22">
        <v>45897</v>
      </c>
      <c r="B7535" s="1">
        <v>817464439</v>
      </c>
      <c r="C7535" t="s">
        <v>5814</v>
      </c>
      <c r="D7535" s="44">
        <v>-61.65</v>
      </c>
      <c r="E7535" t="s">
        <v>35</v>
      </c>
      <c r="F7535" s="2">
        <v>212901001</v>
      </c>
      <c r="G7535" s="2" t="s">
        <v>91</v>
      </c>
      <c r="I7535" s="95" t="s">
        <v>7231</v>
      </c>
      <c r="J7535" t="s">
        <v>61</v>
      </c>
      <c r="K7535" t="s">
        <v>62</v>
      </c>
      <c r="M7535">
        <v>145.75</v>
      </c>
      <c r="N7535" s="4">
        <f t="shared" si="117"/>
        <v>-0.42298456260720413</v>
      </c>
      <c r="O7535" t="s">
        <v>83</v>
      </c>
      <c r="R7535">
        <v>9</v>
      </c>
      <c r="S7535" t="e">
        <f>VLOOKUP(R7535,[1]!NOMINA[#Data],4,FALSE)</f>
        <v>#REF!</v>
      </c>
      <c r="T7535" t="e">
        <f>VLOOKUP(R7535,[1]!NOMINA[#Data],5,FALSE)</f>
        <v>#REF!</v>
      </c>
    </row>
    <row r="7536" spans="1:20" x14ac:dyDescent="0.25">
      <c r="A7536" s="22">
        <v>45897</v>
      </c>
      <c r="B7536" s="1">
        <v>50834462</v>
      </c>
      <c r="C7536" t="s">
        <v>89</v>
      </c>
      <c r="D7536" s="44">
        <v>-2199.37</v>
      </c>
      <c r="E7536" t="s">
        <v>35</v>
      </c>
      <c r="F7536" s="2">
        <v>610148001</v>
      </c>
      <c r="G7536" s="2" t="s">
        <v>41</v>
      </c>
      <c r="I7536" s="95" t="s">
        <v>7231</v>
      </c>
      <c r="J7536" t="s">
        <v>42</v>
      </c>
      <c r="K7536" t="s">
        <v>41</v>
      </c>
      <c r="M7536">
        <v>145.75</v>
      </c>
      <c r="N7536" s="4">
        <f t="shared" si="117"/>
        <v>-15.090017152658662</v>
      </c>
      <c r="O7536" t="s">
        <v>83</v>
      </c>
      <c r="Q7536" s="24" t="s">
        <v>5251</v>
      </c>
    </row>
    <row r="7537" spans="1:17" x14ac:dyDescent="0.25">
      <c r="A7537" s="22">
        <v>45898</v>
      </c>
      <c r="B7537" s="1">
        <v>748139609</v>
      </c>
      <c r="C7537" t="s">
        <v>5595</v>
      </c>
      <c r="D7537" s="44">
        <v>200000</v>
      </c>
      <c r="E7537" t="s">
        <v>45</v>
      </c>
      <c r="F7537" s="2">
        <v>210115002</v>
      </c>
      <c r="G7537" s="2" t="s">
        <v>46</v>
      </c>
      <c r="I7537" s="95" t="s">
        <v>7231</v>
      </c>
      <c r="K7537" t="s">
        <v>5595</v>
      </c>
      <c r="M7537">
        <v>147.08000000000001</v>
      </c>
      <c r="N7537" s="4">
        <f t="shared" si="117"/>
        <v>1359.8041881968995</v>
      </c>
      <c r="O7537" t="s">
        <v>83</v>
      </c>
    </row>
    <row r="7538" spans="1:17" x14ac:dyDescent="0.25">
      <c r="A7538" s="22">
        <v>45898</v>
      </c>
      <c r="B7538" s="1">
        <v>476839440</v>
      </c>
      <c r="C7538" t="s">
        <v>5595</v>
      </c>
      <c r="D7538" s="44">
        <v>200000</v>
      </c>
      <c r="E7538" t="s">
        <v>45</v>
      </c>
      <c r="F7538" s="2">
        <v>210115002</v>
      </c>
      <c r="G7538" s="2" t="s">
        <v>46</v>
      </c>
      <c r="I7538" s="95" t="s">
        <v>7231</v>
      </c>
      <c r="K7538" t="s">
        <v>5595</v>
      </c>
      <c r="M7538">
        <v>147.08000000000001</v>
      </c>
      <c r="N7538" s="4">
        <f t="shared" si="117"/>
        <v>1359.8041881968995</v>
      </c>
      <c r="O7538" t="s">
        <v>83</v>
      </c>
    </row>
    <row r="7539" spans="1:17" x14ac:dyDescent="0.25">
      <c r="A7539" s="22">
        <v>45898</v>
      </c>
      <c r="B7539" s="1">
        <v>71810272</v>
      </c>
      <c r="C7539" t="s">
        <v>5595</v>
      </c>
      <c r="D7539" s="44">
        <v>200000</v>
      </c>
      <c r="E7539" t="s">
        <v>45</v>
      </c>
      <c r="F7539" s="2">
        <v>210115002</v>
      </c>
      <c r="G7539" s="2" t="s">
        <v>46</v>
      </c>
      <c r="I7539" s="95" t="s">
        <v>7231</v>
      </c>
      <c r="K7539" t="s">
        <v>5595</v>
      </c>
      <c r="M7539">
        <v>147.08000000000001</v>
      </c>
      <c r="N7539" s="4">
        <f t="shared" si="117"/>
        <v>1359.8041881968995</v>
      </c>
      <c r="O7539" t="s">
        <v>83</v>
      </c>
    </row>
    <row r="7540" spans="1:17" x14ac:dyDescent="0.25">
      <c r="A7540" s="33">
        <v>45898</v>
      </c>
      <c r="B7540" s="27">
        <v>717497699</v>
      </c>
      <c r="C7540" s="28" t="s">
        <v>52</v>
      </c>
      <c r="D7540" s="47">
        <v>-17649.599999999999</v>
      </c>
      <c r="E7540" s="28" t="s">
        <v>35</v>
      </c>
      <c r="F7540" s="30">
        <v>610129001</v>
      </c>
      <c r="G7540" s="30" t="s">
        <v>53</v>
      </c>
      <c r="H7540" s="30"/>
      <c r="I7540" s="95" t="s">
        <v>7231</v>
      </c>
      <c r="J7540" s="28" t="s">
        <v>54</v>
      </c>
      <c r="K7540" s="28" t="s">
        <v>55</v>
      </c>
      <c r="L7540" s="28" t="s">
        <v>56</v>
      </c>
      <c r="M7540" s="28">
        <v>147.08000000000001</v>
      </c>
      <c r="N7540" s="4">
        <f t="shared" si="117"/>
        <v>-119.99999999999999</v>
      </c>
      <c r="O7540" t="s">
        <v>83</v>
      </c>
      <c r="Q7540" s="24" t="s">
        <v>5815</v>
      </c>
    </row>
    <row r="7541" spans="1:17" x14ac:dyDescent="0.25">
      <c r="A7541" s="22">
        <v>45898</v>
      </c>
      <c r="B7541" s="1">
        <v>717497700</v>
      </c>
      <c r="C7541" t="s">
        <v>5816</v>
      </c>
      <c r="D7541" s="85">
        <v>-14708</v>
      </c>
      <c r="E7541" t="s">
        <v>35</v>
      </c>
      <c r="F7541" s="2">
        <v>610124003</v>
      </c>
      <c r="G7541" s="2" t="s">
        <v>78</v>
      </c>
      <c r="I7541" s="95" t="s">
        <v>7231</v>
      </c>
      <c r="J7541" t="s">
        <v>79</v>
      </c>
      <c r="K7541" t="s">
        <v>80</v>
      </c>
      <c r="L7541" s="28" t="s">
        <v>56</v>
      </c>
      <c r="M7541">
        <v>147.08000000000001</v>
      </c>
      <c r="N7541" s="4">
        <f t="shared" si="117"/>
        <v>-99.999999999999986</v>
      </c>
      <c r="O7541" t="s">
        <v>83</v>
      </c>
      <c r="Q7541" s="24" t="s">
        <v>5817</v>
      </c>
    </row>
    <row r="7542" spans="1:17" x14ac:dyDescent="0.25">
      <c r="A7542" s="22">
        <v>45898</v>
      </c>
      <c r="B7542" s="1">
        <v>717497704</v>
      </c>
      <c r="C7542" t="s">
        <v>5818</v>
      </c>
      <c r="D7542" s="44">
        <v>-1470.8</v>
      </c>
      <c r="E7542" t="s">
        <v>35</v>
      </c>
      <c r="F7542" s="2">
        <v>212901001</v>
      </c>
      <c r="G7542" s="2" t="s">
        <v>91</v>
      </c>
      <c r="I7542" s="95" t="s">
        <v>7231</v>
      </c>
      <c r="J7542" t="s">
        <v>61</v>
      </c>
      <c r="K7542" t="s">
        <v>62</v>
      </c>
      <c r="M7542">
        <v>147.08000000000001</v>
      </c>
      <c r="N7542" s="4">
        <f t="shared" si="117"/>
        <v>-9.9999999999999982</v>
      </c>
      <c r="O7542" t="s">
        <v>83</v>
      </c>
    </row>
    <row r="7543" spans="1:17" x14ac:dyDescent="0.25">
      <c r="A7543" s="22">
        <v>45898</v>
      </c>
      <c r="B7543" s="1">
        <v>717497703</v>
      </c>
      <c r="C7543" t="s">
        <v>5819</v>
      </c>
      <c r="D7543" s="44">
        <v>-14708</v>
      </c>
      <c r="E7543" t="s">
        <v>35</v>
      </c>
      <c r="F7543" s="2">
        <v>212901001</v>
      </c>
      <c r="G7543" s="2" t="s">
        <v>91</v>
      </c>
      <c r="I7543" s="95" t="s">
        <v>7231</v>
      </c>
      <c r="J7543" t="s">
        <v>61</v>
      </c>
      <c r="K7543" t="s">
        <v>62</v>
      </c>
      <c r="M7543">
        <v>147.08000000000001</v>
      </c>
      <c r="N7543" s="4">
        <f t="shared" si="117"/>
        <v>-99.999999999999986</v>
      </c>
      <c r="O7543" t="s">
        <v>83</v>
      </c>
    </row>
    <row r="7544" spans="1:17" x14ac:dyDescent="0.25">
      <c r="A7544" s="22">
        <v>45898</v>
      </c>
      <c r="B7544" s="1">
        <v>717497702</v>
      </c>
      <c r="C7544" t="s">
        <v>5820</v>
      </c>
      <c r="D7544" s="44">
        <v>-14708</v>
      </c>
      <c r="E7544" t="s">
        <v>35</v>
      </c>
      <c r="F7544" s="2">
        <v>212901001</v>
      </c>
      <c r="G7544" s="2" t="s">
        <v>91</v>
      </c>
      <c r="I7544" s="95" t="s">
        <v>7231</v>
      </c>
      <c r="J7544" t="s">
        <v>61</v>
      </c>
      <c r="K7544" t="s">
        <v>62</v>
      </c>
      <c r="M7544">
        <v>147.08000000000001</v>
      </c>
      <c r="N7544" s="4">
        <f t="shared" si="117"/>
        <v>-99.999999999999986</v>
      </c>
      <c r="O7544" t="s">
        <v>83</v>
      </c>
    </row>
    <row r="7545" spans="1:17" x14ac:dyDescent="0.25">
      <c r="A7545" s="22">
        <v>45898</v>
      </c>
      <c r="B7545" s="1">
        <v>717497705</v>
      </c>
      <c r="C7545" t="s">
        <v>5821</v>
      </c>
      <c r="D7545" s="44">
        <v>-2941.6</v>
      </c>
      <c r="E7545" t="s">
        <v>35</v>
      </c>
      <c r="F7545" s="2">
        <v>212901001</v>
      </c>
      <c r="G7545" s="2" t="s">
        <v>91</v>
      </c>
      <c r="I7545" s="95" t="s">
        <v>7231</v>
      </c>
      <c r="J7545" t="s">
        <v>61</v>
      </c>
      <c r="K7545" t="s">
        <v>62</v>
      </c>
      <c r="M7545">
        <v>147.08000000000001</v>
      </c>
      <c r="N7545" s="4">
        <f t="shared" si="117"/>
        <v>-19.999999999999996</v>
      </c>
      <c r="O7545" t="s">
        <v>83</v>
      </c>
    </row>
    <row r="7546" spans="1:17" x14ac:dyDescent="0.25">
      <c r="A7546" s="22">
        <v>45898</v>
      </c>
      <c r="B7546" s="1">
        <v>717497706</v>
      </c>
      <c r="C7546" t="s">
        <v>5822</v>
      </c>
      <c r="D7546" s="44">
        <v>-2941.6</v>
      </c>
      <c r="E7546" t="s">
        <v>35</v>
      </c>
      <c r="F7546" s="2">
        <v>212901001</v>
      </c>
      <c r="G7546" s="2" t="s">
        <v>91</v>
      </c>
      <c r="I7546" s="95" t="s">
        <v>7231</v>
      </c>
      <c r="J7546" t="s">
        <v>61</v>
      </c>
      <c r="K7546" t="s">
        <v>62</v>
      </c>
      <c r="M7546">
        <v>147.08000000000001</v>
      </c>
      <c r="N7546" s="4">
        <f t="shared" si="117"/>
        <v>-19.999999999999996</v>
      </c>
      <c r="O7546" t="s">
        <v>83</v>
      </c>
    </row>
    <row r="7547" spans="1:17" x14ac:dyDescent="0.25">
      <c r="A7547" s="22">
        <v>45898</v>
      </c>
      <c r="B7547" s="1">
        <v>817497707</v>
      </c>
      <c r="C7547" t="s">
        <v>5823</v>
      </c>
      <c r="D7547" s="44">
        <v>-2941.6</v>
      </c>
      <c r="E7547" t="s">
        <v>35</v>
      </c>
      <c r="F7547" s="2">
        <v>212901001</v>
      </c>
      <c r="G7547" s="2" t="s">
        <v>91</v>
      </c>
      <c r="I7547" s="95" t="s">
        <v>7231</v>
      </c>
      <c r="J7547" t="s">
        <v>61</v>
      </c>
      <c r="K7547" t="s">
        <v>62</v>
      </c>
      <c r="M7547">
        <v>147.08000000000001</v>
      </c>
      <c r="N7547" s="4">
        <f t="shared" si="117"/>
        <v>-19.999999999999996</v>
      </c>
      <c r="O7547" t="s">
        <v>83</v>
      </c>
    </row>
    <row r="7548" spans="1:17" x14ac:dyDescent="0.25">
      <c r="A7548" s="33">
        <v>45898</v>
      </c>
      <c r="B7548" s="27">
        <v>817497709</v>
      </c>
      <c r="C7548" s="28" t="s">
        <v>5824</v>
      </c>
      <c r="D7548" s="47">
        <v>-46330.2</v>
      </c>
      <c r="E7548" s="28" t="s">
        <v>35</v>
      </c>
      <c r="F7548" s="30">
        <v>610156001</v>
      </c>
      <c r="G7548" s="30" t="s">
        <v>72</v>
      </c>
      <c r="H7548" s="30"/>
      <c r="I7548" s="95" t="s">
        <v>7231</v>
      </c>
      <c r="J7548" s="28" t="s">
        <v>2398</v>
      </c>
      <c r="K7548" s="28" t="s">
        <v>632</v>
      </c>
      <c r="L7548" s="28" t="s">
        <v>56</v>
      </c>
      <c r="M7548" s="28">
        <v>147.08000000000001</v>
      </c>
      <c r="N7548" s="4">
        <f t="shared" si="117"/>
        <v>-314.99999999999994</v>
      </c>
      <c r="O7548" t="s">
        <v>83</v>
      </c>
      <c r="Q7548" s="24" t="s">
        <v>5825</v>
      </c>
    </row>
    <row r="7549" spans="1:17" x14ac:dyDescent="0.25">
      <c r="A7549" s="33">
        <v>45898</v>
      </c>
      <c r="B7549" s="27">
        <v>817497711</v>
      </c>
      <c r="C7549" s="28" t="s">
        <v>5826</v>
      </c>
      <c r="D7549" s="47">
        <v>-17649.599999999999</v>
      </c>
      <c r="E7549" s="28" t="s">
        <v>35</v>
      </c>
      <c r="F7549" s="30">
        <v>610156001</v>
      </c>
      <c r="G7549" s="30" t="s">
        <v>72</v>
      </c>
      <c r="H7549" s="30"/>
      <c r="I7549" s="95" t="s">
        <v>7231</v>
      </c>
      <c r="J7549" s="28" t="s">
        <v>73</v>
      </c>
      <c r="K7549" s="28" t="s">
        <v>74</v>
      </c>
      <c r="L7549" s="28" t="s">
        <v>56</v>
      </c>
      <c r="M7549" s="28">
        <v>147.08000000000001</v>
      </c>
      <c r="N7549" s="4">
        <f t="shared" si="117"/>
        <v>-119.99999999999999</v>
      </c>
      <c r="O7549" t="s">
        <v>83</v>
      </c>
      <c r="Q7549" s="24" t="s">
        <v>5827</v>
      </c>
    </row>
    <row r="7550" spans="1:17" x14ac:dyDescent="0.25">
      <c r="A7550" s="22">
        <v>45898</v>
      </c>
      <c r="B7550" s="1">
        <v>817497712</v>
      </c>
      <c r="C7550" t="s">
        <v>4703</v>
      </c>
      <c r="D7550" s="44">
        <v>-14650.35</v>
      </c>
      <c r="E7550" t="s">
        <v>35</v>
      </c>
      <c r="F7550" s="2">
        <v>110101002</v>
      </c>
      <c r="G7550" s="2" t="s">
        <v>2771</v>
      </c>
      <c r="I7550" s="95" t="s">
        <v>7231</v>
      </c>
      <c r="K7550" t="s">
        <v>3285</v>
      </c>
      <c r="M7550">
        <v>147.08000000000001</v>
      </c>
      <c r="N7550" s="4">
        <f t="shared" si="117"/>
        <v>-99.608036442752237</v>
      </c>
      <c r="O7550" t="s">
        <v>83</v>
      </c>
    </row>
    <row r="7551" spans="1:17" x14ac:dyDescent="0.25">
      <c r="A7551" s="22">
        <v>45898</v>
      </c>
      <c r="B7551" s="1">
        <v>817497708</v>
      </c>
      <c r="C7551" t="s">
        <v>5828</v>
      </c>
      <c r="D7551" s="44">
        <v>-2941.6</v>
      </c>
      <c r="E7551" t="s">
        <v>35</v>
      </c>
      <c r="F7551" s="2">
        <v>212901001</v>
      </c>
      <c r="G7551" s="2" t="s">
        <v>91</v>
      </c>
      <c r="I7551" s="95" t="s">
        <v>7231</v>
      </c>
      <c r="J7551" t="s">
        <v>61</v>
      </c>
      <c r="K7551" t="s">
        <v>62</v>
      </c>
      <c r="M7551">
        <v>147.08000000000001</v>
      </c>
      <c r="N7551" s="4">
        <f t="shared" si="117"/>
        <v>-19.999999999999996</v>
      </c>
      <c r="O7551" t="s">
        <v>83</v>
      </c>
    </row>
    <row r="7552" spans="1:17" x14ac:dyDescent="0.25">
      <c r="A7552" s="22">
        <v>45898</v>
      </c>
      <c r="B7552" s="1">
        <v>817497714</v>
      </c>
      <c r="C7552" t="s">
        <v>5829</v>
      </c>
      <c r="D7552" s="44">
        <v>-216207.6</v>
      </c>
      <c r="E7552" t="s">
        <v>35</v>
      </c>
      <c r="F7552" s="2">
        <v>210101001</v>
      </c>
      <c r="G7552" s="2" t="s">
        <v>36</v>
      </c>
      <c r="I7552" s="95" t="s">
        <v>7231</v>
      </c>
      <c r="J7552" t="s">
        <v>1306</v>
      </c>
      <c r="K7552" t="s">
        <v>600</v>
      </c>
      <c r="M7552">
        <v>147.08000000000001</v>
      </c>
      <c r="N7552" s="4">
        <f t="shared" si="117"/>
        <v>-1470</v>
      </c>
      <c r="O7552" t="s">
        <v>83</v>
      </c>
    </row>
    <row r="7553" spans="1:17" x14ac:dyDescent="0.25">
      <c r="A7553" s="22">
        <v>45898</v>
      </c>
      <c r="B7553" s="1">
        <v>50848993</v>
      </c>
      <c r="C7553" t="s">
        <v>89</v>
      </c>
      <c r="D7553" s="44">
        <v>-924.62</v>
      </c>
      <c r="E7553" t="s">
        <v>35</v>
      </c>
      <c r="F7553" s="2">
        <v>610148001</v>
      </c>
      <c r="G7553" s="2" t="s">
        <v>41</v>
      </c>
      <c r="I7553" s="95" t="s">
        <v>7231</v>
      </c>
      <c r="J7553" t="s">
        <v>42</v>
      </c>
      <c r="K7553" t="s">
        <v>41</v>
      </c>
      <c r="M7553">
        <v>147.08000000000001</v>
      </c>
      <c r="N7553" s="4">
        <f t="shared" si="117"/>
        <v>-6.2865107424530864</v>
      </c>
      <c r="O7553" t="s">
        <v>83</v>
      </c>
      <c r="Q7553" s="24" t="s">
        <v>5251</v>
      </c>
    </row>
    <row r="7554" spans="1:17" x14ac:dyDescent="0.25">
      <c r="A7554" s="22">
        <v>45898</v>
      </c>
      <c r="B7554" s="1">
        <v>50848993</v>
      </c>
      <c r="C7554" t="s">
        <v>792</v>
      </c>
      <c r="D7554" s="44">
        <v>-0.13</v>
      </c>
      <c r="E7554" t="s">
        <v>35</v>
      </c>
      <c r="F7554" s="2">
        <v>610148001</v>
      </c>
      <c r="G7554" s="2" t="s">
        <v>41</v>
      </c>
      <c r="I7554" s="95" t="s">
        <v>7231</v>
      </c>
      <c r="J7554" t="s">
        <v>42</v>
      </c>
      <c r="K7554" t="s">
        <v>41</v>
      </c>
      <c r="M7554">
        <v>147.08000000000001</v>
      </c>
      <c r="N7554" s="4">
        <f t="shared" si="117"/>
        <v>-8.8387272232798471E-4</v>
      </c>
      <c r="O7554" t="s">
        <v>83</v>
      </c>
      <c r="Q7554" s="24" t="s">
        <v>5251</v>
      </c>
    </row>
    <row r="7555" spans="1:17" x14ac:dyDescent="0.25">
      <c r="A7555" s="22">
        <v>45898</v>
      </c>
      <c r="B7555" s="1">
        <v>17505269</v>
      </c>
      <c r="C7555" t="s">
        <v>5830</v>
      </c>
      <c r="D7555" s="44">
        <v>-100602.72</v>
      </c>
      <c r="E7555" t="s">
        <v>35</v>
      </c>
      <c r="F7555" s="2">
        <v>110114001</v>
      </c>
      <c r="G7555" s="2" t="s">
        <v>181</v>
      </c>
      <c r="I7555" s="95" t="s">
        <v>7231</v>
      </c>
      <c r="J7555" t="s">
        <v>376</v>
      </c>
      <c r="K7555" t="s">
        <v>377</v>
      </c>
      <c r="M7555">
        <v>147.08000000000001</v>
      </c>
      <c r="N7555" s="4">
        <f t="shared" si="117"/>
        <v>-684</v>
      </c>
      <c r="O7555" t="s">
        <v>83</v>
      </c>
    </row>
    <row r="7556" spans="1:17" x14ac:dyDescent="0.25">
      <c r="A7556" s="22">
        <v>45898</v>
      </c>
      <c r="B7556" s="1">
        <v>17505269</v>
      </c>
      <c r="C7556" t="s">
        <v>185</v>
      </c>
      <c r="D7556" s="44">
        <v>-301.81</v>
      </c>
      <c r="E7556" t="s">
        <v>35</v>
      </c>
      <c r="F7556" s="2">
        <v>610148001</v>
      </c>
      <c r="G7556" s="2" t="s">
        <v>41</v>
      </c>
      <c r="I7556" s="95" t="s">
        <v>7231</v>
      </c>
      <c r="J7556" t="s">
        <v>42</v>
      </c>
      <c r="K7556" t="s">
        <v>41</v>
      </c>
      <c r="M7556">
        <v>147.08000000000001</v>
      </c>
      <c r="N7556" s="4">
        <f t="shared" si="117"/>
        <v>-2.0520125101985314</v>
      </c>
      <c r="O7556" t="s">
        <v>83</v>
      </c>
      <c r="Q7556" s="24" t="s">
        <v>5251</v>
      </c>
    </row>
    <row r="7557" spans="1:17" x14ac:dyDescent="0.25">
      <c r="A7557" s="22">
        <v>45898</v>
      </c>
      <c r="B7557" s="1">
        <v>714141266</v>
      </c>
      <c r="C7557" t="s">
        <v>5595</v>
      </c>
      <c r="D7557" s="44">
        <v>200000</v>
      </c>
      <c r="E7557" t="s">
        <v>45</v>
      </c>
      <c r="F7557" s="2">
        <v>210115002</v>
      </c>
      <c r="G7557" s="2" t="s">
        <v>46</v>
      </c>
      <c r="I7557" s="95" t="s">
        <v>7231</v>
      </c>
      <c r="K7557" t="s">
        <v>5595</v>
      </c>
      <c r="M7557">
        <v>147.08000000000001</v>
      </c>
      <c r="N7557" s="4">
        <f t="shared" si="117"/>
        <v>1359.8041881968995</v>
      </c>
      <c r="O7557" t="s">
        <v>83</v>
      </c>
    </row>
    <row r="7558" spans="1:17" x14ac:dyDescent="0.25">
      <c r="A7558" s="22">
        <v>45898</v>
      </c>
      <c r="B7558" s="1">
        <v>577790110</v>
      </c>
      <c r="C7558" t="s">
        <v>5595</v>
      </c>
      <c r="D7558" s="44">
        <v>200000</v>
      </c>
      <c r="E7558" t="s">
        <v>45</v>
      </c>
      <c r="F7558" s="2">
        <v>210115002</v>
      </c>
      <c r="G7558" s="2" t="s">
        <v>46</v>
      </c>
      <c r="I7558" s="95" t="s">
        <v>7231</v>
      </c>
      <c r="K7558" t="s">
        <v>5595</v>
      </c>
      <c r="M7558">
        <v>147.08000000000001</v>
      </c>
      <c r="N7558" s="4">
        <f t="shared" si="117"/>
        <v>1359.8041881968995</v>
      </c>
      <c r="O7558" t="s">
        <v>83</v>
      </c>
    </row>
    <row r="7559" spans="1:17" x14ac:dyDescent="0.25">
      <c r="A7559" s="22">
        <v>45898</v>
      </c>
      <c r="B7559" s="1">
        <v>362474263</v>
      </c>
      <c r="C7559" t="s">
        <v>5595</v>
      </c>
      <c r="D7559" s="44">
        <v>200000</v>
      </c>
      <c r="E7559" t="s">
        <v>45</v>
      </c>
      <c r="F7559" s="2">
        <v>210115002</v>
      </c>
      <c r="G7559" s="2" t="s">
        <v>46</v>
      </c>
      <c r="I7559" s="95" t="s">
        <v>7231</v>
      </c>
      <c r="K7559" t="s">
        <v>5595</v>
      </c>
      <c r="M7559">
        <v>147.08000000000001</v>
      </c>
      <c r="N7559" s="4">
        <f t="shared" si="117"/>
        <v>1359.8041881968995</v>
      </c>
      <c r="O7559" t="s">
        <v>83</v>
      </c>
    </row>
    <row r="7560" spans="1:17" x14ac:dyDescent="0.25">
      <c r="A7560" s="22">
        <v>45898</v>
      </c>
      <c r="B7560" s="1">
        <v>258327883</v>
      </c>
      <c r="C7560" t="s">
        <v>5595</v>
      </c>
      <c r="D7560" s="44">
        <v>200000</v>
      </c>
      <c r="E7560" t="s">
        <v>45</v>
      </c>
      <c r="F7560" s="2">
        <v>210115002</v>
      </c>
      <c r="G7560" s="2" t="s">
        <v>46</v>
      </c>
      <c r="I7560" s="95" t="s">
        <v>7231</v>
      </c>
      <c r="K7560" t="s">
        <v>5595</v>
      </c>
      <c r="M7560">
        <v>147.08000000000001</v>
      </c>
      <c r="N7560" s="4">
        <f t="shared" si="117"/>
        <v>1359.8041881968995</v>
      </c>
      <c r="O7560" t="s">
        <v>83</v>
      </c>
    </row>
    <row r="7561" spans="1:17" x14ac:dyDescent="0.25">
      <c r="A7561" s="22">
        <v>45898</v>
      </c>
      <c r="B7561" s="1">
        <v>159904805</v>
      </c>
      <c r="C7561" t="s">
        <v>5595</v>
      </c>
      <c r="D7561" s="44">
        <v>200000</v>
      </c>
      <c r="E7561" t="s">
        <v>45</v>
      </c>
      <c r="F7561" s="2">
        <v>210115002</v>
      </c>
      <c r="G7561" s="2" t="s">
        <v>46</v>
      </c>
      <c r="I7561" s="95" t="s">
        <v>7231</v>
      </c>
      <c r="K7561" t="s">
        <v>5595</v>
      </c>
      <c r="M7561">
        <v>147.08000000000001</v>
      </c>
      <c r="N7561" s="4">
        <f t="shared" si="117"/>
        <v>1359.8041881968995</v>
      </c>
      <c r="O7561" t="s">
        <v>83</v>
      </c>
    </row>
    <row r="7562" spans="1:17" x14ac:dyDescent="0.25">
      <c r="A7562" s="22">
        <v>45898</v>
      </c>
      <c r="B7562" s="1">
        <v>448460833</v>
      </c>
      <c r="C7562" t="s">
        <v>5595</v>
      </c>
      <c r="D7562" s="44">
        <v>200000</v>
      </c>
      <c r="E7562" t="s">
        <v>45</v>
      </c>
      <c r="F7562" s="2">
        <v>210115002</v>
      </c>
      <c r="G7562" s="2" t="s">
        <v>46</v>
      </c>
      <c r="I7562" s="95" t="s">
        <v>7231</v>
      </c>
      <c r="K7562" t="s">
        <v>5595</v>
      </c>
      <c r="M7562">
        <v>147.08000000000001</v>
      </c>
      <c r="N7562" s="4">
        <f t="shared" si="117"/>
        <v>1359.8041881968995</v>
      </c>
      <c r="O7562" t="s">
        <v>83</v>
      </c>
    </row>
    <row r="7563" spans="1:17" x14ac:dyDescent="0.25">
      <c r="A7563" s="22">
        <v>45898</v>
      </c>
      <c r="B7563" s="1">
        <v>317524069</v>
      </c>
      <c r="C7563" t="s">
        <v>5831</v>
      </c>
      <c r="D7563" s="44">
        <v>-17490</v>
      </c>
      <c r="E7563" t="s">
        <v>35</v>
      </c>
      <c r="F7563" s="2">
        <v>212901001</v>
      </c>
      <c r="G7563" s="2" t="s">
        <v>91</v>
      </c>
      <c r="I7563" s="95" t="s">
        <v>7231</v>
      </c>
      <c r="J7563" t="s">
        <v>61</v>
      </c>
      <c r="K7563" t="s">
        <v>62</v>
      </c>
      <c r="M7563">
        <v>147.08000000000001</v>
      </c>
      <c r="N7563" s="4">
        <f t="shared" si="117"/>
        <v>-118.91487625781886</v>
      </c>
      <c r="O7563" t="s">
        <v>83</v>
      </c>
    </row>
    <row r="7564" spans="1:17" x14ac:dyDescent="0.25">
      <c r="A7564" s="22">
        <v>45898</v>
      </c>
      <c r="B7564" s="1">
        <v>317524072</v>
      </c>
      <c r="C7564" t="s">
        <v>5832</v>
      </c>
      <c r="D7564" s="44">
        <v>-14575</v>
      </c>
      <c r="E7564" t="s">
        <v>35</v>
      </c>
      <c r="F7564" s="2">
        <v>212901001</v>
      </c>
      <c r="G7564" s="2" t="s">
        <v>91</v>
      </c>
      <c r="I7564" s="95" t="s">
        <v>7231</v>
      </c>
      <c r="J7564" t="s">
        <v>61</v>
      </c>
      <c r="K7564" t="s">
        <v>62</v>
      </c>
      <c r="M7564">
        <v>147.08000000000001</v>
      </c>
      <c r="N7564" s="4">
        <f t="shared" ref="N7564:N7627" si="118">D7564/M7564</f>
        <v>-99.095730214849056</v>
      </c>
      <c r="O7564" t="s">
        <v>83</v>
      </c>
    </row>
    <row r="7565" spans="1:17" x14ac:dyDescent="0.25">
      <c r="A7565" s="22">
        <v>45898</v>
      </c>
      <c r="B7565" s="1">
        <v>317524071</v>
      </c>
      <c r="C7565" t="s">
        <v>5833</v>
      </c>
      <c r="D7565" s="44">
        <v>-14575</v>
      </c>
      <c r="E7565" t="s">
        <v>35</v>
      </c>
      <c r="F7565" s="2">
        <v>212901001</v>
      </c>
      <c r="G7565" s="2" t="s">
        <v>91</v>
      </c>
      <c r="I7565" s="95" t="s">
        <v>7231</v>
      </c>
      <c r="J7565" t="s">
        <v>61</v>
      </c>
      <c r="K7565" t="s">
        <v>62</v>
      </c>
      <c r="M7565">
        <v>147.08000000000001</v>
      </c>
      <c r="N7565" s="4">
        <f t="shared" si="118"/>
        <v>-99.095730214849056</v>
      </c>
      <c r="O7565" t="s">
        <v>83</v>
      </c>
    </row>
    <row r="7566" spans="1:17" x14ac:dyDescent="0.25">
      <c r="A7566" s="22">
        <v>45898</v>
      </c>
      <c r="B7566" s="1">
        <v>417524073</v>
      </c>
      <c r="C7566" t="s">
        <v>5834</v>
      </c>
      <c r="D7566" s="44">
        <v>-14575</v>
      </c>
      <c r="E7566" t="s">
        <v>35</v>
      </c>
      <c r="F7566" s="2">
        <v>212901001</v>
      </c>
      <c r="G7566" s="2" t="s">
        <v>91</v>
      </c>
      <c r="I7566" s="95" t="s">
        <v>7231</v>
      </c>
      <c r="J7566" t="s">
        <v>61</v>
      </c>
      <c r="K7566" t="s">
        <v>62</v>
      </c>
      <c r="M7566">
        <v>147.08000000000001</v>
      </c>
      <c r="N7566" s="4">
        <f t="shared" si="118"/>
        <v>-99.095730214849056</v>
      </c>
      <c r="O7566" t="s">
        <v>83</v>
      </c>
    </row>
    <row r="7567" spans="1:17" x14ac:dyDescent="0.25">
      <c r="A7567" s="22">
        <v>45898</v>
      </c>
      <c r="B7567" s="1">
        <v>417524077</v>
      </c>
      <c r="C7567" t="s">
        <v>5835</v>
      </c>
      <c r="D7567" s="44">
        <v>-14575</v>
      </c>
      <c r="E7567" t="s">
        <v>35</v>
      </c>
      <c r="F7567" s="2">
        <v>212901001</v>
      </c>
      <c r="G7567" s="2" t="s">
        <v>91</v>
      </c>
      <c r="I7567" s="95" t="s">
        <v>7231</v>
      </c>
      <c r="J7567" t="s">
        <v>61</v>
      </c>
      <c r="K7567" t="s">
        <v>62</v>
      </c>
      <c r="M7567">
        <v>147.08000000000001</v>
      </c>
      <c r="N7567" s="4">
        <f t="shared" si="118"/>
        <v>-99.095730214849056</v>
      </c>
      <c r="O7567" t="s">
        <v>83</v>
      </c>
    </row>
    <row r="7568" spans="1:17" x14ac:dyDescent="0.25">
      <c r="A7568" s="22">
        <v>45898</v>
      </c>
      <c r="B7568" s="1">
        <v>417524074</v>
      </c>
      <c r="C7568" t="s">
        <v>5836</v>
      </c>
      <c r="D7568" s="44">
        <v>-14575</v>
      </c>
      <c r="E7568" t="s">
        <v>35</v>
      </c>
      <c r="F7568" s="2">
        <v>212901001</v>
      </c>
      <c r="G7568" s="2" t="s">
        <v>91</v>
      </c>
      <c r="I7568" s="95" t="s">
        <v>7231</v>
      </c>
      <c r="J7568" t="s">
        <v>61</v>
      </c>
      <c r="K7568" t="s">
        <v>62</v>
      </c>
      <c r="M7568">
        <v>147.08000000000001</v>
      </c>
      <c r="N7568" s="4">
        <f t="shared" si="118"/>
        <v>-99.095730214849056</v>
      </c>
      <c r="O7568" t="s">
        <v>83</v>
      </c>
    </row>
    <row r="7569" spans="1:15" x14ac:dyDescent="0.25">
      <c r="A7569" s="22">
        <v>45898</v>
      </c>
      <c r="B7569" s="1">
        <v>417524076</v>
      </c>
      <c r="C7569" t="s">
        <v>5837</v>
      </c>
      <c r="D7569" s="44">
        <v>-14575</v>
      </c>
      <c r="E7569" t="s">
        <v>35</v>
      </c>
      <c r="F7569" s="2">
        <v>212901001</v>
      </c>
      <c r="G7569" s="2" t="s">
        <v>91</v>
      </c>
      <c r="I7569" s="95" t="s">
        <v>7231</v>
      </c>
      <c r="J7569" t="s">
        <v>61</v>
      </c>
      <c r="K7569" t="s">
        <v>62</v>
      </c>
      <c r="M7569">
        <v>147.08000000000001</v>
      </c>
      <c r="N7569" s="4">
        <f t="shared" si="118"/>
        <v>-99.095730214849056</v>
      </c>
      <c r="O7569" t="s">
        <v>83</v>
      </c>
    </row>
    <row r="7570" spans="1:15" x14ac:dyDescent="0.25">
      <c r="A7570" s="22">
        <v>45898</v>
      </c>
      <c r="B7570" s="1">
        <v>417524075</v>
      </c>
      <c r="C7570" t="s">
        <v>5838</v>
      </c>
      <c r="D7570" s="44">
        <v>-14575</v>
      </c>
      <c r="E7570" t="s">
        <v>35</v>
      </c>
      <c r="F7570" s="2">
        <v>212901001</v>
      </c>
      <c r="G7570" s="2" t="s">
        <v>91</v>
      </c>
      <c r="I7570" s="95" t="s">
        <v>7231</v>
      </c>
      <c r="J7570" t="s">
        <v>61</v>
      </c>
      <c r="K7570" t="s">
        <v>62</v>
      </c>
      <c r="M7570">
        <v>147.08000000000001</v>
      </c>
      <c r="N7570" s="4">
        <f t="shared" si="118"/>
        <v>-99.095730214849056</v>
      </c>
      <c r="O7570" t="s">
        <v>83</v>
      </c>
    </row>
    <row r="7571" spans="1:15" x14ac:dyDescent="0.25">
      <c r="A7571" s="22">
        <v>45898</v>
      </c>
      <c r="B7571" s="1">
        <v>417524080</v>
      </c>
      <c r="C7571" t="s">
        <v>5839</v>
      </c>
      <c r="D7571" s="44">
        <v>-14575</v>
      </c>
      <c r="E7571" t="s">
        <v>35</v>
      </c>
      <c r="F7571" s="2">
        <v>212901001</v>
      </c>
      <c r="G7571" s="2" t="s">
        <v>91</v>
      </c>
      <c r="I7571" s="95" t="s">
        <v>7231</v>
      </c>
      <c r="J7571" t="s">
        <v>61</v>
      </c>
      <c r="K7571" t="s">
        <v>62</v>
      </c>
      <c r="M7571">
        <v>147.08000000000001</v>
      </c>
      <c r="N7571" s="4">
        <f t="shared" si="118"/>
        <v>-99.095730214849056</v>
      </c>
      <c r="O7571" t="s">
        <v>83</v>
      </c>
    </row>
    <row r="7572" spans="1:15" x14ac:dyDescent="0.25">
      <c r="A7572" s="22">
        <v>45898</v>
      </c>
      <c r="B7572" s="1">
        <v>417524078</v>
      </c>
      <c r="C7572" t="s">
        <v>5840</v>
      </c>
      <c r="D7572" s="44">
        <v>-14575</v>
      </c>
      <c r="E7572" t="s">
        <v>35</v>
      </c>
      <c r="F7572" s="2">
        <v>212901001</v>
      </c>
      <c r="G7572" s="2" t="s">
        <v>91</v>
      </c>
      <c r="I7572" s="95" t="s">
        <v>7231</v>
      </c>
      <c r="J7572" t="s">
        <v>61</v>
      </c>
      <c r="K7572" t="s">
        <v>62</v>
      </c>
      <c r="M7572">
        <v>147.08000000000001</v>
      </c>
      <c r="N7572" s="4">
        <f t="shared" si="118"/>
        <v>-99.095730214849056</v>
      </c>
      <c r="O7572" t="s">
        <v>83</v>
      </c>
    </row>
    <row r="7573" spans="1:15" x14ac:dyDescent="0.25">
      <c r="A7573" s="22">
        <v>45898</v>
      </c>
      <c r="B7573" s="1">
        <v>517524081</v>
      </c>
      <c r="C7573" t="s">
        <v>5841</v>
      </c>
      <c r="D7573" s="44">
        <v>-14575</v>
      </c>
      <c r="E7573" t="s">
        <v>35</v>
      </c>
      <c r="F7573" s="2">
        <v>212901001</v>
      </c>
      <c r="G7573" s="2" t="s">
        <v>91</v>
      </c>
      <c r="I7573" s="95" t="s">
        <v>7231</v>
      </c>
      <c r="J7573" t="s">
        <v>61</v>
      </c>
      <c r="K7573" t="s">
        <v>62</v>
      </c>
      <c r="M7573">
        <v>147.08000000000001</v>
      </c>
      <c r="N7573" s="4">
        <f t="shared" si="118"/>
        <v>-99.095730214849056</v>
      </c>
      <c r="O7573" t="s">
        <v>83</v>
      </c>
    </row>
    <row r="7574" spans="1:15" x14ac:dyDescent="0.25">
      <c r="A7574" s="22">
        <v>45898</v>
      </c>
      <c r="B7574" s="1">
        <v>517524083</v>
      </c>
      <c r="C7574" t="s">
        <v>5842</v>
      </c>
      <c r="D7574" s="44">
        <v>-14575</v>
      </c>
      <c r="E7574" t="s">
        <v>35</v>
      </c>
      <c r="F7574" s="2">
        <v>212901001</v>
      </c>
      <c r="G7574" s="2" t="s">
        <v>91</v>
      </c>
      <c r="I7574" s="95" t="s">
        <v>7231</v>
      </c>
      <c r="J7574" t="s">
        <v>61</v>
      </c>
      <c r="K7574" t="s">
        <v>62</v>
      </c>
      <c r="M7574">
        <v>147.08000000000001</v>
      </c>
      <c r="N7574" s="4">
        <f t="shared" si="118"/>
        <v>-99.095730214849056</v>
      </c>
      <c r="O7574" t="s">
        <v>83</v>
      </c>
    </row>
    <row r="7575" spans="1:15" x14ac:dyDescent="0.25">
      <c r="A7575" s="22">
        <v>45898</v>
      </c>
      <c r="B7575" s="1">
        <v>417524079</v>
      </c>
      <c r="C7575" t="s">
        <v>5843</v>
      </c>
      <c r="D7575" s="44">
        <v>-14575</v>
      </c>
      <c r="E7575" t="s">
        <v>35</v>
      </c>
      <c r="F7575" s="2">
        <v>212901001</v>
      </c>
      <c r="G7575" s="2" t="s">
        <v>91</v>
      </c>
      <c r="I7575" s="95" t="s">
        <v>7231</v>
      </c>
      <c r="J7575" t="s">
        <v>61</v>
      </c>
      <c r="K7575" t="s">
        <v>62</v>
      </c>
      <c r="M7575">
        <v>147.08000000000001</v>
      </c>
      <c r="N7575" s="4">
        <f t="shared" si="118"/>
        <v>-99.095730214849056</v>
      </c>
      <c r="O7575" t="s">
        <v>83</v>
      </c>
    </row>
    <row r="7576" spans="1:15" x14ac:dyDescent="0.25">
      <c r="A7576" s="22">
        <v>45898</v>
      </c>
      <c r="B7576" s="1">
        <v>517524084</v>
      </c>
      <c r="C7576" t="s">
        <v>5844</v>
      </c>
      <c r="D7576" s="44">
        <v>-14575</v>
      </c>
      <c r="E7576" t="s">
        <v>35</v>
      </c>
      <c r="F7576" s="2">
        <v>212901001</v>
      </c>
      <c r="G7576" s="2" t="s">
        <v>91</v>
      </c>
      <c r="I7576" s="95" t="s">
        <v>7231</v>
      </c>
      <c r="J7576" t="s">
        <v>61</v>
      </c>
      <c r="K7576" t="s">
        <v>62</v>
      </c>
      <c r="M7576">
        <v>147.08000000000001</v>
      </c>
      <c r="N7576" s="4">
        <f t="shared" si="118"/>
        <v>-99.095730214849056</v>
      </c>
      <c r="O7576" t="s">
        <v>83</v>
      </c>
    </row>
    <row r="7577" spans="1:15" x14ac:dyDescent="0.25">
      <c r="A7577" s="22">
        <v>45898</v>
      </c>
      <c r="B7577" s="1">
        <v>517524085</v>
      </c>
      <c r="C7577" t="s">
        <v>5845</v>
      </c>
      <c r="D7577" s="44">
        <v>-14575</v>
      </c>
      <c r="E7577" t="s">
        <v>35</v>
      </c>
      <c r="F7577" s="2">
        <v>212901001</v>
      </c>
      <c r="G7577" s="2" t="s">
        <v>91</v>
      </c>
      <c r="I7577" s="95" t="s">
        <v>7231</v>
      </c>
      <c r="J7577" t="s">
        <v>61</v>
      </c>
      <c r="K7577" t="s">
        <v>62</v>
      </c>
      <c r="M7577">
        <v>147.08000000000001</v>
      </c>
      <c r="N7577" s="4">
        <f t="shared" si="118"/>
        <v>-99.095730214849056</v>
      </c>
      <c r="O7577" t="s">
        <v>83</v>
      </c>
    </row>
    <row r="7578" spans="1:15" x14ac:dyDescent="0.25">
      <c r="A7578" s="22">
        <v>45898</v>
      </c>
      <c r="B7578" s="1">
        <v>517524082</v>
      </c>
      <c r="C7578" t="s">
        <v>5846</v>
      </c>
      <c r="D7578" s="44">
        <v>-14575</v>
      </c>
      <c r="E7578" t="s">
        <v>35</v>
      </c>
      <c r="F7578" s="2">
        <v>212901001</v>
      </c>
      <c r="G7578" s="2" t="s">
        <v>91</v>
      </c>
      <c r="I7578" s="95" t="s">
        <v>7231</v>
      </c>
      <c r="J7578" t="s">
        <v>61</v>
      </c>
      <c r="K7578" t="s">
        <v>62</v>
      </c>
      <c r="M7578">
        <v>147.08000000000001</v>
      </c>
      <c r="N7578" s="4">
        <f t="shared" si="118"/>
        <v>-99.095730214849056</v>
      </c>
      <c r="O7578" t="s">
        <v>83</v>
      </c>
    </row>
    <row r="7579" spans="1:15" x14ac:dyDescent="0.25">
      <c r="A7579" s="22">
        <v>45898</v>
      </c>
      <c r="B7579" s="1">
        <v>617524090</v>
      </c>
      <c r="C7579" t="s">
        <v>5847</v>
      </c>
      <c r="D7579" s="44">
        <v>-17490</v>
      </c>
      <c r="E7579" t="s">
        <v>35</v>
      </c>
      <c r="F7579" s="2">
        <v>212901001</v>
      </c>
      <c r="G7579" s="2" t="s">
        <v>91</v>
      </c>
      <c r="I7579" s="95" t="s">
        <v>7231</v>
      </c>
      <c r="J7579" t="s">
        <v>61</v>
      </c>
      <c r="K7579" t="s">
        <v>62</v>
      </c>
      <c r="M7579">
        <v>147.08000000000001</v>
      </c>
      <c r="N7579" s="4">
        <f t="shared" si="118"/>
        <v>-118.91487625781886</v>
      </c>
      <c r="O7579" t="s">
        <v>83</v>
      </c>
    </row>
    <row r="7580" spans="1:15" x14ac:dyDescent="0.25">
      <c r="A7580" s="22">
        <v>45898</v>
      </c>
      <c r="B7580" s="1">
        <v>617524092</v>
      </c>
      <c r="C7580" t="s">
        <v>5848</v>
      </c>
      <c r="D7580" s="44">
        <v>-17490</v>
      </c>
      <c r="E7580" t="s">
        <v>35</v>
      </c>
      <c r="F7580" s="2">
        <v>212901001</v>
      </c>
      <c r="G7580" s="2" t="s">
        <v>91</v>
      </c>
      <c r="I7580" s="95" t="s">
        <v>7231</v>
      </c>
      <c r="J7580" t="s">
        <v>61</v>
      </c>
      <c r="K7580" t="s">
        <v>62</v>
      </c>
      <c r="M7580">
        <v>147.08000000000001</v>
      </c>
      <c r="N7580" s="4">
        <f t="shared" si="118"/>
        <v>-118.91487625781886</v>
      </c>
      <c r="O7580" t="s">
        <v>83</v>
      </c>
    </row>
    <row r="7581" spans="1:15" x14ac:dyDescent="0.25">
      <c r="A7581" s="22">
        <v>45898</v>
      </c>
      <c r="B7581" s="1">
        <v>617524091</v>
      </c>
      <c r="C7581" t="s">
        <v>5849</v>
      </c>
      <c r="D7581" s="44">
        <v>-17490</v>
      </c>
      <c r="E7581" t="s">
        <v>35</v>
      </c>
      <c r="F7581" s="2">
        <v>212901001</v>
      </c>
      <c r="G7581" s="2" t="s">
        <v>91</v>
      </c>
      <c r="I7581" s="95" t="s">
        <v>7231</v>
      </c>
      <c r="J7581" t="s">
        <v>61</v>
      </c>
      <c r="K7581" t="s">
        <v>62</v>
      </c>
      <c r="M7581">
        <v>147.08000000000001</v>
      </c>
      <c r="N7581" s="4">
        <f t="shared" si="118"/>
        <v>-118.91487625781886</v>
      </c>
      <c r="O7581" t="s">
        <v>83</v>
      </c>
    </row>
    <row r="7582" spans="1:15" x14ac:dyDescent="0.25">
      <c r="A7582" s="22">
        <v>45898</v>
      </c>
      <c r="B7582" s="1">
        <v>517524086</v>
      </c>
      <c r="C7582" t="s">
        <v>5850</v>
      </c>
      <c r="D7582" s="44">
        <v>-27692.5</v>
      </c>
      <c r="E7582" t="s">
        <v>35</v>
      </c>
      <c r="F7582" s="2">
        <v>212901001</v>
      </c>
      <c r="G7582" s="2" t="s">
        <v>91</v>
      </c>
      <c r="I7582" s="95" t="s">
        <v>7231</v>
      </c>
      <c r="J7582" t="s">
        <v>61</v>
      </c>
      <c r="K7582" t="s">
        <v>62</v>
      </c>
      <c r="M7582">
        <v>147.08000000000001</v>
      </c>
      <c r="N7582" s="4">
        <f t="shared" si="118"/>
        <v>-188.28188740821321</v>
      </c>
      <c r="O7582" t="s">
        <v>83</v>
      </c>
    </row>
    <row r="7583" spans="1:15" x14ac:dyDescent="0.25">
      <c r="A7583" s="22">
        <v>45898</v>
      </c>
      <c r="B7583" s="1">
        <v>617524093</v>
      </c>
      <c r="C7583" t="s">
        <v>5851</v>
      </c>
      <c r="D7583" s="44">
        <v>-17490</v>
      </c>
      <c r="E7583" t="s">
        <v>35</v>
      </c>
      <c r="F7583" s="2">
        <v>212901001</v>
      </c>
      <c r="G7583" s="2" t="s">
        <v>91</v>
      </c>
      <c r="I7583" s="95" t="s">
        <v>7231</v>
      </c>
      <c r="J7583" t="s">
        <v>61</v>
      </c>
      <c r="K7583" t="s">
        <v>62</v>
      </c>
      <c r="M7583">
        <v>147.08000000000001</v>
      </c>
      <c r="N7583" s="4">
        <f t="shared" si="118"/>
        <v>-118.91487625781886</v>
      </c>
      <c r="O7583" t="s">
        <v>83</v>
      </c>
    </row>
    <row r="7584" spans="1:15" x14ac:dyDescent="0.25">
      <c r="A7584" s="22">
        <v>45898</v>
      </c>
      <c r="B7584" s="1">
        <v>517524089</v>
      </c>
      <c r="C7584" t="s">
        <v>5852</v>
      </c>
      <c r="D7584" s="44">
        <v>-17490</v>
      </c>
      <c r="E7584" t="s">
        <v>35</v>
      </c>
      <c r="F7584" s="2">
        <v>212901001</v>
      </c>
      <c r="G7584" s="2" t="s">
        <v>91</v>
      </c>
      <c r="I7584" s="95" t="s">
        <v>7231</v>
      </c>
      <c r="J7584" t="s">
        <v>61</v>
      </c>
      <c r="K7584" t="s">
        <v>62</v>
      </c>
      <c r="M7584">
        <v>147.08000000000001</v>
      </c>
      <c r="N7584" s="4">
        <f t="shared" si="118"/>
        <v>-118.91487625781886</v>
      </c>
      <c r="O7584" t="s">
        <v>83</v>
      </c>
    </row>
    <row r="7585" spans="1:15" x14ac:dyDescent="0.25">
      <c r="A7585" s="22">
        <v>45898</v>
      </c>
      <c r="B7585" s="1">
        <v>517524087</v>
      </c>
      <c r="C7585" t="s">
        <v>5853</v>
      </c>
      <c r="D7585" s="44">
        <v>-20405</v>
      </c>
      <c r="E7585" t="s">
        <v>35</v>
      </c>
      <c r="F7585" s="2">
        <v>212901001</v>
      </c>
      <c r="G7585" s="2" t="s">
        <v>91</v>
      </c>
      <c r="I7585" s="95" t="s">
        <v>7231</v>
      </c>
      <c r="J7585" t="s">
        <v>61</v>
      </c>
      <c r="K7585" t="s">
        <v>62</v>
      </c>
      <c r="M7585">
        <v>147.08000000000001</v>
      </c>
      <c r="N7585" s="4">
        <f t="shared" si="118"/>
        <v>-138.73402230078867</v>
      </c>
      <c r="O7585" t="s">
        <v>83</v>
      </c>
    </row>
    <row r="7586" spans="1:15" x14ac:dyDescent="0.25">
      <c r="A7586" s="22">
        <v>45898</v>
      </c>
      <c r="B7586" s="1">
        <v>617524094</v>
      </c>
      <c r="C7586" t="s">
        <v>5854</v>
      </c>
      <c r="D7586" s="44">
        <v>-17490</v>
      </c>
      <c r="E7586" t="s">
        <v>35</v>
      </c>
      <c r="F7586" s="2">
        <v>212901001</v>
      </c>
      <c r="G7586" s="2" t="s">
        <v>91</v>
      </c>
      <c r="I7586" s="95" t="s">
        <v>7231</v>
      </c>
      <c r="J7586" t="s">
        <v>61</v>
      </c>
      <c r="K7586" t="s">
        <v>62</v>
      </c>
      <c r="M7586">
        <v>147.08000000000001</v>
      </c>
      <c r="N7586" s="4">
        <f t="shared" si="118"/>
        <v>-118.91487625781886</v>
      </c>
      <c r="O7586" t="s">
        <v>83</v>
      </c>
    </row>
    <row r="7587" spans="1:15" x14ac:dyDescent="0.25">
      <c r="A7587" s="22">
        <v>45898</v>
      </c>
      <c r="B7587" s="1">
        <v>617524095</v>
      </c>
      <c r="C7587" t="s">
        <v>5855</v>
      </c>
      <c r="D7587" s="44">
        <v>-13117.5</v>
      </c>
      <c r="E7587" t="s">
        <v>35</v>
      </c>
      <c r="F7587" s="2">
        <v>212901001</v>
      </c>
      <c r="G7587" s="2" t="s">
        <v>91</v>
      </c>
      <c r="I7587" s="95" t="s">
        <v>7231</v>
      </c>
      <c r="J7587" t="s">
        <v>61</v>
      </c>
      <c r="K7587" t="s">
        <v>62</v>
      </c>
      <c r="M7587">
        <v>147.08000000000001</v>
      </c>
      <c r="N7587" s="4">
        <f t="shared" si="118"/>
        <v>-89.186157193364153</v>
      </c>
      <c r="O7587" t="s">
        <v>83</v>
      </c>
    </row>
    <row r="7588" spans="1:15" x14ac:dyDescent="0.25">
      <c r="A7588" s="22">
        <v>45898</v>
      </c>
      <c r="B7588" s="1">
        <v>717524100</v>
      </c>
      <c r="C7588" t="s">
        <v>5856</v>
      </c>
      <c r="D7588" s="44">
        <v>-13117.5</v>
      </c>
      <c r="E7588" t="s">
        <v>35</v>
      </c>
      <c r="F7588" s="2">
        <v>212901001</v>
      </c>
      <c r="G7588" s="2" t="s">
        <v>91</v>
      </c>
      <c r="I7588" s="95" t="s">
        <v>7231</v>
      </c>
      <c r="J7588" t="s">
        <v>61</v>
      </c>
      <c r="K7588" t="s">
        <v>62</v>
      </c>
      <c r="M7588">
        <v>147.08000000000001</v>
      </c>
      <c r="N7588" s="4">
        <f t="shared" si="118"/>
        <v>-89.186157193364153</v>
      </c>
      <c r="O7588" t="s">
        <v>83</v>
      </c>
    </row>
    <row r="7589" spans="1:15" x14ac:dyDescent="0.25">
      <c r="A7589" s="22">
        <v>45898</v>
      </c>
      <c r="B7589" s="1">
        <v>617524097</v>
      </c>
      <c r="C7589" t="s">
        <v>5857</v>
      </c>
      <c r="D7589" s="44">
        <v>-13117.5</v>
      </c>
      <c r="E7589" t="s">
        <v>35</v>
      </c>
      <c r="F7589" s="2">
        <v>212901001</v>
      </c>
      <c r="G7589" s="2" t="s">
        <v>91</v>
      </c>
      <c r="I7589" s="95" t="s">
        <v>7231</v>
      </c>
      <c r="J7589" t="s">
        <v>61</v>
      </c>
      <c r="K7589" t="s">
        <v>62</v>
      </c>
      <c r="M7589">
        <v>147.08000000000001</v>
      </c>
      <c r="N7589" s="4">
        <f t="shared" si="118"/>
        <v>-89.186157193364153</v>
      </c>
      <c r="O7589" t="s">
        <v>83</v>
      </c>
    </row>
    <row r="7590" spans="1:15" x14ac:dyDescent="0.25">
      <c r="A7590" s="22">
        <v>45898</v>
      </c>
      <c r="B7590" s="1">
        <v>717524098</v>
      </c>
      <c r="C7590" t="s">
        <v>5858</v>
      </c>
      <c r="D7590" s="44">
        <v>-13117.5</v>
      </c>
      <c r="E7590" t="s">
        <v>35</v>
      </c>
      <c r="F7590" s="2">
        <v>212901001</v>
      </c>
      <c r="G7590" s="2" t="s">
        <v>91</v>
      </c>
      <c r="I7590" s="95" t="s">
        <v>7231</v>
      </c>
      <c r="J7590" t="s">
        <v>61</v>
      </c>
      <c r="K7590" t="s">
        <v>62</v>
      </c>
      <c r="M7590">
        <v>147.08000000000001</v>
      </c>
      <c r="N7590" s="4">
        <f t="shared" si="118"/>
        <v>-89.186157193364153</v>
      </c>
      <c r="O7590" t="s">
        <v>83</v>
      </c>
    </row>
    <row r="7591" spans="1:15" x14ac:dyDescent="0.25">
      <c r="A7591" s="22">
        <v>45898</v>
      </c>
      <c r="B7591" s="1">
        <v>717524101</v>
      </c>
      <c r="C7591" t="s">
        <v>5859</v>
      </c>
      <c r="D7591" s="44">
        <v>-13117.5</v>
      </c>
      <c r="E7591" t="s">
        <v>35</v>
      </c>
      <c r="F7591" s="2">
        <v>212901001</v>
      </c>
      <c r="G7591" s="2" t="s">
        <v>91</v>
      </c>
      <c r="I7591" s="95" t="s">
        <v>7231</v>
      </c>
      <c r="J7591" t="s">
        <v>61</v>
      </c>
      <c r="K7591" t="s">
        <v>62</v>
      </c>
      <c r="M7591">
        <v>147.08000000000001</v>
      </c>
      <c r="N7591" s="4">
        <f t="shared" si="118"/>
        <v>-89.186157193364153</v>
      </c>
      <c r="O7591" t="s">
        <v>83</v>
      </c>
    </row>
    <row r="7592" spans="1:15" x14ac:dyDescent="0.25">
      <c r="A7592" s="22">
        <v>45898</v>
      </c>
      <c r="B7592" s="1">
        <v>717524103</v>
      </c>
      <c r="C7592" t="s">
        <v>5860</v>
      </c>
      <c r="D7592" s="44">
        <v>-11660</v>
      </c>
      <c r="E7592" t="s">
        <v>35</v>
      </c>
      <c r="F7592" s="2">
        <v>212901001</v>
      </c>
      <c r="G7592" s="2" t="s">
        <v>91</v>
      </c>
      <c r="I7592" s="95" t="s">
        <v>7231</v>
      </c>
      <c r="J7592" t="s">
        <v>61</v>
      </c>
      <c r="K7592" t="s">
        <v>62</v>
      </c>
      <c r="M7592">
        <v>147.08000000000001</v>
      </c>
      <c r="N7592" s="4">
        <f t="shared" si="118"/>
        <v>-79.276584171879236</v>
      </c>
      <c r="O7592" t="s">
        <v>83</v>
      </c>
    </row>
    <row r="7593" spans="1:15" x14ac:dyDescent="0.25">
      <c r="A7593" s="22">
        <v>45898</v>
      </c>
      <c r="B7593" s="1">
        <v>717524105</v>
      </c>
      <c r="C7593" t="s">
        <v>5861</v>
      </c>
      <c r="D7593" s="44">
        <v>-11660</v>
      </c>
      <c r="E7593" t="s">
        <v>35</v>
      </c>
      <c r="F7593" s="2">
        <v>212901001</v>
      </c>
      <c r="G7593" s="2" t="s">
        <v>91</v>
      </c>
      <c r="I7593" s="95" t="s">
        <v>7231</v>
      </c>
      <c r="J7593" t="s">
        <v>61</v>
      </c>
      <c r="K7593" t="s">
        <v>62</v>
      </c>
      <c r="M7593">
        <v>147.08000000000001</v>
      </c>
      <c r="N7593" s="4">
        <f t="shared" si="118"/>
        <v>-79.276584171879236</v>
      </c>
      <c r="O7593" t="s">
        <v>83</v>
      </c>
    </row>
    <row r="7594" spans="1:15" x14ac:dyDescent="0.25">
      <c r="A7594" s="22">
        <v>45898</v>
      </c>
      <c r="B7594" s="1">
        <v>617524096</v>
      </c>
      <c r="C7594" t="s">
        <v>5862</v>
      </c>
      <c r="D7594" s="44">
        <v>-11951.5</v>
      </c>
      <c r="E7594" t="s">
        <v>35</v>
      </c>
      <c r="F7594" s="2">
        <v>212901001</v>
      </c>
      <c r="G7594" s="2" t="s">
        <v>91</v>
      </c>
      <c r="I7594" s="95" t="s">
        <v>7231</v>
      </c>
      <c r="J7594" t="s">
        <v>61</v>
      </c>
      <c r="K7594" t="s">
        <v>62</v>
      </c>
      <c r="M7594">
        <v>147.08000000000001</v>
      </c>
      <c r="N7594" s="4">
        <f t="shared" si="118"/>
        <v>-81.258498776176225</v>
      </c>
      <c r="O7594" t="s">
        <v>83</v>
      </c>
    </row>
    <row r="7595" spans="1:15" x14ac:dyDescent="0.25">
      <c r="A7595" s="22">
        <v>45898</v>
      </c>
      <c r="B7595" s="1">
        <v>717524107</v>
      </c>
      <c r="C7595" t="s">
        <v>5863</v>
      </c>
      <c r="D7595" s="44">
        <v>-11660</v>
      </c>
      <c r="E7595" t="s">
        <v>35</v>
      </c>
      <c r="F7595" s="2">
        <v>212901001</v>
      </c>
      <c r="G7595" s="2" t="s">
        <v>91</v>
      </c>
      <c r="I7595" s="95" t="s">
        <v>7231</v>
      </c>
      <c r="J7595" t="s">
        <v>61</v>
      </c>
      <c r="K7595" t="s">
        <v>62</v>
      </c>
      <c r="M7595">
        <v>147.08000000000001</v>
      </c>
      <c r="N7595" s="4">
        <f t="shared" si="118"/>
        <v>-79.276584171879236</v>
      </c>
      <c r="O7595" t="s">
        <v>83</v>
      </c>
    </row>
    <row r="7596" spans="1:15" x14ac:dyDescent="0.25">
      <c r="A7596" s="22">
        <v>45898</v>
      </c>
      <c r="B7596" s="1">
        <v>717524104</v>
      </c>
      <c r="C7596" t="s">
        <v>5864</v>
      </c>
      <c r="D7596" s="44">
        <v>-11660</v>
      </c>
      <c r="E7596" t="s">
        <v>35</v>
      </c>
      <c r="F7596" s="2">
        <v>212901001</v>
      </c>
      <c r="G7596" s="2" t="s">
        <v>91</v>
      </c>
      <c r="I7596" s="95" t="s">
        <v>7231</v>
      </c>
      <c r="J7596" t="s">
        <v>61</v>
      </c>
      <c r="K7596" t="s">
        <v>62</v>
      </c>
      <c r="M7596">
        <v>147.08000000000001</v>
      </c>
      <c r="N7596" s="4">
        <f t="shared" si="118"/>
        <v>-79.276584171879236</v>
      </c>
      <c r="O7596" t="s">
        <v>83</v>
      </c>
    </row>
    <row r="7597" spans="1:15" x14ac:dyDescent="0.25">
      <c r="A7597" s="22">
        <v>45898</v>
      </c>
      <c r="B7597" s="1">
        <v>717524108</v>
      </c>
      <c r="C7597" t="s">
        <v>5865</v>
      </c>
      <c r="D7597" s="44">
        <v>-11660</v>
      </c>
      <c r="E7597" t="s">
        <v>35</v>
      </c>
      <c r="F7597" s="2">
        <v>212901001</v>
      </c>
      <c r="G7597" s="2" t="s">
        <v>91</v>
      </c>
      <c r="I7597" s="95" t="s">
        <v>7231</v>
      </c>
      <c r="J7597" t="s">
        <v>61</v>
      </c>
      <c r="K7597" t="s">
        <v>62</v>
      </c>
      <c r="M7597">
        <v>147.08000000000001</v>
      </c>
      <c r="N7597" s="4">
        <f t="shared" si="118"/>
        <v>-79.276584171879236</v>
      </c>
      <c r="O7597" t="s">
        <v>83</v>
      </c>
    </row>
    <row r="7598" spans="1:15" x14ac:dyDescent="0.25">
      <c r="A7598" s="22">
        <v>45898</v>
      </c>
      <c r="B7598" s="1">
        <v>717524111</v>
      </c>
      <c r="C7598" t="s">
        <v>5866</v>
      </c>
      <c r="D7598" s="44">
        <v>-11660</v>
      </c>
      <c r="E7598" t="s">
        <v>35</v>
      </c>
      <c r="F7598" s="2">
        <v>212901001</v>
      </c>
      <c r="G7598" s="2" t="s">
        <v>91</v>
      </c>
      <c r="I7598" s="95" t="s">
        <v>7231</v>
      </c>
      <c r="J7598" t="s">
        <v>61</v>
      </c>
      <c r="K7598" t="s">
        <v>62</v>
      </c>
      <c r="M7598">
        <v>147.08000000000001</v>
      </c>
      <c r="N7598" s="4">
        <f t="shared" si="118"/>
        <v>-79.276584171879236</v>
      </c>
      <c r="O7598" t="s">
        <v>83</v>
      </c>
    </row>
    <row r="7599" spans="1:15" x14ac:dyDescent="0.25">
      <c r="A7599" s="22">
        <v>45898</v>
      </c>
      <c r="B7599" s="1">
        <v>817524114</v>
      </c>
      <c r="C7599" t="s">
        <v>5867</v>
      </c>
      <c r="D7599" s="44">
        <v>-20405</v>
      </c>
      <c r="E7599" t="s">
        <v>35</v>
      </c>
      <c r="F7599" s="2">
        <v>212901001</v>
      </c>
      <c r="G7599" s="2" t="s">
        <v>91</v>
      </c>
      <c r="I7599" s="95" t="s">
        <v>7231</v>
      </c>
      <c r="J7599" t="s">
        <v>61</v>
      </c>
      <c r="K7599" t="s">
        <v>62</v>
      </c>
      <c r="M7599">
        <v>147.08000000000001</v>
      </c>
      <c r="N7599" s="4">
        <f t="shared" si="118"/>
        <v>-138.73402230078867</v>
      </c>
      <c r="O7599" t="s">
        <v>83</v>
      </c>
    </row>
    <row r="7600" spans="1:15" x14ac:dyDescent="0.25">
      <c r="A7600" s="22">
        <v>45898</v>
      </c>
      <c r="B7600" s="1">
        <v>817524112</v>
      </c>
      <c r="C7600" t="s">
        <v>5868</v>
      </c>
      <c r="D7600" s="44">
        <v>-11660</v>
      </c>
      <c r="E7600" t="s">
        <v>35</v>
      </c>
      <c r="F7600" s="2">
        <v>212901001</v>
      </c>
      <c r="G7600" s="2" t="s">
        <v>91</v>
      </c>
      <c r="I7600" s="95" t="s">
        <v>7231</v>
      </c>
      <c r="J7600" t="s">
        <v>61</v>
      </c>
      <c r="K7600" t="s">
        <v>62</v>
      </c>
      <c r="M7600">
        <v>147.08000000000001</v>
      </c>
      <c r="N7600" s="4">
        <f t="shared" si="118"/>
        <v>-79.276584171879236</v>
      </c>
      <c r="O7600" t="s">
        <v>83</v>
      </c>
    </row>
    <row r="7601" spans="1:15" x14ac:dyDescent="0.25">
      <c r="A7601" s="22">
        <v>45898</v>
      </c>
      <c r="B7601" s="1">
        <v>817524116</v>
      </c>
      <c r="C7601" t="s">
        <v>5869</v>
      </c>
      <c r="D7601" s="44">
        <v>-27692.5</v>
      </c>
      <c r="E7601" t="s">
        <v>35</v>
      </c>
      <c r="F7601" s="2">
        <v>212901001</v>
      </c>
      <c r="G7601" s="2" t="s">
        <v>91</v>
      </c>
      <c r="I7601" s="95" t="s">
        <v>7231</v>
      </c>
      <c r="J7601" t="s">
        <v>61</v>
      </c>
      <c r="K7601" t="s">
        <v>62</v>
      </c>
      <c r="M7601">
        <v>147.08000000000001</v>
      </c>
      <c r="N7601" s="4">
        <f t="shared" si="118"/>
        <v>-188.28188740821321</v>
      </c>
      <c r="O7601" t="s">
        <v>83</v>
      </c>
    </row>
    <row r="7602" spans="1:15" x14ac:dyDescent="0.25">
      <c r="A7602" s="22">
        <v>45898</v>
      </c>
      <c r="B7602" s="1">
        <v>817524113</v>
      </c>
      <c r="C7602" t="s">
        <v>5870</v>
      </c>
      <c r="D7602" s="44">
        <v>-14575</v>
      </c>
      <c r="E7602" t="s">
        <v>35</v>
      </c>
      <c r="F7602" s="2">
        <v>212901001</v>
      </c>
      <c r="G7602" s="2" t="s">
        <v>91</v>
      </c>
      <c r="I7602" s="95" t="s">
        <v>7231</v>
      </c>
      <c r="J7602" t="s">
        <v>61</v>
      </c>
      <c r="K7602" t="s">
        <v>62</v>
      </c>
      <c r="M7602">
        <v>147.08000000000001</v>
      </c>
      <c r="N7602" s="4">
        <f t="shared" si="118"/>
        <v>-99.095730214849056</v>
      </c>
      <c r="O7602" t="s">
        <v>83</v>
      </c>
    </row>
    <row r="7603" spans="1:15" x14ac:dyDescent="0.25">
      <c r="A7603" s="22">
        <v>45898</v>
      </c>
      <c r="B7603" s="1">
        <v>817524121</v>
      </c>
      <c r="C7603" t="s">
        <v>5871</v>
      </c>
      <c r="D7603" s="44">
        <v>-20405</v>
      </c>
      <c r="E7603" t="s">
        <v>35</v>
      </c>
      <c r="F7603" s="2">
        <v>212901001</v>
      </c>
      <c r="G7603" s="2" t="s">
        <v>91</v>
      </c>
      <c r="I7603" s="95" t="s">
        <v>7231</v>
      </c>
      <c r="J7603" t="s">
        <v>61</v>
      </c>
      <c r="K7603" t="s">
        <v>62</v>
      </c>
      <c r="M7603">
        <v>147.08000000000001</v>
      </c>
      <c r="N7603" s="4">
        <f t="shared" si="118"/>
        <v>-138.73402230078867</v>
      </c>
      <c r="O7603" t="s">
        <v>83</v>
      </c>
    </row>
    <row r="7604" spans="1:15" x14ac:dyDescent="0.25">
      <c r="A7604" s="22">
        <v>45898</v>
      </c>
      <c r="B7604" s="1">
        <v>817524117</v>
      </c>
      <c r="C7604" t="s">
        <v>5872</v>
      </c>
      <c r="D7604" s="44">
        <v>-21862.5</v>
      </c>
      <c r="E7604" t="s">
        <v>35</v>
      </c>
      <c r="F7604" s="2">
        <v>212901001</v>
      </c>
      <c r="G7604" s="2" t="s">
        <v>91</v>
      </c>
      <c r="I7604" s="95" t="s">
        <v>7231</v>
      </c>
      <c r="J7604" t="s">
        <v>61</v>
      </c>
      <c r="K7604" t="s">
        <v>62</v>
      </c>
      <c r="M7604">
        <v>147.08000000000001</v>
      </c>
      <c r="N7604" s="4">
        <f t="shared" si="118"/>
        <v>-148.64359532227357</v>
      </c>
      <c r="O7604" t="s">
        <v>83</v>
      </c>
    </row>
    <row r="7605" spans="1:15" x14ac:dyDescent="0.25">
      <c r="A7605" s="22">
        <v>45898</v>
      </c>
      <c r="B7605" s="1">
        <v>817524120</v>
      </c>
      <c r="C7605" t="s">
        <v>5873</v>
      </c>
      <c r="D7605" s="44">
        <v>-17490</v>
      </c>
      <c r="E7605" t="s">
        <v>35</v>
      </c>
      <c r="F7605" s="2">
        <v>212901001</v>
      </c>
      <c r="G7605" s="2" t="s">
        <v>91</v>
      </c>
      <c r="I7605" s="95" t="s">
        <v>7231</v>
      </c>
      <c r="J7605" t="s">
        <v>61</v>
      </c>
      <c r="K7605" t="s">
        <v>62</v>
      </c>
      <c r="M7605">
        <v>147.08000000000001</v>
      </c>
      <c r="N7605" s="4">
        <f t="shared" si="118"/>
        <v>-118.91487625781886</v>
      </c>
      <c r="O7605" t="s">
        <v>83</v>
      </c>
    </row>
    <row r="7606" spans="1:15" x14ac:dyDescent="0.25">
      <c r="A7606" s="22">
        <v>45898</v>
      </c>
      <c r="B7606" s="1">
        <v>917524122</v>
      </c>
      <c r="C7606" t="s">
        <v>5874</v>
      </c>
      <c r="D7606" s="44">
        <v>-16032.5</v>
      </c>
      <c r="E7606" t="s">
        <v>35</v>
      </c>
      <c r="F7606" s="2">
        <v>212901001</v>
      </c>
      <c r="G7606" s="2" t="s">
        <v>91</v>
      </c>
      <c r="I7606" s="95" t="s">
        <v>7231</v>
      </c>
      <c r="J7606" t="s">
        <v>61</v>
      </c>
      <c r="K7606" t="s">
        <v>62</v>
      </c>
      <c r="M7606">
        <v>147.08000000000001</v>
      </c>
      <c r="N7606" s="4">
        <f t="shared" si="118"/>
        <v>-109.00530323633396</v>
      </c>
      <c r="O7606" t="s">
        <v>83</v>
      </c>
    </row>
    <row r="7607" spans="1:15" x14ac:dyDescent="0.25">
      <c r="A7607" s="22">
        <v>45898</v>
      </c>
      <c r="B7607" s="1">
        <v>917524123</v>
      </c>
      <c r="C7607" t="s">
        <v>5875</v>
      </c>
      <c r="D7607" s="44">
        <v>-16032.5</v>
      </c>
      <c r="E7607" t="s">
        <v>35</v>
      </c>
      <c r="F7607" s="2">
        <v>212901001</v>
      </c>
      <c r="G7607" s="2" t="s">
        <v>91</v>
      </c>
      <c r="I7607" s="95" t="s">
        <v>7231</v>
      </c>
      <c r="J7607" t="s">
        <v>61</v>
      </c>
      <c r="K7607" t="s">
        <v>62</v>
      </c>
      <c r="M7607">
        <v>147.08000000000001</v>
      </c>
      <c r="N7607" s="4">
        <f t="shared" si="118"/>
        <v>-109.00530323633396</v>
      </c>
      <c r="O7607" t="s">
        <v>83</v>
      </c>
    </row>
    <row r="7608" spans="1:15" x14ac:dyDescent="0.25">
      <c r="A7608" s="22">
        <v>45898</v>
      </c>
      <c r="B7608" s="1">
        <v>917524127</v>
      </c>
      <c r="C7608" t="s">
        <v>5876</v>
      </c>
      <c r="D7608" s="44">
        <v>-13117.5</v>
      </c>
      <c r="E7608" t="s">
        <v>35</v>
      </c>
      <c r="F7608" s="2">
        <v>212901001</v>
      </c>
      <c r="G7608" s="2" t="s">
        <v>91</v>
      </c>
      <c r="I7608" s="95" t="s">
        <v>7231</v>
      </c>
      <c r="J7608" t="s">
        <v>61</v>
      </c>
      <c r="K7608" t="s">
        <v>62</v>
      </c>
      <c r="M7608">
        <v>147.08000000000001</v>
      </c>
      <c r="N7608" s="4">
        <f t="shared" si="118"/>
        <v>-89.186157193364153</v>
      </c>
      <c r="O7608" t="s">
        <v>83</v>
      </c>
    </row>
    <row r="7609" spans="1:15" x14ac:dyDescent="0.25">
      <c r="A7609" s="22">
        <v>45898</v>
      </c>
      <c r="B7609" s="1">
        <v>917524128</v>
      </c>
      <c r="C7609" t="s">
        <v>5877</v>
      </c>
      <c r="D7609" s="44">
        <v>-13117.5</v>
      </c>
      <c r="E7609" t="s">
        <v>35</v>
      </c>
      <c r="F7609" s="2">
        <v>212901001</v>
      </c>
      <c r="G7609" s="2" t="s">
        <v>91</v>
      </c>
      <c r="I7609" s="95" t="s">
        <v>7231</v>
      </c>
      <c r="J7609" t="s">
        <v>61</v>
      </c>
      <c r="K7609" t="s">
        <v>62</v>
      </c>
      <c r="M7609">
        <v>147.08000000000001</v>
      </c>
      <c r="N7609" s="4">
        <f t="shared" si="118"/>
        <v>-89.186157193364153</v>
      </c>
      <c r="O7609" t="s">
        <v>83</v>
      </c>
    </row>
    <row r="7610" spans="1:15" x14ac:dyDescent="0.25">
      <c r="A7610" s="22">
        <v>45898</v>
      </c>
      <c r="B7610" s="1">
        <v>917524125</v>
      </c>
      <c r="C7610" t="s">
        <v>5878</v>
      </c>
      <c r="D7610" s="44">
        <v>-13117.5</v>
      </c>
      <c r="E7610" t="s">
        <v>35</v>
      </c>
      <c r="F7610" s="2">
        <v>212901001</v>
      </c>
      <c r="G7610" s="2" t="s">
        <v>91</v>
      </c>
      <c r="I7610" s="95" t="s">
        <v>7231</v>
      </c>
      <c r="J7610" t="s">
        <v>61</v>
      </c>
      <c r="K7610" t="s">
        <v>62</v>
      </c>
      <c r="M7610">
        <v>147.08000000000001</v>
      </c>
      <c r="N7610" s="4">
        <f t="shared" si="118"/>
        <v>-89.186157193364153</v>
      </c>
      <c r="O7610" t="s">
        <v>83</v>
      </c>
    </row>
    <row r="7611" spans="1:15" x14ac:dyDescent="0.25">
      <c r="A7611" s="22">
        <v>45898</v>
      </c>
      <c r="B7611" s="1">
        <v>17524133</v>
      </c>
      <c r="C7611" t="s">
        <v>5879</v>
      </c>
      <c r="D7611" s="44">
        <v>-13117.5</v>
      </c>
      <c r="E7611" t="s">
        <v>35</v>
      </c>
      <c r="F7611" s="2">
        <v>212901001</v>
      </c>
      <c r="G7611" s="2" t="s">
        <v>91</v>
      </c>
      <c r="I7611" s="95" t="s">
        <v>7231</v>
      </c>
      <c r="J7611" t="s">
        <v>61</v>
      </c>
      <c r="K7611" t="s">
        <v>62</v>
      </c>
      <c r="M7611">
        <v>147.08000000000001</v>
      </c>
      <c r="N7611" s="4">
        <f t="shared" si="118"/>
        <v>-89.186157193364153</v>
      </c>
      <c r="O7611" t="s">
        <v>83</v>
      </c>
    </row>
    <row r="7612" spans="1:15" x14ac:dyDescent="0.25">
      <c r="A7612" s="22">
        <v>45898</v>
      </c>
      <c r="B7612" s="1">
        <v>17524132</v>
      </c>
      <c r="C7612" t="s">
        <v>5880</v>
      </c>
      <c r="D7612" s="44">
        <v>-13117.5</v>
      </c>
      <c r="E7612" t="s">
        <v>35</v>
      </c>
      <c r="F7612" s="2">
        <v>212901001</v>
      </c>
      <c r="G7612" s="2" t="s">
        <v>91</v>
      </c>
      <c r="I7612" s="95" t="s">
        <v>7231</v>
      </c>
      <c r="J7612" t="s">
        <v>61</v>
      </c>
      <c r="K7612" t="s">
        <v>62</v>
      </c>
      <c r="M7612">
        <v>147.08000000000001</v>
      </c>
      <c r="N7612" s="4">
        <f t="shared" si="118"/>
        <v>-89.186157193364153</v>
      </c>
      <c r="O7612" t="s">
        <v>83</v>
      </c>
    </row>
    <row r="7613" spans="1:15" x14ac:dyDescent="0.25">
      <c r="A7613" s="22">
        <v>45898</v>
      </c>
      <c r="B7613" s="1">
        <v>917524130</v>
      </c>
      <c r="C7613" t="s">
        <v>5881</v>
      </c>
      <c r="D7613" s="44">
        <v>-13117.5</v>
      </c>
      <c r="E7613" t="s">
        <v>35</v>
      </c>
      <c r="F7613" s="2">
        <v>212901001</v>
      </c>
      <c r="G7613" s="2" t="s">
        <v>91</v>
      </c>
      <c r="I7613" s="95" t="s">
        <v>7231</v>
      </c>
      <c r="J7613" t="s">
        <v>61</v>
      </c>
      <c r="K7613" t="s">
        <v>62</v>
      </c>
      <c r="M7613">
        <v>147.08000000000001</v>
      </c>
      <c r="N7613" s="4">
        <f t="shared" si="118"/>
        <v>-89.186157193364153</v>
      </c>
      <c r="O7613" t="s">
        <v>83</v>
      </c>
    </row>
    <row r="7614" spans="1:15" x14ac:dyDescent="0.25">
      <c r="A7614" s="22">
        <v>45898</v>
      </c>
      <c r="B7614" s="1">
        <v>17524136</v>
      </c>
      <c r="C7614" t="s">
        <v>5882</v>
      </c>
      <c r="D7614" s="44">
        <v>-13117.5</v>
      </c>
      <c r="E7614" t="s">
        <v>35</v>
      </c>
      <c r="F7614" s="2">
        <v>212901001</v>
      </c>
      <c r="G7614" s="2" t="s">
        <v>91</v>
      </c>
      <c r="I7614" s="95" t="s">
        <v>7231</v>
      </c>
      <c r="J7614" t="s">
        <v>61</v>
      </c>
      <c r="K7614" t="s">
        <v>62</v>
      </c>
      <c r="M7614">
        <v>147.08000000000001</v>
      </c>
      <c r="N7614" s="4">
        <f t="shared" si="118"/>
        <v>-89.186157193364153</v>
      </c>
      <c r="O7614" t="s">
        <v>83</v>
      </c>
    </row>
    <row r="7615" spans="1:15" x14ac:dyDescent="0.25">
      <c r="A7615" s="22">
        <v>45898</v>
      </c>
      <c r="B7615" s="1">
        <v>17524135</v>
      </c>
      <c r="C7615" t="s">
        <v>5883</v>
      </c>
      <c r="D7615" s="44">
        <v>-13117.5</v>
      </c>
      <c r="E7615" t="s">
        <v>35</v>
      </c>
      <c r="F7615" s="2">
        <v>212901001</v>
      </c>
      <c r="G7615" s="2" t="s">
        <v>91</v>
      </c>
      <c r="I7615" s="95" t="s">
        <v>7231</v>
      </c>
      <c r="J7615" t="s">
        <v>61</v>
      </c>
      <c r="K7615" t="s">
        <v>62</v>
      </c>
      <c r="M7615">
        <v>147.08000000000001</v>
      </c>
      <c r="N7615" s="4">
        <f t="shared" si="118"/>
        <v>-89.186157193364153</v>
      </c>
      <c r="O7615" t="s">
        <v>83</v>
      </c>
    </row>
    <row r="7616" spans="1:15" x14ac:dyDescent="0.25">
      <c r="A7616" s="22">
        <v>45898</v>
      </c>
      <c r="B7616" s="1">
        <v>17524140</v>
      </c>
      <c r="C7616" t="s">
        <v>5884</v>
      </c>
      <c r="D7616" s="44">
        <v>-13117.5</v>
      </c>
      <c r="E7616" t="s">
        <v>35</v>
      </c>
      <c r="F7616" s="2">
        <v>212901001</v>
      </c>
      <c r="G7616" s="2" t="s">
        <v>91</v>
      </c>
      <c r="I7616" s="95" t="s">
        <v>7231</v>
      </c>
      <c r="J7616" t="s">
        <v>61</v>
      </c>
      <c r="K7616" t="s">
        <v>62</v>
      </c>
      <c r="M7616">
        <v>147.08000000000001</v>
      </c>
      <c r="N7616" s="4">
        <f t="shared" si="118"/>
        <v>-89.186157193364153</v>
      </c>
      <c r="O7616" t="s">
        <v>83</v>
      </c>
    </row>
    <row r="7617" spans="1:15" x14ac:dyDescent="0.25">
      <c r="A7617" s="22">
        <v>45898</v>
      </c>
      <c r="B7617" s="1">
        <v>917524129</v>
      </c>
      <c r="C7617" t="s">
        <v>5885</v>
      </c>
      <c r="D7617" s="44">
        <v>-13117.5</v>
      </c>
      <c r="E7617" t="s">
        <v>35</v>
      </c>
      <c r="F7617" s="2">
        <v>212901001</v>
      </c>
      <c r="G7617" s="2" t="s">
        <v>91</v>
      </c>
      <c r="I7617" s="95" t="s">
        <v>7231</v>
      </c>
      <c r="J7617" t="s">
        <v>61</v>
      </c>
      <c r="K7617" t="s">
        <v>62</v>
      </c>
      <c r="M7617">
        <v>147.08000000000001</v>
      </c>
      <c r="N7617" s="4">
        <f t="shared" si="118"/>
        <v>-89.186157193364153</v>
      </c>
      <c r="O7617" t="s">
        <v>83</v>
      </c>
    </row>
    <row r="7618" spans="1:15" x14ac:dyDescent="0.25">
      <c r="A7618" s="22">
        <v>45898</v>
      </c>
      <c r="B7618" s="1">
        <v>17524138</v>
      </c>
      <c r="C7618" t="s">
        <v>5886</v>
      </c>
      <c r="D7618" s="44">
        <v>-13117.5</v>
      </c>
      <c r="E7618" t="s">
        <v>35</v>
      </c>
      <c r="F7618" s="2">
        <v>212901001</v>
      </c>
      <c r="G7618" s="2" t="s">
        <v>91</v>
      </c>
      <c r="I7618" s="95" t="s">
        <v>7231</v>
      </c>
      <c r="J7618" t="s">
        <v>61</v>
      </c>
      <c r="K7618" t="s">
        <v>62</v>
      </c>
      <c r="M7618">
        <v>147.08000000000001</v>
      </c>
      <c r="N7618" s="4">
        <f t="shared" si="118"/>
        <v>-89.186157193364153</v>
      </c>
      <c r="O7618" t="s">
        <v>83</v>
      </c>
    </row>
    <row r="7619" spans="1:15" x14ac:dyDescent="0.25">
      <c r="A7619" s="22">
        <v>45898</v>
      </c>
      <c r="B7619" s="1">
        <v>17524142</v>
      </c>
      <c r="C7619" t="s">
        <v>5887</v>
      </c>
      <c r="D7619" s="44">
        <v>-13117.5</v>
      </c>
      <c r="E7619" t="s">
        <v>35</v>
      </c>
      <c r="F7619" s="2">
        <v>212901001</v>
      </c>
      <c r="G7619" s="2" t="s">
        <v>91</v>
      </c>
      <c r="I7619" s="95" t="s">
        <v>7231</v>
      </c>
      <c r="J7619" t="s">
        <v>61</v>
      </c>
      <c r="K7619" t="s">
        <v>62</v>
      </c>
      <c r="M7619">
        <v>147.08000000000001</v>
      </c>
      <c r="N7619" s="4">
        <f t="shared" si="118"/>
        <v>-89.186157193364153</v>
      </c>
      <c r="O7619" t="s">
        <v>83</v>
      </c>
    </row>
    <row r="7620" spans="1:15" x14ac:dyDescent="0.25">
      <c r="A7620" s="22">
        <v>45898</v>
      </c>
      <c r="B7620" s="1">
        <v>917524126</v>
      </c>
      <c r="C7620" t="s">
        <v>5881</v>
      </c>
      <c r="D7620" s="44">
        <v>-16032.5</v>
      </c>
      <c r="E7620" t="s">
        <v>35</v>
      </c>
      <c r="F7620" s="2">
        <v>212901001</v>
      </c>
      <c r="G7620" s="2" t="s">
        <v>91</v>
      </c>
      <c r="I7620" s="95" t="s">
        <v>7231</v>
      </c>
      <c r="J7620" t="s">
        <v>61</v>
      </c>
      <c r="K7620" t="s">
        <v>62</v>
      </c>
      <c r="M7620">
        <v>147.08000000000001</v>
      </c>
      <c r="N7620" s="4">
        <f t="shared" si="118"/>
        <v>-109.00530323633396</v>
      </c>
      <c r="O7620" t="s">
        <v>83</v>
      </c>
    </row>
    <row r="7621" spans="1:15" x14ac:dyDescent="0.25">
      <c r="A7621" s="22">
        <v>45898</v>
      </c>
      <c r="B7621" s="1">
        <v>17524143</v>
      </c>
      <c r="C7621" t="s">
        <v>5888</v>
      </c>
      <c r="D7621" s="44">
        <v>-13117.5</v>
      </c>
      <c r="E7621" t="s">
        <v>35</v>
      </c>
      <c r="F7621" s="2">
        <v>212901001</v>
      </c>
      <c r="G7621" s="2" t="s">
        <v>91</v>
      </c>
      <c r="I7621" s="95" t="s">
        <v>7231</v>
      </c>
      <c r="J7621" t="s">
        <v>61</v>
      </c>
      <c r="K7621" t="s">
        <v>62</v>
      </c>
      <c r="M7621">
        <v>147.08000000000001</v>
      </c>
      <c r="N7621" s="4">
        <f t="shared" si="118"/>
        <v>-89.186157193364153</v>
      </c>
      <c r="O7621" t="s">
        <v>83</v>
      </c>
    </row>
    <row r="7622" spans="1:15" x14ac:dyDescent="0.25">
      <c r="A7622" s="22">
        <v>45898</v>
      </c>
      <c r="B7622" s="1">
        <v>117524145</v>
      </c>
      <c r="C7622" t="s">
        <v>5889</v>
      </c>
      <c r="D7622" s="44">
        <v>-8745</v>
      </c>
      <c r="E7622" t="s">
        <v>35</v>
      </c>
      <c r="F7622" s="2">
        <v>212901001</v>
      </c>
      <c r="G7622" s="2" t="s">
        <v>91</v>
      </c>
      <c r="I7622" s="95" t="s">
        <v>7231</v>
      </c>
      <c r="J7622" t="s">
        <v>61</v>
      </c>
      <c r="K7622" t="s">
        <v>62</v>
      </c>
      <c r="M7622">
        <v>147.08000000000001</v>
      </c>
      <c r="N7622" s="4">
        <f t="shared" si="118"/>
        <v>-59.45743812890943</v>
      </c>
      <c r="O7622" t="s">
        <v>83</v>
      </c>
    </row>
    <row r="7623" spans="1:15" x14ac:dyDescent="0.25">
      <c r="A7623" s="22">
        <v>45898</v>
      </c>
      <c r="B7623" s="1">
        <v>117524148</v>
      </c>
      <c r="C7623" t="s">
        <v>5890</v>
      </c>
      <c r="D7623" s="44">
        <v>-8745</v>
      </c>
      <c r="E7623" t="s">
        <v>35</v>
      </c>
      <c r="F7623" s="2">
        <v>212901001</v>
      </c>
      <c r="G7623" s="2" t="s">
        <v>91</v>
      </c>
      <c r="I7623" s="95" t="s">
        <v>7231</v>
      </c>
      <c r="J7623" t="s">
        <v>61</v>
      </c>
      <c r="K7623" t="s">
        <v>62</v>
      </c>
      <c r="M7623">
        <v>147.08000000000001</v>
      </c>
      <c r="N7623" s="4">
        <f t="shared" si="118"/>
        <v>-59.45743812890943</v>
      </c>
      <c r="O7623" t="s">
        <v>83</v>
      </c>
    </row>
    <row r="7624" spans="1:15" x14ac:dyDescent="0.25">
      <c r="A7624" s="22">
        <v>45898</v>
      </c>
      <c r="B7624" s="1">
        <v>117524151</v>
      </c>
      <c r="C7624" t="s">
        <v>5891</v>
      </c>
      <c r="D7624" s="44">
        <v>-29150</v>
      </c>
      <c r="E7624" t="s">
        <v>35</v>
      </c>
      <c r="F7624" s="2">
        <v>212901001</v>
      </c>
      <c r="G7624" s="2" t="s">
        <v>91</v>
      </c>
      <c r="I7624" s="95" t="s">
        <v>7231</v>
      </c>
      <c r="J7624" t="s">
        <v>61</v>
      </c>
      <c r="K7624" t="s">
        <v>62</v>
      </c>
      <c r="M7624">
        <v>147.08000000000001</v>
      </c>
      <c r="N7624" s="4">
        <f t="shared" si="118"/>
        <v>-198.19146042969811</v>
      </c>
      <c r="O7624" t="s">
        <v>83</v>
      </c>
    </row>
    <row r="7625" spans="1:15" x14ac:dyDescent="0.25">
      <c r="A7625" s="22">
        <v>45898</v>
      </c>
      <c r="B7625" s="1">
        <v>117524149</v>
      </c>
      <c r="C7625" t="s">
        <v>5892</v>
      </c>
      <c r="D7625" s="44">
        <v>-8745</v>
      </c>
      <c r="E7625" t="s">
        <v>35</v>
      </c>
      <c r="F7625" s="2">
        <v>212901001</v>
      </c>
      <c r="G7625" s="2" t="s">
        <v>91</v>
      </c>
      <c r="I7625" s="95" t="s">
        <v>7231</v>
      </c>
      <c r="J7625" t="s">
        <v>61</v>
      </c>
      <c r="K7625" t="s">
        <v>62</v>
      </c>
      <c r="M7625">
        <v>147.08000000000001</v>
      </c>
      <c r="N7625" s="4">
        <f t="shared" si="118"/>
        <v>-59.45743812890943</v>
      </c>
      <c r="O7625" t="s">
        <v>83</v>
      </c>
    </row>
    <row r="7626" spans="1:15" x14ac:dyDescent="0.25">
      <c r="A7626" s="22">
        <v>45898</v>
      </c>
      <c r="B7626" s="1">
        <v>117524150</v>
      </c>
      <c r="C7626" t="s">
        <v>5893</v>
      </c>
      <c r="D7626" s="44">
        <v>-14575</v>
      </c>
      <c r="E7626" t="s">
        <v>35</v>
      </c>
      <c r="F7626" s="2">
        <v>212901001</v>
      </c>
      <c r="G7626" s="2" t="s">
        <v>91</v>
      </c>
      <c r="I7626" s="95" t="s">
        <v>7231</v>
      </c>
      <c r="J7626" t="s">
        <v>61</v>
      </c>
      <c r="K7626" t="s">
        <v>62</v>
      </c>
      <c r="M7626">
        <v>147.08000000000001</v>
      </c>
      <c r="N7626" s="4">
        <f t="shared" si="118"/>
        <v>-99.095730214849056</v>
      </c>
      <c r="O7626" t="s">
        <v>83</v>
      </c>
    </row>
    <row r="7627" spans="1:15" x14ac:dyDescent="0.25">
      <c r="A7627" s="22">
        <v>45898</v>
      </c>
      <c r="B7627" s="1">
        <v>117524146</v>
      </c>
      <c r="C7627" t="s">
        <v>5894</v>
      </c>
      <c r="D7627" s="44">
        <v>-8745</v>
      </c>
      <c r="E7627" t="s">
        <v>35</v>
      </c>
      <c r="F7627" s="2">
        <v>212901001</v>
      </c>
      <c r="G7627" s="2" t="s">
        <v>91</v>
      </c>
      <c r="I7627" s="95" t="s">
        <v>7231</v>
      </c>
      <c r="J7627" t="s">
        <v>61</v>
      </c>
      <c r="K7627" t="s">
        <v>62</v>
      </c>
      <c r="M7627">
        <v>147.08000000000001</v>
      </c>
      <c r="N7627" s="4">
        <f t="shared" si="118"/>
        <v>-59.45743812890943</v>
      </c>
      <c r="O7627" t="s">
        <v>83</v>
      </c>
    </row>
    <row r="7628" spans="1:15" x14ac:dyDescent="0.25">
      <c r="A7628" s="22">
        <v>45898</v>
      </c>
      <c r="B7628" s="1">
        <v>117524152</v>
      </c>
      <c r="C7628" t="s">
        <v>5895</v>
      </c>
      <c r="D7628" s="44">
        <v>-21133.75</v>
      </c>
      <c r="E7628" t="s">
        <v>35</v>
      </c>
      <c r="F7628" s="2">
        <v>212901001</v>
      </c>
      <c r="G7628" s="2" t="s">
        <v>91</v>
      </c>
      <c r="I7628" s="95" t="s">
        <v>7231</v>
      </c>
      <c r="J7628" t="s">
        <v>61</v>
      </c>
      <c r="K7628" t="s">
        <v>62</v>
      </c>
      <c r="M7628">
        <v>147.08000000000001</v>
      </c>
      <c r="N7628" s="4">
        <f t="shared" ref="N7628:N7691" si="119">D7628/M7628</f>
        <v>-143.68880881153112</v>
      </c>
      <c r="O7628" t="s">
        <v>83</v>
      </c>
    </row>
    <row r="7629" spans="1:15" x14ac:dyDescent="0.25">
      <c r="A7629" s="22">
        <v>45898</v>
      </c>
      <c r="B7629" s="1">
        <v>217524155</v>
      </c>
      <c r="C7629" t="s">
        <v>5896</v>
      </c>
      <c r="D7629" s="44">
        <v>-11660</v>
      </c>
      <c r="E7629" t="s">
        <v>35</v>
      </c>
      <c r="F7629" s="2">
        <v>212901001</v>
      </c>
      <c r="G7629" s="2" t="s">
        <v>91</v>
      </c>
      <c r="I7629" s="95" t="s">
        <v>7231</v>
      </c>
      <c r="J7629" t="s">
        <v>61</v>
      </c>
      <c r="K7629" t="s">
        <v>62</v>
      </c>
      <c r="M7629">
        <v>147.08000000000001</v>
      </c>
      <c r="N7629" s="4">
        <f t="shared" si="119"/>
        <v>-79.276584171879236</v>
      </c>
      <c r="O7629" t="s">
        <v>83</v>
      </c>
    </row>
    <row r="7630" spans="1:15" x14ac:dyDescent="0.25">
      <c r="A7630" s="22">
        <v>45898</v>
      </c>
      <c r="B7630" s="1">
        <v>117524153</v>
      </c>
      <c r="C7630" t="s">
        <v>5897</v>
      </c>
      <c r="D7630" s="44">
        <v>-10202.5</v>
      </c>
      <c r="E7630" t="s">
        <v>35</v>
      </c>
      <c r="F7630" s="2">
        <v>212901001</v>
      </c>
      <c r="G7630" s="2" t="s">
        <v>91</v>
      </c>
      <c r="I7630" s="95" t="s">
        <v>7231</v>
      </c>
      <c r="J7630" t="s">
        <v>61</v>
      </c>
      <c r="K7630" t="s">
        <v>62</v>
      </c>
      <c r="M7630">
        <v>147.08000000000001</v>
      </c>
      <c r="N7630" s="4">
        <f t="shared" si="119"/>
        <v>-69.367011150394333</v>
      </c>
      <c r="O7630" t="s">
        <v>83</v>
      </c>
    </row>
    <row r="7631" spans="1:15" x14ac:dyDescent="0.25">
      <c r="A7631" s="22">
        <v>45898</v>
      </c>
      <c r="B7631" s="1">
        <v>17524144</v>
      </c>
      <c r="C7631" t="s">
        <v>5898</v>
      </c>
      <c r="D7631" s="44">
        <v>-13117.5</v>
      </c>
      <c r="E7631" t="s">
        <v>35</v>
      </c>
      <c r="F7631" s="2">
        <v>212901001</v>
      </c>
      <c r="G7631" s="2" t="s">
        <v>91</v>
      </c>
      <c r="I7631" s="95" t="s">
        <v>7231</v>
      </c>
      <c r="J7631" t="s">
        <v>61</v>
      </c>
      <c r="K7631" t="s">
        <v>62</v>
      </c>
      <c r="M7631">
        <v>147.08000000000001</v>
      </c>
      <c r="N7631" s="4">
        <f t="shared" si="119"/>
        <v>-89.186157193364153</v>
      </c>
      <c r="O7631" t="s">
        <v>83</v>
      </c>
    </row>
    <row r="7632" spans="1:15" x14ac:dyDescent="0.25">
      <c r="A7632" s="22">
        <v>45898</v>
      </c>
      <c r="B7632" s="1">
        <v>50820547</v>
      </c>
      <c r="C7632" t="s">
        <v>5899</v>
      </c>
      <c r="D7632" s="44">
        <v>-26235</v>
      </c>
      <c r="E7632" t="s">
        <v>35</v>
      </c>
      <c r="F7632" s="2">
        <v>212901001</v>
      </c>
      <c r="G7632" s="2" t="s">
        <v>91</v>
      </c>
      <c r="I7632" s="95" t="s">
        <v>7231</v>
      </c>
      <c r="J7632" t="s">
        <v>61</v>
      </c>
      <c r="K7632" t="s">
        <v>62</v>
      </c>
      <c r="M7632">
        <v>147.08000000000001</v>
      </c>
      <c r="N7632" s="4">
        <f t="shared" si="119"/>
        <v>-178.37231438672831</v>
      </c>
      <c r="O7632" t="s">
        <v>83</v>
      </c>
    </row>
    <row r="7633" spans="1:17" x14ac:dyDescent="0.25">
      <c r="A7633" s="22">
        <v>45898</v>
      </c>
      <c r="B7633" s="1">
        <v>50820547</v>
      </c>
      <c r="C7633" t="s">
        <v>179</v>
      </c>
      <c r="D7633" s="44">
        <v>-39.35</v>
      </c>
      <c r="E7633" t="s">
        <v>35</v>
      </c>
      <c r="F7633" s="2">
        <v>610148001</v>
      </c>
      <c r="G7633" s="2" t="s">
        <v>41</v>
      </c>
      <c r="I7633" s="95" t="s">
        <v>7231</v>
      </c>
      <c r="J7633" t="s">
        <v>42</v>
      </c>
      <c r="K7633" t="s">
        <v>41</v>
      </c>
      <c r="M7633">
        <v>147.08000000000001</v>
      </c>
      <c r="N7633" s="4">
        <f t="shared" si="119"/>
        <v>-0.26754147402773998</v>
      </c>
      <c r="O7633" t="s">
        <v>83</v>
      </c>
      <c r="Q7633" s="24" t="s">
        <v>5251</v>
      </c>
    </row>
    <row r="7634" spans="1:17" x14ac:dyDescent="0.25">
      <c r="A7634" s="22">
        <v>45898</v>
      </c>
      <c r="B7634" s="1">
        <v>50820547</v>
      </c>
      <c r="C7634" t="s">
        <v>89</v>
      </c>
      <c r="D7634" s="44">
        <v>-2560.46</v>
      </c>
      <c r="E7634" t="s">
        <v>35</v>
      </c>
      <c r="F7634" s="2">
        <v>610148001</v>
      </c>
      <c r="G7634" s="2" t="s">
        <v>41</v>
      </c>
      <c r="I7634" s="95" t="s">
        <v>7231</v>
      </c>
      <c r="J7634" t="s">
        <v>42</v>
      </c>
      <c r="K7634" t="s">
        <v>41</v>
      </c>
      <c r="M7634">
        <v>147.08000000000001</v>
      </c>
      <c r="N7634" s="4">
        <f t="shared" si="119"/>
        <v>-17.408621158553167</v>
      </c>
      <c r="O7634" t="s">
        <v>83</v>
      </c>
      <c r="Q7634" s="24" t="s">
        <v>5251</v>
      </c>
    </row>
    <row r="7635" spans="1:17" x14ac:dyDescent="0.25">
      <c r="A7635" s="22">
        <v>45898</v>
      </c>
      <c r="B7635" s="1">
        <v>691251199</v>
      </c>
      <c r="C7635" t="s">
        <v>5900</v>
      </c>
      <c r="D7635" s="44">
        <v>95969.7</v>
      </c>
      <c r="E7635" t="s">
        <v>45</v>
      </c>
      <c r="F7635" s="2">
        <v>110106001</v>
      </c>
      <c r="G7635" s="2" t="s">
        <v>1011</v>
      </c>
      <c r="I7635" s="95" t="s">
        <v>7231</v>
      </c>
      <c r="K7635" t="s">
        <v>5901</v>
      </c>
      <c r="M7635">
        <v>147.08000000000001</v>
      </c>
      <c r="N7635" s="4">
        <f t="shared" si="119"/>
        <v>652.49999999999989</v>
      </c>
      <c r="O7635" t="s">
        <v>83</v>
      </c>
    </row>
    <row r="7636" spans="1:17" x14ac:dyDescent="0.25">
      <c r="A7636" s="22">
        <v>45898</v>
      </c>
      <c r="B7636" s="1">
        <v>153131657</v>
      </c>
      <c r="C7636" t="s">
        <v>5902</v>
      </c>
      <c r="D7636" s="44">
        <v>35828.69</v>
      </c>
      <c r="E7636" t="s">
        <v>45</v>
      </c>
      <c r="F7636" s="2">
        <v>110106001</v>
      </c>
      <c r="G7636" s="2" t="s">
        <v>1011</v>
      </c>
      <c r="I7636" s="95" t="s">
        <v>7231</v>
      </c>
      <c r="K7636" t="s">
        <v>5903</v>
      </c>
      <c r="M7636">
        <v>147.08000000000001</v>
      </c>
      <c r="N7636" s="4">
        <f t="shared" si="119"/>
        <v>243.60001359804187</v>
      </c>
      <c r="O7636" t="s">
        <v>83</v>
      </c>
    </row>
    <row r="7637" spans="1:17" x14ac:dyDescent="0.25">
      <c r="A7637" s="22">
        <v>45898</v>
      </c>
      <c r="B7637" s="1">
        <v>153226804</v>
      </c>
      <c r="C7637" t="s">
        <v>5904</v>
      </c>
      <c r="D7637" s="44">
        <v>264626.34000000003</v>
      </c>
      <c r="E7637" t="s">
        <v>45</v>
      </c>
      <c r="F7637" s="2">
        <v>110106001</v>
      </c>
      <c r="G7637" s="2" t="s">
        <v>1011</v>
      </c>
      <c r="I7637" s="95" t="s">
        <v>7231</v>
      </c>
      <c r="K7637" t="s">
        <v>5905</v>
      </c>
      <c r="M7637">
        <v>147.08000000000001</v>
      </c>
      <c r="N7637" s="4">
        <f t="shared" si="119"/>
        <v>1799.2000271960837</v>
      </c>
      <c r="O7637" t="s">
        <v>83</v>
      </c>
    </row>
    <row r="7638" spans="1:17" x14ac:dyDescent="0.25">
      <c r="A7638" s="22">
        <v>45898</v>
      </c>
      <c r="B7638" s="1">
        <v>153615611</v>
      </c>
      <c r="C7638" t="s">
        <v>5906</v>
      </c>
      <c r="D7638" s="44">
        <v>-400684.16</v>
      </c>
      <c r="E7638" t="s">
        <v>35</v>
      </c>
      <c r="F7638" s="2">
        <v>210101001</v>
      </c>
      <c r="G7638" s="2" t="s">
        <v>36</v>
      </c>
      <c r="I7638" s="95" t="s">
        <v>7231</v>
      </c>
      <c r="J7638" t="s">
        <v>37</v>
      </c>
      <c r="K7638" t="s">
        <v>38</v>
      </c>
      <c r="M7638">
        <v>147.08000000000001</v>
      </c>
      <c r="N7638" s="4">
        <f t="shared" si="119"/>
        <v>-2724.2599945607826</v>
      </c>
      <c r="O7638" t="s">
        <v>83</v>
      </c>
    </row>
    <row r="7639" spans="1:17" x14ac:dyDescent="0.25">
      <c r="A7639" s="22">
        <v>45898</v>
      </c>
      <c r="B7639" s="1">
        <v>153732742</v>
      </c>
      <c r="C7639" t="s">
        <v>5907</v>
      </c>
      <c r="D7639" s="44">
        <v>359234.07</v>
      </c>
      <c r="E7639" t="s">
        <v>45</v>
      </c>
      <c r="F7639" s="2">
        <v>110106001</v>
      </c>
      <c r="G7639" s="2" t="s">
        <v>1011</v>
      </c>
      <c r="I7639" s="95" t="s">
        <v>7231</v>
      </c>
      <c r="K7639" t="s">
        <v>5908</v>
      </c>
      <c r="M7639">
        <v>147.08000000000001</v>
      </c>
      <c r="N7639" s="4">
        <f t="shared" si="119"/>
        <v>2442.4399646450911</v>
      </c>
      <c r="O7639" t="s">
        <v>83</v>
      </c>
    </row>
    <row r="7640" spans="1:17" x14ac:dyDescent="0.25">
      <c r="A7640" s="22">
        <v>45898</v>
      </c>
      <c r="B7640" s="1">
        <v>517526731</v>
      </c>
      <c r="C7640" t="s">
        <v>5909</v>
      </c>
      <c r="D7640" s="44">
        <v>-373708.84</v>
      </c>
      <c r="E7640" t="s">
        <v>35</v>
      </c>
      <c r="F7640" s="2">
        <v>210101001</v>
      </c>
      <c r="G7640" s="2" t="s">
        <v>36</v>
      </c>
      <c r="I7640" s="95" t="s">
        <v>7231</v>
      </c>
      <c r="J7640" t="s">
        <v>37</v>
      </c>
      <c r="K7640" t="s">
        <v>38</v>
      </c>
      <c r="M7640">
        <v>147.08000000000001</v>
      </c>
      <c r="N7640" s="4">
        <f t="shared" si="119"/>
        <v>-2540.8542289910251</v>
      </c>
      <c r="O7640" t="s">
        <v>83</v>
      </c>
    </row>
    <row r="7641" spans="1:17" x14ac:dyDescent="0.25">
      <c r="A7641" s="22">
        <v>45898</v>
      </c>
      <c r="B7641" s="1">
        <v>517526731</v>
      </c>
      <c r="C7641" t="s">
        <v>185</v>
      </c>
      <c r="D7641" s="44">
        <v>-1121.1300000000001</v>
      </c>
      <c r="E7641" t="s">
        <v>35</v>
      </c>
      <c r="F7641" s="2">
        <v>610148001</v>
      </c>
      <c r="G7641" s="2" t="s">
        <v>41</v>
      </c>
      <c r="I7641" s="95" t="s">
        <v>7231</v>
      </c>
      <c r="J7641" t="s">
        <v>42</v>
      </c>
      <c r="K7641" t="s">
        <v>41</v>
      </c>
      <c r="M7641">
        <v>147.08000000000001</v>
      </c>
      <c r="N7641" s="4">
        <f t="shared" si="119"/>
        <v>-7.6225863475659503</v>
      </c>
      <c r="O7641" t="s">
        <v>83</v>
      </c>
      <c r="Q7641" s="24" t="s">
        <v>5251</v>
      </c>
    </row>
    <row r="7642" spans="1:17" x14ac:dyDescent="0.25">
      <c r="A7642" s="22">
        <v>45898</v>
      </c>
      <c r="C7642" t="s">
        <v>602</v>
      </c>
      <c r="D7642" s="44">
        <v>-0.5</v>
      </c>
      <c r="E7642" t="s">
        <v>35</v>
      </c>
      <c r="F7642" s="2">
        <v>610148001</v>
      </c>
      <c r="G7642" s="2" t="s">
        <v>41</v>
      </c>
      <c r="I7642" s="95" t="s">
        <v>7231</v>
      </c>
      <c r="J7642" t="s">
        <v>42</v>
      </c>
      <c r="K7642" t="s">
        <v>41</v>
      </c>
      <c r="M7642">
        <v>147.08000000000001</v>
      </c>
      <c r="N7642" s="4">
        <f t="shared" si="119"/>
        <v>-3.399510470492249E-3</v>
      </c>
      <c r="O7642" t="s">
        <v>83</v>
      </c>
      <c r="Q7642" s="24" t="s">
        <v>5251</v>
      </c>
    </row>
    <row r="7643" spans="1:17" x14ac:dyDescent="0.25">
      <c r="A7643" s="22">
        <v>45898</v>
      </c>
      <c r="C7643" t="s">
        <v>603</v>
      </c>
      <c r="D7643" s="44">
        <v>-0.5</v>
      </c>
      <c r="E7643" t="s">
        <v>35</v>
      </c>
      <c r="F7643" s="2">
        <v>610148001</v>
      </c>
      <c r="G7643" s="2" t="s">
        <v>41</v>
      </c>
      <c r="I7643" s="95" t="s">
        <v>7231</v>
      </c>
      <c r="J7643" t="s">
        <v>42</v>
      </c>
      <c r="K7643" t="s">
        <v>41</v>
      </c>
      <c r="M7643">
        <v>147.08000000000001</v>
      </c>
      <c r="N7643" s="4">
        <f t="shared" si="119"/>
        <v>-3.399510470492249E-3</v>
      </c>
      <c r="O7643" t="s">
        <v>83</v>
      </c>
      <c r="Q7643" s="24" t="s">
        <v>5251</v>
      </c>
    </row>
    <row r="7644" spans="1:17" x14ac:dyDescent="0.25">
      <c r="A7644" s="22">
        <v>45870</v>
      </c>
      <c r="B7644" s="1" t="s">
        <v>5910</v>
      </c>
      <c r="C7644" t="s">
        <v>1250</v>
      </c>
      <c r="D7644" s="44" t="s">
        <v>4411</v>
      </c>
      <c r="E7644" t="s">
        <v>35</v>
      </c>
      <c r="F7644" s="2">
        <v>610148001</v>
      </c>
      <c r="G7644" s="2" t="s">
        <v>41</v>
      </c>
      <c r="I7644" s="95" t="s">
        <v>7231</v>
      </c>
      <c r="J7644" t="s">
        <v>42</v>
      </c>
      <c r="K7644" t="s">
        <v>41</v>
      </c>
      <c r="M7644">
        <v>125.42</v>
      </c>
      <c r="N7644" s="4">
        <f t="shared" si="119"/>
        <v>-3.9866050071758891E-3</v>
      </c>
      <c r="O7644" t="s">
        <v>605</v>
      </c>
      <c r="Q7644" s="24" t="s">
        <v>5251</v>
      </c>
    </row>
    <row r="7645" spans="1:17" x14ac:dyDescent="0.25">
      <c r="A7645" s="22">
        <v>45870</v>
      </c>
      <c r="B7645" s="1" t="s">
        <v>5911</v>
      </c>
      <c r="C7645" t="s">
        <v>293</v>
      </c>
      <c r="D7645" s="44" t="s">
        <v>5912</v>
      </c>
      <c r="E7645" t="s">
        <v>45</v>
      </c>
      <c r="F7645" s="2">
        <v>210115002</v>
      </c>
      <c r="G7645" s="2" t="s">
        <v>5259</v>
      </c>
      <c r="I7645" s="95" t="s">
        <v>7231</v>
      </c>
      <c r="K7645" t="s">
        <v>293</v>
      </c>
      <c r="M7645">
        <v>125.42</v>
      </c>
      <c r="N7645" s="4">
        <f t="shared" si="119"/>
        <v>8531.3347153564027</v>
      </c>
      <c r="O7645" t="s">
        <v>605</v>
      </c>
    </row>
    <row r="7646" spans="1:17" x14ac:dyDescent="0.25">
      <c r="A7646" s="22">
        <v>45870</v>
      </c>
      <c r="B7646" s="1" t="s">
        <v>5913</v>
      </c>
      <c r="C7646" t="s">
        <v>5914</v>
      </c>
      <c r="D7646" s="44" t="s">
        <v>5915</v>
      </c>
      <c r="E7646" t="s">
        <v>35</v>
      </c>
      <c r="F7646" s="2">
        <v>110110001</v>
      </c>
      <c r="G7646" s="2" t="s">
        <v>655</v>
      </c>
      <c r="I7646" s="95" t="s">
        <v>7231</v>
      </c>
      <c r="K7646" t="s">
        <v>5916</v>
      </c>
      <c r="M7646">
        <v>125.42</v>
      </c>
      <c r="N7646" s="4">
        <f t="shared" si="119"/>
        <v>-8426.0564503269015</v>
      </c>
      <c r="O7646" t="s">
        <v>605</v>
      </c>
    </row>
    <row r="7647" spans="1:17" x14ac:dyDescent="0.25">
      <c r="A7647" s="22">
        <v>45870</v>
      </c>
      <c r="B7647" s="1" t="s">
        <v>5917</v>
      </c>
      <c r="C7647" t="s">
        <v>622</v>
      </c>
      <c r="D7647" s="44" t="s">
        <v>5918</v>
      </c>
      <c r="E7647" t="s">
        <v>35</v>
      </c>
      <c r="F7647" s="2">
        <v>610148001</v>
      </c>
      <c r="G7647" s="2" t="s">
        <v>41</v>
      </c>
      <c r="I7647" s="95" t="s">
        <v>7231</v>
      </c>
      <c r="J7647" t="s">
        <v>42</v>
      </c>
      <c r="K7647" t="s">
        <v>41</v>
      </c>
      <c r="M7647">
        <v>125.42</v>
      </c>
      <c r="N7647" s="4">
        <f t="shared" si="119"/>
        <v>-21.065141125817252</v>
      </c>
      <c r="O7647" t="s">
        <v>605</v>
      </c>
      <c r="Q7647" s="24" t="s">
        <v>5251</v>
      </c>
    </row>
    <row r="7648" spans="1:17" x14ac:dyDescent="0.25">
      <c r="A7648" s="22">
        <v>45873</v>
      </c>
      <c r="B7648" s="1" t="s">
        <v>5919</v>
      </c>
      <c r="C7648" t="s">
        <v>293</v>
      </c>
      <c r="D7648" s="44" t="s">
        <v>5920</v>
      </c>
      <c r="E7648" t="s">
        <v>45</v>
      </c>
      <c r="F7648" s="2">
        <v>210115002</v>
      </c>
      <c r="G7648" s="2" t="s">
        <v>5259</v>
      </c>
      <c r="I7648" s="95" t="s">
        <v>7231</v>
      </c>
      <c r="K7648" t="s">
        <v>293</v>
      </c>
      <c r="M7648">
        <v>126.28</v>
      </c>
      <c r="N7648" s="4">
        <f t="shared" si="119"/>
        <v>22172.949002217294</v>
      </c>
      <c r="O7648" t="s">
        <v>605</v>
      </c>
    </row>
    <row r="7649" spans="1:17" x14ac:dyDescent="0.25">
      <c r="A7649" s="22">
        <v>45873</v>
      </c>
      <c r="B7649" s="1" t="s">
        <v>5921</v>
      </c>
      <c r="C7649" t="s">
        <v>5922</v>
      </c>
      <c r="D7649" s="44" t="s">
        <v>5923</v>
      </c>
      <c r="E7649" t="s">
        <v>35</v>
      </c>
      <c r="F7649" s="2">
        <v>210101001</v>
      </c>
      <c r="G7649" s="2" t="s">
        <v>36</v>
      </c>
      <c r="I7649" s="95" t="s">
        <v>7231</v>
      </c>
      <c r="J7649" t="s">
        <v>380</v>
      </c>
      <c r="K7649" t="s">
        <v>381</v>
      </c>
      <c r="M7649">
        <v>126.28</v>
      </c>
      <c r="N7649" s="4">
        <f t="shared" si="119"/>
        <v>-11.013620525815647</v>
      </c>
      <c r="O7649" t="s">
        <v>605</v>
      </c>
    </row>
    <row r="7650" spans="1:17" x14ac:dyDescent="0.25">
      <c r="A7650" s="22">
        <v>45873</v>
      </c>
      <c r="B7650" s="1" t="s">
        <v>5924</v>
      </c>
      <c r="C7650" t="s">
        <v>622</v>
      </c>
      <c r="D7650" s="44" t="s">
        <v>5925</v>
      </c>
      <c r="E7650" t="s">
        <v>35</v>
      </c>
      <c r="F7650" s="2">
        <v>610148001</v>
      </c>
      <c r="G7650" s="2" t="s">
        <v>41</v>
      </c>
      <c r="I7650" s="95" t="s">
        <v>7231</v>
      </c>
      <c r="J7650" t="s">
        <v>42</v>
      </c>
      <c r="K7650" t="s">
        <v>41</v>
      </c>
      <c r="M7650">
        <v>126.28</v>
      </c>
      <c r="N7650" s="4">
        <f t="shared" si="119"/>
        <v>-2.7478618942033576E-2</v>
      </c>
      <c r="O7650" t="s">
        <v>605</v>
      </c>
      <c r="Q7650" s="24" t="s">
        <v>5251</v>
      </c>
    </row>
    <row r="7651" spans="1:17" x14ac:dyDescent="0.25">
      <c r="A7651" s="22">
        <v>45873</v>
      </c>
      <c r="B7651" s="1" t="s">
        <v>5926</v>
      </c>
      <c r="C7651" t="s">
        <v>622</v>
      </c>
      <c r="D7651" s="44" t="s">
        <v>5927</v>
      </c>
      <c r="E7651" t="s">
        <v>35</v>
      </c>
      <c r="F7651" s="2">
        <v>610148001</v>
      </c>
      <c r="G7651" s="2" t="s">
        <v>41</v>
      </c>
      <c r="I7651" s="95" t="s">
        <v>7231</v>
      </c>
      <c r="J7651" t="s">
        <v>42</v>
      </c>
      <c r="K7651" t="s">
        <v>41</v>
      </c>
      <c r="M7651">
        <v>126.28</v>
      </c>
      <c r="N7651" s="4">
        <f t="shared" si="119"/>
        <v>-19.797275894836869</v>
      </c>
      <c r="O7651" t="s">
        <v>605</v>
      </c>
      <c r="Q7651" s="24" t="s">
        <v>5251</v>
      </c>
    </row>
    <row r="7652" spans="1:17" x14ac:dyDescent="0.25">
      <c r="A7652" s="22">
        <v>45873</v>
      </c>
      <c r="B7652" s="1" t="s">
        <v>5928</v>
      </c>
      <c r="C7652" t="s">
        <v>5929</v>
      </c>
      <c r="D7652" s="44">
        <v>-1000000</v>
      </c>
      <c r="E7652" t="s">
        <v>35</v>
      </c>
      <c r="F7652" s="2">
        <v>110114001</v>
      </c>
      <c r="G7652" s="2" t="s">
        <v>181</v>
      </c>
      <c r="I7652" s="95" t="s">
        <v>7231</v>
      </c>
      <c r="K7652" t="s">
        <v>1256</v>
      </c>
      <c r="M7652">
        <v>126.28</v>
      </c>
      <c r="N7652" s="4">
        <f t="shared" si="119"/>
        <v>-7918.9103579347484</v>
      </c>
      <c r="O7652" t="s">
        <v>605</v>
      </c>
    </row>
    <row r="7653" spans="1:17" x14ac:dyDescent="0.25">
      <c r="A7653" s="22">
        <v>45873</v>
      </c>
      <c r="B7653" s="1" t="s">
        <v>5930</v>
      </c>
      <c r="C7653" t="s">
        <v>622</v>
      </c>
      <c r="D7653" s="44">
        <v>-2500</v>
      </c>
      <c r="E7653" t="s">
        <v>35</v>
      </c>
      <c r="F7653" s="2">
        <v>610148001</v>
      </c>
      <c r="G7653" s="2" t="s">
        <v>41</v>
      </c>
      <c r="I7653" s="95" t="s">
        <v>7231</v>
      </c>
      <c r="J7653" t="s">
        <v>42</v>
      </c>
      <c r="K7653" t="s">
        <v>41</v>
      </c>
      <c r="M7653">
        <v>126.28</v>
      </c>
      <c r="N7653" s="4">
        <f t="shared" si="119"/>
        <v>-19.797275894836869</v>
      </c>
      <c r="O7653" t="s">
        <v>605</v>
      </c>
      <c r="Q7653" s="24" t="s">
        <v>5251</v>
      </c>
    </row>
    <row r="7654" spans="1:17" x14ac:dyDescent="0.25">
      <c r="A7654" s="22">
        <v>45873</v>
      </c>
      <c r="B7654" s="1" t="s">
        <v>5931</v>
      </c>
      <c r="C7654" t="s">
        <v>5929</v>
      </c>
      <c r="D7654" s="44">
        <v>-1000000</v>
      </c>
      <c r="E7654" t="s">
        <v>35</v>
      </c>
      <c r="F7654" s="2">
        <v>110114001</v>
      </c>
      <c r="G7654" s="2" t="s">
        <v>181</v>
      </c>
      <c r="I7654" s="95" t="s">
        <v>7231</v>
      </c>
      <c r="K7654" t="s">
        <v>1256</v>
      </c>
      <c r="M7654">
        <v>126.28</v>
      </c>
      <c r="N7654" s="4">
        <f t="shared" si="119"/>
        <v>-7918.9103579347484</v>
      </c>
      <c r="O7654" t="s">
        <v>605</v>
      </c>
    </row>
    <row r="7655" spans="1:17" x14ac:dyDescent="0.25">
      <c r="A7655" s="22">
        <v>45873</v>
      </c>
      <c r="B7655" s="1" t="s">
        <v>5932</v>
      </c>
      <c r="C7655" t="s">
        <v>622</v>
      </c>
      <c r="D7655" s="44">
        <v>-1669.85</v>
      </c>
      <c r="E7655" t="s">
        <v>35</v>
      </c>
      <c r="F7655" s="2">
        <v>610148001</v>
      </c>
      <c r="G7655" s="2" t="s">
        <v>41</v>
      </c>
      <c r="I7655" s="95" t="s">
        <v>7231</v>
      </c>
      <c r="J7655" t="s">
        <v>42</v>
      </c>
      <c r="K7655" t="s">
        <v>41</v>
      </c>
      <c r="M7655">
        <v>126.28</v>
      </c>
      <c r="N7655" s="4">
        <f t="shared" si="119"/>
        <v>-13.223392461197339</v>
      </c>
      <c r="O7655" t="s">
        <v>605</v>
      </c>
      <c r="Q7655" s="24" t="s">
        <v>5251</v>
      </c>
    </row>
    <row r="7656" spans="1:17" x14ac:dyDescent="0.25">
      <c r="A7656" s="22">
        <v>45873</v>
      </c>
      <c r="B7656" s="1" t="s">
        <v>5933</v>
      </c>
      <c r="C7656" t="s">
        <v>5929</v>
      </c>
      <c r="D7656" s="44">
        <v>-667942.81999999995</v>
      </c>
      <c r="E7656" t="s">
        <v>35</v>
      </c>
      <c r="F7656" s="2">
        <v>110114001</v>
      </c>
      <c r="G7656" s="2" t="s">
        <v>181</v>
      </c>
      <c r="I7656" s="95" t="s">
        <v>7231</v>
      </c>
      <c r="K7656" t="s">
        <v>1256</v>
      </c>
      <c r="M7656">
        <v>126.28</v>
      </c>
      <c r="N7656" s="4">
        <f t="shared" si="119"/>
        <v>-5289.3793158061444</v>
      </c>
      <c r="O7656" t="s">
        <v>605</v>
      </c>
    </row>
    <row r="7657" spans="1:17" x14ac:dyDescent="0.25">
      <c r="A7657" s="22">
        <v>45873</v>
      </c>
      <c r="B7657" s="1" t="s">
        <v>5934</v>
      </c>
      <c r="C7657" t="s">
        <v>622</v>
      </c>
      <c r="D7657" s="44" t="s">
        <v>5935</v>
      </c>
      <c r="E7657" t="s">
        <v>35</v>
      </c>
      <c r="F7657" s="2">
        <v>610148001</v>
      </c>
      <c r="G7657" s="2" t="s">
        <v>41</v>
      </c>
      <c r="I7657" s="95" t="s">
        <v>7231</v>
      </c>
      <c r="J7657" t="s">
        <v>42</v>
      </c>
      <c r="K7657" t="s">
        <v>41</v>
      </c>
      <c r="M7657">
        <v>126.28</v>
      </c>
      <c r="N7657" s="4">
        <f t="shared" si="119"/>
        <v>-1.8725847323408298</v>
      </c>
      <c r="O7657" t="s">
        <v>605</v>
      </c>
      <c r="Q7657" s="24" t="s">
        <v>5251</v>
      </c>
    </row>
    <row r="7658" spans="1:17" x14ac:dyDescent="0.25">
      <c r="A7658" s="22">
        <v>45873</v>
      </c>
      <c r="B7658" s="1" t="s">
        <v>5936</v>
      </c>
      <c r="C7658" t="s">
        <v>5144</v>
      </c>
      <c r="D7658" s="44" t="s">
        <v>5937</v>
      </c>
      <c r="E7658" t="s">
        <v>35</v>
      </c>
      <c r="F7658" s="2">
        <v>110114001</v>
      </c>
      <c r="G7658" s="2" t="s">
        <v>181</v>
      </c>
      <c r="I7658" s="95" t="s">
        <v>7231</v>
      </c>
      <c r="J7658" t="s">
        <v>37</v>
      </c>
      <c r="K7658" t="s">
        <v>38</v>
      </c>
      <c r="M7658">
        <v>126.28</v>
      </c>
      <c r="N7658" s="4">
        <f t="shared" si="119"/>
        <v>-749.04672157111179</v>
      </c>
      <c r="O7658" t="s">
        <v>605</v>
      </c>
    </row>
    <row r="7659" spans="1:17" x14ac:dyDescent="0.25">
      <c r="A7659" s="22">
        <v>45873</v>
      </c>
      <c r="B7659" s="1" t="s">
        <v>5938</v>
      </c>
      <c r="C7659" t="s">
        <v>5939</v>
      </c>
      <c r="D7659" s="44" t="s">
        <v>5940</v>
      </c>
      <c r="E7659" t="s">
        <v>35</v>
      </c>
      <c r="F7659" s="2">
        <v>213201001</v>
      </c>
      <c r="G7659" s="2" t="s">
        <v>636</v>
      </c>
      <c r="I7659" s="95" t="s">
        <v>7231</v>
      </c>
      <c r="J7659" t="s">
        <v>637</v>
      </c>
      <c r="K7659" t="s">
        <v>638</v>
      </c>
      <c r="M7659">
        <v>126.28</v>
      </c>
      <c r="N7659" s="4">
        <f t="shared" si="119"/>
        <v>-1.3994298384542287</v>
      </c>
      <c r="O7659" t="s">
        <v>605</v>
      </c>
      <c r="Q7659" s="24" t="s">
        <v>5941</v>
      </c>
    </row>
    <row r="7660" spans="1:17" x14ac:dyDescent="0.25">
      <c r="A7660" s="22">
        <v>45874</v>
      </c>
      <c r="B7660" s="1" t="s">
        <v>5942</v>
      </c>
      <c r="C7660" t="s">
        <v>293</v>
      </c>
      <c r="D7660" s="44" t="s">
        <v>5943</v>
      </c>
      <c r="E7660" t="s">
        <v>45</v>
      </c>
      <c r="F7660" s="2">
        <v>210115002</v>
      </c>
      <c r="G7660" s="2" t="s">
        <v>5259</v>
      </c>
      <c r="I7660" s="95" t="s">
        <v>7231</v>
      </c>
      <c r="K7660" t="s">
        <v>293</v>
      </c>
      <c r="M7660">
        <v>127.11</v>
      </c>
      <c r="N7660" s="4">
        <f t="shared" si="119"/>
        <v>3225.5526709149553</v>
      </c>
      <c r="O7660" t="s">
        <v>605</v>
      </c>
    </row>
    <row r="7661" spans="1:17" x14ac:dyDescent="0.25">
      <c r="A7661" s="22">
        <v>45874</v>
      </c>
      <c r="B7661" s="1" t="s">
        <v>5944</v>
      </c>
      <c r="C7661" t="s">
        <v>622</v>
      </c>
      <c r="D7661" s="44" t="s">
        <v>5945</v>
      </c>
      <c r="E7661" t="s">
        <v>35</v>
      </c>
      <c r="F7661" s="2">
        <v>610148001</v>
      </c>
      <c r="G7661" s="2" t="s">
        <v>41</v>
      </c>
      <c r="I7661" s="95" t="s">
        <v>7231</v>
      </c>
      <c r="J7661" t="s">
        <v>42</v>
      </c>
      <c r="K7661" t="s">
        <v>41</v>
      </c>
      <c r="M7661">
        <v>127.11</v>
      </c>
      <c r="N7661" s="4">
        <f t="shared" si="119"/>
        <v>-9.9677444732908502E-2</v>
      </c>
      <c r="O7661" t="s">
        <v>605</v>
      </c>
      <c r="Q7661" s="24" t="s">
        <v>5251</v>
      </c>
    </row>
    <row r="7662" spans="1:17" x14ac:dyDescent="0.25">
      <c r="A7662" s="22">
        <v>45874</v>
      </c>
      <c r="B7662" s="1" t="s">
        <v>5946</v>
      </c>
      <c r="C7662" t="s">
        <v>5947</v>
      </c>
      <c r="D7662" s="44" t="s">
        <v>5948</v>
      </c>
      <c r="E7662" t="s">
        <v>35</v>
      </c>
      <c r="F7662" s="2">
        <v>210101001</v>
      </c>
      <c r="G7662" s="2" t="s">
        <v>36</v>
      </c>
      <c r="I7662" s="95" t="s">
        <v>7231</v>
      </c>
      <c r="J7662" t="s">
        <v>283</v>
      </c>
      <c r="K7662" t="s">
        <v>1628</v>
      </c>
      <c r="M7662">
        <v>127.11</v>
      </c>
      <c r="N7662" s="4">
        <f t="shared" si="119"/>
        <v>-39.90000786720163</v>
      </c>
      <c r="O7662" t="s">
        <v>605</v>
      </c>
    </row>
    <row r="7663" spans="1:17" x14ac:dyDescent="0.25">
      <c r="A7663" s="22">
        <v>45874</v>
      </c>
      <c r="B7663" s="1" t="s">
        <v>5949</v>
      </c>
      <c r="C7663" t="s">
        <v>622</v>
      </c>
      <c r="D7663" s="44" t="s">
        <v>5950</v>
      </c>
      <c r="E7663" t="s">
        <v>35</v>
      </c>
      <c r="F7663" s="2">
        <v>610148001</v>
      </c>
      <c r="G7663" s="2" t="s">
        <v>41</v>
      </c>
      <c r="I7663" s="95" t="s">
        <v>7231</v>
      </c>
      <c r="J7663" t="s">
        <v>42</v>
      </c>
      <c r="K7663" t="s">
        <v>41</v>
      </c>
      <c r="M7663">
        <v>127.11</v>
      </c>
      <c r="N7663" s="4">
        <f t="shared" si="119"/>
        <v>-8.8583903705451981</v>
      </c>
      <c r="O7663" t="s">
        <v>605</v>
      </c>
      <c r="Q7663" s="24" t="s">
        <v>5251</v>
      </c>
    </row>
    <row r="7664" spans="1:17" x14ac:dyDescent="0.25">
      <c r="A7664" s="22">
        <v>45874</v>
      </c>
      <c r="B7664" s="1" t="s">
        <v>5951</v>
      </c>
      <c r="C7664" t="s">
        <v>5952</v>
      </c>
      <c r="D7664" s="44" t="s">
        <v>5953</v>
      </c>
      <c r="E7664" t="s">
        <v>35</v>
      </c>
      <c r="F7664" s="2">
        <v>210101001</v>
      </c>
      <c r="G7664" s="2" t="s">
        <v>36</v>
      </c>
      <c r="I7664" s="95" t="s">
        <v>7231</v>
      </c>
      <c r="J7664" t="s">
        <v>37</v>
      </c>
      <c r="K7664" t="s">
        <v>38</v>
      </c>
      <c r="M7664">
        <v>127.11</v>
      </c>
      <c r="N7664" s="4">
        <f t="shared" si="119"/>
        <v>-3543.3822673275117</v>
      </c>
      <c r="O7664" t="s">
        <v>605</v>
      </c>
    </row>
    <row r="7665" spans="1:18" x14ac:dyDescent="0.25">
      <c r="A7665" s="22">
        <v>45875</v>
      </c>
      <c r="B7665" s="1" t="s">
        <v>5954</v>
      </c>
      <c r="C7665" t="s">
        <v>293</v>
      </c>
      <c r="D7665" s="44" t="s">
        <v>5955</v>
      </c>
      <c r="E7665" t="s">
        <v>45</v>
      </c>
      <c r="F7665" s="2">
        <v>210115002</v>
      </c>
      <c r="G7665" s="2" t="s">
        <v>5259</v>
      </c>
      <c r="I7665" s="95" t="s">
        <v>7231</v>
      </c>
      <c r="K7665" t="s">
        <v>293</v>
      </c>
      <c r="M7665">
        <v>128.24</v>
      </c>
      <c r="N7665" s="4">
        <f t="shared" si="119"/>
        <v>7018.0910792264503</v>
      </c>
      <c r="O7665" t="s">
        <v>605</v>
      </c>
    </row>
    <row r="7666" spans="1:18" x14ac:dyDescent="0.25">
      <c r="A7666" s="22">
        <v>45875</v>
      </c>
      <c r="B7666" s="1" t="s">
        <v>5956</v>
      </c>
      <c r="C7666" t="s">
        <v>5957</v>
      </c>
      <c r="D7666" s="44" t="s">
        <v>5958</v>
      </c>
      <c r="E7666" t="s">
        <v>35</v>
      </c>
      <c r="F7666" s="2">
        <v>210101001</v>
      </c>
      <c r="G7666" s="2" t="s">
        <v>36</v>
      </c>
      <c r="I7666" s="95" t="s">
        <v>7231</v>
      </c>
      <c r="J7666" t="s">
        <v>1864</v>
      </c>
      <c r="K7666" t="s">
        <v>1865</v>
      </c>
      <c r="M7666">
        <v>128.24</v>
      </c>
      <c r="N7666" s="4">
        <f t="shared" si="119"/>
        <v>-16.369385527136618</v>
      </c>
      <c r="O7666" t="s">
        <v>605</v>
      </c>
    </row>
    <row r="7667" spans="1:18" x14ac:dyDescent="0.25">
      <c r="A7667" s="22">
        <v>45875</v>
      </c>
      <c r="B7667" s="1" t="s">
        <v>5959</v>
      </c>
      <c r="C7667" t="s">
        <v>622</v>
      </c>
      <c r="D7667" s="44" t="s">
        <v>5960</v>
      </c>
      <c r="E7667" t="s">
        <v>35</v>
      </c>
      <c r="F7667" s="2">
        <v>610148001</v>
      </c>
      <c r="G7667" s="2" t="s">
        <v>41</v>
      </c>
      <c r="I7667" s="95" t="s">
        <v>7231</v>
      </c>
      <c r="J7667" t="s">
        <v>42</v>
      </c>
      <c r="K7667" t="s">
        <v>41</v>
      </c>
      <c r="M7667">
        <v>128.24</v>
      </c>
      <c r="N7667" s="4">
        <f t="shared" si="119"/>
        <v>-4.0860885839051779E-2</v>
      </c>
      <c r="O7667" t="s">
        <v>605</v>
      </c>
      <c r="Q7667" s="24" t="s">
        <v>5251</v>
      </c>
    </row>
    <row r="7668" spans="1:18" ht="15.75" x14ac:dyDescent="0.25">
      <c r="A7668" s="22">
        <v>45875</v>
      </c>
      <c r="B7668" s="1" t="s">
        <v>5961</v>
      </c>
      <c r="C7668" t="s">
        <v>622</v>
      </c>
      <c r="D7668" s="44" t="s">
        <v>5962</v>
      </c>
      <c r="E7668" t="s">
        <v>35</v>
      </c>
      <c r="F7668" s="2">
        <v>610148001</v>
      </c>
      <c r="G7668" s="2" t="s">
        <v>41</v>
      </c>
      <c r="I7668" s="95" t="s">
        <v>7231</v>
      </c>
      <c r="J7668" t="s">
        <v>42</v>
      </c>
      <c r="K7668" t="s">
        <v>41</v>
      </c>
      <c r="M7668">
        <v>128.24</v>
      </c>
      <c r="N7668" s="4">
        <f t="shared" si="119"/>
        <v>-16.330708047411104</v>
      </c>
      <c r="O7668" t="s">
        <v>605</v>
      </c>
      <c r="P7668" s="37" t="s">
        <v>5963</v>
      </c>
      <c r="Q7668" s="24" t="s">
        <v>5251</v>
      </c>
    </row>
    <row r="7669" spans="1:18" x14ac:dyDescent="0.25">
      <c r="A7669" s="22">
        <v>45875</v>
      </c>
      <c r="B7669" s="1" t="s">
        <v>5964</v>
      </c>
      <c r="C7669" t="s">
        <v>5965</v>
      </c>
      <c r="D7669" s="44" t="s">
        <v>5966</v>
      </c>
      <c r="E7669" t="s">
        <v>35</v>
      </c>
      <c r="F7669" s="2">
        <v>110114001</v>
      </c>
      <c r="G7669" s="2" t="s">
        <v>181</v>
      </c>
      <c r="I7669" s="95" t="s">
        <v>7231</v>
      </c>
      <c r="J7669" t="s">
        <v>37</v>
      </c>
      <c r="K7669" t="s">
        <v>38</v>
      </c>
      <c r="M7669">
        <v>128.24</v>
      </c>
      <c r="N7669" s="4">
        <f t="shared" si="119"/>
        <v>-6532.2999844042415</v>
      </c>
      <c r="O7669" t="s">
        <v>605</v>
      </c>
    </row>
    <row r="7670" spans="1:18" x14ac:dyDescent="0.25">
      <c r="A7670" s="22">
        <v>45875</v>
      </c>
      <c r="B7670" s="1" t="s">
        <v>5967</v>
      </c>
      <c r="C7670" t="s">
        <v>622</v>
      </c>
      <c r="D7670" s="44" t="s">
        <v>5968</v>
      </c>
      <c r="E7670" t="s">
        <v>35</v>
      </c>
      <c r="F7670" s="2">
        <v>610148001</v>
      </c>
      <c r="G7670" s="2" t="s">
        <v>41</v>
      </c>
      <c r="I7670" s="95" t="s">
        <v>7231</v>
      </c>
      <c r="J7670" t="s">
        <v>42</v>
      </c>
      <c r="K7670" t="s">
        <v>41</v>
      </c>
      <c r="M7670">
        <v>128.24</v>
      </c>
      <c r="N7670" s="4">
        <f t="shared" si="119"/>
        <v>-0.29998440424204614</v>
      </c>
      <c r="O7670" t="s">
        <v>605</v>
      </c>
      <c r="Q7670" s="24" t="s">
        <v>5251</v>
      </c>
    </row>
    <row r="7671" spans="1:18" x14ac:dyDescent="0.25">
      <c r="A7671" s="33">
        <v>45875</v>
      </c>
      <c r="B7671" s="27" t="s">
        <v>5969</v>
      </c>
      <c r="C7671" s="28" t="s">
        <v>5970</v>
      </c>
      <c r="D7671" s="47">
        <v>-15388.8</v>
      </c>
      <c r="E7671" s="28" t="s">
        <v>35</v>
      </c>
      <c r="F7671" s="30">
        <v>610156001</v>
      </c>
      <c r="G7671" s="30" t="s">
        <v>72</v>
      </c>
      <c r="H7671" s="30"/>
      <c r="I7671" s="95" t="s">
        <v>7231</v>
      </c>
      <c r="J7671" s="28" t="s">
        <v>73</v>
      </c>
      <c r="K7671" s="28" t="s">
        <v>74</v>
      </c>
      <c r="L7671" s="28" t="s">
        <v>56</v>
      </c>
      <c r="M7671" s="28">
        <v>128.24</v>
      </c>
      <c r="N7671" s="4">
        <f t="shared" si="119"/>
        <v>-119.99999999999999</v>
      </c>
      <c r="O7671" t="s">
        <v>605</v>
      </c>
      <c r="Q7671" s="24" t="s">
        <v>5971</v>
      </c>
    </row>
    <row r="7672" spans="1:18" x14ac:dyDescent="0.25">
      <c r="A7672" s="22">
        <v>45875</v>
      </c>
      <c r="B7672" s="1" t="s">
        <v>5972</v>
      </c>
      <c r="C7672" t="s">
        <v>622</v>
      </c>
      <c r="D7672" s="1">
        <v>-79.680000000000007</v>
      </c>
      <c r="E7672" t="s">
        <v>35</v>
      </c>
      <c r="F7672" s="2">
        <v>610148001</v>
      </c>
      <c r="G7672" s="2" t="s">
        <v>41</v>
      </c>
      <c r="I7672" s="95" t="s">
        <v>7231</v>
      </c>
      <c r="J7672" t="s">
        <v>42</v>
      </c>
      <c r="K7672" t="s">
        <v>41</v>
      </c>
      <c r="M7672">
        <v>128.24</v>
      </c>
      <c r="N7672" s="4">
        <f t="shared" si="119"/>
        <v>-0.62133499688084837</v>
      </c>
      <c r="O7672" t="s">
        <v>605</v>
      </c>
      <c r="Q7672" s="24" t="s">
        <v>5251</v>
      </c>
    </row>
    <row r="7673" spans="1:18" x14ac:dyDescent="0.25">
      <c r="A7673" s="22">
        <v>45875</v>
      </c>
      <c r="B7673" s="1" t="s">
        <v>5973</v>
      </c>
      <c r="C7673" t="s">
        <v>5974</v>
      </c>
      <c r="D7673" s="44">
        <v>-31873.26</v>
      </c>
      <c r="E7673" t="s">
        <v>35</v>
      </c>
      <c r="F7673" s="2">
        <v>210101001</v>
      </c>
      <c r="G7673" s="2" t="s">
        <v>36</v>
      </c>
      <c r="I7673" s="95" t="s">
        <v>7231</v>
      </c>
      <c r="J7673" t="s">
        <v>502</v>
      </c>
      <c r="K7673" t="s">
        <v>503</v>
      </c>
      <c r="M7673">
        <v>128.24</v>
      </c>
      <c r="N7673" s="4">
        <f t="shared" si="119"/>
        <v>-248.54382407985025</v>
      </c>
      <c r="O7673" t="s">
        <v>605</v>
      </c>
    </row>
    <row r="7674" spans="1:18" x14ac:dyDescent="0.25">
      <c r="A7674" s="22">
        <v>45875</v>
      </c>
      <c r="B7674" s="1" t="s">
        <v>5975</v>
      </c>
      <c r="C7674" t="s">
        <v>622</v>
      </c>
      <c r="D7674" s="1">
        <v>-22.07</v>
      </c>
      <c r="E7674" t="s">
        <v>35</v>
      </c>
      <c r="F7674" s="2">
        <v>610148001</v>
      </c>
      <c r="G7674" s="2" t="s">
        <v>41</v>
      </c>
      <c r="I7674" s="95" t="s">
        <v>7231</v>
      </c>
      <c r="J7674" t="s">
        <v>42</v>
      </c>
      <c r="K7674" t="s">
        <v>41</v>
      </c>
      <c r="M7674">
        <v>128.24</v>
      </c>
      <c r="N7674" s="4">
        <f t="shared" si="119"/>
        <v>-0.17209918902058638</v>
      </c>
      <c r="O7674" t="s">
        <v>605</v>
      </c>
      <c r="Q7674" s="24" t="s">
        <v>5251</v>
      </c>
    </row>
    <row r="7675" spans="1:18" x14ac:dyDescent="0.25">
      <c r="A7675" s="22">
        <v>45875</v>
      </c>
      <c r="B7675" s="1" t="s">
        <v>5976</v>
      </c>
      <c r="C7675" t="s">
        <v>5977</v>
      </c>
      <c r="D7675" s="44">
        <v>-8831.4</v>
      </c>
      <c r="E7675" t="s">
        <v>35</v>
      </c>
      <c r="F7675" s="2">
        <v>210101001</v>
      </c>
      <c r="G7675" s="2" t="s">
        <v>36</v>
      </c>
      <c r="I7675" s="95" t="s">
        <v>7231</v>
      </c>
      <c r="J7675" t="s">
        <v>182</v>
      </c>
      <c r="K7675" t="s">
        <v>183</v>
      </c>
      <c r="M7675">
        <v>128.24</v>
      </c>
      <c r="N7675" s="4">
        <f t="shared" si="119"/>
        <v>-68.866188396756073</v>
      </c>
      <c r="O7675" t="s">
        <v>605</v>
      </c>
    </row>
    <row r="7676" spans="1:18" x14ac:dyDescent="0.25">
      <c r="A7676" s="22">
        <v>45876</v>
      </c>
      <c r="B7676" s="1" t="s">
        <v>5978</v>
      </c>
      <c r="C7676" t="s">
        <v>293</v>
      </c>
      <c r="D7676" s="44">
        <v>1300000</v>
      </c>
      <c r="E7676" t="s">
        <v>45</v>
      </c>
      <c r="F7676" s="2">
        <v>210115002</v>
      </c>
      <c r="G7676" s="2" t="s">
        <v>5259</v>
      </c>
      <c r="I7676" s="95" t="s">
        <v>7231</v>
      </c>
      <c r="K7676" t="s">
        <v>293</v>
      </c>
      <c r="M7676">
        <v>129.05000000000001</v>
      </c>
      <c r="N7676" s="4">
        <f t="shared" si="119"/>
        <v>10073.61487795428</v>
      </c>
      <c r="O7676" t="s">
        <v>605</v>
      </c>
    </row>
    <row r="7677" spans="1:18" x14ac:dyDescent="0.25">
      <c r="A7677" s="22">
        <v>45876</v>
      </c>
      <c r="B7677" s="1" t="s">
        <v>5979</v>
      </c>
      <c r="C7677" t="s">
        <v>622</v>
      </c>
      <c r="D7677" s="1">
        <v>-709.71</v>
      </c>
      <c r="E7677" t="s">
        <v>35</v>
      </c>
      <c r="F7677" s="2">
        <v>610148001</v>
      </c>
      <c r="G7677" s="2" t="s">
        <v>41</v>
      </c>
      <c r="I7677" s="95" t="s">
        <v>7231</v>
      </c>
      <c r="J7677" t="s">
        <v>42</v>
      </c>
      <c r="K7677" t="s">
        <v>41</v>
      </c>
      <c r="M7677">
        <v>129.05000000000001</v>
      </c>
      <c r="N7677" s="4">
        <f t="shared" si="119"/>
        <v>-5.4994963192561022</v>
      </c>
      <c r="O7677" t="s">
        <v>605</v>
      </c>
      <c r="Q7677" s="24" t="s">
        <v>5251</v>
      </c>
    </row>
    <row r="7678" spans="1:18" x14ac:dyDescent="0.25">
      <c r="A7678" s="22">
        <v>45876</v>
      </c>
      <c r="B7678" s="1" t="s">
        <v>5980</v>
      </c>
      <c r="C7678" t="s">
        <v>5981</v>
      </c>
      <c r="D7678" s="44">
        <v>-283884.90000000002</v>
      </c>
      <c r="E7678" t="s">
        <v>35</v>
      </c>
      <c r="F7678" s="2">
        <v>110114001</v>
      </c>
      <c r="G7678" s="2" t="s">
        <v>181</v>
      </c>
      <c r="I7678" s="95" t="s">
        <v>7231</v>
      </c>
      <c r="J7678" t="s">
        <v>37</v>
      </c>
      <c r="K7678" t="s">
        <v>38</v>
      </c>
      <c r="M7678">
        <v>129.05000000000001</v>
      </c>
      <c r="N7678" s="4">
        <f t="shared" si="119"/>
        <v>-2199.8055017435104</v>
      </c>
      <c r="O7678" t="s">
        <v>605</v>
      </c>
      <c r="P7678" s="34" t="s">
        <v>3035</v>
      </c>
      <c r="R7678" t="s">
        <v>28</v>
      </c>
    </row>
    <row r="7679" spans="1:18" x14ac:dyDescent="0.25">
      <c r="A7679" s="22">
        <v>45876</v>
      </c>
      <c r="B7679" s="1" t="s">
        <v>5982</v>
      </c>
      <c r="C7679" t="s">
        <v>622</v>
      </c>
      <c r="D7679" s="44">
        <v>-2500</v>
      </c>
      <c r="E7679" t="s">
        <v>35</v>
      </c>
      <c r="F7679" s="2">
        <v>610148001</v>
      </c>
      <c r="G7679" s="2" t="s">
        <v>41</v>
      </c>
      <c r="I7679" s="95" t="s">
        <v>7231</v>
      </c>
      <c r="J7679" t="s">
        <v>42</v>
      </c>
      <c r="K7679" t="s">
        <v>41</v>
      </c>
      <c r="M7679">
        <v>129.05000000000001</v>
      </c>
      <c r="N7679" s="4">
        <f t="shared" si="119"/>
        <v>-19.372336303758232</v>
      </c>
      <c r="O7679" t="s">
        <v>605</v>
      </c>
      <c r="Q7679" s="24" t="s">
        <v>5251</v>
      </c>
    </row>
    <row r="7680" spans="1:18" x14ac:dyDescent="0.25">
      <c r="A7680" s="22">
        <v>45876</v>
      </c>
      <c r="B7680" s="1" t="s">
        <v>5983</v>
      </c>
      <c r="C7680" t="s">
        <v>5981</v>
      </c>
      <c r="D7680" s="44">
        <v>-1000000</v>
      </c>
      <c r="E7680" t="s">
        <v>35</v>
      </c>
      <c r="F7680" s="2">
        <v>110114001</v>
      </c>
      <c r="G7680" s="2" t="s">
        <v>181</v>
      </c>
      <c r="I7680" s="95" t="s">
        <v>7231</v>
      </c>
      <c r="J7680" t="s">
        <v>37</v>
      </c>
      <c r="K7680" t="s">
        <v>38</v>
      </c>
      <c r="M7680">
        <v>129.05000000000001</v>
      </c>
      <c r="N7680" s="4">
        <f t="shared" si="119"/>
        <v>-7748.9345215032927</v>
      </c>
      <c r="O7680" t="s">
        <v>605</v>
      </c>
      <c r="P7680" s="34" t="s">
        <v>3035</v>
      </c>
      <c r="R7680" t="s">
        <v>28</v>
      </c>
    </row>
    <row r="7681" spans="1:17" x14ac:dyDescent="0.25">
      <c r="A7681" s="22">
        <v>45876</v>
      </c>
      <c r="B7681" s="1" t="s">
        <v>5984</v>
      </c>
      <c r="C7681" t="s">
        <v>622</v>
      </c>
      <c r="D7681" s="1">
        <v>-2.83</v>
      </c>
      <c r="E7681" t="s">
        <v>35</v>
      </c>
      <c r="F7681" s="2">
        <v>610148001</v>
      </c>
      <c r="G7681" s="2" t="s">
        <v>41</v>
      </c>
      <c r="I7681" s="95" t="s">
        <v>7231</v>
      </c>
      <c r="J7681" t="s">
        <v>42</v>
      </c>
      <c r="K7681" t="s">
        <v>41</v>
      </c>
      <c r="M7681">
        <v>129.05000000000001</v>
      </c>
      <c r="N7681" s="4">
        <f t="shared" si="119"/>
        <v>-2.1929484695854318E-2</v>
      </c>
      <c r="O7681" t="s">
        <v>605</v>
      </c>
      <c r="Q7681" s="24" t="s">
        <v>5251</v>
      </c>
    </row>
    <row r="7682" spans="1:17" x14ac:dyDescent="0.25">
      <c r="A7682" s="22">
        <v>45876</v>
      </c>
      <c r="B7682" s="1" t="s">
        <v>5985</v>
      </c>
      <c r="C7682" t="s">
        <v>5986</v>
      </c>
      <c r="D7682" s="44">
        <v>-1134.27</v>
      </c>
      <c r="E7682" t="s">
        <v>35</v>
      </c>
      <c r="F7682" s="2">
        <v>210101001</v>
      </c>
      <c r="G7682" s="2" t="s">
        <v>36</v>
      </c>
      <c r="I7682" s="95" t="s">
        <v>7231</v>
      </c>
      <c r="J7682" t="s">
        <v>631</v>
      </c>
      <c r="K7682" t="s">
        <v>632</v>
      </c>
      <c r="M7682">
        <v>129.05000000000001</v>
      </c>
      <c r="N7682" s="4">
        <f t="shared" si="119"/>
        <v>-8.789383959705539</v>
      </c>
      <c r="O7682" t="s">
        <v>605</v>
      </c>
    </row>
    <row r="7683" spans="1:17" x14ac:dyDescent="0.25">
      <c r="A7683" s="22">
        <v>45876</v>
      </c>
      <c r="B7683" s="1" t="s">
        <v>5987</v>
      </c>
      <c r="C7683" t="s">
        <v>622</v>
      </c>
      <c r="D7683" s="1">
        <v>-2.83</v>
      </c>
      <c r="E7683" t="s">
        <v>35</v>
      </c>
      <c r="F7683" s="2">
        <v>610148001</v>
      </c>
      <c r="G7683" s="2" t="s">
        <v>41</v>
      </c>
      <c r="I7683" s="95" t="s">
        <v>7231</v>
      </c>
      <c r="J7683" t="s">
        <v>42</v>
      </c>
      <c r="K7683" t="s">
        <v>41</v>
      </c>
      <c r="M7683">
        <v>129.05000000000001</v>
      </c>
      <c r="N7683" s="4">
        <f t="shared" si="119"/>
        <v>-2.1929484695854318E-2</v>
      </c>
      <c r="O7683" t="s">
        <v>605</v>
      </c>
      <c r="Q7683" s="24" t="s">
        <v>5251</v>
      </c>
    </row>
    <row r="7684" spans="1:17" x14ac:dyDescent="0.25">
      <c r="A7684" s="22">
        <v>45876</v>
      </c>
      <c r="B7684" s="1" t="s">
        <v>5988</v>
      </c>
      <c r="C7684" t="s">
        <v>5989</v>
      </c>
      <c r="D7684" s="44">
        <v>-1134.27</v>
      </c>
      <c r="E7684" t="s">
        <v>35</v>
      </c>
      <c r="F7684" s="2">
        <v>210101001</v>
      </c>
      <c r="G7684" s="2" t="s">
        <v>36</v>
      </c>
      <c r="I7684" s="95" t="s">
        <v>7231</v>
      </c>
      <c r="J7684" t="s">
        <v>631</v>
      </c>
      <c r="K7684" t="s">
        <v>632</v>
      </c>
      <c r="M7684">
        <v>129.05000000000001</v>
      </c>
      <c r="N7684" s="4">
        <f t="shared" si="119"/>
        <v>-8.789383959705539</v>
      </c>
      <c r="O7684" t="s">
        <v>605</v>
      </c>
    </row>
    <row r="7685" spans="1:17" x14ac:dyDescent="0.25">
      <c r="A7685" s="22">
        <v>45877</v>
      </c>
      <c r="B7685" s="1" t="s">
        <v>5990</v>
      </c>
      <c r="C7685" t="s">
        <v>293</v>
      </c>
      <c r="D7685" s="44">
        <v>870000</v>
      </c>
      <c r="E7685" t="s">
        <v>45</v>
      </c>
      <c r="F7685" s="2">
        <v>210115002</v>
      </c>
      <c r="G7685" s="2" t="s">
        <v>5259</v>
      </c>
      <c r="I7685" s="95" t="s">
        <v>7231</v>
      </c>
      <c r="K7685" t="s">
        <v>293</v>
      </c>
      <c r="M7685">
        <v>130.07</v>
      </c>
      <c r="N7685" s="4">
        <f t="shared" si="119"/>
        <v>6688.706081340817</v>
      </c>
      <c r="O7685" t="s">
        <v>605</v>
      </c>
    </row>
    <row r="7686" spans="1:17" x14ac:dyDescent="0.25">
      <c r="A7686" s="22">
        <v>45877</v>
      </c>
      <c r="B7686" s="1" t="s">
        <v>5991</v>
      </c>
      <c r="C7686" t="s">
        <v>5992</v>
      </c>
      <c r="D7686" s="44">
        <v>-13007</v>
      </c>
      <c r="E7686" t="s">
        <v>35</v>
      </c>
      <c r="F7686" s="2">
        <v>212901001</v>
      </c>
      <c r="G7686" s="2" t="s">
        <v>91</v>
      </c>
      <c r="I7686" s="95" t="s">
        <v>7231</v>
      </c>
      <c r="J7686" t="s">
        <v>61</v>
      </c>
      <c r="K7686" t="s">
        <v>62</v>
      </c>
      <c r="M7686">
        <v>130.07</v>
      </c>
      <c r="N7686" s="4">
        <f t="shared" si="119"/>
        <v>-100</v>
      </c>
      <c r="O7686" t="s">
        <v>605</v>
      </c>
    </row>
    <row r="7687" spans="1:17" x14ac:dyDescent="0.25">
      <c r="A7687" s="22">
        <v>45877</v>
      </c>
      <c r="B7687" s="1" t="s">
        <v>5993</v>
      </c>
      <c r="C7687" t="s">
        <v>622</v>
      </c>
      <c r="D7687" s="1">
        <v>-32.51</v>
      </c>
      <c r="E7687" t="s">
        <v>35</v>
      </c>
      <c r="F7687" s="2">
        <v>610148001</v>
      </c>
      <c r="G7687" s="2" t="s">
        <v>41</v>
      </c>
      <c r="I7687" s="95" t="s">
        <v>7231</v>
      </c>
      <c r="J7687" t="s">
        <v>42</v>
      </c>
      <c r="K7687" t="s">
        <v>41</v>
      </c>
      <c r="M7687">
        <v>130.07</v>
      </c>
      <c r="N7687" s="4">
        <f t="shared" si="119"/>
        <v>-0.24994233874067809</v>
      </c>
      <c r="O7687" t="s">
        <v>605</v>
      </c>
      <c r="Q7687" s="24" t="s">
        <v>5251</v>
      </c>
    </row>
    <row r="7688" spans="1:17" x14ac:dyDescent="0.25">
      <c r="A7688" s="22">
        <v>45877</v>
      </c>
      <c r="B7688" s="1" t="s">
        <v>5994</v>
      </c>
      <c r="C7688" t="s">
        <v>5995</v>
      </c>
      <c r="D7688" s="44">
        <v>-2601.4</v>
      </c>
      <c r="E7688" t="s">
        <v>35</v>
      </c>
      <c r="F7688" s="2">
        <v>212901001</v>
      </c>
      <c r="G7688" s="2" t="s">
        <v>91</v>
      </c>
      <c r="I7688" s="95" t="s">
        <v>7231</v>
      </c>
      <c r="J7688" t="s">
        <v>61</v>
      </c>
      <c r="K7688" t="s">
        <v>62</v>
      </c>
      <c r="M7688">
        <v>130.07</v>
      </c>
      <c r="N7688" s="4">
        <f t="shared" si="119"/>
        <v>-20</v>
      </c>
      <c r="O7688" t="s">
        <v>605</v>
      </c>
    </row>
    <row r="7689" spans="1:17" x14ac:dyDescent="0.25">
      <c r="A7689" s="22">
        <v>45877</v>
      </c>
      <c r="B7689" s="1" t="s">
        <v>5996</v>
      </c>
      <c r="C7689" t="s">
        <v>622</v>
      </c>
      <c r="D7689" s="1">
        <v>-6.5</v>
      </c>
      <c r="E7689" t="s">
        <v>35</v>
      </c>
      <c r="F7689" s="2">
        <v>610148001</v>
      </c>
      <c r="G7689" s="2" t="s">
        <v>41</v>
      </c>
      <c r="I7689" s="95" t="s">
        <v>7231</v>
      </c>
      <c r="J7689" t="s">
        <v>42</v>
      </c>
      <c r="K7689" t="s">
        <v>41</v>
      </c>
      <c r="M7689">
        <v>130.07</v>
      </c>
      <c r="N7689" s="4">
        <f t="shared" si="119"/>
        <v>-4.9973091412316449E-2</v>
      </c>
      <c r="O7689" t="s">
        <v>605</v>
      </c>
      <c r="Q7689" s="24" t="s">
        <v>5251</v>
      </c>
    </row>
    <row r="7690" spans="1:17" x14ac:dyDescent="0.25">
      <c r="A7690" s="22">
        <v>45877</v>
      </c>
      <c r="B7690" s="1" t="s">
        <v>5997</v>
      </c>
      <c r="C7690" t="s">
        <v>5998</v>
      </c>
      <c r="D7690" s="44">
        <v>-269114.83</v>
      </c>
      <c r="E7690" t="s">
        <v>35</v>
      </c>
      <c r="F7690" s="2">
        <v>210101001</v>
      </c>
      <c r="G7690" s="2" t="s">
        <v>36</v>
      </c>
      <c r="I7690" s="95" t="s">
        <v>7231</v>
      </c>
      <c r="J7690" t="s">
        <v>37</v>
      </c>
      <c r="K7690" t="s">
        <v>38</v>
      </c>
      <c r="M7690">
        <v>130.07</v>
      </c>
      <c r="N7690" s="4">
        <f t="shared" si="119"/>
        <v>-2069.0000000000005</v>
      </c>
      <c r="O7690" t="s">
        <v>605</v>
      </c>
    </row>
    <row r="7691" spans="1:17" x14ac:dyDescent="0.25">
      <c r="A7691" s="22">
        <v>45877</v>
      </c>
      <c r="B7691" s="1" t="s">
        <v>5999</v>
      </c>
      <c r="C7691" t="s">
        <v>622</v>
      </c>
      <c r="D7691" s="1">
        <v>-672.78</v>
      </c>
      <c r="E7691" t="s">
        <v>35</v>
      </c>
      <c r="F7691" s="2">
        <v>610148001</v>
      </c>
      <c r="G7691" s="2" t="s">
        <v>41</v>
      </c>
      <c r="I7691" s="95" t="s">
        <v>7231</v>
      </c>
      <c r="J7691" t="s">
        <v>42</v>
      </c>
      <c r="K7691" t="s">
        <v>41</v>
      </c>
      <c r="M7691">
        <v>130.07</v>
      </c>
      <c r="N7691" s="4">
        <f t="shared" si="119"/>
        <v>-5.1724456062120394</v>
      </c>
      <c r="O7691" t="s">
        <v>605</v>
      </c>
      <c r="Q7691" s="24" t="s">
        <v>5251</v>
      </c>
    </row>
    <row r="7692" spans="1:17" x14ac:dyDescent="0.25">
      <c r="A7692" s="33">
        <v>45877</v>
      </c>
      <c r="B7692" s="27" t="s">
        <v>6000</v>
      </c>
      <c r="C7692" s="28" t="s">
        <v>6001</v>
      </c>
      <c r="D7692" s="47">
        <v>-42272.75</v>
      </c>
      <c r="E7692" s="28" t="s">
        <v>35</v>
      </c>
      <c r="F7692" s="30">
        <v>610156001</v>
      </c>
      <c r="G7692" s="30" t="s">
        <v>72</v>
      </c>
      <c r="H7692" s="30"/>
      <c r="I7692" s="95" t="s">
        <v>7231</v>
      </c>
      <c r="J7692" s="28" t="s">
        <v>2398</v>
      </c>
      <c r="K7692" s="28" t="s">
        <v>632</v>
      </c>
      <c r="L7692" s="28" t="s">
        <v>56</v>
      </c>
      <c r="M7692" s="28">
        <v>130.07</v>
      </c>
      <c r="N7692" s="4">
        <f t="shared" ref="N7692:N7755" si="120">D7692/M7692</f>
        <v>-325</v>
      </c>
      <c r="O7692" t="s">
        <v>605</v>
      </c>
      <c r="Q7692" s="24" t="s">
        <v>6002</v>
      </c>
    </row>
    <row r="7693" spans="1:17" x14ac:dyDescent="0.25">
      <c r="A7693" s="22">
        <v>45877</v>
      </c>
      <c r="B7693" s="1" t="s">
        <v>6003</v>
      </c>
      <c r="C7693" t="s">
        <v>622</v>
      </c>
      <c r="D7693" s="1">
        <v>-105.68</v>
      </c>
      <c r="E7693" t="s">
        <v>35</v>
      </c>
      <c r="F7693" s="2">
        <v>610148001</v>
      </c>
      <c r="G7693" s="2" t="s">
        <v>41</v>
      </c>
      <c r="I7693" s="95" t="s">
        <v>7231</v>
      </c>
      <c r="J7693" t="s">
        <v>42</v>
      </c>
      <c r="K7693" t="s">
        <v>41</v>
      </c>
      <c r="M7693">
        <v>130.07</v>
      </c>
      <c r="N7693" s="4">
        <f t="shared" si="120"/>
        <v>-0.81248558468516963</v>
      </c>
      <c r="O7693" t="s">
        <v>605</v>
      </c>
      <c r="Q7693" s="24" t="s">
        <v>5251</v>
      </c>
    </row>
    <row r="7694" spans="1:17" x14ac:dyDescent="0.25">
      <c r="A7694" s="22">
        <v>45877</v>
      </c>
      <c r="B7694" s="1" t="s">
        <v>6004</v>
      </c>
      <c r="C7694" t="s">
        <v>6005</v>
      </c>
      <c r="D7694" s="44">
        <v>-2601.4</v>
      </c>
      <c r="E7694" t="s">
        <v>35</v>
      </c>
      <c r="F7694" s="2">
        <v>212901001</v>
      </c>
      <c r="G7694" s="2" t="s">
        <v>91</v>
      </c>
      <c r="I7694" s="95" t="s">
        <v>7231</v>
      </c>
      <c r="J7694" t="s">
        <v>61</v>
      </c>
      <c r="K7694" t="s">
        <v>62</v>
      </c>
      <c r="M7694">
        <v>130.07</v>
      </c>
      <c r="N7694" s="4">
        <f t="shared" si="120"/>
        <v>-20</v>
      </c>
      <c r="O7694" t="s">
        <v>605</v>
      </c>
    </row>
    <row r="7695" spans="1:17" x14ac:dyDescent="0.25">
      <c r="A7695" s="22">
        <v>45877</v>
      </c>
      <c r="B7695" s="1" t="s">
        <v>6006</v>
      </c>
      <c r="C7695" t="s">
        <v>622</v>
      </c>
      <c r="D7695" s="1">
        <v>-6.5</v>
      </c>
      <c r="E7695" t="s">
        <v>35</v>
      </c>
      <c r="F7695" s="2">
        <v>610148001</v>
      </c>
      <c r="G7695" s="2" t="s">
        <v>41</v>
      </c>
      <c r="I7695" s="95" t="s">
        <v>7231</v>
      </c>
      <c r="J7695" t="s">
        <v>42</v>
      </c>
      <c r="K7695" t="s">
        <v>41</v>
      </c>
      <c r="M7695">
        <v>130.07</v>
      </c>
      <c r="N7695" s="4">
        <f t="shared" si="120"/>
        <v>-4.9973091412316449E-2</v>
      </c>
      <c r="O7695" t="s">
        <v>605</v>
      </c>
      <c r="Q7695" s="24" t="s">
        <v>5251</v>
      </c>
    </row>
    <row r="7696" spans="1:17" x14ac:dyDescent="0.25">
      <c r="A7696" s="22">
        <v>45877</v>
      </c>
      <c r="B7696" s="1" t="s">
        <v>6007</v>
      </c>
      <c r="C7696" t="s">
        <v>6008</v>
      </c>
      <c r="D7696" s="44">
        <v>-2601.4</v>
      </c>
      <c r="E7696" t="s">
        <v>35</v>
      </c>
      <c r="F7696" s="2">
        <v>212901001</v>
      </c>
      <c r="G7696" s="2" t="s">
        <v>91</v>
      </c>
      <c r="I7696" s="95" t="s">
        <v>7231</v>
      </c>
      <c r="J7696" t="s">
        <v>61</v>
      </c>
      <c r="K7696" t="s">
        <v>62</v>
      </c>
      <c r="M7696">
        <v>130.07</v>
      </c>
      <c r="N7696" s="4">
        <f t="shared" si="120"/>
        <v>-20</v>
      </c>
      <c r="O7696" t="s">
        <v>605</v>
      </c>
    </row>
    <row r="7697" spans="1:17" x14ac:dyDescent="0.25">
      <c r="A7697" s="22">
        <v>45877</v>
      </c>
      <c r="B7697" s="1" t="s">
        <v>6009</v>
      </c>
      <c r="C7697" t="s">
        <v>622</v>
      </c>
      <c r="D7697" s="1">
        <v>-6.5</v>
      </c>
      <c r="E7697" t="s">
        <v>35</v>
      </c>
      <c r="F7697" s="2">
        <v>610148001</v>
      </c>
      <c r="G7697" s="2" t="s">
        <v>41</v>
      </c>
      <c r="I7697" s="95" t="s">
        <v>7231</v>
      </c>
      <c r="J7697" t="s">
        <v>42</v>
      </c>
      <c r="K7697" t="s">
        <v>41</v>
      </c>
      <c r="M7697">
        <v>130.07</v>
      </c>
      <c r="N7697" s="4">
        <f t="shared" si="120"/>
        <v>-4.9973091412316449E-2</v>
      </c>
      <c r="O7697" t="s">
        <v>605</v>
      </c>
      <c r="Q7697" s="24" t="s">
        <v>5251</v>
      </c>
    </row>
    <row r="7698" spans="1:17" x14ac:dyDescent="0.25">
      <c r="A7698" s="22">
        <v>45877</v>
      </c>
      <c r="B7698" s="1" t="s">
        <v>6010</v>
      </c>
      <c r="C7698" t="s">
        <v>6011</v>
      </c>
      <c r="D7698" s="44">
        <v>-13007</v>
      </c>
      <c r="E7698" t="s">
        <v>35</v>
      </c>
      <c r="F7698" s="2">
        <v>212901001</v>
      </c>
      <c r="G7698" s="2" t="s">
        <v>91</v>
      </c>
      <c r="I7698" s="95" t="s">
        <v>7231</v>
      </c>
      <c r="J7698" t="s">
        <v>61</v>
      </c>
      <c r="K7698" t="s">
        <v>62</v>
      </c>
      <c r="M7698">
        <v>130.07</v>
      </c>
      <c r="N7698" s="4">
        <f t="shared" si="120"/>
        <v>-100</v>
      </c>
      <c r="O7698" t="s">
        <v>605</v>
      </c>
    </row>
    <row r="7699" spans="1:17" x14ac:dyDescent="0.25">
      <c r="A7699" s="22">
        <v>45877</v>
      </c>
      <c r="B7699" s="1" t="s">
        <v>6012</v>
      </c>
      <c r="C7699" t="s">
        <v>622</v>
      </c>
      <c r="D7699" s="1">
        <v>-32.51</v>
      </c>
      <c r="E7699" t="s">
        <v>35</v>
      </c>
      <c r="F7699" s="2">
        <v>610148001</v>
      </c>
      <c r="G7699" s="2" t="s">
        <v>41</v>
      </c>
      <c r="I7699" s="95" t="s">
        <v>7231</v>
      </c>
      <c r="J7699" t="s">
        <v>42</v>
      </c>
      <c r="K7699" t="s">
        <v>41</v>
      </c>
      <c r="M7699">
        <v>130.07</v>
      </c>
      <c r="N7699" s="4">
        <f t="shared" si="120"/>
        <v>-0.24994233874067809</v>
      </c>
      <c r="O7699" t="s">
        <v>605</v>
      </c>
      <c r="Q7699" s="24" t="s">
        <v>5251</v>
      </c>
    </row>
    <row r="7700" spans="1:17" x14ac:dyDescent="0.25">
      <c r="A7700" s="22">
        <v>45877</v>
      </c>
      <c r="B7700" s="1" t="s">
        <v>6013</v>
      </c>
      <c r="C7700" t="s">
        <v>6014</v>
      </c>
      <c r="D7700" s="44">
        <v>-2601.4</v>
      </c>
      <c r="E7700" t="s">
        <v>35</v>
      </c>
      <c r="F7700" s="2">
        <v>212901001</v>
      </c>
      <c r="G7700" s="2" t="s">
        <v>91</v>
      </c>
      <c r="I7700" s="95" t="s">
        <v>7231</v>
      </c>
      <c r="J7700" t="s">
        <v>61</v>
      </c>
      <c r="K7700" t="s">
        <v>62</v>
      </c>
      <c r="M7700">
        <v>130.07</v>
      </c>
      <c r="N7700" s="4">
        <f t="shared" si="120"/>
        <v>-20</v>
      </c>
      <c r="O7700" t="s">
        <v>605</v>
      </c>
    </row>
    <row r="7701" spans="1:17" x14ac:dyDescent="0.25">
      <c r="A7701" s="22">
        <v>45877</v>
      </c>
      <c r="B7701" s="1" t="s">
        <v>6015</v>
      </c>
      <c r="C7701" t="s">
        <v>622</v>
      </c>
      <c r="D7701" s="1">
        <v>-6.5</v>
      </c>
      <c r="E7701" t="s">
        <v>35</v>
      </c>
      <c r="F7701" s="2">
        <v>610148001</v>
      </c>
      <c r="G7701" s="2" t="s">
        <v>41</v>
      </c>
      <c r="I7701" s="95" t="s">
        <v>7231</v>
      </c>
      <c r="J7701" t="s">
        <v>42</v>
      </c>
      <c r="K7701" t="s">
        <v>41</v>
      </c>
      <c r="M7701">
        <v>130.07</v>
      </c>
      <c r="N7701" s="4">
        <f t="shared" si="120"/>
        <v>-4.9973091412316449E-2</v>
      </c>
      <c r="O7701" t="s">
        <v>605</v>
      </c>
      <c r="Q7701" s="24" t="s">
        <v>5251</v>
      </c>
    </row>
    <row r="7702" spans="1:17" x14ac:dyDescent="0.25">
      <c r="A7702" s="22">
        <v>45877</v>
      </c>
      <c r="B7702" s="1" t="s">
        <v>6016</v>
      </c>
      <c r="C7702" t="s">
        <v>622</v>
      </c>
      <c r="D7702" s="44">
        <v>-1226.8</v>
      </c>
      <c r="E7702" t="s">
        <v>35</v>
      </c>
      <c r="F7702" s="2">
        <v>610148001</v>
      </c>
      <c r="G7702" s="2" t="s">
        <v>41</v>
      </c>
      <c r="I7702" s="95" t="s">
        <v>7231</v>
      </c>
      <c r="J7702" t="s">
        <v>42</v>
      </c>
      <c r="K7702" t="s">
        <v>41</v>
      </c>
      <c r="M7702">
        <v>130.07</v>
      </c>
      <c r="N7702" s="4">
        <f t="shared" si="120"/>
        <v>-9.4318443914815102</v>
      </c>
      <c r="O7702" t="s">
        <v>605</v>
      </c>
      <c r="Q7702" s="24" t="s">
        <v>5251</v>
      </c>
    </row>
    <row r="7703" spans="1:17" x14ac:dyDescent="0.25">
      <c r="A7703" s="22">
        <v>45877</v>
      </c>
      <c r="B7703" s="1" t="s">
        <v>6017</v>
      </c>
      <c r="C7703" t="s">
        <v>6018</v>
      </c>
      <c r="D7703" s="44">
        <v>-490722.89</v>
      </c>
      <c r="E7703" t="s">
        <v>35</v>
      </c>
      <c r="F7703" s="2">
        <v>210101001</v>
      </c>
      <c r="G7703" s="2" t="s">
        <v>36</v>
      </c>
      <c r="I7703" s="95" t="s">
        <v>7231</v>
      </c>
      <c r="J7703" t="s">
        <v>37</v>
      </c>
      <c r="K7703" t="s">
        <v>38</v>
      </c>
      <c r="M7703">
        <v>130.07</v>
      </c>
      <c r="N7703" s="4">
        <f t="shared" si="120"/>
        <v>-3772.7599753978629</v>
      </c>
      <c r="O7703" t="s">
        <v>605</v>
      </c>
    </row>
    <row r="7704" spans="1:17" x14ac:dyDescent="0.25">
      <c r="A7704" s="22">
        <v>45877</v>
      </c>
      <c r="B7704" s="1" t="s">
        <v>6019</v>
      </c>
      <c r="C7704" t="s">
        <v>622</v>
      </c>
      <c r="D7704" s="1">
        <v>-3.25</v>
      </c>
      <c r="E7704" t="s">
        <v>35</v>
      </c>
      <c r="F7704" s="2">
        <v>610148001</v>
      </c>
      <c r="G7704" s="2" t="s">
        <v>41</v>
      </c>
      <c r="I7704" s="95" t="s">
        <v>7231</v>
      </c>
      <c r="J7704" t="s">
        <v>42</v>
      </c>
      <c r="K7704" t="s">
        <v>41</v>
      </c>
      <c r="M7704">
        <v>130.07</v>
      </c>
      <c r="N7704" s="4">
        <f t="shared" si="120"/>
        <v>-2.4986545706158225E-2</v>
      </c>
      <c r="O7704" t="s">
        <v>605</v>
      </c>
      <c r="Q7704" s="24" t="s">
        <v>5251</v>
      </c>
    </row>
    <row r="7705" spans="1:17" x14ac:dyDescent="0.25">
      <c r="A7705" s="22">
        <v>45877</v>
      </c>
      <c r="B7705" s="1" t="s">
        <v>6020</v>
      </c>
      <c r="C7705" t="s">
        <v>6021</v>
      </c>
      <c r="D7705" s="44">
        <v>-1300.7</v>
      </c>
      <c r="E7705" t="s">
        <v>35</v>
      </c>
      <c r="F7705" s="2">
        <v>212901001</v>
      </c>
      <c r="G7705" s="2" t="s">
        <v>91</v>
      </c>
      <c r="I7705" s="95" t="s">
        <v>7231</v>
      </c>
      <c r="J7705" t="s">
        <v>61</v>
      </c>
      <c r="K7705" t="s">
        <v>62</v>
      </c>
      <c r="M7705">
        <v>130.07</v>
      </c>
      <c r="N7705" s="4">
        <f t="shared" si="120"/>
        <v>-10</v>
      </c>
      <c r="O7705" t="s">
        <v>605</v>
      </c>
    </row>
    <row r="7706" spans="1:17" x14ac:dyDescent="0.25">
      <c r="A7706" s="22">
        <v>45877</v>
      </c>
      <c r="B7706" s="1" t="s">
        <v>6022</v>
      </c>
      <c r="C7706" t="s">
        <v>622</v>
      </c>
      <c r="D7706" s="1">
        <v>-6.5</v>
      </c>
      <c r="E7706" t="s">
        <v>35</v>
      </c>
      <c r="F7706" s="2">
        <v>610148001</v>
      </c>
      <c r="G7706" s="2" t="s">
        <v>41</v>
      </c>
      <c r="I7706" s="95" t="s">
        <v>7231</v>
      </c>
      <c r="J7706" t="s">
        <v>42</v>
      </c>
      <c r="K7706" t="s">
        <v>41</v>
      </c>
      <c r="M7706">
        <v>130.07</v>
      </c>
      <c r="N7706" s="4">
        <f t="shared" si="120"/>
        <v>-4.9973091412316449E-2</v>
      </c>
      <c r="O7706" t="s">
        <v>605</v>
      </c>
      <c r="Q7706" s="24" t="s">
        <v>5251</v>
      </c>
    </row>
    <row r="7707" spans="1:17" x14ac:dyDescent="0.25">
      <c r="A7707" s="22">
        <v>45877</v>
      </c>
      <c r="B7707" s="1" t="s">
        <v>6023</v>
      </c>
      <c r="C7707" t="s">
        <v>6024</v>
      </c>
      <c r="D7707" s="44">
        <v>-2601.4</v>
      </c>
      <c r="E7707" t="s">
        <v>35</v>
      </c>
      <c r="F7707" s="2">
        <v>212901001</v>
      </c>
      <c r="G7707" s="2" t="s">
        <v>91</v>
      </c>
      <c r="I7707" s="95" t="s">
        <v>7231</v>
      </c>
      <c r="J7707" t="s">
        <v>61</v>
      </c>
      <c r="K7707" t="s">
        <v>62</v>
      </c>
      <c r="M7707">
        <v>130.07</v>
      </c>
      <c r="N7707" s="4">
        <f t="shared" si="120"/>
        <v>-20</v>
      </c>
      <c r="O7707" t="s">
        <v>605</v>
      </c>
    </row>
    <row r="7708" spans="1:17" x14ac:dyDescent="0.25">
      <c r="A7708" s="22">
        <v>45877</v>
      </c>
      <c r="B7708" s="1" t="s">
        <v>6025</v>
      </c>
      <c r="C7708" t="s">
        <v>622</v>
      </c>
      <c r="D7708" s="1">
        <v>-39.020000000000003</v>
      </c>
      <c r="E7708" t="s">
        <v>35</v>
      </c>
      <c r="F7708" s="2">
        <v>610148001</v>
      </c>
      <c r="G7708" s="2" t="s">
        <v>41</v>
      </c>
      <c r="I7708" s="95" t="s">
        <v>7231</v>
      </c>
      <c r="J7708" t="s">
        <v>42</v>
      </c>
      <c r="K7708" t="s">
        <v>41</v>
      </c>
      <c r="M7708">
        <v>130.07</v>
      </c>
      <c r="N7708" s="4">
        <f t="shared" si="120"/>
        <v>-0.29999231183209046</v>
      </c>
      <c r="O7708" t="s">
        <v>605</v>
      </c>
      <c r="Q7708" s="24" t="s">
        <v>5251</v>
      </c>
    </row>
    <row r="7709" spans="1:17" x14ac:dyDescent="0.25">
      <c r="A7709" s="33">
        <v>45877</v>
      </c>
      <c r="B7709" s="27" t="s">
        <v>6026</v>
      </c>
      <c r="C7709" s="28" t="s">
        <v>6027</v>
      </c>
      <c r="D7709" s="47">
        <v>-15608.4</v>
      </c>
      <c r="E7709" s="28" t="s">
        <v>35</v>
      </c>
      <c r="F7709" s="30">
        <v>610156001</v>
      </c>
      <c r="G7709" s="30" t="s">
        <v>72</v>
      </c>
      <c r="H7709" s="30"/>
      <c r="I7709" s="95" t="s">
        <v>7231</v>
      </c>
      <c r="J7709" s="28" t="s">
        <v>73</v>
      </c>
      <c r="K7709" s="28" t="s">
        <v>74</v>
      </c>
      <c r="L7709" s="28" t="s">
        <v>56</v>
      </c>
      <c r="M7709" s="28">
        <v>130.07</v>
      </c>
      <c r="N7709" s="4">
        <f t="shared" si="120"/>
        <v>-120</v>
      </c>
      <c r="O7709" t="s">
        <v>605</v>
      </c>
      <c r="Q7709" s="24" t="s">
        <v>6028</v>
      </c>
    </row>
    <row r="7710" spans="1:17" x14ac:dyDescent="0.25">
      <c r="A7710" s="22">
        <v>45877</v>
      </c>
      <c r="B7710" s="1" t="s">
        <v>6029</v>
      </c>
      <c r="C7710" t="s">
        <v>622</v>
      </c>
      <c r="D7710" s="1">
        <v>-3.71</v>
      </c>
      <c r="E7710" t="s">
        <v>35</v>
      </c>
      <c r="F7710" s="2">
        <v>610148001</v>
      </c>
      <c r="G7710" s="2" t="s">
        <v>41</v>
      </c>
      <c r="I7710" s="95" t="s">
        <v>7231</v>
      </c>
      <c r="J7710" t="s">
        <v>42</v>
      </c>
      <c r="K7710" t="s">
        <v>41</v>
      </c>
      <c r="M7710">
        <v>130.07</v>
      </c>
      <c r="N7710" s="4">
        <f t="shared" si="120"/>
        <v>-2.8523102944568311E-2</v>
      </c>
      <c r="O7710" t="s">
        <v>605</v>
      </c>
      <c r="Q7710" s="24" t="s">
        <v>5251</v>
      </c>
    </row>
    <row r="7711" spans="1:17" x14ac:dyDescent="0.25">
      <c r="A7711" s="22">
        <v>45877</v>
      </c>
      <c r="B7711" s="1" t="s">
        <v>6030</v>
      </c>
      <c r="C7711" t="s">
        <v>6031</v>
      </c>
      <c r="D7711" s="44">
        <v>-1487.58</v>
      </c>
      <c r="E7711" t="s">
        <v>35</v>
      </c>
      <c r="F7711" s="2">
        <v>210101001</v>
      </c>
      <c r="G7711" s="2" t="s">
        <v>36</v>
      </c>
      <c r="I7711" s="95" t="s">
        <v>7231</v>
      </c>
      <c r="J7711" t="s">
        <v>414</v>
      </c>
      <c r="K7711" t="s">
        <v>415</v>
      </c>
      <c r="M7711">
        <v>130.07</v>
      </c>
      <c r="N7711" s="4">
        <f t="shared" si="120"/>
        <v>-11.436764818943645</v>
      </c>
      <c r="O7711" t="s">
        <v>605</v>
      </c>
    </row>
    <row r="7712" spans="1:17" x14ac:dyDescent="0.25">
      <c r="A7712" s="22">
        <v>45877</v>
      </c>
      <c r="B7712" s="1" t="s">
        <v>6032</v>
      </c>
      <c r="C7712" t="s">
        <v>622</v>
      </c>
      <c r="D7712" s="1">
        <v>-39.020000000000003</v>
      </c>
      <c r="E7712" t="s">
        <v>35</v>
      </c>
      <c r="F7712" s="2">
        <v>610148001</v>
      </c>
      <c r="G7712" s="2" t="s">
        <v>41</v>
      </c>
      <c r="I7712" s="95" t="s">
        <v>7231</v>
      </c>
      <c r="J7712" t="s">
        <v>42</v>
      </c>
      <c r="K7712" t="s">
        <v>41</v>
      </c>
      <c r="M7712">
        <v>130.07</v>
      </c>
      <c r="N7712" s="4">
        <f t="shared" si="120"/>
        <v>-0.29999231183209046</v>
      </c>
      <c r="O7712" t="s">
        <v>605</v>
      </c>
      <c r="Q7712" s="24" t="s">
        <v>5251</v>
      </c>
    </row>
    <row r="7713" spans="1:17" x14ac:dyDescent="0.25">
      <c r="A7713" s="33">
        <v>45877</v>
      </c>
      <c r="B7713" s="27" t="s">
        <v>6033</v>
      </c>
      <c r="C7713" s="28" t="s">
        <v>52</v>
      </c>
      <c r="D7713" s="47">
        <v>-15608.4</v>
      </c>
      <c r="E7713" s="28" t="s">
        <v>35</v>
      </c>
      <c r="F7713" s="30">
        <v>610129001</v>
      </c>
      <c r="G7713" s="30" t="s">
        <v>53</v>
      </c>
      <c r="H7713" s="30"/>
      <c r="I7713" s="95" t="s">
        <v>7231</v>
      </c>
      <c r="J7713" s="28" t="s">
        <v>54</v>
      </c>
      <c r="K7713" s="28" t="s">
        <v>55</v>
      </c>
      <c r="L7713" s="28" t="s">
        <v>56</v>
      </c>
      <c r="M7713" s="28">
        <v>130.07</v>
      </c>
      <c r="N7713" s="4">
        <f t="shared" si="120"/>
        <v>-120</v>
      </c>
      <c r="O7713" t="s">
        <v>605</v>
      </c>
      <c r="Q7713" s="24" t="s">
        <v>6034</v>
      </c>
    </row>
    <row r="7714" spans="1:17" x14ac:dyDescent="0.25">
      <c r="A7714" s="22">
        <v>45877</v>
      </c>
      <c r="B7714" s="1" t="s">
        <v>6035</v>
      </c>
      <c r="C7714" t="s">
        <v>6036</v>
      </c>
      <c r="D7714" s="44">
        <v>2183.84</v>
      </c>
      <c r="E7714" t="s">
        <v>45</v>
      </c>
      <c r="F7714" s="2">
        <v>210101001</v>
      </c>
      <c r="G7714" s="2" t="s">
        <v>36</v>
      </c>
      <c r="I7714" s="95" t="s">
        <v>7231</v>
      </c>
      <c r="K7714" t="s">
        <v>6037</v>
      </c>
      <c r="M7714">
        <v>130.07</v>
      </c>
      <c r="N7714" s="4">
        <f t="shared" si="120"/>
        <v>16.789728607672792</v>
      </c>
      <c r="O7714" t="s">
        <v>605</v>
      </c>
    </row>
    <row r="7715" spans="1:17" x14ac:dyDescent="0.25">
      <c r="A7715" s="22">
        <v>45878</v>
      </c>
      <c r="B7715" s="1" t="s">
        <v>6038</v>
      </c>
      <c r="C7715" t="s">
        <v>6039</v>
      </c>
      <c r="D7715" s="44">
        <v>600386.18000000005</v>
      </c>
      <c r="E7715" t="s">
        <v>45</v>
      </c>
      <c r="F7715" s="2">
        <v>110110001</v>
      </c>
      <c r="G7715" s="2" t="s">
        <v>655</v>
      </c>
      <c r="I7715" s="95" t="s">
        <v>7231</v>
      </c>
      <c r="K7715" t="s">
        <v>6040</v>
      </c>
      <c r="M7715">
        <v>131.12</v>
      </c>
      <c r="N7715" s="4">
        <f t="shared" si="120"/>
        <v>4578.9061928004885</v>
      </c>
      <c r="O7715" t="s">
        <v>605</v>
      </c>
    </row>
    <row r="7716" spans="1:17" x14ac:dyDescent="0.25">
      <c r="A7716" s="22">
        <v>45880</v>
      </c>
      <c r="B7716" s="1" t="s">
        <v>6041</v>
      </c>
      <c r="C7716" t="s">
        <v>6042</v>
      </c>
      <c r="D7716" s="1">
        <v>-712.8</v>
      </c>
      <c r="E7716" t="s">
        <v>35</v>
      </c>
      <c r="F7716" s="2">
        <v>213101001</v>
      </c>
      <c r="G7716" s="2" t="s">
        <v>642</v>
      </c>
      <c r="I7716" s="95" t="s">
        <v>7231</v>
      </c>
      <c r="J7716" t="s">
        <v>637</v>
      </c>
      <c r="K7716" t="s">
        <v>638</v>
      </c>
      <c r="M7716">
        <v>131.12</v>
      </c>
      <c r="N7716" s="4">
        <f t="shared" si="120"/>
        <v>-5.4362416107382545</v>
      </c>
      <c r="O7716" t="s">
        <v>605</v>
      </c>
      <c r="Q7716" s="24" t="s">
        <v>6043</v>
      </c>
    </row>
    <row r="7717" spans="1:17" x14ac:dyDescent="0.25">
      <c r="A7717" s="22">
        <v>45880</v>
      </c>
      <c r="B7717" s="1" t="s">
        <v>6044</v>
      </c>
      <c r="C7717" t="s">
        <v>293</v>
      </c>
      <c r="D7717" s="44">
        <v>1700000</v>
      </c>
      <c r="E7717" t="s">
        <v>45</v>
      </c>
      <c r="F7717" s="2">
        <v>210115002</v>
      </c>
      <c r="G7717" s="2" t="s">
        <v>5259</v>
      </c>
      <c r="I7717" s="95" t="s">
        <v>7231</v>
      </c>
      <c r="K7717" t="s">
        <v>293</v>
      </c>
      <c r="M7717">
        <v>131.12</v>
      </c>
      <c r="N7717" s="4">
        <f t="shared" si="120"/>
        <v>12965.222696766321</v>
      </c>
      <c r="O7717" t="s">
        <v>605</v>
      </c>
    </row>
    <row r="7718" spans="1:17" x14ac:dyDescent="0.25">
      <c r="A7718" s="22">
        <v>45880</v>
      </c>
      <c r="B7718" s="1" t="s">
        <v>6045</v>
      </c>
      <c r="C7718" t="s">
        <v>622</v>
      </c>
      <c r="D7718" s="1">
        <v>-409.75</v>
      </c>
      <c r="E7718" t="s">
        <v>35</v>
      </c>
      <c r="F7718" s="2">
        <v>610148001</v>
      </c>
      <c r="G7718" s="2" t="s">
        <v>41</v>
      </c>
      <c r="I7718" s="95" t="s">
        <v>7231</v>
      </c>
      <c r="J7718" t="s">
        <v>42</v>
      </c>
      <c r="K7718" t="s">
        <v>41</v>
      </c>
      <c r="M7718">
        <v>131.12</v>
      </c>
      <c r="N7718" s="4">
        <f t="shared" si="120"/>
        <v>-3.125</v>
      </c>
      <c r="O7718" t="s">
        <v>605</v>
      </c>
      <c r="Q7718" s="24" t="s">
        <v>5251</v>
      </c>
    </row>
    <row r="7719" spans="1:17" x14ac:dyDescent="0.25">
      <c r="A7719" s="22">
        <v>45880</v>
      </c>
      <c r="B7719" s="1" t="s">
        <v>6046</v>
      </c>
      <c r="C7719" t="s">
        <v>6047</v>
      </c>
      <c r="D7719" s="44">
        <v>-163900</v>
      </c>
      <c r="E7719" t="s">
        <v>35</v>
      </c>
      <c r="F7719" s="2">
        <v>210101001</v>
      </c>
      <c r="G7719" s="2" t="s">
        <v>36</v>
      </c>
      <c r="I7719" s="95" t="s">
        <v>7231</v>
      </c>
      <c r="J7719" t="s">
        <v>928</v>
      </c>
      <c r="K7719" t="s">
        <v>929</v>
      </c>
      <c r="M7719">
        <v>131.12</v>
      </c>
      <c r="N7719" s="4">
        <f t="shared" si="120"/>
        <v>-1250</v>
      </c>
      <c r="O7719" t="s">
        <v>605</v>
      </c>
    </row>
    <row r="7720" spans="1:17" x14ac:dyDescent="0.25">
      <c r="A7720" s="22">
        <v>45880</v>
      </c>
      <c r="B7720" s="1" t="s">
        <v>6048</v>
      </c>
      <c r="C7720" t="s">
        <v>622</v>
      </c>
      <c r="D7720" s="44">
        <v>-2500</v>
      </c>
      <c r="E7720" t="s">
        <v>35</v>
      </c>
      <c r="F7720" s="2">
        <v>610148001</v>
      </c>
      <c r="G7720" s="2" t="s">
        <v>41</v>
      </c>
      <c r="I7720" s="95" t="s">
        <v>7231</v>
      </c>
      <c r="J7720" t="s">
        <v>42</v>
      </c>
      <c r="K7720" t="s">
        <v>41</v>
      </c>
      <c r="M7720">
        <v>131.12</v>
      </c>
      <c r="N7720" s="4">
        <f t="shared" si="120"/>
        <v>-19.066503965832823</v>
      </c>
      <c r="O7720" t="s">
        <v>605</v>
      </c>
      <c r="Q7720" s="24" t="s">
        <v>5251</v>
      </c>
    </row>
    <row r="7721" spans="1:17" x14ac:dyDescent="0.25">
      <c r="A7721" s="22">
        <v>45880</v>
      </c>
      <c r="B7721" s="1" t="s">
        <v>6049</v>
      </c>
      <c r="C7721" t="s">
        <v>6050</v>
      </c>
      <c r="D7721" s="44">
        <v>-1000000</v>
      </c>
      <c r="E7721" t="s">
        <v>35</v>
      </c>
      <c r="F7721" s="2">
        <v>210101001</v>
      </c>
      <c r="G7721" s="2" t="s">
        <v>36</v>
      </c>
      <c r="I7721" s="95" t="s">
        <v>7231</v>
      </c>
      <c r="J7721" t="s">
        <v>37</v>
      </c>
      <c r="K7721" t="s">
        <v>38</v>
      </c>
      <c r="M7721">
        <v>131.12</v>
      </c>
      <c r="N7721" s="4">
        <f t="shared" si="120"/>
        <v>-7626.6015863331295</v>
      </c>
      <c r="O7721" t="s">
        <v>605</v>
      </c>
    </row>
    <row r="7722" spans="1:17" x14ac:dyDescent="0.25">
      <c r="A7722" s="22">
        <v>45880</v>
      </c>
      <c r="B7722" s="1" t="s">
        <v>6051</v>
      </c>
      <c r="C7722" t="s">
        <v>622</v>
      </c>
      <c r="D7722" s="1">
        <v>-123.18</v>
      </c>
      <c r="E7722" t="s">
        <v>35</v>
      </c>
      <c r="F7722" s="2">
        <v>610148001</v>
      </c>
      <c r="G7722" s="2" t="s">
        <v>41</v>
      </c>
      <c r="I7722" s="95" t="s">
        <v>7231</v>
      </c>
      <c r="J7722" t="s">
        <v>42</v>
      </c>
      <c r="K7722" t="s">
        <v>41</v>
      </c>
      <c r="M7722">
        <v>131.12</v>
      </c>
      <c r="N7722" s="4">
        <f t="shared" si="120"/>
        <v>-0.93944478340451498</v>
      </c>
      <c r="O7722" t="s">
        <v>605</v>
      </c>
      <c r="Q7722" s="24" t="s">
        <v>5251</v>
      </c>
    </row>
    <row r="7723" spans="1:17" x14ac:dyDescent="0.25">
      <c r="A7723" s="22">
        <v>45880</v>
      </c>
      <c r="B7723" s="1" t="s">
        <v>6052</v>
      </c>
      <c r="C7723" t="s">
        <v>6050</v>
      </c>
      <c r="D7723" s="44">
        <v>-49274.53</v>
      </c>
      <c r="E7723" t="s">
        <v>35</v>
      </c>
      <c r="F7723" s="2">
        <v>210101001</v>
      </c>
      <c r="G7723" s="2" t="s">
        <v>36</v>
      </c>
      <c r="I7723" s="95" t="s">
        <v>7231</v>
      </c>
      <c r="J7723" t="s">
        <v>37</v>
      </c>
      <c r="K7723" t="s">
        <v>38</v>
      </c>
      <c r="M7723">
        <v>131.12</v>
      </c>
      <c r="N7723" s="4">
        <f t="shared" si="120"/>
        <v>-375.79720866381939</v>
      </c>
      <c r="O7723" t="s">
        <v>605</v>
      </c>
    </row>
    <row r="7724" spans="1:17" x14ac:dyDescent="0.25">
      <c r="A7724" s="22">
        <v>45880</v>
      </c>
      <c r="B7724" s="1" t="s">
        <v>6053</v>
      </c>
      <c r="C7724" t="s">
        <v>622</v>
      </c>
      <c r="D7724" s="44">
        <v>-2500</v>
      </c>
      <c r="E7724" t="s">
        <v>35</v>
      </c>
      <c r="F7724" s="2">
        <v>610148001</v>
      </c>
      <c r="G7724" s="2" t="s">
        <v>41</v>
      </c>
      <c r="I7724" s="95" t="s">
        <v>7231</v>
      </c>
      <c r="J7724" t="s">
        <v>42</v>
      </c>
      <c r="K7724" t="s">
        <v>41</v>
      </c>
      <c r="M7724">
        <v>131.12</v>
      </c>
      <c r="N7724" s="4">
        <f t="shared" si="120"/>
        <v>-19.066503965832823</v>
      </c>
      <c r="O7724" t="s">
        <v>605</v>
      </c>
      <c r="Q7724" s="24" t="s">
        <v>5251</v>
      </c>
    </row>
    <row r="7725" spans="1:17" x14ac:dyDescent="0.25">
      <c r="A7725" s="22">
        <v>45880</v>
      </c>
      <c r="B7725" s="1" t="s">
        <v>6054</v>
      </c>
      <c r="C7725" t="s">
        <v>6050</v>
      </c>
      <c r="D7725" s="44">
        <v>-1000000</v>
      </c>
      <c r="E7725" t="s">
        <v>35</v>
      </c>
      <c r="F7725" s="2">
        <v>210101001</v>
      </c>
      <c r="G7725" s="2" t="s">
        <v>36</v>
      </c>
      <c r="I7725" s="95" t="s">
        <v>7231</v>
      </c>
      <c r="J7725" t="s">
        <v>37</v>
      </c>
      <c r="K7725" t="s">
        <v>38</v>
      </c>
      <c r="M7725">
        <v>131.12</v>
      </c>
      <c r="N7725" s="4">
        <f t="shared" si="120"/>
        <v>-7626.6015863331295</v>
      </c>
      <c r="O7725" t="s">
        <v>605</v>
      </c>
    </row>
    <row r="7726" spans="1:17" x14ac:dyDescent="0.25">
      <c r="A7726" s="22">
        <v>45880</v>
      </c>
      <c r="B7726" s="1" t="s">
        <v>6055</v>
      </c>
      <c r="C7726" t="s">
        <v>622</v>
      </c>
      <c r="D7726" s="1">
        <v>-93.16</v>
      </c>
      <c r="E7726" t="s">
        <v>35</v>
      </c>
      <c r="F7726" s="2">
        <v>610148001</v>
      </c>
      <c r="G7726" s="2" t="s">
        <v>41</v>
      </c>
      <c r="I7726" s="95" t="s">
        <v>7231</v>
      </c>
      <c r="J7726" t="s">
        <v>42</v>
      </c>
      <c r="K7726" t="s">
        <v>41</v>
      </c>
      <c r="M7726">
        <v>131.12</v>
      </c>
      <c r="N7726" s="4">
        <f t="shared" si="120"/>
        <v>-0.71049420378279438</v>
      </c>
      <c r="O7726" t="s">
        <v>605</v>
      </c>
      <c r="Q7726" s="24" t="s">
        <v>5251</v>
      </c>
    </row>
    <row r="7727" spans="1:17" x14ac:dyDescent="0.25">
      <c r="A7727" s="22">
        <v>45880</v>
      </c>
      <c r="B7727" s="1" t="s">
        <v>6056</v>
      </c>
      <c r="C7727" t="s">
        <v>6057</v>
      </c>
      <c r="D7727" s="44">
        <v>-37264.300000000003</v>
      </c>
      <c r="E7727" t="s">
        <v>35</v>
      </c>
      <c r="F7727" s="2">
        <v>210101001</v>
      </c>
      <c r="G7727" s="2" t="s">
        <v>36</v>
      </c>
      <c r="I7727" s="95" t="s">
        <v>7231</v>
      </c>
      <c r="J7727" t="s">
        <v>182</v>
      </c>
      <c r="K7727" t="s">
        <v>183</v>
      </c>
      <c r="M7727">
        <v>131.12</v>
      </c>
      <c r="N7727" s="4">
        <f t="shared" si="120"/>
        <v>-284.19996949359364</v>
      </c>
      <c r="O7727" t="s">
        <v>605</v>
      </c>
    </row>
    <row r="7728" spans="1:17" x14ac:dyDescent="0.25">
      <c r="A7728" s="22">
        <v>45882</v>
      </c>
      <c r="B7728" s="1" t="s">
        <v>6058</v>
      </c>
      <c r="C7728" t="s">
        <v>3252</v>
      </c>
      <c r="D7728" s="44">
        <v>2750000</v>
      </c>
      <c r="E7728" t="s">
        <v>45</v>
      </c>
      <c r="F7728" s="2">
        <v>210115002</v>
      </c>
      <c r="G7728" s="2" t="s">
        <v>5259</v>
      </c>
      <c r="I7728" s="95" t="s">
        <v>7231</v>
      </c>
      <c r="K7728" t="s">
        <v>3252</v>
      </c>
      <c r="M7728">
        <v>133.52000000000001</v>
      </c>
      <c r="N7728" s="4">
        <f t="shared" si="120"/>
        <v>20596.165368484122</v>
      </c>
      <c r="O7728" t="s">
        <v>605</v>
      </c>
    </row>
    <row r="7729" spans="1:17" x14ac:dyDescent="0.25">
      <c r="A7729" s="22">
        <v>45882</v>
      </c>
      <c r="B7729" s="1" t="s">
        <v>6059</v>
      </c>
      <c r="C7729" t="s">
        <v>6060</v>
      </c>
      <c r="D7729" s="44">
        <v>-99117.82</v>
      </c>
      <c r="E7729" t="s">
        <v>35</v>
      </c>
      <c r="F7729" s="2">
        <v>210101001</v>
      </c>
      <c r="G7729" s="2" t="s">
        <v>36</v>
      </c>
      <c r="I7729" s="95" t="s">
        <v>7231</v>
      </c>
      <c r="J7729" t="s">
        <v>288</v>
      </c>
      <c r="K7729" t="s">
        <v>289</v>
      </c>
      <c r="M7729">
        <v>133.52000000000001</v>
      </c>
      <c r="N7729" s="4">
        <f t="shared" si="120"/>
        <v>-742.344367884961</v>
      </c>
      <c r="O7729" t="s">
        <v>605</v>
      </c>
    </row>
    <row r="7730" spans="1:17" x14ac:dyDescent="0.25">
      <c r="A7730" s="22">
        <v>45882</v>
      </c>
      <c r="B7730" s="1" t="s">
        <v>6061</v>
      </c>
      <c r="C7730" t="s">
        <v>622</v>
      </c>
      <c r="D7730" s="1">
        <v>-247.79</v>
      </c>
      <c r="E7730" t="s">
        <v>35</v>
      </c>
      <c r="F7730" s="2">
        <v>610148001</v>
      </c>
      <c r="G7730" s="2" t="s">
        <v>41</v>
      </c>
      <c r="I7730" s="95" t="s">
        <v>7231</v>
      </c>
      <c r="J7730" t="s">
        <v>42</v>
      </c>
      <c r="K7730" t="s">
        <v>41</v>
      </c>
      <c r="M7730">
        <v>133.52000000000001</v>
      </c>
      <c r="N7730" s="4">
        <f t="shared" si="120"/>
        <v>-1.855826842420611</v>
      </c>
      <c r="O7730" t="s">
        <v>605</v>
      </c>
      <c r="Q7730" s="24" t="s">
        <v>5251</v>
      </c>
    </row>
    <row r="7731" spans="1:17" x14ac:dyDescent="0.25">
      <c r="A7731" s="22">
        <v>45882</v>
      </c>
      <c r="B7731" s="1" t="s">
        <v>6062</v>
      </c>
      <c r="C7731" t="s">
        <v>622</v>
      </c>
      <c r="D7731" s="1">
        <v>-861.53</v>
      </c>
      <c r="E7731" t="s">
        <v>35</v>
      </c>
      <c r="F7731" s="2">
        <v>610148001</v>
      </c>
      <c r="G7731" s="2" t="s">
        <v>41</v>
      </c>
      <c r="I7731" s="95" t="s">
        <v>7231</v>
      </c>
      <c r="J7731" t="s">
        <v>42</v>
      </c>
      <c r="K7731" t="s">
        <v>41</v>
      </c>
      <c r="M7731">
        <v>133.52000000000001</v>
      </c>
      <c r="N7731" s="4">
        <f t="shared" si="120"/>
        <v>-6.4524415817854992</v>
      </c>
      <c r="O7731" t="s">
        <v>605</v>
      </c>
      <c r="Q7731" s="24" t="s">
        <v>5251</v>
      </c>
    </row>
    <row r="7732" spans="1:17" x14ac:dyDescent="0.25">
      <c r="A7732" s="22">
        <v>45882</v>
      </c>
      <c r="B7732" s="1" t="s">
        <v>6063</v>
      </c>
      <c r="C7732" t="s">
        <v>6064</v>
      </c>
      <c r="D7732" s="44">
        <v>-344615.12</v>
      </c>
      <c r="E7732" t="s">
        <v>35</v>
      </c>
      <c r="F7732" s="2">
        <v>110114001</v>
      </c>
      <c r="G7732" s="2" t="s">
        <v>181</v>
      </c>
      <c r="I7732" s="95" t="s">
        <v>7231</v>
      </c>
      <c r="K7732" t="s">
        <v>1256</v>
      </c>
      <c r="M7732">
        <v>133.52000000000001</v>
      </c>
      <c r="N7732" s="4">
        <f t="shared" si="120"/>
        <v>-2580.9999999999995</v>
      </c>
      <c r="O7732" t="s">
        <v>605</v>
      </c>
    </row>
    <row r="7733" spans="1:17" x14ac:dyDescent="0.25">
      <c r="A7733" s="22">
        <v>45882</v>
      </c>
      <c r="B7733" s="1" t="s">
        <v>6065</v>
      </c>
      <c r="C7733" t="s">
        <v>622</v>
      </c>
      <c r="D7733" s="44">
        <v>-2500</v>
      </c>
      <c r="E7733" t="s">
        <v>35</v>
      </c>
      <c r="F7733" s="2">
        <v>610148001</v>
      </c>
      <c r="G7733" s="2" t="s">
        <v>41</v>
      </c>
      <c r="I7733" s="95" t="s">
        <v>7231</v>
      </c>
      <c r="J7733" t="s">
        <v>42</v>
      </c>
      <c r="K7733" t="s">
        <v>41</v>
      </c>
      <c r="M7733">
        <v>133.52000000000001</v>
      </c>
      <c r="N7733" s="4">
        <f t="shared" si="120"/>
        <v>-18.723786698621929</v>
      </c>
      <c r="O7733" t="s">
        <v>605</v>
      </c>
      <c r="Q7733" s="24" t="s">
        <v>5251</v>
      </c>
    </row>
    <row r="7734" spans="1:17" x14ac:dyDescent="0.25">
      <c r="A7734" s="22">
        <v>45882</v>
      </c>
      <c r="B7734" s="1" t="s">
        <v>6066</v>
      </c>
      <c r="C7734" t="s">
        <v>6067</v>
      </c>
      <c r="D7734" s="44">
        <v>-1000000</v>
      </c>
      <c r="E7734" t="s">
        <v>35</v>
      </c>
      <c r="F7734" s="2">
        <v>210101001</v>
      </c>
      <c r="G7734" s="2" t="s">
        <v>36</v>
      </c>
      <c r="I7734" s="95" t="s">
        <v>7231</v>
      </c>
      <c r="J7734" t="s">
        <v>37</v>
      </c>
      <c r="K7734" t="s">
        <v>38</v>
      </c>
      <c r="M7734">
        <v>133.52000000000001</v>
      </c>
      <c r="N7734" s="4">
        <f t="shared" si="120"/>
        <v>-7489.5146794487709</v>
      </c>
      <c r="O7734" t="s">
        <v>605</v>
      </c>
    </row>
    <row r="7735" spans="1:17" x14ac:dyDescent="0.25">
      <c r="A7735" s="22">
        <v>45882</v>
      </c>
      <c r="B7735" s="1" t="s">
        <v>6068</v>
      </c>
      <c r="C7735" t="s">
        <v>622</v>
      </c>
      <c r="D7735" s="1">
        <v>-0.78</v>
      </c>
      <c r="E7735" t="s">
        <v>35</v>
      </c>
      <c r="F7735" s="2">
        <v>610148001</v>
      </c>
      <c r="G7735" s="2" t="s">
        <v>41</v>
      </c>
      <c r="I7735" s="95" t="s">
        <v>7231</v>
      </c>
      <c r="J7735" t="s">
        <v>42</v>
      </c>
      <c r="K7735" t="s">
        <v>41</v>
      </c>
      <c r="M7735">
        <v>133.52000000000001</v>
      </c>
      <c r="N7735" s="4">
        <f t="shared" si="120"/>
        <v>-5.8418214499700418E-3</v>
      </c>
      <c r="O7735" t="s">
        <v>605</v>
      </c>
      <c r="Q7735" s="24" t="s">
        <v>5251</v>
      </c>
    </row>
    <row r="7736" spans="1:17" x14ac:dyDescent="0.25">
      <c r="A7736" s="22">
        <v>45882</v>
      </c>
      <c r="B7736" s="1" t="s">
        <v>6069</v>
      </c>
      <c r="C7736" t="s">
        <v>6070</v>
      </c>
      <c r="D7736" s="1">
        <v>-315.5</v>
      </c>
      <c r="E7736" t="s">
        <v>35</v>
      </c>
      <c r="F7736" s="2">
        <v>210101001</v>
      </c>
      <c r="G7736" s="2" t="s">
        <v>36</v>
      </c>
      <c r="I7736" s="95" t="s">
        <v>7231</v>
      </c>
      <c r="J7736" t="s">
        <v>502</v>
      </c>
      <c r="K7736" t="s">
        <v>503</v>
      </c>
      <c r="M7736">
        <v>133.52000000000001</v>
      </c>
      <c r="N7736" s="4">
        <f t="shared" si="120"/>
        <v>-2.3629418813660874</v>
      </c>
      <c r="O7736" t="s">
        <v>605</v>
      </c>
    </row>
    <row r="7737" spans="1:17" x14ac:dyDescent="0.25">
      <c r="A7737" s="22">
        <v>45882</v>
      </c>
      <c r="B7737" s="1" t="s">
        <v>6071</v>
      </c>
      <c r="C7737" t="s">
        <v>622</v>
      </c>
      <c r="D7737" s="1">
        <v>-485.64</v>
      </c>
      <c r="E7737" t="s">
        <v>35</v>
      </c>
      <c r="F7737" s="2">
        <v>610148001</v>
      </c>
      <c r="G7737" s="2" t="s">
        <v>41</v>
      </c>
      <c r="I7737" s="95" t="s">
        <v>7231</v>
      </c>
      <c r="J7737" t="s">
        <v>42</v>
      </c>
      <c r="K7737" t="s">
        <v>41</v>
      </c>
      <c r="M7737">
        <v>133.52000000000001</v>
      </c>
      <c r="N7737" s="4">
        <f t="shared" si="120"/>
        <v>-3.6372079089275009</v>
      </c>
      <c r="O7737" t="s">
        <v>605</v>
      </c>
      <c r="Q7737" s="24" t="s">
        <v>5251</v>
      </c>
    </row>
    <row r="7738" spans="1:17" x14ac:dyDescent="0.25">
      <c r="A7738" s="22">
        <v>45882</v>
      </c>
      <c r="B7738" s="1" t="s">
        <v>6072</v>
      </c>
      <c r="C7738" t="s">
        <v>6073</v>
      </c>
      <c r="D7738" s="44">
        <v>-194257.05</v>
      </c>
      <c r="E7738" t="s">
        <v>35</v>
      </c>
      <c r="F7738" s="2">
        <v>210101001</v>
      </c>
      <c r="G7738" s="2" t="s">
        <v>36</v>
      </c>
      <c r="I7738" s="95" t="s">
        <v>7231</v>
      </c>
      <c r="J7738" t="s">
        <v>1306</v>
      </c>
      <c r="K7738" t="s">
        <v>600</v>
      </c>
      <c r="M7738">
        <v>133.52000000000001</v>
      </c>
      <c r="N7738" s="4">
        <f t="shared" si="120"/>
        <v>-1454.8910275614139</v>
      </c>
      <c r="O7738" t="s">
        <v>605</v>
      </c>
    </row>
    <row r="7739" spans="1:17" x14ac:dyDescent="0.25">
      <c r="A7739" s="22">
        <v>45882</v>
      </c>
      <c r="B7739" s="1" t="s">
        <v>6074</v>
      </c>
      <c r="C7739" t="s">
        <v>622</v>
      </c>
      <c r="D7739" s="44">
        <v>-1952.75</v>
      </c>
      <c r="E7739" t="s">
        <v>35</v>
      </c>
      <c r="F7739" s="2">
        <v>610148001</v>
      </c>
      <c r="G7739" s="2" t="s">
        <v>41</v>
      </c>
      <c r="I7739" s="95" t="s">
        <v>7231</v>
      </c>
      <c r="J7739" t="s">
        <v>42</v>
      </c>
      <c r="K7739" t="s">
        <v>41</v>
      </c>
      <c r="M7739">
        <v>133.52000000000001</v>
      </c>
      <c r="N7739" s="4">
        <f t="shared" si="120"/>
        <v>-14.625149790293587</v>
      </c>
      <c r="O7739" t="s">
        <v>605</v>
      </c>
      <c r="Q7739" s="24" t="s">
        <v>5251</v>
      </c>
    </row>
    <row r="7740" spans="1:17" x14ac:dyDescent="0.25">
      <c r="A7740" s="22">
        <v>45882</v>
      </c>
      <c r="B7740" s="1" t="s">
        <v>6075</v>
      </c>
      <c r="C7740" t="s">
        <v>6067</v>
      </c>
      <c r="D7740" s="44">
        <v>-781102.11</v>
      </c>
      <c r="E7740" t="s">
        <v>35</v>
      </c>
      <c r="F7740" s="2">
        <v>210101001</v>
      </c>
      <c r="G7740" s="2" t="s">
        <v>36</v>
      </c>
      <c r="I7740" s="95" t="s">
        <v>7231</v>
      </c>
      <c r="J7740" t="s">
        <v>37</v>
      </c>
      <c r="K7740" t="s">
        <v>38</v>
      </c>
      <c r="M7740">
        <v>133.52000000000001</v>
      </c>
      <c r="N7740" s="4">
        <f t="shared" si="120"/>
        <v>-5850.0757189934084</v>
      </c>
      <c r="O7740" t="s">
        <v>605</v>
      </c>
    </row>
    <row r="7741" spans="1:17" x14ac:dyDescent="0.25">
      <c r="A7741" s="22">
        <v>45882</v>
      </c>
      <c r="B7741" s="1" t="s">
        <v>6076</v>
      </c>
      <c r="C7741" t="s">
        <v>622</v>
      </c>
      <c r="D7741" s="1">
        <v>-827.04</v>
      </c>
      <c r="E7741" t="s">
        <v>35</v>
      </c>
      <c r="F7741" s="2">
        <v>610148001</v>
      </c>
      <c r="G7741" s="2" t="s">
        <v>41</v>
      </c>
      <c r="I7741" s="95" t="s">
        <v>7231</v>
      </c>
      <c r="J7741" t="s">
        <v>42</v>
      </c>
      <c r="K7741" t="s">
        <v>41</v>
      </c>
      <c r="M7741">
        <v>133.52000000000001</v>
      </c>
      <c r="N7741" s="4">
        <f t="shared" si="120"/>
        <v>-6.1941282204913115</v>
      </c>
      <c r="O7741" t="s">
        <v>605</v>
      </c>
      <c r="Q7741" s="24" t="s">
        <v>5251</v>
      </c>
    </row>
    <row r="7742" spans="1:17" x14ac:dyDescent="0.25">
      <c r="A7742" s="22">
        <v>45882</v>
      </c>
      <c r="B7742" s="1" t="s">
        <v>6077</v>
      </c>
      <c r="C7742" t="s">
        <v>6078</v>
      </c>
      <c r="D7742" s="44">
        <v>-330816.87</v>
      </c>
      <c r="E7742" t="s">
        <v>35</v>
      </c>
      <c r="F7742" s="2">
        <v>210101001</v>
      </c>
      <c r="G7742" s="2" t="s">
        <v>36</v>
      </c>
      <c r="I7742" s="95" t="s">
        <v>7231</v>
      </c>
      <c r="J7742" t="s">
        <v>928</v>
      </c>
      <c r="K7742" t="s">
        <v>929</v>
      </c>
      <c r="M7742">
        <v>133.52000000000001</v>
      </c>
      <c r="N7742" s="4">
        <f t="shared" si="120"/>
        <v>-2477.6578040742957</v>
      </c>
      <c r="O7742" t="s">
        <v>605</v>
      </c>
    </row>
    <row r="7743" spans="1:17" x14ac:dyDescent="0.25">
      <c r="A7743" s="22">
        <v>45884</v>
      </c>
      <c r="B7743" s="1" t="s">
        <v>6079</v>
      </c>
      <c r="C7743" t="s">
        <v>293</v>
      </c>
      <c r="D7743" s="44">
        <v>1300000</v>
      </c>
      <c r="E7743" t="s">
        <v>45</v>
      </c>
      <c r="F7743" s="2">
        <v>210115002</v>
      </c>
      <c r="G7743" s="2" t="s">
        <v>5259</v>
      </c>
      <c r="I7743" s="95" t="s">
        <v>7231</v>
      </c>
      <c r="K7743" t="s">
        <v>293</v>
      </c>
      <c r="M7743">
        <v>135.63999999999999</v>
      </c>
      <c r="N7743" s="4">
        <f t="shared" si="120"/>
        <v>9584.1934532586274</v>
      </c>
      <c r="O7743" t="s">
        <v>605</v>
      </c>
    </row>
    <row r="7744" spans="1:17" ht="15.75" x14ac:dyDescent="0.25">
      <c r="A7744" s="22">
        <v>45884</v>
      </c>
      <c r="B7744" s="1" t="s">
        <v>6080</v>
      </c>
      <c r="C7744" t="s">
        <v>6081</v>
      </c>
      <c r="D7744" s="44">
        <v>-1234552.8</v>
      </c>
      <c r="E7744" t="s">
        <v>35</v>
      </c>
      <c r="F7744" s="2">
        <v>110110001</v>
      </c>
      <c r="G7744" s="2" t="s">
        <v>655</v>
      </c>
      <c r="I7744" s="95" t="s">
        <v>7231</v>
      </c>
      <c r="K7744" t="s">
        <v>6082</v>
      </c>
      <c r="M7744">
        <v>135.63999999999999</v>
      </c>
      <c r="N7744" s="4">
        <f t="shared" si="120"/>
        <v>-9101.6868180477741</v>
      </c>
      <c r="O7744" t="s">
        <v>605</v>
      </c>
      <c r="P7744" s="37" t="s">
        <v>6083</v>
      </c>
    </row>
    <row r="7745" spans="1:17" x14ac:dyDescent="0.25">
      <c r="A7745" s="22">
        <v>45884</v>
      </c>
      <c r="B7745" s="1" t="s">
        <v>6084</v>
      </c>
      <c r="C7745" t="s">
        <v>622</v>
      </c>
      <c r="D7745" s="44">
        <v>-3086.38</v>
      </c>
      <c r="E7745" t="s">
        <v>35</v>
      </c>
      <c r="F7745" s="2">
        <v>610148001</v>
      </c>
      <c r="G7745" s="2" t="s">
        <v>41</v>
      </c>
      <c r="I7745" s="95" t="s">
        <v>7231</v>
      </c>
      <c r="J7745" t="s">
        <v>42</v>
      </c>
      <c r="K7745" t="s">
        <v>41</v>
      </c>
      <c r="M7745">
        <v>135.63999999999999</v>
      </c>
      <c r="N7745" s="4">
        <f t="shared" si="120"/>
        <v>-22.754202300206433</v>
      </c>
      <c r="O7745" t="s">
        <v>605</v>
      </c>
      <c r="Q7745" s="24" t="s">
        <v>5251</v>
      </c>
    </row>
    <row r="7746" spans="1:17" x14ac:dyDescent="0.25">
      <c r="A7746" s="22">
        <v>45884</v>
      </c>
      <c r="B7746" s="1" t="s">
        <v>6085</v>
      </c>
      <c r="C7746" t="s">
        <v>293</v>
      </c>
      <c r="D7746" s="44">
        <v>1200000</v>
      </c>
      <c r="E7746" t="s">
        <v>45</v>
      </c>
      <c r="F7746" s="2">
        <v>210115002</v>
      </c>
      <c r="G7746" s="2" t="s">
        <v>5259</v>
      </c>
      <c r="I7746" s="95" t="s">
        <v>7231</v>
      </c>
      <c r="K7746" t="s">
        <v>293</v>
      </c>
      <c r="M7746">
        <v>135.63999999999999</v>
      </c>
      <c r="N7746" s="4">
        <f t="shared" si="120"/>
        <v>8846.9478030079626</v>
      </c>
      <c r="O7746" t="s">
        <v>605</v>
      </c>
    </row>
    <row r="7747" spans="1:17" x14ac:dyDescent="0.25">
      <c r="A7747" s="22">
        <v>45884</v>
      </c>
      <c r="B7747" s="1" t="s">
        <v>6086</v>
      </c>
      <c r="C7747" t="s">
        <v>622</v>
      </c>
      <c r="D7747" s="1">
        <v>-6.78</v>
      </c>
      <c r="E7747" t="s">
        <v>35</v>
      </c>
      <c r="F7747" s="2">
        <v>610148001</v>
      </c>
      <c r="G7747" s="2" t="s">
        <v>41</v>
      </c>
      <c r="I7747" s="95" t="s">
        <v>7231</v>
      </c>
      <c r="J7747" t="s">
        <v>42</v>
      </c>
      <c r="K7747" t="s">
        <v>41</v>
      </c>
      <c r="M7747">
        <v>135.63999999999999</v>
      </c>
      <c r="N7747" s="4">
        <f t="shared" si="120"/>
        <v>-4.9985255086994994E-2</v>
      </c>
      <c r="O7747" t="s">
        <v>605</v>
      </c>
      <c r="Q7747" s="24" t="s">
        <v>5251</v>
      </c>
    </row>
    <row r="7748" spans="1:17" x14ac:dyDescent="0.25">
      <c r="A7748" s="22">
        <v>45884</v>
      </c>
      <c r="B7748" s="1" t="s">
        <v>6087</v>
      </c>
      <c r="C7748" t="s">
        <v>6088</v>
      </c>
      <c r="D7748" s="44">
        <v>-2712.8</v>
      </c>
      <c r="E7748" t="s">
        <v>35</v>
      </c>
      <c r="F7748" s="2">
        <v>212901001</v>
      </c>
      <c r="G7748" s="2" t="s">
        <v>91</v>
      </c>
      <c r="I7748" s="95" t="s">
        <v>7231</v>
      </c>
      <c r="J7748" t="s">
        <v>61</v>
      </c>
      <c r="K7748" t="s">
        <v>62</v>
      </c>
      <c r="M7748">
        <v>135.63999999999999</v>
      </c>
      <c r="N7748" s="4">
        <f t="shared" si="120"/>
        <v>-20.000000000000004</v>
      </c>
      <c r="O7748" t="s">
        <v>605</v>
      </c>
    </row>
    <row r="7749" spans="1:17" x14ac:dyDescent="0.25">
      <c r="A7749" s="22">
        <v>45884</v>
      </c>
      <c r="B7749" s="1" t="s">
        <v>6089</v>
      </c>
      <c r="C7749" t="s">
        <v>622</v>
      </c>
      <c r="D7749" s="1">
        <v>-40.69</v>
      </c>
      <c r="E7749" t="s">
        <v>35</v>
      </c>
      <c r="F7749" s="2">
        <v>610148001</v>
      </c>
      <c r="G7749" s="2" t="s">
        <v>41</v>
      </c>
      <c r="I7749" s="95" t="s">
        <v>7231</v>
      </c>
      <c r="J7749" t="s">
        <v>42</v>
      </c>
      <c r="K7749" t="s">
        <v>41</v>
      </c>
      <c r="M7749">
        <v>135.63999999999999</v>
      </c>
      <c r="N7749" s="4">
        <f t="shared" si="120"/>
        <v>-0.29998525508699497</v>
      </c>
      <c r="O7749" t="s">
        <v>605</v>
      </c>
      <c r="Q7749" s="24" t="s">
        <v>5251</v>
      </c>
    </row>
    <row r="7750" spans="1:17" x14ac:dyDescent="0.25">
      <c r="A7750" s="33">
        <v>45884</v>
      </c>
      <c r="B7750" s="27" t="s">
        <v>6090</v>
      </c>
      <c r="C7750" s="28" t="s">
        <v>6091</v>
      </c>
      <c r="D7750" s="47">
        <v>-16276.8</v>
      </c>
      <c r="E7750" s="28" t="s">
        <v>35</v>
      </c>
      <c r="F7750" s="30">
        <v>610156001</v>
      </c>
      <c r="G7750" s="30" t="s">
        <v>72</v>
      </c>
      <c r="H7750" s="30"/>
      <c r="I7750" s="95" t="s">
        <v>7231</v>
      </c>
      <c r="J7750" s="28" t="s">
        <v>73</v>
      </c>
      <c r="K7750" s="28" t="s">
        <v>74</v>
      </c>
      <c r="L7750" s="28" t="s">
        <v>56</v>
      </c>
      <c r="M7750" s="28">
        <v>135.63999999999999</v>
      </c>
      <c r="N7750" s="4">
        <f t="shared" si="120"/>
        <v>-120</v>
      </c>
      <c r="O7750" t="s">
        <v>605</v>
      </c>
      <c r="Q7750" s="24" t="s">
        <v>6092</v>
      </c>
    </row>
    <row r="7751" spans="1:17" x14ac:dyDescent="0.25">
      <c r="A7751" s="22">
        <v>45884</v>
      </c>
      <c r="B7751" s="1" t="s">
        <v>6093</v>
      </c>
      <c r="C7751" t="s">
        <v>6094</v>
      </c>
      <c r="D7751" s="44">
        <v>-13564</v>
      </c>
      <c r="E7751" t="s">
        <v>35</v>
      </c>
      <c r="F7751" s="2">
        <v>212901001</v>
      </c>
      <c r="G7751" s="2" t="s">
        <v>91</v>
      </c>
      <c r="I7751" s="95" t="s">
        <v>7231</v>
      </c>
      <c r="J7751" t="s">
        <v>61</v>
      </c>
      <c r="K7751" t="s">
        <v>62</v>
      </c>
      <c r="M7751">
        <v>135.63999999999999</v>
      </c>
      <c r="N7751" s="4">
        <f t="shared" si="120"/>
        <v>-100.00000000000001</v>
      </c>
      <c r="O7751" t="s">
        <v>605</v>
      </c>
    </row>
    <row r="7752" spans="1:17" x14ac:dyDescent="0.25">
      <c r="A7752" s="22">
        <v>45884</v>
      </c>
      <c r="B7752" s="1" t="s">
        <v>6095</v>
      </c>
      <c r="C7752" t="s">
        <v>622</v>
      </c>
      <c r="D7752" s="1">
        <v>-33.909999999999997</v>
      </c>
      <c r="E7752" t="s">
        <v>35</v>
      </c>
      <c r="F7752" s="2">
        <v>610148001</v>
      </c>
      <c r="G7752" s="2" t="s">
        <v>41</v>
      </c>
      <c r="I7752" s="95" t="s">
        <v>7231</v>
      </c>
      <c r="J7752" t="s">
        <v>42</v>
      </c>
      <c r="K7752" t="s">
        <v>41</v>
      </c>
      <c r="M7752">
        <v>135.63999999999999</v>
      </c>
      <c r="N7752" s="4">
        <f t="shared" si="120"/>
        <v>-0.25</v>
      </c>
      <c r="O7752" t="s">
        <v>605</v>
      </c>
      <c r="Q7752" s="24" t="s">
        <v>5251</v>
      </c>
    </row>
    <row r="7753" spans="1:17" x14ac:dyDescent="0.25">
      <c r="A7753" s="22">
        <v>45884</v>
      </c>
      <c r="B7753" s="1" t="s">
        <v>6096</v>
      </c>
      <c r="C7753" t="s">
        <v>5998</v>
      </c>
      <c r="D7753" s="44">
        <v>-357628.31</v>
      </c>
      <c r="E7753" t="s">
        <v>35</v>
      </c>
      <c r="F7753" s="2">
        <v>210101001</v>
      </c>
      <c r="G7753" s="2" t="s">
        <v>36</v>
      </c>
      <c r="I7753" s="95" t="s">
        <v>7231</v>
      </c>
      <c r="J7753" t="s">
        <v>37</v>
      </c>
      <c r="K7753" t="s">
        <v>38</v>
      </c>
      <c r="M7753">
        <v>135.63999999999999</v>
      </c>
      <c r="N7753" s="4">
        <f t="shared" si="120"/>
        <v>-2636.5991595399591</v>
      </c>
      <c r="O7753" t="s">
        <v>605</v>
      </c>
    </row>
    <row r="7754" spans="1:17" x14ac:dyDescent="0.25">
      <c r="A7754" s="22">
        <v>45884</v>
      </c>
      <c r="B7754" s="1" t="s">
        <v>6097</v>
      </c>
      <c r="C7754" t="s">
        <v>622</v>
      </c>
      <c r="D7754" s="1">
        <v>-894.07</v>
      </c>
      <c r="E7754" t="s">
        <v>35</v>
      </c>
      <c r="F7754" s="2">
        <v>610148001</v>
      </c>
      <c r="G7754" s="2" t="s">
        <v>41</v>
      </c>
      <c r="I7754" s="95" t="s">
        <v>7231</v>
      </c>
      <c r="J7754" t="s">
        <v>42</v>
      </c>
      <c r="K7754" t="s">
        <v>41</v>
      </c>
      <c r="M7754">
        <v>135.63999999999999</v>
      </c>
      <c r="N7754" s="4">
        <f t="shared" si="120"/>
        <v>-6.5914921851961088</v>
      </c>
      <c r="O7754" t="s">
        <v>605</v>
      </c>
      <c r="Q7754" s="24" t="s">
        <v>5251</v>
      </c>
    </row>
    <row r="7755" spans="1:17" x14ac:dyDescent="0.25">
      <c r="A7755" s="22">
        <v>45884</v>
      </c>
      <c r="B7755" s="1" t="s">
        <v>6098</v>
      </c>
      <c r="C7755" t="s">
        <v>6099</v>
      </c>
      <c r="D7755" s="44">
        <v>-2712.8</v>
      </c>
      <c r="E7755" t="s">
        <v>35</v>
      </c>
      <c r="F7755" s="2">
        <v>212901001</v>
      </c>
      <c r="G7755" s="2" t="s">
        <v>91</v>
      </c>
      <c r="I7755" s="95" t="s">
        <v>7231</v>
      </c>
      <c r="J7755" t="s">
        <v>61</v>
      </c>
      <c r="K7755" t="s">
        <v>62</v>
      </c>
      <c r="M7755">
        <v>135.63999999999999</v>
      </c>
      <c r="N7755" s="4">
        <f t="shared" si="120"/>
        <v>-20.000000000000004</v>
      </c>
      <c r="O7755" t="s">
        <v>605</v>
      </c>
    </row>
    <row r="7756" spans="1:17" x14ac:dyDescent="0.25">
      <c r="A7756" s="22">
        <v>45884</v>
      </c>
      <c r="B7756" s="1" t="s">
        <v>6100</v>
      </c>
      <c r="C7756" t="s">
        <v>622</v>
      </c>
      <c r="D7756" s="1">
        <v>-6.78</v>
      </c>
      <c r="E7756" t="s">
        <v>35</v>
      </c>
      <c r="F7756" s="2">
        <v>610148001</v>
      </c>
      <c r="G7756" s="2" t="s">
        <v>41</v>
      </c>
      <c r="I7756" s="95" t="s">
        <v>7231</v>
      </c>
      <c r="J7756" t="s">
        <v>42</v>
      </c>
      <c r="K7756" t="s">
        <v>41</v>
      </c>
      <c r="M7756">
        <v>135.63999999999999</v>
      </c>
      <c r="N7756" s="4">
        <f t="shared" ref="N7756:N7819" si="121">D7756/M7756</f>
        <v>-4.9985255086994994E-2</v>
      </c>
      <c r="O7756" t="s">
        <v>605</v>
      </c>
      <c r="Q7756" s="24" t="s">
        <v>5251</v>
      </c>
    </row>
    <row r="7757" spans="1:17" x14ac:dyDescent="0.25">
      <c r="A7757" s="22">
        <v>45884</v>
      </c>
      <c r="B7757" s="1" t="s">
        <v>6101</v>
      </c>
      <c r="C7757" t="s">
        <v>6102</v>
      </c>
      <c r="D7757" s="44">
        <v>-2712.8</v>
      </c>
      <c r="E7757" t="s">
        <v>35</v>
      </c>
      <c r="F7757" s="2">
        <v>212901001</v>
      </c>
      <c r="G7757" s="2" t="s">
        <v>91</v>
      </c>
      <c r="I7757" s="95" t="s">
        <v>7231</v>
      </c>
      <c r="J7757" t="s">
        <v>61</v>
      </c>
      <c r="K7757" t="s">
        <v>62</v>
      </c>
      <c r="M7757">
        <v>135.63999999999999</v>
      </c>
      <c r="N7757" s="4">
        <f t="shared" si="121"/>
        <v>-20.000000000000004</v>
      </c>
      <c r="O7757" t="s">
        <v>605</v>
      </c>
    </row>
    <row r="7758" spans="1:17" x14ac:dyDescent="0.25">
      <c r="A7758" s="22">
        <v>45884</v>
      </c>
      <c r="B7758" s="1" t="s">
        <v>6103</v>
      </c>
      <c r="C7758" t="s">
        <v>622</v>
      </c>
      <c r="D7758" s="1">
        <v>-6.78</v>
      </c>
      <c r="E7758" t="s">
        <v>35</v>
      </c>
      <c r="F7758" s="2">
        <v>610148001</v>
      </c>
      <c r="G7758" s="2" t="s">
        <v>41</v>
      </c>
      <c r="I7758" s="95" t="s">
        <v>7231</v>
      </c>
      <c r="J7758" t="s">
        <v>42</v>
      </c>
      <c r="K7758" t="s">
        <v>41</v>
      </c>
      <c r="M7758">
        <v>135.63999999999999</v>
      </c>
      <c r="N7758" s="4">
        <f t="shared" si="121"/>
        <v>-4.9985255086994994E-2</v>
      </c>
      <c r="O7758" t="s">
        <v>605</v>
      </c>
      <c r="Q7758" s="24" t="s">
        <v>5251</v>
      </c>
    </row>
    <row r="7759" spans="1:17" x14ac:dyDescent="0.25">
      <c r="A7759" s="22">
        <v>45884</v>
      </c>
      <c r="B7759" s="1" t="s">
        <v>6104</v>
      </c>
      <c r="C7759" t="s">
        <v>6105</v>
      </c>
      <c r="D7759" s="44">
        <v>-2712.8</v>
      </c>
      <c r="E7759" t="s">
        <v>35</v>
      </c>
      <c r="F7759" s="2">
        <v>212901001</v>
      </c>
      <c r="G7759" s="2" t="s">
        <v>91</v>
      </c>
      <c r="I7759" s="95" t="s">
        <v>7231</v>
      </c>
      <c r="J7759" t="s">
        <v>61</v>
      </c>
      <c r="K7759" t="s">
        <v>62</v>
      </c>
      <c r="M7759">
        <v>135.63999999999999</v>
      </c>
      <c r="N7759" s="4">
        <f t="shared" si="121"/>
        <v>-20.000000000000004</v>
      </c>
      <c r="O7759" t="s">
        <v>605</v>
      </c>
    </row>
    <row r="7760" spans="1:17" x14ac:dyDescent="0.25">
      <c r="A7760" s="22">
        <v>45884</v>
      </c>
      <c r="B7760" s="1" t="s">
        <v>6106</v>
      </c>
      <c r="C7760" t="s">
        <v>622</v>
      </c>
      <c r="D7760" s="1">
        <v>-6.78</v>
      </c>
      <c r="E7760" t="s">
        <v>35</v>
      </c>
      <c r="F7760" s="2">
        <v>610148001</v>
      </c>
      <c r="G7760" s="2" t="s">
        <v>41</v>
      </c>
      <c r="I7760" s="95" t="s">
        <v>7231</v>
      </c>
      <c r="J7760" t="s">
        <v>42</v>
      </c>
      <c r="K7760" t="s">
        <v>41</v>
      </c>
      <c r="M7760">
        <v>135.63999999999999</v>
      </c>
      <c r="N7760" s="4">
        <f t="shared" si="121"/>
        <v>-4.9985255086994994E-2</v>
      </c>
      <c r="O7760" t="s">
        <v>605</v>
      </c>
      <c r="Q7760" s="24" t="s">
        <v>5251</v>
      </c>
    </row>
    <row r="7761" spans="1:17" x14ac:dyDescent="0.25">
      <c r="A7761" s="33">
        <v>45884</v>
      </c>
      <c r="B7761" s="27" t="s">
        <v>6107</v>
      </c>
      <c r="C7761" s="28" t="s">
        <v>6108</v>
      </c>
      <c r="D7761" s="47">
        <v>-42726.6</v>
      </c>
      <c r="E7761" s="28" t="s">
        <v>35</v>
      </c>
      <c r="F7761" s="30">
        <v>610156001</v>
      </c>
      <c r="G7761" s="30" t="s">
        <v>72</v>
      </c>
      <c r="H7761" s="30"/>
      <c r="I7761" s="95" t="s">
        <v>7231</v>
      </c>
      <c r="J7761" s="28" t="s">
        <v>2398</v>
      </c>
      <c r="K7761" s="28" t="s">
        <v>632</v>
      </c>
      <c r="L7761" s="28" t="s">
        <v>56</v>
      </c>
      <c r="M7761" s="28">
        <v>135.63999999999999</v>
      </c>
      <c r="N7761" s="4">
        <f t="shared" si="121"/>
        <v>-315</v>
      </c>
      <c r="O7761" t="s">
        <v>605</v>
      </c>
      <c r="Q7761" s="24" t="s">
        <v>6109</v>
      </c>
    </row>
    <row r="7762" spans="1:17" x14ac:dyDescent="0.25">
      <c r="A7762" s="22">
        <v>45884</v>
      </c>
      <c r="B7762" s="1" t="s">
        <v>6110</v>
      </c>
      <c r="C7762" t="s">
        <v>622</v>
      </c>
      <c r="D7762" s="1">
        <v>-106.81</v>
      </c>
      <c r="E7762" t="s">
        <v>35</v>
      </c>
      <c r="F7762" s="2">
        <v>610148001</v>
      </c>
      <c r="G7762" s="2" t="s">
        <v>41</v>
      </c>
      <c r="I7762" s="95" t="s">
        <v>7231</v>
      </c>
      <c r="J7762" t="s">
        <v>42</v>
      </c>
      <c r="K7762" t="s">
        <v>41</v>
      </c>
      <c r="M7762">
        <v>135.63999999999999</v>
      </c>
      <c r="N7762" s="4">
        <f t="shared" si="121"/>
        <v>-0.78745207903273384</v>
      </c>
      <c r="O7762" t="s">
        <v>605</v>
      </c>
      <c r="Q7762" s="24" t="s">
        <v>5251</v>
      </c>
    </row>
    <row r="7763" spans="1:17" x14ac:dyDescent="0.25">
      <c r="A7763" s="22">
        <v>45884</v>
      </c>
      <c r="B7763" s="1" t="s">
        <v>6111</v>
      </c>
      <c r="C7763" t="s">
        <v>622</v>
      </c>
      <c r="D7763" s="44">
        <v>-1579.5</v>
      </c>
      <c r="E7763" t="s">
        <v>35</v>
      </c>
      <c r="F7763" s="2">
        <v>610148001</v>
      </c>
      <c r="G7763" s="2" t="s">
        <v>41</v>
      </c>
      <c r="I7763" s="95" t="s">
        <v>7231</v>
      </c>
      <c r="J7763" t="s">
        <v>42</v>
      </c>
      <c r="K7763" t="s">
        <v>41</v>
      </c>
      <c r="M7763">
        <v>135.63999999999999</v>
      </c>
      <c r="N7763" s="4">
        <f t="shared" si="121"/>
        <v>-11.644795045709232</v>
      </c>
      <c r="O7763" t="s">
        <v>605</v>
      </c>
      <c r="Q7763" s="24" t="s">
        <v>5251</v>
      </c>
    </row>
    <row r="7764" spans="1:17" x14ac:dyDescent="0.25">
      <c r="A7764" s="22">
        <v>45884</v>
      </c>
      <c r="B7764" s="1" t="s">
        <v>6112</v>
      </c>
      <c r="C7764" t="s">
        <v>6018</v>
      </c>
      <c r="D7764" s="44">
        <v>-631800.93000000005</v>
      </c>
      <c r="E7764" t="s">
        <v>35</v>
      </c>
      <c r="F7764" s="2">
        <v>210101001</v>
      </c>
      <c r="G7764" s="2" t="s">
        <v>36</v>
      </c>
      <c r="I7764" s="95" t="s">
        <v>7231</v>
      </c>
      <c r="J7764" t="s">
        <v>37</v>
      </c>
      <c r="K7764" t="s">
        <v>38</v>
      </c>
      <c r="M7764">
        <v>135.63999999999999</v>
      </c>
      <c r="N7764" s="4">
        <f t="shared" si="121"/>
        <v>-4657.9248746682406</v>
      </c>
      <c r="O7764" t="s">
        <v>605</v>
      </c>
    </row>
    <row r="7765" spans="1:17" x14ac:dyDescent="0.25">
      <c r="A7765" s="22">
        <v>45884</v>
      </c>
      <c r="B7765" s="1" t="s">
        <v>6113</v>
      </c>
      <c r="C7765" t="s">
        <v>6114</v>
      </c>
      <c r="D7765" s="44">
        <v>-2712.8</v>
      </c>
      <c r="E7765" t="s">
        <v>35</v>
      </c>
      <c r="F7765" s="2">
        <v>212901001</v>
      </c>
      <c r="G7765" s="2" t="s">
        <v>91</v>
      </c>
      <c r="I7765" s="95" t="s">
        <v>7231</v>
      </c>
      <c r="J7765" t="s">
        <v>61</v>
      </c>
      <c r="K7765" t="s">
        <v>62</v>
      </c>
      <c r="M7765">
        <v>135.63999999999999</v>
      </c>
      <c r="N7765" s="4">
        <f t="shared" si="121"/>
        <v>-20.000000000000004</v>
      </c>
      <c r="O7765" t="s">
        <v>605</v>
      </c>
    </row>
    <row r="7766" spans="1:17" x14ac:dyDescent="0.25">
      <c r="A7766" s="22">
        <v>45884</v>
      </c>
      <c r="B7766" s="1" t="s">
        <v>6115</v>
      </c>
      <c r="C7766" t="s">
        <v>622</v>
      </c>
      <c r="D7766" s="1">
        <v>-6.78</v>
      </c>
      <c r="E7766" t="s">
        <v>35</v>
      </c>
      <c r="F7766" s="2">
        <v>610148001</v>
      </c>
      <c r="G7766" s="2" t="s">
        <v>41</v>
      </c>
      <c r="I7766" s="95" t="s">
        <v>7231</v>
      </c>
      <c r="J7766" t="s">
        <v>42</v>
      </c>
      <c r="K7766" t="s">
        <v>41</v>
      </c>
      <c r="M7766">
        <v>135.63999999999999</v>
      </c>
      <c r="N7766" s="4">
        <f t="shared" si="121"/>
        <v>-4.9985255086994994E-2</v>
      </c>
      <c r="O7766" t="s">
        <v>605</v>
      </c>
      <c r="Q7766" s="24" t="s">
        <v>5251</v>
      </c>
    </row>
    <row r="7767" spans="1:17" x14ac:dyDescent="0.25">
      <c r="A7767" s="22">
        <v>45884</v>
      </c>
      <c r="B7767" s="1" t="s">
        <v>6116</v>
      </c>
      <c r="C7767" t="s">
        <v>6117</v>
      </c>
      <c r="D7767" s="44">
        <v>-10851.2</v>
      </c>
      <c r="E7767" t="s">
        <v>35</v>
      </c>
      <c r="F7767" s="2">
        <v>212901001</v>
      </c>
      <c r="G7767" s="2" t="s">
        <v>91</v>
      </c>
      <c r="I7767" s="95" t="s">
        <v>7231</v>
      </c>
      <c r="J7767" t="s">
        <v>61</v>
      </c>
      <c r="K7767" t="s">
        <v>62</v>
      </c>
      <c r="M7767">
        <v>135.63999999999999</v>
      </c>
      <c r="N7767" s="4">
        <f t="shared" si="121"/>
        <v>-80.000000000000014</v>
      </c>
      <c r="O7767" t="s">
        <v>605</v>
      </c>
    </row>
    <row r="7768" spans="1:17" x14ac:dyDescent="0.25">
      <c r="A7768" s="22">
        <v>45884</v>
      </c>
      <c r="B7768" s="1" t="s">
        <v>6118</v>
      </c>
      <c r="C7768" t="s">
        <v>622</v>
      </c>
      <c r="D7768" s="1">
        <v>-27.12</v>
      </c>
      <c r="E7768" t="s">
        <v>35</v>
      </c>
      <c r="F7768" s="2">
        <v>610148001</v>
      </c>
      <c r="G7768" s="2" t="s">
        <v>41</v>
      </c>
      <c r="I7768" s="95" t="s">
        <v>7231</v>
      </c>
      <c r="J7768" t="s">
        <v>42</v>
      </c>
      <c r="K7768" t="s">
        <v>41</v>
      </c>
      <c r="M7768">
        <v>135.63999999999999</v>
      </c>
      <c r="N7768" s="4">
        <f t="shared" si="121"/>
        <v>-0.19994102034797998</v>
      </c>
      <c r="O7768" t="s">
        <v>605</v>
      </c>
      <c r="Q7768" s="24" t="s">
        <v>5251</v>
      </c>
    </row>
    <row r="7769" spans="1:17" x14ac:dyDescent="0.25">
      <c r="A7769" s="33">
        <v>45884</v>
      </c>
      <c r="B7769" s="27" t="s">
        <v>6119</v>
      </c>
      <c r="C7769" s="28" t="s">
        <v>6120</v>
      </c>
      <c r="D7769" s="47">
        <v>-2712.8</v>
      </c>
      <c r="E7769" s="28" t="s">
        <v>35</v>
      </c>
      <c r="F7769" s="30">
        <v>610125001</v>
      </c>
      <c r="G7769" s="30" t="s">
        <v>2536</v>
      </c>
      <c r="H7769" s="30"/>
      <c r="I7769" s="95" t="s">
        <v>7231</v>
      </c>
      <c r="J7769" s="28" t="s">
        <v>6121</v>
      </c>
      <c r="K7769" s="28" t="s">
        <v>407</v>
      </c>
      <c r="L7769" s="28" t="s">
        <v>56</v>
      </c>
      <c r="M7769" s="28">
        <v>135.63999999999999</v>
      </c>
      <c r="N7769" s="4">
        <f t="shared" si="121"/>
        <v>-20.000000000000004</v>
      </c>
      <c r="O7769" t="s">
        <v>605</v>
      </c>
      <c r="Q7769" s="24" t="s">
        <v>6122</v>
      </c>
    </row>
    <row r="7770" spans="1:17" x14ac:dyDescent="0.25">
      <c r="A7770" s="22">
        <v>45884</v>
      </c>
      <c r="B7770" s="1" t="s">
        <v>6123</v>
      </c>
      <c r="C7770" t="s">
        <v>622</v>
      </c>
      <c r="D7770" s="1">
        <v>-6.78</v>
      </c>
      <c r="E7770" t="s">
        <v>35</v>
      </c>
      <c r="F7770" s="2">
        <v>610148001</v>
      </c>
      <c r="G7770" s="2" t="s">
        <v>41</v>
      </c>
      <c r="I7770" s="95" t="s">
        <v>7231</v>
      </c>
      <c r="J7770" t="s">
        <v>42</v>
      </c>
      <c r="K7770" t="s">
        <v>41</v>
      </c>
      <c r="M7770">
        <v>135.63999999999999</v>
      </c>
      <c r="N7770" s="4">
        <f t="shared" si="121"/>
        <v>-4.9985255086994994E-2</v>
      </c>
      <c r="O7770" t="s">
        <v>605</v>
      </c>
      <c r="Q7770" s="24" t="s">
        <v>5251</v>
      </c>
    </row>
    <row r="7771" spans="1:17" x14ac:dyDescent="0.25">
      <c r="A7771" s="22">
        <v>45884</v>
      </c>
      <c r="B7771" s="1" t="s">
        <v>6124</v>
      </c>
      <c r="C7771" t="s">
        <v>622</v>
      </c>
      <c r="D7771" s="1">
        <v>-40.69</v>
      </c>
      <c r="E7771" t="s">
        <v>35</v>
      </c>
      <c r="F7771" s="2">
        <v>610148001</v>
      </c>
      <c r="G7771" s="2" t="s">
        <v>41</v>
      </c>
      <c r="I7771" s="95" t="s">
        <v>7231</v>
      </c>
      <c r="J7771" t="s">
        <v>42</v>
      </c>
      <c r="K7771" t="s">
        <v>41</v>
      </c>
      <c r="M7771">
        <v>135.63999999999999</v>
      </c>
      <c r="N7771" s="4">
        <f t="shared" si="121"/>
        <v>-0.29998525508699497</v>
      </c>
      <c r="O7771" t="s">
        <v>605</v>
      </c>
      <c r="Q7771" s="24" t="s">
        <v>5251</v>
      </c>
    </row>
    <row r="7772" spans="1:17" x14ac:dyDescent="0.25">
      <c r="A7772" s="33">
        <v>45884</v>
      </c>
      <c r="B7772" s="27" t="s">
        <v>6125</v>
      </c>
      <c r="C7772" s="28" t="s">
        <v>52</v>
      </c>
      <c r="D7772" s="47">
        <v>-16276.8</v>
      </c>
      <c r="E7772" s="28" t="s">
        <v>35</v>
      </c>
      <c r="F7772" s="30">
        <v>610129001</v>
      </c>
      <c r="G7772" s="30" t="s">
        <v>53</v>
      </c>
      <c r="H7772" s="30"/>
      <c r="I7772" s="95" t="s">
        <v>7231</v>
      </c>
      <c r="J7772" s="28" t="s">
        <v>54</v>
      </c>
      <c r="K7772" s="28" t="s">
        <v>55</v>
      </c>
      <c r="L7772" s="28" t="s">
        <v>56</v>
      </c>
      <c r="M7772" s="28">
        <v>135.63999999999999</v>
      </c>
      <c r="N7772" s="4">
        <f t="shared" si="121"/>
        <v>-120</v>
      </c>
      <c r="O7772" t="s">
        <v>605</v>
      </c>
      <c r="Q7772" s="24" t="s">
        <v>6126</v>
      </c>
    </row>
    <row r="7773" spans="1:17" x14ac:dyDescent="0.25">
      <c r="A7773" s="22">
        <v>45884</v>
      </c>
      <c r="B7773" s="1" t="s">
        <v>6127</v>
      </c>
      <c r="C7773" t="s">
        <v>622</v>
      </c>
      <c r="D7773" s="1">
        <v>-3.39</v>
      </c>
      <c r="E7773" t="s">
        <v>35</v>
      </c>
      <c r="F7773" s="2">
        <v>610148001</v>
      </c>
      <c r="G7773" s="2" t="s">
        <v>41</v>
      </c>
      <c r="I7773" s="95" t="s">
        <v>7231</v>
      </c>
      <c r="J7773" t="s">
        <v>42</v>
      </c>
      <c r="K7773" t="s">
        <v>41</v>
      </c>
      <c r="M7773">
        <v>135.63999999999999</v>
      </c>
      <c r="N7773" s="4">
        <f t="shared" si="121"/>
        <v>-2.4992627543497497E-2</v>
      </c>
      <c r="O7773" t="s">
        <v>605</v>
      </c>
      <c r="Q7773" s="24" t="s">
        <v>5251</v>
      </c>
    </row>
    <row r="7774" spans="1:17" x14ac:dyDescent="0.25">
      <c r="A7774" s="22">
        <v>45884</v>
      </c>
      <c r="B7774" s="1" t="s">
        <v>6128</v>
      </c>
      <c r="C7774" t="s">
        <v>6129</v>
      </c>
      <c r="D7774" s="44">
        <v>-1356.4</v>
      </c>
      <c r="E7774" t="s">
        <v>35</v>
      </c>
      <c r="F7774" s="2">
        <v>212901001</v>
      </c>
      <c r="G7774" s="2" t="s">
        <v>91</v>
      </c>
      <c r="I7774" s="95" t="s">
        <v>7231</v>
      </c>
      <c r="J7774" t="s">
        <v>61</v>
      </c>
      <c r="K7774" t="s">
        <v>62</v>
      </c>
      <c r="M7774">
        <v>135.63999999999999</v>
      </c>
      <c r="N7774" s="4">
        <f t="shared" si="121"/>
        <v>-10.000000000000002</v>
      </c>
      <c r="O7774" t="s">
        <v>605</v>
      </c>
    </row>
    <row r="7775" spans="1:17" x14ac:dyDescent="0.25">
      <c r="A7775" s="22">
        <v>45884</v>
      </c>
      <c r="B7775" s="1" t="s">
        <v>6130</v>
      </c>
      <c r="C7775" t="s">
        <v>622</v>
      </c>
      <c r="D7775" s="1">
        <v>-29.71</v>
      </c>
      <c r="E7775" t="s">
        <v>35</v>
      </c>
      <c r="F7775" s="2">
        <v>610148001</v>
      </c>
      <c r="G7775" s="2" t="s">
        <v>41</v>
      </c>
      <c r="I7775" s="95" t="s">
        <v>7231</v>
      </c>
      <c r="J7775" t="s">
        <v>42</v>
      </c>
      <c r="K7775" t="s">
        <v>41</v>
      </c>
      <c r="M7775">
        <v>135.63999999999999</v>
      </c>
      <c r="N7775" s="4">
        <f t="shared" si="121"/>
        <v>-0.21903568268947216</v>
      </c>
      <c r="O7775" t="s">
        <v>605</v>
      </c>
      <c r="Q7775" s="24" t="s">
        <v>5251</v>
      </c>
    </row>
    <row r="7776" spans="1:17" x14ac:dyDescent="0.25">
      <c r="A7776" s="22">
        <v>45884</v>
      </c>
      <c r="B7776" s="1" t="s">
        <v>6131</v>
      </c>
      <c r="C7776" t="s">
        <v>4703</v>
      </c>
      <c r="D7776" s="44">
        <v>-11887.29</v>
      </c>
      <c r="E7776" t="s">
        <v>35</v>
      </c>
      <c r="F7776" s="2">
        <v>110101002</v>
      </c>
      <c r="G7776" s="2" t="s">
        <v>2771</v>
      </c>
      <c r="I7776" s="95" t="s">
        <v>7231</v>
      </c>
      <c r="K7776" t="s">
        <v>6132</v>
      </c>
      <c r="M7776">
        <v>135.63999999999999</v>
      </c>
      <c r="N7776" s="4">
        <f t="shared" si="121"/>
        <v>-87.638528457682114</v>
      </c>
      <c r="O7776" t="s">
        <v>605</v>
      </c>
    </row>
    <row r="7777" spans="1:17" x14ac:dyDescent="0.25">
      <c r="A7777" s="22">
        <v>45887</v>
      </c>
      <c r="B7777" s="1" t="s">
        <v>6133</v>
      </c>
      <c r="C7777" t="s">
        <v>293</v>
      </c>
      <c r="D7777" s="44">
        <v>1500000</v>
      </c>
      <c r="E7777" t="s">
        <v>45</v>
      </c>
      <c r="F7777" s="2">
        <v>210115002</v>
      </c>
      <c r="G7777" s="2" t="s">
        <v>5259</v>
      </c>
      <c r="I7777" s="95" t="s">
        <v>7231</v>
      </c>
      <c r="K7777" t="s">
        <v>293</v>
      </c>
      <c r="M7777">
        <v>136.88999999999999</v>
      </c>
      <c r="N7777" s="4">
        <f t="shared" si="121"/>
        <v>10957.703265395574</v>
      </c>
      <c r="O7777" t="s">
        <v>605</v>
      </c>
    </row>
    <row r="7778" spans="1:17" x14ac:dyDescent="0.25">
      <c r="A7778" s="22">
        <v>45887</v>
      </c>
      <c r="B7778" s="1" t="s">
        <v>6134</v>
      </c>
      <c r="C7778" t="s">
        <v>622</v>
      </c>
      <c r="D7778" s="44">
        <v>-2500</v>
      </c>
      <c r="E7778" t="s">
        <v>35</v>
      </c>
      <c r="F7778" s="2">
        <v>610148001</v>
      </c>
      <c r="G7778" s="2" t="s">
        <v>41</v>
      </c>
      <c r="I7778" s="95" t="s">
        <v>7231</v>
      </c>
      <c r="J7778" t="s">
        <v>42</v>
      </c>
      <c r="K7778" t="s">
        <v>41</v>
      </c>
      <c r="M7778">
        <v>136.88999999999999</v>
      </c>
      <c r="N7778" s="4">
        <f t="shared" si="121"/>
        <v>-18.26283877565929</v>
      </c>
      <c r="O7778" t="s">
        <v>605</v>
      </c>
      <c r="Q7778" s="24" t="s">
        <v>5251</v>
      </c>
    </row>
    <row r="7779" spans="1:17" x14ac:dyDescent="0.25">
      <c r="A7779" s="22">
        <v>45887</v>
      </c>
      <c r="B7779" s="1" t="s">
        <v>6135</v>
      </c>
      <c r="C7779" t="s">
        <v>5965</v>
      </c>
      <c r="D7779" s="44">
        <v>-1000000</v>
      </c>
      <c r="E7779" t="s">
        <v>35</v>
      </c>
      <c r="F7779" s="2">
        <v>110114001</v>
      </c>
      <c r="G7779" s="2" t="s">
        <v>181</v>
      </c>
      <c r="I7779" s="95" t="s">
        <v>7231</v>
      </c>
      <c r="J7779" t="s">
        <v>37</v>
      </c>
      <c r="K7779" t="s">
        <v>38</v>
      </c>
      <c r="M7779">
        <v>136.88999999999999</v>
      </c>
      <c r="N7779" s="4">
        <f t="shared" si="121"/>
        <v>-7305.1355102637162</v>
      </c>
      <c r="O7779" t="s">
        <v>605</v>
      </c>
    </row>
    <row r="7780" spans="1:17" x14ac:dyDescent="0.25">
      <c r="A7780" s="22">
        <v>45887</v>
      </c>
      <c r="B7780" s="1" t="s">
        <v>6136</v>
      </c>
      <c r="C7780" t="s">
        <v>622</v>
      </c>
      <c r="D7780" s="44">
        <v>-1615.92</v>
      </c>
      <c r="E7780" t="s">
        <v>35</v>
      </c>
      <c r="F7780" s="2">
        <v>610148001</v>
      </c>
      <c r="G7780" s="2" t="s">
        <v>41</v>
      </c>
      <c r="I7780" s="95" t="s">
        <v>7231</v>
      </c>
      <c r="J7780" t="s">
        <v>42</v>
      </c>
      <c r="K7780" t="s">
        <v>41</v>
      </c>
      <c r="M7780">
        <v>136.88999999999999</v>
      </c>
      <c r="N7780" s="4">
        <f t="shared" si="121"/>
        <v>-11.804514573745344</v>
      </c>
      <c r="O7780" t="s">
        <v>605</v>
      </c>
      <c r="Q7780" s="24" t="s">
        <v>5251</v>
      </c>
    </row>
    <row r="7781" spans="1:17" x14ac:dyDescent="0.25">
      <c r="A7781" s="22">
        <v>45887</v>
      </c>
      <c r="B7781" s="1" t="s">
        <v>6137</v>
      </c>
      <c r="C7781" t="s">
        <v>5965</v>
      </c>
      <c r="D7781" s="44">
        <v>-646369.98</v>
      </c>
      <c r="E7781" t="s">
        <v>35</v>
      </c>
      <c r="F7781" s="2">
        <v>110114001</v>
      </c>
      <c r="G7781" s="2" t="s">
        <v>181</v>
      </c>
      <c r="I7781" s="95" t="s">
        <v>7231</v>
      </c>
      <c r="J7781" t="s">
        <v>37</v>
      </c>
      <c r="K7781" t="s">
        <v>38</v>
      </c>
      <c r="M7781">
        <v>136.88999999999999</v>
      </c>
      <c r="N7781" s="4">
        <f t="shared" si="121"/>
        <v>-4721.8202936664475</v>
      </c>
      <c r="O7781" t="s">
        <v>605</v>
      </c>
    </row>
    <row r="7782" spans="1:17" x14ac:dyDescent="0.25">
      <c r="A7782" s="22">
        <v>45887</v>
      </c>
      <c r="B7782" s="1" t="s">
        <v>6138</v>
      </c>
      <c r="C7782" t="s">
        <v>6139</v>
      </c>
      <c r="D7782" s="44">
        <v>500000</v>
      </c>
      <c r="E7782" t="s">
        <v>45</v>
      </c>
      <c r="F7782" s="2">
        <v>110114001</v>
      </c>
      <c r="G7782" s="2" t="s">
        <v>181</v>
      </c>
      <c r="I7782" s="95" t="s">
        <v>7231</v>
      </c>
      <c r="K7782" t="s">
        <v>6140</v>
      </c>
      <c r="M7782">
        <v>136.88999999999999</v>
      </c>
      <c r="N7782" s="4">
        <f t="shared" si="121"/>
        <v>3652.5677551318581</v>
      </c>
      <c r="O7782" t="s">
        <v>605</v>
      </c>
    </row>
    <row r="7783" spans="1:17" x14ac:dyDescent="0.25">
      <c r="A7783" s="22">
        <v>45888</v>
      </c>
      <c r="B7783" s="1" t="s">
        <v>6141</v>
      </c>
      <c r="C7783" t="s">
        <v>293</v>
      </c>
      <c r="D7783" s="44">
        <v>2000000</v>
      </c>
      <c r="E7783" t="s">
        <v>45</v>
      </c>
      <c r="F7783" s="2">
        <v>210115002</v>
      </c>
      <c r="G7783" s="2" t="s">
        <v>5259</v>
      </c>
      <c r="I7783" s="95" t="s">
        <v>7231</v>
      </c>
      <c r="K7783" t="s">
        <v>293</v>
      </c>
      <c r="M7783">
        <v>136.88999999999999</v>
      </c>
      <c r="N7783" s="4">
        <f t="shared" si="121"/>
        <v>14610.271020527432</v>
      </c>
      <c r="O7783" t="s">
        <v>605</v>
      </c>
    </row>
    <row r="7784" spans="1:17" x14ac:dyDescent="0.25">
      <c r="A7784" s="22">
        <v>45888</v>
      </c>
      <c r="B7784" s="1" t="s">
        <v>6142</v>
      </c>
      <c r="C7784" t="s">
        <v>622</v>
      </c>
      <c r="D7784" s="44">
        <v>-1590.29</v>
      </c>
      <c r="E7784" t="s">
        <v>35</v>
      </c>
      <c r="F7784" s="2">
        <v>610148001</v>
      </c>
      <c r="G7784" s="2" t="s">
        <v>41</v>
      </c>
      <c r="I7784" s="95" t="s">
        <v>7231</v>
      </c>
      <c r="J7784" t="s">
        <v>42</v>
      </c>
      <c r="K7784" t="s">
        <v>41</v>
      </c>
      <c r="M7784">
        <v>136.88999999999999</v>
      </c>
      <c r="N7784" s="4">
        <f t="shared" si="121"/>
        <v>-11.617283950617285</v>
      </c>
      <c r="O7784" t="s">
        <v>605</v>
      </c>
      <c r="Q7784" s="24" t="s">
        <v>5251</v>
      </c>
    </row>
    <row r="7785" spans="1:17" x14ac:dyDescent="0.25">
      <c r="A7785" s="22">
        <v>45888</v>
      </c>
      <c r="B7785" s="1" t="s">
        <v>6143</v>
      </c>
      <c r="C7785" t="s">
        <v>6144</v>
      </c>
      <c r="D7785" s="44">
        <v>-636116.36</v>
      </c>
      <c r="E7785" t="s">
        <v>35</v>
      </c>
      <c r="F7785" s="2">
        <v>110114001</v>
      </c>
      <c r="G7785" s="2" t="s">
        <v>181</v>
      </c>
      <c r="I7785" s="95" t="s">
        <v>7231</v>
      </c>
      <c r="J7785" t="s">
        <v>4696</v>
      </c>
      <c r="K7785" t="s">
        <v>6145</v>
      </c>
      <c r="M7785">
        <v>136.88999999999999</v>
      </c>
      <c r="N7785" s="4">
        <f t="shared" si="121"/>
        <v>-4646.9162100956974</v>
      </c>
      <c r="O7785" t="s">
        <v>605</v>
      </c>
    </row>
    <row r="7786" spans="1:17" x14ac:dyDescent="0.25">
      <c r="A7786" s="22">
        <v>45888</v>
      </c>
      <c r="B7786" s="1" t="s">
        <v>6146</v>
      </c>
      <c r="C7786" t="s">
        <v>622</v>
      </c>
      <c r="D7786" s="1">
        <v>-336.63</v>
      </c>
      <c r="E7786" t="s">
        <v>35</v>
      </c>
      <c r="F7786" s="2">
        <v>610148001</v>
      </c>
      <c r="G7786" s="2" t="s">
        <v>41</v>
      </c>
      <c r="I7786" s="95" t="s">
        <v>7231</v>
      </c>
      <c r="J7786" t="s">
        <v>42</v>
      </c>
      <c r="K7786" t="s">
        <v>41</v>
      </c>
      <c r="M7786">
        <v>136.88999999999999</v>
      </c>
      <c r="N7786" s="4">
        <f t="shared" si="121"/>
        <v>-2.4591277668200746</v>
      </c>
      <c r="O7786" t="s">
        <v>605</v>
      </c>
      <c r="Q7786" s="24" t="s">
        <v>5251</v>
      </c>
    </row>
    <row r="7787" spans="1:17" x14ac:dyDescent="0.25">
      <c r="A7787" s="22">
        <v>45888</v>
      </c>
      <c r="B7787" s="1" t="s">
        <v>6147</v>
      </c>
      <c r="C7787" t="s">
        <v>6148</v>
      </c>
      <c r="D7787" s="44">
        <v>-134655.96</v>
      </c>
      <c r="E7787" t="s">
        <v>35</v>
      </c>
      <c r="F7787" s="2">
        <v>210101001</v>
      </c>
      <c r="G7787" s="2" t="s">
        <v>36</v>
      </c>
      <c r="I7787" s="95" t="s">
        <v>7231</v>
      </c>
      <c r="J7787" t="s">
        <v>414</v>
      </c>
      <c r="K7787" t="s">
        <v>415</v>
      </c>
      <c r="M7787">
        <v>136.88999999999999</v>
      </c>
      <c r="N7787" s="4">
        <f t="shared" si="121"/>
        <v>-983.6800350646505</v>
      </c>
      <c r="O7787" t="s">
        <v>605</v>
      </c>
    </row>
    <row r="7788" spans="1:17" x14ac:dyDescent="0.25">
      <c r="A7788" s="22">
        <v>45888</v>
      </c>
      <c r="B7788" s="1" t="s">
        <v>6149</v>
      </c>
      <c r="C7788" t="s">
        <v>622</v>
      </c>
      <c r="D7788" s="44">
        <v>-2500</v>
      </c>
      <c r="E7788" t="s">
        <v>35</v>
      </c>
      <c r="F7788" s="2">
        <v>610148001</v>
      </c>
      <c r="G7788" s="2" t="s">
        <v>41</v>
      </c>
      <c r="I7788" s="95" t="s">
        <v>7231</v>
      </c>
      <c r="J7788" t="s">
        <v>42</v>
      </c>
      <c r="K7788" t="s">
        <v>41</v>
      </c>
      <c r="M7788">
        <v>136.88999999999999</v>
      </c>
      <c r="N7788" s="4">
        <f t="shared" si="121"/>
        <v>-18.26283877565929</v>
      </c>
      <c r="O7788" t="s">
        <v>605</v>
      </c>
      <c r="Q7788" s="24" t="s">
        <v>5251</v>
      </c>
    </row>
    <row r="7789" spans="1:17" x14ac:dyDescent="0.25">
      <c r="A7789" s="22">
        <v>45888</v>
      </c>
      <c r="B7789" s="1" t="s">
        <v>6150</v>
      </c>
      <c r="C7789" t="s">
        <v>6144</v>
      </c>
      <c r="D7789" s="44">
        <v>-1000000</v>
      </c>
      <c r="E7789" t="s">
        <v>35</v>
      </c>
      <c r="F7789" s="2">
        <v>110114001</v>
      </c>
      <c r="G7789" s="2" t="s">
        <v>181</v>
      </c>
      <c r="I7789" s="95" t="s">
        <v>7231</v>
      </c>
      <c r="J7789" t="s">
        <v>4696</v>
      </c>
      <c r="K7789" t="s">
        <v>6145</v>
      </c>
      <c r="M7789">
        <v>136.88999999999999</v>
      </c>
      <c r="N7789" s="4">
        <f t="shared" si="121"/>
        <v>-7305.1355102637162</v>
      </c>
      <c r="O7789" t="s">
        <v>605</v>
      </c>
    </row>
    <row r="7790" spans="1:17" x14ac:dyDescent="0.25">
      <c r="A7790" s="22">
        <v>45888</v>
      </c>
      <c r="B7790" s="1" t="s">
        <v>6151</v>
      </c>
      <c r="C7790" t="s">
        <v>622</v>
      </c>
      <c r="D7790" s="1">
        <v>-34.35</v>
      </c>
      <c r="E7790" t="s">
        <v>35</v>
      </c>
      <c r="F7790" s="2">
        <v>610148001</v>
      </c>
      <c r="G7790" s="2" t="s">
        <v>41</v>
      </c>
      <c r="I7790" s="95" t="s">
        <v>7231</v>
      </c>
      <c r="J7790" t="s">
        <v>42</v>
      </c>
      <c r="K7790" t="s">
        <v>41</v>
      </c>
      <c r="M7790">
        <v>136.88999999999999</v>
      </c>
      <c r="N7790" s="4">
        <f t="shared" si="121"/>
        <v>-0.25093140477755865</v>
      </c>
      <c r="O7790" t="s">
        <v>605</v>
      </c>
      <c r="Q7790" s="24" t="s">
        <v>5251</v>
      </c>
    </row>
    <row r="7791" spans="1:17" x14ac:dyDescent="0.25">
      <c r="A7791" s="22">
        <v>45888</v>
      </c>
      <c r="B7791" s="1" t="s">
        <v>6152</v>
      </c>
      <c r="C7791" t="s">
        <v>6153</v>
      </c>
      <c r="D7791" s="44">
        <v>-13743.76</v>
      </c>
      <c r="E7791" t="s">
        <v>35</v>
      </c>
      <c r="F7791" s="2">
        <v>210101001</v>
      </c>
      <c r="G7791" s="2" t="s">
        <v>36</v>
      </c>
      <c r="I7791" s="95" t="s">
        <v>7231</v>
      </c>
      <c r="J7791" t="s">
        <v>182</v>
      </c>
      <c r="K7791" t="s">
        <v>183</v>
      </c>
      <c r="M7791">
        <v>136.88999999999999</v>
      </c>
      <c r="N7791" s="4">
        <f t="shared" si="121"/>
        <v>-100.40002922054205</v>
      </c>
      <c r="O7791" t="s">
        <v>605</v>
      </c>
    </row>
    <row r="7792" spans="1:17" x14ac:dyDescent="0.25">
      <c r="A7792" s="22">
        <v>45888</v>
      </c>
      <c r="B7792" s="1" t="s">
        <v>6154</v>
      </c>
      <c r="C7792" t="s">
        <v>622</v>
      </c>
      <c r="D7792" s="44">
        <v>-1594.79</v>
      </c>
      <c r="E7792" t="s">
        <v>35</v>
      </c>
      <c r="F7792" s="2">
        <v>610148001</v>
      </c>
      <c r="G7792" s="2" t="s">
        <v>41</v>
      </c>
      <c r="I7792" s="95" t="s">
        <v>7231</v>
      </c>
      <c r="J7792" t="s">
        <v>42</v>
      </c>
      <c r="K7792" t="s">
        <v>41</v>
      </c>
      <c r="M7792">
        <v>136.88999999999999</v>
      </c>
      <c r="N7792" s="4">
        <f t="shared" si="121"/>
        <v>-11.650157060413472</v>
      </c>
      <c r="O7792" t="s">
        <v>605</v>
      </c>
      <c r="Q7792" s="24" t="s">
        <v>5251</v>
      </c>
    </row>
    <row r="7793" spans="1:17" x14ac:dyDescent="0.25">
      <c r="A7793" s="22">
        <v>45888</v>
      </c>
      <c r="B7793" s="1" t="s">
        <v>6155</v>
      </c>
      <c r="C7793" t="s">
        <v>6156</v>
      </c>
      <c r="D7793" s="44">
        <v>-637919.49</v>
      </c>
      <c r="E7793" t="s">
        <v>35</v>
      </c>
      <c r="F7793" s="2">
        <v>210101001</v>
      </c>
      <c r="G7793" s="2" t="s">
        <v>36</v>
      </c>
      <c r="I7793" s="95" t="s">
        <v>7231</v>
      </c>
      <c r="J7793" t="s">
        <v>37</v>
      </c>
      <c r="K7793" t="s">
        <v>38</v>
      </c>
      <c r="M7793">
        <v>136.88999999999999</v>
      </c>
      <c r="N7793" s="4">
        <f t="shared" si="121"/>
        <v>-4660.0883190883196</v>
      </c>
      <c r="O7793" t="s">
        <v>605</v>
      </c>
    </row>
    <row r="7794" spans="1:17" x14ac:dyDescent="0.25">
      <c r="A7794" s="22">
        <v>45888</v>
      </c>
      <c r="B7794" s="1" t="s">
        <v>6157</v>
      </c>
      <c r="C7794" t="s">
        <v>622</v>
      </c>
      <c r="D7794" s="1">
        <v>-119.09</v>
      </c>
      <c r="E7794" t="s">
        <v>35</v>
      </c>
      <c r="F7794" s="2">
        <v>610148001</v>
      </c>
      <c r="G7794" s="2" t="s">
        <v>41</v>
      </c>
      <c r="I7794" s="95" t="s">
        <v>7231</v>
      </c>
      <c r="J7794" t="s">
        <v>42</v>
      </c>
      <c r="K7794" t="s">
        <v>41</v>
      </c>
      <c r="M7794">
        <v>136.88999999999999</v>
      </c>
      <c r="N7794" s="4">
        <f t="shared" si="121"/>
        <v>-0.86996858791730602</v>
      </c>
      <c r="O7794" t="s">
        <v>605</v>
      </c>
      <c r="Q7794" s="24" t="s">
        <v>5251</v>
      </c>
    </row>
    <row r="7795" spans="1:17" x14ac:dyDescent="0.25">
      <c r="A7795" s="22">
        <v>45888</v>
      </c>
      <c r="B7795" s="1" t="s">
        <v>6158</v>
      </c>
      <c r="C7795" t="s">
        <v>6159</v>
      </c>
      <c r="D7795" s="44">
        <v>-47638.76</v>
      </c>
      <c r="E7795" t="s">
        <v>35</v>
      </c>
      <c r="F7795" s="2">
        <v>210101001</v>
      </c>
      <c r="G7795" s="2" t="s">
        <v>36</v>
      </c>
      <c r="I7795" s="95" t="s">
        <v>7231</v>
      </c>
      <c r="J7795" t="s">
        <v>182</v>
      </c>
      <c r="K7795" t="s">
        <v>183</v>
      </c>
      <c r="M7795">
        <v>136.88999999999999</v>
      </c>
      <c r="N7795" s="4">
        <f t="shared" si="121"/>
        <v>-348.00759734093072</v>
      </c>
      <c r="O7795" t="s">
        <v>605</v>
      </c>
    </row>
    <row r="7796" spans="1:17" x14ac:dyDescent="0.25">
      <c r="A7796" s="33">
        <v>45888</v>
      </c>
      <c r="B7796" s="27" t="s">
        <v>6160</v>
      </c>
      <c r="C7796" s="28" t="s">
        <v>6161</v>
      </c>
      <c r="D7796" s="47">
        <v>-28747.57</v>
      </c>
      <c r="E7796" s="28" t="s">
        <v>35</v>
      </c>
      <c r="F7796" s="30">
        <v>610122005</v>
      </c>
      <c r="G7796" s="30" t="s">
        <v>401</v>
      </c>
      <c r="H7796" s="30"/>
      <c r="I7796" s="95" t="s">
        <v>7231</v>
      </c>
      <c r="J7796" s="28" t="s">
        <v>608</v>
      </c>
      <c r="K7796" s="28" t="s">
        <v>609</v>
      </c>
      <c r="L7796" s="28" t="s">
        <v>56</v>
      </c>
      <c r="M7796" s="28">
        <v>136.88999999999999</v>
      </c>
      <c r="N7796" s="4">
        <f t="shared" si="121"/>
        <v>-210.0048944407919</v>
      </c>
      <c r="O7796" t="s">
        <v>605</v>
      </c>
      <c r="Q7796" s="24" t="s">
        <v>6162</v>
      </c>
    </row>
    <row r="7797" spans="1:17" x14ac:dyDescent="0.25">
      <c r="A7797" s="22">
        <v>45888</v>
      </c>
      <c r="B7797" s="1" t="s">
        <v>6163</v>
      </c>
      <c r="C7797" t="s">
        <v>612</v>
      </c>
      <c r="D7797" s="1">
        <v>-28.74</v>
      </c>
      <c r="E7797" t="s">
        <v>35</v>
      </c>
      <c r="F7797" s="2">
        <v>610148001</v>
      </c>
      <c r="G7797" s="2" t="s">
        <v>41</v>
      </c>
      <c r="I7797" s="95" t="s">
        <v>7231</v>
      </c>
      <c r="J7797" t="s">
        <v>42</v>
      </c>
      <c r="K7797" t="s">
        <v>41</v>
      </c>
      <c r="M7797">
        <v>136.88999999999999</v>
      </c>
      <c r="N7797" s="4">
        <f t="shared" si="121"/>
        <v>-0.20994959456497919</v>
      </c>
      <c r="O7797" t="s">
        <v>605</v>
      </c>
      <c r="Q7797" s="24" t="s">
        <v>5251</v>
      </c>
    </row>
    <row r="7798" spans="1:17" x14ac:dyDescent="0.25">
      <c r="A7798" s="22">
        <v>45888</v>
      </c>
      <c r="B7798" s="1" t="s">
        <v>6164</v>
      </c>
      <c r="C7798" t="s">
        <v>6139</v>
      </c>
      <c r="D7798" s="44">
        <v>200000</v>
      </c>
      <c r="E7798" t="s">
        <v>45</v>
      </c>
      <c r="F7798" s="2">
        <v>110114001</v>
      </c>
      <c r="G7798" s="2" t="s">
        <v>181</v>
      </c>
      <c r="I7798" s="95" t="s">
        <v>7231</v>
      </c>
      <c r="K7798" t="s">
        <v>6165</v>
      </c>
      <c r="M7798">
        <v>136.88999999999999</v>
      </c>
      <c r="N7798" s="4">
        <f t="shared" si="121"/>
        <v>1461.0271020527432</v>
      </c>
      <c r="O7798" t="s">
        <v>605</v>
      </c>
    </row>
    <row r="7799" spans="1:17" x14ac:dyDescent="0.25">
      <c r="A7799" s="22">
        <v>45888</v>
      </c>
      <c r="B7799" s="1" t="s">
        <v>6166</v>
      </c>
      <c r="C7799" t="s">
        <v>6139</v>
      </c>
      <c r="D7799" s="44">
        <v>200000</v>
      </c>
      <c r="E7799" t="s">
        <v>45</v>
      </c>
      <c r="F7799" s="2">
        <v>110114001</v>
      </c>
      <c r="G7799" s="2" t="s">
        <v>181</v>
      </c>
      <c r="I7799" s="95" t="s">
        <v>7231</v>
      </c>
      <c r="K7799" t="s">
        <v>6165</v>
      </c>
      <c r="M7799">
        <v>136.88999999999999</v>
      </c>
      <c r="N7799" s="4">
        <f t="shared" si="121"/>
        <v>1461.0271020527432</v>
      </c>
      <c r="O7799" t="s">
        <v>605</v>
      </c>
    </row>
    <row r="7800" spans="1:17" x14ac:dyDescent="0.25">
      <c r="A7800" s="22">
        <v>45889</v>
      </c>
      <c r="B7800" s="1" t="s">
        <v>6167</v>
      </c>
      <c r="C7800" t="s">
        <v>6168</v>
      </c>
      <c r="D7800" s="44">
        <v>9305.89</v>
      </c>
      <c r="E7800" t="s">
        <v>45</v>
      </c>
      <c r="F7800" s="2">
        <v>110114001</v>
      </c>
      <c r="G7800" s="2" t="s">
        <v>181</v>
      </c>
      <c r="I7800" s="95" t="s">
        <v>7231</v>
      </c>
      <c r="K7800" t="s">
        <v>6165</v>
      </c>
      <c r="M7800">
        <v>138.13</v>
      </c>
      <c r="N7800" s="4">
        <f t="shared" si="121"/>
        <v>67.370520524143927</v>
      </c>
      <c r="O7800" t="s">
        <v>605</v>
      </c>
    </row>
    <row r="7801" spans="1:17" x14ac:dyDescent="0.25">
      <c r="A7801" s="22">
        <v>45889</v>
      </c>
      <c r="B7801" s="1" t="s">
        <v>6169</v>
      </c>
      <c r="C7801" t="s">
        <v>6170</v>
      </c>
      <c r="D7801" s="44">
        <v>1000000</v>
      </c>
      <c r="E7801" t="s">
        <v>45</v>
      </c>
      <c r="F7801" s="2">
        <v>210115002</v>
      </c>
      <c r="G7801" s="2" t="s">
        <v>5259</v>
      </c>
      <c r="I7801" s="95" t="s">
        <v>7231</v>
      </c>
      <c r="K7801" t="s">
        <v>293</v>
      </c>
      <c r="M7801">
        <v>138.13</v>
      </c>
      <c r="N7801" s="4">
        <f t="shared" si="121"/>
        <v>7239.5569391153267</v>
      </c>
      <c r="O7801" t="s">
        <v>605</v>
      </c>
    </row>
    <row r="7802" spans="1:17" x14ac:dyDescent="0.25">
      <c r="A7802" s="22">
        <v>45889</v>
      </c>
      <c r="B7802" s="1" t="s">
        <v>6171</v>
      </c>
      <c r="C7802" t="s">
        <v>622</v>
      </c>
      <c r="D7802" s="1">
        <v>-2.38</v>
      </c>
      <c r="E7802" t="s">
        <v>35</v>
      </c>
      <c r="F7802" s="2">
        <v>610148001</v>
      </c>
      <c r="G7802" s="2" t="s">
        <v>41</v>
      </c>
      <c r="I7802" s="95" t="s">
        <v>7231</v>
      </c>
      <c r="J7802" t="s">
        <v>42</v>
      </c>
      <c r="K7802" t="s">
        <v>41</v>
      </c>
      <c r="M7802">
        <v>138.13</v>
      </c>
      <c r="N7802" s="4">
        <f t="shared" si="121"/>
        <v>-1.7230145515094476E-2</v>
      </c>
      <c r="O7802" t="s">
        <v>605</v>
      </c>
      <c r="Q7802" s="24" t="s">
        <v>5251</v>
      </c>
    </row>
    <row r="7803" spans="1:17" x14ac:dyDescent="0.25">
      <c r="A7803" s="22">
        <v>45889</v>
      </c>
      <c r="B7803" s="1" t="s">
        <v>6172</v>
      </c>
      <c r="C7803" t="s">
        <v>6173</v>
      </c>
      <c r="D7803" s="1">
        <v>-952.75</v>
      </c>
      <c r="E7803" t="s">
        <v>35</v>
      </c>
      <c r="F7803" s="2">
        <v>210101001</v>
      </c>
      <c r="G7803" s="2" t="s">
        <v>36</v>
      </c>
      <c r="I7803" s="95" t="s">
        <v>7231</v>
      </c>
      <c r="J7803" t="s">
        <v>383</v>
      </c>
      <c r="K7803" t="s">
        <v>384</v>
      </c>
      <c r="M7803">
        <v>138.13</v>
      </c>
      <c r="N7803" s="4">
        <f t="shared" si="121"/>
        <v>-6.8974878737421275</v>
      </c>
      <c r="O7803" t="s">
        <v>605</v>
      </c>
    </row>
    <row r="7804" spans="1:17" x14ac:dyDescent="0.25">
      <c r="A7804" s="22">
        <v>45889</v>
      </c>
      <c r="B7804" s="1" t="s">
        <v>6174</v>
      </c>
      <c r="C7804" t="s">
        <v>622</v>
      </c>
      <c r="D7804" s="44">
        <v>-2500</v>
      </c>
      <c r="E7804" t="s">
        <v>35</v>
      </c>
      <c r="F7804" s="2">
        <v>610148001</v>
      </c>
      <c r="G7804" s="2" t="s">
        <v>41</v>
      </c>
      <c r="I7804" s="95" t="s">
        <v>7231</v>
      </c>
      <c r="J7804" t="s">
        <v>42</v>
      </c>
      <c r="K7804" t="s">
        <v>41</v>
      </c>
      <c r="M7804">
        <v>138.13</v>
      </c>
      <c r="N7804" s="4">
        <f t="shared" si="121"/>
        <v>-18.098892347788315</v>
      </c>
      <c r="O7804" t="s">
        <v>605</v>
      </c>
      <c r="Q7804" s="24" t="s">
        <v>5251</v>
      </c>
    </row>
    <row r="7805" spans="1:17" x14ac:dyDescent="0.25">
      <c r="A7805" s="22">
        <v>45889</v>
      </c>
      <c r="B7805" s="1" t="s">
        <v>6175</v>
      </c>
      <c r="C7805" t="s">
        <v>6176</v>
      </c>
      <c r="D7805" s="44">
        <v>-1000000</v>
      </c>
      <c r="E7805" t="s">
        <v>35</v>
      </c>
      <c r="F7805" s="2">
        <v>210101001</v>
      </c>
      <c r="G7805" s="2" t="s">
        <v>36</v>
      </c>
      <c r="I7805" s="95" t="s">
        <v>7231</v>
      </c>
      <c r="J7805" t="s">
        <v>414</v>
      </c>
      <c r="K7805" t="s">
        <v>415</v>
      </c>
      <c r="M7805">
        <v>138.13</v>
      </c>
      <c r="N7805" s="4">
        <f t="shared" si="121"/>
        <v>-7239.5569391153267</v>
      </c>
      <c r="O7805" t="s">
        <v>605</v>
      </c>
    </row>
    <row r="7806" spans="1:17" x14ac:dyDescent="0.25">
      <c r="A7806" s="22">
        <v>45889</v>
      </c>
      <c r="B7806" s="1" t="s">
        <v>6177</v>
      </c>
      <c r="C7806" t="s">
        <v>622</v>
      </c>
      <c r="D7806" s="44">
        <v>-1025.07</v>
      </c>
      <c r="E7806" t="s">
        <v>35</v>
      </c>
      <c r="F7806" s="2">
        <v>610148001</v>
      </c>
      <c r="G7806" s="2" t="s">
        <v>41</v>
      </c>
      <c r="I7806" s="95" t="s">
        <v>7231</v>
      </c>
      <c r="J7806" t="s">
        <v>42</v>
      </c>
      <c r="K7806" t="s">
        <v>41</v>
      </c>
      <c r="M7806">
        <v>138.13</v>
      </c>
      <c r="N7806" s="4">
        <f t="shared" si="121"/>
        <v>-7.4210526315789469</v>
      </c>
      <c r="O7806" t="s">
        <v>605</v>
      </c>
      <c r="Q7806" s="24" t="s">
        <v>5251</v>
      </c>
    </row>
    <row r="7807" spans="1:17" x14ac:dyDescent="0.25">
      <c r="A7807" s="22">
        <v>45889</v>
      </c>
      <c r="B7807" s="1" t="s">
        <v>6178</v>
      </c>
      <c r="C7807" t="s">
        <v>6176</v>
      </c>
      <c r="D7807" s="44">
        <v>-410031.04</v>
      </c>
      <c r="E7807" t="s">
        <v>35</v>
      </c>
      <c r="F7807" s="2">
        <v>210101001</v>
      </c>
      <c r="G7807" s="2" t="s">
        <v>36</v>
      </c>
      <c r="I7807" s="95" t="s">
        <v>7231</v>
      </c>
      <c r="J7807" t="s">
        <v>414</v>
      </c>
      <c r="K7807" t="s">
        <v>415</v>
      </c>
      <c r="M7807">
        <v>138.13</v>
      </c>
      <c r="N7807" s="4">
        <f t="shared" si="121"/>
        <v>-2968.4430608846737</v>
      </c>
      <c r="O7807" t="s">
        <v>605</v>
      </c>
    </row>
    <row r="7808" spans="1:17" x14ac:dyDescent="0.25">
      <c r="A7808" s="22">
        <v>45890</v>
      </c>
      <c r="B7808" s="1" t="s">
        <v>6179</v>
      </c>
      <c r="C7808" t="s">
        <v>3252</v>
      </c>
      <c r="D7808" s="44">
        <v>1550000</v>
      </c>
      <c r="E7808" t="s">
        <v>45</v>
      </c>
      <c r="F7808" s="2">
        <v>210115002</v>
      </c>
      <c r="G7808" s="2" t="s">
        <v>5259</v>
      </c>
      <c r="I7808" s="95" t="s">
        <v>7231</v>
      </c>
      <c r="K7808" t="s">
        <v>3252</v>
      </c>
      <c r="M7808">
        <v>139.4</v>
      </c>
      <c r="N7808" s="4">
        <f t="shared" si="121"/>
        <v>11119.081779053084</v>
      </c>
      <c r="O7808" t="s">
        <v>605</v>
      </c>
    </row>
    <row r="7809" spans="1:17" x14ac:dyDescent="0.25">
      <c r="A7809" s="22">
        <v>45890</v>
      </c>
      <c r="B7809" s="1" t="s">
        <v>6180</v>
      </c>
      <c r="C7809" t="s">
        <v>622</v>
      </c>
      <c r="D7809" s="44">
        <v>-1181.4100000000001</v>
      </c>
      <c r="E7809" t="s">
        <v>35</v>
      </c>
      <c r="F7809" s="2">
        <v>610148001</v>
      </c>
      <c r="G7809" s="2" t="s">
        <v>41</v>
      </c>
      <c r="I7809" s="95" t="s">
        <v>7231</v>
      </c>
      <c r="J7809" t="s">
        <v>42</v>
      </c>
      <c r="K7809" t="s">
        <v>41</v>
      </c>
      <c r="M7809">
        <v>139.4</v>
      </c>
      <c r="N7809" s="4">
        <f t="shared" si="121"/>
        <v>-8.4749641319942608</v>
      </c>
      <c r="O7809" t="s">
        <v>605</v>
      </c>
      <c r="Q7809" s="24" t="s">
        <v>5251</v>
      </c>
    </row>
    <row r="7810" spans="1:17" x14ac:dyDescent="0.25">
      <c r="A7810" s="22">
        <v>45890</v>
      </c>
      <c r="B7810" s="1" t="s">
        <v>6181</v>
      </c>
      <c r="C7810" t="s">
        <v>6182</v>
      </c>
      <c r="D7810" s="44">
        <v>-472565.84</v>
      </c>
      <c r="E7810" t="s">
        <v>35</v>
      </c>
      <c r="F7810" s="2">
        <v>110114001</v>
      </c>
      <c r="G7810" s="2" t="s">
        <v>181</v>
      </c>
      <c r="I7810" s="95" t="s">
        <v>7231</v>
      </c>
      <c r="K7810" t="s">
        <v>1256</v>
      </c>
      <c r="M7810">
        <v>139.4</v>
      </c>
      <c r="N7810" s="4">
        <f t="shared" si="121"/>
        <v>-3389.9988522238164</v>
      </c>
      <c r="O7810" t="s">
        <v>605</v>
      </c>
    </row>
    <row r="7811" spans="1:17" x14ac:dyDescent="0.25">
      <c r="A7811" s="22">
        <v>45890</v>
      </c>
      <c r="B7811" s="1" t="s">
        <v>6183</v>
      </c>
      <c r="C7811" t="s">
        <v>622</v>
      </c>
      <c r="D7811" s="44">
        <v>-12.81</v>
      </c>
      <c r="E7811" t="s">
        <v>35</v>
      </c>
      <c r="F7811" s="2">
        <v>610148001</v>
      </c>
      <c r="G7811" s="2" t="s">
        <v>41</v>
      </c>
      <c r="I7811" s="95" t="s">
        <v>7231</v>
      </c>
      <c r="J7811" t="s">
        <v>42</v>
      </c>
      <c r="K7811" t="s">
        <v>41</v>
      </c>
      <c r="M7811">
        <v>139.4</v>
      </c>
      <c r="N7811" s="4">
        <f t="shared" si="121"/>
        <v>-9.1893830703012908E-2</v>
      </c>
      <c r="O7811" t="s">
        <v>605</v>
      </c>
      <c r="Q7811" s="24" t="s">
        <v>5251</v>
      </c>
    </row>
    <row r="7812" spans="1:17" x14ac:dyDescent="0.25">
      <c r="A7812" s="22">
        <v>45890</v>
      </c>
      <c r="B7812" s="1" t="s">
        <v>6184</v>
      </c>
      <c r="C7812" t="s">
        <v>6185</v>
      </c>
      <c r="D7812" s="44">
        <v>-5127.43</v>
      </c>
      <c r="E7812" t="s">
        <v>35</v>
      </c>
      <c r="F7812" s="2">
        <v>210101001</v>
      </c>
      <c r="G7812" s="2" t="s">
        <v>36</v>
      </c>
      <c r="I7812" s="95" t="s">
        <v>7231</v>
      </c>
      <c r="J7812" t="s">
        <v>182</v>
      </c>
      <c r="K7812" t="s">
        <v>183</v>
      </c>
      <c r="M7812">
        <v>139.4</v>
      </c>
      <c r="N7812" s="4">
        <f t="shared" si="121"/>
        <v>-36.782137733142036</v>
      </c>
      <c r="O7812" t="s">
        <v>605</v>
      </c>
    </row>
    <row r="7813" spans="1:17" x14ac:dyDescent="0.25">
      <c r="A7813" s="22">
        <v>45890</v>
      </c>
      <c r="B7813" s="1" t="s">
        <v>6186</v>
      </c>
      <c r="C7813" t="s">
        <v>622</v>
      </c>
      <c r="D7813" s="44">
        <v>-98.13</v>
      </c>
      <c r="E7813" t="s">
        <v>35</v>
      </c>
      <c r="F7813" s="2">
        <v>610148001</v>
      </c>
      <c r="G7813" s="2" t="s">
        <v>41</v>
      </c>
      <c r="I7813" s="95" t="s">
        <v>7231</v>
      </c>
      <c r="J7813" t="s">
        <v>42</v>
      </c>
      <c r="K7813" t="s">
        <v>41</v>
      </c>
      <c r="M7813">
        <v>139.4</v>
      </c>
      <c r="N7813" s="4">
        <f t="shared" si="121"/>
        <v>-0.70394548063127682</v>
      </c>
      <c r="O7813" t="s">
        <v>605</v>
      </c>
      <c r="Q7813" s="24" t="s">
        <v>5251</v>
      </c>
    </row>
    <row r="7814" spans="1:17" x14ac:dyDescent="0.25">
      <c r="A7814" s="22">
        <v>45890</v>
      </c>
      <c r="B7814" s="1" t="s">
        <v>6187</v>
      </c>
      <c r="C7814" t="s">
        <v>6188</v>
      </c>
      <c r="D7814" s="44">
        <v>-39253.699999999997</v>
      </c>
      <c r="E7814" t="s">
        <v>35</v>
      </c>
      <c r="F7814" s="2">
        <v>210101001</v>
      </c>
      <c r="G7814" s="2" t="s">
        <v>36</v>
      </c>
      <c r="I7814" s="95" t="s">
        <v>7231</v>
      </c>
      <c r="J7814" t="s">
        <v>414</v>
      </c>
      <c r="K7814" t="s">
        <v>415</v>
      </c>
      <c r="M7814">
        <v>139.4</v>
      </c>
      <c r="N7814" s="4">
        <f t="shared" si="121"/>
        <v>-281.59038737446195</v>
      </c>
      <c r="O7814" t="s">
        <v>605</v>
      </c>
    </row>
    <row r="7815" spans="1:17" x14ac:dyDescent="0.25">
      <c r="A7815" s="22">
        <v>45890</v>
      </c>
      <c r="B7815" s="1" t="s">
        <v>6189</v>
      </c>
      <c r="C7815" t="s">
        <v>622</v>
      </c>
      <c r="D7815" s="44">
        <v>-2500</v>
      </c>
      <c r="E7815" t="s">
        <v>35</v>
      </c>
      <c r="F7815" s="2">
        <v>610148001</v>
      </c>
      <c r="G7815" s="2" t="s">
        <v>41</v>
      </c>
      <c r="I7815" s="95" t="s">
        <v>7231</v>
      </c>
      <c r="J7815" t="s">
        <v>42</v>
      </c>
      <c r="K7815" t="s">
        <v>41</v>
      </c>
      <c r="M7815">
        <v>139.4</v>
      </c>
      <c r="N7815" s="4">
        <f t="shared" si="121"/>
        <v>-17.934002869440459</v>
      </c>
      <c r="O7815" t="s">
        <v>605</v>
      </c>
      <c r="Q7815" s="24" t="s">
        <v>5251</v>
      </c>
    </row>
    <row r="7816" spans="1:17" x14ac:dyDescent="0.25">
      <c r="A7816" s="22">
        <v>45890</v>
      </c>
      <c r="B7816" s="1" t="s">
        <v>6190</v>
      </c>
      <c r="C7816" t="s">
        <v>6182</v>
      </c>
      <c r="D7816" s="44">
        <v>-1000000</v>
      </c>
      <c r="E7816" t="s">
        <v>35</v>
      </c>
      <c r="F7816" s="2">
        <v>110114001</v>
      </c>
      <c r="G7816" s="2" t="s">
        <v>181</v>
      </c>
      <c r="I7816" s="95" t="s">
        <v>7231</v>
      </c>
      <c r="K7816" t="s">
        <v>1256</v>
      </c>
      <c r="M7816">
        <v>139.4</v>
      </c>
      <c r="N7816" s="4">
        <f t="shared" si="121"/>
        <v>-7173.6011477761831</v>
      </c>
      <c r="O7816" t="s">
        <v>605</v>
      </c>
    </row>
    <row r="7817" spans="1:17" x14ac:dyDescent="0.25">
      <c r="A7817" s="22">
        <v>45891</v>
      </c>
      <c r="B7817" s="1" t="s">
        <v>6191</v>
      </c>
      <c r="C7817" t="s">
        <v>293</v>
      </c>
      <c r="D7817" s="44">
        <v>450000</v>
      </c>
      <c r="E7817" t="s">
        <v>45</v>
      </c>
      <c r="F7817" s="2">
        <v>210115002</v>
      </c>
      <c r="G7817" s="2" t="s">
        <v>5259</v>
      </c>
      <c r="I7817" s="95" t="s">
        <v>7231</v>
      </c>
      <c r="K7817" t="s">
        <v>293</v>
      </c>
      <c r="M7817">
        <v>140.66</v>
      </c>
      <c r="N7817" s="4">
        <f t="shared" si="121"/>
        <v>3199.2037537324045</v>
      </c>
      <c r="O7817" t="s">
        <v>605</v>
      </c>
    </row>
    <row r="7818" spans="1:17" x14ac:dyDescent="0.25">
      <c r="A7818" s="22">
        <v>45891</v>
      </c>
      <c r="B7818" s="1" t="s">
        <v>6192</v>
      </c>
      <c r="C7818" t="s">
        <v>6193</v>
      </c>
      <c r="D7818" s="44">
        <v>-14066</v>
      </c>
      <c r="E7818" t="s">
        <v>35</v>
      </c>
      <c r="F7818" s="2">
        <v>212901001</v>
      </c>
      <c r="G7818" s="2" t="s">
        <v>91</v>
      </c>
      <c r="I7818" s="95" t="s">
        <v>7231</v>
      </c>
      <c r="J7818" t="s">
        <v>61</v>
      </c>
      <c r="K7818" t="s">
        <v>62</v>
      </c>
      <c r="M7818">
        <v>140.66</v>
      </c>
      <c r="N7818" s="4">
        <f t="shared" si="121"/>
        <v>-100</v>
      </c>
      <c r="O7818" t="s">
        <v>605</v>
      </c>
    </row>
    <row r="7819" spans="1:17" x14ac:dyDescent="0.25">
      <c r="A7819" s="22">
        <v>45891</v>
      </c>
      <c r="B7819" s="1" t="s">
        <v>6194</v>
      </c>
      <c r="C7819" t="s">
        <v>622</v>
      </c>
      <c r="D7819" s="1">
        <v>-35.159999999999997</v>
      </c>
      <c r="E7819" t="s">
        <v>35</v>
      </c>
      <c r="F7819" s="2">
        <v>610148001</v>
      </c>
      <c r="G7819" s="2" t="s">
        <v>41</v>
      </c>
      <c r="I7819" s="95" t="s">
        <v>7231</v>
      </c>
      <c r="J7819" t="s">
        <v>42</v>
      </c>
      <c r="K7819" t="s">
        <v>41</v>
      </c>
      <c r="M7819">
        <v>140.66</v>
      </c>
      <c r="N7819" s="4">
        <f t="shared" si="121"/>
        <v>-0.24996445329162517</v>
      </c>
      <c r="O7819" t="s">
        <v>605</v>
      </c>
      <c r="Q7819" s="24" t="s">
        <v>5251</v>
      </c>
    </row>
    <row r="7820" spans="1:17" x14ac:dyDescent="0.25">
      <c r="A7820" s="22">
        <v>45891</v>
      </c>
      <c r="B7820" s="1" t="s">
        <v>6195</v>
      </c>
      <c r="C7820" t="s">
        <v>622</v>
      </c>
      <c r="D7820" s="1">
        <v>-3.51</v>
      </c>
      <c r="E7820" t="s">
        <v>35</v>
      </c>
      <c r="F7820" s="2">
        <v>610148001</v>
      </c>
      <c r="G7820" s="2" t="s">
        <v>41</v>
      </c>
      <c r="I7820" s="95" t="s">
        <v>7231</v>
      </c>
      <c r="J7820" t="s">
        <v>42</v>
      </c>
      <c r="K7820" t="s">
        <v>41</v>
      </c>
      <c r="M7820">
        <v>140.66</v>
      </c>
      <c r="N7820" s="4">
        <f t="shared" ref="N7820:N7883" si="122">D7820/M7820</f>
        <v>-2.4953789279112754E-2</v>
      </c>
      <c r="O7820" t="s">
        <v>605</v>
      </c>
      <c r="Q7820" s="24" t="s">
        <v>5251</v>
      </c>
    </row>
    <row r="7821" spans="1:17" x14ac:dyDescent="0.25">
      <c r="A7821" s="22">
        <v>45891</v>
      </c>
      <c r="B7821" s="1" t="s">
        <v>6196</v>
      </c>
      <c r="C7821" t="s">
        <v>6197</v>
      </c>
      <c r="D7821" s="44">
        <v>-14066</v>
      </c>
      <c r="E7821" t="s">
        <v>35</v>
      </c>
      <c r="F7821" s="2">
        <v>212901001</v>
      </c>
      <c r="G7821" s="2" t="s">
        <v>91</v>
      </c>
      <c r="I7821" s="95" t="s">
        <v>7231</v>
      </c>
      <c r="J7821" t="s">
        <v>61</v>
      </c>
      <c r="K7821" t="s">
        <v>62</v>
      </c>
      <c r="M7821">
        <v>140.66</v>
      </c>
      <c r="N7821" s="4">
        <f t="shared" si="122"/>
        <v>-100</v>
      </c>
      <c r="O7821" t="s">
        <v>605</v>
      </c>
    </row>
    <row r="7822" spans="1:17" x14ac:dyDescent="0.25">
      <c r="A7822" s="22">
        <v>45891</v>
      </c>
      <c r="B7822" s="1" t="s">
        <v>6198</v>
      </c>
      <c r="C7822" t="s">
        <v>622</v>
      </c>
      <c r="D7822" s="1">
        <v>-35.159999999999997</v>
      </c>
      <c r="E7822" t="s">
        <v>35</v>
      </c>
      <c r="F7822" s="2">
        <v>610148001</v>
      </c>
      <c r="G7822" s="2" t="s">
        <v>41</v>
      </c>
      <c r="I7822" s="95" t="s">
        <v>7231</v>
      </c>
      <c r="J7822" t="s">
        <v>42</v>
      </c>
      <c r="K7822" t="s">
        <v>41</v>
      </c>
      <c r="M7822">
        <v>140.66</v>
      </c>
      <c r="N7822" s="4">
        <f t="shared" si="122"/>
        <v>-0.24996445329162517</v>
      </c>
      <c r="O7822" t="s">
        <v>605</v>
      </c>
      <c r="Q7822" s="24" t="s">
        <v>5251</v>
      </c>
    </row>
    <row r="7823" spans="1:17" x14ac:dyDescent="0.25">
      <c r="A7823" s="22">
        <v>45891</v>
      </c>
      <c r="B7823" s="1" t="s">
        <v>6199</v>
      </c>
      <c r="C7823" t="s">
        <v>6200</v>
      </c>
      <c r="D7823" s="44">
        <v>-2813.2</v>
      </c>
      <c r="E7823" t="s">
        <v>35</v>
      </c>
      <c r="F7823" s="2">
        <v>212901001</v>
      </c>
      <c r="G7823" s="2" t="s">
        <v>91</v>
      </c>
      <c r="I7823" s="95" t="s">
        <v>7231</v>
      </c>
      <c r="J7823" t="s">
        <v>61</v>
      </c>
      <c r="K7823" t="s">
        <v>62</v>
      </c>
      <c r="M7823">
        <v>140.66</v>
      </c>
      <c r="N7823" s="4">
        <f t="shared" si="122"/>
        <v>-20</v>
      </c>
      <c r="O7823" t="s">
        <v>605</v>
      </c>
    </row>
    <row r="7824" spans="1:17" x14ac:dyDescent="0.25">
      <c r="A7824" s="22">
        <v>45891</v>
      </c>
      <c r="B7824" s="1" t="s">
        <v>6201</v>
      </c>
      <c r="C7824" t="s">
        <v>622</v>
      </c>
      <c r="D7824" s="1">
        <v>-7.03</v>
      </c>
      <c r="E7824" t="s">
        <v>35</v>
      </c>
      <c r="F7824" s="2">
        <v>610148001</v>
      </c>
      <c r="G7824" s="2" t="s">
        <v>41</v>
      </c>
      <c r="I7824" s="95" t="s">
        <v>7231</v>
      </c>
      <c r="J7824" t="s">
        <v>42</v>
      </c>
      <c r="K7824" t="s">
        <v>41</v>
      </c>
      <c r="M7824">
        <v>140.66</v>
      </c>
      <c r="N7824" s="4">
        <f t="shared" si="122"/>
        <v>-4.9978671974975117E-2</v>
      </c>
      <c r="O7824" t="s">
        <v>605</v>
      </c>
      <c r="Q7824" s="24" t="s">
        <v>5251</v>
      </c>
    </row>
    <row r="7825" spans="1:17" x14ac:dyDescent="0.25">
      <c r="A7825" s="22">
        <v>45891</v>
      </c>
      <c r="B7825" s="1" t="s">
        <v>6202</v>
      </c>
      <c r="C7825" t="s">
        <v>6203</v>
      </c>
      <c r="D7825" s="44">
        <v>-1406.6</v>
      </c>
      <c r="E7825" t="s">
        <v>35</v>
      </c>
      <c r="F7825" s="2">
        <v>212901001</v>
      </c>
      <c r="G7825" s="2" t="s">
        <v>91</v>
      </c>
      <c r="I7825" s="95" t="s">
        <v>7231</v>
      </c>
      <c r="J7825" t="s">
        <v>61</v>
      </c>
      <c r="K7825" t="s">
        <v>62</v>
      </c>
      <c r="M7825">
        <v>140.66</v>
      </c>
      <c r="N7825" s="4">
        <f t="shared" si="122"/>
        <v>-10</v>
      </c>
      <c r="O7825" t="s">
        <v>605</v>
      </c>
    </row>
    <row r="7826" spans="1:17" x14ac:dyDescent="0.25">
      <c r="A7826" s="22">
        <v>45891</v>
      </c>
      <c r="B7826" s="1" t="s">
        <v>6204</v>
      </c>
      <c r="C7826" t="s">
        <v>622</v>
      </c>
      <c r="D7826" s="1">
        <v>-51.17</v>
      </c>
      <c r="E7826" t="s">
        <v>35</v>
      </c>
      <c r="F7826" s="2">
        <v>610148001</v>
      </c>
      <c r="G7826" s="2" t="s">
        <v>41</v>
      </c>
      <c r="I7826" s="95" t="s">
        <v>7231</v>
      </c>
      <c r="J7826" t="s">
        <v>42</v>
      </c>
      <c r="K7826" t="s">
        <v>41</v>
      </c>
      <c r="M7826">
        <v>140.66</v>
      </c>
      <c r="N7826" s="4">
        <f t="shared" si="122"/>
        <v>-0.36378501350774922</v>
      </c>
      <c r="O7826" t="s">
        <v>605</v>
      </c>
      <c r="Q7826" s="24" t="s">
        <v>5251</v>
      </c>
    </row>
    <row r="7827" spans="1:17" x14ac:dyDescent="0.25">
      <c r="A7827" s="22">
        <v>45891</v>
      </c>
      <c r="B7827" s="1" t="s">
        <v>6205</v>
      </c>
      <c r="C7827" t="s">
        <v>6206</v>
      </c>
      <c r="D7827" s="44">
        <v>-20470.87</v>
      </c>
      <c r="E7827" t="s">
        <v>35</v>
      </c>
      <c r="F7827" s="2">
        <v>210101001</v>
      </c>
      <c r="G7827" s="2" t="s">
        <v>36</v>
      </c>
      <c r="I7827" s="95" t="s">
        <v>7231</v>
      </c>
      <c r="J7827" t="s">
        <v>1301</v>
      </c>
      <c r="K7827" t="s">
        <v>1302</v>
      </c>
      <c r="M7827">
        <v>140.66</v>
      </c>
      <c r="N7827" s="4">
        <f t="shared" si="122"/>
        <v>-145.53440921370679</v>
      </c>
      <c r="O7827" t="s">
        <v>605</v>
      </c>
    </row>
    <row r="7828" spans="1:17" x14ac:dyDescent="0.25">
      <c r="A7828" s="22">
        <v>45891</v>
      </c>
      <c r="B7828" s="1" t="s">
        <v>6207</v>
      </c>
      <c r="C7828" t="s">
        <v>6208</v>
      </c>
      <c r="D7828" s="44">
        <v>-2813.2</v>
      </c>
      <c r="E7828" t="s">
        <v>35</v>
      </c>
      <c r="F7828" s="2">
        <v>212901001</v>
      </c>
      <c r="G7828" s="2" t="s">
        <v>91</v>
      </c>
      <c r="I7828" s="95" t="s">
        <v>7231</v>
      </c>
      <c r="J7828" t="s">
        <v>61</v>
      </c>
      <c r="K7828" t="s">
        <v>62</v>
      </c>
      <c r="M7828">
        <v>140.66</v>
      </c>
      <c r="N7828" s="4">
        <f t="shared" si="122"/>
        <v>-20</v>
      </c>
      <c r="O7828" t="s">
        <v>605</v>
      </c>
    </row>
    <row r="7829" spans="1:17" x14ac:dyDescent="0.25">
      <c r="A7829" s="22">
        <v>45891</v>
      </c>
      <c r="B7829" s="1" t="s">
        <v>6209</v>
      </c>
      <c r="C7829" t="s">
        <v>622</v>
      </c>
      <c r="D7829" s="1">
        <v>-7.03</v>
      </c>
      <c r="E7829" t="s">
        <v>35</v>
      </c>
      <c r="F7829" s="2">
        <v>610148001</v>
      </c>
      <c r="G7829" s="2" t="s">
        <v>41</v>
      </c>
      <c r="I7829" s="95" t="s">
        <v>7231</v>
      </c>
      <c r="J7829" t="s">
        <v>42</v>
      </c>
      <c r="K7829" t="s">
        <v>41</v>
      </c>
      <c r="M7829">
        <v>140.66</v>
      </c>
      <c r="N7829" s="4">
        <f t="shared" si="122"/>
        <v>-4.9978671974975117E-2</v>
      </c>
      <c r="O7829" t="s">
        <v>605</v>
      </c>
      <c r="Q7829" s="24" t="s">
        <v>5251</v>
      </c>
    </row>
    <row r="7830" spans="1:17" x14ac:dyDescent="0.25">
      <c r="A7830" s="33">
        <v>45891</v>
      </c>
      <c r="B7830" s="27" t="s">
        <v>6210</v>
      </c>
      <c r="C7830" s="28" t="s">
        <v>6211</v>
      </c>
      <c r="D7830" s="47">
        <v>-43604.6</v>
      </c>
      <c r="E7830" s="28" t="s">
        <v>35</v>
      </c>
      <c r="F7830" s="30">
        <v>610156001</v>
      </c>
      <c r="G7830" s="30" t="s">
        <v>72</v>
      </c>
      <c r="H7830" s="30"/>
      <c r="I7830" s="95" t="s">
        <v>7231</v>
      </c>
      <c r="J7830" s="28" t="s">
        <v>2398</v>
      </c>
      <c r="K7830" s="28" t="s">
        <v>632</v>
      </c>
      <c r="L7830" s="28" t="s">
        <v>56</v>
      </c>
      <c r="M7830" s="28">
        <v>140.66</v>
      </c>
      <c r="N7830" s="4">
        <f t="shared" si="122"/>
        <v>-310</v>
      </c>
      <c r="O7830" t="s">
        <v>605</v>
      </c>
      <c r="Q7830" s="24" t="s">
        <v>6212</v>
      </c>
    </row>
    <row r="7831" spans="1:17" x14ac:dyDescent="0.25">
      <c r="A7831" s="22">
        <v>45891</v>
      </c>
      <c r="B7831" s="1" t="s">
        <v>6213</v>
      </c>
      <c r="C7831" t="s">
        <v>622</v>
      </c>
      <c r="D7831" s="1">
        <v>-109.01</v>
      </c>
      <c r="E7831" t="s">
        <v>35</v>
      </c>
      <c r="F7831" s="2">
        <v>610148001</v>
      </c>
      <c r="G7831" s="2" t="s">
        <v>41</v>
      </c>
      <c r="I7831" s="95" t="s">
        <v>7231</v>
      </c>
      <c r="J7831" t="s">
        <v>42</v>
      </c>
      <c r="K7831" t="s">
        <v>41</v>
      </c>
      <c r="M7831">
        <v>140.66</v>
      </c>
      <c r="N7831" s="4">
        <f t="shared" si="122"/>
        <v>-0.77498933598748765</v>
      </c>
      <c r="O7831" t="s">
        <v>605</v>
      </c>
      <c r="Q7831" s="24" t="s">
        <v>5251</v>
      </c>
    </row>
    <row r="7832" spans="1:17" x14ac:dyDescent="0.25">
      <c r="A7832" s="22">
        <v>45891</v>
      </c>
      <c r="B7832" s="1" t="s">
        <v>6214</v>
      </c>
      <c r="C7832" t="s">
        <v>6215</v>
      </c>
      <c r="D7832" s="44">
        <v>-1406.66</v>
      </c>
      <c r="E7832" t="s">
        <v>35</v>
      </c>
      <c r="F7832" s="2">
        <v>210101001</v>
      </c>
      <c r="G7832" s="2" t="s">
        <v>36</v>
      </c>
      <c r="I7832" s="95" t="s">
        <v>7231</v>
      </c>
      <c r="J7832" t="s">
        <v>631</v>
      </c>
      <c r="K7832" t="s">
        <v>632</v>
      </c>
      <c r="M7832">
        <v>140.66</v>
      </c>
      <c r="N7832" s="4">
        <f t="shared" si="122"/>
        <v>-10.000426560500498</v>
      </c>
      <c r="O7832" t="s">
        <v>605</v>
      </c>
    </row>
    <row r="7833" spans="1:17" x14ac:dyDescent="0.25">
      <c r="A7833" s="22">
        <v>45891</v>
      </c>
      <c r="B7833" s="1" t="s">
        <v>6216</v>
      </c>
      <c r="C7833" t="s">
        <v>622</v>
      </c>
      <c r="D7833" s="1">
        <v>-3.51</v>
      </c>
      <c r="E7833" t="s">
        <v>35</v>
      </c>
      <c r="F7833" s="2">
        <v>610148001</v>
      </c>
      <c r="G7833" s="2" t="s">
        <v>41</v>
      </c>
      <c r="I7833" s="95" t="s">
        <v>7231</v>
      </c>
      <c r="J7833" t="s">
        <v>42</v>
      </c>
      <c r="K7833" t="s">
        <v>41</v>
      </c>
      <c r="M7833">
        <v>140.66</v>
      </c>
      <c r="N7833" s="4">
        <f t="shared" si="122"/>
        <v>-2.4953789279112754E-2</v>
      </c>
      <c r="O7833" t="s">
        <v>605</v>
      </c>
      <c r="Q7833" s="24" t="s">
        <v>5251</v>
      </c>
    </row>
    <row r="7834" spans="1:17" x14ac:dyDescent="0.25">
      <c r="A7834" s="22">
        <v>45891</v>
      </c>
      <c r="B7834" s="1" t="s">
        <v>6217</v>
      </c>
      <c r="C7834" t="s">
        <v>6218</v>
      </c>
      <c r="D7834" s="44">
        <v>-2813.2</v>
      </c>
      <c r="E7834" t="s">
        <v>35</v>
      </c>
      <c r="F7834" s="2">
        <v>212901001</v>
      </c>
      <c r="G7834" s="2" t="s">
        <v>91</v>
      </c>
      <c r="I7834" s="95" t="s">
        <v>7231</v>
      </c>
      <c r="J7834" t="s">
        <v>61</v>
      </c>
      <c r="K7834" t="s">
        <v>62</v>
      </c>
      <c r="M7834">
        <v>140.66</v>
      </c>
      <c r="N7834" s="4">
        <f t="shared" si="122"/>
        <v>-20</v>
      </c>
      <c r="O7834" t="s">
        <v>605</v>
      </c>
    </row>
    <row r="7835" spans="1:17" x14ac:dyDescent="0.25">
      <c r="A7835" s="22">
        <v>45891</v>
      </c>
      <c r="B7835" s="1" t="s">
        <v>6219</v>
      </c>
      <c r="C7835" t="s">
        <v>622</v>
      </c>
      <c r="D7835" s="1">
        <v>-7.03</v>
      </c>
      <c r="E7835" t="s">
        <v>35</v>
      </c>
      <c r="F7835" s="2">
        <v>610148001</v>
      </c>
      <c r="G7835" s="2" t="s">
        <v>41</v>
      </c>
      <c r="I7835" s="95" t="s">
        <v>7231</v>
      </c>
      <c r="J7835" t="s">
        <v>42</v>
      </c>
      <c r="K7835" t="s">
        <v>41</v>
      </c>
      <c r="M7835">
        <v>140.66</v>
      </c>
      <c r="N7835" s="4">
        <f t="shared" si="122"/>
        <v>-4.9978671974975117E-2</v>
      </c>
      <c r="O7835" t="s">
        <v>605</v>
      </c>
      <c r="Q7835" s="24" t="s">
        <v>5251</v>
      </c>
    </row>
    <row r="7836" spans="1:17" x14ac:dyDescent="0.25">
      <c r="A7836" s="22">
        <v>45891</v>
      </c>
      <c r="B7836" s="1" t="s">
        <v>6220</v>
      </c>
      <c r="C7836" t="s">
        <v>6221</v>
      </c>
      <c r="D7836" s="44">
        <v>-2813.2</v>
      </c>
      <c r="E7836" t="s">
        <v>35</v>
      </c>
      <c r="F7836" s="2">
        <v>212901001</v>
      </c>
      <c r="G7836" s="2" t="s">
        <v>91</v>
      </c>
      <c r="I7836" s="95" t="s">
        <v>7231</v>
      </c>
      <c r="J7836" t="s">
        <v>61</v>
      </c>
      <c r="K7836" t="s">
        <v>62</v>
      </c>
      <c r="M7836">
        <v>140.66</v>
      </c>
      <c r="N7836" s="4">
        <f t="shared" si="122"/>
        <v>-20</v>
      </c>
      <c r="O7836" t="s">
        <v>605</v>
      </c>
    </row>
    <row r="7837" spans="1:17" x14ac:dyDescent="0.25">
      <c r="A7837" s="22">
        <v>45891</v>
      </c>
      <c r="B7837" s="1" t="s">
        <v>6222</v>
      </c>
      <c r="C7837" t="s">
        <v>622</v>
      </c>
      <c r="D7837" s="1">
        <v>-7.03</v>
      </c>
      <c r="E7837" t="s">
        <v>35</v>
      </c>
      <c r="F7837" s="2">
        <v>610148001</v>
      </c>
      <c r="G7837" s="2" t="s">
        <v>41</v>
      </c>
      <c r="I7837" s="95" t="s">
        <v>7231</v>
      </c>
      <c r="J7837" t="s">
        <v>42</v>
      </c>
      <c r="K7837" t="s">
        <v>41</v>
      </c>
      <c r="M7837">
        <v>140.66</v>
      </c>
      <c r="N7837" s="4">
        <f t="shared" si="122"/>
        <v>-4.9978671974975117E-2</v>
      </c>
      <c r="O7837" t="s">
        <v>605</v>
      </c>
      <c r="Q7837" s="24" t="s">
        <v>5251</v>
      </c>
    </row>
    <row r="7838" spans="1:17" x14ac:dyDescent="0.25">
      <c r="A7838" s="22">
        <v>45891</v>
      </c>
      <c r="B7838" s="1" t="s">
        <v>6223</v>
      </c>
      <c r="C7838" t="s">
        <v>622</v>
      </c>
      <c r="D7838" s="1">
        <v>-42.19</v>
      </c>
      <c r="E7838" t="s">
        <v>35</v>
      </c>
      <c r="F7838" s="2">
        <v>610148001</v>
      </c>
      <c r="G7838" s="2" t="s">
        <v>41</v>
      </c>
      <c r="I7838" s="95" t="s">
        <v>7231</v>
      </c>
      <c r="J7838" t="s">
        <v>42</v>
      </c>
      <c r="K7838" t="s">
        <v>41</v>
      </c>
      <c r="M7838">
        <v>140.66</v>
      </c>
      <c r="N7838" s="4">
        <f t="shared" si="122"/>
        <v>-0.29994312526660033</v>
      </c>
      <c r="O7838" t="s">
        <v>605</v>
      </c>
      <c r="Q7838" s="24" t="s">
        <v>5251</v>
      </c>
    </row>
    <row r="7839" spans="1:17" x14ac:dyDescent="0.25">
      <c r="A7839" s="33">
        <v>45891</v>
      </c>
      <c r="B7839" s="27" t="s">
        <v>6224</v>
      </c>
      <c r="C7839" s="28" t="s">
        <v>6225</v>
      </c>
      <c r="D7839" s="47">
        <v>-16879.2</v>
      </c>
      <c r="E7839" s="28" t="s">
        <v>35</v>
      </c>
      <c r="F7839" s="30">
        <v>610156001</v>
      </c>
      <c r="G7839" s="30" t="s">
        <v>72</v>
      </c>
      <c r="H7839" s="30"/>
      <c r="I7839" s="95" t="s">
        <v>7231</v>
      </c>
      <c r="J7839" s="28" t="s">
        <v>73</v>
      </c>
      <c r="K7839" s="28" t="s">
        <v>74</v>
      </c>
      <c r="L7839" s="28" t="s">
        <v>56</v>
      </c>
      <c r="M7839" s="28">
        <v>140.66</v>
      </c>
      <c r="N7839" s="4">
        <f t="shared" si="122"/>
        <v>-120.00000000000001</v>
      </c>
      <c r="O7839" t="s">
        <v>605</v>
      </c>
      <c r="Q7839" s="24" t="s">
        <v>6226</v>
      </c>
    </row>
    <row r="7840" spans="1:17" x14ac:dyDescent="0.25">
      <c r="A7840" s="22">
        <v>45891</v>
      </c>
      <c r="B7840" s="1" t="s">
        <v>6227</v>
      </c>
      <c r="C7840" t="s">
        <v>622</v>
      </c>
      <c r="D7840" s="1">
        <v>-731.6</v>
      </c>
      <c r="E7840" t="s">
        <v>35</v>
      </c>
      <c r="F7840" s="2">
        <v>610148001</v>
      </c>
      <c r="G7840" s="2" t="s">
        <v>41</v>
      </c>
      <c r="I7840" s="95" t="s">
        <v>7231</v>
      </c>
      <c r="J7840" t="s">
        <v>42</v>
      </c>
      <c r="K7840" t="s">
        <v>41</v>
      </c>
      <c r="M7840">
        <v>140.66</v>
      </c>
      <c r="N7840" s="4">
        <f t="shared" si="122"/>
        <v>-5.201194369401394</v>
      </c>
      <c r="O7840" t="s">
        <v>605</v>
      </c>
      <c r="Q7840" s="24" t="s">
        <v>5251</v>
      </c>
    </row>
    <row r="7841" spans="1:18" x14ac:dyDescent="0.25">
      <c r="A7841" s="22">
        <v>45891</v>
      </c>
      <c r="B7841" s="1" t="s">
        <v>6228</v>
      </c>
      <c r="C7841" t="s">
        <v>5981</v>
      </c>
      <c r="D7841" s="44">
        <v>-292641.71999999997</v>
      </c>
      <c r="E7841" t="s">
        <v>35</v>
      </c>
      <c r="F7841" s="2">
        <v>110114001</v>
      </c>
      <c r="G7841" s="2" t="s">
        <v>181</v>
      </c>
      <c r="I7841" s="95" t="s">
        <v>7231</v>
      </c>
      <c r="J7841" t="s">
        <v>37</v>
      </c>
      <c r="K7841" t="s">
        <v>38</v>
      </c>
      <c r="M7841">
        <v>140.66</v>
      </c>
      <c r="N7841" s="4">
        <f t="shared" si="122"/>
        <v>-2080.4899758282381</v>
      </c>
      <c r="O7841" t="s">
        <v>605</v>
      </c>
      <c r="P7841" s="34" t="s">
        <v>3035</v>
      </c>
      <c r="R7841" t="s">
        <v>28</v>
      </c>
    </row>
    <row r="7842" spans="1:18" x14ac:dyDescent="0.25">
      <c r="A7842" s="22">
        <v>45891</v>
      </c>
      <c r="B7842" s="1" t="s">
        <v>6229</v>
      </c>
      <c r="C7842" t="s">
        <v>622</v>
      </c>
      <c r="D7842" s="1">
        <v>-36.799999999999997</v>
      </c>
      <c r="E7842" t="s">
        <v>35</v>
      </c>
      <c r="F7842" s="2">
        <v>610148001</v>
      </c>
      <c r="G7842" s="2" t="s">
        <v>41</v>
      </c>
      <c r="I7842" s="95" t="s">
        <v>7231</v>
      </c>
      <c r="J7842" t="s">
        <v>42</v>
      </c>
      <c r="K7842" t="s">
        <v>41</v>
      </c>
      <c r="M7842">
        <v>140.66</v>
      </c>
      <c r="N7842" s="4">
        <f t="shared" si="122"/>
        <v>-0.26162377363856104</v>
      </c>
      <c r="O7842" t="s">
        <v>605</v>
      </c>
      <c r="Q7842" s="24" t="s">
        <v>5251</v>
      </c>
    </row>
    <row r="7843" spans="1:18" x14ac:dyDescent="0.25">
      <c r="A7843" s="22">
        <v>45891</v>
      </c>
      <c r="B7843" s="1" t="s">
        <v>6230</v>
      </c>
      <c r="C7843" t="s">
        <v>6231</v>
      </c>
      <c r="D7843" s="44">
        <v>-14722.72</v>
      </c>
      <c r="E7843" t="s">
        <v>35</v>
      </c>
      <c r="F7843" s="2">
        <v>210101001</v>
      </c>
      <c r="G7843" s="2" t="s">
        <v>36</v>
      </c>
      <c r="I7843" s="95" t="s">
        <v>7231</v>
      </c>
      <c r="J7843" t="s">
        <v>414</v>
      </c>
      <c r="K7843" t="s">
        <v>415</v>
      </c>
      <c r="M7843">
        <v>140.66</v>
      </c>
      <c r="N7843" s="4">
        <f t="shared" si="122"/>
        <v>-104.66884686478032</v>
      </c>
      <c r="O7843" t="s">
        <v>605</v>
      </c>
    </row>
    <row r="7844" spans="1:18" x14ac:dyDescent="0.25">
      <c r="A7844" s="22">
        <v>45891</v>
      </c>
      <c r="B7844" s="1" t="s">
        <v>6232</v>
      </c>
      <c r="C7844" t="s">
        <v>622</v>
      </c>
      <c r="D7844" s="1">
        <v>-67.31</v>
      </c>
      <c r="E7844" t="s">
        <v>35</v>
      </c>
      <c r="F7844" s="2">
        <v>610148001</v>
      </c>
      <c r="G7844" s="2" t="s">
        <v>41</v>
      </c>
      <c r="I7844" s="95" t="s">
        <v>7231</v>
      </c>
      <c r="J7844" t="s">
        <v>42</v>
      </c>
      <c r="K7844" t="s">
        <v>41</v>
      </c>
      <c r="M7844">
        <v>140.66</v>
      </c>
      <c r="N7844" s="4">
        <f t="shared" si="122"/>
        <v>-0.47852978814161812</v>
      </c>
      <c r="O7844" t="s">
        <v>605</v>
      </c>
      <c r="Q7844" s="24" t="s">
        <v>5251</v>
      </c>
    </row>
    <row r="7845" spans="1:18" x14ac:dyDescent="0.25">
      <c r="A7845" s="22">
        <v>45891</v>
      </c>
      <c r="B7845" s="1" t="s">
        <v>6233</v>
      </c>
      <c r="C7845" t="s">
        <v>6234</v>
      </c>
      <c r="D7845" s="44">
        <v>-26926.39</v>
      </c>
      <c r="E7845" t="s">
        <v>35</v>
      </c>
      <c r="F7845" s="2">
        <v>210101001</v>
      </c>
      <c r="G7845" s="2" t="s">
        <v>36</v>
      </c>
      <c r="I7845" s="95" t="s">
        <v>7231</v>
      </c>
      <c r="J7845" t="s">
        <v>288</v>
      </c>
      <c r="K7845" t="s">
        <v>289</v>
      </c>
      <c r="M7845">
        <v>140.66</v>
      </c>
      <c r="N7845" s="4">
        <f t="shared" si="122"/>
        <v>-191.42890658325038</v>
      </c>
      <c r="O7845" t="s">
        <v>605</v>
      </c>
    </row>
    <row r="7846" spans="1:18" x14ac:dyDescent="0.25">
      <c r="A7846" s="22">
        <v>45891</v>
      </c>
      <c r="B7846" s="1" t="s">
        <v>6235</v>
      </c>
      <c r="C7846" t="s">
        <v>622</v>
      </c>
      <c r="D7846" s="1">
        <v>-35.18</v>
      </c>
      <c r="E7846" t="s">
        <v>35</v>
      </c>
      <c r="F7846" s="2">
        <v>610148001</v>
      </c>
      <c r="G7846" s="2" t="s">
        <v>41</v>
      </c>
      <c r="I7846" s="95" t="s">
        <v>7231</v>
      </c>
      <c r="J7846" t="s">
        <v>42</v>
      </c>
      <c r="K7846" t="s">
        <v>41</v>
      </c>
      <c r="M7846">
        <v>140.66</v>
      </c>
      <c r="N7846" s="4">
        <f t="shared" si="122"/>
        <v>-0.2501066401251244</v>
      </c>
      <c r="O7846" t="s">
        <v>605</v>
      </c>
      <c r="Q7846" s="24" t="s">
        <v>5251</v>
      </c>
    </row>
    <row r="7847" spans="1:18" x14ac:dyDescent="0.25">
      <c r="A7847" s="22">
        <v>45891</v>
      </c>
      <c r="B7847" s="1" t="s">
        <v>6236</v>
      </c>
      <c r="C7847" t="s">
        <v>4703</v>
      </c>
      <c r="D7847" s="44">
        <v>-14072.32</v>
      </c>
      <c r="E7847" t="s">
        <v>35</v>
      </c>
      <c r="F7847" s="2">
        <v>110101002</v>
      </c>
      <c r="G7847" s="2" t="s">
        <v>2771</v>
      </c>
      <c r="I7847" s="95" t="s">
        <v>7231</v>
      </c>
      <c r="K7847" t="s">
        <v>4703</v>
      </c>
      <c r="M7847">
        <v>140.66</v>
      </c>
      <c r="N7847" s="4">
        <f t="shared" si="122"/>
        <v>-100.04493103938576</v>
      </c>
      <c r="O7847" t="s">
        <v>605</v>
      </c>
    </row>
    <row r="7848" spans="1:18" x14ac:dyDescent="0.25">
      <c r="A7848" s="22">
        <v>45891</v>
      </c>
      <c r="B7848" s="1" t="s">
        <v>6237</v>
      </c>
      <c r="C7848" t="s">
        <v>622</v>
      </c>
      <c r="D7848" s="1">
        <v>-42.19</v>
      </c>
      <c r="E7848" t="s">
        <v>35</v>
      </c>
      <c r="F7848" s="2">
        <v>610148001</v>
      </c>
      <c r="G7848" s="2" t="s">
        <v>41</v>
      </c>
      <c r="I7848" s="95" t="s">
        <v>7231</v>
      </c>
      <c r="J7848" t="s">
        <v>42</v>
      </c>
      <c r="K7848" t="s">
        <v>41</v>
      </c>
      <c r="M7848">
        <v>140.66</v>
      </c>
      <c r="N7848" s="4">
        <f t="shared" si="122"/>
        <v>-0.29994312526660033</v>
      </c>
      <c r="O7848" t="s">
        <v>605</v>
      </c>
      <c r="Q7848" s="24" t="s">
        <v>5251</v>
      </c>
    </row>
    <row r="7849" spans="1:18" x14ac:dyDescent="0.25">
      <c r="A7849" s="33">
        <v>45891</v>
      </c>
      <c r="B7849" s="27" t="s">
        <v>6238</v>
      </c>
      <c r="C7849" s="28" t="s">
        <v>52</v>
      </c>
      <c r="D7849" s="47">
        <v>-16879.2</v>
      </c>
      <c r="E7849" s="28" t="s">
        <v>35</v>
      </c>
      <c r="F7849" s="30">
        <v>610129001</v>
      </c>
      <c r="G7849" s="30" t="s">
        <v>53</v>
      </c>
      <c r="H7849" s="30"/>
      <c r="I7849" s="95" t="s">
        <v>7231</v>
      </c>
      <c r="J7849" s="28" t="s">
        <v>54</v>
      </c>
      <c r="K7849" s="28" t="s">
        <v>55</v>
      </c>
      <c r="L7849" s="28" t="s">
        <v>56</v>
      </c>
      <c r="M7849" s="28">
        <v>140.66</v>
      </c>
      <c r="N7849" s="4">
        <f t="shared" si="122"/>
        <v>-120.00000000000001</v>
      </c>
      <c r="O7849" t="s">
        <v>605</v>
      </c>
      <c r="Q7849" s="24" t="s">
        <v>6239</v>
      </c>
    </row>
    <row r="7850" spans="1:18" x14ac:dyDescent="0.25">
      <c r="A7850" s="22">
        <v>45895</v>
      </c>
      <c r="B7850" s="1" t="s">
        <v>6240</v>
      </c>
      <c r="C7850" t="s">
        <v>293</v>
      </c>
      <c r="D7850" s="44">
        <v>1000000</v>
      </c>
      <c r="E7850" t="s">
        <v>45</v>
      </c>
      <c r="F7850" s="2">
        <v>210115002</v>
      </c>
      <c r="G7850" s="2" t="s">
        <v>5259</v>
      </c>
      <c r="I7850" s="95" t="s">
        <v>7231</v>
      </c>
      <c r="K7850" t="s">
        <v>293</v>
      </c>
      <c r="M7850">
        <v>143.04</v>
      </c>
      <c r="N7850" s="4">
        <f t="shared" si="122"/>
        <v>6991.0514541387029</v>
      </c>
      <c r="O7850" t="s">
        <v>605</v>
      </c>
    </row>
    <row r="7851" spans="1:18" x14ac:dyDescent="0.25">
      <c r="A7851" s="22">
        <v>45895</v>
      </c>
      <c r="B7851" s="1" t="s">
        <v>6241</v>
      </c>
      <c r="C7851" t="s">
        <v>6242</v>
      </c>
      <c r="D7851" s="44">
        <v>-626407.92000000004</v>
      </c>
      <c r="E7851" t="s">
        <v>35</v>
      </c>
      <c r="F7851" s="2">
        <v>110114001</v>
      </c>
      <c r="G7851" s="2" t="s">
        <v>181</v>
      </c>
      <c r="I7851" s="95" t="s">
        <v>7231</v>
      </c>
      <c r="J7851" t="s">
        <v>37</v>
      </c>
      <c r="K7851" t="s">
        <v>38</v>
      </c>
      <c r="M7851">
        <v>143.04</v>
      </c>
      <c r="N7851" s="4">
        <f t="shared" si="122"/>
        <v>-4379.2500000000009</v>
      </c>
      <c r="O7851" t="s">
        <v>605</v>
      </c>
      <c r="P7851" s="34" t="s">
        <v>3035</v>
      </c>
      <c r="R7851" t="s">
        <v>28</v>
      </c>
    </row>
    <row r="7852" spans="1:18" x14ac:dyDescent="0.25">
      <c r="A7852" s="22">
        <v>45895</v>
      </c>
      <c r="B7852" s="1" t="s">
        <v>6243</v>
      </c>
      <c r="C7852" t="s">
        <v>622</v>
      </c>
      <c r="D7852" s="44">
        <v>-1566.01</v>
      </c>
      <c r="E7852" t="s">
        <v>35</v>
      </c>
      <c r="F7852" s="2">
        <v>610148001</v>
      </c>
      <c r="G7852" s="2" t="s">
        <v>41</v>
      </c>
      <c r="I7852" s="95" t="s">
        <v>7231</v>
      </c>
      <c r="J7852" t="s">
        <v>42</v>
      </c>
      <c r="K7852" t="s">
        <v>41</v>
      </c>
      <c r="M7852">
        <v>143.04</v>
      </c>
      <c r="N7852" s="4">
        <f t="shared" si="122"/>
        <v>-10.94805648769575</v>
      </c>
      <c r="O7852" t="s">
        <v>605</v>
      </c>
      <c r="Q7852" s="24" t="s">
        <v>5251</v>
      </c>
    </row>
    <row r="7853" spans="1:18" x14ac:dyDescent="0.25">
      <c r="A7853" s="22">
        <v>45895</v>
      </c>
      <c r="B7853" s="1" t="s">
        <v>6244</v>
      </c>
      <c r="C7853" t="s">
        <v>622</v>
      </c>
      <c r="D7853" s="1">
        <v>-539.26</v>
      </c>
      <c r="E7853" t="s">
        <v>35</v>
      </c>
      <c r="F7853" s="2">
        <v>610148001</v>
      </c>
      <c r="G7853" s="2" t="s">
        <v>41</v>
      </c>
      <c r="I7853" s="95" t="s">
        <v>7231</v>
      </c>
      <c r="J7853" t="s">
        <v>42</v>
      </c>
      <c r="K7853" t="s">
        <v>41</v>
      </c>
      <c r="M7853">
        <v>143.04</v>
      </c>
      <c r="N7853" s="4">
        <f t="shared" si="122"/>
        <v>-3.7699944071588369</v>
      </c>
      <c r="O7853" t="s">
        <v>605</v>
      </c>
      <c r="Q7853" s="24" t="s">
        <v>5251</v>
      </c>
    </row>
    <row r="7854" spans="1:18" ht="15.75" x14ac:dyDescent="0.25">
      <c r="A7854" s="22">
        <v>45895</v>
      </c>
      <c r="B7854" s="1" t="s">
        <v>6245</v>
      </c>
      <c r="C7854" t="s">
        <v>6246</v>
      </c>
      <c r="D7854" s="44">
        <v>-215704.32000000001</v>
      </c>
      <c r="E7854" t="s">
        <v>35</v>
      </c>
      <c r="F7854" s="2">
        <v>110114001</v>
      </c>
      <c r="G7854" s="2" t="s">
        <v>181</v>
      </c>
      <c r="I7854" s="95" t="s">
        <v>7231</v>
      </c>
      <c r="J7854" t="s">
        <v>37</v>
      </c>
      <c r="K7854" t="s">
        <v>38</v>
      </c>
      <c r="M7854">
        <v>143.04</v>
      </c>
      <c r="N7854" s="4">
        <f t="shared" si="122"/>
        <v>-1508.0000000000002</v>
      </c>
      <c r="O7854" t="s">
        <v>605</v>
      </c>
      <c r="P7854" s="37" t="s">
        <v>3035</v>
      </c>
    </row>
    <row r="7855" spans="1:18" x14ac:dyDescent="0.25">
      <c r="A7855" s="22">
        <v>45895</v>
      </c>
      <c r="B7855" s="1" t="s">
        <v>6247</v>
      </c>
      <c r="C7855" t="s">
        <v>622</v>
      </c>
      <c r="D7855" s="1">
        <v>-427.76</v>
      </c>
      <c r="E7855" t="s">
        <v>35</v>
      </c>
      <c r="F7855" s="2">
        <v>610148001</v>
      </c>
      <c r="G7855" s="2" t="s">
        <v>41</v>
      </c>
      <c r="I7855" s="95" t="s">
        <v>7231</v>
      </c>
      <c r="J7855" t="s">
        <v>42</v>
      </c>
      <c r="K7855" t="s">
        <v>41</v>
      </c>
      <c r="M7855">
        <v>143.04</v>
      </c>
      <c r="N7855" s="4">
        <f t="shared" si="122"/>
        <v>-2.9904921700223714</v>
      </c>
      <c r="O7855" t="s">
        <v>605</v>
      </c>
      <c r="Q7855" s="24" t="s">
        <v>5251</v>
      </c>
    </row>
    <row r="7856" spans="1:18" x14ac:dyDescent="0.25">
      <c r="A7856" s="22">
        <v>45895</v>
      </c>
      <c r="B7856" s="1" t="s">
        <v>6248</v>
      </c>
      <c r="C7856" t="s">
        <v>6249</v>
      </c>
      <c r="D7856" s="44">
        <v>-171107.28</v>
      </c>
      <c r="E7856" t="s">
        <v>35</v>
      </c>
      <c r="F7856" s="2">
        <v>210101001</v>
      </c>
      <c r="G7856" s="2" t="s">
        <v>36</v>
      </c>
      <c r="I7856" s="95" t="s">
        <v>7231</v>
      </c>
      <c r="J7856" t="s">
        <v>599</v>
      </c>
      <c r="K7856" t="s">
        <v>600</v>
      </c>
      <c r="M7856">
        <v>143.04</v>
      </c>
      <c r="N7856" s="4">
        <f t="shared" si="122"/>
        <v>-1196.2197986577182</v>
      </c>
      <c r="O7856" t="s">
        <v>605</v>
      </c>
    </row>
    <row r="7857" spans="1:17" x14ac:dyDescent="0.25">
      <c r="A7857" s="22">
        <v>45896</v>
      </c>
      <c r="B7857" s="1" t="s">
        <v>6250</v>
      </c>
      <c r="C7857" t="s">
        <v>293</v>
      </c>
      <c r="D7857" s="44">
        <v>780000</v>
      </c>
      <c r="E7857" t="s">
        <v>45</v>
      </c>
      <c r="F7857" s="2">
        <v>210115002</v>
      </c>
      <c r="G7857" s="2" t="s">
        <v>5259</v>
      </c>
      <c r="I7857" s="95" t="s">
        <v>7231</v>
      </c>
      <c r="K7857" t="s">
        <v>293</v>
      </c>
      <c r="M7857">
        <v>144.37</v>
      </c>
      <c r="N7857" s="4">
        <f t="shared" si="122"/>
        <v>5402.7845120177317</v>
      </c>
      <c r="O7857" t="s">
        <v>605</v>
      </c>
    </row>
    <row r="7858" spans="1:17" x14ac:dyDescent="0.25">
      <c r="A7858" s="22">
        <v>45896</v>
      </c>
      <c r="B7858" s="1" t="s">
        <v>6251</v>
      </c>
      <c r="C7858" t="s">
        <v>293</v>
      </c>
      <c r="D7858" s="44">
        <v>200000</v>
      </c>
      <c r="E7858" t="s">
        <v>45</v>
      </c>
      <c r="F7858" s="2">
        <v>210115002</v>
      </c>
      <c r="G7858" s="2" t="s">
        <v>5259</v>
      </c>
      <c r="I7858" s="95" t="s">
        <v>7231</v>
      </c>
      <c r="K7858" t="s">
        <v>293</v>
      </c>
      <c r="M7858">
        <v>144.37</v>
      </c>
      <c r="N7858" s="4">
        <f t="shared" si="122"/>
        <v>1385.3293620558288</v>
      </c>
      <c r="O7858" t="s">
        <v>605</v>
      </c>
    </row>
    <row r="7859" spans="1:17" x14ac:dyDescent="0.25">
      <c r="A7859" s="22">
        <v>45896</v>
      </c>
      <c r="B7859" s="1" t="s">
        <v>6252</v>
      </c>
      <c r="C7859" t="s">
        <v>622</v>
      </c>
      <c r="D7859" s="1">
        <v>-23.78</v>
      </c>
      <c r="E7859" t="s">
        <v>35</v>
      </c>
      <c r="F7859" s="2">
        <v>610148001</v>
      </c>
      <c r="G7859" s="2" t="s">
        <v>41</v>
      </c>
      <c r="I7859" s="95" t="s">
        <v>7231</v>
      </c>
      <c r="J7859" t="s">
        <v>42</v>
      </c>
      <c r="K7859" t="s">
        <v>41</v>
      </c>
      <c r="M7859">
        <v>144.37</v>
      </c>
      <c r="N7859" s="4">
        <f t="shared" si="122"/>
        <v>-0.16471566114843805</v>
      </c>
      <c r="O7859" t="s">
        <v>605</v>
      </c>
      <c r="Q7859" s="24" t="s">
        <v>5251</v>
      </c>
    </row>
    <row r="7860" spans="1:17" x14ac:dyDescent="0.25">
      <c r="A7860" s="22">
        <v>45896</v>
      </c>
      <c r="B7860" s="1" t="s">
        <v>6253</v>
      </c>
      <c r="C7860" t="s">
        <v>6254</v>
      </c>
      <c r="D7860" s="44">
        <v>-9512.2900000000009</v>
      </c>
      <c r="E7860" t="s">
        <v>35</v>
      </c>
      <c r="F7860" s="2">
        <v>210101001</v>
      </c>
      <c r="G7860" s="2" t="s">
        <v>36</v>
      </c>
      <c r="I7860" s="95" t="s">
        <v>7231</v>
      </c>
      <c r="J7860" t="s">
        <v>804</v>
      </c>
      <c r="K7860" t="s">
        <v>805</v>
      </c>
      <c r="M7860">
        <v>144.37</v>
      </c>
      <c r="N7860" s="4">
        <f t="shared" si="122"/>
        <v>-65.888273186950201</v>
      </c>
      <c r="O7860" t="s">
        <v>605</v>
      </c>
    </row>
    <row r="7861" spans="1:17" x14ac:dyDescent="0.25">
      <c r="A7861" s="22">
        <v>45896</v>
      </c>
      <c r="B7861" s="1" t="s">
        <v>6255</v>
      </c>
      <c r="C7861" t="s">
        <v>622</v>
      </c>
      <c r="D7861" s="44">
        <v>-1107.01</v>
      </c>
      <c r="E7861" t="s">
        <v>35</v>
      </c>
      <c r="F7861" s="2">
        <v>610148001</v>
      </c>
      <c r="G7861" s="2" t="s">
        <v>41</v>
      </c>
      <c r="I7861" s="95" t="s">
        <v>7231</v>
      </c>
      <c r="J7861" t="s">
        <v>42</v>
      </c>
      <c r="K7861" t="s">
        <v>41</v>
      </c>
      <c r="M7861">
        <v>144.37</v>
      </c>
      <c r="N7861" s="4">
        <f t="shared" si="122"/>
        <v>-7.667867285447115</v>
      </c>
      <c r="O7861" t="s">
        <v>605</v>
      </c>
      <c r="Q7861" s="24" t="s">
        <v>5251</v>
      </c>
    </row>
    <row r="7862" spans="1:17" x14ac:dyDescent="0.25">
      <c r="A7862" s="22">
        <v>45896</v>
      </c>
      <c r="B7862" s="1" t="s">
        <v>6256</v>
      </c>
      <c r="C7862" t="s">
        <v>6257</v>
      </c>
      <c r="D7862" s="44">
        <v>-442807.33</v>
      </c>
      <c r="E7862" t="s">
        <v>35</v>
      </c>
      <c r="F7862" s="2">
        <v>210101001</v>
      </c>
      <c r="G7862" s="2" t="s">
        <v>36</v>
      </c>
      <c r="I7862" s="95" t="s">
        <v>7231</v>
      </c>
      <c r="J7862" t="s">
        <v>37</v>
      </c>
      <c r="K7862" t="s">
        <v>38</v>
      </c>
      <c r="M7862">
        <v>144.37</v>
      </c>
      <c r="N7862" s="4">
        <f t="shared" si="122"/>
        <v>-3067.1699799127241</v>
      </c>
      <c r="O7862" t="s">
        <v>605</v>
      </c>
    </row>
    <row r="7863" spans="1:17" x14ac:dyDescent="0.25">
      <c r="A7863" s="22">
        <v>45896</v>
      </c>
      <c r="B7863" s="1" t="s">
        <v>6258</v>
      </c>
      <c r="C7863" t="s">
        <v>622</v>
      </c>
      <c r="D7863" s="1">
        <v>-544.27</v>
      </c>
      <c r="E7863" t="s">
        <v>35</v>
      </c>
      <c r="F7863" s="2">
        <v>610148001</v>
      </c>
      <c r="G7863" s="2" t="s">
        <v>41</v>
      </c>
      <c r="I7863" s="95" t="s">
        <v>7231</v>
      </c>
      <c r="J7863" t="s">
        <v>42</v>
      </c>
      <c r="K7863" t="s">
        <v>41</v>
      </c>
      <c r="M7863">
        <v>144.37</v>
      </c>
      <c r="N7863" s="4">
        <f t="shared" si="122"/>
        <v>-3.7699660594306295</v>
      </c>
      <c r="O7863" t="s">
        <v>605</v>
      </c>
      <c r="Q7863" s="24" t="s">
        <v>5251</v>
      </c>
    </row>
    <row r="7864" spans="1:17" ht="15.75" x14ac:dyDescent="0.25">
      <c r="A7864" s="22">
        <v>45896</v>
      </c>
      <c r="B7864" s="1" t="s">
        <v>6259</v>
      </c>
      <c r="C7864" t="s">
        <v>6260</v>
      </c>
      <c r="D7864" s="44">
        <v>-217709.96</v>
      </c>
      <c r="E7864" t="s">
        <v>35</v>
      </c>
      <c r="F7864" s="2">
        <v>110114001</v>
      </c>
      <c r="G7864" s="2" t="s">
        <v>181</v>
      </c>
      <c r="I7864" s="95" t="s">
        <v>7231</v>
      </c>
      <c r="J7864" t="s">
        <v>37</v>
      </c>
      <c r="K7864" t="s">
        <v>38</v>
      </c>
      <c r="M7864">
        <v>144.37</v>
      </c>
      <c r="N7864" s="4">
        <f t="shared" si="122"/>
        <v>-1508</v>
      </c>
      <c r="O7864" t="s">
        <v>605</v>
      </c>
      <c r="P7864" s="37" t="s">
        <v>3035</v>
      </c>
    </row>
    <row r="7865" spans="1:17" x14ac:dyDescent="0.25">
      <c r="A7865" s="22">
        <v>45896</v>
      </c>
      <c r="B7865" s="1" t="s">
        <v>6261</v>
      </c>
      <c r="C7865" t="s">
        <v>622</v>
      </c>
      <c r="D7865" s="1">
        <v>-251.2</v>
      </c>
      <c r="E7865" t="s">
        <v>35</v>
      </c>
      <c r="F7865" s="2">
        <v>610148001</v>
      </c>
      <c r="G7865" s="2" t="s">
        <v>41</v>
      </c>
      <c r="I7865" s="95" t="s">
        <v>7231</v>
      </c>
      <c r="J7865" t="s">
        <v>42</v>
      </c>
      <c r="K7865" t="s">
        <v>41</v>
      </c>
      <c r="M7865">
        <v>144.37</v>
      </c>
      <c r="N7865" s="4">
        <f t="shared" si="122"/>
        <v>-1.7399736787421207</v>
      </c>
      <c r="O7865" t="s">
        <v>605</v>
      </c>
      <c r="Q7865" s="24" t="s">
        <v>5251</v>
      </c>
    </row>
    <row r="7866" spans="1:17" ht="15.75" x14ac:dyDescent="0.25">
      <c r="A7866" s="22">
        <v>45896</v>
      </c>
      <c r="B7866" s="1" t="s">
        <v>6262</v>
      </c>
      <c r="C7866" t="s">
        <v>6263</v>
      </c>
      <c r="D7866" s="44">
        <v>-100481.52</v>
      </c>
      <c r="E7866" t="s">
        <v>35</v>
      </c>
      <c r="F7866" s="2">
        <v>110114001</v>
      </c>
      <c r="G7866" s="2" t="s">
        <v>181</v>
      </c>
      <c r="I7866" s="95" t="s">
        <v>7231</v>
      </c>
      <c r="J7866" t="s">
        <v>37</v>
      </c>
      <c r="K7866" t="s">
        <v>38</v>
      </c>
      <c r="M7866">
        <v>144.37</v>
      </c>
      <c r="N7866" s="4">
        <f t="shared" si="122"/>
        <v>-696</v>
      </c>
      <c r="O7866" t="s">
        <v>605</v>
      </c>
      <c r="P7866" s="37" t="s">
        <v>3035</v>
      </c>
    </row>
    <row r="7867" spans="1:17" x14ac:dyDescent="0.25">
      <c r="A7867" s="22">
        <v>45896</v>
      </c>
      <c r="B7867" s="1" t="s">
        <v>6264</v>
      </c>
      <c r="C7867" t="s">
        <v>622</v>
      </c>
      <c r="D7867" s="1">
        <v>-448.73</v>
      </c>
      <c r="E7867" t="s">
        <v>35</v>
      </c>
      <c r="F7867" s="2">
        <v>610148001</v>
      </c>
      <c r="G7867" s="2" t="s">
        <v>41</v>
      </c>
      <c r="I7867" s="95" t="s">
        <v>7231</v>
      </c>
      <c r="J7867" t="s">
        <v>42</v>
      </c>
      <c r="K7867" t="s">
        <v>41</v>
      </c>
      <c r="M7867">
        <v>144.37</v>
      </c>
      <c r="N7867" s="4">
        <f t="shared" si="122"/>
        <v>-3.1081942231765605</v>
      </c>
      <c r="O7867" t="s">
        <v>605</v>
      </c>
      <c r="Q7867" s="24" t="s">
        <v>5251</v>
      </c>
    </row>
    <row r="7868" spans="1:17" x14ac:dyDescent="0.25">
      <c r="A7868" s="22">
        <v>45896</v>
      </c>
      <c r="B7868" s="1" t="s">
        <v>6265</v>
      </c>
      <c r="C7868" t="s">
        <v>6266</v>
      </c>
      <c r="D7868" s="44">
        <v>-179492.1</v>
      </c>
      <c r="E7868" t="s">
        <v>35</v>
      </c>
      <c r="F7868" s="2">
        <v>210101001</v>
      </c>
      <c r="G7868" s="2" t="s">
        <v>36</v>
      </c>
      <c r="I7868" s="95" t="s">
        <v>7231</v>
      </c>
      <c r="J7868" t="s">
        <v>502</v>
      </c>
      <c r="K7868" t="s">
        <v>503</v>
      </c>
      <c r="M7868">
        <v>144.37</v>
      </c>
      <c r="N7868" s="4">
        <f t="shared" si="122"/>
        <v>-1243.2783819353051</v>
      </c>
      <c r="O7868" t="s">
        <v>605</v>
      </c>
    </row>
    <row r="7869" spans="1:17" x14ac:dyDescent="0.25">
      <c r="A7869" s="33">
        <v>45896</v>
      </c>
      <c r="B7869" s="27" t="s">
        <v>6267</v>
      </c>
      <c r="C7869" s="28" t="s">
        <v>6268</v>
      </c>
      <c r="D7869" s="47">
        <v>-2887.4</v>
      </c>
      <c r="E7869" s="28" t="s">
        <v>35</v>
      </c>
      <c r="F7869" s="30">
        <v>610125001</v>
      </c>
      <c r="G7869" s="30" t="s">
        <v>2536</v>
      </c>
      <c r="H7869" s="30"/>
      <c r="I7869" s="95" t="s">
        <v>7231</v>
      </c>
      <c r="J7869" s="28" t="s">
        <v>6121</v>
      </c>
      <c r="K7869" s="28" t="s">
        <v>407</v>
      </c>
      <c r="L7869" s="28" t="s">
        <v>56</v>
      </c>
      <c r="M7869" s="28">
        <v>144.37</v>
      </c>
      <c r="N7869" s="4">
        <f t="shared" si="122"/>
        <v>-20</v>
      </c>
      <c r="O7869" t="s">
        <v>605</v>
      </c>
      <c r="Q7869" s="24" t="s">
        <v>6269</v>
      </c>
    </row>
    <row r="7870" spans="1:17" x14ac:dyDescent="0.25">
      <c r="A7870" s="22">
        <v>45896</v>
      </c>
      <c r="B7870" s="1" t="s">
        <v>6270</v>
      </c>
      <c r="C7870" t="s">
        <v>622</v>
      </c>
      <c r="D7870" s="44" t="s">
        <v>6271</v>
      </c>
      <c r="E7870" t="s">
        <v>35</v>
      </c>
      <c r="F7870" s="2">
        <v>610148001</v>
      </c>
      <c r="G7870" s="2" t="s">
        <v>41</v>
      </c>
      <c r="I7870" s="95" t="s">
        <v>7231</v>
      </c>
      <c r="J7870" t="s">
        <v>42</v>
      </c>
      <c r="K7870" t="s">
        <v>41</v>
      </c>
      <c r="M7870">
        <v>144.37</v>
      </c>
      <c r="N7870" s="4">
        <f t="shared" si="122"/>
        <v>-4.9941123502112626E-2</v>
      </c>
      <c r="O7870" t="s">
        <v>605</v>
      </c>
      <c r="Q7870" s="24" t="s">
        <v>5251</v>
      </c>
    </row>
    <row r="7871" spans="1:17" x14ac:dyDescent="0.25">
      <c r="A7871" s="22">
        <v>45897</v>
      </c>
      <c r="B7871" s="1" t="s">
        <v>6272</v>
      </c>
      <c r="C7871" t="s">
        <v>3252</v>
      </c>
      <c r="D7871" s="44" t="s">
        <v>6273</v>
      </c>
      <c r="E7871" t="s">
        <v>45</v>
      </c>
      <c r="F7871" s="2">
        <v>210115002</v>
      </c>
      <c r="G7871" s="2" t="s">
        <v>5259</v>
      </c>
      <c r="I7871" s="95" t="s">
        <v>7231</v>
      </c>
      <c r="K7871" t="s">
        <v>3252</v>
      </c>
      <c r="M7871">
        <v>145.75</v>
      </c>
      <c r="N7871" s="4">
        <f t="shared" si="122"/>
        <v>1715.2658662092624</v>
      </c>
      <c r="O7871" t="s">
        <v>605</v>
      </c>
    </row>
    <row r="7872" spans="1:17" x14ac:dyDescent="0.25">
      <c r="A7872" s="22">
        <v>45897</v>
      </c>
      <c r="B7872" s="1" t="s">
        <v>6274</v>
      </c>
      <c r="C7872" t="s">
        <v>622</v>
      </c>
      <c r="D7872" s="44" t="s">
        <v>6275</v>
      </c>
      <c r="E7872" t="s">
        <v>35</v>
      </c>
      <c r="F7872" s="2">
        <v>610148001</v>
      </c>
      <c r="G7872" s="2" t="s">
        <v>41</v>
      </c>
      <c r="I7872" s="95" t="s">
        <v>7231</v>
      </c>
      <c r="J7872" t="s">
        <v>42</v>
      </c>
      <c r="K7872" t="s">
        <v>41</v>
      </c>
      <c r="M7872">
        <v>145.75</v>
      </c>
      <c r="N7872" s="4">
        <f t="shared" si="122"/>
        <v>-1.8849399656946828</v>
      </c>
      <c r="O7872" t="s">
        <v>605</v>
      </c>
      <c r="Q7872" s="24" t="s">
        <v>5251</v>
      </c>
    </row>
    <row r="7873" spans="1:17" ht="15.75" x14ac:dyDescent="0.25">
      <c r="A7873" s="22">
        <v>45897</v>
      </c>
      <c r="B7873" s="1" t="s">
        <v>6276</v>
      </c>
      <c r="C7873" t="s">
        <v>6277</v>
      </c>
      <c r="D7873" s="44" t="s">
        <v>6278</v>
      </c>
      <c r="E7873" t="s">
        <v>35</v>
      </c>
      <c r="F7873" s="2">
        <v>110114001</v>
      </c>
      <c r="G7873" s="2" t="s">
        <v>181</v>
      </c>
      <c r="I7873" s="95" t="s">
        <v>7231</v>
      </c>
      <c r="J7873" t="s">
        <v>37</v>
      </c>
      <c r="K7873" t="s">
        <v>38</v>
      </c>
      <c r="M7873">
        <v>145.75</v>
      </c>
      <c r="N7873" s="4">
        <f t="shared" si="122"/>
        <v>-754</v>
      </c>
      <c r="O7873" t="s">
        <v>605</v>
      </c>
      <c r="P7873" s="37" t="s">
        <v>6279</v>
      </c>
    </row>
    <row r="7874" spans="1:17" x14ac:dyDescent="0.25">
      <c r="A7874" s="22">
        <v>45897</v>
      </c>
      <c r="B7874" s="1" t="s">
        <v>6280</v>
      </c>
      <c r="C7874" t="s">
        <v>622</v>
      </c>
      <c r="D7874" s="44" t="s">
        <v>6281</v>
      </c>
      <c r="E7874" t="s">
        <v>35</v>
      </c>
      <c r="F7874" s="2">
        <v>610148001</v>
      </c>
      <c r="G7874" s="2" t="s">
        <v>41</v>
      </c>
      <c r="I7874" s="95" t="s">
        <v>7231</v>
      </c>
      <c r="J7874" t="s">
        <v>42</v>
      </c>
      <c r="K7874" t="s">
        <v>41</v>
      </c>
      <c r="M7874">
        <v>145.75</v>
      </c>
      <c r="N7874" s="4">
        <f t="shared" si="122"/>
        <v>-1.3339965694682676</v>
      </c>
      <c r="O7874" t="s">
        <v>605</v>
      </c>
      <c r="Q7874" s="24" t="s">
        <v>5251</v>
      </c>
    </row>
    <row r="7875" spans="1:17" ht="15.75" x14ac:dyDescent="0.25">
      <c r="A7875" s="22">
        <v>45897</v>
      </c>
      <c r="B7875" s="1" t="s">
        <v>6282</v>
      </c>
      <c r="C7875" t="s">
        <v>6283</v>
      </c>
      <c r="D7875" s="44" t="s">
        <v>6284</v>
      </c>
      <c r="E7875" t="s">
        <v>35</v>
      </c>
      <c r="F7875" s="2">
        <v>110114001</v>
      </c>
      <c r="G7875" s="2" t="s">
        <v>181</v>
      </c>
      <c r="I7875" s="95" t="s">
        <v>7231</v>
      </c>
      <c r="J7875" t="s">
        <v>37</v>
      </c>
      <c r="K7875" t="s">
        <v>38</v>
      </c>
      <c r="M7875">
        <v>145.75</v>
      </c>
      <c r="N7875" s="4">
        <f t="shared" si="122"/>
        <v>-533.6</v>
      </c>
      <c r="O7875" t="s">
        <v>605</v>
      </c>
      <c r="P7875" s="37" t="s">
        <v>6279</v>
      </c>
    </row>
    <row r="7876" spans="1:17" x14ac:dyDescent="0.25">
      <c r="A7876" s="22">
        <v>45897</v>
      </c>
      <c r="B7876" s="1" t="s">
        <v>6285</v>
      </c>
      <c r="C7876" t="s">
        <v>622</v>
      </c>
      <c r="D7876" s="44" t="s">
        <v>6286</v>
      </c>
      <c r="E7876" t="s">
        <v>35</v>
      </c>
      <c r="F7876" s="2">
        <v>610148001</v>
      </c>
      <c r="G7876" s="2" t="s">
        <v>41</v>
      </c>
      <c r="I7876" s="95" t="s">
        <v>7231</v>
      </c>
      <c r="J7876" t="s">
        <v>42</v>
      </c>
      <c r="K7876" t="s">
        <v>41</v>
      </c>
      <c r="M7876">
        <v>145.75</v>
      </c>
      <c r="N7876" s="4">
        <f t="shared" si="122"/>
        <v>-0.90051457975986282</v>
      </c>
      <c r="O7876" t="s">
        <v>605</v>
      </c>
      <c r="Q7876" s="24" t="s">
        <v>5251</v>
      </c>
    </row>
    <row r="7877" spans="1:17" x14ac:dyDescent="0.25">
      <c r="A7877" s="22">
        <v>45897</v>
      </c>
      <c r="B7877" s="1" t="s">
        <v>6287</v>
      </c>
      <c r="C7877" t="s">
        <v>6288</v>
      </c>
      <c r="D7877" s="44" t="s">
        <v>6289</v>
      </c>
      <c r="E7877" t="s">
        <v>35</v>
      </c>
      <c r="F7877" s="2">
        <v>210101001</v>
      </c>
      <c r="G7877" s="2" t="s">
        <v>36</v>
      </c>
      <c r="I7877" s="95" t="s">
        <v>7231</v>
      </c>
      <c r="J7877" t="s">
        <v>680</v>
      </c>
      <c r="K7877" t="s">
        <v>681</v>
      </c>
      <c r="M7877">
        <v>145.75</v>
      </c>
      <c r="N7877" s="4">
        <f t="shared" si="122"/>
        <v>-360.21680960548883</v>
      </c>
      <c r="O7877" t="s">
        <v>605</v>
      </c>
    </row>
    <row r="7878" spans="1:17" x14ac:dyDescent="0.25">
      <c r="A7878" s="22">
        <v>45897</v>
      </c>
      <c r="B7878" s="1" t="s">
        <v>6290</v>
      </c>
      <c r="C7878" t="s">
        <v>622</v>
      </c>
      <c r="D7878" s="44" t="s">
        <v>6291</v>
      </c>
      <c r="E7878" t="s">
        <v>35</v>
      </c>
      <c r="F7878" s="2">
        <v>610148001</v>
      </c>
      <c r="G7878" s="2" t="s">
        <v>41</v>
      </c>
      <c r="I7878" s="95" t="s">
        <v>7231</v>
      </c>
      <c r="J7878" t="s">
        <v>42</v>
      </c>
      <c r="K7878" t="s">
        <v>41</v>
      </c>
      <c r="M7878">
        <v>145.75</v>
      </c>
      <c r="N7878" s="4">
        <f t="shared" si="122"/>
        <v>-0.25516295025728986</v>
      </c>
      <c r="O7878" t="s">
        <v>605</v>
      </c>
      <c r="Q7878" s="24" t="s">
        <v>5251</v>
      </c>
    </row>
    <row r="7879" spans="1:17" x14ac:dyDescent="0.25">
      <c r="A7879" s="22">
        <v>45897</v>
      </c>
      <c r="B7879" s="1" t="s">
        <v>6292</v>
      </c>
      <c r="C7879" t="s">
        <v>6293</v>
      </c>
      <c r="D7879" s="44" t="s">
        <v>6294</v>
      </c>
      <c r="E7879" t="s">
        <v>35</v>
      </c>
      <c r="F7879" s="2">
        <v>210101001</v>
      </c>
      <c r="G7879" s="2" t="s">
        <v>36</v>
      </c>
      <c r="I7879" s="95" t="s">
        <v>7231</v>
      </c>
      <c r="J7879" t="s">
        <v>414</v>
      </c>
      <c r="K7879" t="s">
        <v>415</v>
      </c>
      <c r="M7879">
        <v>145.75</v>
      </c>
      <c r="N7879" s="4">
        <f t="shared" si="122"/>
        <v>-102.07204116638079</v>
      </c>
      <c r="O7879" t="s">
        <v>605</v>
      </c>
    </row>
    <row r="7880" spans="1:17" x14ac:dyDescent="0.25">
      <c r="A7880" s="22">
        <v>45901</v>
      </c>
      <c r="B7880" s="1">
        <v>517733274</v>
      </c>
      <c r="C7880" t="s">
        <v>6295</v>
      </c>
      <c r="D7880" s="44">
        <v>-918.31</v>
      </c>
      <c r="E7880" t="s">
        <v>35</v>
      </c>
      <c r="F7880" s="2">
        <v>110114001</v>
      </c>
      <c r="G7880" s="2" t="s">
        <v>181</v>
      </c>
      <c r="I7880" s="95" t="s">
        <v>7231</v>
      </c>
      <c r="J7880" t="s">
        <v>376</v>
      </c>
      <c r="K7880" t="s">
        <v>377</v>
      </c>
      <c r="M7880">
        <v>148.44</v>
      </c>
      <c r="N7880" s="4">
        <f t="shared" si="122"/>
        <v>-6.186405281595257</v>
      </c>
      <c r="O7880" t="s">
        <v>83</v>
      </c>
      <c r="Q7880" s="90"/>
    </row>
    <row r="7881" spans="1:17" x14ac:dyDescent="0.25">
      <c r="A7881" s="22">
        <v>45901</v>
      </c>
      <c r="B7881" s="1">
        <v>517733275</v>
      </c>
      <c r="C7881" t="s">
        <v>6296</v>
      </c>
      <c r="D7881" s="44">
        <v>-20306.59</v>
      </c>
      <c r="E7881" t="s">
        <v>35</v>
      </c>
      <c r="F7881" s="2">
        <v>110114001</v>
      </c>
      <c r="G7881" s="2" t="s">
        <v>181</v>
      </c>
      <c r="I7881" s="95" t="s">
        <v>7231</v>
      </c>
      <c r="J7881" t="s">
        <v>701</v>
      </c>
      <c r="K7881" t="s">
        <v>702</v>
      </c>
      <c r="M7881">
        <v>148.44</v>
      </c>
      <c r="N7881" s="4">
        <f t="shared" si="122"/>
        <v>-136.79998652654271</v>
      </c>
      <c r="O7881" t="s">
        <v>83</v>
      </c>
      <c r="Q7881" s="90"/>
    </row>
    <row r="7882" spans="1:17" x14ac:dyDescent="0.25">
      <c r="A7882" s="22">
        <v>45901</v>
      </c>
      <c r="B7882" s="1">
        <v>517733276</v>
      </c>
      <c r="C7882" t="s">
        <v>6297</v>
      </c>
      <c r="D7882" s="44">
        <v>-2066.2800000000002</v>
      </c>
      <c r="E7882" t="s">
        <v>35</v>
      </c>
      <c r="F7882" s="2">
        <v>210101001</v>
      </c>
      <c r="G7882" s="2" t="s">
        <v>36</v>
      </c>
      <c r="I7882" s="95" t="s">
        <v>7231</v>
      </c>
      <c r="J7882" t="s">
        <v>414</v>
      </c>
      <c r="K7882" t="s">
        <v>415</v>
      </c>
      <c r="M7882">
        <v>148.44</v>
      </c>
      <c r="N7882" s="4">
        <f t="shared" si="122"/>
        <v>-13.919967663702508</v>
      </c>
      <c r="O7882" t="s">
        <v>83</v>
      </c>
      <c r="Q7882" s="90"/>
    </row>
    <row r="7883" spans="1:17" x14ac:dyDescent="0.25">
      <c r="A7883" s="22">
        <v>45901</v>
      </c>
      <c r="B7883" s="1">
        <v>50973644</v>
      </c>
      <c r="C7883" t="s">
        <v>89</v>
      </c>
      <c r="D7883" s="44">
        <v>-58.22</v>
      </c>
      <c r="E7883" t="s">
        <v>35</v>
      </c>
      <c r="F7883" s="2">
        <v>610148001</v>
      </c>
      <c r="G7883" s="2" t="s">
        <v>41</v>
      </c>
      <c r="I7883" s="95" t="s">
        <v>7231</v>
      </c>
      <c r="J7883" t="s">
        <v>42</v>
      </c>
      <c r="K7883" t="s">
        <v>41</v>
      </c>
      <c r="M7883">
        <v>148.44</v>
      </c>
      <c r="N7883" s="4">
        <f t="shared" si="122"/>
        <v>-0.39221234168687685</v>
      </c>
      <c r="O7883" t="s">
        <v>83</v>
      </c>
      <c r="Q7883" s="91" t="s">
        <v>6298</v>
      </c>
    </row>
    <row r="7884" spans="1:17" x14ac:dyDescent="0.25">
      <c r="A7884" s="22">
        <v>45902</v>
      </c>
      <c r="B7884" s="1">
        <v>130949159</v>
      </c>
      <c r="C7884" t="s">
        <v>82</v>
      </c>
      <c r="D7884" s="44">
        <v>100000</v>
      </c>
      <c r="E7884" t="s">
        <v>45</v>
      </c>
      <c r="F7884" s="2">
        <v>210115002</v>
      </c>
      <c r="G7884" s="2" t="s">
        <v>5259</v>
      </c>
      <c r="I7884" s="95" t="s">
        <v>7231</v>
      </c>
      <c r="K7884" t="s">
        <v>82</v>
      </c>
      <c r="M7884">
        <v>149.47</v>
      </c>
      <c r="N7884" s="4">
        <f t="shared" ref="N7884:N7947" si="123">D7884/M7884</f>
        <v>669.03057469726366</v>
      </c>
      <c r="O7884" t="s">
        <v>83</v>
      </c>
      <c r="Q7884" s="92"/>
    </row>
    <row r="7885" spans="1:17" x14ac:dyDescent="0.25">
      <c r="A7885" s="22">
        <v>45904</v>
      </c>
      <c r="B7885" s="1">
        <v>417920232</v>
      </c>
      <c r="C7885" t="s">
        <v>6299</v>
      </c>
      <c r="D7885" s="44">
        <v>-51932.27</v>
      </c>
      <c r="E7885" t="s">
        <v>35</v>
      </c>
      <c r="F7885" s="2">
        <v>210101001</v>
      </c>
      <c r="G7885" s="2" t="s">
        <v>36</v>
      </c>
      <c r="I7885" s="95" t="s">
        <v>7231</v>
      </c>
      <c r="J7885" t="s">
        <v>37</v>
      </c>
      <c r="K7885" t="s">
        <v>38</v>
      </c>
      <c r="M7885">
        <v>151.76</v>
      </c>
      <c r="N7885" s="4">
        <f t="shared" si="123"/>
        <v>-342.19998682129676</v>
      </c>
      <c r="O7885" t="s">
        <v>83</v>
      </c>
      <c r="Q7885" s="92"/>
    </row>
    <row r="7886" spans="1:17" x14ac:dyDescent="0.25">
      <c r="A7886" s="22">
        <v>45904</v>
      </c>
      <c r="B7886" s="1">
        <v>417920232</v>
      </c>
      <c r="C7886" t="s">
        <v>185</v>
      </c>
      <c r="D7886" s="44">
        <v>-155.80000000000001</v>
      </c>
      <c r="E7886" t="s">
        <v>35</v>
      </c>
      <c r="F7886" s="2">
        <v>610148001</v>
      </c>
      <c r="G7886" s="2" t="s">
        <v>41</v>
      </c>
      <c r="I7886" s="95" t="s">
        <v>7231</v>
      </c>
      <c r="J7886" t="s">
        <v>42</v>
      </c>
      <c r="K7886" t="s">
        <v>41</v>
      </c>
      <c r="M7886">
        <v>151.76</v>
      </c>
      <c r="N7886" s="4">
        <f t="shared" si="123"/>
        <v>-1.0266209804955193</v>
      </c>
      <c r="O7886" t="s">
        <v>83</v>
      </c>
      <c r="Q7886" s="91" t="s">
        <v>6298</v>
      </c>
    </row>
    <row r="7887" spans="1:17" x14ac:dyDescent="0.25">
      <c r="A7887" s="22">
        <v>45905</v>
      </c>
      <c r="B7887" s="1">
        <v>274169169</v>
      </c>
      <c r="C7887" t="s">
        <v>6300</v>
      </c>
      <c r="D7887" s="44">
        <v>350000</v>
      </c>
      <c r="E7887" t="s">
        <v>45</v>
      </c>
      <c r="F7887" s="2">
        <v>110101003</v>
      </c>
      <c r="G7887" s="2" t="s">
        <v>2945</v>
      </c>
      <c r="I7887" s="95" t="s">
        <v>7231</v>
      </c>
      <c r="K7887" t="s">
        <v>6300</v>
      </c>
      <c r="M7887">
        <v>152.82</v>
      </c>
      <c r="N7887" s="4">
        <f t="shared" si="123"/>
        <v>2290.2761418662481</v>
      </c>
      <c r="O7887" t="s">
        <v>83</v>
      </c>
      <c r="Q7887" s="92"/>
    </row>
    <row r="7888" spans="1:17" x14ac:dyDescent="0.25">
      <c r="A7888" s="22">
        <v>45905</v>
      </c>
      <c r="B7888" s="1">
        <v>125702124</v>
      </c>
      <c r="C7888" t="s">
        <v>82</v>
      </c>
      <c r="D7888" s="44">
        <v>50000</v>
      </c>
      <c r="E7888" t="s">
        <v>45</v>
      </c>
      <c r="F7888" s="2">
        <v>210115002</v>
      </c>
      <c r="G7888" s="2" t="s">
        <v>5259</v>
      </c>
      <c r="I7888" s="95" t="s">
        <v>7231</v>
      </c>
      <c r="K7888" t="s">
        <v>82</v>
      </c>
      <c r="M7888">
        <v>152.82</v>
      </c>
      <c r="N7888" s="4">
        <f t="shared" si="123"/>
        <v>327.18230598089258</v>
      </c>
      <c r="O7888" t="s">
        <v>83</v>
      </c>
      <c r="Q7888" s="92"/>
    </row>
    <row r="7889" spans="1:17" x14ac:dyDescent="0.25">
      <c r="A7889" s="22">
        <v>45905</v>
      </c>
      <c r="B7889" s="1">
        <v>417975455</v>
      </c>
      <c r="C7889" t="s">
        <v>6301</v>
      </c>
      <c r="D7889" s="44">
        <v>-12225.6</v>
      </c>
      <c r="E7889" t="s">
        <v>35</v>
      </c>
      <c r="F7889" s="2">
        <v>212901001</v>
      </c>
      <c r="G7889" s="2" t="s">
        <v>91</v>
      </c>
      <c r="I7889" s="95" t="s">
        <v>7231</v>
      </c>
      <c r="J7889" t="s">
        <v>61</v>
      </c>
      <c r="K7889" t="s">
        <v>62</v>
      </c>
      <c r="M7889">
        <v>152.82</v>
      </c>
      <c r="N7889" s="4">
        <f t="shared" si="123"/>
        <v>-80</v>
      </c>
      <c r="O7889" t="s">
        <v>83</v>
      </c>
      <c r="Q7889" s="92"/>
    </row>
    <row r="7890" spans="1:17" x14ac:dyDescent="0.25">
      <c r="A7890" s="22">
        <v>45905</v>
      </c>
      <c r="B7890" s="1">
        <v>417975459</v>
      </c>
      <c r="C7890" t="s">
        <v>6302</v>
      </c>
      <c r="D7890" s="44">
        <v>-9169.2000000000007</v>
      </c>
      <c r="E7890" t="s">
        <v>35</v>
      </c>
      <c r="F7890" s="2">
        <v>212901001</v>
      </c>
      <c r="G7890" s="2" t="s">
        <v>91</v>
      </c>
      <c r="I7890" s="95" t="s">
        <v>7231</v>
      </c>
      <c r="J7890" t="s">
        <v>61</v>
      </c>
      <c r="K7890" t="s">
        <v>62</v>
      </c>
      <c r="M7890">
        <v>152.82</v>
      </c>
      <c r="N7890" s="4">
        <f t="shared" si="123"/>
        <v>-60.000000000000007</v>
      </c>
      <c r="O7890" t="s">
        <v>83</v>
      </c>
      <c r="Q7890" s="92"/>
    </row>
    <row r="7891" spans="1:17" x14ac:dyDescent="0.25">
      <c r="A7891" s="22">
        <v>45905</v>
      </c>
      <c r="B7891" s="1">
        <v>417975464</v>
      </c>
      <c r="C7891" t="s">
        <v>6303</v>
      </c>
      <c r="D7891" s="44">
        <v>-9169.2000000000007</v>
      </c>
      <c r="E7891" t="s">
        <v>35</v>
      </c>
      <c r="F7891" s="2">
        <v>212901001</v>
      </c>
      <c r="G7891" s="2" t="s">
        <v>91</v>
      </c>
      <c r="I7891" s="95" t="s">
        <v>7231</v>
      </c>
      <c r="J7891" t="s">
        <v>61</v>
      </c>
      <c r="K7891" t="s">
        <v>62</v>
      </c>
      <c r="M7891">
        <v>152.82</v>
      </c>
      <c r="N7891" s="4">
        <f t="shared" si="123"/>
        <v>-60.000000000000007</v>
      </c>
      <c r="O7891" t="s">
        <v>83</v>
      </c>
      <c r="Q7891" s="92"/>
    </row>
    <row r="7892" spans="1:17" x14ac:dyDescent="0.25">
      <c r="A7892" s="22">
        <v>45905</v>
      </c>
      <c r="B7892" s="1">
        <v>417975460</v>
      </c>
      <c r="C7892" t="s">
        <v>6304</v>
      </c>
      <c r="D7892" s="44">
        <v>-9169.2000000000007</v>
      </c>
      <c r="E7892" t="s">
        <v>35</v>
      </c>
      <c r="F7892" s="2">
        <v>212901001</v>
      </c>
      <c r="G7892" s="2" t="s">
        <v>91</v>
      </c>
      <c r="I7892" s="95" t="s">
        <v>7231</v>
      </c>
      <c r="J7892" t="s">
        <v>61</v>
      </c>
      <c r="K7892" t="s">
        <v>62</v>
      </c>
      <c r="M7892">
        <v>152.82</v>
      </c>
      <c r="N7892" s="4">
        <f t="shared" si="123"/>
        <v>-60.000000000000007</v>
      </c>
      <c r="O7892" t="s">
        <v>83</v>
      </c>
      <c r="Q7892" s="92"/>
    </row>
    <row r="7893" spans="1:17" x14ac:dyDescent="0.25">
      <c r="A7893" s="22">
        <v>45905</v>
      </c>
      <c r="B7893" s="1">
        <v>517975466</v>
      </c>
      <c r="C7893" t="s">
        <v>6305</v>
      </c>
      <c r="D7893" s="44">
        <v>-9169.2000000000007</v>
      </c>
      <c r="E7893" t="s">
        <v>35</v>
      </c>
      <c r="F7893" s="2">
        <v>212901001</v>
      </c>
      <c r="G7893" s="2" t="s">
        <v>91</v>
      </c>
      <c r="I7893" s="95" t="s">
        <v>7231</v>
      </c>
      <c r="J7893" t="s">
        <v>61</v>
      </c>
      <c r="K7893" t="s">
        <v>62</v>
      </c>
      <c r="M7893">
        <v>152.82</v>
      </c>
      <c r="N7893" s="4">
        <f t="shared" si="123"/>
        <v>-60.000000000000007</v>
      </c>
      <c r="O7893" t="s">
        <v>83</v>
      </c>
      <c r="Q7893" s="92"/>
    </row>
    <row r="7894" spans="1:17" x14ac:dyDescent="0.25">
      <c r="A7894" s="22">
        <v>45905</v>
      </c>
      <c r="B7894" s="1">
        <v>417975461</v>
      </c>
      <c r="C7894" t="s">
        <v>6306</v>
      </c>
      <c r="D7894" s="44">
        <v>-9169.2000000000007</v>
      </c>
      <c r="E7894" t="s">
        <v>35</v>
      </c>
      <c r="F7894" s="2">
        <v>212901001</v>
      </c>
      <c r="G7894" s="2" t="s">
        <v>91</v>
      </c>
      <c r="I7894" s="95" t="s">
        <v>7231</v>
      </c>
      <c r="J7894" t="s">
        <v>61</v>
      </c>
      <c r="K7894" t="s">
        <v>62</v>
      </c>
      <c r="M7894">
        <v>152.82</v>
      </c>
      <c r="N7894" s="4">
        <f t="shared" si="123"/>
        <v>-60.000000000000007</v>
      </c>
      <c r="O7894" t="s">
        <v>83</v>
      </c>
      <c r="Q7894" s="92"/>
    </row>
    <row r="7895" spans="1:17" x14ac:dyDescent="0.25">
      <c r="A7895" s="22">
        <v>45905</v>
      </c>
      <c r="B7895" s="1">
        <v>417975463</v>
      </c>
      <c r="C7895" t="s">
        <v>6307</v>
      </c>
      <c r="D7895" s="44">
        <v>-9169.2000000000007</v>
      </c>
      <c r="E7895" t="s">
        <v>35</v>
      </c>
      <c r="F7895" s="2">
        <v>212901001</v>
      </c>
      <c r="G7895" s="2" t="s">
        <v>91</v>
      </c>
      <c r="I7895" s="95" t="s">
        <v>7231</v>
      </c>
      <c r="J7895" t="s">
        <v>61</v>
      </c>
      <c r="K7895" t="s">
        <v>62</v>
      </c>
      <c r="M7895">
        <v>152.82</v>
      </c>
      <c r="N7895" s="4">
        <f t="shared" si="123"/>
        <v>-60.000000000000007</v>
      </c>
      <c r="O7895" t="s">
        <v>83</v>
      </c>
      <c r="Q7895" s="92"/>
    </row>
    <row r="7896" spans="1:17" x14ac:dyDescent="0.25">
      <c r="A7896" s="22">
        <v>45905</v>
      </c>
      <c r="B7896" s="1">
        <v>417975457</v>
      </c>
      <c r="C7896" t="s">
        <v>6308</v>
      </c>
      <c r="D7896" s="44">
        <v>-9169.2000000000007</v>
      </c>
      <c r="E7896" t="s">
        <v>35</v>
      </c>
      <c r="F7896" s="2">
        <v>212901001</v>
      </c>
      <c r="G7896" s="2" t="s">
        <v>91</v>
      </c>
      <c r="I7896" s="95" t="s">
        <v>7231</v>
      </c>
      <c r="J7896" t="s">
        <v>61</v>
      </c>
      <c r="K7896" t="s">
        <v>62</v>
      </c>
      <c r="M7896">
        <v>152.82</v>
      </c>
      <c r="N7896" s="4">
        <f t="shared" si="123"/>
        <v>-60.000000000000007</v>
      </c>
      <c r="O7896" t="s">
        <v>83</v>
      </c>
      <c r="Q7896" s="92"/>
    </row>
    <row r="7897" spans="1:17" x14ac:dyDescent="0.25">
      <c r="A7897" s="22">
        <v>45905</v>
      </c>
      <c r="B7897" s="1">
        <v>417975465</v>
      </c>
      <c r="C7897" t="s">
        <v>6309</v>
      </c>
      <c r="D7897" s="44">
        <v>-9169.2000000000007</v>
      </c>
      <c r="E7897" t="s">
        <v>35</v>
      </c>
      <c r="F7897" s="2">
        <v>212901001</v>
      </c>
      <c r="G7897" s="2" t="s">
        <v>91</v>
      </c>
      <c r="I7897" s="95" t="s">
        <v>7231</v>
      </c>
      <c r="J7897" t="s">
        <v>61</v>
      </c>
      <c r="K7897" t="s">
        <v>62</v>
      </c>
      <c r="M7897">
        <v>152.82</v>
      </c>
      <c r="N7897" s="4">
        <f t="shared" si="123"/>
        <v>-60.000000000000007</v>
      </c>
      <c r="O7897" t="s">
        <v>83</v>
      </c>
      <c r="Q7897" s="92"/>
    </row>
    <row r="7898" spans="1:17" x14ac:dyDescent="0.25">
      <c r="A7898" s="22">
        <v>45905</v>
      </c>
      <c r="B7898" s="1">
        <v>517975467</v>
      </c>
      <c r="C7898" t="s">
        <v>6310</v>
      </c>
      <c r="D7898" s="44">
        <v>-9169.2000000000007</v>
      </c>
      <c r="E7898" t="s">
        <v>35</v>
      </c>
      <c r="F7898" s="2">
        <v>212901001</v>
      </c>
      <c r="G7898" s="2" t="s">
        <v>91</v>
      </c>
      <c r="I7898" s="95" t="s">
        <v>7231</v>
      </c>
      <c r="J7898" t="s">
        <v>61</v>
      </c>
      <c r="K7898" t="s">
        <v>62</v>
      </c>
      <c r="M7898">
        <v>152.82</v>
      </c>
      <c r="N7898" s="4">
        <f t="shared" si="123"/>
        <v>-60.000000000000007</v>
      </c>
      <c r="O7898" t="s">
        <v>83</v>
      </c>
      <c r="Q7898" s="92"/>
    </row>
    <row r="7899" spans="1:17" x14ac:dyDescent="0.25">
      <c r="A7899" s="22">
        <v>45905</v>
      </c>
      <c r="B7899" s="1">
        <v>117975478</v>
      </c>
      <c r="C7899" t="s">
        <v>6311</v>
      </c>
      <c r="D7899" s="44">
        <v>-9169.2000000000007</v>
      </c>
      <c r="E7899" t="s">
        <v>35</v>
      </c>
      <c r="F7899" s="2">
        <v>212901001</v>
      </c>
      <c r="G7899" s="2" t="s">
        <v>91</v>
      </c>
      <c r="I7899" s="95" t="s">
        <v>7231</v>
      </c>
      <c r="J7899" t="s">
        <v>61</v>
      </c>
      <c r="K7899" t="s">
        <v>62</v>
      </c>
      <c r="M7899">
        <v>152.82</v>
      </c>
      <c r="N7899" s="4">
        <f t="shared" si="123"/>
        <v>-60.000000000000007</v>
      </c>
      <c r="O7899" t="s">
        <v>83</v>
      </c>
      <c r="Q7899" s="92"/>
    </row>
    <row r="7900" spans="1:17" x14ac:dyDescent="0.25">
      <c r="A7900" s="22">
        <v>45905</v>
      </c>
      <c r="B7900" s="1">
        <v>117975481</v>
      </c>
      <c r="C7900" t="s">
        <v>6312</v>
      </c>
      <c r="D7900" s="44">
        <v>-9169.2000000000007</v>
      </c>
      <c r="E7900" t="s">
        <v>35</v>
      </c>
      <c r="F7900" s="2">
        <v>212901001</v>
      </c>
      <c r="G7900" s="2" t="s">
        <v>91</v>
      </c>
      <c r="I7900" s="95" t="s">
        <v>7231</v>
      </c>
      <c r="J7900" t="s">
        <v>61</v>
      </c>
      <c r="K7900" t="s">
        <v>62</v>
      </c>
      <c r="M7900">
        <v>152.82</v>
      </c>
      <c r="N7900" s="4">
        <f t="shared" si="123"/>
        <v>-60.000000000000007</v>
      </c>
      <c r="O7900" t="s">
        <v>83</v>
      </c>
      <c r="Q7900" s="92"/>
    </row>
    <row r="7901" spans="1:17" x14ac:dyDescent="0.25">
      <c r="A7901" s="22">
        <v>45905</v>
      </c>
      <c r="B7901" s="1">
        <v>117975479</v>
      </c>
      <c r="C7901" t="s">
        <v>6313</v>
      </c>
      <c r="D7901" s="44">
        <v>-9169.2000000000007</v>
      </c>
      <c r="E7901" t="s">
        <v>35</v>
      </c>
      <c r="F7901" s="2">
        <v>212901001</v>
      </c>
      <c r="G7901" s="2" t="s">
        <v>91</v>
      </c>
      <c r="I7901" s="95" t="s">
        <v>7231</v>
      </c>
      <c r="J7901" t="s">
        <v>61</v>
      </c>
      <c r="K7901" t="s">
        <v>62</v>
      </c>
      <c r="M7901">
        <v>152.82</v>
      </c>
      <c r="N7901" s="4">
        <f t="shared" si="123"/>
        <v>-60.000000000000007</v>
      </c>
      <c r="O7901" t="s">
        <v>83</v>
      </c>
      <c r="Q7901" s="92"/>
    </row>
    <row r="7902" spans="1:17" x14ac:dyDescent="0.25">
      <c r="A7902" s="22">
        <v>45905</v>
      </c>
      <c r="B7902" s="1">
        <v>117975482</v>
      </c>
      <c r="C7902" t="s">
        <v>6314</v>
      </c>
      <c r="D7902" s="44">
        <v>-9169.2000000000007</v>
      </c>
      <c r="E7902" t="s">
        <v>35</v>
      </c>
      <c r="F7902" s="2">
        <v>212901001</v>
      </c>
      <c r="G7902" s="2" t="s">
        <v>91</v>
      </c>
      <c r="I7902" s="95" t="s">
        <v>7231</v>
      </c>
      <c r="J7902" t="s">
        <v>61</v>
      </c>
      <c r="K7902" t="s">
        <v>62</v>
      </c>
      <c r="M7902">
        <v>152.82</v>
      </c>
      <c r="N7902" s="4">
        <f t="shared" si="123"/>
        <v>-60.000000000000007</v>
      </c>
      <c r="O7902" t="s">
        <v>83</v>
      </c>
      <c r="Q7902" s="92"/>
    </row>
    <row r="7903" spans="1:17" x14ac:dyDescent="0.25">
      <c r="A7903" s="22">
        <v>45905</v>
      </c>
      <c r="B7903" s="1">
        <v>117975483</v>
      </c>
      <c r="C7903" t="s">
        <v>6315</v>
      </c>
      <c r="D7903" s="44">
        <v>-9169.2000000000007</v>
      </c>
      <c r="E7903" t="s">
        <v>35</v>
      </c>
      <c r="F7903" s="2">
        <v>212901001</v>
      </c>
      <c r="G7903" s="2" t="s">
        <v>91</v>
      </c>
      <c r="I7903" s="95" t="s">
        <v>7231</v>
      </c>
      <c r="J7903" t="s">
        <v>61</v>
      </c>
      <c r="K7903" t="s">
        <v>62</v>
      </c>
      <c r="M7903">
        <v>152.82</v>
      </c>
      <c r="N7903" s="4">
        <f t="shared" si="123"/>
        <v>-60.000000000000007</v>
      </c>
      <c r="O7903" t="s">
        <v>83</v>
      </c>
      <c r="Q7903" s="92"/>
    </row>
    <row r="7904" spans="1:17" x14ac:dyDescent="0.25">
      <c r="A7904" s="22">
        <v>45905</v>
      </c>
      <c r="B7904" s="1">
        <v>217975488</v>
      </c>
      <c r="C7904" t="s">
        <v>6316</v>
      </c>
      <c r="D7904" s="44">
        <v>-12225.6</v>
      </c>
      <c r="E7904" t="s">
        <v>35</v>
      </c>
      <c r="F7904" s="2">
        <v>212901001</v>
      </c>
      <c r="G7904" s="2" t="s">
        <v>91</v>
      </c>
      <c r="I7904" s="95" t="s">
        <v>7231</v>
      </c>
      <c r="J7904" t="s">
        <v>61</v>
      </c>
      <c r="K7904" t="s">
        <v>62</v>
      </c>
      <c r="M7904">
        <v>152.82</v>
      </c>
      <c r="N7904" s="4">
        <f t="shared" si="123"/>
        <v>-80</v>
      </c>
      <c r="O7904" t="s">
        <v>83</v>
      </c>
      <c r="Q7904" s="92"/>
    </row>
    <row r="7905" spans="1:17" x14ac:dyDescent="0.25">
      <c r="A7905" s="22">
        <v>45905</v>
      </c>
      <c r="B7905" s="1">
        <v>217975489</v>
      </c>
      <c r="C7905" t="s">
        <v>6317</v>
      </c>
      <c r="D7905" s="44">
        <v>-12225.6</v>
      </c>
      <c r="E7905" t="s">
        <v>35</v>
      </c>
      <c r="F7905" s="2">
        <v>212901001</v>
      </c>
      <c r="G7905" s="2" t="s">
        <v>91</v>
      </c>
      <c r="I7905" s="95" t="s">
        <v>7231</v>
      </c>
      <c r="J7905" t="s">
        <v>61</v>
      </c>
      <c r="K7905" t="s">
        <v>62</v>
      </c>
      <c r="M7905">
        <v>152.82</v>
      </c>
      <c r="N7905" s="4">
        <f t="shared" si="123"/>
        <v>-80</v>
      </c>
      <c r="O7905" t="s">
        <v>83</v>
      </c>
      <c r="Q7905" s="92"/>
    </row>
    <row r="7906" spans="1:17" x14ac:dyDescent="0.25">
      <c r="A7906" s="22">
        <v>45905</v>
      </c>
      <c r="B7906" s="1">
        <v>217975491</v>
      </c>
      <c r="C7906" t="s">
        <v>6318</v>
      </c>
      <c r="D7906" s="44">
        <v>-12225.6</v>
      </c>
      <c r="E7906" t="s">
        <v>35</v>
      </c>
      <c r="F7906" s="2">
        <v>212901001</v>
      </c>
      <c r="G7906" s="2" t="s">
        <v>91</v>
      </c>
      <c r="I7906" s="95" t="s">
        <v>7231</v>
      </c>
      <c r="J7906" t="s">
        <v>61</v>
      </c>
      <c r="K7906" t="s">
        <v>62</v>
      </c>
      <c r="M7906">
        <v>152.82</v>
      </c>
      <c r="N7906" s="4">
        <f t="shared" si="123"/>
        <v>-80</v>
      </c>
      <c r="O7906" t="s">
        <v>83</v>
      </c>
      <c r="Q7906" s="92"/>
    </row>
    <row r="7907" spans="1:17" x14ac:dyDescent="0.25">
      <c r="A7907" s="22">
        <v>45905</v>
      </c>
      <c r="B7907" s="1">
        <v>217975490</v>
      </c>
      <c r="C7907" t="s">
        <v>6319</v>
      </c>
      <c r="D7907" s="44">
        <v>-12225.6</v>
      </c>
      <c r="E7907" t="s">
        <v>35</v>
      </c>
      <c r="F7907" s="2">
        <v>212901001</v>
      </c>
      <c r="G7907" s="2" t="s">
        <v>91</v>
      </c>
      <c r="I7907" s="95" t="s">
        <v>7231</v>
      </c>
      <c r="J7907" t="s">
        <v>61</v>
      </c>
      <c r="K7907" t="s">
        <v>62</v>
      </c>
      <c r="M7907">
        <v>152.82</v>
      </c>
      <c r="N7907" s="4">
        <f t="shared" si="123"/>
        <v>-80</v>
      </c>
      <c r="O7907" t="s">
        <v>83</v>
      </c>
      <c r="Q7907" s="92"/>
    </row>
    <row r="7908" spans="1:17" x14ac:dyDescent="0.25">
      <c r="A7908" s="22">
        <v>45905</v>
      </c>
      <c r="B7908" s="1">
        <v>117975484</v>
      </c>
      <c r="C7908" t="s">
        <v>6320</v>
      </c>
      <c r="D7908" s="44">
        <v>-22923</v>
      </c>
      <c r="E7908" t="s">
        <v>35</v>
      </c>
      <c r="F7908" s="2">
        <v>212901001</v>
      </c>
      <c r="G7908" s="2" t="s">
        <v>91</v>
      </c>
      <c r="I7908" s="95" t="s">
        <v>7231</v>
      </c>
      <c r="J7908" t="s">
        <v>61</v>
      </c>
      <c r="K7908" t="s">
        <v>62</v>
      </c>
      <c r="M7908">
        <v>152.82</v>
      </c>
      <c r="N7908" s="4">
        <f t="shared" si="123"/>
        <v>-150</v>
      </c>
      <c r="O7908" t="s">
        <v>83</v>
      </c>
      <c r="Q7908" s="92"/>
    </row>
    <row r="7909" spans="1:17" x14ac:dyDescent="0.25">
      <c r="A7909" s="22">
        <v>45905</v>
      </c>
      <c r="B7909" s="1">
        <v>117975480</v>
      </c>
      <c r="C7909" t="s">
        <v>6321</v>
      </c>
      <c r="D7909" s="44">
        <v>-9169.2000000000007</v>
      </c>
      <c r="E7909" t="s">
        <v>35</v>
      </c>
      <c r="F7909" s="2">
        <v>212901001</v>
      </c>
      <c r="G7909" s="2" t="s">
        <v>91</v>
      </c>
      <c r="I7909" s="95" t="s">
        <v>7231</v>
      </c>
      <c r="J7909" t="s">
        <v>61</v>
      </c>
      <c r="K7909" t="s">
        <v>62</v>
      </c>
      <c r="M7909">
        <v>152.82</v>
      </c>
      <c r="N7909" s="4">
        <f t="shared" si="123"/>
        <v>-60.000000000000007</v>
      </c>
      <c r="O7909" t="s">
        <v>83</v>
      </c>
      <c r="Q7909" s="92"/>
    </row>
    <row r="7910" spans="1:17" x14ac:dyDescent="0.25">
      <c r="A7910" s="22">
        <v>45905</v>
      </c>
      <c r="B7910" s="1">
        <v>217975487</v>
      </c>
      <c r="C7910" t="s">
        <v>6322</v>
      </c>
      <c r="D7910" s="44">
        <v>-12225.6</v>
      </c>
      <c r="E7910" t="s">
        <v>35</v>
      </c>
      <c r="F7910" s="2">
        <v>212901001</v>
      </c>
      <c r="G7910" s="2" t="s">
        <v>91</v>
      </c>
      <c r="I7910" s="95" t="s">
        <v>7231</v>
      </c>
      <c r="J7910" t="s">
        <v>61</v>
      </c>
      <c r="K7910" t="s">
        <v>62</v>
      </c>
      <c r="M7910">
        <v>152.82</v>
      </c>
      <c r="N7910" s="4">
        <f t="shared" si="123"/>
        <v>-80</v>
      </c>
      <c r="O7910" t="s">
        <v>83</v>
      </c>
      <c r="Q7910" s="92"/>
    </row>
    <row r="7911" spans="1:17" x14ac:dyDescent="0.25">
      <c r="A7911" s="22">
        <v>45905</v>
      </c>
      <c r="B7911" s="1">
        <v>117975485</v>
      </c>
      <c r="C7911" t="s">
        <v>6323</v>
      </c>
      <c r="D7911" s="44">
        <v>-15282</v>
      </c>
      <c r="E7911" t="s">
        <v>35</v>
      </c>
      <c r="F7911" s="2">
        <v>212901001</v>
      </c>
      <c r="G7911" s="2" t="s">
        <v>91</v>
      </c>
      <c r="I7911" s="95" t="s">
        <v>7231</v>
      </c>
      <c r="J7911" t="s">
        <v>61</v>
      </c>
      <c r="K7911" t="s">
        <v>62</v>
      </c>
      <c r="M7911">
        <v>152.82</v>
      </c>
      <c r="N7911" s="4">
        <f t="shared" si="123"/>
        <v>-100</v>
      </c>
      <c r="O7911" t="s">
        <v>83</v>
      </c>
      <c r="Q7911" s="92"/>
    </row>
    <row r="7912" spans="1:17" x14ac:dyDescent="0.25">
      <c r="A7912" s="22">
        <v>45905</v>
      </c>
      <c r="B7912" s="1">
        <v>217975492</v>
      </c>
      <c r="C7912" t="s">
        <v>6324</v>
      </c>
      <c r="D7912" s="44">
        <v>-12225.6</v>
      </c>
      <c r="E7912" t="s">
        <v>35</v>
      </c>
      <c r="F7912" s="2">
        <v>212901001</v>
      </c>
      <c r="G7912" s="2" t="s">
        <v>91</v>
      </c>
      <c r="I7912" s="95" t="s">
        <v>7231</v>
      </c>
      <c r="J7912" t="s">
        <v>61</v>
      </c>
      <c r="K7912" t="s">
        <v>62</v>
      </c>
      <c r="M7912">
        <v>152.82</v>
      </c>
      <c r="N7912" s="4">
        <f t="shared" si="123"/>
        <v>-80</v>
      </c>
      <c r="O7912" t="s">
        <v>83</v>
      </c>
      <c r="Q7912" s="92"/>
    </row>
    <row r="7913" spans="1:17" x14ac:dyDescent="0.25">
      <c r="A7913" s="22">
        <v>45905</v>
      </c>
      <c r="B7913" s="1">
        <v>317975497</v>
      </c>
      <c r="C7913" t="s">
        <v>6325</v>
      </c>
      <c r="D7913" s="44">
        <v>-7641</v>
      </c>
      <c r="E7913" t="s">
        <v>35</v>
      </c>
      <c r="F7913" s="2">
        <v>212901001</v>
      </c>
      <c r="G7913" s="2" t="s">
        <v>91</v>
      </c>
      <c r="I7913" s="95" t="s">
        <v>7231</v>
      </c>
      <c r="J7913" t="s">
        <v>61</v>
      </c>
      <c r="K7913" t="s">
        <v>62</v>
      </c>
      <c r="M7913">
        <v>152.82</v>
      </c>
      <c r="N7913" s="4">
        <f t="shared" si="123"/>
        <v>-50</v>
      </c>
      <c r="O7913" t="s">
        <v>83</v>
      </c>
      <c r="Q7913" s="92"/>
    </row>
    <row r="7914" spans="1:17" x14ac:dyDescent="0.25">
      <c r="A7914" s="22">
        <v>45905</v>
      </c>
      <c r="B7914" s="1">
        <v>317975500</v>
      </c>
      <c r="C7914" t="s">
        <v>6326</v>
      </c>
      <c r="D7914" s="44">
        <v>-7641</v>
      </c>
      <c r="E7914" t="s">
        <v>35</v>
      </c>
      <c r="F7914" s="2">
        <v>212901001</v>
      </c>
      <c r="G7914" s="2" t="s">
        <v>91</v>
      </c>
      <c r="I7914" s="95" t="s">
        <v>7231</v>
      </c>
      <c r="J7914" t="s">
        <v>61</v>
      </c>
      <c r="K7914" t="s">
        <v>62</v>
      </c>
      <c r="M7914">
        <v>152.82</v>
      </c>
      <c r="N7914" s="4">
        <f t="shared" si="123"/>
        <v>-50</v>
      </c>
      <c r="O7914" t="s">
        <v>83</v>
      </c>
      <c r="Q7914" s="92"/>
    </row>
    <row r="7915" spans="1:17" x14ac:dyDescent="0.25">
      <c r="A7915" s="22">
        <v>45905</v>
      </c>
      <c r="B7915" s="1">
        <v>317975498</v>
      </c>
      <c r="C7915" t="s">
        <v>6327</v>
      </c>
      <c r="D7915" s="44">
        <v>-7641</v>
      </c>
      <c r="E7915" t="s">
        <v>35</v>
      </c>
      <c r="F7915" s="2">
        <v>212901001</v>
      </c>
      <c r="G7915" s="2" t="s">
        <v>91</v>
      </c>
      <c r="I7915" s="95" t="s">
        <v>7231</v>
      </c>
      <c r="J7915" t="s">
        <v>61</v>
      </c>
      <c r="K7915" t="s">
        <v>62</v>
      </c>
      <c r="M7915">
        <v>152.82</v>
      </c>
      <c r="N7915" s="4">
        <f t="shared" si="123"/>
        <v>-50</v>
      </c>
      <c r="O7915" t="s">
        <v>83</v>
      </c>
      <c r="Q7915" s="92"/>
    </row>
    <row r="7916" spans="1:17" x14ac:dyDescent="0.25">
      <c r="A7916" s="22">
        <v>45905</v>
      </c>
      <c r="B7916" s="1">
        <v>217975494</v>
      </c>
      <c r="C7916" t="s">
        <v>6328</v>
      </c>
      <c r="D7916" s="44">
        <v>-6418.44</v>
      </c>
      <c r="E7916" t="s">
        <v>35</v>
      </c>
      <c r="F7916" s="2">
        <v>212901001</v>
      </c>
      <c r="G7916" s="2" t="s">
        <v>91</v>
      </c>
      <c r="I7916" s="95" t="s">
        <v>7231</v>
      </c>
      <c r="J7916" t="s">
        <v>61</v>
      </c>
      <c r="K7916" t="s">
        <v>62</v>
      </c>
      <c r="M7916">
        <v>152.82</v>
      </c>
      <c r="N7916" s="4">
        <f t="shared" si="123"/>
        <v>-42</v>
      </c>
      <c r="O7916" t="s">
        <v>83</v>
      </c>
      <c r="Q7916" s="92"/>
    </row>
    <row r="7917" spans="1:17" x14ac:dyDescent="0.25">
      <c r="A7917" s="22">
        <v>45905</v>
      </c>
      <c r="B7917" s="1">
        <v>317975501</v>
      </c>
      <c r="C7917" t="s">
        <v>6329</v>
      </c>
      <c r="D7917" s="44">
        <v>-6112.8</v>
      </c>
      <c r="E7917" t="s">
        <v>35</v>
      </c>
      <c r="F7917" s="2">
        <v>212901001</v>
      </c>
      <c r="G7917" s="2" t="s">
        <v>91</v>
      </c>
      <c r="I7917" s="95" t="s">
        <v>7231</v>
      </c>
      <c r="J7917" t="s">
        <v>61</v>
      </c>
      <c r="K7917" t="s">
        <v>62</v>
      </c>
      <c r="M7917">
        <v>152.82</v>
      </c>
      <c r="N7917" s="4">
        <f t="shared" si="123"/>
        <v>-40</v>
      </c>
      <c r="O7917" t="s">
        <v>83</v>
      </c>
      <c r="Q7917" s="92"/>
    </row>
    <row r="7918" spans="1:17" x14ac:dyDescent="0.25">
      <c r="A7918" s="22">
        <v>45905</v>
      </c>
      <c r="B7918" s="1">
        <v>317975499</v>
      </c>
      <c r="C7918" t="s">
        <v>6330</v>
      </c>
      <c r="D7918" s="44">
        <v>-7641</v>
      </c>
      <c r="E7918" t="s">
        <v>35</v>
      </c>
      <c r="F7918" s="2">
        <v>212901001</v>
      </c>
      <c r="G7918" s="2" t="s">
        <v>91</v>
      </c>
      <c r="I7918" s="95" t="s">
        <v>7231</v>
      </c>
      <c r="J7918" t="s">
        <v>61</v>
      </c>
      <c r="K7918" t="s">
        <v>62</v>
      </c>
      <c r="M7918">
        <v>152.82</v>
      </c>
      <c r="N7918" s="4">
        <f t="shared" si="123"/>
        <v>-50</v>
      </c>
      <c r="O7918" t="s">
        <v>83</v>
      </c>
      <c r="Q7918" s="92"/>
    </row>
    <row r="7919" spans="1:17" x14ac:dyDescent="0.25">
      <c r="A7919" s="22">
        <v>45905</v>
      </c>
      <c r="B7919" s="1">
        <v>217975495</v>
      </c>
      <c r="C7919" t="s">
        <v>6331</v>
      </c>
      <c r="D7919" s="44">
        <v>-7641</v>
      </c>
      <c r="E7919" t="s">
        <v>35</v>
      </c>
      <c r="F7919" s="2">
        <v>212901001</v>
      </c>
      <c r="G7919" s="2" t="s">
        <v>91</v>
      </c>
      <c r="I7919" s="95" t="s">
        <v>7231</v>
      </c>
      <c r="J7919" t="s">
        <v>61</v>
      </c>
      <c r="K7919" t="s">
        <v>62</v>
      </c>
      <c r="M7919">
        <v>152.82</v>
      </c>
      <c r="N7919" s="4">
        <f t="shared" si="123"/>
        <v>-50</v>
      </c>
      <c r="O7919" t="s">
        <v>83</v>
      </c>
      <c r="Q7919" s="92"/>
    </row>
    <row r="7920" spans="1:17" x14ac:dyDescent="0.25">
      <c r="A7920" s="22">
        <v>45905</v>
      </c>
      <c r="B7920" s="1">
        <v>417975506</v>
      </c>
      <c r="C7920" t="s">
        <v>6332</v>
      </c>
      <c r="D7920" s="44">
        <v>-6112.8</v>
      </c>
      <c r="E7920" t="s">
        <v>35</v>
      </c>
      <c r="F7920" s="2">
        <v>212901001</v>
      </c>
      <c r="G7920" s="2" t="s">
        <v>91</v>
      </c>
      <c r="I7920" s="95" t="s">
        <v>7231</v>
      </c>
      <c r="J7920" t="s">
        <v>61</v>
      </c>
      <c r="K7920" t="s">
        <v>62</v>
      </c>
      <c r="M7920">
        <v>152.82</v>
      </c>
      <c r="N7920" s="4">
        <f t="shared" si="123"/>
        <v>-40</v>
      </c>
      <c r="O7920" t="s">
        <v>83</v>
      </c>
      <c r="Q7920" s="92"/>
    </row>
    <row r="7921" spans="1:17" x14ac:dyDescent="0.25">
      <c r="A7921" s="22">
        <v>45905</v>
      </c>
      <c r="B7921" s="1">
        <v>317975502</v>
      </c>
      <c r="C7921" t="s">
        <v>6333</v>
      </c>
      <c r="D7921" s="44">
        <v>-6112.8</v>
      </c>
      <c r="E7921" t="s">
        <v>35</v>
      </c>
      <c r="F7921" s="2">
        <v>212901001</v>
      </c>
      <c r="G7921" s="2" t="s">
        <v>91</v>
      </c>
      <c r="I7921" s="95" t="s">
        <v>7231</v>
      </c>
      <c r="J7921" t="s">
        <v>61</v>
      </c>
      <c r="K7921" t="s">
        <v>62</v>
      </c>
      <c r="M7921">
        <v>152.82</v>
      </c>
      <c r="N7921" s="4">
        <f t="shared" si="123"/>
        <v>-40</v>
      </c>
      <c r="O7921" t="s">
        <v>83</v>
      </c>
      <c r="Q7921" s="92"/>
    </row>
    <row r="7922" spans="1:17" x14ac:dyDescent="0.25">
      <c r="A7922" s="22">
        <v>45905</v>
      </c>
      <c r="B7922" s="1">
        <v>317975503</v>
      </c>
      <c r="C7922" t="s">
        <v>6334</v>
      </c>
      <c r="D7922" s="44">
        <v>-6112.8</v>
      </c>
      <c r="E7922" t="s">
        <v>35</v>
      </c>
      <c r="F7922" s="2">
        <v>212901001</v>
      </c>
      <c r="G7922" s="2" t="s">
        <v>91</v>
      </c>
      <c r="I7922" s="95" t="s">
        <v>7231</v>
      </c>
      <c r="J7922" t="s">
        <v>61</v>
      </c>
      <c r="K7922" t="s">
        <v>62</v>
      </c>
      <c r="M7922">
        <v>152.82</v>
      </c>
      <c r="N7922" s="4">
        <f t="shared" si="123"/>
        <v>-40</v>
      </c>
      <c r="O7922" t="s">
        <v>83</v>
      </c>
      <c r="Q7922" s="92"/>
    </row>
    <row r="7923" spans="1:17" x14ac:dyDescent="0.25">
      <c r="A7923" s="22">
        <v>45905</v>
      </c>
      <c r="B7923" s="1">
        <v>317975504</v>
      </c>
      <c r="C7923" t="s">
        <v>6335</v>
      </c>
      <c r="D7923" s="44">
        <v>-6112.8</v>
      </c>
      <c r="E7923" t="s">
        <v>35</v>
      </c>
      <c r="F7923" s="2">
        <v>212901001</v>
      </c>
      <c r="G7923" s="2" t="s">
        <v>91</v>
      </c>
      <c r="I7923" s="95" t="s">
        <v>7231</v>
      </c>
      <c r="J7923" t="s">
        <v>61</v>
      </c>
      <c r="K7923" t="s">
        <v>62</v>
      </c>
      <c r="M7923">
        <v>152.82</v>
      </c>
      <c r="N7923" s="4">
        <f t="shared" si="123"/>
        <v>-40</v>
      </c>
      <c r="O7923" t="s">
        <v>83</v>
      </c>
      <c r="Q7923" s="92"/>
    </row>
    <row r="7924" spans="1:17" x14ac:dyDescent="0.25">
      <c r="A7924" s="22">
        <v>45905</v>
      </c>
      <c r="B7924" s="1">
        <v>317975505</v>
      </c>
      <c r="C7924" t="s">
        <v>6336</v>
      </c>
      <c r="D7924" s="44">
        <v>-6112.8</v>
      </c>
      <c r="E7924" t="s">
        <v>35</v>
      </c>
      <c r="F7924" s="2">
        <v>212901001</v>
      </c>
      <c r="G7924" s="2" t="s">
        <v>91</v>
      </c>
      <c r="I7924" s="95" t="s">
        <v>7231</v>
      </c>
      <c r="J7924" t="s">
        <v>61</v>
      </c>
      <c r="K7924" t="s">
        <v>62</v>
      </c>
      <c r="M7924">
        <v>152.82</v>
      </c>
      <c r="N7924" s="4">
        <f t="shared" si="123"/>
        <v>-40</v>
      </c>
      <c r="O7924" t="s">
        <v>83</v>
      </c>
      <c r="Q7924" s="92"/>
    </row>
    <row r="7925" spans="1:17" x14ac:dyDescent="0.25">
      <c r="A7925" s="22">
        <v>45905</v>
      </c>
      <c r="B7925" s="1">
        <v>417975508</v>
      </c>
      <c r="C7925" t="s">
        <v>6337</v>
      </c>
      <c r="D7925" s="44">
        <v>-15282</v>
      </c>
      <c r="E7925" t="s">
        <v>35</v>
      </c>
      <c r="F7925" s="2">
        <v>212901001</v>
      </c>
      <c r="G7925" s="2" t="s">
        <v>91</v>
      </c>
      <c r="I7925" s="95" t="s">
        <v>7231</v>
      </c>
      <c r="J7925" t="s">
        <v>61</v>
      </c>
      <c r="K7925" t="s">
        <v>62</v>
      </c>
      <c r="M7925">
        <v>152.82</v>
      </c>
      <c r="N7925" s="4">
        <f t="shared" si="123"/>
        <v>-100</v>
      </c>
      <c r="O7925" t="s">
        <v>83</v>
      </c>
      <c r="Q7925" s="92"/>
    </row>
    <row r="7926" spans="1:17" x14ac:dyDescent="0.25">
      <c r="A7926" s="22">
        <v>45905</v>
      </c>
      <c r="B7926" s="1">
        <v>417975507</v>
      </c>
      <c r="C7926" t="s">
        <v>6338</v>
      </c>
      <c r="D7926" s="44">
        <v>-6112.8</v>
      </c>
      <c r="E7926" t="s">
        <v>35</v>
      </c>
      <c r="F7926" s="2">
        <v>212901001</v>
      </c>
      <c r="G7926" s="2" t="s">
        <v>91</v>
      </c>
      <c r="I7926" s="95" t="s">
        <v>7231</v>
      </c>
      <c r="J7926" t="s">
        <v>61</v>
      </c>
      <c r="K7926" t="s">
        <v>62</v>
      </c>
      <c r="M7926">
        <v>152.82</v>
      </c>
      <c r="N7926" s="4">
        <f t="shared" si="123"/>
        <v>-40</v>
      </c>
      <c r="O7926" t="s">
        <v>83</v>
      </c>
      <c r="Q7926" s="92"/>
    </row>
    <row r="7927" spans="1:17" x14ac:dyDescent="0.25">
      <c r="A7927" s="22">
        <v>45905</v>
      </c>
      <c r="B7927" s="1">
        <v>417975513</v>
      </c>
      <c r="C7927" t="s">
        <v>6339</v>
      </c>
      <c r="D7927" s="44">
        <v>-16810.2</v>
      </c>
      <c r="E7927" t="s">
        <v>35</v>
      </c>
      <c r="F7927" s="2">
        <v>212901001</v>
      </c>
      <c r="G7927" s="2" t="s">
        <v>91</v>
      </c>
      <c r="I7927" s="95" t="s">
        <v>7231</v>
      </c>
      <c r="J7927" t="s">
        <v>61</v>
      </c>
      <c r="K7927" t="s">
        <v>62</v>
      </c>
      <c r="M7927">
        <v>152.82</v>
      </c>
      <c r="N7927" s="4">
        <f t="shared" si="123"/>
        <v>-110.00000000000001</v>
      </c>
      <c r="O7927" t="s">
        <v>83</v>
      </c>
      <c r="Q7927" s="92"/>
    </row>
    <row r="7928" spans="1:17" x14ac:dyDescent="0.25">
      <c r="A7928" s="22">
        <v>45905</v>
      </c>
      <c r="B7928" s="1">
        <v>417975511</v>
      </c>
      <c r="C7928" t="s">
        <v>6340</v>
      </c>
      <c r="D7928" s="44">
        <v>-15282</v>
      </c>
      <c r="E7928" t="s">
        <v>35</v>
      </c>
      <c r="F7928" s="2">
        <v>212901001</v>
      </c>
      <c r="G7928" s="2" t="s">
        <v>91</v>
      </c>
      <c r="I7928" s="95" t="s">
        <v>7231</v>
      </c>
      <c r="J7928" t="s">
        <v>61</v>
      </c>
      <c r="K7928" t="s">
        <v>62</v>
      </c>
      <c r="M7928">
        <v>152.82</v>
      </c>
      <c r="N7928" s="4">
        <f t="shared" si="123"/>
        <v>-100</v>
      </c>
      <c r="O7928" t="s">
        <v>83</v>
      </c>
      <c r="Q7928" s="92"/>
    </row>
    <row r="7929" spans="1:17" x14ac:dyDescent="0.25">
      <c r="A7929" s="22">
        <v>45905</v>
      </c>
      <c r="B7929" s="1">
        <v>417975512</v>
      </c>
      <c r="C7929" t="s">
        <v>6341</v>
      </c>
      <c r="D7929" s="44">
        <v>-22923</v>
      </c>
      <c r="E7929" t="s">
        <v>35</v>
      </c>
      <c r="F7929" s="2">
        <v>212901001</v>
      </c>
      <c r="G7929" s="2" t="s">
        <v>91</v>
      </c>
      <c r="I7929" s="95" t="s">
        <v>7231</v>
      </c>
      <c r="J7929" t="s">
        <v>61</v>
      </c>
      <c r="K7929" t="s">
        <v>62</v>
      </c>
      <c r="M7929">
        <v>152.82</v>
      </c>
      <c r="N7929" s="4">
        <f t="shared" si="123"/>
        <v>-150</v>
      </c>
      <c r="O7929" t="s">
        <v>83</v>
      </c>
      <c r="Q7929" s="92"/>
    </row>
    <row r="7930" spans="1:17" x14ac:dyDescent="0.25">
      <c r="A7930" s="22">
        <v>45905</v>
      </c>
      <c r="B7930" s="1">
        <v>417975515</v>
      </c>
      <c r="C7930" t="s">
        <v>6342</v>
      </c>
      <c r="D7930" s="44">
        <v>-15282</v>
      </c>
      <c r="E7930" t="s">
        <v>35</v>
      </c>
      <c r="F7930" s="2">
        <v>212901001</v>
      </c>
      <c r="G7930" s="2" t="s">
        <v>91</v>
      </c>
      <c r="I7930" s="95" t="s">
        <v>7231</v>
      </c>
      <c r="J7930" t="s">
        <v>61</v>
      </c>
      <c r="K7930" t="s">
        <v>62</v>
      </c>
      <c r="M7930">
        <v>152.82</v>
      </c>
      <c r="N7930" s="4">
        <f t="shared" si="123"/>
        <v>-100</v>
      </c>
      <c r="O7930" t="s">
        <v>83</v>
      </c>
      <c r="Q7930" s="92"/>
    </row>
    <row r="7931" spans="1:17" x14ac:dyDescent="0.25">
      <c r="A7931" s="22">
        <v>45905</v>
      </c>
      <c r="B7931" s="1">
        <v>417975514</v>
      </c>
      <c r="C7931" t="s">
        <v>6343</v>
      </c>
      <c r="D7931" s="44">
        <v>-12225.6</v>
      </c>
      <c r="E7931" t="s">
        <v>35</v>
      </c>
      <c r="F7931" s="2">
        <v>212901001</v>
      </c>
      <c r="G7931" s="2" t="s">
        <v>91</v>
      </c>
      <c r="I7931" s="95" t="s">
        <v>7231</v>
      </c>
      <c r="J7931" t="s">
        <v>61</v>
      </c>
      <c r="K7931" t="s">
        <v>62</v>
      </c>
      <c r="M7931">
        <v>152.82</v>
      </c>
      <c r="N7931" s="4">
        <f t="shared" si="123"/>
        <v>-80</v>
      </c>
      <c r="O7931" t="s">
        <v>83</v>
      </c>
      <c r="Q7931" s="92"/>
    </row>
    <row r="7932" spans="1:17" x14ac:dyDescent="0.25">
      <c r="A7932" s="22">
        <v>45905</v>
      </c>
      <c r="B7932" s="1">
        <v>517975517</v>
      </c>
      <c r="C7932" t="s">
        <v>6344</v>
      </c>
      <c r="D7932" s="44">
        <v>-9169.2000000000007</v>
      </c>
      <c r="E7932" t="s">
        <v>35</v>
      </c>
      <c r="F7932" s="2">
        <v>212901001</v>
      </c>
      <c r="G7932" s="2" t="s">
        <v>91</v>
      </c>
      <c r="I7932" s="95" t="s">
        <v>7231</v>
      </c>
      <c r="J7932" t="s">
        <v>61</v>
      </c>
      <c r="K7932" t="s">
        <v>62</v>
      </c>
      <c r="M7932">
        <v>152.82</v>
      </c>
      <c r="N7932" s="4">
        <f t="shared" si="123"/>
        <v>-60.000000000000007</v>
      </c>
      <c r="O7932" t="s">
        <v>83</v>
      </c>
      <c r="Q7932" s="92"/>
    </row>
    <row r="7933" spans="1:17" x14ac:dyDescent="0.25">
      <c r="A7933" s="22">
        <v>45905</v>
      </c>
      <c r="B7933" s="1">
        <v>417975516</v>
      </c>
      <c r="C7933" t="s">
        <v>6345</v>
      </c>
      <c r="D7933" s="44">
        <v>-10697.4</v>
      </c>
      <c r="E7933" t="s">
        <v>35</v>
      </c>
      <c r="F7933" s="2">
        <v>212901001</v>
      </c>
      <c r="G7933" s="2" t="s">
        <v>91</v>
      </c>
      <c r="I7933" s="95" t="s">
        <v>7231</v>
      </c>
      <c r="J7933" t="s">
        <v>61</v>
      </c>
      <c r="K7933" t="s">
        <v>62</v>
      </c>
      <c r="M7933">
        <v>152.82</v>
      </c>
      <c r="N7933" s="4">
        <f t="shared" si="123"/>
        <v>-70</v>
      </c>
      <c r="O7933" t="s">
        <v>83</v>
      </c>
      <c r="Q7933" s="92"/>
    </row>
    <row r="7934" spans="1:17" x14ac:dyDescent="0.25">
      <c r="A7934" s="22">
        <v>45905</v>
      </c>
      <c r="B7934" s="1">
        <v>517975519</v>
      </c>
      <c r="C7934" t="s">
        <v>6345</v>
      </c>
      <c r="D7934" s="44">
        <v>-7641</v>
      </c>
      <c r="E7934" t="s">
        <v>35</v>
      </c>
      <c r="F7934" s="2">
        <v>212901001</v>
      </c>
      <c r="G7934" s="2" t="s">
        <v>91</v>
      </c>
      <c r="I7934" s="95" t="s">
        <v>7231</v>
      </c>
      <c r="J7934" t="s">
        <v>61</v>
      </c>
      <c r="K7934" t="s">
        <v>62</v>
      </c>
      <c r="M7934">
        <v>152.82</v>
      </c>
      <c r="N7934" s="4">
        <f t="shared" si="123"/>
        <v>-50</v>
      </c>
      <c r="O7934" t="s">
        <v>83</v>
      </c>
      <c r="Q7934" s="92"/>
    </row>
    <row r="7935" spans="1:17" x14ac:dyDescent="0.25">
      <c r="A7935" s="22">
        <v>45905</v>
      </c>
      <c r="B7935" s="1">
        <v>517975522</v>
      </c>
      <c r="C7935" t="s">
        <v>6346</v>
      </c>
      <c r="D7935" s="44">
        <v>-7641</v>
      </c>
      <c r="E7935" t="s">
        <v>35</v>
      </c>
      <c r="F7935" s="2">
        <v>212901001</v>
      </c>
      <c r="G7935" s="2" t="s">
        <v>91</v>
      </c>
      <c r="I7935" s="95" t="s">
        <v>7231</v>
      </c>
      <c r="J7935" t="s">
        <v>61</v>
      </c>
      <c r="K7935" t="s">
        <v>62</v>
      </c>
      <c r="M7935">
        <v>152.82</v>
      </c>
      <c r="N7935" s="4">
        <f t="shared" si="123"/>
        <v>-50</v>
      </c>
      <c r="O7935" t="s">
        <v>83</v>
      </c>
      <c r="Q7935" s="92"/>
    </row>
    <row r="7936" spans="1:17" x14ac:dyDescent="0.25">
      <c r="A7936" s="22">
        <v>45905</v>
      </c>
      <c r="B7936" s="1">
        <v>517975521</v>
      </c>
      <c r="C7936" t="s">
        <v>6347</v>
      </c>
      <c r="D7936" s="44">
        <v>-7641</v>
      </c>
      <c r="E7936" t="s">
        <v>35</v>
      </c>
      <c r="F7936" s="2">
        <v>212901001</v>
      </c>
      <c r="G7936" s="2" t="s">
        <v>91</v>
      </c>
      <c r="I7936" s="95" t="s">
        <v>7231</v>
      </c>
      <c r="J7936" t="s">
        <v>61</v>
      </c>
      <c r="K7936" t="s">
        <v>62</v>
      </c>
      <c r="M7936">
        <v>152.82</v>
      </c>
      <c r="N7936" s="4">
        <f t="shared" si="123"/>
        <v>-50</v>
      </c>
      <c r="O7936" t="s">
        <v>83</v>
      </c>
      <c r="Q7936" s="92"/>
    </row>
    <row r="7937" spans="1:17" x14ac:dyDescent="0.25">
      <c r="A7937" s="22">
        <v>45905</v>
      </c>
      <c r="B7937" s="1">
        <v>517975525</v>
      </c>
      <c r="C7937" t="s">
        <v>6348</v>
      </c>
      <c r="D7937" s="44">
        <v>-6418.44</v>
      </c>
      <c r="E7937" t="s">
        <v>35</v>
      </c>
      <c r="F7937" s="2">
        <v>212901001</v>
      </c>
      <c r="G7937" s="2" t="s">
        <v>91</v>
      </c>
      <c r="I7937" s="95" t="s">
        <v>7231</v>
      </c>
      <c r="J7937" t="s">
        <v>61</v>
      </c>
      <c r="K7937" t="s">
        <v>62</v>
      </c>
      <c r="M7937">
        <v>152.82</v>
      </c>
      <c r="N7937" s="4">
        <f t="shared" si="123"/>
        <v>-42</v>
      </c>
      <c r="O7937" t="s">
        <v>83</v>
      </c>
      <c r="Q7937" s="92"/>
    </row>
    <row r="7938" spans="1:17" x14ac:dyDescent="0.25">
      <c r="A7938" s="22">
        <v>45905</v>
      </c>
      <c r="B7938" s="1">
        <v>517975524</v>
      </c>
      <c r="C7938" t="s">
        <v>6349</v>
      </c>
      <c r="D7938" s="44">
        <v>-7641</v>
      </c>
      <c r="E7938" t="s">
        <v>35</v>
      </c>
      <c r="F7938" s="2">
        <v>212901001</v>
      </c>
      <c r="G7938" s="2" t="s">
        <v>91</v>
      </c>
      <c r="I7938" s="95" t="s">
        <v>7231</v>
      </c>
      <c r="J7938" t="s">
        <v>61</v>
      </c>
      <c r="K7938" t="s">
        <v>62</v>
      </c>
      <c r="M7938">
        <v>152.82</v>
      </c>
      <c r="N7938" s="4">
        <f t="shared" si="123"/>
        <v>-50</v>
      </c>
      <c r="O7938" t="s">
        <v>83</v>
      </c>
      <c r="Q7938" s="92"/>
    </row>
    <row r="7939" spans="1:17" x14ac:dyDescent="0.25">
      <c r="A7939" s="22">
        <v>45905</v>
      </c>
      <c r="B7939" s="1">
        <v>517975520</v>
      </c>
      <c r="C7939" t="s">
        <v>6348</v>
      </c>
      <c r="D7939" s="44">
        <v>-10697.4</v>
      </c>
      <c r="E7939" t="s">
        <v>35</v>
      </c>
      <c r="F7939" s="2">
        <v>212901001</v>
      </c>
      <c r="G7939" s="2" t="s">
        <v>91</v>
      </c>
      <c r="I7939" s="95" t="s">
        <v>7231</v>
      </c>
      <c r="J7939" t="s">
        <v>61</v>
      </c>
      <c r="K7939" t="s">
        <v>62</v>
      </c>
      <c r="M7939">
        <v>152.82</v>
      </c>
      <c r="N7939" s="4">
        <f t="shared" si="123"/>
        <v>-70</v>
      </c>
      <c r="O7939" t="s">
        <v>83</v>
      </c>
      <c r="Q7939" s="92"/>
    </row>
    <row r="7940" spans="1:17" x14ac:dyDescent="0.25">
      <c r="A7940" s="22">
        <v>45905</v>
      </c>
      <c r="B7940" s="1">
        <v>617975526</v>
      </c>
      <c r="C7940" t="s">
        <v>6350</v>
      </c>
      <c r="D7940" s="44">
        <v>-7641</v>
      </c>
      <c r="E7940" t="s">
        <v>35</v>
      </c>
      <c r="F7940" s="2">
        <v>212901001</v>
      </c>
      <c r="G7940" s="2" t="s">
        <v>91</v>
      </c>
      <c r="I7940" s="95" t="s">
        <v>7231</v>
      </c>
      <c r="J7940" t="s">
        <v>61</v>
      </c>
      <c r="K7940" t="s">
        <v>62</v>
      </c>
      <c r="M7940">
        <v>152.82</v>
      </c>
      <c r="N7940" s="4">
        <f t="shared" si="123"/>
        <v>-50</v>
      </c>
      <c r="O7940" t="s">
        <v>83</v>
      </c>
      <c r="Q7940" s="92"/>
    </row>
    <row r="7941" spans="1:17" x14ac:dyDescent="0.25">
      <c r="A7941" s="22">
        <v>45905</v>
      </c>
      <c r="B7941" s="1">
        <v>517975523</v>
      </c>
      <c r="C7941" t="s">
        <v>6351</v>
      </c>
      <c r="D7941" s="44">
        <v>-7641</v>
      </c>
      <c r="E7941" t="s">
        <v>35</v>
      </c>
      <c r="F7941" s="2">
        <v>212901001</v>
      </c>
      <c r="G7941" s="2" t="s">
        <v>91</v>
      </c>
      <c r="I7941" s="95" t="s">
        <v>7231</v>
      </c>
      <c r="J7941" t="s">
        <v>61</v>
      </c>
      <c r="K7941" t="s">
        <v>62</v>
      </c>
      <c r="M7941">
        <v>152.82</v>
      </c>
      <c r="N7941" s="4">
        <f t="shared" si="123"/>
        <v>-50</v>
      </c>
      <c r="O7941" t="s">
        <v>83</v>
      </c>
      <c r="Q7941" s="92"/>
    </row>
    <row r="7942" spans="1:17" x14ac:dyDescent="0.25">
      <c r="A7942" s="22">
        <v>45905</v>
      </c>
      <c r="B7942" s="1">
        <v>617975528</v>
      </c>
      <c r="C7942" t="s">
        <v>6352</v>
      </c>
      <c r="D7942" s="44">
        <v>-7641</v>
      </c>
      <c r="E7942" t="s">
        <v>35</v>
      </c>
      <c r="F7942" s="2">
        <v>212901001</v>
      </c>
      <c r="G7942" s="2" t="s">
        <v>91</v>
      </c>
      <c r="I7942" s="95" t="s">
        <v>7231</v>
      </c>
      <c r="J7942" t="s">
        <v>61</v>
      </c>
      <c r="K7942" t="s">
        <v>62</v>
      </c>
      <c r="M7942">
        <v>152.82</v>
      </c>
      <c r="N7942" s="4">
        <f t="shared" si="123"/>
        <v>-50</v>
      </c>
      <c r="O7942" t="s">
        <v>83</v>
      </c>
      <c r="Q7942" s="92"/>
    </row>
    <row r="7943" spans="1:17" x14ac:dyDescent="0.25">
      <c r="A7943" s="22">
        <v>45905</v>
      </c>
      <c r="B7943" s="1">
        <v>617975530</v>
      </c>
      <c r="C7943" t="s">
        <v>6353</v>
      </c>
      <c r="D7943" s="44">
        <v>-7641</v>
      </c>
      <c r="E7943" t="s">
        <v>35</v>
      </c>
      <c r="F7943" s="2">
        <v>212901001</v>
      </c>
      <c r="G7943" s="2" t="s">
        <v>91</v>
      </c>
      <c r="I7943" s="95" t="s">
        <v>7231</v>
      </c>
      <c r="J7943" t="s">
        <v>61</v>
      </c>
      <c r="K7943" t="s">
        <v>62</v>
      </c>
      <c r="M7943">
        <v>152.82</v>
      </c>
      <c r="N7943" s="4">
        <f t="shared" si="123"/>
        <v>-50</v>
      </c>
      <c r="O7943" t="s">
        <v>83</v>
      </c>
      <c r="Q7943" s="92"/>
    </row>
    <row r="7944" spans="1:17" x14ac:dyDescent="0.25">
      <c r="A7944" s="22">
        <v>45905</v>
      </c>
      <c r="B7944" s="1">
        <v>617975529</v>
      </c>
      <c r="C7944" t="s">
        <v>6354</v>
      </c>
      <c r="D7944" s="44">
        <v>-7641</v>
      </c>
      <c r="E7944" t="s">
        <v>35</v>
      </c>
      <c r="F7944" s="2">
        <v>212901001</v>
      </c>
      <c r="G7944" s="2" t="s">
        <v>91</v>
      </c>
      <c r="I7944" s="95" t="s">
        <v>7231</v>
      </c>
      <c r="J7944" t="s">
        <v>61</v>
      </c>
      <c r="K7944" t="s">
        <v>62</v>
      </c>
      <c r="M7944">
        <v>152.82</v>
      </c>
      <c r="N7944" s="4">
        <f t="shared" si="123"/>
        <v>-50</v>
      </c>
      <c r="O7944" t="s">
        <v>83</v>
      </c>
      <c r="Q7944" s="92"/>
    </row>
    <row r="7945" spans="1:17" x14ac:dyDescent="0.25">
      <c r="A7945" s="22">
        <v>45905</v>
      </c>
      <c r="B7945" s="1">
        <v>617975532</v>
      </c>
      <c r="C7945" t="s">
        <v>6355</v>
      </c>
      <c r="D7945" s="44">
        <v>-7641</v>
      </c>
      <c r="E7945" t="s">
        <v>35</v>
      </c>
      <c r="F7945" s="2">
        <v>212901001</v>
      </c>
      <c r="G7945" s="2" t="s">
        <v>91</v>
      </c>
      <c r="I7945" s="95" t="s">
        <v>7231</v>
      </c>
      <c r="J7945" t="s">
        <v>61</v>
      </c>
      <c r="K7945" t="s">
        <v>62</v>
      </c>
      <c r="M7945">
        <v>152.82</v>
      </c>
      <c r="N7945" s="4">
        <f t="shared" si="123"/>
        <v>-50</v>
      </c>
      <c r="O7945" t="s">
        <v>83</v>
      </c>
      <c r="Q7945" s="92"/>
    </row>
    <row r="7946" spans="1:17" x14ac:dyDescent="0.25">
      <c r="A7946" s="22">
        <v>45905</v>
      </c>
      <c r="B7946" s="1">
        <v>617975533</v>
      </c>
      <c r="C7946" t="s">
        <v>6356</v>
      </c>
      <c r="D7946" s="44">
        <v>-7641</v>
      </c>
      <c r="E7946" t="s">
        <v>35</v>
      </c>
      <c r="F7946" s="2">
        <v>212901001</v>
      </c>
      <c r="G7946" s="2" t="s">
        <v>91</v>
      </c>
      <c r="I7946" s="95" t="s">
        <v>7231</v>
      </c>
      <c r="J7946" t="s">
        <v>61</v>
      </c>
      <c r="K7946" t="s">
        <v>62</v>
      </c>
      <c r="M7946">
        <v>152.82</v>
      </c>
      <c r="N7946" s="4">
        <f t="shared" si="123"/>
        <v>-50</v>
      </c>
      <c r="O7946" t="s">
        <v>83</v>
      </c>
      <c r="Q7946" s="92"/>
    </row>
    <row r="7947" spans="1:17" x14ac:dyDescent="0.25">
      <c r="A7947" s="22">
        <v>45905</v>
      </c>
      <c r="B7947" s="1">
        <v>617975534</v>
      </c>
      <c r="C7947" t="s">
        <v>6357</v>
      </c>
      <c r="D7947" s="44">
        <v>-7641</v>
      </c>
      <c r="E7947" t="s">
        <v>35</v>
      </c>
      <c r="F7947" s="2">
        <v>212901001</v>
      </c>
      <c r="G7947" s="2" t="s">
        <v>91</v>
      </c>
      <c r="I7947" s="95" t="s">
        <v>7231</v>
      </c>
      <c r="J7947" t="s">
        <v>61</v>
      </c>
      <c r="K7947" t="s">
        <v>62</v>
      </c>
      <c r="M7947">
        <v>152.82</v>
      </c>
      <c r="N7947" s="4">
        <f t="shared" si="123"/>
        <v>-50</v>
      </c>
      <c r="O7947" t="s">
        <v>83</v>
      </c>
      <c r="Q7947" s="92"/>
    </row>
    <row r="7948" spans="1:17" x14ac:dyDescent="0.25">
      <c r="A7948" s="22">
        <v>45905</v>
      </c>
      <c r="B7948" s="1">
        <v>617975535</v>
      </c>
      <c r="C7948" t="s">
        <v>6358</v>
      </c>
      <c r="D7948" s="44">
        <v>-7641</v>
      </c>
      <c r="E7948" t="s">
        <v>35</v>
      </c>
      <c r="F7948" s="2">
        <v>212901001</v>
      </c>
      <c r="G7948" s="2" t="s">
        <v>91</v>
      </c>
      <c r="I7948" s="95" t="s">
        <v>7231</v>
      </c>
      <c r="J7948" t="s">
        <v>61</v>
      </c>
      <c r="K7948" t="s">
        <v>62</v>
      </c>
      <c r="M7948">
        <v>152.82</v>
      </c>
      <c r="N7948" s="4">
        <f t="shared" ref="N7948:N8011" si="124">D7948/M7948</f>
        <v>-50</v>
      </c>
      <c r="O7948" t="s">
        <v>83</v>
      </c>
      <c r="Q7948" s="92"/>
    </row>
    <row r="7949" spans="1:17" x14ac:dyDescent="0.25">
      <c r="A7949" s="22">
        <v>45905</v>
      </c>
      <c r="B7949" s="1">
        <v>717975538</v>
      </c>
      <c r="C7949" t="s">
        <v>6359</v>
      </c>
      <c r="D7949" s="44">
        <v>-3056.4</v>
      </c>
      <c r="E7949" t="s">
        <v>35</v>
      </c>
      <c r="F7949" s="2">
        <v>212901001</v>
      </c>
      <c r="G7949" s="2" t="s">
        <v>91</v>
      </c>
      <c r="I7949" s="95" t="s">
        <v>7231</v>
      </c>
      <c r="J7949" t="s">
        <v>61</v>
      </c>
      <c r="K7949" t="s">
        <v>62</v>
      </c>
      <c r="M7949">
        <v>152.82</v>
      </c>
      <c r="N7949" s="4">
        <f t="shared" si="124"/>
        <v>-20</v>
      </c>
      <c r="O7949" t="s">
        <v>83</v>
      </c>
      <c r="Q7949" s="92"/>
    </row>
    <row r="7950" spans="1:17" x14ac:dyDescent="0.25">
      <c r="A7950" s="22">
        <v>45905</v>
      </c>
      <c r="B7950" s="1">
        <v>617975536</v>
      </c>
      <c r="C7950" t="s">
        <v>6360</v>
      </c>
      <c r="D7950" s="44">
        <v>-3056.4</v>
      </c>
      <c r="E7950" t="s">
        <v>35</v>
      </c>
      <c r="F7950" s="2">
        <v>212901001</v>
      </c>
      <c r="G7950" s="2" t="s">
        <v>91</v>
      </c>
      <c r="I7950" s="95" t="s">
        <v>7231</v>
      </c>
      <c r="J7950" t="s">
        <v>61</v>
      </c>
      <c r="K7950" t="s">
        <v>62</v>
      </c>
      <c r="M7950">
        <v>152.82</v>
      </c>
      <c r="N7950" s="4">
        <f t="shared" si="124"/>
        <v>-20</v>
      </c>
      <c r="O7950" t="s">
        <v>83</v>
      </c>
      <c r="Q7950" s="92"/>
    </row>
    <row r="7951" spans="1:17" x14ac:dyDescent="0.25">
      <c r="A7951" s="22">
        <v>45905</v>
      </c>
      <c r="B7951" s="1">
        <v>717975537</v>
      </c>
      <c r="C7951" t="s">
        <v>6361</v>
      </c>
      <c r="D7951" s="44">
        <v>-3056.4</v>
      </c>
      <c r="E7951" t="s">
        <v>35</v>
      </c>
      <c r="F7951" s="2">
        <v>212901001</v>
      </c>
      <c r="G7951" s="2" t="s">
        <v>91</v>
      </c>
      <c r="I7951" s="95" t="s">
        <v>7231</v>
      </c>
      <c r="J7951" t="s">
        <v>61</v>
      </c>
      <c r="K7951" t="s">
        <v>62</v>
      </c>
      <c r="M7951">
        <v>152.82</v>
      </c>
      <c r="N7951" s="4">
        <f t="shared" si="124"/>
        <v>-20</v>
      </c>
      <c r="O7951" t="s">
        <v>83</v>
      </c>
      <c r="Q7951" s="92"/>
    </row>
    <row r="7952" spans="1:17" x14ac:dyDescent="0.25">
      <c r="A7952" s="22">
        <v>45905</v>
      </c>
      <c r="B7952" s="1">
        <v>717975540</v>
      </c>
      <c r="C7952" t="s">
        <v>6362</v>
      </c>
      <c r="D7952" s="44">
        <v>-15282</v>
      </c>
      <c r="E7952" t="s">
        <v>35</v>
      </c>
      <c r="F7952" s="2">
        <v>212901001</v>
      </c>
      <c r="G7952" s="2" t="s">
        <v>91</v>
      </c>
      <c r="I7952" s="95" t="s">
        <v>7231</v>
      </c>
      <c r="J7952" t="s">
        <v>61</v>
      </c>
      <c r="K7952" t="s">
        <v>62</v>
      </c>
      <c r="M7952">
        <v>152.82</v>
      </c>
      <c r="N7952" s="4">
        <f t="shared" si="124"/>
        <v>-100</v>
      </c>
      <c r="O7952" t="s">
        <v>83</v>
      </c>
      <c r="Q7952" s="92"/>
    </row>
    <row r="7953" spans="1:17" x14ac:dyDescent="0.25">
      <c r="A7953" s="22">
        <v>45905</v>
      </c>
      <c r="B7953" s="1">
        <v>717975539</v>
      </c>
      <c r="C7953" t="s">
        <v>6363</v>
      </c>
      <c r="D7953" s="44">
        <v>-3056.4</v>
      </c>
      <c r="E7953" t="s">
        <v>35</v>
      </c>
      <c r="F7953" s="2">
        <v>212901001</v>
      </c>
      <c r="G7953" s="2" t="s">
        <v>91</v>
      </c>
      <c r="I7953" s="95" t="s">
        <v>7231</v>
      </c>
      <c r="J7953" t="s">
        <v>61</v>
      </c>
      <c r="K7953" t="s">
        <v>62</v>
      </c>
      <c r="M7953">
        <v>152.82</v>
      </c>
      <c r="N7953" s="4">
        <f t="shared" si="124"/>
        <v>-20</v>
      </c>
      <c r="O7953" t="s">
        <v>83</v>
      </c>
      <c r="Q7953" s="92"/>
    </row>
    <row r="7954" spans="1:17" x14ac:dyDescent="0.25">
      <c r="A7954" s="22">
        <v>45905</v>
      </c>
      <c r="B7954" s="1">
        <v>717975543</v>
      </c>
      <c r="C7954" t="s">
        <v>6364</v>
      </c>
      <c r="D7954" s="44">
        <v>-4584.6000000000004</v>
      </c>
      <c r="E7954" t="s">
        <v>35</v>
      </c>
      <c r="F7954" s="2">
        <v>212901001</v>
      </c>
      <c r="G7954" s="2" t="s">
        <v>91</v>
      </c>
      <c r="I7954" s="95" t="s">
        <v>7231</v>
      </c>
      <c r="J7954" t="s">
        <v>61</v>
      </c>
      <c r="K7954" t="s">
        <v>62</v>
      </c>
      <c r="M7954">
        <v>152.82</v>
      </c>
      <c r="N7954" s="4">
        <f t="shared" si="124"/>
        <v>-30.000000000000004</v>
      </c>
      <c r="O7954" t="s">
        <v>83</v>
      </c>
      <c r="Q7954" s="92"/>
    </row>
    <row r="7955" spans="1:17" x14ac:dyDescent="0.25">
      <c r="A7955" s="22">
        <v>45905</v>
      </c>
      <c r="B7955" s="1">
        <v>717975542</v>
      </c>
      <c r="C7955" t="s">
        <v>6365</v>
      </c>
      <c r="D7955" s="44">
        <v>-21853.26</v>
      </c>
      <c r="E7955" t="s">
        <v>35</v>
      </c>
      <c r="F7955" s="2">
        <v>212901001</v>
      </c>
      <c r="G7955" s="2" t="s">
        <v>91</v>
      </c>
      <c r="I7955" s="95" t="s">
        <v>7231</v>
      </c>
      <c r="J7955" t="s">
        <v>61</v>
      </c>
      <c r="K7955" t="s">
        <v>62</v>
      </c>
      <c r="M7955">
        <v>152.82</v>
      </c>
      <c r="N7955" s="4">
        <f t="shared" si="124"/>
        <v>-143</v>
      </c>
      <c r="O7955" t="s">
        <v>83</v>
      </c>
      <c r="Q7955" s="92"/>
    </row>
    <row r="7956" spans="1:17" x14ac:dyDescent="0.25">
      <c r="A7956" s="22">
        <v>45905</v>
      </c>
      <c r="B7956" s="1">
        <v>717975544</v>
      </c>
      <c r="C7956" t="s">
        <v>6366</v>
      </c>
      <c r="D7956" s="44">
        <v>-6112.8</v>
      </c>
      <c r="E7956" t="s">
        <v>35</v>
      </c>
      <c r="F7956" s="2">
        <v>212901001</v>
      </c>
      <c r="G7956" s="2" t="s">
        <v>91</v>
      </c>
      <c r="I7956" s="95" t="s">
        <v>7231</v>
      </c>
      <c r="J7956" t="s">
        <v>61</v>
      </c>
      <c r="K7956" t="s">
        <v>62</v>
      </c>
      <c r="M7956">
        <v>152.82</v>
      </c>
      <c r="N7956" s="4">
        <f t="shared" si="124"/>
        <v>-40</v>
      </c>
      <c r="O7956" t="s">
        <v>83</v>
      </c>
      <c r="Q7956" s="92"/>
    </row>
    <row r="7957" spans="1:17" x14ac:dyDescent="0.25">
      <c r="A7957" s="22">
        <v>45905</v>
      </c>
      <c r="B7957" s="1">
        <v>717975541</v>
      </c>
      <c r="C7957" t="s">
        <v>6367</v>
      </c>
      <c r="D7957" s="44">
        <v>-30564</v>
      </c>
      <c r="E7957" t="s">
        <v>35</v>
      </c>
      <c r="F7957" s="2">
        <v>212901001</v>
      </c>
      <c r="G7957" s="2" t="s">
        <v>91</v>
      </c>
      <c r="I7957" s="95" t="s">
        <v>7231</v>
      </c>
      <c r="J7957" t="s">
        <v>61</v>
      </c>
      <c r="K7957" t="s">
        <v>62</v>
      </c>
      <c r="M7957">
        <v>152.82</v>
      </c>
      <c r="N7957" s="4">
        <f t="shared" si="124"/>
        <v>-200</v>
      </c>
      <c r="O7957" t="s">
        <v>83</v>
      </c>
      <c r="Q7957" s="92"/>
    </row>
    <row r="7958" spans="1:17" x14ac:dyDescent="0.25">
      <c r="A7958" s="22">
        <v>45905</v>
      </c>
      <c r="B7958" s="1">
        <v>50986330</v>
      </c>
      <c r="C7958" t="s">
        <v>6368</v>
      </c>
      <c r="D7958" s="44">
        <v>-21394.799999999999</v>
      </c>
      <c r="E7958" t="s">
        <v>35</v>
      </c>
      <c r="F7958" s="2">
        <v>212901001</v>
      </c>
      <c r="G7958" s="2" t="s">
        <v>91</v>
      </c>
      <c r="I7958" s="95" t="s">
        <v>7231</v>
      </c>
      <c r="J7958" t="s">
        <v>61</v>
      </c>
      <c r="K7958" t="s">
        <v>62</v>
      </c>
      <c r="M7958">
        <v>152.82</v>
      </c>
      <c r="N7958" s="4">
        <f t="shared" si="124"/>
        <v>-140</v>
      </c>
      <c r="O7958" t="s">
        <v>83</v>
      </c>
      <c r="Q7958" s="92"/>
    </row>
    <row r="7959" spans="1:17" x14ac:dyDescent="0.25">
      <c r="A7959" s="22">
        <v>45905</v>
      </c>
      <c r="B7959" s="1">
        <v>50986330</v>
      </c>
      <c r="C7959" t="s">
        <v>179</v>
      </c>
      <c r="D7959" s="44">
        <v>-32.090000000000003</v>
      </c>
      <c r="E7959" t="s">
        <v>35</v>
      </c>
      <c r="F7959" s="2">
        <v>610148001</v>
      </c>
      <c r="G7959" s="2" t="s">
        <v>41</v>
      </c>
      <c r="I7959" s="95" t="s">
        <v>7231</v>
      </c>
      <c r="J7959" t="s">
        <v>42</v>
      </c>
      <c r="K7959" t="s">
        <v>41</v>
      </c>
      <c r="M7959">
        <v>152.82</v>
      </c>
      <c r="N7959" s="4">
        <f t="shared" si="124"/>
        <v>-0.20998560397853688</v>
      </c>
      <c r="O7959" t="s">
        <v>83</v>
      </c>
      <c r="Q7959" s="91" t="s">
        <v>6298</v>
      </c>
    </row>
    <row r="7960" spans="1:17" x14ac:dyDescent="0.25">
      <c r="A7960" s="22">
        <v>45905</v>
      </c>
      <c r="B7960" s="1">
        <v>50986330</v>
      </c>
      <c r="C7960" t="s">
        <v>89</v>
      </c>
      <c r="D7960" s="44">
        <v>-1683.69</v>
      </c>
      <c r="E7960" t="s">
        <v>35</v>
      </c>
      <c r="F7960" s="2">
        <v>610148001</v>
      </c>
      <c r="G7960" s="2" t="s">
        <v>41</v>
      </c>
      <c r="I7960" s="95" t="s">
        <v>7231</v>
      </c>
      <c r="J7960" t="s">
        <v>42</v>
      </c>
      <c r="K7960" t="s">
        <v>41</v>
      </c>
      <c r="M7960">
        <v>152.82</v>
      </c>
      <c r="N7960" s="4">
        <f t="shared" si="124"/>
        <v>-11.01747153513938</v>
      </c>
      <c r="O7960" t="s">
        <v>83</v>
      </c>
      <c r="Q7960" s="91" t="s">
        <v>6298</v>
      </c>
    </row>
    <row r="7961" spans="1:17" x14ac:dyDescent="0.25">
      <c r="A7961" s="22">
        <v>45905</v>
      </c>
      <c r="B7961" s="1">
        <v>143052060</v>
      </c>
      <c r="C7961" t="s">
        <v>82</v>
      </c>
      <c r="D7961" s="44">
        <v>75000</v>
      </c>
      <c r="E7961" t="s">
        <v>45</v>
      </c>
      <c r="F7961" s="2">
        <v>210115002</v>
      </c>
      <c r="G7961" s="2" t="s">
        <v>5259</v>
      </c>
      <c r="I7961" s="95" t="s">
        <v>7231</v>
      </c>
      <c r="K7961" t="s">
        <v>82</v>
      </c>
      <c r="M7961">
        <v>152.82</v>
      </c>
      <c r="N7961" s="4">
        <f t="shared" si="124"/>
        <v>490.77345897133887</v>
      </c>
      <c r="O7961" t="s">
        <v>83</v>
      </c>
      <c r="Q7961" s="92"/>
    </row>
    <row r="7962" spans="1:17" x14ac:dyDescent="0.25">
      <c r="A7962" s="22">
        <v>45905</v>
      </c>
      <c r="C7962" t="s">
        <v>3739</v>
      </c>
      <c r="D7962" s="44">
        <v>-126.28</v>
      </c>
      <c r="E7962" t="s">
        <v>35</v>
      </c>
      <c r="F7962" s="2">
        <v>610148001</v>
      </c>
      <c r="G7962" s="2" t="s">
        <v>41</v>
      </c>
      <c r="I7962" s="95" t="s">
        <v>7231</v>
      </c>
      <c r="J7962" t="s">
        <v>42</v>
      </c>
      <c r="K7962" t="s">
        <v>41</v>
      </c>
      <c r="M7962">
        <v>152.82</v>
      </c>
      <c r="N7962" s="4">
        <f t="shared" si="124"/>
        <v>-0.82633163198534232</v>
      </c>
      <c r="O7962" t="s">
        <v>83</v>
      </c>
      <c r="Q7962" s="91" t="s">
        <v>6298</v>
      </c>
    </row>
    <row r="7963" spans="1:17" x14ac:dyDescent="0.25">
      <c r="A7963" s="22">
        <v>45905</v>
      </c>
      <c r="B7963" s="1">
        <v>313585</v>
      </c>
      <c r="C7963" t="s">
        <v>6369</v>
      </c>
      <c r="D7963" s="44">
        <v>-74129.58</v>
      </c>
      <c r="E7963" t="s">
        <v>35</v>
      </c>
      <c r="F7963" s="2">
        <v>213401001</v>
      </c>
      <c r="G7963" s="2" t="s">
        <v>94</v>
      </c>
      <c r="I7963" s="95" t="s">
        <v>7231</v>
      </c>
      <c r="J7963" t="s">
        <v>95</v>
      </c>
      <c r="K7963" t="s">
        <v>96</v>
      </c>
      <c r="M7963">
        <v>152.82</v>
      </c>
      <c r="N7963" s="4">
        <f t="shared" si="124"/>
        <v>-485.0777385159011</v>
      </c>
      <c r="O7963" t="s">
        <v>83</v>
      </c>
      <c r="Q7963" s="93" t="s">
        <v>6370</v>
      </c>
    </row>
    <row r="7964" spans="1:17" x14ac:dyDescent="0.25">
      <c r="A7964" s="22">
        <v>45908</v>
      </c>
      <c r="B7964" s="1">
        <v>143527219</v>
      </c>
      <c r="C7964" t="s">
        <v>82</v>
      </c>
      <c r="D7964" s="44">
        <v>1000</v>
      </c>
      <c r="E7964" t="s">
        <v>45</v>
      </c>
      <c r="F7964" s="2">
        <v>210115002</v>
      </c>
      <c r="G7964" s="2" t="s">
        <v>5259</v>
      </c>
      <c r="I7964" s="95" t="s">
        <v>7231</v>
      </c>
      <c r="K7964" t="s">
        <v>82</v>
      </c>
      <c r="M7964">
        <v>154.01</v>
      </c>
      <c r="N7964" s="4">
        <f t="shared" si="124"/>
        <v>6.4930848646191812</v>
      </c>
      <c r="O7964" t="s">
        <v>83</v>
      </c>
      <c r="Q7964" s="92"/>
    </row>
    <row r="7965" spans="1:17" x14ac:dyDescent="0.25">
      <c r="A7965" s="22">
        <v>45908</v>
      </c>
      <c r="B7965" s="1">
        <v>818156631</v>
      </c>
      <c r="C7965" t="s">
        <v>6371</v>
      </c>
      <c r="D7965" s="44">
        <v>-518.30999999999995</v>
      </c>
      <c r="E7965" t="s">
        <v>35</v>
      </c>
      <c r="F7965" s="2">
        <v>210101001</v>
      </c>
      <c r="G7965" s="2" t="s">
        <v>36</v>
      </c>
      <c r="I7965" s="95" t="s">
        <v>7231</v>
      </c>
      <c r="J7965" t="s">
        <v>599</v>
      </c>
      <c r="K7965" t="s">
        <v>600</v>
      </c>
      <c r="M7965">
        <v>154.01</v>
      </c>
      <c r="N7965" s="4">
        <f t="shared" si="124"/>
        <v>-3.3654308161807673</v>
      </c>
      <c r="O7965" t="s">
        <v>83</v>
      </c>
      <c r="Q7965" s="92"/>
    </row>
    <row r="7966" spans="1:17" x14ac:dyDescent="0.25">
      <c r="A7966" s="22">
        <v>45908</v>
      </c>
      <c r="B7966" s="1">
        <v>818156633</v>
      </c>
      <c r="C7966" t="s">
        <v>6372</v>
      </c>
      <c r="D7966" s="44">
        <v>-6055.2</v>
      </c>
      <c r="E7966" t="s">
        <v>35</v>
      </c>
      <c r="F7966" s="2">
        <v>210101001</v>
      </c>
      <c r="G7966" s="2" t="s">
        <v>36</v>
      </c>
      <c r="I7966" s="95" t="s">
        <v>7231</v>
      </c>
      <c r="J7966" t="s">
        <v>182</v>
      </c>
      <c r="K7966" t="s">
        <v>183</v>
      </c>
      <c r="M7966">
        <v>154.01</v>
      </c>
      <c r="N7966" s="4">
        <f t="shared" si="124"/>
        <v>-39.316927472242064</v>
      </c>
      <c r="O7966" t="s">
        <v>83</v>
      </c>
      <c r="Q7966" s="92"/>
    </row>
    <row r="7967" spans="1:17" x14ac:dyDescent="0.25">
      <c r="A7967" s="22">
        <v>45908</v>
      </c>
      <c r="B7967" s="1">
        <v>50995271</v>
      </c>
      <c r="C7967" t="s">
        <v>89</v>
      </c>
      <c r="D7967" s="44">
        <v>-16.43</v>
      </c>
      <c r="E7967" t="s">
        <v>35</v>
      </c>
      <c r="F7967" s="2">
        <v>610148001</v>
      </c>
      <c r="G7967" s="2" t="s">
        <v>41</v>
      </c>
      <c r="I7967" s="95" t="s">
        <v>7231</v>
      </c>
      <c r="J7967" t="s">
        <v>42</v>
      </c>
      <c r="K7967" t="s">
        <v>41</v>
      </c>
      <c r="M7967">
        <v>154.01</v>
      </c>
      <c r="N7967" s="4">
        <f t="shared" si="124"/>
        <v>-0.10668138432569314</v>
      </c>
      <c r="O7967" t="s">
        <v>83</v>
      </c>
      <c r="Q7967" s="91" t="s">
        <v>6298</v>
      </c>
    </row>
    <row r="7968" spans="1:17" x14ac:dyDescent="0.25">
      <c r="A7968" s="22">
        <v>45909</v>
      </c>
      <c r="B7968" s="1">
        <v>93938994</v>
      </c>
      <c r="C7968" t="s">
        <v>82</v>
      </c>
      <c r="D7968" s="44">
        <v>50000</v>
      </c>
      <c r="E7968" t="s">
        <v>45</v>
      </c>
      <c r="F7968" s="2">
        <v>210115002</v>
      </c>
      <c r="G7968" s="2" t="s">
        <v>5259</v>
      </c>
      <c r="I7968" s="95" t="s">
        <v>7231</v>
      </c>
      <c r="K7968" t="s">
        <v>82</v>
      </c>
      <c r="M7968">
        <v>154.97999999999999</v>
      </c>
      <c r="N7968" s="4">
        <f t="shared" si="124"/>
        <v>322.62227384178607</v>
      </c>
      <c r="O7968" t="s">
        <v>83</v>
      </c>
      <c r="Q7968" s="92"/>
    </row>
    <row r="7969" spans="1:17" x14ac:dyDescent="0.25">
      <c r="A7969" s="22">
        <v>45909</v>
      </c>
      <c r="B7969" s="1">
        <v>802358757</v>
      </c>
      <c r="C7969" t="s">
        <v>6373</v>
      </c>
      <c r="D7969" s="44">
        <v>-47580.12</v>
      </c>
      <c r="E7969" t="s">
        <v>35</v>
      </c>
      <c r="F7969" s="2">
        <v>210101001</v>
      </c>
      <c r="G7969" s="2" t="s">
        <v>36</v>
      </c>
      <c r="I7969" s="95" t="s">
        <v>7231</v>
      </c>
      <c r="J7969" t="s">
        <v>376</v>
      </c>
      <c r="K7969" t="s">
        <v>377</v>
      </c>
      <c r="M7969">
        <v>154.97999999999999</v>
      </c>
      <c r="N7969" s="4">
        <f t="shared" si="124"/>
        <v>-307.00813008130086</v>
      </c>
      <c r="O7969" t="s">
        <v>83</v>
      </c>
      <c r="Q7969" s="92"/>
    </row>
    <row r="7970" spans="1:17" x14ac:dyDescent="0.25">
      <c r="A7970" s="22">
        <v>45909</v>
      </c>
      <c r="B7970" s="1">
        <v>802358757</v>
      </c>
      <c r="C7970" t="s">
        <v>185</v>
      </c>
      <c r="D7970" s="44">
        <v>-142.74</v>
      </c>
      <c r="E7970" t="s">
        <v>35</v>
      </c>
      <c r="F7970" s="2">
        <v>610148001</v>
      </c>
      <c r="G7970" s="2" t="s">
        <v>41</v>
      </c>
      <c r="I7970" s="95" t="s">
        <v>7231</v>
      </c>
      <c r="J7970" t="s">
        <v>42</v>
      </c>
      <c r="K7970" t="s">
        <v>41</v>
      </c>
      <c r="M7970">
        <v>154.97999999999999</v>
      </c>
      <c r="N7970" s="4">
        <f t="shared" si="124"/>
        <v>-0.92102206736353087</v>
      </c>
      <c r="O7970" t="s">
        <v>83</v>
      </c>
      <c r="Q7970" s="91" t="s">
        <v>6298</v>
      </c>
    </row>
    <row r="7971" spans="1:17" x14ac:dyDescent="0.25">
      <c r="A7971" s="22">
        <v>45909</v>
      </c>
      <c r="B7971" s="1">
        <v>765587587</v>
      </c>
      <c r="C7971" t="s">
        <v>293</v>
      </c>
      <c r="D7971" s="44">
        <v>40000</v>
      </c>
      <c r="E7971" t="s">
        <v>45</v>
      </c>
      <c r="F7971" s="2">
        <v>210115002</v>
      </c>
      <c r="G7971" s="2" t="s">
        <v>5259</v>
      </c>
      <c r="I7971" s="95" t="s">
        <v>7231</v>
      </c>
      <c r="K7971" t="s">
        <v>293</v>
      </c>
      <c r="M7971">
        <v>154.97999999999999</v>
      </c>
      <c r="N7971" s="4">
        <f t="shared" si="124"/>
        <v>258.09781907342887</v>
      </c>
      <c r="O7971" t="s">
        <v>83</v>
      </c>
      <c r="Q7971" s="92"/>
    </row>
    <row r="7972" spans="1:17" x14ac:dyDescent="0.25">
      <c r="A7972" s="22">
        <v>45909</v>
      </c>
      <c r="B7972" s="1">
        <v>118194135</v>
      </c>
      <c r="C7972" t="s">
        <v>6374</v>
      </c>
      <c r="D7972" s="44">
        <v>-3132</v>
      </c>
      <c r="E7972" t="s">
        <v>35</v>
      </c>
      <c r="F7972" s="2">
        <v>210101001</v>
      </c>
      <c r="G7972" s="2" t="s">
        <v>36</v>
      </c>
      <c r="I7972" s="95" t="s">
        <v>7231</v>
      </c>
      <c r="J7972" t="s">
        <v>182</v>
      </c>
      <c r="K7972" t="s">
        <v>183</v>
      </c>
      <c r="M7972">
        <v>154.97999999999999</v>
      </c>
      <c r="N7972" s="4">
        <f t="shared" si="124"/>
        <v>-20.20905923344948</v>
      </c>
      <c r="O7972" t="s">
        <v>83</v>
      </c>
      <c r="Q7972" s="92"/>
    </row>
    <row r="7973" spans="1:17" x14ac:dyDescent="0.25">
      <c r="A7973" s="22">
        <v>45909</v>
      </c>
      <c r="B7973" s="1">
        <v>118194136</v>
      </c>
      <c r="C7973" t="s">
        <v>6375</v>
      </c>
      <c r="D7973" s="44">
        <v>-35154.61</v>
      </c>
      <c r="E7973" t="s">
        <v>35</v>
      </c>
      <c r="F7973" s="2">
        <v>210101001</v>
      </c>
      <c r="G7973" s="2" t="s">
        <v>36</v>
      </c>
      <c r="I7973" s="95" t="s">
        <v>7231</v>
      </c>
      <c r="J7973" t="s">
        <v>414</v>
      </c>
      <c r="K7973" t="s">
        <v>415</v>
      </c>
      <c r="M7973">
        <v>154.97999999999999</v>
      </c>
      <c r="N7973" s="4">
        <f t="shared" si="124"/>
        <v>-226.83320428442383</v>
      </c>
      <c r="O7973" t="s">
        <v>83</v>
      </c>
      <c r="Q7973" s="92"/>
    </row>
    <row r="7974" spans="1:17" x14ac:dyDescent="0.25">
      <c r="A7974" s="22">
        <v>45909</v>
      </c>
      <c r="B7974" s="1">
        <v>50926764</v>
      </c>
      <c r="C7974" t="s">
        <v>89</v>
      </c>
      <c r="D7974" s="44">
        <v>-95.71</v>
      </c>
      <c r="E7974" t="s">
        <v>35</v>
      </c>
      <c r="F7974" s="2">
        <v>610148001</v>
      </c>
      <c r="G7974" s="2" t="s">
        <v>41</v>
      </c>
      <c r="I7974" s="95" t="s">
        <v>7231</v>
      </c>
      <c r="J7974" t="s">
        <v>42</v>
      </c>
      <c r="K7974" t="s">
        <v>41</v>
      </c>
      <c r="M7974">
        <v>154.97999999999999</v>
      </c>
      <c r="N7974" s="4">
        <f t="shared" si="124"/>
        <v>-0.61756355658794682</v>
      </c>
      <c r="O7974" t="s">
        <v>83</v>
      </c>
      <c r="Q7974" s="91" t="s">
        <v>6298</v>
      </c>
    </row>
    <row r="7975" spans="1:17" x14ac:dyDescent="0.25">
      <c r="A7975" s="22">
        <v>45910</v>
      </c>
      <c r="B7975" s="1">
        <v>90810344</v>
      </c>
      <c r="C7975" t="s">
        <v>82</v>
      </c>
      <c r="D7975" s="44">
        <v>160000</v>
      </c>
      <c r="E7975" t="s">
        <v>45</v>
      </c>
      <c r="F7975" s="2">
        <v>210115002</v>
      </c>
      <c r="G7975" s="2" t="s">
        <v>5259</v>
      </c>
      <c r="I7975" s="95" t="s">
        <v>7231</v>
      </c>
      <c r="K7975" t="s">
        <v>82</v>
      </c>
      <c r="M7975">
        <v>156.37</v>
      </c>
      <c r="N7975" s="4">
        <f t="shared" si="124"/>
        <v>1023.2141715162754</v>
      </c>
      <c r="O7975" t="s">
        <v>83</v>
      </c>
      <c r="Q7975" s="92"/>
    </row>
    <row r="7976" spans="1:17" x14ac:dyDescent="0.25">
      <c r="A7976" s="22">
        <v>45910</v>
      </c>
      <c r="C7976" t="s">
        <v>3739</v>
      </c>
      <c r="D7976" s="44">
        <v>-154.01</v>
      </c>
      <c r="E7976" t="s">
        <v>35</v>
      </c>
      <c r="F7976" s="2">
        <v>610148001</v>
      </c>
      <c r="G7976" s="2" t="s">
        <v>41</v>
      </c>
      <c r="I7976" s="95" t="s">
        <v>7231</v>
      </c>
      <c r="J7976" t="s">
        <v>42</v>
      </c>
      <c r="K7976" t="s">
        <v>41</v>
      </c>
      <c r="M7976">
        <v>156.37</v>
      </c>
      <c r="N7976" s="4">
        <f t="shared" si="124"/>
        <v>-0.98490759097013481</v>
      </c>
      <c r="O7976" t="s">
        <v>83</v>
      </c>
      <c r="Q7976" s="91" t="s">
        <v>6298</v>
      </c>
    </row>
    <row r="7977" spans="1:17" x14ac:dyDescent="0.25">
      <c r="A7977" s="22">
        <v>45910</v>
      </c>
      <c r="B7977" s="1">
        <v>796076</v>
      </c>
      <c r="C7977" t="s">
        <v>6376</v>
      </c>
      <c r="D7977" s="44">
        <v>-160292.29999999999</v>
      </c>
      <c r="E7977" t="s">
        <v>35</v>
      </c>
      <c r="F7977" s="2">
        <v>210601001</v>
      </c>
      <c r="G7977" s="2" t="s">
        <v>272</v>
      </c>
      <c r="I7977" s="95" t="s">
        <v>7231</v>
      </c>
      <c r="J7977" t="s">
        <v>273</v>
      </c>
      <c r="K7977" t="s">
        <v>274</v>
      </c>
      <c r="M7977">
        <v>156.37</v>
      </c>
      <c r="N7977" s="4">
        <f t="shared" si="124"/>
        <v>-1025.0834559058642</v>
      </c>
      <c r="O7977" t="s">
        <v>83</v>
      </c>
      <c r="Q7977" s="93" t="s">
        <v>6377</v>
      </c>
    </row>
    <row r="7978" spans="1:17" x14ac:dyDescent="0.25">
      <c r="A7978" s="22">
        <v>45911</v>
      </c>
      <c r="B7978" s="1">
        <v>142645376</v>
      </c>
      <c r="C7978" t="s">
        <v>82</v>
      </c>
      <c r="D7978" s="44">
        <v>1670000</v>
      </c>
      <c r="E7978" t="s">
        <v>45</v>
      </c>
      <c r="F7978" s="2">
        <v>210115002</v>
      </c>
      <c r="G7978" s="2" t="s">
        <v>5259</v>
      </c>
      <c r="I7978" s="95" t="s">
        <v>7231</v>
      </c>
      <c r="K7978" t="s">
        <v>82</v>
      </c>
      <c r="M7978">
        <v>157.72999999999999</v>
      </c>
      <c r="N7978" s="4">
        <f t="shared" si="124"/>
        <v>10587.713180751918</v>
      </c>
      <c r="O7978" t="s">
        <v>83</v>
      </c>
      <c r="Q7978" s="92"/>
    </row>
    <row r="7979" spans="1:17" x14ac:dyDescent="0.25">
      <c r="A7979" s="22">
        <v>45912</v>
      </c>
      <c r="B7979" s="1">
        <v>99590875</v>
      </c>
      <c r="C7979" t="s">
        <v>6378</v>
      </c>
      <c r="D7979" s="44">
        <v>-1666196.63</v>
      </c>
      <c r="E7979" t="s">
        <v>35</v>
      </c>
      <c r="F7979" s="2">
        <v>110114001</v>
      </c>
      <c r="G7979" s="2" t="s">
        <v>181</v>
      </c>
      <c r="I7979" s="95" t="s">
        <v>7231</v>
      </c>
      <c r="J7979" t="s">
        <v>37</v>
      </c>
      <c r="K7979" t="s">
        <v>38</v>
      </c>
      <c r="M7979">
        <v>158.93</v>
      </c>
      <c r="N7979" s="4">
        <f t="shared" si="124"/>
        <v>-10483.839614924809</v>
      </c>
      <c r="O7979" t="s">
        <v>83</v>
      </c>
      <c r="Q7979" s="92"/>
    </row>
    <row r="7980" spans="1:17" x14ac:dyDescent="0.25">
      <c r="A7980" s="22">
        <v>45912</v>
      </c>
      <c r="B7980" s="1">
        <v>99590875</v>
      </c>
      <c r="C7980" t="s">
        <v>6379</v>
      </c>
      <c r="D7980" s="44">
        <v>-6664.78</v>
      </c>
      <c r="E7980" t="s">
        <v>35</v>
      </c>
      <c r="F7980" s="2">
        <v>610148001</v>
      </c>
      <c r="G7980" s="2" t="s">
        <v>41</v>
      </c>
      <c r="I7980" s="95" t="s">
        <v>7231</v>
      </c>
      <c r="J7980" t="s">
        <v>42</v>
      </c>
      <c r="K7980" t="s">
        <v>41</v>
      </c>
      <c r="M7980">
        <v>158.93</v>
      </c>
      <c r="N7980" s="4">
        <f t="shared" si="124"/>
        <v>-41.935317435348892</v>
      </c>
      <c r="O7980" t="s">
        <v>83</v>
      </c>
      <c r="Q7980" s="91" t="s">
        <v>6298</v>
      </c>
    </row>
    <row r="7981" spans="1:17" x14ac:dyDescent="0.25">
      <c r="A7981" s="22">
        <v>45912</v>
      </c>
      <c r="B7981" s="1">
        <v>99590875</v>
      </c>
      <c r="C7981" t="s">
        <v>6379</v>
      </c>
      <c r="D7981" s="44">
        <v>-26.3</v>
      </c>
      <c r="E7981" t="s">
        <v>35</v>
      </c>
      <c r="F7981" s="2">
        <v>610148001</v>
      </c>
      <c r="G7981" s="2" t="s">
        <v>41</v>
      </c>
      <c r="I7981" s="95" t="s">
        <v>7231</v>
      </c>
      <c r="J7981" t="s">
        <v>42</v>
      </c>
      <c r="K7981" t="s">
        <v>41</v>
      </c>
      <c r="M7981">
        <v>158.93</v>
      </c>
      <c r="N7981" s="4">
        <f t="shared" si="124"/>
        <v>-0.16548165859183289</v>
      </c>
      <c r="O7981" t="s">
        <v>83</v>
      </c>
      <c r="Q7981" s="91" t="s">
        <v>6298</v>
      </c>
    </row>
    <row r="7982" spans="1:17" x14ac:dyDescent="0.25">
      <c r="A7982" s="22">
        <v>45912</v>
      </c>
      <c r="B7982" s="1">
        <v>498864251</v>
      </c>
      <c r="C7982" t="s">
        <v>98</v>
      </c>
      <c r="D7982" s="44">
        <v>1000000</v>
      </c>
      <c r="E7982" t="s">
        <v>45</v>
      </c>
      <c r="F7982" s="2">
        <v>210115002</v>
      </c>
      <c r="G7982" s="2" t="s">
        <v>5259</v>
      </c>
      <c r="I7982" s="95" t="s">
        <v>7231</v>
      </c>
      <c r="K7982" t="s">
        <v>98</v>
      </c>
      <c r="M7982">
        <v>158.93</v>
      </c>
      <c r="N7982" s="4">
        <f t="shared" si="124"/>
        <v>6292.0782734537215</v>
      </c>
      <c r="O7982" t="s">
        <v>83</v>
      </c>
      <c r="Q7982" s="92"/>
    </row>
    <row r="7983" spans="1:17" x14ac:dyDescent="0.25">
      <c r="A7983" s="22">
        <v>45912</v>
      </c>
      <c r="B7983" s="1">
        <v>398865061</v>
      </c>
      <c r="C7983" t="s">
        <v>98</v>
      </c>
      <c r="D7983" s="44">
        <v>900000</v>
      </c>
      <c r="E7983" t="s">
        <v>45</v>
      </c>
      <c r="F7983" s="2">
        <v>210115002</v>
      </c>
      <c r="G7983" s="2" t="s">
        <v>5259</v>
      </c>
      <c r="I7983" s="95" t="s">
        <v>7231</v>
      </c>
      <c r="K7983" t="s">
        <v>98</v>
      </c>
      <c r="M7983">
        <v>158.93</v>
      </c>
      <c r="N7983" s="4">
        <f t="shared" si="124"/>
        <v>5662.8704461083489</v>
      </c>
      <c r="O7983" t="s">
        <v>83</v>
      </c>
      <c r="Q7983" s="92"/>
    </row>
    <row r="7984" spans="1:17" x14ac:dyDescent="0.25">
      <c r="A7984" s="22">
        <v>45912</v>
      </c>
      <c r="B7984" s="1">
        <v>118286651</v>
      </c>
      <c r="C7984" t="s">
        <v>6380</v>
      </c>
      <c r="D7984" s="44">
        <v>-2856.26</v>
      </c>
      <c r="E7984" t="s">
        <v>35</v>
      </c>
      <c r="F7984" s="2">
        <v>210101001</v>
      </c>
      <c r="G7984" s="2" t="s">
        <v>36</v>
      </c>
      <c r="I7984" s="95" t="s">
        <v>7231</v>
      </c>
      <c r="J7984" t="s">
        <v>502</v>
      </c>
      <c r="K7984" t="s">
        <v>503</v>
      </c>
      <c r="M7984">
        <v>158.93</v>
      </c>
      <c r="N7984" s="4">
        <f t="shared" si="124"/>
        <v>-17.971811489334929</v>
      </c>
      <c r="O7984" t="s">
        <v>83</v>
      </c>
      <c r="Q7984" s="92"/>
    </row>
    <row r="7985" spans="1:17" x14ac:dyDescent="0.25">
      <c r="A7985" s="22">
        <v>45912</v>
      </c>
      <c r="B7985" s="1">
        <v>218286653</v>
      </c>
      <c r="C7985" t="s">
        <v>6381</v>
      </c>
      <c r="D7985" s="44">
        <v>-113894.73</v>
      </c>
      <c r="E7985" t="s">
        <v>35</v>
      </c>
      <c r="F7985" s="2">
        <v>210101001</v>
      </c>
      <c r="G7985" s="2" t="s">
        <v>36</v>
      </c>
      <c r="I7985" s="95" t="s">
        <v>7231</v>
      </c>
      <c r="J7985" t="s">
        <v>37</v>
      </c>
      <c r="K7985" t="s">
        <v>38</v>
      </c>
      <c r="M7985">
        <v>158.93</v>
      </c>
      <c r="N7985" s="4">
        <f t="shared" si="124"/>
        <v>-716.63455609387779</v>
      </c>
      <c r="O7985" t="s">
        <v>83</v>
      </c>
      <c r="Q7985" s="92"/>
    </row>
    <row r="7986" spans="1:17" x14ac:dyDescent="0.25">
      <c r="A7986" s="22">
        <v>45912</v>
      </c>
      <c r="B7986" s="1">
        <v>218286654</v>
      </c>
      <c r="C7986" t="s">
        <v>6382</v>
      </c>
      <c r="D7986" s="44">
        <v>-25698.73</v>
      </c>
      <c r="E7986" t="s">
        <v>35</v>
      </c>
      <c r="F7986" s="2">
        <v>210101001</v>
      </c>
      <c r="G7986" s="2" t="s">
        <v>36</v>
      </c>
      <c r="I7986" s="95" t="s">
        <v>7231</v>
      </c>
      <c r="J7986" t="s">
        <v>37</v>
      </c>
      <c r="K7986" t="s">
        <v>38</v>
      </c>
      <c r="M7986">
        <v>158.93</v>
      </c>
      <c r="N7986" s="4">
        <f t="shared" si="124"/>
        <v>-161.69842068835337</v>
      </c>
      <c r="O7986" t="s">
        <v>83</v>
      </c>
      <c r="Q7986" s="92"/>
    </row>
    <row r="7987" spans="1:17" x14ac:dyDescent="0.25">
      <c r="A7987" s="22">
        <v>45912</v>
      </c>
      <c r="B7987" s="1">
        <v>118286652</v>
      </c>
      <c r="C7987" t="s">
        <v>6383</v>
      </c>
      <c r="D7987" s="44">
        <v>-3825</v>
      </c>
      <c r="E7987" t="s">
        <v>35</v>
      </c>
      <c r="F7987" s="2">
        <v>210101001</v>
      </c>
      <c r="G7987" s="2" t="s">
        <v>36</v>
      </c>
      <c r="I7987" s="95" t="s">
        <v>7231</v>
      </c>
      <c r="J7987" t="s">
        <v>86</v>
      </c>
      <c r="K7987" t="s">
        <v>87</v>
      </c>
      <c r="M7987">
        <v>158.93</v>
      </c>
      <c r="N7987" s="4">
        <f t="shared" si="124"/>
        <v>-24.067199395960486</v>
      </c>
      <c r="O7987" t="s">
        <v>83</v>
      </c>
      <c r="Q7987" s="92"/>
    </row>
    <row r="7988" spans="1:17" x14ac:dyDescent="0.25">
      <c r="A7988" s="22">
        <v>45912</v>
      </c>
      <c r="B7988" s="1">
        <v>218286655</v>
      </c>
      <c r="C7988" t="s">
        <v>3285</v>
      </c>
      <c r="D7988" s="44">
        <v>-6424.79</v>
      </c>
      <c r="E7988" t="s">
        <v>35</v>
      </c>
      <c r="F7988" s="2">
        <v>110101002</v>
      </c>
      <c r="G7988" s="2" t="s">
        <v>2771</v>
      </c>
      <c r="I7988" s="95" t="s">
        <v>7231</v>
      </c>
      <c r="K7988" t="s">
        <v>3285</v>
      </c>
      <c r="M7988">
        <v>158.93</v>
      </c>
      <c r="N7988" s="4">
        <f t="shared" si="124"/>
        <v>-40.425281570502733</v>
      </c>
      <c r="O7988" t="s">
        <v>83</v>
      </c>
      <c r="Q7988" s="92"/>
    </row>
    <row r="7989" spans="1:17" x14ac:dyDescent="0.25">
      <c r="A7989" s="33">
        <v>45912</v>
      </c>
      <c r="B7989" s="27">
        <v>218286656</v>
      </c>
      <c r="C7989" s="28" t="s">
        <v>52</v>
      </c>
      <c r="D7989" s="47">
        <v>-19071.599999999999</v>
      </c>
      <c r="E7989" s="28" t="s">
        <v>35</v>
      </c>
      <c r="F7989" s="30">
        <v>610129001</v>
      </c>
      <c r="G7989" s="30" t="s">
        <v>53</v>
      </c>
      <c r="H7989" s="30"/>
      <c r="I7989" s="95" t="s">
        <v>7231</v>
      </c>
      <c r="J7989" s="28" t="s">
        <v>54</v>
      </c>
      <c r="K7989" s="28" t="s">
        <v>55</v>
      </c>
      <c r="L7989" s="28" t="s">
        <v>56</v>
      </c>
      <c r="M7989" s="28">
        <v>158.93</v>
      </c>
      <c r="N7989" s="4">
        <f t="shared" si="124"/>
        <v>-119.99999999999999</v>
      </c>
      <c r="O7989" t="s">
        <v>83</v>
      </c>
      <c r="Q7989" s="93" t="s">
        <v>6384</v>
      </c>
    </row>
    <row r="7990" spans="1:17" x14ac:dyDescent="0.25">
      <c r="A7990" s="22">
        <v>45912</v>
      </c>
      <c r="B7990" s="1">
        <v>218286657</v>
      </c>
      <c r="C7990" t="s">
        <v>5981</v>
      </c>
      <c r="D7990" s="44">
        <v>-1000000</v>
      </c>
      <c r="E7990" t="s">
        <v>35</v>
      </c>
      <c r="F7990" s="2">
        <v>110114001</v>
      </c>
      <c r="G7990" s="2" t="s">
        <v>181</v>
      </c>
      <c r="I7990" s="95" t="s">
        <v>7231</v>
      </c>
      <c r="J7990" t="s">
        <v>37</v>
      </c>
      <c r="K7990" t="s">
        <v>38</v>
      </c>
      <c r="M7990">
        <v>158.93</v>
      </c>
      <c r="N7990" s="4">
        <f t="shared" si="124"/>
        <v>-6292.0782734537215</v>
      </c>
      <c r="O7990" t="s">
        <v>83</v>
      </c>
      <c r="Q7990" s="92"/>
    </row>
    <row r="7991" spans="1:17" x14ac:dyDescent="0.25">
      <c r="A7991" s="22">
        <v>45912</v>
      </c>
      <c r="B7991" s="1">
        <v>318286658</v>
      </c>
      <c r="C7991" t="s">
        <v>5981</v>
      </c>
      <c r="D7991" s="44">
        <v>-518731.93</v>
      </c>
      <c r="E7991" t="s">
        <v>35</v>
      </c>
      <c r="F7991" s="2">
        <v>110114001</v>
      </c>
      <c r="G7991" s="2" t="s">
        <v>181</v>
      </c>
      <c r="I7991" s="95" t="s">
        <v>7231</v>
      </c>
      <c r="J7991" t="s">
        <v>37</v>
      </c>
      <c r="K7991" t="s">
        <v>38</v>
      </c>
      <c r="M7991">
        <v>158.93</v>
      </c>
      <c r="N7991" s="4">
        <f t="shared" si="124"/>
        <v>-3263.9019064997165</v>
      </c>
      <c r="O7991" t="s">
        <v>83</v>
      </c>
      <c r="Q7991" s="92"/>
    </row>
    <row r="7992" spans="1:17" x14ac:dyDescent="0.25">
      <c r="A7992" s="22">
        <v>45912</v>
      </c>
      <c r="B7992" s="1">
        <v>318286659</v>
      </c>
      <c r="C7992" t="s">
        <v>6385</v>
      </c>
      <c r="D7992" s="44">
        <v>-8500</v>
      </c>
      <c r="E7992" t="s">
        <v>35</v>
      </c>
      <c r="F7992" s="2">
        <v>110114001</v>
      </c>
      <c r="G7992" s="2" t="s">
        <v>181</v>
      </c>
      <c r="I7992" s="95" t="s">
        <v>7231</v>
      </c>
      <c r="K7992" t="s">
        <v>1256</v>
      </c>
      <c r="M7992">
        <v>158.93</v>
      </c>
      <c r="N7992" s="4">
        <f t="shared" si="124"/>
        <v>-53.482665324356631</v>
      </c>
      <c r="O7992" t="s">
        <v>83</v>
      </c>
      <c r="Q7992" s="92"/>
    </row>
    <row r="7993" spans="1:17" x14ac:dyDescent="0.25">
      <c r="A7993" s="22">
        <v>45912</v>
      </c>
      <c r="B7993" s="1">
        <v>318286660</v>
      </c>
      <c r="C7993" t="s">
        <v>6386</v>
      </c>
      <c r="D7993" s="44">
        <v>-1589.3</v>
      </c>
      <c r="E7993" t="s">
        <v>35</v>
      </c>
      <c r="F7993" s="2">
        <v>212901001</v>
      </c>
      <c r="G7993" s="2" t="s">
        <v>91</v>
      </c>
      <c r="I7993" s="95" t="s">
        <v>7231</v>
      </c>
      <c r="J7993" t="s">
        <v>61</v>
      </c>
      <c r="K7993" t="s">
        <v>62</v>
      </c>
      <c r="M7993">
        <v>158.93</v>
      </c>
      <c r="N7993" s="4">
        <f t="shared" si="124"/>
        <v>-10</v>
      </c>
      <c r="O7993" t="s">
        <v>83</v>
      </c>
      <c r="Q7993" s="92"/>
    </row>
    <row r="7994" spans="1:17" x14ac:dyDescent="0.25">
      <c r="A7994" s="22">
        <v>45912</v>
      </c>
      <c r="B7994" s="1">
        <v>318286661</v>
      </c>
      <c r="C7994" t="s">
        <v>6387</v>
      </c>
      <c r="D7994" s="44">
        <v>-15893</v>
      </c>
      <c r="E7994" t="s">
        <v>35</v>
      </c>
      <c r="F7994" s="2">
        <v>212901001</v>
      </c>
      <c r="G7994" s="2" t="s">
        <v>91</v>
      </c>
      <c r="I7994" s="95" t="s">
        <v>7231</v>
      </c>
      <c r="J7994" t="s">
        <v>61</v>
      </c>
      <c r="K7994" t="s">
        <v>62</v>
      </c>
      <c r="M7994">
        <v>158.93</v>
      </c>
      <c r="N7994" s="4">
        <f t="shared" si="124"/>
        <v>-100</v>
      </c>
      <c r="O7994" t="s">
        <v>83</v>
      </c>
      <c r="Q7994" s="92"/>
    </row>
    <row r="7995" spans="1:17" x14ac:dyDescent="0.25">
      <c r="A7995" s="22">
        <v>45912</v>
      </c>
      <c r="B7995" s="1">
        <v>418286663</v>
      </c>
      <c r="C7995" t="s">
        <v>6388</v>
      </c>
      <c r="D7995" s="44">
        <v>-1589.3</v>
      </c>
      <c r="E7995" t="s">
        <v>35</v>
      </c>
      <c r="F7995" s="2">
        <v>212901001</v>
      </c>
      <c r="G7995" s="2" t="s">
        <v>91</v>
      </c>
      <c r="I7995" s="95" t="s">
        <v>7231</v>
      </c>
      <c r="J7995" t="s">
        <v>61</v>
      </c>
      <c r="K7995" t="s">
        <v>62</v>
      </c>
      <c r="M7995">
        <v>158.93</v>
      </c>
      <c r="N7995" s="4">
        <f t="shared" si="124"/>
        <v>-10</v>
      </c>
      <c r="O7995" t="s">
        <v>83</v>
      </c>
      <c r="Q7995" s="92"/>
    </row>
    <row r="7996" spans="1:17" x14ac:dyDescent="0.25">
      <c r="A7996" s="22">
        <v>45912</v>
      </c>
      <c r="B7996" s="1">
        <v>318286662</v>
      </c>
      <c r="C7996" t="s">
        <v>6389</v>
      </c>
      <c r="D7996" s="44">
        <v>-15893</v>
      </c>
      <c r="E7996" t="s">
        <v>35</v>
      </c>
      <c r="F7996" s="2">
        <v>212901001</v>
      </c>
      <c r="G7996" s="2" t="s">
        <v>91</v>
      </c>
      <c r="I7996" s="95" t="s">
        <v>7231</v>
      </c>
      <c r="J7996" t="s">
        <v>61</v>
      </c>
      <c r="K7996" t="s">
        <v>62</v>
      </c>
      <c r="M7996">
        <v>158.93</v>
      </c>
      <c r="N7996" s="4">
        <f t="shared" si="124"/>
        <v>-100</v>
      </c>
      <c r="O7996" t="s">
        <v>83</v>
      </c>
      <c r="Q7996" s="92"/>
    </row>
    <row r="7997" spans="1:17" x14ac:dyDescent="0.25">
      <c r="A7997" s="22">
        <v>45912</v>
      </c>
      <c r="B7997" s="1">
        <v>418286664</v>
      </c>
      <c r="C7997" t="s">
        <v>6390</v>
      </c>
      <c r="D7997" s="44">
        <v>-1589.3</v>
      </c>
      <c r="E7997" t="s">
        <v>35</v>
      </c>
      <c r="F7997" s="2">
        <v>212901001</v>
      </c>
      <c r="G7997" s="2" t="s">
        <v>91</v>
      </c>
      <c r="I7997" s="95" t="s">
        <v>7231</v>
      </c>
      <c r="J7997" t="s">
        <v>61</v>
      </c>
      <c r="K7997" t="s">
        <v>62</v>
      </c>
      <c r="M7997">
        <v>158.93</v>
      </c>
      <c r="N7997" s="4">
        <f t="shared" si="124"/>
        <v>-10</v>
      </c>
      <c r="O7997" t="s">
        <v>83</v>
      </c>
      <c r="Q7997" s="92"/>
    </row>
    <row r="7998" spans="1:17" x14ac:dyDescent="0.25">
      <c r="A7998" s="22">
        <v>45912</v>
      </c>
      <c r="B7998" s="1">
        <v>418286665</v>
      </c>
      <c r="C7998" t="s">
        <v>6391</v>
      </c>
      <c r="D7998" s="44">
        <v>-3178.6</v>
      </c>
      <c r="E7998" t="s">
        <v>35</v>
      </c>
      <c r="F7998" s="2">
        <v>212901001</v>
      </c>
      <c r="G7998" s="2" t="s">
        <v>91</v>
      </c>
      <c r="I7998" s="95" t="s">
        <v>7231</v>
      </c>
      <c r="J7998" t="s">
        <v>61</v>
      </c>
      <c r="K7998" t="s">
        <v>62</v>
      </c>
      <c r="M7998">
        <v>158.93</v>
      </c>
      <c r="N7998" s="4">
        <f t="shared" si="124"/>
        <v>-20</v>
      </c>
      <c r="O7998" t="s">
        <v>83</v>
      </c>
      <c r="Q7998" s="92"/>
    </row>
    <row r="7999" spans="1:17" x14ac:dyDescent="0.25">
      <c r="A7999" s="22">
        <v>45912</v>
      </c>
      <c r="B7999" s="1">
        <v>418286666</v>
      </c>
      <c r="C7999" t="s">
        <v>6392</v>
      </c>
      <c r="D7999" s="44">
        <v>-3178.6</v>
      </c>
      <c r="E7999" t="s">
        <v>35</v>
      </c>
      <c r="F7999" s="2">
        <v>212901001</v>
      </c>
      <c r="G7999" s="2" t="s">
        <v>91</v>
      </c>
      <c r="I7999" s="95" t="s">
        <v>7231</v>
      </c>
      <c r="J7999" t="s">
        <v>61</v>
      </c>
      <c r="K7999" t="s">
        <v>62</v>
      </c>
      <c r="M7999">
        <v>158.93</v>
      </c>
      <c r="N7999" s="4">
        <f t="shared" si="124"/>
        <v>-20</v>
      </c>
      <c r="O7999" t="s">
        <v>83</v>
      </c>
      <c r="Q7999" s="92"/>
    </row>
    <row r="8000" spans="1:17" x14ac:dyDescent="0.25">
      <c r="A8000" s="22">
        <v>45912</v>
      </c>
      <c r="B8000" s="1">
        <v>418286667</v>
      </c>
      <c r="C8000" t="s">
        <v>6393</v>
      </c>
      <c r="D8000" s="44">
        <v>-3178.6</v>
      </c>
      <c r="E8000" t="s">
        <v>35</v>
      </c>
      <c r="F8000" s="2">
        <v>212901001</v>
      </c>
      <c r="G8000" s="2" t="s">
        <v>91</v>
      </c>
      <c r="I8000" s="95" t="s">
        <v>7231</v>
      </c>
      <c r="J8000" t="s">
        <v>61</v>
      </c>
      <c r="K8000" t="s">
        <v>62</v>
      </c>
      <c r="M8000">
        <v>158.93</v>
      </c>
      <c r="N8000" s="4">
        <f t="shared" si="124"/>
        <v>-20</v>
      </c>
      <c r="O8000" t="s">
        <v>83</v>
      </c>
      <c r="Q8000" s="92"/>
    </row>
    <row r="8001" spans="1:20" x14ac:dyDescent="0.25">
      <c r="A8001" s="22">
        <v>45912</v>
      </c>
      <c r="B8001" s="1">
        <v>518286668</v>
      </c>
      <c r="C8001" t="s">
        <v>6394</v>
      </c>
      <c r="D8001" s="44">
        <v>-3178.6</v>
      </c>
      <c r="E8001" t="s">
        <v>35</v>
      </c>
      <c r="F8001" s="2">
        <v>212901001</v>
      </c>
      <c r="G8001" s="2" t="s">
        <v>91</v>
      </c>
      <c r="I8001" s="95" t="s">
        <v>7231</v>
      </c>
      <c r="J8001" t="s">
        <v>61</v>
      </c>
      <c r="K8001" t="s">
        <v>62</v>
      </c>
      <c r="M8001">
        <v>158.93</v>
      </c>
      <c r="N8001" s="4">
        <f t="shared" si="124"/>
        <v>-20</v>
      </c>
      <c r="O8001" t="s">
        <v>83</v>
      </c>
      <c r="Q8001" s="92"/>
    </row>
    <row r="8002" spans="1:20" x14ac:dyDescent="0.25">
      <c r="A8002" s="33">
        <v>45912</v>
      </c>
      <c r="B8002" s="27">
        <v>518286670</v>
      </c>
      <c r="C8002" s="28" t="s">
        <v>6395</v>
      </c>
      <c r="D8002" s="47">
        <v>-17482.3</v>
      </c>
      <c r="E8002" s="28" t="s">
        <v>35</v>
      </c>
      <c r="F8002" s="30">
        <v>610156001</v>
      </c>
      <c r="G8002" s="30" t="s">
        <v>72</v>
      </c>
      <c r="H8002" s="30"/>
      <c r="I8002" s="95" t="s">
        <v>7231</v>
      </c>
      <c r="J8002" s="28" t="s">
        <v>73</v>
      </c>
      <c r="K8002" s="28" t="s">
        <v>74</v>
      </c>
      <c r="L8002" s="28" t="s">
        <v>56</v>
      </c>
      <c r="M8002" s="28">
        <v>158.93</v>
      </c>
      <c r="N8002" s="4">
        <f t="shared" si="124"/>
        <v>-109.99999999999999</v>
      </c>
      <c r="O8002" t="s">
        <v>83</v>
      </c>
      <c r="Q8002" s="92"/>
    </row>
    <row r="8003" spans="1:20" x14ac:dyDescent="0.25">
      <c r="A8003" s="33">
        <v>45912</v>
      </c>
      <c r="B8003" s="27">
        <v>518286669</v>
      </c>
      <c r="C8003" s="28" t="s">
        <v>6396</v>
      </c>
      <c r="D8003" s="47">
        <v>-54830.85</v>
      </c>
      <c r="E8003" s="28" t="s">
        <v>35</v>
      </c>
      <c r="F8003" s="30">
        <v>610156001</v>
      </c>
      <c r="G8003" s="30" t="s">
        <v>72</v>
      </c>
      <c r="H8003" s="30"/>
      <c r="I8003" s="95" t="s">
        <v>7231</v>
      </c>
      <c r="J8003" s="28" t="s">
        <v>2398</v>
      </c>
      <c r="K8003" s="28" t="s">
        <v>632</v>
      </c>
      <c r="L8003" s="28" t="s">
        <v>56</v>
      </c>
      <c r="M8003" s="28">
        <v>158.93</v>
      </c>
      <c r="N8003" s="4">
        <f t="shared" si="124"/>
        <v>-345</v>
      </c>
      <c r="O8003" t="s">
        <v>83</v>
      </c>
      <c r="Q8003" s="92"/>
    </row>
    <row r="8004" spans="1:20" x14ac:dyDescent="0.25">
      <c r="A8004" s="22">
        <v>45912</v>
      </c>
      <c r="B8004" s="1">
        <v>50926898</v>
      </c>
      <c r="C8004" t="s">
        <v>89</v>
      </c>
      <c r="D8004" s="44">
        <v>-4551.46</v>
      </c>
      <c r="E8004" t="s">
        <v>35</v>
      </c>
      <c r="F8004" s="2">
        <v>610148001</v>
      </c>
      <c r="G8004" s="2" t="s">
        <v>41</v>
      </c>
      <c r="I8004" s="95" t="s">
        <v>7231</v>
      </c>
      <c r="J8004" t="s">
        <v>42</v>
      </c>
      <c r="K8004" t="s">
        <v>41</v>
      </c>
      <c r="M8004">
        <v>158.93</v>
      </c>
      <c r="N8004" s="4">
        <f t="shared" si="124"/>
        <v>-28.638142578493675</v>
      </c>
      <c r="O8004" t="s">
        <v>83</v>
      </c>
      <c r="Q8004" s="91" t="s">
        <v>6298</v>
      </c>
    </row>
    <row r="8005" spans="1:20" x14ac:dyDescent="0.25">
      <c r="A8005" s="22">
        <v>45912</v>
      </c>
      <c r="B8005" s="1">
        <v>144909168</v>
      </c>
      <c r="C8005" t="s">
        <v>6397</v>
      </c>
      <c r="D8005" s="44">
        <v>-12140.8</v>
      </c>
      <c r="E8005" t="s">
        <v>35</v>
      </c>
      <c r="F8005" s="2">
        <v>210101001</v>
      </c>
      <c r="G8005" s="2" t="s">
        <v>36</v>
      </c>
      <c r="I8005" s="95" t="s">
        <v>7231</v>
      </c>
      <c r="J8005" t="s">
        <v>1306</v>
      </c>
      <c r="K8005" t="s">
        <v>600</v>
      </c>
      <c r="M8005">
        <v>158.93</v>
      </c>
      <c r="N8005" s="4">
        <f t="shared" si="124"/>
        <v>-76.390863902346936</v>
      </c>
      <c r="O8005" t="s">
        <v>83</v>
      </c>
      <c r="Q8005" s="92"/>
    </row>
    <row r="8006" spans="1:20" x14ac:dyDescent="0.25">
      <c r="A8006" s="22">
        <v>45912</v>
      </c>
      <c r="B8006" s="1">
        <v>144952486</v>
      </c>
      <c r="C8006" t="s">
        <v>6398</v>
      </c>
      <c r="D8006" s="44">
        <v>-43882.15</v>
      </c>
      <c r="E8006" t="s">
        <v>35</v>
      </c>
      <c r="F8006" s="2">
        <v>210101001</v>
      </c>
      <c r="G8006" s="2" t="s">
        <v>36</v>
      </c>
      <c r="I8006" s="95" t="s">
        <v>7231</v>
      </c>
      <c r="J8006" t="s">
        <v>1301</v>
      </c>
      <c r="K8006" t="s">
        <v>1302</v>
      </c>
      <c r="M8006">
        <v>158.93</v>
      </c>
      <c r="N8006" s="4">
        <f t="shared" si="124"/>
        <v>-276.10992260743723</v>
      </c>
      <c r="O8006" t="s">
        <v>83</v>
      </c>
      <c r="Q8006" s="92"/>
    </row>
    <row r="8007" spans="1:20" x14ac:dyDescent="0.25">
      <c r="A8007" s="22">
        <v>45912</v>
      </c>
      <c r="B8007" s="1">
        <v>287399095</v>
      </c>
      <c r="C8007" t="s">
        <v>5590</v>
      </c>
      <c r="D8007" s="44">
        <v>540000</v>
      </c>
      <c r="E8007" t="s">
        <v>45</v>
      </c>
      <c r="F8007" s="2">
        <v>210115002</v>
      </c>
      <c r="G8007" s="2" t="s">
        <v>5259</v>
      </c>
      <c r="I8007" s="95" t="s">
        <v>7231</v>
      </c>
      <c r="K8007" t="s">
        <v>5590</v>
      </c>
      <c r="M8007">
        <v>158.93</v>
      </c>
      <c r="N8007" s="4">
        <f t="shared" si="124"/>
        <v>3397.7222676650094</v>
      </c>
      <c r="O8007" t="s">
        <v>83</v>
      </c>
      <c r="Q8007" s="92"/>
    </row>
    <row r="8008" spans="1:20" x14ac:dyDescent="0.25">
      <c r="A8008" s="22">
        <v>45912</v>
      </c>
      <c r="B8008" s="1">
        <v>218288138</v>
      </c>
      <c r="C8008" t="s">
        <v>6399</v>
      </c>
      <c r="D8008" s="44">
        <v>-7847.07</v>
      </c>
      <c r="E8008" t="s">
        <v>35</v>
      </c>
      <c r="F8008" s="2">
        <v>212901001</v>
      </c>
      <c r="G8008" s="2" t="s">
        <v>91</v>
      </c>
      <c r="I8008" s="95" t="s">
        <v>7231</v>
      </c>
      <c r="J8008" t="s">
        <v>61</v>
      </c>
      <c r="K8008" t="s">
        <v>62</v>
      </c>
      <c r="M8008">
        <v>158.93</v>
      </c>
      <c r="N8008" s="4">
        <f t="shared" si="124"/>
        <v>-49.374378657270491</v>
      </c>
      <c r="O8008" t="s">
        <v>83</v>
      </c>
      <c r="Q8008" s="92"/>
      <c r="S8008" t="s">
        <v>4600</v>
      </c>
      <c r="T8008" t="s">
        <v>6400</v>
      </c>
    </row>
    <row r="8009" spans="1:20" x14ac:dyDescent="0.25">
      <c r="A8009" s="22">
        <v>45912</v>
      </c>
      <c r="B8009" s="1">
        <v>218288137</v>
      </c>
      <c r="C8009" t="s">
        <v>6401</v>
      </c>
      <c r="D8009" s="44">
        <v>-6268.19</v>
      </c>
      <c r="E8009" t="s">
        <v>35</v>
      </c>
      <c r="F8009" s="2">
        <v>212901001</v>
      </c>
      <c r="G8009" s="2" t="s">
        <v>91</v>
      </c>
      <c r="I8009" s="95" t="s">
        <v>7231</v>
      </c>
      <c r="J8009" t="s">
        <v>61</v>
      </c>
      <c r="K8009" t="s">
        <v>62</v>
      </c>
      <c r="M8009">
        <v>158.93</v>
      </c>
      <c r="N8009" s="4">
        <f t="shared" si="124"/>
        <v>-39.439942112879883</v>
      </c>
      <c r="O8009" t="s">
        <v>83</v>
      </c>
      <c r="Q8009" s="92"/>
      <c r="S8009" t="s">
        <v>4600</v>
      </c>
      <c r="T8009" t="s">
        <v>6400</v>
      </c>
    </row>
    <row r="8010" spans="1:20" x14ac:dyDescent="0.25">
      <c r="A8010" s="22">
        <v>45912</v>
      </c>
      <c r="B8010" s="1">
        <v>218288135</v>
      </c>
      <c r="C8010" t="s">
        <v>6402</v>
      </c>
      <c r="D8010" s="44">
        <v>-78800.33</v>
      </c>
      <c r="E8010" t="s">
        <v>35</v>
      </c>
      <c r="F8010" s="2">
        <v>212901001</v>
      </c>
      <c r="G8010" s="2" t="s">
        <v>91</v>
      </c>
      <c r="I8010" s="95" t="s">
        <v>7231</v>
      </c>
      <c r="J8010" t="s">
        <v>61</v>
      </c>
      <c r="K8010" t="s">
        <v>62</v>
      </c>
      <c r="M8010">
        <v>158.93</v>
      </c>
      <c r="N8010" s="4">
        <f t="shared" si="124"/>
        <v>-495.81784433398349</v>
      </c>
      <c r="O8010" t="s">
        <v>83</v>
      </c>
      <c r="Q8010" s="92"/>
      <c r="S8010" t="s">
        <v>4600</v>
      </c>
      <c r="T8010" t="s">
        <v>6403</v>
      </c>
    </row>
    <row r="8011" spans="1:20" x14ac:dyDescent="0.25">
      <c r="A8011" s="22">
        <v>45912</v>
      </c>
      <c r="B8011" s="1">
        <v>218288139</v>
      </c>
      <c r="C8011" t="s">
        <v>6404</v>
      </c>
      <c r="D8011" s="44">
        <v>-5476.39</v>
      </c>
      <c r="E8011" t="s">
        <v>35</v>
      </c>
      <c r="F8011" s="2">
        <v>212901001</v>
      </c>
      <c r="G8011" s="2" t="s">
        <v>91</v>
      </c>
      <c r="I8011" s="95" t="s">
        <v>7231</v>
      </c>
      <c r="J8011" t="s">
        <v>61</v>
      </c>
      <c r="K8011" t="s">
        <v>62</v>
      </c>
      <c r="M8011">
        <v>158.93</v>
      </c>
      <c r="N8011" s="4">
        <f t="shared" si="124"/>
        <v>-34.457874535959228</v>
      </c>
      <c r="O8011" t="s">
        <v>83</v>
      </c>
      <c r="Q8011" s="92"/>
      <c r="S8011" t="s">
        <v>4600</v>
      </c>
      <c r="T8011" t="s">
        <v>6400</v>
      </c>
    </row>
    <row r="8012" spans="1:20" x14ac:dyDescent="0.25">
      <c r="A8012" s="22">
        <v>45912</v>
      </c>
      <c r="B8012" s="1">
        <v>218288136</v>
      </c>
      <c r="C8012" t="s">
        <v>6405</v>
      </c>
      <c r="D8012" s="44">
        <v>-11717.76</v>
      </c>
      <c r="E8012" t="s">
        <v>35</v>
      </c>
      <c r="F8012" s="2">
        <v>212901001</v>
      </c>
      <c r="G8012" s="2" t="s">
        <v>91</v>
      </c>
      <c r="I8012" s="95" t="s">
        <v>7231</v>
      </c>
      <c r="J8012" t="s">
        <v>61</v>
      </c>
      <c r="K8012" t="s">
        <v>62</v>
      </c>
      <c r="M8012">
        <v>158.93</v>
      </c>
      <c r="N8012" s="4">
        <f t="shared" ref="N8012:N8075" si="125">D8012/M8012</f>
        <v>-73.729063109545081</v>
      </c>
      <c r="O8012" t="s">
        <v>83</v>
      </c>
      <c r="Q8012" s="92"/>
      <c r="S8012" t="s">
        <v>5465</v>
      </c>
      <c r="T8012" t="s">
        <v>6400</v>
      </c>
    </row>
    <row r="8013" spans="1:20" x14ac:dyDescent="0.25">
      <c r="A8013" s="22">
        <v>45912</v>
      </c>
      <c r="B8013" s="1">
        <v>218288140</v>
      </c>
      <c r="C8013" t="s">
        <v>6406</v>
      </c>
      <c r="D8013" s="44">
        <v>-7866</v>
      </c>
      <c r="E8013" t="s">
        <v>35</v>
      </c>
      <c r="F8013" s="2">
        <v>212901001</v>
      </c>
      <c r="G8013" s="2" t="s">
        <v>91</v>
      </c>
      <c r="I8013" s="95" t="s">
        <v>7231</v>
      </c>
      <c r="J8013" t="s">
        <v>61</v>
      </c>
      <c r="K8013" t="s">
        <v>62</v>
      </c>
      <c r="M8013">
        <v>158.93</v>
      </c>
      <c r="N8013" s="4">
        <f t="shared" si="125"/>
        <v>-49.493487698986975</v>
      </c>
      <c r="O8013" t="s">
        <v>83</v>
      </c>
      <c r="Q8013" s="92"/>
      <c r="S8013" t="s">
        <v>4600</v>
      </c>
      <c r="T8013" t="s">
        <v>6400</v>
      </c>
    </row>
    <row r="8014" spans="1:20" x14ac:dyDescent="0.25">
      <c r="A8014" s="22">
        <v>45912</v>
      </c>
      <c r="B8014" s="1">
        <v>218288142</v>
      </c>
      <c r="C8014" t="s">
        <v>6407</v>
      </c>
      <c r="D8014" s="44">
        <v>-11829.75</v>
      </c>
      <c r="E8014" t="s">
        <v>35</v>
      </c>
      <c r="F8014" s="2">
        <v>212901001</v>
      </c>
      <c r="G8014" s="2" t="s">
        <v>91</v>
      </c>
      <c r="I8014" s="95" t="s">
        <v>7231</v>
      </c>
      <c r="J8014" t="s">
        <v>61</v>
      </c>
      <c r="K8014" t="s">
        <v>62</v>
      </c>
      <c r="M8014">
        <v>158.93</v>
      </c>
      <c r="N8014" s="4">
        <f t="shared" si="125"/>
        <v>-74.433712955389169</v>
      </c>
      <c r="O8014" t="s">
        <v>83</v>
      </c>
      <c r="Q8014" s="92"/>
      <c r="S8014" t="s">
        <v>4600</v>
      </c>
      <c r="T8014" t="s">
        <v>6400</v>
      </c>
    </row>
    <row r="8015" spans="1:20" x14ac:dyDescent="0.25">
      <c r="A8015" s="22">
        <v>45912</v>
      </c>
      <c r="B8015" s="1">
        <v>418288151</v>
      </c>
      <c r="C8015" t="s">
        <v>6408</v>
      </c>
      <c r="D8015" s="44">
        <v>-12553.73</v>
      </c>
      <c r="E8015" t="s">
        <v>35</v>
      </c>
      <c r="F8015" s="2">
        <v>212901001</v>
      </c>
      <c r="G8015" s="2" t="s">
        <v>91</v>
      </c>
      <c r="I8015" s="95" t="s">
        <v>7231</v>
      </c>
      <c r="J8015" t="s">
        <v>61</v>
      </c>
      <c r="K8015" t="s">
        <v>62</v>
      </c>
      <c r="M8015">
        <v>158.93</v>
      </c>
      <c r="N8015" s="4">
        <f t="shared" si="125"/>
        <v>-78.989051783804186</v>
      </c>
      <c r="O8015" t="s">
        <v>83</v>
      </c>
      <c r="Q8015" s="92"/>
      <c r="S8015" t="s">
        <v>4600</v>
      </c>
      <c r="T8015" t="s">
        <v>6400</v>
      </c>
    </row>
    <row r="8016" spans="1:20" x14ac:dyDescent="0.25">
      <c r="A8016" s="22">
        <v>45912</v>
      </c>
      <c r="B8016" s="1">
        <v>318288144</v>
      </c>
      <c r="C8016" t="s">
        <v>6409</v>
      </c>
      <c r="D8016" s="44">
        <v>-5477.96</v>
      </c>
      <c r="E8016" t="s">
        <v>35</v>
      </c>
      <c r="F8016" s="2">
        <v>212901001</v>
      </c>
      <c r="G8016" s="2" t="s">
        <v>91</v>
      </c>
      <c r="I8016" s="95" t="s">
        <v>7231</v>
      </c>
      <c r="J8016" t="s">
        <v>61</v>
      </c>
      <c r="K8016" t="s">
        <v>62</v>
      </c>
      <c r="M8016">
        <v>158.93</v>
      </c>
      <c r="N8016" s="4">
        <f t="shared" si="125"/>
        <v>-34.467753098848547</v>
      </c>
      <c r="O8016" t="s">
        <v>83</v>
      </c>
      <c r="Q8016" s="92"/>
      <c r="S8016" t="s">
        <v>4600</v>
      </c>
      <c r="T8016" t="s">
        <v>6400</v>
      </c>
    </row>
    <row r="8017" spans="1:20" x14ac:dyDescent="0.25">
      <c r="A8017" s="22">
        <v>45912</v>
      </c>
      <c r="B8017" s="1">
        <v>318288150</v>
      </c>
      <c r="C8017" t="s">
        <v>6410</v>
      </c>
      <c r="D8017" s="44">
        <v>-17285.63</v>
      </c>
      <c r="E8017" t="s">
        <v>35</v>
      </c>
      <c r="F8017" s="2">
        <v>212901001</v>
      </c>
      <c r="G8017" s="2" t="s">
        <v>91</v>
      </c>
      <c r="I8017" s="95" t="s">
        <v>7231</v>
      </c>
      <c r="J8017" t="s">
        <v>61</v>
      </c>
      <c r="K8017" t="s">
        <v>62</v>
      </c>
      <c r="M8017">
        <v>158.93</v>
      </c>
      <c r="N8017" s="4">
        <f t="shared" si="125"/>
        <v>-108.76253696595985</v>
      </c>
      <c r="O8017" t="s">
        <v>83</v>
      </c>
      <c r="Q8017" s="92"/>
      <c r="S8017" t="s">
        <v>5465</v>
      </c>
      <c r="T8017" t="s">
        <v>6400</v>
      </c>
    </row>
    <row r="8018" spans="1:20" x14ac:dyDescent="0.25">
      <c r="A8018" s="22">
        <v>45912</v>
      </c>
      <c r="B8018" s="1">
        <v>418288153</v>
      </c>
      <c r="C8018" t="s">
        <v>6411</v>
      </c>
      <c r="D8018" s="44">
        <v>-10742.99</v>
      </c>
      <c r="E8018" t="s">
        <v>35</v>
      </c>
      <c r="F8018" s="2">
        <v>212901001</v>
      </c>
      <c r="G8018" s="2" t="s">
        <v>91</v>
      </c>
      <c r="I8018" s="95" t="s">
        <v>7231</v>
      </c>
      <c r="J8018" t="s">
        <v>61</v>
      </c>
      <c r="K8018" t="s">
        <v>62</v>
      </c>
      <c r="M8018">
        <v>158.93</v>
      </c>
      <c r="N8018" s="4">
        <f t="shared" si="125"/>
        <v>-67.595733970930596</v>
      </c>
      <c r="O8018" t="s">
        <v>83</v>
      </c>
      <c r="Q8018" s="92"/>
      <c r="S8018" t="s">
        <v>4600</v>
      </c>
      <c r="T8018" t="s">
        <v>6400</v>
      </c>
    </row>
    <row r="8019" spans="1:20" x14ac:dyDescent="0.25">
      <c r="A8019" s="22">
        <v>45912</v>
      </c>
      <c r="B8019" s="1">
        <v>318288148</v>
      </c>
      <c r="C8019" t="s">
        <v>6412</v>
      </c>
      <c r="D8019" s="44">
        <v>-10627.85</v>
      </c>
      <c r="E8019" t="s">
        <v>35</v>
      </c>
      <c r="F8019" s="2">
        <v>212901001</v>
      </c>
      <c r="G8019" s="2" t="s">
        <v>91</v>
      </c>
      <c r="I8019" s="95" t="s">
        <v>7231</v>
      </c>
      <c r="J8019" t="s">
        <v>61</v>
      </c>
      <c r="K8019" t="s">
        <v>62</v>
      </c>
      <c r="M8019">
        <v>158.93</v>
      </c>
      <c r="N8019" s="4">
        <f t="shared" si="125"/>
        <v>-66.87126407852513</v>
      </c>
      <c r="O8019" t="s">
        <v>83</v>
      </c>
      <c r="Q8019" s="92"/>
      <c r="S8019" t="s">
        <v>4600</v>
      </c>
      <c r="T8019" t="s">
        <v>6400</v>
      </c>
    </row>
    <row r="8020" spans="1:20" x14ac:dyDescent="0.25">
      <c r="A8020" s="22">
        <v>45912</v>
      </c>
      <c r="B8020" s="1">
        <v>418288155</v>
      </c>
      <c r="C8020" t="s">
        <v>6413</v>
      </c>
      <c r="D8020" s="44">
        <v>-39367.83</v>
      </c>
      <c r="E8020" t="s">
        <v>35</v>
      </c>
      <c r="F8020" s="2">
        <v>212901001</v>
      </c>
      <c r="G8020" s="2" t="s">
        <v>91</v>
      </c>
      <c r="I8020" s="95" t="s">
        <v>7231</v>
      </c>
      <c r="J8020" t="s">
        <v>61</v>
      </c>
      <c r="K8020" t="s">
        <v>62</v>
      </c>
      <c r="M8020">
        <v>158.93</v>
      </c>
      <c r="N8020" s="4">
        <f t="shared" si="125"/>
        <v>-247.70546781601962</v>
      </c>
      <c r="O8020" t="s">
        <v>83</v>
      </c>
      <c r="Q8020" s="92"/>
      <c r="S8020" t="s">
        <v>5465</v>
      </c>
      <c r="T8020" t="s">
        <v>6400</v>
      </c>
    </row>
    <row r="8021" spans="1:20" x14ac:dyDescent="0.25">
      <c r="A8021" s="22">
        <v>45912</v>
      </c>
      <c r="B8021" s="1">
        <v>418288152</v>
      </c>
      <c r="C8021" t="s">
        <v>6414</v>
      </c>
      <c r="D8021" s="44">
        <v>-12553.73</v>
      </c>
      <c r="E8021" t="s">
        <v>35</v>
      </c>
      <c r="F8021" s="2">
        <v>212901001</v>
      </c>
      <c r="G8021" s="2" t="s">
        <v>91</v>
      </c>
      <c r="I8021" s="95" t="s">
        <v>7231</v>
      </c>
      <c r="J8021" t="s">
        <v>61</v>
      </c>
      <c r="K8021" t="s">
        <v>62</v>
      </c>
      <c r="M8021">
        <v>158.93</v>
      </c>
      <c r="N8021" s="4">
        <f t="shared" si="125"/>
        <v>-78.989051783804186</v>
      </c>
      <c r="O8021" t="s">
        <v>83</v>
      </c>
      <c r="Q8021" s="92"/>
      <c r="S8021" t="s">
        <v>4600</v>
      </c>
      <c r="T8021" t="s">
        <v>6400</v>
      </c>
    </row>
    <row r="8022" spans="1:20" x14ac:dyDescent="0.25">
      <c r="A8022" s="22">
        <v>45912</v>
      </c>
      <c r="B8022" s="1">
        <v>418288154</v>
      </c>
      <c r="C8022" t="s">
        <v>6415</v>
      </c>
      <c r="D8022" s="44">
        <v>-19651.580000000002</v>
      </c>
      <c r="E8022" t="s">
        <v>35</v>
      </c>
      <c r="F8022" s="2">
        <v>212901001</v>
      </c>
      <c r="G8022" s="2" t="s">
        <v>91</v>
      </c>
      <c r="I8022" s="95" t="s">
        <v>7231</v>
      </c>
      <c r="J8022" t="s">
        <v>61</v>
      </c>
      <c r="K8022" t="s">
        <v>62</v>
      </c>
      <c r="M8022">
        <v>158.93</v>
      </c>
      <c r="N8022" s="4">
        <f t="shared" si="125"/>
        <v>-123.6492795570377</v>
      </c>
      <c r="O8022" t="s">
        <v>83</v>
      </c>
      <c r="Q8022" s="92"/>
      <c r="S8022" t="s">
        <v>4600</v>
      </c>
      <c r="T8022" t="s">
        <v>6400</v>
      </c>
    </row>
    <row r="8023" spans="1:20" x14ac:dyDescent="0.25">
      <c r="A8023" s="22">
        <v>45912</v>
      </c>
      <c r="B8023" s="1">
        <v>418288156</v>
      </c>
      <c r="C8023" t="s">
        <v>6416</v>
      </c>
      <c r="D8023" s="44">
        <v>-7856.53</v>
      </c>
      <c r="E8023" t="s">
        <v>35</v>
      </c>
      <c r="F8023" s="2">
        <v>212901001</v>
      </c>
      <c r="G8023" s="2" t="s">
        <v>91</v>
      </c>
      <c r="I8023" s="95" t="s">
        <v>7231</v>
      </c>
      <c r="J8023" t="s">
        <v>61</v>
      </c>
      <c r="K8023" t="s">
        <v>62</v>
      </c>
      <c r="M8023">
        <v>158.93</v>
      </c>
      <c r="N8023" s="4">
        <f t="shared" si="125"/>
        <v>-49.433901717737363</v>
      </c>
      <c r="O8023" t="s">
        <v>83</v>
      </c>
      <c r="Q8023" s="92"/>
      <c r="S8023" t="s">
        <v>4600</v>
      </c>
      <c r="T8023" t="s">
        <v>6400</v>
      </c>
    </row>
    <row r="8024" spans="1:20" x14ac:dyDescent="0.25">
      <c r="A8024" s="22">
        <v>45912</v>
      </c>
      <c r="B8024" s="1">
        <v>318288145</v>
      </c>
      <c r="C8024" t="s">
        <v>6417</v>
      </c>
      <c r="D8024" s="44">
        <v>-11807.67</v>
      </c>
      <c r="E8024" t="s">
        <v>35</v>
      </c>
      <c r="F8024" s="2">
        <v>212901001</v>
      </c>
      <c r="G8024" s="2" t="s">
        <v>91</v>
      </c>
      <c r="I8024" s="95" t="s">
        <v>7231</v>
      </c>
      <c r="J8024" t="s">
        <v>61</v>
      </c>
      <c r="K8024" t="s">
        <v>62</v>
      </c>
      <c r="M8024">
        <v>158.93</v>
      </c>
      <c r="N8024" s="4">
        <f t="shared" si="125"/>
        <v>-74.294783867111306</v>
      </c>
      <c r="O8024" t="s">
        <v>83</v>
      </c>
      <c r="Q8024" s="92"/>
      <c r="S8024" t="s">
        <v>4600</v>
      </c>
      <c r="T8024" t="s">
        <v>6400</v>
      </c>
    </row>
    <row r="8025" spans="1:20" x14ac:dyDescent="0.25">
      <c r="A8025" s="22">
        <v>45912</v>
      </c>
      <c r="B8025" s="1">
        <v>418288158</v>
      </c>
      <c r="C8025" t="s">
        <v>6418</v>
      </c>
      <c r="D8025" s="44">
        <v>-12343.95</v>
      </c>
      <c r="E8025" t="s">
        <v>35</v>
      </c>
      <c r="F8025" s="2">
        <v>212901001</v>
      </c>
      <c r="G8025" s="2" t="s">
        <v>91</v>
      </c>
      <c r="I8025" s="95" t="s">
        <v>7231</v>
      </c>
      <c r="J8025" t="s">
        <v>61</v>
      </c>
      <c r="K8025" t="s">
        <v>62</v>
      </c>
      <c r="M8025">
        <v>158.93</v>
      </c>
      <c r="N8025" s="4">
        <f t="shared" si="125"/>
        <v>-77.669099603599065</v>
      </c>
      <c r="O8025" t="s">
        <v>83</v>
      </c>
      <c r="Q8025" s="92"/>
      <c r="S8025" t="s">
        <v>5465</v>
      </c>
      <c r="T8025" t="s">
        <v>6400</v>
      </c>
    </row>
    <row r="8026" spans="1:20" x14ac:dyDescent="0.25">
      <c r="A8026" s="22">
        <v>45912</v>
      </c>
      <c r="B8026" s="1">
        <v>418288160</v>
      </c>
      <c r="C8026" t="s">
        <v>6419</v>
      </c>
      <c r="D8026" s="44">
        <v>-17285.63</v>
      </c>
      <c r="E8026" t="s">
        <v>35</v>
      </c>
      <c r="F8026" s="2">
        <v>212901001</v>
      </c>
      <c r="G8026" s="2" t="s">
        <v>91</v>
      </c>
      <c r="I8026" s="95" t="s">
        <v>7231</v>
      </c>
      <c r="J8026" t="s">
        <v>61</v>
      </c>
      <c r="K8026" t="s">
        <v>62</v>
      </c>
      <c r="M8026">
        <v>158.93</v>
      </c>
      <c r="N8026" s="4">
        <f t="shared" si="125"/>
        <v>-108.76253696595985</v>
      </c>
      <c r="O8026" t="s">
        <v>83</v>
      </c>
      <c r="Q8026" s="92"/>
      <c r="S8026" t="s">
        <v>5465</v>
      </c>
      <c r="T8026" t="s">
        <v>6400</v>
      </c>
    </row>
    <row r="8027" spans="1:20" x14ac:dyDescent="0.25">
      <c r="A8027" s="22">
        <v>45912</v>
      </c>
      <c r="B8027" s="1">
        <v>518288165</v>
      </c>
      <c r="C8027" t="s">
        <v>6420</v>
      </c>
      <c r="D8027" s="44">
        <v>-5477.96</v>
      </c>
      <c r="E8027" t="s">
        <v>35</v>
      </c>
      <c r="F8027" s="2">
        <v>212901001</v>
      </c>
      <c r="G8027" s="2" t="s">
        <v>91</v>
      </c>
      <c r="I8027" s="95" t="s">
        <v>7231</v>
      </c>
      <c r="J8027" t="s">
        <v>61</v>
      </c>
      <c r="K8027" t="s">
        <v>62</v>
      </c>
      <c r="M8027">
        <v>158.93</v>
      </c>
      <c r="N8027" s="4">
        <f t="shared" si="125"/>
        <v>-34.467753098848547</v>
      </c>
      <c r="O8027" t="s">
        <v>83</v>
      </c>
      <c r="Q8027" s="92"/>
      <c r="S8027" t="s">
        <v>4600</v>
      </c>
      <c r="T8027" t="s">
        <v>6400</v>
      </c>
    </row>
    <row r="8028" spans="1:20" x14ac:dyDescent="0.25">
      <c r="A8028" s="22">
        <v>45912</v>
      </c>
      <c r="B8028" s="1">
        <v>518288163</v>
      </c>
      <c r="C8028" t="s">
        <v>6421</v>
      </c>
      <c r="D8028" s="44">
        <v>-5479.54</v>
      </c>
      <c r="E8028" t="s">
        <v>35</v>
      </c>
      <c r="F8028" s="2">
        <v>212901001</v>
      </c>
      <c r="G8028" s="2" t="s">
        <v>91</v>
      </c>
      <c r="I8028" s="95" t="s">
        <v>7231</v>
      </c>
      <c r="J8028" t="s">
        <v>61</v>
      </c>
      <c r="K8028" t="s">
        <v>62</v>
      </c>
      <c r="M8028">
        <v>158.93</v>
      </c>
      <c r="N8028" s="4">
        <f t="shared" si="125"/>
        <v>-34.477694582520606</v>
      </c>
      <c r="O8028" t="s">
        <v>83</v>
      </c>
      <c r="Q8028" s="92"/>
      <c r="S8028" t="s">
        <v>4600</v>
      </c>
      <c r="T8028" t="s">
        <v>6400</v>
      </c>
    </row>
    <row r="8029" spans="1:20" x14ac:dyDescent="0.25">
      <c r="A8029" s="22">
        <v>45912</v>
      </c>
      <c r="B8029" s="1">
        <v>518288161</v>
      </c>
      <c r="C8029" t="s">
        <v>6422</v>
      </c>
      <c r="D8029" s="44">
        <v>-5293.42</v>
      </c>
      <c r="E8029" t="s">
        <v>35</v>
      </c>
      <c r="F8029" s="2">
        <v>212901001</v>
      </c>
      <c r="G8029" s="2" t="s">
        <v>91</v>
      </c>
      <c r="I8029" s="95" t="s">
        <v>7231</v>
      </c>
      <c r="J8029" t="s">
        <v>61</v>
      </c>
      <c r="K8029" t="s">
        <v>62</v>
      </c>
      <c r="M8029">
        <v>158.93</v>
      </c>
      <c r="N8029" s="4">
        <f t="shared" si="125"/>
        <v>-33.306612974265398</v>
      </c>
      <c r="O8029" t="s">
        <v>83</v>
      </c>
      <c r="Q8029" s="92"/>
      <c r="S8029" t="s">
        <v>5465</v>
      </c>
      <c r="T8029" t="s">
        <v>6400</v>
      </c>
    </row>
    <row r="8030" spans="1:20" x14ac:dyDescent="0.25">
      <c r="A8030" s="22">
        <v>45912</v>
      </c>
      <c r="B8030" s="1">
        <v>418288159</v>
      </c>
      <c r="C8030" t="s">
        <v>6423</v>
      </c>
      <c r="D8030" s="44">
        <v>-14236.71</v>
      </c>
      <c r="E8030" t="s">
        <v>35</v>
      </c>
      <c r="F8030" s="2">
        <v>212901001</v>
      </c>
      <c r="G8030" s="2" t="s">
        <v>91</v>
      </c>
      <c r="I8030" s="95" t="s">
        <v>7231</v>
      </c>
      <c r="J8030" t="s">
        <v>61</v>
      </c>
      <c r="K8030" t="s">
        <v>62</v>
      </c>
      <c r="M8030">
        <v>158.93</v>
      </c>
      <c r="N8030" s="4">
        <f t="shared" si="125"/>
        <v>-89.578493676461321</v>
      </c>
      <c r="O8030" t="s">
        <v>83</v>
      </c>
      <c r="Q8030" s="92"/>
      <c r="S8030" t="s">
        <v>4600</v>
      </c>
      <c r="T8030" t="s">
        <v>6400</v>
      </c>
    </row>
    <row r="8031" spans="1:20" x14ac:dyDescent="0.25">
      <c r="A8031" s="22">
        <v>45912</v>
      </c>
      <c r="B8031" s="1">
        <v>518288162</v>
      </c>
      <c r="C8031" t="s">
        <v>6424</v>
      </c>
      <c r="D8031" s="44">
        <v>-7847.07</v>
      </c>
      <c r="E8031" t="s">
        <v>35</v>
      </c>
      <c r="F8031" s="2">
        <v>212901001</v>
      </c>
      <c r="G8031" s="2" t="s">
        <v>91</v>
      </c>
      <c r="I8031" s="95" t="s">
        <v>7231</v>
      </c>
      <c r="J8031" t="s">
        <v>61</v>
      </c>
      <c r="K8031" t="s">
        <v>62</v>
      </c>
      <c r="M8031">
        <v>158.93</v>
      </c>
      <c r="N8031" s="4">
        <f t="shared" si="125"/>
        <v>-49.374378657270491</v>
      </c>
      <c r="O8031" t="s">
        <v>83</v>
      </c>
      <c r="Q8031" s="92"/>
      <c r="S8031" t="s">
        <v>4600</v>
      </c>
      <c r="T8031" t="s">
        <v>6400</v>
      </c>
    </row>
    <row r="8032" spans="1:20" x14ac:dyDescent="0.25">
      <c r="A8032" s="22">
        <v>45912</v>
      </c>
      <c r="B8032" s="1">
        <v>518288164</v>
      </c>
      <c r="C8032" t="s">
        <v>6425</v>
      </c>
      <c r="D8032" s="44">
        <v>-23594.83</v>
      </c>
      <c r="E8032" t="s">
        <v>35</v>
      </c>
      <c r="F8032" s="2">
        <v>212901001</v>
      </c>
      <c r="G8032" s="2" t="s">
        <v>91</v>
      </c>
      <c r="I8032" s="95" t="s">
        <v>7231</v>
      </c>
      <c r="J8032" t="s">
        <v>61</v>
      </c>
      <c r="K8032" t="s">
        <v>62</v>
      </c>
      <c r="M8032">
        <v>158.93</v>
      </c>
      <c r="N8032" s="4">
        <f t="shared" si="125"/>
        <v>-148.46051720883409</v>
      </c>
      <c r="O8032" t="s">
        <v>83</v>
      </c>
      <c r="Q8032" s="92"/>
      <c r="S8032" t="s">
        <v>5465</v>
      </c>
      <c r="T8032" t="s">
        <v>6400</v>
      </c>
    </row>
    <row r="8033" spans="1:20" x14ac:dyDescent="0.25">
      <c r="A8033" s="22">
        <v>45912</v>
      </c>
      <c r="B8033" s="1">
        <v>518288168</v>
      </c>
      <c r="C8033" t="s">
        <v>6426</v>
      </c>
      <c r="D8033" s="44">
        <v>-11807.67</v>
      </c>
      <c r="E8033" t="s">
        <v>35</v>
      </c>
      <c r="F8033" s="2">
        <v>212901001</v>
      </c>
      <c r="G8033" s="2" t="s">
        <v>91</v>
      </c>
      <c r="I8033" s="95" t="s">
        <v>7231</v>
      </c>
      <c r="J8033" t="s">
        <v>61</v>
      </c>
      <c r="K8033" t="s">
        <v>62</v>
      </c>
      <c r="M8033">
        <v>158.93</v>
      </c>
      <c r="N8033" s="4">
        <f t="shared" si="125"/>
        <v>-74.294783867111306</v>
      </c>
      <c r="O8033" t="s">
        <v>83</v>
      </c>
      <c r="Q8033" s="92"/>
      <c r="S8033" t="s">
        <v>4600</v>
      </c>
      <c r="T8033" t="s">
        <v>6400</v>
      </c>
    </row>
    <row r="8034" spans="1:20" x14ac:dyDescent="0.25">
      <c r="A8034" s="22">
        <v>45912</v>
      </c>
      <c r="B8034" s="1">
        <v>618288173</v>
      </c>
      <c r="C8034" t="s">
        <v>6427</v>
      </c>
      <c r="D8034" s="44">
        <v>-60.3</v>
      </c>
      <c r="E8034" t="s">
        <v>35</v>
      </c>
      <c r="F8034" s="2">
        <v>212901001</v>
      </c>
      <c r="G8034" s="2" t="s">
        <v>91</v>
      </c>
      <c r="I8034" s="95" t="s">
        <v>7231</v>
      </c>
      <c r="J8034" t="s">
        <v>61</v>
      </c>
      <c r="K8034" t="s">
        <v>62</v>
      </c>
      <c r="M8034">
        <v>158.93</v>
      </c>
      <c r="N8034" s="4">
        <f t="shared" si="125"/>
        <v>-0.37941231988925939</v>
      </c>
      <c r="O8034" t="s">
        <v>83</v>
      </c>
      <c r="Q8034" s="92"/>
      <c r="S8034" t="s">
        <v>4600</v>
      </c>
      <c r="T8034" t="s">
        <v>6403</v>
      </c>
    </row>
    <row r="8035" spans="1:20" x14ac:dyDescent="0.25">
      <c r="A8035" s="22">
        <v>45912</v>
      </c>
      <c r="B8035" s="1">
        <v>618288172</v>
      </c>
      <c r="C8035" t="s">
        <v>6428</v>
      </c>
      <c r="D8035" s="44">
        <v>-56.01</v>
      </c>
      <c r="E8035" t="s">
        <v>35</v>
      </c>
      <c r="F8035" s="2">
        <v>212901001</v>
      </c>
      <c r="G8035" s="2" t="s">
        <v>91</v>
      </c>
      <c r="I8035" s="95" t="s">
        <v>7231</v>
      </c>
      <c r="J8035" t="s">
        <v>61</v>
      </c>
      <c r="K8035" t="s">
        <v>62</v>
      </c>
      <c r="M8035">
        <v>158.93</v>
      </c>
      <c r="N8035" s="4">
        <f t="shared" si="125"/>
        <v>-0.35241930409614292</v>
      </c>
      <c r="O8035" t="s">
        <v>83</v>
      </c>
      <c r="Q8035" s="92"/>
      <c r="S8035" t="s">
        <v>5465</v>
      </c>
      <c r="T8035" t="s">
        <v>6400</v>
      </c>
    </row>
    <row r="8036" spans="1:20" x14ac:dyDescent="0.25">
      <c r="A8036" s="22">
        <v>45912</v>
      </c>
      <c r="B8036" s="1">
        <v>518288167</v>
      </c>
      <c r="C8036" t="s">
        <v>6429</v>
      </c>
      <c r="D8036" s="44">
        <v>-6268.19</v>
      </c>
      <c r="E8036" t="s">
        <v>35</v>
      </c>
      <c r="F8036" s="2">
        <v>212901001</v>
      </c>
      <c r="G8036" s="2" t="s">
        <v>91</v>
      </c>
      <c r="I8036" s="95" t="s">
        <v>7231</v>
      </c>
      <c r="J8036" t="s">
        <v>61</v>
      </c>
      <c r="K8036" t="s">
        <v>62</v>
      </c>
      <c r="M8036">
        <v>158.93</v>
      </c>
      <c r="N8036" s="4">
        <f t="shared" si="125"/>
        <v>-39.439942112879883</v>
      </c>
      <c r="O8036" t="s">
        <v>83</v>
      </c>
      <c r="Q8036" s="92"/>
      <c r="S8036" t="s">
        <v>4600</v>
      </c>
      <c r="T8036" t="s">
        <v>6400</v>
      </c>
    </row>
    <row r="8037" spans="1:20" x14ac:dyDescent="0.25">
      <c r="A8037" s="22">
        <v>45912</v>
      </c>
      <c r="B8037" s="1">
        <v>518288169</v>
      </c>
      <c r="C8037" t="s">
        <v>6430</v>
      </c>
      <c r="D8037" s="44">
        <v>-11807.67</v>
      </c>
      <c r="E8037" t="s">
        <v>35</v>
      </c>
      <c r="F8037" s="2">
        <v>212901001</v>
      </c>
      <c r="G8037" s="2" t="s">
        <v>91</v>
      </c>
      <c r="I8037" s="95" t="s">
        <v>7231</v>
      </c>
      <c r="J8037" t="s">
        <v>61</v>
      </c>
      <c r="K8037" t="s">
        <v>62</v>
      </c>
      <c r="M8037">
        <v>158.93</v>
      </c>
      <c r="N8037" s="4">
        <f t="shared" si="125"/>
        <v>-74.294783867111306</v>
      </c>
      <c r="O8037" t="s">
        <v>83</v>
      </c>
      <c r="Q8037" s="92"/>
      <c r="S8037" t="s">
        <v>4600</v>
      </c>
      <c r="T8037" t="s">
        <v>6400</v>
      </c>
    </row>
    <row r="8038" spans="1:20" x14ac:dyDescent="0.25">
      <c r="A8038" s="22">
        <v>45912</v>
      </c>
      <c r="B8038" s="1">
        <v>618288171</v>
      </c>
      <c r="C8038" t="s">
        <v>6431</v>
      </c>
      <c r="D8038" s="44">
        <v>-60.3</v>
      </c>
      <c r="E8038" t="s">
        <v>35</v>
      </c>
      <c r="F8038" s="2">
        <v>212901001</v>
      </c>
      <c r="G8038" s="2" t="s">
        <v>91</v>
      </c>
      <c r="I8038" s="95" t="s">
        <v>7231</v>
      </c>
      <c r="J8038" t="s">
        <v>61</v>
      </c>
      <c r="K8038" t="s">
        <v>62</v>
      </c>
      <c r="M8038">
        <v>158.93</v>
      </c>
      <c r="N8038" s="4">
        <f t="shared" si="125"/>
        <v>-0.37941231988925939</v>
      </c>
      <c r="O8038" t="s">
        <v>83</v>
      </c>
      <c r="Q8038" s="92"/>
      <c r="S8038" t="s">
        <v>4600</v>
      </c>
      <c r="T8038" t="s">
        <v>6400</v>
      </c>
    </row>
    <row r="8039" spans="1:20" x14ac:dyDescent="0.25">
      <c r="A8039" s="22">
        <v>45912</v>
      </c>
      <c r="B8039" s="1">
        <v>618288174</v>
      </c>
      <c r="C8039" t="s">
        <v>6432</v>
      </c>
      <c r="D8039" s="44">
        <v>-60.3</v>
      </c>
      <c r="E8039" t="s">
        <v>35</v>
      </c>
      <c r="F8039" s="2">
        <v>212901001</v>
      </c>
      <c r="G8039" s="2" t="s">
        <v>91</v>
      </c>
      <c r="I8039" s="95" t="s">
        <v>7231</v>
      </c>
      <c r="J8039" t="s">
        <v>61</v>
      </c>
      <c r="K8039" t="s">
        <v>62</v>
      </c>
      <c r="M8039">
        <v>158.93</v>
      </c>
      <c r="N8039" s="4">
        <f t="shared" si="125"/>
        <v>-0.37941231988925939</v>
      </c>
      <c r="O8039" t="s">
        <v>83</v>
      </c>
      <c r="Q8039" s="92"/>
      <c r="S8039" t="s">
        <v>4600</v>
      </c>
      <c r="T8039" t="s">
        <v>6400</v>
      </c>
    </row>
    <row r="8040" spans="1:20" x14ac:dyDescent="0.25">
      <c r="A8040" s="22">
        <v>45912</v>
      </c>
      <c r="B8040" s="1">
        <v>318288146</v>
      </c>
      <c r="C8040" t="s">
        <v>6433</v>
      </c>
      <c r="D8040" s="44">
        <v>-11665.71</v>
      </c>
      <c r="E8040" t="s">
        <v>35</v>
      </c>
      <c r="F8040" s="2">
        <v>212901001</v>
      </c>
      <c r="G8040" s="2" t="s">
        <v>91</v>
      </c>
      <c r="I8040" s="95" t="s">
        <v>7231</v>
      </c>
      <c r="J8040" t="s">
        <v>61</v>
      </c>
      <c r="K8040" t="s">
        <v>62</v>
      </c>
      <c r="M8040">
        <v>158.93</v>
      </c>
      <c r="N8040" s="4">
        <f t="shared" si="125"/>
        <v>-73.40156043541181</v>
      </c>
      <c r="O8040" t="s">
        <v>83</v>
      </c>
      <c r="Q8040" s="92"/>
      <c r="S8040" t="s">
        <v>4600</v>
      </c>
      <c r="T8040" t="s">
        <v>6400</v>
      </c>
    </row>
    <row r="8041" spans="1:20" x14ac:dyDescent="0.25">
      <c r="A8041" s="22">
        <v>45912</v>
      </c>
      <c r="B8041" s="1">
        <v>718288178</v>
      </c>
      <c r="C8041" t="s">
        <v>6434</v>
      </c>
      <c r="D8041" s="44">
        <v>-60.3</v>
      </c>
      <c r="E8041" t="s">
        <v>35</v>
      </c>
      <c r="F8041" s="2">
        <v>212901001</v>
      </c>
      <c r="G8041" s="2" t="s">
        <v>91</v>
      </c>
      <c r="I8041" s="95" t="s">
        <v>7231</v>
      </c>
      <c r="J8041" t="s">
        <v>61</v>
      </c>
      <c r="K8041" t="s">
        <v>62</v>
      </c>
      <c r="M8041">
        <v>158.93</v>
      </c>
      <c r="N8041" s="4">
        <f t="shared" si="125"/>
        <v>-0.37941231988925939</v>
      </c>
      <c r="O8041" t="s">
        <v>83</v>
      </c>
      <c r="Q8041" s="92"/>
      <c r="S8041" t="s">
        <v>4600</v>
      </c>
      <c r="T8041" t="s">
        <v>6400</v>
      </c>
    </row>
    <row r="8042" spans="1:20" x14ac:dyDescent="0.25">
      <c r="A8042" s="22">
        <v>45912</v>
      </c>
      <c r="B8042" s="1">
        <v>618288176</v>
      </c>
      <c r="C8042" t="s">
        <v>6435</v>
      </c>
      <c r="D8042" s="44">
        <v>-60.3</v>
      </c>
      <c r="E8042" t="s">
        <v>35</v>
      </c>
      <c r="F8042" s="2">
        <v>212901001</v>
      </c>
      <c r="G8042" s="2" t="s">
        <v>91</v>
      </c>
      <c r="I8042" s="95" t="s">
        <v>7231</v>
      </c>
      <c r="J8042" t="s">
        <v>61</v>
      </c>
      <c r="K8042" t="s">
        <v>62</v>
      </c>
      <c r="M8042">
        <v>158.93</v>
      </c>
      <c r="N8042" s="4">
        <f t="shared" si="125"/>
        <v>-0.37941231988925939</v>
      </c>
      <c r="O8042" t="s">
        <v>83</v>
      </c>
      <c r="Q8042" s="92"/>
      <c r="S8042" t="s">
        <v>4600</v>
      </c>
      <c r="T8042" t="s">
        <v>6400</v>
      </c>
    </row>
    <row r="8043" spans="1:20" x14ac:dyDescent="0.25">
      <c r="A8043" s="22">
        <v>45912</v>
      </c>
      <c r="B8043" s="1">
        <v>718288179</v>
      </c>
      <c r="C8043" t="s">
        <v>6436</v>
      </c>
      <c r="D8043" s="44">
        <v>-51.72</v>
      </c>
      <c r="E8043" t="s">
        <v>35</v>
      </c>
      <c r="F8043" s="2">
        <v>212901001</v>
      </c>
      <c r="G8043" s="2" t="s">
        <v>91</v>
      </c>
      <c r="I8043" s="95" t="s">
        <v>7231</v>
      </c>
      <c r="J8043" t="s">
        <v>61</v>
      </c>
      <c r="K8043" t="s">
        <v>62</v>
      </c>
      <c r="M8043">
        <v>158.93</v>
      </c>
      <c r="N8043" s="4">
        <f t="shared" si="125"/>
        <v>-0.32542628830302645</v>
      </c>
      <c r="O8043" t="s">
        <v>83</v>
      </c>
      <c r="Q8043" s="92"/>
      <c r="S8043" t="s">
        <v>4600</v>
      </c>
      <c r="T8043" t="s">
        <v>6400</v>
      </c>
    </row>
    <row r="8044" spans="1:20" x14ac:dyDescent="0.25">
      <c r="A8044" s="22">
        <v>45912</v>
      </c>
      <c r="B8044" s="1">
        <v>618288175</v>
      </c>
      <c r="C8044" t="s">
        <v>6437</v>
      </c>
      <c r="D8044" s="44">
        <v>-60.3</v>
      </c>
      <c r="E8044" t="s">
        <v>35</v>
      </c>
      <c r="F8044" s="2">
        <v>212901001</v>
      </c>
      <c r="G8044" s="2" t="s">
        <v>91</v>
      </c>
      <c r="I8044" s="95" t="s">
        <v>7231</v>
      </c>
      <c r="J8044" t="s">
        <v>61</v>
      </c>
      <c r="K8044" t="s">
        <v>62</v>
      </c>
      <c r="M8044">
        <v>158.93</v>
      </c>
      <c r="N8044" s="4">
        <f t="shared" si="125"/>
        <v>-0.37941231988925939</v>
      </c>
      <c r="O8044" t="s">
        <v>83</v>
      </c>
      <c r="Q8044" s="92"/>
      <c r="S8044" t="s">
        <v>4600</v>
      </c>
      <c r="T8044" t="s">
        <v>6400</v>
      </c>
    </row>
    <row r="8045" spans="1:20" x14ac:dyDescent="0.25">
      <c r="A8045" s="22">
        <v>45912</v>
      </c>
      <c r="B8045" s="1">
        <v>318288147</v>
      </c>
      <c r="C8045" t="s">
        <v>6438</v>
      </c>
      <c r="D8045" s="44">
        <v>-63027.33</v>
      </c>
      <c r="E8045" t="s">
        <v>35</v>
      </c>
      <c r="F8045" s="2">
        <v>212901001</v>
      </c>
      <c r="G8045" s="2" t="s">
        <v>91</v>
      </c>
      <c r="I8045" s="95" t="s">
        <v>7231</v>
      </c>
      <c r="J8045" t="s">
        <v>61</v>
      </c>
      <c r="K8045" t="s">
        <v>62</v>
      </c>
      <c r="M8045">
        <v>158.93</v>
      </c>
      <c r="N8045" s="4">
        <f t="shared" si="125"/>
        <v>-396.57289372679793</v>
      </c>
      <c r="O8045" t="s">
        <v>83</v>
      </c>
      <c r="Q8045" s="92"/>
      <c r="S8045" t="s">
        <v>4600</v>
      </c>
      <c r="T8045" t="s">
        <v>6403</v>
      </c>
    </row>
    <row r="8046" spans="1:20" x14ac:dyDescent="0.25">
      <c r="A8046" s="22">
        <v>45912</v>
      </c>
      <c r="B8046" s="1">
        <v>718288181</v>
      </c>
      <c r="C8046" t="s">
        <v>6439</v>
      </c>
      <c r="D8046" s="44">
        <v>-60.3</v>
      </c>
      <c r="E8046" t="s">
        <v>35</v>
      </c>
      <c r="F8046" s="2">
        <v>212901001</v>
      </c>
      <c r="G8046" s="2" t="s">
        <v>91</v>
      </c>
      <c r="I8046" s="95" t="s">
        <v>7231</v>
      </c>
      <c r="J8046" t="s">
        <v>61</v>
      </c>
      <c r="K8046" t="s">
        <v>62</v>
      </c>
      <c r="M8046">
        <v>158.93</v>
      </c>
      <c r="N8046" s="4">
        <f t="shared" si="125"/>
        <v>-0.37941231988925939</v>
      </c>
      <c r="O8046" t="s">
        <v>83</v>
      </c>
      <c r="Q8046" s="92"/>
      <c r="S8046" t="s">
        <v>4600</v>
      </c>
      <c r="T8046" t="s">
        <v>6400</v>
      </c>
    </row>
    <row r="8047" spans="1:20" x14ac:dyDescent="0.25">
      <c r="A8047" s="22">
        <v>45912</v>
      </c>
      <c r="B8047" s="1">
        <v>218288143</v>
      </c>
      <c r="C8047" t="s">
        <v>6440</v>
      </c>
      <c r="D8047" s="44">
        <v>-10250.870000000001</v>
      </c>
      <c r="E8047" t="s">
        <v>35</v>
      </c>
      <c r="F8047" s="2">
        <v>212901001</v>
      </c>
      <c r="G8047" s="2" t="s">
        <v>91</v>
      </c>
      <c r="I8047" s="95" t="s">
        <v>7231</v>
      </c>
      <c r="J8047" t="s">
        <v>61</v>
      </c>
      <c r="K8047" t="s">
        <v>62</v>
      </c>
      <c r="M8047">
        <v>158.93</v>
      </c>
      <c r="N8047" s="4">
        <f t="shared" si="125"/>
        <v>-64.499276410998561</v>
      </c>
      <c r="O8047" t="s">
        <v>83</v>
      </c>
      <c r="Q8047" s="92"/>
      <c r="S8047" t="s">
        <v>4600</v>
      </c>
      <c r="T8047" t="s">
        <v>6400</v>
      </c>
    </row>
    <row r="8048" spans="1:20" x14ac:dyDescent="0.25">
      <c r="A8048" s="22">
        <v>45912</v>
      </c>
      <c r="B8048" s="1">
        <v>518288166</v>
      </c>
      <c r="C8048" t="s">
        <v>6441</v>
      </c>
      <c r="D8048" s="44">
        <v>-11807.67</v>
      </c>
      <c r="E8048" t="s">
        <v>35</v>
      </c>
      <c r="F8048" s="2">
        <v>212901001</v>
      </c>
      <c r="G8048" s="2" t="s">
        <v>91</v>
      </c>
      <c r="I8048" s="95" t="s">
        <v>7231</v>
      </c>
      <c r="J8048" t="s">
        <v>61</v>
      </c>
      <c r="K8048" t="s">
        <v>62</v>
      </c>
      <c r="M8048">
        <v>158.93</v>
      </c>
      <c r="N8048" s="4">
        <f t="shared" si="125"/>
        <v>-74.294783867111306</v>
      </c>
      <c r="O8048" t="s">
        <v>83</v>
      </c>
      <c r="Q8048" s="92"/>
      <c r="S8048" t="s">
        <v>4600</v>
      </c>
      <c r="T8048" t="s">
        <v>6400</v>
      </c>
    </row>
    <row r="8049" spans="1:20" x14ac:dyDescent="0.25">
      <c r="A8049" s="22">
        <v>45912</v>
      </c>
      <c r="B8049" s="1">
        <v>218288141</v>
      </c>
      <c r="C8049" t="s">
        <v>6442</v>
      </c>
      <c r="D8049" s="44">
        <v>-11730.38</v>
      </c>
      <c r="E8049" t="s">
        <v>35</v>
      </c>
      <c r="F8049" s="2">
        <v>212901001</v>
      </c>
      <c r="G8049" s="2" t="s">
        <v>91</v>
      </c>
      <c r="I8049" s="95" t="s">
        <v>7231</v>
      </c>
      <c r="J8049" t="s">
        <v>61</v>
      </c>
      <c r="K8049" t="s">
        <v>62</v>
      </c>
      <c r="M8049">
        <v>158.93</v>
      </c>
      <c r="N8049" s="4">
        <f t="shared" si="125"/>
        <v>-73.808469137356056</v>
      </c>
      <c r="O8049" t="s">
        <v>83</v>
      </c>
      <c r="Q8049" s="92"/>
      <c r="S8049" t="s">
        <v>4600</v>
      </c>
      <c r="T8049" t="s">
        <v>6400</v>
      </c>
    </row>
    <row r="8050" spans="1:20" x14ac:dyDescent="0.25">
      <c r="A8050" s="22">
        <v>45912</v>
      </c>
      <c r="B8050" s="1">
        <v>718288183</v>
      </c>
      <c r="C8050" t="s">
        <v>6443</v>
      </c>
      <c r="D8050" s="44">
        <v>-60.3</v>
      </c>
      <c r="E8050" t="s">
        <v>35</v>
      </c>
      <c r="F8050" s="2">
        <v>212901001</v>
      </c>
      <c r="G8050" s="2" t="s">
        <v>91</v>
      </c>
      <c r="I8050" s="95" t="s">
        <v>7231</v>
      </c>
      <c r="J8050" t="s">
        <v>61</v>
      </c>
      <c r="K8050" t="s">
        <v>62</v>
      </c>
      <c r="M8050">
        <v>158.93</v>
      </c>
      <c r="N8050" s="4">
        <f t="shared" si="125"/>
        <v>-0.37941231988925939</v>
      </c>
      <c r="O8050" t="s">
        <v>83</v>
      </c>
      <c r="Q8050" s="92"/>
      <c r="S8050" t="s">
        <v>4600</v>
      </c>
      <c r="T8050" t="s">
        <v>6400</v>
      </c>
    </row>
    <row r="8051" spans="1:20" x14ac:dyDescent="0.25">
      <c r="A8051" s="22">
        <v>45912</v>
      </c>
      <c r="B8051" s="1">
        <v>718288182</v>
      </c>
      <c r="C8051" t="s">
        <v>6444</v>
      </c>
      <c r="D8051" s="44">
        <v>-60.3</v>
      </c>
      <c r="E8051" t="s">
        <v>35</v>
      </c>
      <c r="F8051" s="2">
        <v>212901001</v>
      </c>
      <c r="G8051" s="2" t="s">
        <v>91</v>
      </c>
      <c r="I8051" s="95" t="s">
        <v>7231</v>
      </c>
      <c r="J8051" t="s">
        <v>61</v>
      </c>
      <c r="K8051" t="s">
        <v>62</v>
      </c>
      <c r="M8051">
        <v>158.93</v>
      </c>
      <c r="N8051" s="4">
        <f t="shared" si="125"/>
        <v>-0.37941231988925939</v>
      </c>
      <c r="O8051" t="s">
        <v>83</v>
      </c>
      <c r="Q8051" s="92"/>
      <c r="S8051" t="s">
        <v>4600</v>
      </c>
      <c r="T8051" t="s">
        <v>6400</v>
      </c>
    </row>
    <row r="8052" spans="1:20" x14ac:dyDescent="0.25">
      <c r="A8052" s="22">
        <v>45912</v>
      </c>
      <c r="B8052" s="1">
        <v>718288185</v>
      </c>
      <c r="C8052" t="s">
        <v>6445</v>
      </c>
      <c r="D8052" s="44">
        <v>-60.3</v>
      </c>
      <c r="E8052" t="s">
        <v>35</v>
      </c>
      <c r="F8052" s="2">
        <v>212901001</v>
      </c>
      <c r="G8052" s="2" t="s">
        <v>91</v>
      </c>
      <c r="I8052" s="95" t="s">
        <v>7231</v>
      </c>
      <c r="J8052" t="s">
        <v>61</v>
      </c>
      <c r="K8052" t="s">
        <v>62</v>
      </c>
      <c r="M8052">
        <v>158.93</v>
      </c>
      <c r="N8052" s="4">
        <f t="shared" si="125"/>
        <v>-0.37941231988925939</v>
      </c>
      <c r="O8052" t="s">
        <v>83</v>
      </c>
      <c r="Q8052" s="92"/>
      <c r="S8052" t="s">
        <v>4600</v>
      </c>
      <c r="T8052" t="s">
        <v>6400</v>
      </c>
    </row>
    <row r="8053" spans="1:20" x14ac:dyDescent="0.25">
      <c r="A8053" s="22">
        <v>45912</v>
      </c>
      <c r="B8053" s="1">
        <v>618288177</v>
      </c>
      <c r="C8053" t="s">
        <v>6446</v>
      </c>
      <c r="D8053" s="44">
        <v>-60.3</v>
      </c>
      <c r="E8053" t="s">
        <v>35</v>
      </c>
      <c r="F8053" s="2">
        <v>212901001</v>
      </c>
      <c r="G8053" s="2" t="s">
        <v>91</v>
      </c>
      <c r="I8053" s="95" t="s">
        <v>7231</v>
      </c>
      <c r="J8053" t="s">
        <v>61</v>
      </c>
      <c r="K8053" t="s">
        <v>62</v>
      </c>
      <c r="M8053">
        <v>158.93</v>
      </c>
      <c r="N8053" s="4">
        <f t="shared" si="125"/>
        <v>-0.37941231988925939</v>
      </c>
      <c r="O8053" t="s">
        <v>83</v>
      </c>
      <c r="Q8053" s="92"/>
      <c r="S8053" t="s">
        <v>4600</v>
      </c>
      <c r="T8053" t="s">
        <v>6403</v>
      </c>
    </row>
    <row r="8054" spans="1:20" x14ac:dyDescent="0.25">
      <c r="A8054" s="22">
        <v>45912</v>
      </c>
      <c r="B8054" s="1">
        <v>718288180</v>
      </c>
      <c r="C8054" t="s">
        <v>6447</v>
      </c>
      <c r="D8054" s="44">
        <v>-60.3</v>
      </c>
      <c r="E8054" t="s">
        <v>35</v>
      </c>
      <c r="F8054" s="2">
        <v>212901001</v>
      </c>
      <c r="G8054" s="2" t="s">
        <v>91</v>
      </c>
      <c r="I8054" s="95" t="s">
        <v>7231</v>
      </c>
      <c r="J8054" t="s">
        <v>61</v>
      </c>
      <c r="K8054" t="s">
        <v>62</v>
      </c>
      <c r="M8054">
        <v>158.93</v>
      </c>
      <c r="N8054" s="4">
        <f t="shared" si="125"/>
        <v>-0.37941231988925939</v>
      </c>
      <c r="O8054" t="s">
        <v>83</v>
      </c>
      <c r="Q8054" s="92"/>
      <c r="S8054" t="s">
        <v>4600</v>
      </c>
      <c r="T8054" t="s">
        <v>6400</v>
      </c>
    </row>
    <row r="8055" spans="1:20" x14ac:dyDescent="0.25">
      <c r="A8055" s="22">
        <v>45912</v>
      </c>
      <c r="B8055" s="1">
        <v>818288187</v>
      </c>
      <c r="C8055" t="s">
        <v>6448</v>
      </c>
      <c r="D8055" s="44">
        <v>-60.3</v>
      </c>
      <c r="E8055" t="s">
        <v>35</v>
      </c>
      <c r="F8055" s="2">
        <v>212901001</v>
      </c>
      <c r="G8055" s="2" t="s">
        <v>91</v>
      </c>
      <c r="I8055" s="95" t="s">
        <v>7231</v>
      </c>
      <c r="J8055" t="s">
        <v>61</v>
      </c>
      <c r="K8055" t="s">
        <v>62</v>
      </c>
      <c r="M8055">
        <v>158.93</v>
      </c>
      <c r="N8055" s="4">
        <f t="shared" si="125"/>
        <v>-0.37941231988925939</v>
      </c>
      <c r="O8055" t="s">
        <v>83</v>
      </c>
      <c r="Q8055" s="92"/>
      <c r="S8055" t="s">
        <v>5465</v>
      </c>
      <c r="T8055" t="s">
        <v>6400</v>
      </c>
    </row>
    <row r="8056" spans="1:20" x14ac:dyDescent="0.25">
      <c r="A8056" s="22">
        <v>45912</v>
      </c>
      <c r="B8056" s="1">
        <v>618288170</v>
      </c>
      <c r="C8056" t="s">
        <v>6449</v>
      </c>
      <c r="D8056" s="44">
        <v>-11353.41</v>
      </c>
      <c r="E8056" t="s">
        <v>35</v>
      </c>
      <c r="F8056" s="2">
        <v>212901001</v>
      </c>
      <c r="G8056" s="2" t="s">
        <v>91</v>
      </c>
      <c r="I8056" s="95" t="s">
        <v>7231</v>
      </c>
      <c r="J8056" t="s">
        <v>61</v>
      </c>
      <c r="K8056" t="s">
        <v>62</v>
      </c>
      <c r="M8056">
        <v>158.93</v>
      </c>
      <c r="N8056" s="4">
        <f t="shared" si="125"/>
        <v>-71.436544390612212</v>
      </c>
      <c r="O8056" t="s">
        <v>83</v>
      </c>
      <c r="Q8056" s="92"/>
      <c r="S8056" t="s">
        <v>4600</v>
      </c>
      <c r="T8056" t="s">
        <v>6400</v>
      </c>
    </row>
    <row r="8057" spans="1:20" x14ac:dyDescent="0.25">
      <c r="A8057" s="22">
        <v>45912</v>
      </c>
      <c r="B8057" s="1">
        <v>318288149</v>
      </c>
      <c r="C8057" t="s">
        <v>6450</v>
      </c>
      <c r="D8057" s="44">
        <v>-11567.92</v>
      </c>
      <c r="E8057" t="s">
        <v>35</v>
      </c>
      <c r="F8057" s="2">
        <v>212901001</v>
      </c>
      <c r="G8057" s="2" t="s">
        <v>91</v>
      </c>
      <c r="I8057" s="95" t="s">
        <v>7231</v>
      </c>
      <c r="J8057" t="s">
        <v>61</v>
      </c>
      <c r="K8057" t="s">
        <v>62</v>
      </c>
      <c r="M8057">
        <v>158.93</v>
      </c>
      <c r="N8057" s="4">
        <f t="shared" si="125"/>
        <v>-72.786258101050777</v>
      </c>
      <c r="O8057" t="s">
        <v>83</v>
      </c>
      <c r="Q8057" s="92"/>
      <c r="S8057" t="s">
        <v>4600</v>
      </c>
      <c r="T8057" t="s">
        <v>6400</v>
      </c>
    </row>
    <row r="8058" spans="1:20" x14ac:dyDescent="0.25">
      <c r="A8058" s="22">
        <v>45912</v>
      </c>
      <c r="B8058" s="1">
        <v>818288191</v>
      </c>
      <c r="C8058" t="s">
        <v>6451</v>
      </c>
      <c r="D8058" s="44">
        <v>-60.3</v>
      </c>
      <c r="E8058" t="s">
        <v>35</v>
      </c>
      <c r="F8058" s="2">
        <v>212901001</v>
      </c>
      <c r="G8058" s="2" t="s">
        <v>91</v>
      </c>
      <c r="I8058" s="95" t="s">
        <v>7231</v>
      </c>
      <c r="J8058" t="s">
        <v>61</v>
      </c>
      <c r="K8058" t="s">
        <v>62</v>
      </c>
      <c r="M8058">
        <v>158.93</v>
      </c>
      <c r="N8058" s="4">
        <f t="shared" si="125"/>
        <v>-0.37941231988925939</v>
      </c>
      <c r="O8058" t="s">
        <v>83</v>
      </c>
      <c r="Q8058" s="92"/>
      <c r="S8058" t="s">
        <v>4600</v>
      </c>
      <c r="T8058" t="s">
        <v>6400</v>
      </c>
    </row>
    <row r="8059" spans="1:20" x14ac:dyDescent="0.25">
      <c r="A8059" s="22">
        <v>45912</v>
      </c>
      <c r="B8059" s="1">
        <v>718288186</v>
      </c>
      <c r="C8059" t="s">
        <v>6452</v>
      </c>
      <c r="D8059" s="44">
        <v>-60.3</v>
      </c>
      <c r="E8059" t="s">
        <v>35</v>
      </c>
      <c r="F8059" s="2">
        <v>212901001</v>
      </c>
      <c r="G8059" s="2" t="s">
        <v>91</v>
      </c>
      <c r="I8059" s="95" t="s">
        <v>7231</v>
      </c>
      <c r="J8059" t="s">
        <v>61</v>
      </c>
      <c r="K8059" t="s">
        <v>62</v>
      </c>
      <c r="M8059">
        <v>158.93</v>
      </c>
      <c r="N8059" s="4">
        <f t="shared" si="125"/>
        <v>-0.37941231988925939</v>
      </c>
      <c r="O8059" t="s">
        <v>83</v>
      </c>
      <c r="Q8059" s="92"/>
      <c r="S8059" t="s">
        <v>4600</v>
      </c>
      <c r="T8059" t="s">
        <v>6400</v>
      </c>
    </row>
    <row r="8060" spans="1:20" x14ac:dyDescent="0.25">
      <c r="A8060" s="22">
        <v>45912</v>
      </c>
      <c r="B8060" s="1">
        <v>818288189</v>
      </c>
      <c r="C8060" t="s">
        <v>6453</v>
      </c>
      <c r="D8060" s="44">
        <v>-56.01</v>
      </c>
      <c r="E8060" t="s">
        <v>35</v>
      </c>
      <c r="F8060" s="2">
        <v>212901001</v>
      </c>
      <c r="G8060" s="2" t="s">
        <v>91</v>
      </c>
      <c r="I8060" s="95" t="s">
        <v>7231</v>
      </c>
      <c r="J8060" t="s">
        <v>61</v>
      </c>
      <c r="K8060" t="s">
        <v>62</v>
      </c>
      <c r="M8060">
        <v>158.93</v>
      </c>
      <c r="N8060" s="4">
        <f t="shared" si="125"/>
        <v>-0.35241930409614292</v>
      </c>
      <c r="O8060" t="s">
        <v>83</v>
      </c>
      <c r="Q8060" s="92"/>
      <c r="S8060" t="s">
        <v>4600</v>
      </c>
      <c r="T8060" t="s">
        <v>6400</v>
      </c>
    </row>
    <row r="8061" spans="1:20" x14ac:dyDescent="0.25">
      <c r="A8061" s="22">
        <v>45912</v>
      </c>
      <c r="B8061" s="1">
        <v>818288190</v>
      </c>
      <c r="C8061" t="s">
        <v>6454</v>
      </c>
      <c r="D8061" s="44">
        <v>-60.3</v>
      </c>
      <c r="E8061" t="s">
        <v>35</v>
      </c>
      <c r="F8061" s="2">
        <v>212901001</v>
      </c>
      <c r="G8061" s="2" t="s">
        <v>91</v>
      </c>
      <c r="I8061" s="95" t="s">
        <v>7231</v>
      </c>
      <c r="J8061" t="s">
        <v>61</v>
      </c>
      <c r="K8061" t="s">
        <v>62</v>
      </c>
      <c r="M8061">
        <v>158.93</v>
      </c>
      <c r="N8061" s="4">
        <f t="shared" si="125"/>
        <v>-0.37941231988925939</v>
      </c>
      <c r="O8061" t="s">
        <v>83</v>
      </c>
      <c r="Q8061" s="92"/>
      <c r="S8061" t="s">
        <v>4600</v>
      </c>
      <c r="T8061" t="s">
        <v>6400</v>
      </c>
    </row>
    <row r="8062" spans="1:20" x14ac:dyDescent="0.25">
      <c r="A8062" s="22">
        <v>45912</v>
      </c>
      <c r="B8062" s="1">
        <v>818288188</v>
      </c>
      <c r="C8062" t="s">
        <v>6455</v>
      </c>
      <c r="D8062" s="44">
        <v>-60.3</v>
      </c>
      <c r="E8062" t="s">
        <v>35</v>
      </c>
      <c r="F8062" s="2">
        <v>212901001</v>
      </c>
      <c r="G8062" s="2" t="s">
        <v>91</v>
      </c>
      <c r="I8062" s="95" t="s">
        <v>7231</v>
      </c>
      <c r="J8062" t="s">
        <v>61</v>
      </c>
      <c r="K8062" t="s">
        <v>62</v>
      </c>
      <c r="M8062">
        <v>158.93</v>
      </c>
      <c r="N8062" s="4">
        <f t="shared" si="125"/>
        <v>-0.37941231988925939</v>
      </c>
      <c r="O8062" t="s">
        <v>83</v>
      </c>
      <c r="Q8062" s="92"/>
      <c r="S8062" t="s">
        <v>5465</v>
      </c>
      <c r="T8062" t="s">
        <v>6400</v>
      </c>
    </row>
    <row r="8063" spans="1:20" x14ac:dyDescent="0.25">
      <c r="A8063" s="22">
        <v>45912</v>
      </c>
      <c r="B8063" s="1">
        <v>918288195</v>
      </c>
      <c r="C8063" t="s">
        <v>6456</v>
      </c>
      <c r="D8063" s="44">
        <v>-60.3</v>
      </c>
      <c r="E8063" t="s">
        <v>35</v>
      </c>
      <c r="F8063" s="2">
        <v>212901001</v>
      </c>
      <c r="G8063" s="2" t="s">
        <v>91</v>
      </c>
      <c r="I8063" s="95" t="s">
        <v>7231</v>
      </c>
      <c r="J8063" t="s">
        <v>61</v>
      </c>
      <c r="K8063" t="s">
        <v>62</v>
      </c>
      <c r="M8063">
        <v>158.93</v>
      </c>
      <c r="N8063" s="4">
        <f t="shared" si="125"/>
        <v>-0.37941231988925939</v>
      </c>
      <c r="O8063" t="s">
        <v>83</v>
      </c>
      <c r="Q8063" s="92"/>
      <c r="S8063" t="s">
        <v>4600</v>
      </c>
      <c r="T8063" t="s">
        <v>6400</v>
      </c>
    </row>
    <row r="8064" spans="1:20" x14ac:dyDescent="0.25">
      <c r="A8064" s="22">
        <v>45912</v>
      </c>
      <c r="B8064" s="1">
        <v>818288193</v>
      </c>
      <c r="C8064" t="s">
        <v>6457</v>
      </c>
      <c r="D8064" s="44">
        <v>-60.3</v>
      </c>
      <c r="E8064" t="s">
        <v>35</v>
      </c>
      <c r="F8064" s="2">
        <v>212901001</v>
      </c>
      <c r="G8064" s="2" t="s">
        <v>91</v>
      </c>
      <c r="I8064" s="95" t="s">
        <v>7231</v>
      </c>
      <c r="J8064" t="s">
        <v>61</v>
      </c>
      <c r="K8064" t="s">
        <v>62</v>
      </c>
      <c r="M8064">
        <v>158.93</v>
      </c>
      <c r="N8064" s="4">
        <f t="shared" si="125"/>
        <v>-0.37941231988925939</v>
      </c>
      <c r="O8064" t="s">
        <v>83</v>
      </c>
      <c r="Q8064" s="92"/>
      <c r="S8064" t="s">
        <v>5465</v>
      </c>
      <c r="T8064" t="s">
        <v>6400</v>
      </c>
    </row>
    <row r="8065" spans="1:20" x14ac:dyDescent="0.25">
      <c r="A8065" s="22">
        <v>45912</v>
      </c>
      <c r="B8065" s="1">
        <v>818288192</v>
      </c>
      <c r="C8065" t="s">
        <v>6458</v>
      </c>
      <c r="D8065" s="44">
        <v>-60.3</v>
      </c>
      <c r="E8065" t="s">
        <v>35</v>
      </c>
      <c r="F8065" s="2">
        <v>212901001</v>
      </c>
      <c r="G8065" s="2" t="s">
        <v>91</v>
      </c>
      <c r="I8065" s="95" t="s">
        <v>7231</v>
      </c>
      <c r="J8065" t="s">
        <v>61</v>
      </c>
      <c r="K8065" t="s">
        <v>62</v>
      </c>
      <c r="M8065">
        <v>158.93</v>
      </c>
      <c r="N8065" s="4">
        <f t="shared" si="125"/>
        <v>-0.37941231988925939</v>
      </c>
      <c r="O8065" t="s">
        <v>83</v>
      </c>
      <c r="Q8065" s="92"/>
      <c r="S8065" t="s">
        <v>4600</v>
      </c>
      <c r="T8065" t="s">
        <v>6400</v>
      </c>
    </row>
    <row r="8066" spans="1:20" x14ac:dyDescent="0.25">
      <c r="A8066" s="22">
        <v>45912</v>
      </c>
      <c r="B8066" s="1">
        <v>718288184</v>
      </c>
      <c r="C8066" t="s">
        <v>6459</v>
      </c>
      <c r="D8066" s="44">
        <v>-56.01</v>
      </c>
      <c r="E8066" t="s">
        <v>35</v>
      </c>
      <c r="F8066" s="2">
        <v>212901001</v>
      </c>
      <c r="G8066" s="2" t="s">
        <v>91</v>
      </c>
      <c r="I8066" s="95" t="s">
        <v>7231</v>
      </c>
      <c r="J8066" t="s">
        <v>61</v>
      </c>
      <c r="K8066" t="s">
        <v>62</v>
      </c>
      <c r="M8066">
        <v>158.93</v>
      </c>
      <c r="N8066" s="4">
        <f t="shared" si="125"/>
        <v>-0.35241930409614292</v>
      </c>
      <c r="O8066" t="s">
        <v>83</v>
      </c>
      <c r="Q8066" s="92"/>
      <c r="S8066" t="s">
        <v>4600</v>
      </c>
      <c r="T8066" t="s">
        <v>6400</v>
      </c>
    </row>
    <row r="8067" spans="1:20" x14ac:dyDescent="0.25">
      <c r="A8067" s="22">
        <v>45912</v>
      </c>
      <c r="B8067" s="1">
        <v>918288196</v>
      </c>
      <c r="C8067" t="s">
        <v>6460</v>
      </c>
      <c r="D8067" s="44">
        <v>-60.3</v>
      </c>
      <c r="E8067" t="s">
        <v>35</v>
      </c>
      <c r="F8067" s="2">
        <v>212901001</v>
      </c>
      <c r="G8067" s="2" t="s">
        <v>91</v>
      </c>
      <c r="I8067" s="95" t="s">
        <v>7231</v>
      </c>
      <c r="J8067" t="s">
        <v>61</v>
      </c>
      <c r="K8067" t="s">
        <v>62</v>
      </c>
      <c r="M8067">
        <v>158.93</v>
      </c>
      <c r="N8067" s="4">
        <f t="shared" si="125"/>
        <v>-0.37941231988925939</v>
      </c>
      <c r="O8067" t="s">
        <v>83</v>
      </c>
      <c r="Q8067" s="92"/>
      <c r="S8067" t="s">
        <v>5465</v>
      </c>
      <c r="T8067" t="s">
        <v>6400</v>
      </c>
    </row>
    <row r="8068" spans="1:20" x14ac:dyDescent="0.25">
      <c r="A8068" s="22">
        <v>45912</v>
      </c>
      <c r="B8068" s="1">
        <v>818288194</v>
      </c>
      <c r="C8068" t="s">
        <v>6461</v>
      </c>
      <c r="D8068" s="44">
        <v>-60.3</v>
      </c>
      <c r="E8068" t="s">
        <v>35</v>
      </c>
      <c r="F8068" s="2">
        <v>212901001</v>
      </c>
      <c r="G8068" s="2" t="s">
        <v>91</v>
      </c>
      <c r="I8068" s="95" t="s">
        <v>7231</v>
      </c>
      <c r="J8068" t="s">
        <v>61</v>
      </c>
      <c r="K8068" t="s">
        <v>62</v>
      </c>
      <c r="M8068">
        <v>158.93</v>
      </c>
      <c r="N8068" s="4">
        <f t="shared" si="125"/>
        <v>-0.37941231988925939</v>
      </c>
      <c r="O8068" t="s">
        <v>83</v>
      </c>
      <c r="Q8068" s="92"/>
      <c r="S8068" t="s">
        <v>5465</v>
      </c>
      <c r="T8068" t="s">
        <v>6400</v>
      </c>
    </row>
    <row r="8069" spans="1:20" x14ac:dyDescent="0.25">
      <c r="A8069" s="22">
        <v>45912</v>
      </c>
      <c r="B8069" s="1">
        <v>918288197</v>
      </c>
      <c r="C8069" t="s">
        <v>6462</v>
      </c>
      <c r="D8069" s="44">
        <v>-60.3</v>
      </c>
      <c r="E8069" t="s">
        <v>35</v>
      </c>
      <c r="F8069" s="2">
        <v>212901001</v>
      </c>
      <c r="G8069" s="2" t="s">
        <v>91</v>
      </c>
      <c r="I8069" s="95" t="s">
        <v>7231</v>
      </c>
      <c r="J8069" t="s">
        <v>61</v>
      </c>
      <c r="K8069" t="s">
        <v>62</v>
      </c>
      <c r="M8069">
        <v>158.93</v>
      </c>
      <c r="N8069" s="4">
        <f t="shared" si="125"/>
        <v>-0.37941231988925939</v>
      </c>
      <c r="O8069" t="s">
        <v>83</v>
      </c>
      <c r="Q8069" s="92"/>
      <c r="S8069" t="s">
        <v>4600</v>
      </c>
      <c r="T8069" t="s">
        <v>6400</v>
      </c>
    </row>
    <row r="8070" spans="1:20" x14ac:dyDescent="0.25">
      <c r="A8070" s="22">
        <v>45912</v>
      </c>
      <c r="B8070" s="1">
        <v>918288198</v>
      </c>
      <c r="C8070" t="s">
        <v>6463</v>
      </c>
      <c r="D8070" s="44">
        <v>-60.3</v>
      </c>
      <c r="E8070" t="s">
        <v>35</v>
      </c>
      <c r="F8070" s="2">
        <v>212901001</v>
      </c>
      <c r="G8070" s="2" t="s">
        <v>91</v>
      </c>
      <c r="I8070" s="95" t="s">
        <v>7231</v>
      </c>
      <c r="J8070" t="s">
        <v>61</v>
      </c>
      <c r="K8070" t="s">
        <v>62</v>
      </c>
      <c r="M8070">
        <v>158.93</v>
      </c>
      <c r="N8070" s="4">
        <f t="shared" si="125"/>
        <v>-0.37941231988925939</v>
      </c>
      <c r="O8070" t="s">
        <v>83</v>
      </c>
      <c r="Q8070" s="92"/>
      <c r="S8070" t="s">
        <v>4600</v>
      </c>
      <c r="T8070" t="s">
        <v>6400</v>
      </c>
    </row>
    <row r="8071" spans="1:20" x14ac:dyDescent="0.25">
      <c r="A8071" s="22">
        <v>45912</v>
      </c>
      <c r="B8071" s="1">
        <v>918288202</v>
      </c>
      <c r="C8071" t="s">
        <v>6464</v>
      </c>
      <c r="D8071" s="44">
        <v>-60.3</v>
      </c>
      <c r="E8071" t="s">
        <v>35</v>
      </c>
      <c r="F8071" s="2">
        <v>212901001</v>
      </c>
      <c r="G8071" s="2" t="s">
        <v>91</v>
      </c>
      <c r="I8071" s="95" t="s">
        <v>7231</v>
      </c>
      <c r="J8071" t="s">
        <v>61</v>
      </c>
      <c r="K8071" t="s">
        <v>62</v>
      </c>
      <c r="M8071">
        <v>158.93</v>
      </c>
      <c r="N8071" s="4">
        <f t="shared" si="125"/>
        <v>-0.37941231988925939</v>
      </c>
      <c r="O8071" t="s">
        <v>83</v>
      </c>
      <c r="Q8071" s="92"/>
      <c r="S8071" t="s">
        <v>5465</v>
      </c>
      <c r="T8071" t="s">
        <v>6400</v>
      </c>
    </row>
    <row r="8072" spans="1:20" x14ac:dyDescent="0.25">
      <c r="A8072" s="22">
        <v>45912</v>
      </c>
      <c r="B8072" s="1">
        <v>918288203</v>
      </c>
      <c r="C8072" t="s">
        <v>6465</v>
      </c>
      <c r="D8072" s="44">
        <v>-60.3</v>
      </c>
      <c r="E8072" t="s">
        <v>35</v>
      </c>
      <c r="F8072" s="2">
        <v>212901001</v>
      </c>
      <c r="G8072" s="2" t="s">
        <v>91</v>
      </c>
      <c r="I8072" s="95" t="s">
        <v>7231</v>
      </c>
      <c r="J8072" t="s">
        <v>61</v>
      </c>
      <c r="K8072" t="s">
        <v>62</v>
      </c>
      <c r="M8072">
        <v>158.93</v>
      </c>
      <c r="N8072" s="4">
        <f t="shared" si="125"/>
        <v>-0.37941231988925939</v>
      </c>
      <c r="O8072" t="s">
        <v>83</v>
      </c>
      <c r="Q8072" s="92"/>
      <c r="S8072" t="s">
        <v>4600</v>
      </c>
      <c r="T8072" t="s">
        <v>6400</v>
      </c>
    </row>
    <row r="8073" spans="1:20" x14ac:dyDescent="0.25">
      <c r="A8073" s="22">
        <v>45912</v>
      </c>
      <c r="B8073" s="1">
        <v>918288200</v>
      </c>
      <c r="C8073" t="s">
        <v>6466</v>
      </c>
      <c r="D8073" s="44">
        <v>-60.3</v>
      </c>
      <c r="E8073" t="s">
        <v>35</v>
      </c>
      <c r="F8073" s="2">
        <v>212901001</v>
      </c>
      <c r="G8073" s="2" t="s">
        <v>91</v>
      </c>
      <c r="I8073" s="95" t="s">
        <v>7231</v>
      </c>
      <c r="J8073" t="s">
        <v>61</v>
      </c>
      <c r="K8073" t="s">
        <v>62</v>
      </c>
      <c r="M8073">
        <v>158.93</v>
      </c>
      <c r="N8073" s="4">
        <f t="shared" si="125"/>
        <v>-0.37941231988925939</v>
      </c>
      <c r="O8073" t="s">
        <v>83</v>
      </c>
      <c r="Q8073" s="92"/>
      <c r="S8073" t="s">
        <v>4600</v>
      </c>
      <c r="T8073" t="s">
        <v>6400</v>
      </c>
    </row>
    <row r="8074" spans="1:20" x14ac:dyDescent="0.25">
      <c r="A8074" s="22">
        <v>45912</v>
      </c>
      <c r="B8074" s="1">
        <v>918288201</v>
      </c>
      <c r="C8074" t="s">
        <v>6467</v>
      </c>
      <c r="D8074" s="44">
        <v>-60.3</v>
      </c>
      <c r="E8074" t="s">
        <v>35</v>
      </c>
      <c r="F8074" s="2">
        <v>212901001</v>
      </c>
      <c r="G8074" s="2" t="s">
        <v>91</v>
      </c>
      <c r="I8074" s="95" t="s">
        <v>7231</v>
      </c>
      <c r="J8074" t="s">
        <v>61</v>
      </c>
      <c r="K8074" t="s">
        <v>62</v>
      </c>
      <c r="M8074">
        <v>158.93</v>
      </c>
      <c r="N8074" s="4">
        <f t="shared" si="125"/>
        <v>-0.37941231988925939</v>
      </c>
      <c r="O8074" t="s">
        <v>83</v>
      </c>
      <c r="Q8074" s="92"/>
      <c r="S8074" t="s">
        <v>4600</v>
      </c>
      <c r="T8074" t="s">
        <v>6400</v>
      </c>
    </row>
    <row r="8075" spans="1:20" x14ac:dyDescent="0.25">
      <c r="A8075" s="22">
        <v>45912</v>
      </c>
      <c r="B8075" s="1">
        <v>918288204</v>
      </c>
      <c r="C8075" t="s">
        <v>6468</v>
      </c>
      <c r="D8075" s="44">
        <v>-60.3</v>
      </c>
      <c r="E8075" t="s">
        <v>35</v>
      </c>
      <c r="F8075" s="2">
        <v>212901001</v>
      </c>
      <c r="G8075" s="2" t="s">
        <v>91</v>
      </c>
      <c r="I8075" s="95" t="s">
        <v>7231</v>
      </c>
      <c r="J8075" t="s">
        <v>61</v>
      </c>
      <c r="K8075" t="s">
        <v>62</v>
      </c>
      <c r="M8075">
        <v>158.93</v>
      </c>
      <c r="N8075" s="4">
        <f t="shared" si="125"/>
        <v>-0.37941231988925939</v>
      </c>
      <c r="O8075" t="s">
        <v>83</v>
      </c>
      <c r="Q8075" s="92"/>
      <c r="S8075" t="s">
        <v>4600</v>
      </c>
      <c r="T8075" t="s">
        <v>6400</v>
      </c>
    </row>
    <row r="8076" spans="1:20" x14ac:dyDescent="0.25">
      <c r="A8076" s="22">
        <v>45912</v>
      </c>
      <c r="B8076" s="1">
        <v>18288205</v>
      </c>
      <c r="C8076" t="s">
        <v>6469</v>
      </c>
      <c r="D8076" s="44">
        <v>-60.3</v>
      </c>
      <c r="E8076" t="s">
        <v>35</v>
      </c>
      <c r="F8076" s="2">
        <v>212901001</v>
      </c>
      <c r="G8076" s="2" t="s">
        <v>91</v>
      </c>
      <c r="I8076" s="95" t="s">
        <v>7231</v>
      </c>
      <c r="J8076" t="s">
        <v>61</v>
      </c>
      <c r="K8076" t="s">
        <v>62</v>
      </c>
      <c r="M8076">
        <v>158.93</v>
      </c>
      <c r="N8076" s="4">
        <f t="shared" ref="N8076:N8139" si="126">D8076/M8076</f>
        <v>-0.37941231988925939</v>
      </c>
      <c r="O8076" t="s">
        <v>83</v>
      </c>
      <c r="Q8076" s="92"/>
      <c r="S8076" t="s">
        <v>4600</v>
      </c>
      <c r="T8076" t="s">
        <v>6400</v>
      </c>
    </row>
    <row r="8077" spans="1:20" x14ac:dyDescent="0.25">
      <c r="A8077" s="22">
        <v>45912</v>
      </c>
      <c r="B8077" s="1">
        <v>18288206</v>
      </c>
      <c r="C8077" t="s">
        <v>6470</v>
      </c>
      <c r="D8077" s="44">
        <v>-56.01</v>
      </c>
      <c r="E8077" t="s">
        <v>35</v>
      </c>
      <c r="F8077" s="2">
        <v>212901001</v>
      </c>
      <c r="G8077" s="2" t="s">
        <v>91</v>
      </c>
      <c r="I8077" s="95" t="s">
        <v>7231</v>
      </c>
      <c r="J8077" t="s">
        <v>61</v>
      </c>
      <c r="K8077" t="s">
        <v>62</v>
      </c>
      <c r="M8077">
        <v>158.93</v>
      </c>
      <c r="N8077" s="4">
        <f t="shared" si="126"/>
        <v>-0.35241930409614292</v>
      </c>
      <c r="O8077" t="s">
        <v>83</v>
      </c>
      <c r="Q8077" s="92"/>
      <c r="S8077" t="s">
        <v>4600</v>
      </c>
      <c r="T8077" t="s">
        <v>6400</v>
      </c>
    </row>
    <row r="8078" spans="1:20" x14ac:dyDescent="0.25">
      <c r="A8078" s="22">
        <v>45912</v>
      </c>
      <c r="B8078" s="1">
        <v>50962128</v>
      </c>
      <c r="C8078" t="s">
        <v>89</v>
      </c>
      <c r="D8078" s="44">
        <v>-1331.65</v>
      </c>
      <c r="E8078" t="s">
        <v>35</v>
      </c>
      <c r="F8078" s="2">
        <v>610148001</v>
      </c>
      <c r="G8078" s="2" t="s">
        <v>41</v>
      </c>
      <c r="I8078" s="95" t="s">
        <v>7231</v>
      </c>
      <c r="J8078" t="s">
        <v>42</v>
      </c>
      <c r="K8078" t="s">
        <v>41</v>
      </c>
      <c r="M8078">
        <v>158.93</v>
      </c>
      <c r="N8078" s="4">
        <f t="shared" si="126"/>
        <v>-8.378846032844649</v>
      </c>
      <c r="O8078" t="s">
        <v>83</v>
      </c>
      <c r="Q8078" s="91" t="s">
        <v>6298</v>
      </c>
    </row>
    <row r="8079" spans="1:20" x14ac:dyDescent="0.25">
      <c r="A8079" s="22">
        <v>45912</v>
      </c>
      <c r="B8079" s="1">
        <v>98943285</v>
      </c>
      <c r="C8079" t="s">
        <v>98</v>
      </c>
      <c r="D8079" s="44">
        <v>725000</v>
      </c>
      <c r="E8079" t="s">
        <v>45</v>
      </c>
      <c r="F8079" s="2">
        <v>210115002</v>
      </c>
      <c r="G8079" s="2" t="s">
        <v>5259</v>
      </c>
      <c r="I8079" s="95" t="s">
        <v>7231</v>
      </c>
      <c r="K8079" t="s">
        <v>98</v>
      </c>
      <c r="M8079">
        <v>158.93</v>
      </c>
      <c r="N8079" s="4">
        <f t="shared" si="126"/>
        <v>4561.756748253948</v>
      </c>
      <c r="O8079" t="s">
        <v>83</v>
      </c>
      <c r="Q8079" s="92"/>
    </row>
    <row r="8080" spans="1:20" x14ac:dyDescent="0.25">
      <c r="A8080" s="22">
        <v>45916</v>
      </c>
      <c r="B8080" s="1">
        <v>601906497</v>
      </c>
      <c r="C8080" t="s">
        <v>6471</v>
      </c>
      <c r="D8080" s="44">
        <v>-678285.56</v>
      </c>
      <c r="E8080" t="s">
        <v>35</v>
      </c>
      <c r="F8080" s="2">
        <v>210101001</v>
      </c>
      <c r="G8080" s="2" t="s">
        <v>36</v>
      </c>
      <c r="I8080" s="95" t="s">
        <v>7231</v>
      </c>
      <c r="J8080" t="s">
        <v>37</v>
      </c>
      <c r="K8080" t="s">
        <v>38</v>
      </c>
      <c r="M8080">
        <v>160.44999999999999</v>
      </c>
      <c r="N8080" s="4">
        <f t="shared" si="126"/>
        <v>-4227.3952009971963</v>
      </c>
      <c r="O8080" t="s">
        <v>83</v>
      </c>
      <c r="Q8080" s="92"/>
    </row>
    <row r="8081" spans="1:17" x14ac:dyDescent="0.25">
      <c r="A8081" s="22">
        <v>45916</v>
      </c>
      <c r="B8081" s="1">
        <v>601906497</v>
      </c>
      <c r="C8081" t="s">
        <v>185</v>
      </c>
      <c r="D8081" s="44">
        <v>-2034.86</v>
      </c>
      <c r="E8081" t="s">
        <v>35</v>
      </c>
      <c r="F8081" s="2">
        <v>610148001</v>
      </c>
      <c r="G8081" s="2" t="s">
        <v>41</v>
      </c>
      <c r="I8081" s="95" t="s">
        <v>7231</v>
      </c>
      <c r="J8081" t="s">
        <v>42</v>
      </c>
      <c r="K8081" t="s">
        <v>41</v>
      </c>
      <c r="M8081">
        <v>160.44999999999999</v>
      </c>
      <c r="N8081" s="4">
        <f t="shared" si="126"/>
        <v>-12.682206294795886</v>
      </c>
      <c r="O8081" t="s">
        <v>83</v>
      </c>
      <c r="Q8081" s="91" t="s">
        <v>6298</v>
      </c>
    </row>
    <row r="8082" spans="1:17" x14ac:dyDescent="0.25">
      <c r="A8082" s="22">
        <v>45917</v>
      </c>
      <c r="B8082" s="1">
        <v>583580580</v>
      </c>
      <c r="C8082" t="s">
        <v>293</v>
      </c>
      <c r="D8082" s="44">
        <v>940000</v>
      </c>
      <c r="E8082" t="s">
        <v>45</v>
      </c>
      <c r="F8082" s="2">
        <v>210115002</v>
      </c>
      <c r="G8082" s="2" t="s">
        <v>5259</v>
      </c>
      <c r="I8082" s="95" t="s">
        <v>7231</v>
      </c>
      <c r="K8082" t="s">
        <v>293</v>
      </c>
      <c r="M8082">
        <v>161.88999999999999</v>
      </c>
      <c r="N8082" s="4">
        <f t="shared" si="126"/>
        <v>5806.4117610723333</v>
      </c>
      <c r="O8082" t="s">
        <v>83</v>
      </c>
      <c r="Q8082" s="92"/>
    </row>
    <row r="8083" spans="1:17" x14ac:dyDescent="0.25">
      <c r="A8083" s="22">
        <v>45917</v>
      </c>
      <c r="B8083" s="1">
        <v>518491324</v>
      </c>
      <c r="C8083" t="s">
        <v>5981</v>
      </c>
      <c r="D8083" s="44">
        <v>-27187.22</v>
      </c>
      <c r="E8083" t="s">
        <v>35</v>
      </c>
      <c r="F8083" s="2">
        <v>110114001</v>
      </c>
      <c r="G8083" s="2" t="s">
        <v>181</v>
      </c>
      <c r="I8083" s="95" t="s">
        <v>7231</v>
      </c>
      <c r="J8083" t="s">
        <v>37</v>
      </c>
      <c r="K8083" t="s">
        <v>38</v>
      </c>
      <c r="M8083">
        <v>161.88999999999999</v>
      </c>
      <c r="N8083" s="4">
        <f t="shared" si="126"/>
        <v>-167.93637655197975</v>
      </c>
      <c r="O8083" t="s">
        <v>83</v>
      </c>
      <c r="Q8083" s="92"/>
    </row>
    <row r="8084" spans="1:17" x14ac:dyDescent="0.25">
      <c r="A8084" s="22">
        <v>45917</v>
      </c>
      <c r="B8084" s="1">
        <v>518491325</v>
      </c>
      <c r="C8084" t="s">
        <v>6472</v>
      </c>
      <c r="D8084" s="44">
        <v>-40472.5</v>
      </c>
      <c r="E8084" t="s">
        <v>35</v>
      </c>
      <c r="F8084" s="2">
        <v>110114001</v>
      </c>
      <c r="G8084" s="2" t="s">
        <v>181</v>
      </c>
      <c r="I8084" s="95" t="s">
        <v>7231</v>
      </c>
      <c r="K8084" t="s">
        <v>1256</v>
      </c>
      <c r="M8084">
        <v>161.88999999999999</v>
      </c>
      <c r="N8084" s="4">
        <f t="shared" si="126"/>
        <v>-250.00000000000003</v>
      </c>
      <c r="O8084" t="s">
        <v>83</v>
      </c>
      <c r="Q8084" s="92"/>
    </row>
    <row r="8085" spans="1:17" x14ac:dyDescent="0.25">
      <c r="A8085" s="22">
        <v>45917</v>
      </c>
      <c r="B8085" s="1">
        <v>518491326</v>
      </c>
      <c r="C8085" t="s">
        <v>6473</v>
      </c>
      <c r="D8085" s="44">
        <v>-895957.77</v>
      </c>
      <c r="E8085" t="s">
        <v>35</v>
      </c>
      <c r="F8085" s="2">
        <v>210101001</v>
      </c>
      <c r="G8085" s="2" t="s">
        <v>36</v>
      </c>
      <c r="I8085" s="95" t="s">
        <v>7231</v>
      </c>
      <c r="J8085" t="s">
        <v>37</v>
      </c>
      <c r="K8085" t="s">
        <v>38</v>
      </c>
      <c r="M8085">
        <v>161.88999999999999</v>
      </c>
      <c r="N8085" s="4">
        <f t="shared" si="126"/>
        <v>-5534.3614182469582</v>
      </c>
      <c r="O8085" t="s">
        <v>83</v>
      </c>
      <c r="Q8085" s="92"/>
    </row>
    <row r="8086" spans="1:17" x14ac:dyDescent="0.25">
      <c r="A8086" s="22">
        <v>45917</v>
      </c>
      <c r="B8086" s="1">
        <v>50998780</v>
      </c>
      <c r="C8086" t="s">
        <v>89</v>
      </c>
      <c r="D8086" s="44">
        <v>-2409.04</v>
      </c>
      <c r="E8086" t="s">
        <v>35</v>
      </c>
      <c r="F8086" s="2">
        <v>610148001</v>
      </c>
      <c r="G8086" s="2" t="s">
        <v>41</v>
      </c>
      <c r="I8086" s="95" t="s">
        <v>7231</v>
      </c>
      <c r="J8086" t="s">
        <v>42</v>
      </c>
      <c r="K8086" t="s">
        <v>41</v>
      </c>
      <c r="M8086">
        <v>161.88999999999999</v>
      </c>
      <c r="N8086" s="4">
        <f t="shared" si="126"/>
        <v>-14.880721477546484</v>
      </c>
      <c r="O8086" t="s">
        <v>83</v>
      </c>
      <c r="Q8086" s="91" t="s">
        <v>6298</v>
      </c>
    </row>
    <row r="8087" spans="1:17" x14ac:dyDescent="0.25">
      <c r="A8087" s="22">
        <v>45919</v>
      </c>
      <c r="B8087" s="1">
        <v>101445521</v>
      </c>
      <c r="C8087" t="s">
        <v>82</v>
      </c>
      <c r="D8087" s="44">
        <v>750000</v>
      </c>
      <c r="E8087" t="s">
        <v>45</v>
      </c>
      <c r="F8087" s="2">
        <v>210115002</v>
      </c>
      <c r="G8087" s="2" t="s">
        <v>5259</v>
      </c>
      <c r="I8087" s="95" t="s">
        <v>7231</v>
      </c>
      <c r="K8087" t="s">
        <v>82</v>
      </c>
      <c r="M8087">
        <v>165.41</v>
      </c>
      <c r="N8087" s="4">
        <f t="shared" si="126"/>
        <v>4534.1877758297569</v>
      </c>
      <c r="O8087" t="s">
        <v>83</v>
      </c>
      <c r="Q8087" s="92"/>
    </row>
    <row r="8088" spans="1:17" x14ac:dyDescent="0.25">
      <c r="A8088" s="22">
        <v>45919</v>
      </c>
      <c r="B8088" s="1">
        <v>518545812</v>
      </c>
      <c r="C8088" t="s">
        <v>6474</v>
      </c>
      <c r="D8088" s="44">
        <v>-13092</v>
      </c>
      <c r="E8088" t="s">
        <v>35</v>
      </c>
      <c r="F8088" s="2">
        <v>212901001</v>
      </c>
      <c r="G8088" s="2" t="s">
        <v>91</v>
      </c>
      <c r="I8088" s="95" t="s">
        <v>7231</v>
      </c>
      <c r="J8088" t="s">
        <v>61</v>
      </c>
      <c r="K8088" t="s">
        <v>62</v>
      </c>
      <c r="M8088">
        <v>165.41</v>
      </c>
      <c r="N8088" s="4">
        <f t="shared" si="126"/>
        <v>-79.148781814884231</v>
      </c>
      <c r="O8088" t="s">
        <v>83</v>
      </c>
      <c r="Q8088" s="92"/>
    </row>
    <row r="8089" spans="1:17" x14ac:dyDescent="0.25">
      <c r="A8089" s="22">
        <v>45919</v>
      </c>
      <c r="B8089" s="1">
        <v>518545813</v>
      </c>
      <c r="C8089" t="s">
        <v>6475</v>
      </c>
      <c r="D8089" s="44">
        <v>-9819</v>
      </c>
      <c r="E8089" t="s">
        <v>35</v>
      </c>
      <c r="F8089" s="2">
        <v>212901001</v>
      </c>
      <c r="G8089" s="2" t="s">
        <v>91</v>
      </c>
      <c r="I8089" s="95" t="s">
        <v>7231</v>
      </c>
      <c r="J8089" t="s">
        <v>61</v>
      </c>
      <c r="K8089" t="s">
        <v>62</v>
      </c>
      <c r="M8089">
        <v>165.41</v>
      </c>
      <c r="N8089" s="4">
        <f t="shared" si="126"/>
        <v>-59.36158636116317</v>
      </c>
      <c r="O8089" t="s">
        <v>83</v>
      </c>
      <c r="Q8089" s="92"/>
    </row>
    <row r="8090" spans="1:17" x14ac:dyDescent="0.25">
      <c r="A8090" s="22">
        <v>45919</v>
      </c>
      <c r="B8090" s="1">
        <v>518545816</v>
      </c>
      <c r="C8090" t="s">
        <v>6476</v>
      </c>
      <c r="D8090" s="44">
        <v>-9819</v>
      </c>
      <c r="E8090" t="s">
        <v>35</v>
      </c>
      <c r="F8090" s="2">
        <v>212901001</v>
      </c>
      <c r="G8090" s="2" t="s">
        <v>91</v>
      </c>
      <c r="I8090" s="95" t="s">
        <v>7231</v>
      </c>
      <c r="J8090" t="s">
        <v>61</v>
      </c>
      <c r="K8090" t="s">
        <v>62</v>
      </c>
      <c r="M8090">
        <v>165.41</v>
      </c>
      <c r="N8090" s="4">
        <f t="shared" si="126"/>
        <v>-59.36158636116317</v>
      </c>
      <c r="O8090" t="s">
        <v>83</v>
      </c>
      <c r="Q8090" s="92"/>
    </row>
    <row r="8091" spans="1:17" x14ac:dyDescent="0.25">
      <c r="A8091" s="22">
        <v>45919</v>
      </c>
      <c r="B8091" s="1">
        <v>518545814</v>
      </c>
      <c r="C8091" t="s">
        <v>6477</v>
      </c>
      <c r="D8091" s="44">
        <v>-9819</v>
      </c>
      <c r="E8091" t="s">
        <v>35</v>
      </c>
      <c r="F8091" s="2">
        <v>212901001</v>
      </c>
      <c r="G8091" s="2" t="s">
        <v>91</v>
      </c>
      <c r="I8091" s="95" t="s">
        <v>7231</v>
      </c>
      <c r="J8091" t="s">
        <v>61</v>
      </c>
      <c r="K8091" t="s">
        <v>62</v>
      </c>
      <c r="M8091">
        <v>165.41</v>
      </c>
      <c r="N8091" s="4">
        <f t="shared" si="126"/>
        <v>-59.36158636116317</v>
      </c>
      <c r="O8091" t="s">
        <v>83</v>
      </c>
      <c r="Q8091" s="92"/>
    </row>
    <row r="8092" spans="1:17" x14ac:dyDescent="0.25">
      <c r="A8092" s="22">
        <v>45919</v>
      </c>
      <c r="B8092" s="1">
        <v>518545815</v>
      </c>
      <c r="C8092" t="s">
        <v>6478</v>
      </c>
      <c r="D8092" s="44">
        <v>-9819</v>
      </c>
      <c r="E8092" t="s">
        <v>35</v>
      </c>
      <c r="F8092" s="2">
        <v>212901001</v>
      </c>
      <c r="G8092" s="2" t="s">
        <v>91</v>
      </c>
      <c r="I8092" s="95" t="s">
        <v>7231</v>
      </c>
      <c r="J8092" t="s">
        <v>61</v>
      </c>
      <c r="K8092" t="s">
        <v>62</v>
      </c>
      <c r="M8092">
        <v>165.41</v>
      </c>
      <c r="N8092" s="4">
        <f t="shared" si="126"/>
        <v>-59.36158636116317</v>
      </c>
      <c r="O8092" t="s">
        <v>83</v>
      </c>
      <c r="Q8092" s="92"/>
    </row>
    <row r="8093" spans="1:17" x14ac:dyDescent="0.25">
      <c r="A8093" s="22">
        <v>45919</v>
      </c>
      <c r="B8093" s="1">
        <v>518545817</v>
      </c>
      <c r="C8093" t="s">
        <v>6479</v>
      </c>
      <c r="D8093" s="44">
        <v>-9819</v>
      </c>
      <c r="E8093" t="s">
        <v>35</v>
      </c>
      <c r="F8093" s="2">
        <v>212901001</v>
      </c>
      <c r="G8093" s="2" t="s">
        <v>91</v>
      </c>
      <c r="I8093" s="95" t="s">
        <v>7231</v>
      </c>
      <c r="J8093" t="s">
        <v>61</v>
      </c>
      <c r="K8093" t="s">
        <v>62</v>
      </c>
      <c r="M8093">
        <v>165.41</v>
      </c>
      <c r="N8093" s="4">
        <f t="shared" si="126"/>
        <v>-59.36158636116317</v>
      </c>
      <c r="O8093" t="s">
        <v>83</v>
      </c>
      <c r="Q8093" s="92"/>
    </row>
    <row r="8094" spans="1:17" x14ac:dyDescent="0.25">
      <c r="A8094" s="22">
        <v>45919</v>
      </c>
      <c r="B8094" s="1">
        <v>518545818</v>
      </c>
      <c r="C8094" t="s">
        <v>6480</v>
      </c>
      <c r="D8094" s="44">
        <v>-9819</v>
      </c>
      <c r="E8094" t="s">
        <v>35</v>
      </c>
      <c r="F8094" s="2">
        <v>212901001</v>
      </c>
      <c r="G8094" s="2" t="s">
        <v>91</v>
      </c>
      <c r="I8094" s="95" t="s">
        <v>7231</v>
      </c>
      <c r="J8094" t="s">
        <v>61</v>
      </c>
      <c r="K8094" t="s">
        <v>62</v>
      </c>
      <c r="M8094">
        <v>165.41</v>
      </c>
      <c r="N8094" s="4">
        <f t="shared" si="126"/>
        <v>-59.36158636116317</v>
      </c>
      <c r="O8094" t="s">
        <v>83</v>
      </c>
      <c r="Q8094" s="92"/>
    </row>
    <row r="8095" spans="1:17" x14ac:dyDescent="0.25">
      <c r="A8095" s="22">
        <v>45919</v>
      </c>
      <c r="B8095" s="1">
        <v>518545819</v>
      </c>
      <c r="C8095" t="s">
        <v>6481</v>
      </c>
      <c r="D8095" s="44">
        <v>-9819</v>
      </c>
      <c r="E8095" t="s">
        <v>35</v>
      </c>
      <c r="F8095" s="2">
        <v>212901001</v>
      </c>
      <c r="G8095" s="2" t="s">
        <v>91</v>
      </c>
      <c r="I8095" s="95" t="s">
        <v>7231</v>
      </c>
      <c r="J8095" t="s">
        <v>61</v>
      </c>
      <c r="K8095" t="s">
        <v>62</v>
      </c>
      <c r="M8095">
        <v>165.41</v>
      </c>
      <c r="N8095" s="4">
        <f t="shared" si="126"/>
        <v>-59.36158636116317</v>
      </c>
      <c r="O8095" t="s">
        <v>83</v>
      </c>
      <c r="Q8095" s="92"/>
    </row>
    <row r="8096" spans="1:17" x14ac:dyDescent="0.25">
      <c r="A8096" s="22">
        <v>45919</v>
      </c>
      <c r="B8096" s="1">
        <v>518545820</v>
      </c>
      <c r="C8096" t="s">
        <v>6482</v>
      </c>
      <c r="D8096" s="44">
        <v>-9819</v>
      </c>
      <c r="E8096" t="s">
        <v>35</v>
      </c>
      <c r="F8096" s="2">
        <v>212901001</v>
      </c>
      <c r="G8096" s="2" t="s">
        <v>91</v>
      </c>
      <c r="I8096" s="95" t="s">
        <v>7231</v>
      </c>
      <c r="J8096" t="s">
        <v>61</v>
      </c>
      <c r="K8096" t="s">
        <v>62</v>
      </c>
      <c r="M8096">
        <v>165.41</v>
      </c>
      <c r="N8096" s="4">
        <f t="shared" si="126"/>
        <v>-59.36158636116317</v>
      </c>
      <c r="O8096" t="s">
        <v>83</v>
      </c>
      <c r="Q8096" s="92"/>
    </row>
    <row r="8097" spans="1:17" x14ac:dyDescent="0.25">
      <c r="A8097" s="22">
        <v>45919</v>
      </c>
      <c r="B8097" s="1">
        <v>618545822</v>
      </c>
      <c r="C8097" t="s">
        <v>6483</v>
      </c>
      <c r="D8097" s="44">
        <v>-9819</v>
      </c>
      <c r="E8097" t="s">
        <v>35</v>
      </c>
      <c r="F8097" s="2">
        <v>212901001</v>
      </c>
      <c r="G8097" s="2" t="s">
        <v>91</v>
      </c>
      <c r="I8097" s="95" t="s">
        <v>7231</v>
      </c>
      <c r="J8097" t="s">
        <v>61</v>
      </c>
      <c r="K8097" t="s">
        <v>62</v>
      </c>
      <c r="M8097">
        <v>165.41</v>
      </c>
      <c r="N8097" s="4">
        <f t="shared" si="126"/>
        <v>-59.36158636116317</v>
      </c>
      <c r="O8097" t="s">
        <v>83</v>
      </c>
      <c r="Q8097" s="92"/>
    </row>
    <row r="8098" spans="1:17" x14ac:dyDescent="0.25">
      <c r="A8098" s="22">
        <v>45919</v>
      </c>
      <c r="B8098" s="1">
        <v>618545821</v>
      </c>
      <c r="C8098" t="s">
        <v>6484</v>
      </c>
      <c r="D8098" s="44">
        <v>-9819</v>
      </c>
      <c r="E8098" t="s">
        <v>35</v>
      </c>
      <c r="F8098" s="2">
        <v>212901001</v>
      </c>
      <c r="G8098" s="2" t="s">
        <v>91</v>
      </c>
      <c r="I8098" s="95" t="s">
        <v>7231</v>
      </c>
      <c r="J8098" t="s">
        <v>61</v>
      </c>
      <c r="K8098" t="s">
        <v>62</v>
      </c>
      <c r="M8098">
        <v>165.41</v>
      </c>
      <c r="N8098" s="4">
        <f t="shared" si="126"/>
        <v>-59.36158636116317</v>
      </c>
      <c r="O8098" t="s">
        <v>83</v>
      </c>
      <c r="Q8098" s="92"/>
    </row>
    <row r="8099" spans="1:17" x14ac:dyDescent="0.25">
      <c r="A8099" s="22">
        <v>45919</v>
      </c>
      <c r="B8099" s="1">
        <v>618545823</v>
      </c>
      <c r="C8099" t="s">
        <v>6485</v>
      </c>
      <c r="D8099" s="44">
        <v>-9819</v>
      </c>
      <c r="E8099" t="s">
        <v>35</v>
      </c>
      <c r="F8099" s="2">
        <v>212901001</v>
      </c>
      <c r="G8099" s="2" t="s">
        <v>91</v>
      </c>
      <c r="I8099" s="95" t="s">
        <v>7231</v>
      </c>
      <c r="J8099" t="s">
        <v>61</v>
      </c>
      <c r="K8099" t="s">
        <v>62</v>
      </c>
      <c r="M8099">
        <v>165.41</v>
      </c>
      <c r="N8099" s="4">
        <f t="shared" si="126"/>
        <v>-59.36158636116317</v>
      </c>
      <c r="O8099" t="s">
        <v>83</v>
      </c>
      <c r="Q8099" s="92"/>
    </row>
    <row r="8100" spans="1:17" x14ac:dyDescent="0.25">
      <c r="A8100" s="22">
        <v>45919</v>
      </c>
      <c r="B8100" s="1">
        <v>618545826</v>
      </c>
      <c r="C8100" t="s">
        <v>6486</v>
      </c>
      <c r="D8100" s="44">
        <v>-9819</v>
      </c>
      <c r="E8100" t="s">
        <v>35</v>
      </c>
      <c r="F8100" s="2">
        <v>212901001</v>
      </c>
      <c r="G8100" s="2" t="s">
        <v>91</v>
      </c>
      <c r="I8100" s="95" t="s">
        <v>7231</v>
      </c>
      <c r="J8100" t="s">
        <v>61</v>
      </c>
      <c r="K8100" t="s">
        <v>62</v>
      </c>
      <c r="M8100">
        <v>165.41</v>
      </c>
      <c r="N8100" s="4">
        <f t="shared" si="126"/>
        <v>-59.36158636116317</v>
      </c>
      <c r="O8100" t="s">
        <v>83</v>
      </c>
      <c r="Q8100" s="92"/>
    </row>
    <row r="8101" spans="1:17" x14ac:dyDescent="0.25">
      <c r="A8101" s="22">
        <v>45919</v>
      </c>
      <c r="B8101" s="1">
        <v>618545827</v>
      </c>
      <c r="C8101" t="s">
        <v>6487</v>
      </c>
      <c r="D8101" s="44">
        <v>-9819</v>
      </c>
      <c r="E8101" t="s">
        <v>35</v>
      </c>
      <c r="F8101" s="2">
        <v>212901001</v>
      </c>
      <c r="G8101" s="2" t="s">
        <v>91</v>
      </c>
      <c r="I8101" s="95" t="s">
        <v>7231</v>
      </c>
      <c r="J8101" t="s">
        <v>61</v>
      </c>
      <c r="K8101" t="s">
        <v>62</v>
      </c>
      <c r="M8101">
        <v>165.41</v>
      </c>
      <c r="N8101" s="4">
        <f t="shared" si="126"/>
        <v>-59.36158636116317</v>
      </c>
      <c r="O8101" t="s">
        <v>83</v>
      </c>
      <c r="Q8101" s="92"/>
    </row>
    <row r="8102" spans="1:17" x14ac:dyDescent="0.25">
      <c r="A8102" s="22">
        <v>45919</v>
      </c>
      <c r="B8102" s="1">
        <v>618545825</v>
      </c>
      <c r="C8102" t="s">
        <v>6488</v>
      </c>
      <c r="D8102" s="44">
        <v>-9819</v>
      </c>
      <c r="E8102" t="s">
        <v>35</v>
      </c>
      <c r="F8102" s="2">
        <v>212901001</v>
      </c>
      <c r="G8102" s="2" t="s">
        <v>91</v>
      </c>
      <c r="I8102" s="95" t="s">
        <v>7231</v>
      </c>
      <c r="J8102" t="s">
        <v>61</v>
      </c>
      <c r="K8102" t="s">
        <v>62</v>
      </c>
      <c r="M8102">
        <v>165.41</v>
      </c>
      <c r="N8102" s="4">
        <f t="shared" si="126"/>
        <v>-59.36158636116317</v>
      </c>
      <c r="O8102" t="s">
        <v>83</v>
      </c>
      <c r="Q8102" s="92"/>
    </row>
    <row r="8103" spans="1:17" x14ac:dyDescent="0.25">
      <c r="A8103" s="22">
        <v>45919</v>
      </c>
      <c r="B8103" s="1">
        <v>618545828</v>
      </c>
      <c r="C8103" t="s">
        <v>6489</v>
      </c>
      <c r="D8103" s="44">
        <v>-9819</v>
      </c>
      <c r="E8103" t="s">
        <v>35</v>
      </c>
      <c r="F8103" s="2">
        <v>212901001</v>
      </c>
      <c r="G8103" s="2" t="s">
        <v>91</v>
      </c>
      <c r="I8103" s="95" t="s">
        <v>7231</v>
      </c>
      <c r="J8103" t="s">
        <v>61</v>
      </c>
      <c r="K8103" t="s">
        <v>62</v>
      </c>
      <c r="M8103">
        <v>165.41</v>
      </c>
      <c r="N8103" s="4">
        <f t="shared" si="126"/>
        <v>-59.36158636116317</v>
      </c>
      <c r="O8103" t="s">
        <v>83</v>
      </c>
      <c r="Q8103" s="92"/>
    </row>
    <row r="8104" spans="1:17" x14ac:dyDescent="0.25">
      <c r="A8104" s="22">
        <v>45919</v>
      </c>
      <c r="B8104" s="1">
        <v>718545834</v>
      </c>
      <c r="C8104" t="s">
        <v>6490</v>
      </c>
      <c r="D8104" s="44">
        <v>-13092</v>
      </c>
      <c r="E8104" t="s">
        <v>35</v>
      </c>
      <c r="F8104" s="2">
        <v>212901001</v>
      </c>
      <c r="G8104" s="2" t="s">
        <v>91</v>
      </c>
      <c r="I8104" s="95" t="s">
        <v>7231</v>
      </c>
      <c r="J8104" t="s">
        <v>61</v>
      </c>
      <c r="K8104" t="s">
        <v>62</v>
      </c>
      <c r="M8104">
        <v>165.41</v>
      </c>
      <c r="N8104" s="4">
        <f t="shared" si="126"/>
        <v>-79.148781814884231</v>
      </c>
      <c r="O8104" t="s">
        <v>83</v>
      </c>
      <c r="Q8104" s="92"/>
    </row>
    <row r="8105" spans="1:17" x14ac:dyDescent="0.25">
      <c r="A8105" s="22">
        <v>45919</v>
      </c>
      <c r="B8105" s="1">
        <v>618545830</v>
      </c>
      <c r="C8105" t="s">
        <v>6491</v>
      </c>
      <c r="D8105" s="44">
        <v>-24547.5</v>
      </c>
      <c r="E8105" t="s">
        <v>35</v>
      </c>
      <c r="F8105" s="2">
        <v>212901001</v>
      </c>
      <c r="G8105" s="2" t="s">
        <v>91</v>
      </c>
      <c r="I8105" s="95" t="s">
        <v>7231</v>
      </c>
      <c r="J8105" t="s">
        <v>61</v>
      </c>
      <c r="K8105" t="s">
        <v>62</v>
      </c>
      <c r="M8105">
        <v>165.41</v>
      </c>
      <c r="N8105" s="4">
        <f t="shared" si="126"/>
        <v>-148.40396590290794</v>
      </c>
      <c r="O8105" t="s">
        <v>83</v>
      </c>
      <c r="Q8105" s="92"/>
    </row>
    <row r="8106" spans="1:17" x14ac:dyDescent="0.25">
      <c r="A8106" s="22">
        <v>45919</v>
      </c>
      <c r="B8106" s="1">
        <v>718545833</v>
      </c>
      <c r="C8106" t="s">
        <v>6492</v>
      </c>
      <c r="D8106" s="44">
        <v>-13092</v>
      </c>
      <c r="E8106" t="s">
        <v>35</v>
      </c>
      <c r="F8106" s="2">
        <v>212901001</v>
      </c>
      <c r="G8106" s="2" t="s">
        <v>91</v>
      </c>
      <c r="I8106" s="95" t="s">
        <v>7231</v>
      </c>
      <c r="J8106" t="s">
        <v>61</v>
      </c>
      <c r="K8106" t="s">
        <v>62</v>
      </c>
      <c r="M8106">
        <v>165.41</v>
      </c>
      <c r="N8106" s="4">
        <f t="shared" si="126"/>
        <v>-79.148781814884231</v>
      </c>
      <c r="O8106" t="s">
        <v>83</v>
      </c>
      <c r="Q8106" s="92"/>
    </row>
    <row r="8107" spans="1:17" x14ac:dyDescent="0.25">
      <c r="A8107" s="22">
        <v>45919</v>
      </c>
      <c r="B8107" s="1">
        <v>718545835</v>
      </c>
      <c r="C8107" t="s">
        <v>6493</v>
      </c>
      <c r="D8107" s="44">
        <v>-13092</v>
      </c>
      <c r="E8107" t="s">
        <v>35</v>
      </c>
      <c r="F8107" s="2">
        <v>212901001</v>
      </c>
      <c r="G8107" s="2" t="s">
        <v>91</v>
      </c>
      <c r="I8107" s="95" t="s">
        <v>7231</v>
      </c>
      <c r="J8107" t="s">
        <v>61</v>
      </c>
      <c r="K8107" t="s">
        <v>62</v>
      </c>
      <c r="M8107">
        <v>165.41</v>
      </c>
      <c r="N8107" s="4">
        <f t="shared" si="126"/>
        <v>-79.148781814884231</v>
      </c>
      <c r="O8107" t="s">
        <v>83</v>
      </c>
      <c r="Q8107" s="92"/>
    </row>
    <row r="8108" spans="1:17" x14ac:dyDescent="0.25">
      <c r="A8108" s="22">
        <v>45919</v>
      </c>
      <c r="B8108" s="1">
        <v>718545838</v>
      </c>
      <c r="C8108" t="s">
        <v>6494</v>
      </c>
      <c r="D8108" s="44">
        <v>-13092</v>
      </c>
      <c r="E8108" t="s">
        <v>35</v>
      </c>
      <c r="F8108" s="2">
        <v>212901001</v>
      </c>
      <c r="G8108" s="2" t="s">
        <v>91</v>
      </c>
      <c r="I8108" s="95" t="s">
        <v>7231</v>
      </c>
      <c r="J8108" t="s">
        <v>61</v>
      </c>
      <c r="K8108" t="s">
        <v>62</v>
      </c>
      <c r="M8108">
        <v>165.41</v>
      </c>
      <c r="N8108" s="4">
        <f t="shared" si="126"/>
        <v>-79.148781814884231</v>
      </c>
      <c r="O8108" t="s">
        <v>83</v>
      </c>
      <c r="Q8108" s="92"/>
    </row>
    <row r="8109" spans="1:17" x14ac:dyDescent="0.25">
      <c r="A8109" s="22">
        <v>45919</v>
      </c>
      <c r="B8109" s="1">
        <v>718545839</v>
      </c>
      <c r="C8109" t="s">
        <v>6495</v>
      </c>
      <c r="D8109" s="44">
        <v>-8182.5</v>
      </c>
      <c r="E8109" t="s">
        <v>35</v>
      </c>
      <c r="F8109" s="2">
        <v>212901001</v>
      </c>
      <c r="G8109" s="2" t="s">
        <v>91</v>
      </c>
      <c r="I8109" s="95" t="s">
        <v>7231</v>
      </c>
      <c r="J8109" t="s">
        <v>61</v>
      </c>
      <c r="K8109" t="s">
        <v>62</v>
      </c>
      <c r="M8109">
        <v>165.41</v>
      </c>
      <c r="N8109" s="4">
        <f t="shared" si="126"/>
        <v>-49.467988634302642</v>
      </c>
      <c r="O8109" t="s">
        <v>83</v>
      </c>
      <c r="Q8109" s="92"/>
    </row>
    <row r="8110" spans="1:17" x14ac:dyDescent="0.25">
      <c r="A8110" s="22">
        <v>45919</v>
      </c>
      <c r="B8110" s="1">
        <v>718545837</v>
      </c>
      <c r="C8110" t="s">
        <v>6496</v>
      </c>
      <c r="D8110" s="44">
        <v>-13092</v>
      </c>
      <c r="E8110" t="s">
        <v>35</v>
      </c>
      <c r="F8110" s="2">
        <v>212901001</v>
      </c>
      <c r="G8110" s="2" t="s">
        <v>91</v>
      </c>
      <c r="I8110" s="95" t="s">
        <v>7231</v>
      </c>
      <c r="J8110" t="s">
        <v>61</v>
      </c>
      <c r="K8110" t="s">
        <v>62</v>
      </c>
      <c r="M8110">
        <v>165.41</v>
      </c>
      <c r="N8110" s="4">
        <f t="shared" si="126"/>
        <v>-79.148781814884231</v>
      </c>
      <c r="O8110" t="s">
        <v>83</v>
      </c>
      <c r="Q8110" s="92"/>
    </row>
    <row r="8111" spans="1:17" x14ac:dyDescent="0.25">
      <c r="A8111" s="22">
        <v>45919</v>
      </c>
      <c r="B8111" s="1">
        <v>618545831</v>
      </c>
      <c r="C8111" t="s">
        <v>6497</v>
      </c>
      <c r="D8111" s="44">
        <v>-16365</v>
      </c>
      <c r="E8111" t="s">
        <v>35</v>
      </c>
      <c r="F8111" s="2">
        <v>212901001</v>
      </c>
      <c r="G8111" s="2" t="s">
        <v>91</v>
      </c>
      <c r="I8111" s="95" t="s">
        <v>7231</v>
      </c>
      <c r="J8111" t="s">
        <v>61</v>
      </c>
      <c r="K8111" t="s">
        <v>62</v>
      </c>
      <c r="M8111">
        <v>165.41</v>
      </c>
      <c r="N8111" s="4">
        <f t="shared" si="126"/>
        <v>-98.935977268605285</v>
      </c>
      <c r="O8111" t="s">
        <v>83</v>
      </c>
      <c r="Q8111" s="92"/>
    </row>
    <row r="8112" spans="1:17" x14ac:dyDescent="0.25">
      <c r="A8112" s="22">
        <v>45919</v>
      </c>
      <c r="B8112" s="1">
        <v>718545832</v>
      </c>
      <c r="C8112" t="s">
        <v>6498</v>
      </c>
      <c r="D8112" s="44">
        <v>-13092</v>
      </c>
      <c r="E8112" t="s">
        <v>35</v>
      </c>
      <c r="F8112" s="2">
        <v>212901001</v>
      </c>
      <c r="G8112" s="2" t="s">
        <v>91</v>
      </c>
      <c r="I8112" s="95" t="s">
        <v>7231</v>
      </c>
      <c r="J8112" t="s">
        <v>61</v>
      </c>
      <c r="K8112" t="s">
        <v>62</v>
      </c>
      <c r="M8112">
        <v>165.41</v>
      </c>
      <c r="N8112" s="4">
        <f t="shared" si="126"/>
        <v>-79.148781814884231</v>
      </c>
      <c r="O8112" t="s">
        <v>83</v>
      </c>
      <c r="Q8112" s="92"/>
    </row>
    <row r="8113" spans="1:17" x14ac:dyDescent="0.25">
      <c r="A8113" s="22">
        <v>45919</v>
      </c>
      <c r="B8113" s="1">
        <v>718545841</v>
      </c>
      <c r="C8113" t="s">
        <v>6499</v>
      </c>
      <c r="D8113" s="44">
        <v>-8182.5</v>
      </c>
      <c r="E8113" t="s">
        <v>35</v>
      </c>
      <c r="F8113" s="2">
        <v>212901001</v>
      </c>
      <c r="G8113" s="2" t="s">
        <v>91</v>
      </c>
      <c r="I8113" s="95" t="s">
        <v>7231</v>
      </c>
      <c r="J8113" t="s">
        <v>61</v>
      </c>
      <c r="K8113" t="s">
        <v>62</v>
      </c>
      <c r="M8113">
        <v>165.41</v>
      </c>
      <c r="N8113" s="4">
        <f t="shared" si="126"/>
        <v>-49.467988634302642</v>
      </c>
      <c r="O8113" t="s">
        <v>83</v>
      </c>
      <c r="Q8113" s="92"/>
    </row>
    <row r="8114" spans="1:17" x14ac:dyDescent="0.25">
      <c r="A8114" s="22">
        <v>45919</v>
      </c>
      <c r="B8114" s="1">
        <v>718545842</v>
      </c>
      <c r="C8114" t="s">
        <v>6500</v>
      </c>
      <c r="D8114" s="44">
        <v>-8182.5</v>
      </c>
      <c r="E8114" t="s">
        <v>35</v>
      </c>
      <c r="F8114" s="2">
        <v>212901001</v>
      </c>
      <c r="G8114" s="2" t="s">
        <v>91</v>
      </c>
      <c r="I8114" s="95" t="s">
        <v>7231</v>
      </c>
      <c r="J8114" t="s">
        <v>61</v>
      </c>
      <c r="K8114" t="s">
        <v>62</v>
      </c>
      <c r="M8114">
        <v>165.41</v>
      </c>
      <c r="N8114" s="4">
        <f t="shared" si="126"/>
        <v>-49.467988634302642</v>
      </c>
      <c r="O8114" t="s">
        <v>83</v>
      </c>
      <c r="Q8114" s="92"/>
    </row>
    <row r="8115" spans="1:17" x14ac:dyDescent="0.25">
      <c r="A8115" s="22">
        <v>45919</v>
      </c>
      <c r="B8115" s="1">
        <v>818545843</v>
      </c>
      <c r="C8115" t="s">
        <v>6501</v>
      </c>
      <c r="D8115" s="44">
        <v>-8182.5</v>
      </c>
      <c r="E8115" t="s">
        <v>35</v>
      </c>
      <c r="F8115" s="2">
        <v>212901001</v>
      </c>
      <c r="G8115" s="2" t="s">
        <v>91</v>
      </c>
      <c r="I8115" s="95" t="s">
        <v>7231</v>
      </c>
      <c r="J8115" t="s">
        <v>61</v>
      </c>
      <c r="K8115" t="s">
        <v>62</v>
      </c>
      <c r="M8115">
        <v>165.41</v>
      </c>
      <c r="N8115" s="4">
        <f t="shared" si="126"/>
        <v>-49.467988634302642</v>
      </c>
      <c r="O8115" t="s">
        <v>83</v>
      </c>
      <c r="Q8115" s="92"/>
    </row>
    <row r="8116" spans="1:17" x14ac:dyDescent="0.25">
      <c r="A8116" s="22">
        <v>45919</v>
      </c>
      <c r="B8116" s="1">
        <v>718545840</v>
      </c>
      <c r="C8116" t="s">
        <v>6502</v>
      </c>
      <c r="D8116" s="44">
        <v>-8182.5</v>
      </c>
      <c r="E8116" t="s">
        <v>35</v>
      </c>
      <c r="F8116" s="2">
        <v>212901001</v>
      </c>
      <c r="G8116" s="2" t="s">
        <v>91</v>
      </c>
      <c r="I8116" s="95" t="s">
        <v>7231</v>
      </c>
      <c r="J8116" t="s">
        <v>61</v>
      </c>
      <c r="K8116" t="s">
        <v>62</v>
      </c>
      <c r="M8116">
        <v>165.41</v>
      </c>
      <c r="N8116" s="4">
        <f t="shared" si="126"/>
        <v>-49.467988634302642</v>
      </c>
      <c r="O8116" t="s">
        <v>83</v>
      </c>
      <c r="Q8116" s="92"/>
    </row>
    <row r="8117" spans="1:17" x14ac:dyDescent="0.25">
      <c r="A8117" s="22">
        <v>45919</v>
      </c>
      <c r="B8117" s="1">
        <v>818545845</v>
      </c>
      <c r="C8117" t="s">
        <v>6503</v>
      </c>
      <c r="D8117" s="44">
        <v>-8182.5</v>
      </c>
      <c r="E8117" t="s">
        <v>35</v>
      </c>
      <c r="F8117" s="2">
        <v>212901001</v>
      </c>
      <c r="G8117" s="2" t="s">
        <v>91</v>
      </c>
      <c r="I8117" s="95" t="s">
        <v>7231</v>
      </c>
      <c r="J8117" t="s">
        <v>61</v>
      </c>
      <c r="K8117" t="s">
        <v>62</v>
      </c>
      <c r="M8117">
        <v>165.41</v>
      </c>
      <c r="N8117" s="4">
        <f t="shared" si="126"/>
        <v>-49.467988634302642</v>
      </c>
      <c r="O8117" t="s">
        <v>83</v>
      </c>
      <c r="Q8117" s="92"/>
    </row>
    <row r="8118" spans="1:17" x14ac:dyDescent="0.25">
      <c r="A8118" s="22">
        <v>45919</v>
      </c>
      <c r="B8118" s="1">
        <v>818545847</v>
      </c>
      <c r="C8118" t="s">
        <v>6504</v>
      </c>
      <c r="D8118" s="44">
        <v>-6546</v>
      </c>
      <c r="E8118" t="s">
        <v>35</v>
      </c>
      <c r="F8118" s="2">
        <v>212901001</v>
      </c>
      <c r="G8118" s="2" t="s">
        <v>91</v>
      </c>
      <c r="I8118" s="95" t="s">
        <v>7231</v>
      </c>
      <c r="J8118" t="s">
        <v>61</v>
      </c>
      <c r="K8118" t="s">
        <v>62</v>
      </c>
      <c r="M8118">
        <v>165.41</v>
      </c>
      <c r="N8118" s="4">
        <f t="shared" si="126"/>
        <v>-39.574390907442115</v>
      </c>
      <c r="O8118" t="s">
        <v>83</v>
      </c>
      <c r="Q8118" s="92"/>
    </row>
    <row r="8119" spans="1:17" x14ac:dyDescent="0.25">
      <c r="A8119" s="22">
        <v>45919</v>
      </c>
      <c r="B8119" s="1">
        <v>818545846</v>
      </c>
      <c r="C8119" t="s">
        <v>6505</v>
      </c>
      <c r="D8119" s="44">
        <v>-6546</v>
      </c>
      <c r="E8119" t="s">
        <v>35</v>
      </c>
      <c r="F8119" s="2">
        <v>212901001</v>
      </c>
      <c r="G8119" s="2" t="s">
        <v>91</v>
      </c>
      <c r="I8119" s="95" t="s">
        <v>7231</v>
      </c>
      <c r="J8119" t="s">
        <v>61</v>
      </c>
      <c r="K8119" t="s">
        <v>62</v>
      </c>
      <c r="M8119">
        <v>165.41</v>
      </c>
      <c r="N8119" s="4">
        <f t="shared" si="126"/>
        <v>-39.574390907442115</v>
      </c>
      <c r="O8119" t="s">
        <v>83</v>
      </c>
      <c r="Q8119" s="92"/>
    </row>
    <row r="8120" spans="1:17" x14ac:dyDescent="0.25">
      <c r="A8120" s="22">
        <v>45919</v>
      </c>
      <c r="B8120" s="1">
        <v>818545851</v>
      </c>
      <c r="C8120" t="s">
        <v>6506</v>
      </c>
      <c r="D8120" s="44">
        <v>-6546</v>
      </c>
      <c r="E8120" t="s">
        <v>35</v>
      </c>
      <c r="F8120" s="2">
        <v>212901001</v>
      </c>
      <c r="G8120" s="2" t="s">
        <v>91</v>
      </c>
      <c r="I8120" s="95" t="s">
        <v>7231</v>
      </c>
      <c r="J8120" t="s">
        <v>61</v>
      </c>
      <c r="K8120" t="s">
        <v>62</v>
      </c>
      <c r="M8120">
        <v>165.41</v>
      </c>
      <c r="N8120" s="4">
        <f t="shared" si="126"/>
        <v>-39.574390907442115</v>
      </c>
      <c r="O8120" t="s">
        <v>83</v>
      </c>
      <c r="Q8120" s="92"/>
    </row>
    <row r="8121" spans="1:17" x14ac:dyDescent="0.25">
      <c r="A8121" s="22">
        <v>45919</v>
      </c>
      <c r="B8121" s="1">
        <v>818545849</v>
      </c>
      <c r="C8121" t="s">
        <v>6507</v>
      </c>
      <c r="D8121" s="44">
        <v>-6546</v>
      </c>
      <c r="E8121" t="s">
        <v>35</v>
      </c>
      <c r="F8121" s="2">
        <v>212901001</v>
      </c>
      <c r="G8121" s="2" t="s">
        <v>91</v>
      </c>
      <c r="I8121" s="95" t="s">
        <v>7231</v>
      </c>
      <c r="J8121" t="s">
        <v>61</v>
      </c>
      <c r="K8121" t="s">
        <v>62</v>
      </c>
      <c r="M8121">
        <v>165.41</v>
      </c>
      <c r="N8121" s="4">
        <f t="shared" si="126"/>
        <v>-39.574390907442115</v>
      </c>
      <c r="O8121" t="s">
        <v>83</v>
      </c>
      <c r="Q8121" s="92"/>
    </row>
    <row r="8122" spans="1:17" x14ac:dyDescent="0.25">
      <c r="A8122" s="22">
        <v>45919</v>
      </c>
      <c r="B8122" s="1">
        <v>818545848</v>
      </c>
      <c r="C8122" t="s">
        <v>6508</v>
      </c>
      <c r="D8122" s="44">
        <v>-6546</v>
      </c>
      <c r="E8122" t="s">
        <v>35</v>
      </c>
      <c r="F8122" s="2">
        <v>212901001</v>
      </c>
      <c r="G8122" s="2" t="s">
        <v>91</v>
      </c>
      <c r="I8122" s="95" t="s">
        <v>7231</v>
      </c>
      <c r="J8122" t="s">
        <v>61</v>
      </c>
      <c r="K8122" t="s">
        <v>62</v>
      </c>
      <c r="M8122">
        <v>165.41</v>
      </c>
      <c r="N8122" s="4">
        <f t="shared" si="126"/>
        <v>-39.574390907442115</v>
      </c>
      <c r="O8122" t="s">
        <v>83</v>
      </c>
      <c r="Q8122" s="92"/>
    </row>
    <row r="8123" spans="1:17" x14ac:dyDescent="0.25">
      <c r="A8123" s="22">
        <v>45919</v>
      </c>
      <c r="B8123" s="1">
        <v>818545852</v>
      </c>
      <c r="C8123" t="s">
        <v>6509</v>
      </c>
      <c r="D8123" s="44">
        <v>-6546</v>
      </c>
      <c r="E8123" t="s">
        <v>35</v>
      </c>
      <c r="F8123" s="2">
        <v>212901001</v>
      </c>
      <c r="G8123" s="2" t="s">
        <v>91</v>
      </c>
      <c r="I8123" s="95" t="s">
        <v>7231</v>
      </c>
      <c r="J8123" t="s">
        <v>61</v>
      </c>
      <c r="K8123" t="s">
        <v>62</v>
      </c>
      <c r="M8123">
        <v>165.41</v>
      </c>
      <c r="N8123" s="4">
        <f t="shared" si="126"/>
        <v>-39.574390907442115</v>
      </c>
      <c r="O8123" t="s">
        <v>83</v>
      </c>
      <c r="Q8123" s="92"/>
    </row>
    <row r="8124" spans="1:17" x14ac:dyDescent="0.25">
      <c r="A8124" s="22">
        <v>45919</v>
      </c>
      <c r="B8124" s="1">
        <v>818545853</v>
      </c>
      <c r="C8124" t="s">
        <v>6510</v>
      </c>
      <c r="D8124" s="44">
        <v>-6546</v>
      </c>
      <c r="E8124" t="s">
        <v>35</v>
      </c>
      <c r="F8124" s="2">
        <v>212901001</v>
      </c>
      <c r="G8124" s="2" t="s">
        <v>91</v>
      </c>
      <c r="I8124" s="95" t="s">
        <v>7231</v>
      </c>
      <c r="J8124" t="s">
        <v>61</v>
      </c>
      <c r="K8124" t="s">
        <v>62</v>
      </c>
      <c r="M8124">
        <v>165.41</v>
      </c>
      <c r="N8124" s="4">
        <f t="shared" si="126"/>
        <v>-39.574390907442115</v>
      </c>
      <c r="O8124" t="s">
        <v>83</v>
      </c>
      <c r="Q8124" s="92"/>
    </row>
    <row r="8125" spans="1:17" x14ac:dyDescent="0.25">
      <c r="A8125" s="22">
        <v>45919</v>
      </c>
      <c r="B8125" s="1">
        <v>918545860</v>
      </c>
      <c r="C8125" t="s">
        <v>6511</v>
      </c>
      <c r="D8125" s="44">
        <v>-11455.5</v>
      </c>
      <c r="E8125" t="s">
        <v>35</v>
      </c>
      <c r="F8125" s="2">
        <v>212901001</v>
      </c>
      <c r="G8125" s="2" t="s">
        <v>91</v>
      </c>
      <c r="I8125" s="95" t="s">
        <v>7231</v>
      </c>
      <c r="J8125" t="s">
        <v>61</v>
      </c>
      <c r="K8125" t="s">
        <v>62</v>
      </c>
      <c r="M8125">
        <v>165.41</v>
      </c>
      <c r="N8125" s="4">
        <f t="shared" si="126"/>
        <v>-69.255184088023697</v>
      </c>
      <c r="O8125" t="s">
        <v>83</v>
      </c>
      <c r="Q8125" s="92"/>
    </row>
    <row r="8126" spans="1:17" x14ac:dyDescent="0.25">
      <c r="A8126" s="22">
        <v>45919</v>
      </c>
      <c r="B8126" s="1">
        <v>918545861</v>
      </c>
      <c r="C8126" t="s">
        <v>6512</v>
      </c>
      <c r="D8126" s="44">
        <v>-11455.5</v>
      </c>
      <c r="E8126" t="s">
        <v>35</v>
      </c>
      <c r="F8126" s="2">
        <v>212901001</v>
      </c>
      <c r="G8126" s="2" t="s">
        <v>91</v>
      </c>
      <c r="I8126" s="95" t="s">
        <v>7231</v>
      </c>
      <c r="J8126" t="s">
        <v>61</v>
      </c>
      <c r="K8126" t="s">
        <v>62</v>
      </c>
      <c r="M8126">
        <v>165.41</v>
      </c>
      <c r="N8126" s="4">
        <f t="shared" si="126"/>
        <v>-69.255184088023697</v>
      </c>
      <c r="O8126" t="s">
        <v>83</v>
      </c>
      <c r="Q8126" s="92"/>
    </row>
    <row r="8127" spans="1:17" x14ac:dyDescent="0.25">
      <c r="A8127" s="22">
        <v>45919</v>
      </c>
      <c r="B8127" s="1">
        <v>918545859</v>
      </c>
      <c r="C8127" t="s">
        <v>6513</v>
      </c>
      <c r="D8127" s="44">
        <v>-16365</v>
      </c>
      <c r="E8127" t="s">
        <v>35</v>
      </c>
      <c r="F8127" s="2">
        <v>212901001</v>
      </c>
      <c r="G8127" s="2" t="s">
        <v>91</v>
      </c>
      <c r="I8127" s="95" t="s">
        <v>7231</v>
      </c>
      <c r="J8127" t="s">
        <v>61</v>
      </c>
      <c r="K8127" t="s">
        <v>62</v>
      </c>
      <c r="M8127">
        <v>165.41</v>
      </c>
      <c r="N8127" s="4">
        <f t="shared" si="126"/>
        <v>-98.935977268605285</v>
      </c>
      <c r="O8127" t="s">
        <v>83</v>
      </c>
      <c r="Q8127" s="92"/>
    </row>
    <row r="8128" spans="1:17" x14ac:dyDescent="0.25">
      <c r="A8128" s="22">
        <v>45919</v>
      </c>
      <c r="B8128" s="1">
        <v>18545869</v>
      </c>
      <c r="C8128" t="s">
        <v>6514</v>
      </c>
      <c r="D8128" s="44">
        <v>-8182.5</v>
      </c>
      <c r="E8128" t="s">
        <v>35</v>
      </c>
      <c r="F8128" s="2">
        <v>212901001</v>
      </c>
      <c r="G8128" s="2" t="s">
        <v>91</v>
      </c>
      <c r="I8128" s="95" t="s">
        <v>7231</v>
      </c>
      <c r="J8128" t="s">
        <v>61</v>
      </c>
      <c r="K8128" t="s">
        <v>62</v>
      </c>
      <c r="M8128">
        <v>165.41</v>
      </c>
      <c r="N8128" s="4">
        <f t="shared" si="126"/>
        <v>-49.467988634302642</v>
      </c>
      <c r="O8128" t="s">
        <v>83</v>
      </c>
      <c r="Q8128" s="92"/>
    </row>
    <row r="8129" spans="1:17" x14ac:dyDescent="0.25">
      <c r="A8129" s="22">
        <v>45919</v>
      </c>
      <c r="B8129" s="1">
        <v>918545863</v>
      </c>
      <c r="C8129" t="s">
        <v>6515</v>
      </c>
      <c r="D8129" s="44">
        <v>-11455.5</v>
      </c>
      <c r="E8129" t="s">
        <v>35</v>
      </c>
      <c r="F8129" s="2">
        <v>212901001</v>
      </c>
      <c r="G8129" s="2" t="s">
        <v>91</v>
      </c>
      <c r="I8129" s="95" t="s">
        <v>7231</v>
      </c>
      <c r="J8129" t="s">
        <v>61</v>
      </c>
      <c r="K8129" t="s">
        <v>62</v>
      </c>
      <c r="M8129">
        <v>165.41</v>
      </c>
      <c r="N8129" s="4">
        <f t="shared" si="126"/>
        <v>-69.255184088023697</v>
      </c>
      <c r="O8129" t="s">
        <v>83</v>
      </c>
      <c r="Q8129" s="92"/>
    </row>
    <row r="8130" spans="1:17" x14ac:dyDescent="0.25">
      <c r="A8130" s="22">
        <v>45919</v>
      </c>
      <c r="B8130" s="1">
        <v>18545874</v>
      </c>
      <c r="C8130" t="s">
        <v>6516</v>
      </c>
      <c r="D8130" s="44">
        <v>-8182.5</v>
      </c>
      <c r="E8130" t="s">
        <v>35</v>
      </c>
      <c r="F8130" s="2">
        <v>212901001</v>
      </c>
      <c r="G8130" s="2" t="s">
        <v>91</v>
      </c>
      <c r="I8130" s="95" t="s">
        <v>7231</v>
      </c>
      <c r="J8130" t="s">
        <v>61</v>
      </c>
      <c r="K8130" t="s">
        <v>62</v>
      </c>
      <c r="M8130">
        <v>165.41</v>
      </c>
      <c r="N8130" s="4">
        <f t="shared" si="126"/>
        <v>-49.467988634302642</v>
      </c>
      <c r="O8130" t="s">
        <v>83</v>
      </c>
      <c r="Q8130" s="92"/>
    </row>
    <row r="8131" spans="1:17" x14ac:dyDescent="0.25">
      <c r="A8131" s="22">
        <v>45919</v>
      </c>
      <c r="B8131" s="1">
        <v>18545872</v>
      </c>
      <c r="C8131" t="s">
        <v>6517</v>
      </c>
      <c r="D8131" s="44">
        <v>-8182.5</v>
      </c>
      <c r="E8131" t="s">
        <v>35</v>
      </c>
      <c r="F8131" s="2">
        <v>212901001</v>
      </c>
      <c r="G8131" s="2" t="s">
        <v>91</v>
      </c>
      <c r="I8131" s="95" t="s">
        <v>7231</v>
      </c>
      <c r="J8131" t="s">
        <v>61</v>
      </c>
      <c r="K8131" t="s">
        <v>62</v>
      </c>
      <c r="M8131">
        <v>165.41</v>
      </c>
      <c r="N8131" s="4">
        <f t="shared" si="126"/>
        <v>-49.467988634302642</v>
      </c>
      <c r="O8131" t="s">
        <v>83</v>
      </c>
      <c r="Q8131" s="92"/>
    </row>
    <row r="8132" spans="1:17" x14ac:dyDescent="0.25">
      <c r="A8132" s="22">
        <v>45919</v>
      </c>
      <c r="B8132" s="1">
        <v>118545878</v>
      </c>
      <c r="C8132" t="s">
        <v>6518</v>
      </c>
      <c r="D8132" s="44">
        <v>-3273</v>
      </c>
      <c r="E8132" t="s">
        <v>35</v>
      </c>
      <c r="F8132" s="2">
        <v>212901001</v>
      </c>
      <c r="G8132" s="2" t="s">
        <v>91</v>
      </c>
      <c r="I8132" s="95" t="s">
        <v>7231</v>
      </c>
      <c r="J8132" t="s">
        <v>61</v>
      </c>
      <c r="K8132" t="s">
        <v>62</v>
      </c>
      <c r="M8132">
        <v>165.41</v>
      </c>
      <c r="N8132" s="4">
        <f t="shared" si="126"/>
        <v>-19.787195453721058</v>
      </c>
      <c r="O8132" t="s">
        <v>83</v>
      </c>
      <c r="Q8132" s="92"/>
    </row>
    <row r="8133" spans="1:17" x14ac:dyDescent="0.25">
      <c r="A8133" s="22">
        <v>45919</v>
      </c>
      <c r="B8133" s="1">
        <v>918545855</v>
      </c>
      <c r="C8133" t="s">
        <v>6519</v>
      </c>
      <c r="D8133" s="44">
        <v>-16365</v>
      </c>
      <c r="E8133" t="s">
        <v>35</v>
      </c>
      <c r="F8133" s="2">
        <v>212901001</v>
      </c>
      <c r="G8133" s="2" t="s">
        <v>91</v>
      </c>
      <c r="I8133" s="95" t="s">
        <v>7231</v>
      </c>
      <c r="J8133" t="s">
        <v>61</v>
      </c>
      <c r="K8133" t="s">
        <v>62</v>
      </c>
      <c r="M8133">
        <v>165.41</v>
      </c>
      <c r="N8133" s="4">
        <f t="shared" si="126"/>
        <v>-98.935977268605285</v>
      </c>
      <c r="O8133" t="s">
        <v>83</v>
      </c>
      <c r="Q8133" s="92"/>
    </row>
    <row r="8134" spans="1:17" x14ac:dyDescent="0.25">
      <c r="A8134" s="22">
        <v>45919</v>
      </c>
      <c r="B8134" s="1">
        <v>18545866</v>
      </c>
      <c r="C8134" t="s">
        <v>6520</v>
      </c>
      <c r="D8134" s="44">
        <v>-8182.5</v>
      </c>
      <c r="E8134" t="s">
        <v>35</v>
      </c>
      <c r="F8134" s="2">
        <v>212901001</v>
      </c>
      <c r="G8134" s="2" t="s">
        <v>91</v>
      </c>
      <c r="I8134" s="95" t="s">
        <v>7231</v>
      </c>
      <c r="J8134" t="s">
        <v>61</v>
      </c>
      <c r="K8134" t="s">
        <v>62</v>
      </c>
      <c r="M8134">
        <v>165.41</v>
      </c>
      <c r="N8134" s="4">
        <f t="shared" si="126"/>
        <v>-49.467988634302642</v>
      </c>
      <c r="O8134" t="s">
        <v>83</v>
      </c>
      <c r="Q8134" s="92"/>
    </row>
    <row r="8135" spans="1:17" x14ac:dyDescent="0.25">
      <c r="A8135" s="22">
        <v>45919</v>
      </c>
      <c r="B8135" s="1">
        <v>118545885</v>
      </c>
      <c r="C8135" t="s">
        <v>6521</v>
      </c>
      <c r="D8135" s="44">
        <v>-4909.5</v>
      </c>
      <c r="E8135" t="s">
        <v>35</v>
      </c>
      <c r="F8135" s="2">
        <v>212901001</v>
      </c>
      <c r="G8135" s="2" t="s">
        <v>91</v>
      </c>
      <c r="I8135" s="95" t="s">
        <v>7231</v>
      </c>
      <c r="J8135" t="s">
        <v>61</v>
      </c>
      <c r="K8135" t="s">
        <v>62</v>
      </c>
      <c r="M8135">
        <v>165.41</v>
      </c>
      <c r="N8135" s="4">
        <f t="shared" si="126"/>
        <v>-29.680793180581585</v>
      </c>
      <c r="O8135" t="s">
        <v>83</v>
      </c>
      <c r="Q8135" s="92"/>
    </row>
    <row r="8136" spans="1:17" x14ac:dyDescent="0.25">
      <c r="A8136" s="22">
        <v>45919</v>
      </c>
      <c r="B8136" s="1">
        <v>918545856</v>
      </c>
      <c r="C8136" t="s">
        <v>6522</v>
      </c>
      <c r="D8136" s="44">
        <v>-24547.5</v>
      </c>
      <c r="E8136" t="s">
        <v>35</v>
      </c>
      <c r="F8136" s="2">
        <v>212901001</v>
      </c>
      <c r="G8136" s="2" t="s">
        <v>91</v>
      </c>
      <c r="I8136" s="95" t="s">
        <v>7231</v>
      </c>
      <c r="J8136" t="s">
        <v>61</v>
      </c>
      <c r="K8136" t="s">
        <v>62</v>
      </c>
      <c r="M8136">
        <v>165.41</v>
      </c>
      <c r="N8136" s="4">
        <f t="shared" si="126"/>
        <v>-148.40396590290794</v>
      </c>
      <c r="O8136" t="s">
        <v>83</v>
      </c>
      <c r="Q8136" s="92"/>
    </row>
    <row r="8137" spans="1:17" x14ac:dyDescent="0.25">
      <c r="A8137" s="22">
        <v>45919</v>
      </c>
      <c r="B8137" s="1">
        <v>18545865</v>
      </c>
      <c r="C8137" t="s">
        <v>6523</v>
      </c>
      <c r="D8137" s="44">
        <v>-8182.5</v>
      </c>
      <c r="E8137" t="s">
        <v>35</v>
      </c>
      <c r="F8137" s="2">
        <v>212901001</v>
      </c>
      <c r="G8137" s="2" t="s">
        <v>91</v>
      </c>
      <c r="I8137" s="95" t="s">
        <v>7231</v>
      </c>
      <c r="J8137" t="s">
        <v>61</v>
      </c>
      <c r="K8137" t="s">
        <v>62</v>
      </c>
      <c r="M8137">
        <v>165.41</v>
      </c>
      <c r="N8137" s="4">
        <f t="shared" si="126"/>
        <v>-49.467988634302642</v>
      </c>
      <c r="O8137" t="s">
        <v>83</v>
      </c>
      <c r="Q8137" s="92"/>
    </row>
    <row r="8138" spans="1:17" x14ac:dyDescent="0.25">
      <c r="A8138" s="22">
        <v>45919</v>
      </c>
      <c r="B8138" s="1">
        <v>818545854</v>
      </c>
      <c r="C8138" t="s">
        <v>6524</v>
      </c>
      <c r="D8138" s="44">
        <v>-16365</v>
      </c>
      <c r="E8138" t="s">
        <v>35</v>
      </c>
      <c r="F8138" s="2">
        <v>212901001</v>
      </c>
      <c r="G8138" s="2" t="s">
        <v>91</v>
      </c>
      <c r="I8138" s="95" t="s">
        <v>7231</v>
      </c>
      <c r="J8138" t="s">
        <v>61</v>
      </c>
      <c r="K8138" t="s">
        <v>62</v>
      </c>
      <c r="M8138">
        <v>165.41</v>
      </c>
      <c r="N8138" s="4">
        <f t="shared" si="126"/>
        <v>-98.935977268605285</v>
      </c>
      <c r="O8138" t="s">
        <v>83</v>
      </c>
      <c r="Q8138" s="92"/>
    </row>
    <row r="8139" spans="1:17" x14ac:dyDescent="0.25">
      <c r="A8139" s="22">
        <v>45919</v>
      </c>
      <c r="B8139" s="1">
        <v>918545857</v>
      </c>
      <c r="C8139" t="s">
        <v>6525</v>
      </c>
      <c r="D8139" s="44">
        <v>-18001.5</v>
      </c>
      <c r="E8139" t="s">
        <v>35</v>
      </c>
      <c r="F8139" s="2">
        <v>212901001</v>
      </c>
      <c r="G8139" s="2" t="s">
        <v>91</v>
      </c>
      <c r="I8139" s="95" t="s">
        <v>7231</v>
      </c>
      <c r="J8139" t="s">
        <v>61</v>
      </c>
      <c r="K8139" t="s">
        <v>62</v>
      </c>
      <c r="M8139">
        <v>165.41</v>
      </c>
      <c r="N8139" s="4">
        <f t="shared" si="126"/>
        <v>-108.82957499546582</v>
      </c>
      <c r="O8139" t="s">
        <v>83</v>
      </c>
      <c r="Q8139" s="92"/>
    </row>
    <row r="8140" spans="1:17" x14ac:dyDescent="0.25">
      <c r="A8140" s="22">
        <v>45919</v>
      </c>
      <c r="B8140" s="1">
        <v>918545858</v>
      </c>
      <c r="C8140" t="s">
        <v>6526</v>
      </c>
      <c r="D8140" s="44">
        <v>-13092</v>
      </c>
      <c r="E8140" t="s">
        <v>35</v>
      </c>
      <c r="F8140" s="2">
        <v>212901001</v>
      </c>
      <c r="G8140" s="2" t="s">
        <v>91</v>
      </c>
      <c r="I8140" s="95" t="s">
        <v>7231</v>
      </c>
      <c r="J8140" t="s">
        <v>61</v>
      </c>
      <c r="K8140" t="s">
        <v>62</v>
      </c>
      <c r="M8140">
        <v>165.41</v>
      </c>
      <c r="N8140" s="4">
        <f t="shared" ref="N8140:N8203" si="127">D8140/M8140</f>
        <v>-79.148781814884231</v>
      </c>
      <c r="O8140" t="s">
        <v>83</v>
      </c>
      <c r="Q8140" s="92"/>
    </row>
    <row r="8141" spans="1:17" x14ac:dyDescent="0.25">
      <c r="A8141" s="22">
        <v>45919</v>
      </c>
      <c r="B8141" s="1">
        <v>218545886</v>
      </c>
      <c r="C8141" t="s">
        <v>6527</v>
      </c>
      <c r="D8141" s="44">
        <v>-6546</v>
      </c>
      <c r="E8141" t="s">
        <v>35</v>
      </c>
      <c r="F8141" s="2">
        <v>212901001</v>
      </c>
      <c r="G8141" s="2" t="s">
        <v>91</v>
      </c>
      <c r="I8141" s="95" t="s">
        <v>7231</v>
      </c>
      <c r="J8141" t="s">
        <v>61</v>
      </c>
      <c r="K8141" t="s">
        <v>62</v>
      </c>
      <c r="M8141">
        <v>165.41</v>
      </c>
      <c r="N8141" s="4">
        <f t="shared" si="127"/>
        <v>-39.574390907442115</v>
      </c>
      <c r="O8141" t="s">
        <v>83</v>
      </c>
      <c r="Q8141" s="92"/>
    </row>
    <row r="8142" spans="1:17" x14ac:dyDescent="0.25">
      <c r="A8142" s="22">
        <v>45919</v>
      </c>
      <c r="B8142" s="1">
        <v>18545871</v>
      </c>
      <c r="C8142" t="s">
        <v>6515</v>
      </c>
      <c r="D8142" s="44">
        <v>-8182.5</v>
      </c>
      <c r="E8142" t="s">
        <v>35</v>
      </c>
      <c r="F8142" s="2">
        <v>212901001</v>
      </c>
      <c r="G8142" s="2" t="s">
        <v>91</v>
      </c>
      <c r="I8142" s="95" t="s">
        <v>7231</v>
      </c>
      <c r="J8142" t="s">
        <v>61</v>
      </c>
      <c r="K8142" t="s">
        <v>62</v>
      </c>
      <c r="M8142">
        <v>165.41</v>
      </c>
      <c r="N8142" s="4">
        <f t="shared" si="127"/>
        <v>-49.467988634302642</v>
      </c>
      <c r="O8142" t="s">
        <v>83</v>
      </c>
      <c r="Q8142" s="92"/>
    </row>
    <row r="8143" spans="1:17" x14ac:dyDescent="0.25">
      <c r="A8143" s="22">
        <v>45919</v>
      </c>
      <c r="B8143" s="1">
        <v>18545873</v>
      </c>
      <c r="C8143" t="s">
        <v>6528</v>
      </c>
      <c r="D8143" s="44">
        <v>-8182.5</v>
      </c>
      <c r="E8143" t="s">
        <v>35</v>
      </c>
      <c r="F8143" s="2">
        <v>212901001</v>
      </c>
      <c r="G8143" s="2" t="s">
        <v>91</v>
      </c>
      <c r="I8143" s="95" t="s">
        <v>7231</v>
      </c>
      <c r="J8143" t="s">
        <v>61</v>
      </c>
      <c r="K8143" t="s">
        <v>62</v>
      </c>
      <c r="M8143">
        <v>165.41</v>
      </c>
      <c r="N8143" s="4">
        <f t="shared" si="127"/>
        <v>-49.467988634302642</v>
      </c>
      <c r="O8143" t="s">
        <v>83</v>
      </c>
      <c r="Q8143" s="92"/>
    </row>
    <row r="8144" spans="1:17" x14ac:dyDescent="0.25">
      <c r="A8144" s="22">
        <v>45919</v>
      </c>
      <c r="B8144" s="1">
        <v>18545870</v>
      </c>
      <c r="C8144" t="s">
        <v>6529</v>
      </c>
      <c r="D8144" s="44">
        <v>-8182.5</v>
      </c>
      <c r="E8144" t="s">
        <v>35</v>
      </c>
      <c r="F8144" s="2">
        <v>212901001</v>
      </c>
      <c r="G8144" s="2" t="s">
        <v>91</v>
      </c>
      <c r="I8144" s="95" t="s">
        <v>7231</v>
      </c>
      <c r="J8144" t="s">
        <v>61</v>
      </c>
      <c r="K8144" t="s">
        <v>62</v>
      </c>
      <c r="M8144">
        <v>165.41</v>
      </c>
      <c r="N8144" s="4">
        <f t="shared" si="127"/>
        <v>-49.467988634302642</v>
      </c>
      <c r="O8144" t="s">
        <v>83</v>
      </c>
      <c r="Q8144" s="92"/>
    </row>
    <row r="8145" spans="1:17" x14ac:dyDescent="0.25">
      <c r="A8145" s="22">
        <v>45919</v>
      </c>
      <c r="B8145" s="1">
        <v>118545875</v>
      </c>
      <c r="C8145" t="s">
        <v>6530</v>
      </c>
      <c r="D8145" s="44">
        <v>-8182.5</v>
      </c>
      <c r="E8145" t="s">
        <v>35</v>
      </c>
      <c r="F8145" s="2">
        <v>212901001</v>
      </c>
      <c r="G8145" s="2" t="s">
        <v>91</v>
      </c>
      <c r="I8145" s="95" t="s">
        <v>7231</v>
      </c>
      <c r="J8145" t="s">
        <v>61</v>
      </c>
      <c r="K8145" t="s">
        <v>62</v>
      </c>
      <c r="M8145">
        <v>165.41</v>
      </c>
      <c r="N8145" s="4">
        <f t="shared" si="127"/>
        <v>-49.467988634302642</v>
      </c>
      <c r="O8145" t="s">
        <v>83</v>
      </c>
      <c r="Q8145" s="92"/>
    </row>
    <row r="8146" spans="1:17" x14ac:dyDescent="0.25">
      <c r="A8146" s="22">
        <v>45919</v>
      </c>
      <c r="B8146" s="1">
        <v>118545883</v>
      </c>
      <c r="C8146" t="s">
        <v>6531</v>
      </c>
      <c r="D8146" s="44">
        <v>-23401.95</v>
      </c>
      <c r="E8146" t="s">
        <v>35</v>
      </c>
      <c r="F8146" s="2">
        <v>212901001</v>
      </c>
      <c r="G8146" s="2" t="s">
        <v>91</v>
      </c>
      <c r="I8146" s="95" t="s">
        <v>7231</v>
      </c>
      <c r="J8146" t="s">
        <v>61</v>
      </c>
      <c r="K8146" t="s">
        <v>62</v>
      </c>
      <c r="M8146">
        <v>165.41</v>
      </c>
      <c r="N8146" s="4">
        <f t="shared" si="127"/>
        <v>-141.47844749410555</v>
      </c>
      <c r="O8146" t="s">
        <v>83</v>
      </c>
      <c r="Q8146" s="92"/>
    </row>
    <row r="8147" spans="1:17" x14ac:dyDescent="0.25">
      <c r="A8147" s="22">
        <v>45919</v>
      </c>
      <c r="B8147" s="1">
        <v>918545862</v>
      </c>
      <c r="C8147" t="s">
        <v>6532</v>
      </c>
      <c r="D8147" s="44">
        <v>-8182.5</v>
      </c>
      <c r="E8147" t="s">
        <v>35</v>
      </c>
      <c r="F8147" s="2">
        <v>212901001</v>
      </c>
      <c r="G8147" s="2" t="s">
        <v>91</v>
      </c>
      <c r="I8147" s="95" t="s">
        <v>7231</v>
      </c>
      <c r="J8147" t="s">
        <v>61</v>
      </c>
      <c r="K8147" t="s">
        <v>62</v>
      </c>
      <c r="M8147">
        <v>165.41</v>
      </c>
      <c r="N8147" s="4">
        <f t="shared" si="127"/>
        <v>-49.467988634302642</v>
      </c>
      <c r="O8147" t="s">
        <v>83</v>
      </c>
      <c r="Q8147" s="92"/>
    </row>
    <row r="8148" spans="1:17" x14ac:dyDescent="0.25">
      <c r="A8148" s="22">
        <v>45919</v>
      </c>
      <c r="B8148" s="1">
        <v>118545881</v>
      </c>
      <c r="C8148" t="s">
        <v>6533</v>
      </c>
      <c r="D8148" s="44">
        <v>-16365</v>
      </c>
      <c r="E8148" t="s">
        <v>35</v>
      </c>
      <c r="F8148" s="2">
        <v>212901001</v>
      </c>
      <c r="G8148" s="2" t="s">
        <v>91</v>
      </c>
      <c r="I8148" s="95" t="s">
        <v>7231</v>
      </c>
      <c r="J8148" t="s">
        <v>61</v>
      </c>
      <c r="K8148" t="s">
        <v>62</v>
      </c>
      <c r="M8148">
        <v>165.41</v>
      </c>
      <c r="N8148" s="4">
        <f t="shared" si="127"/>
        <v>-98.935977268605285</v>
      </c>
      <c r="O8148" t="s">
        <v>83</v>
      </c>
      <c r="Q8148" s="92"/>
    </row>
    <row r="8149" spans="1:17" x14ac:dyDescent="0.25">
      <c r="A8149" s="22">
        <v>45919</v>
      </c>
      <c r="B8149" s="1">
        <v>18545868</v>
      </c>
      <c r="C8149" t="s">
        <v>6534</v>
      </c>
      <c r="D8149" s="44">
        <v>-8182.5</v>
      </c>
      <c r="E8149" t="s">
        <v>35</v>
      </c>
      <c r="F8149" s="2">
        <v>212901001</v>
      </c>
      <c r="G8149" s="2" t="s">
        <v>91</v>
      </c>
      <c r="I8149" s="95" t="s">
        <v>7231</v>
      </c>
      <c r="J8149" t="s">
        <v>61</v>
      </c>
      <c r="K8149" t="s">
        <v>62</v>
      </c>
      <c r="M8149">
        <v>165.41</v>
      </c>
      <c r="N8149" s="4">
        <f t="shared" si="127"/>
        <v>-49.467988634302642</v>
      </c>
      <c r="O8149" t="s">
        <v>83</v>
      </c>
      <c r="Q8149" s="92"/>
    </row>
    <row r="8150" spans="1:17" x14ac:dyDescent="0.25">
      <c r="A8150" s="22">
        <v>45919</v>
      </c>
      <c r="B8150" s="1">
        <v>918545864</v>
      </c>
      <c r="C8150" t="s">
        <v>6535</v>
      </c>
      <c r="D8150" s="44">
        <v>-8182.5</v>
      </c>
      <c r="E8150" t="s">
        <v>35</v>
      </c>
      <c r="F8150" s="2">
        <v>212901001</v>
      </c>
      <c r="G8150" s="2" t="s">
        <v>91</v>
      </c>
      <c r="I8150" s="95" t="s">
        <v>7231</v>
      </c>
      <c r="J8150" t="s">
        <v>61</v>
      </c>
      <c r="K8150" t="s">
        <v>62</v>
      </c>
      <c r="M8150">
        <v>165.41</v>
      </c>
      <c r="N8150" s="4">
        <f t="shared" si="127"/>
        <v>-49.467988634302642</v>
      </c>
      <c r="O8150" t="s">
        <v>83</v>
      </c>
      <c r="Q8150" s="92"/>
    </row>
    <row r="8151" spans="1:17" x14ac:dyDescent="0.25">
      <c r="A8151" s="22">
        <v>45919</v>
      </c>
      <c r="B8151" s="1">
        <v>118545880</v>
      </c>
      <c r="C8151" t="s">
        <v>6536</v>
      </c>
      <c r="D8151" s="44">
        <v>-3273</v>
      </c>
      <c r="E8151" t="s">
        <v>35</v>
      </c>
      <c r="F8151" s="2">
        <v>212901001</v>
      </c>
      <c r="G8151" s="2" t="s">
        <v>91</v>
      </c>
      <c r="I8151" s="95" t="s">
        <v>7231</v>
      </c>
      <c r="J8151" t="s">
        <v>61</v>
      </c>
      <c r="K8151" t="s">
        <v>62</v>
      </c>
      <c r="M8151">
        <v>165.41</v>
      </c>
      <c r="N8151" s="4">
        <f t="shared" si="127"/>
        <v>-19.787195453721058</v>
      </c>
      <c r="O8151" t="s">
        <v>83</v>
      </c>
      <c r="Q8151" s="92"/>
    </row>
    <row r="8152" spans="1:17" x14ac:dyDescent="0.25">
      <c r="A8152" s="22">
        <v>45919</v>
      </c>
      <c r="B8152" s="1">
        <v>118545882</v>
      </c>
      <c r="C8152" t="s">
        <v>6537</v>
      </c>
      <c r="D8152" s="44">
        <v>-32730</v>
      </c>
      <c r="E8152" t="s">
        <v>35</v>
      </c>
      <c r="F8152" s="2">
        <v>212901001</v>
      </c>
      <c r="G8152" s="2" t="s">
        <v>91</v>
      </c>
      <c r="I8152" s="95" t="s">
        <v>7231</v>
      </c>
      <c r="J8152" t="s">
        <v>61</v>
      </c>
      <c r="K8152" t="s">
        <v>62</v>
      </c>
      <c r="M8152">
        <v>165.41</v>
      </c>
      <c r="N8152" s="4">
        <f t="shared" si="127"/>
        <v>-197.87195453721057</v>
      </c>
      <c r="O8152" t="s">
        <v>83</v>
      </c>
      <c r="Q8152" s="92"/>
    </row>
    <row r="8153" spans="1:17" x14ac:dyDescent="0.25">
      <c r="A8153" s="22">
        <v>45919</v>
      </c>
      <c r="B8153" s="1">
        <v>18545867</v>
      </c>
      <c r="C8153" t="s">
        <v>6538</v>
      </c>
      <c r="D8153" s="44">
        <v>-8182.5</v>
      </c>
      <c r="E8153" t="s">
        <v>35</v>
      </c>
      <c r="F8153" s="2">
        <v>212901001</v>
      </c>
      <c r="G8153" s="2" t="s">
        <v>91</v>
      </c>
      <c r="I8153" s="95" t="s">
        <v>7231</v>
      </c>
      <c r="J8153" t="s">
        <v>61</v>
      </c>
      <c r="K8153" t="s">
        <v>62</v>
      </c>
      <c r="M8153">
        <v>165.41</v>
      </c>
      <c r="N8153" s="4">
        <f t="shared" si="127"/>
        <v>-49.467988634302642</v>
      </c>
      <c r="O8153" t="s">
        <v>83</v>
      </c>
      <c r="Q8153" s="92"/>
    </row>
    <row r="8154" spans="1:17" x14ac:dyDescent="0.25">
      <c r="A8154" s="22">
        <v>45919</v>
      </c>
      <c r="B8154" s="1">
        <v>118545877</v>
      </c>
      <c r="C8154" t="s">
        <v>6539</v>
      </c>
      <c r="D8154" s="44">
        <v>-3273</v>
      </c>
      <c r="E8154" t="s">
        <v>35</v>
      </c>
      <c r="F8154" s="2">
        <v>212901001</v>
      </c>
      <c r="G8154" s="2" t="s">
        <v>91</v>
      </c>
      <c r="I8154" s="95" t="s">
        <v>7231</v>
      </c>
      <c r="J8154" t="s">
        <v>61</v>
      </c>
      <c r="K8154" t="s">
        <v>62</v>
      </c>
      <c r="M8154">
        <v>165.41</v>
      </c>
      <c r="N8154" s="4">
        <f t="shared" si="127"/>
        <v>-19.787195453721058</v>
      </c>
      <c r="O8154" t="s">
        <v>83</v>
      </c>
      <c r="Q8154" s="92"/>
    </row>
    <row r="8155" spans="1:17" x14ac:dyDescent="0.25">
      <c r="A8155" s="22">
        <v>45919</v>
      </c>
      <c r="B8155" s="1">
        <v>118545879</v>
      </c>
      <c r="C8155" t="s">
        <v>6540</v>
      </c>
      <c r="D8155" s="44">
        <v>-3273</v>
      </c>
      <c r="E8155" t="s">
        <v>35</v>
      </c>
      <c r="F8155" s="2">
        <v>212901001</v>
      </c>
      <c r="G8155" s="2" t="s">
        <v>91</v>
      </c>
      <c r="I8155" s="95" t="s">
        <v>7231</v>
      </c>
      <c r="J8155" t="s">
        <v>61</v>
      </c>
      <c r="K8155" t="s">
        <v>62</v>
      </c>
      <c r="M8155">
        <v>165.41</v>
      </c>
      <c r="N8155" s="4">
        <f t="shared" si="127"/>
        <v>-19.787195453721058</v>
      </c>
      <c r="O8155" t="s">
        <v>83</v>
      </c>
      <c r="Q8155" s="92"/>
    </row>
    <row r="8156" spans="1:17" x14ac:dyDescent="0.25">
      <c r="A8156" s="22">
        <v>45919</v>
      </c>
      <c r="B8156" s="1">
        <v>118545876</v>
      </c>
      <c r="C8156" t="s">
        <v>6541</v>
      </c>
      <c r="D8156" s="44">
        <v>-6873.3</v>
      </c>
      <c r="E8156" t="s">
        <v>35</v>
      </c>
      <c r="F8156" s="2">
        <v>212901001</v>
      </c>
      <c r="G8156" s="2" t="s">
        <v>91</v>
      </c>
      <c r="I8156" s="95" t="s">
        <v>7231</v>
      </c>
      <c r="J8156" t="s">
        <v>61</v>
      </c>
      <c r="K8156" t="s">
        <v>62</v>
      </c>
      <c r="M8156">
        <v>165.41</v>
      </c>
      <c r="N8156" s="4">
        <f t="shared" si="127"/>
        <v>-41.553110452814224</v>
      </c>
      <c r="O8156" t="s">
        <v>83</v>
      </c>
      <c r="Q8156" s="92"/>
    </row>
    <row r="8157" spans="1:17" x14ac:dyDescent="0.25">
      <c r="A8157" s="22">
        <v>45919</v>
      </c>
      <c r="B8157" s="1">
        <v>50985709</v>
      </c>
      <c r="C8157" t="s">
        <v>6542</v>
      </c>
      <c r="D8157" s="44">
        <v>-22911</v>
      </c>
      <c r="E8157" t="s">
        <v>35</v>
      </c>
      <c r="F8157" s="2">
        <v>212901001</v>
      </c>
      <c r="G8157" s="2" t="s">
        <v>91</v>
      </c>
      <c r="I8157" s="95" t="s">
        <v>7231</v>
      </c>
      <c r="J8157" t="s">
        <v>61</v>
      </c>
      <c r="K8157" t="s">
        <v>62</v>
      </c>
      <c r="M8157">
        <v>165.41</v>
      </c>
      <c r="N8157" s="4">
        <f t="shared" si="127"/>
        <v>-138.51036817604739</v>
      </c>
      <c r="O8157" t="s">
        <v>83</v>
      </c>
      <c r="Q8157" s="92"/>
    </row>
    <row r="8158" spans="1:17" x14ac:dyDescent="0.25">
      <c r="A8158" s="22">
        <v>45919</v>
      </c>
      <c r="B8158" s="1">
        <v>50985709</v>
      </c>
      <c r="C8158" t="s">
        <v>179</v>
      </c>
      <c r="D8158" s="44">
        <v>-34.36</v>
      </c>
      <c r="E8158" t="s">
        <v>35</v>
      </c>
      <c r="F8158" s="2">
        <v>610148001</v>
      </c>
      <c r="G8158" s="2" t="s">
        <v>41</v>
      </c>
      <c r="I8158" s="95" t="s">
        <v>7231</v>
      </c>
      <c r="J8158" t="s">
        <v>42</v>
      </c>
      <c r="K8158" t="s">
        <v>41</v>
      </c>
      <c r="M8158">
        <v>165.41</v>
      </c>
      <c r="N8158" s="4">
        <f t="shared" si="127"/>
        <v>-0.2077262559700139</v>
      </c>
      <c r="O8158" t="s">
        <v>83</v>
      </c>
      <c r="Q8158" s="91" t="s">
        <v>6298</v>
      </c>
    </row>
    <row r="8159" spans="1:17" x14ac:dyDescent="0.25">
      <c r="A8159" s="22">
        <v>45919</v>
      </c>
      <c r="B8159" s="1">
        <v>50985709</v>
      </c>
      <c r="C8159" t="s">
        <v>89</v>
      </c>
      <c r="D8159" s="44">
        <v>-1810.37</v>
      </c>
      <c r="E8159" t="s">
        <v>35</v>
      </c>
      <c r="F8159" s="2">
        <v>610148001</v>
      </c>
      <c r="G8159" s="2" t="s">
        <v>41</v>
      </c>
      <c r="I8159" s="95" t="s">
        <v>7231</v>
      </c>
      <c r="J8159" t="s">
        <v>42</v>
      </c>
      <c r="K8159" t="s">
        <v>41</v>
      </c>
      <c r="M8159">
        <v>165.41</v>
      </c>
      <c r="N8159" s="4">
        <f t="shared" si="127"/>
        <v>-10.944743364971888</v>
      </c>
      <c r="O8159" t="s">
        <v>83</v>
      </c>
      <c r="Q8159" s="91" t="s">
        <v>6298</v>
      </c>
    </row>
    <row r="8160" spans="1:17" x14ac:dyDescent="0.25">
      <c r="A8160" s="22">
        <v>45919</v>
      </c>
      <c r="B8160" s="1">
        <v>113504011</v>
      </c>
      <c r="C8160" t="s">
        <v>82</v>
      </c>
      <c r="D8160" s="44">
        <v>680000</v>
      </c>
      <c r="E8160" t="s">
        <v>45</v>
      </c>
      <c r="F8160" s="2">
        <v>210115002</v>
      </c>
      <c r="G8160" s="2" t="s">
        <v>5259</v>
      </c>
      <c r="I8160" s="95" t="s">
        <v>7231</v>
      </c>
      <c r="K8160" t="s">
        <v>82</v>
      </c>
      <c r="M8160">
        <v>165.41</v>
      </c>
      <c r="N8160" s="4">
        <f t="shared" si="127"/>
        <v>4110.9969167523122</v>
      </c>
      <c r="O8160" t="s">
        <v>83</v>
      </c>
      <c r="Q8160" s="92"/>
    </row>
    <row r="8161" spans="1:17" x14ac:dyDescent="0.25">
      <c r="A8161" s="22">
        <v>45919</v>
      </c>
      <c r="B8161" s="1">
        <v>818550018</v>
      </c>
      <c r="C8161" t="s">
        <v>6543</v>
      </c>
      <c r="D8161" s="44">
        <v>-527176.98</v>
      </c>
      <c r="E8161" t="s">
        <v>35</v>
      </c>
      <c r="F8161" s="2">
        <v>210101001</v>
      </c>
      <c r="G8161" s="2" t="s">
        <v>36</v>
      </c>
      <c r="I8161" s="95" t="s">
        <v>7231</v>
      </c>
      <c r="J8161" t="s">
        <v>37</v>
      </c>
      <c r="K8161" t="s">
        <v>38</v>
      </c>
      <c r="M8161">
        <v>165.41</v>
      </c>
      <c r="N8161" s="4">
        <f t="shared" si="127"/>
        <v>-3187.092557886464</v>
      </c>
      <c r="O8161" t="s">
        <v>83</v>
      </c>
      <c r="Q8161" s="92"/>
    </row>
    <row r="8162" spans="1:17" x14ac:dyDescent="0.25">
      <c r="A8162" s="33">
        <v>45919</v>
      </c>
      <c r="B8162" s="27">
        <v>818550020</v>
      </c>
      <c r="C8162" s="28" t="s">
        <v>6544</v>
      </c>
      <c r="D8162" s="47">
        <v>-19849.2</v>
      </c>
      <c r="E8162" s="28" t="s">
        <v>35</v>
      </c>
      <c r="F8162" s="30">
        <v>610129001</v>
      </c>
      <c r="G8162" s="30" t="s">
        <v>53</v>
      </c>
      <c r="H8162" s="30"/>
      <c r="I8162" s="95" t="s">
        <v>7231</v>
      </c>
      <c r="J8162" s="28" t="s">
        <v>54</v>
      </c>
      <c r="K8162" s="28" t="s">
        <v>55</v>
      </c>
      <c r="L8162" s="28" t="s">
        <v>56</v>
      </c>
      <c r="M8162" s="28">
        <v>165.41</v>
      </c>
      <c r="N8162" s="4">
        <f t="shared" si="127"/>
        <v>-120</v>
      </c>
      <c r="O8162" t="s">
        <v>83</v>
      </c>
      <c r="Q8162" s="93" t="s">
        <v>6545</v>
      </c>
    </row>
    <row r="8163" spans="1:17" x14ac:dyDescent="0.25">
      <c r="A8163" s="22">
        <v>45919</v>
      </c>
      <c r="B8163" s="1">
        <v>818550019</v>
      </c>
      <c r="C8163" t="s">
        <v>3285</v>
      </c>
      <c r="D8163" s="44">
        <v>-17814.66</v>
      </c>
      <c r="E8163" t="s">
        <v>35</v>
      </c>
      <c r="F8163" s="2">
        <v>110101002</v>
      </c>
      <c r="G8163" s="2" t="s">
        <v>2771</v>
      </c>
      <c r="I8163" s="95" t="s">
        <v>7231</v>
      </c>
      <c r="K8163" t="s">
        <v>3285</v>
      </c>
      <c r="M8163">
        <v>165.41</v>
      </c>
      <c r="N8163" s="4">
        <f t="shared" si="127"/>
        <v>-107.7000181367511</v>
      </c>
      <c r="O8163" t="s">
        <v>83</v>
      </c>
      <c r="Q8163" s="92"/>
    </row>
    <row r="8164" spans="1:17" x14ac:dyDescent="0.25">
      <c r="A8164" s="22">
        <v>45919</v>
      </c>
      <c r="B8164" s="1">
        <v>818550022</v>
      </c>
      <c r="C8164" t="s">
        <v>6546</v>
      </c>
      <c r="D8164" s="44">
        <v>-16541</v>
      </c>
      <c r="E8164" t="s">
        <v>35</v>
      </c>
      <c r="F8164" s="2">
        <v>212901001</v>
      </c>
      <c r="G8164" s="2" t="s">
        <v>91</v>
      </c>
      <c r="I8164" s="95" t="s">
        <v>7231</v>
      </c>
      <c r="J8164" t="s">
        <v>61</v>
      </c>
      <c r="K8164" t="s">
        <v>62</v>
      </c>
      <c r="M8164">
        <v>165.41</v>
      </c>
      <c r="N8164" s="4">
        <f t="shared" si="127"/>
        <v>-100</v>
      </c>
      <c r="O8164" t="s">
        <v>83</v>
      </c>
      <c r="Q8164" s="92"/>
    </row>
    <row r="8165" spans="1:17" x14ac:dyDescent="0.25">
      <c r="A8165" s="22">
        <v>45919</v>
      </c>
      <c r="B8165" s="1">
        <v>818550021</v>
      </c>
      <c r="C8165" t="s">
        <v>6547</v>
      </c>
      <c r="D8165" s="44">
        <v>-16541</v>
      </c>
      <c r="E8165" t="s">
        <v>35</v>
      </c>
      <c r="F8165" s="2">
        <v>212901001</v>
      </c>
      <c r="G8165" s="2" t="s">
        <v>91</v>
      </c>
      <c r="I8165" s="95" t="s">
        <v>7231</v>
      </c>
      <c r="J8165" t="s">
        <v>61</v>
      </c>
      <c r="K8165" t="s">
        <v>62</v>
      </c>
      <c r="M8165">
        <v>165.41</v>
      </c>
      <c r="N8165" s="4">
        <f t="shared" si="127"/>
        <v>-100</v>
      </c>
      <c r="O8165" t="s">
        <v>83</v>
      </c>
      <c r="Q8165" s="92"/>
    </row>
    <row r="8166" spans="1:17" x14ac:dyDescent="0.25">
      <c r="A8166" s="22">
        <v>45919</v>
      </c>
      <c r="B8166" s="1">
        <v>918550024</v>
      </c>
      <c r="C8166" t="s">
        <v>6548</v>
      </c>
      <c r="D8166" s="44">
        <v>-3308.2</v>
      </c>
      <c r="E8166" t="s">
        <v>35</v>
      </c>
      <c r="F8166" s="2">
        <v>212901001</v>
      </c>
      <c r="G8166" s="2" t="s">
        <v>91</v>
      </c>
      <c r="I8166" s="95" t="s">
        <v>7231</v>
      </c>
      <c r="J8166" t="s">
        <v>61</v>
      </c>
      <c r="K8166" t="s">
        <v>62</v>
      </c>
      <c r="M8166">
        <v>165.41</v>
      </c>
      <c r="N8166" s="4">
        <f t="shared" si="127"/>
        <v>-20</v>
      </c>
      <c r="O8166" t="s">
        <v>83</v>
      </c>
      <c r="Q8166" s="92"/>
    </row>
    <row r="8167" spans="1:17" x14ac:dyDescent="0.25">
      <c r="A8167" s="22">
        <v>45919</v>
      </c>
      <c r="B8167" s="1">
        <v>918550023</v>
      </c>
      <c r="C8167" t="s">
        <v>6549</v>
      </c>
      <c r="D8167" s="44">
        <v>-4962.3</v>
      </c>
      <c r="E8167" t="s">
        <v>35</v>
      </c>
      <c r="F8167" s="2">
        <v>212901001</v>
      </c>
      <c r="G8167" s="2" t="s">
        <v>91</v>
      </c>
      <c r="I8167" s="95" t="s">
        <v>7231</v>
      </c>
      <c r="J8167" t="s">
        <v>61</v>
      </c>
      <c r="K8167" t="s">
        <v>62</v>
      </c>
      <c r="M8167">
        <v>165.41</v>
      </c>
      <c r="N8167" s="4">
        <f t="shared" si="127"/>
        <v>-30</v>
      </c>
      <c r="O8167" t="s">
        <v>83</v>
      </c>
      <c r="Q8167" s="92"/>
    </row>
    <row r="8168" spans="1:17" x14ac:dyDescent="0.25">
      <c r="A8168" s="22">
        <v>45919</v>
      </c>
      <c r="B8168" s="1">
        <v>918550026</v>
      </c>
      <c r="C8168" t="s">
        <v>6550</v>
      </c>
      <c r="D8168" s="44">
        <v>-3308.2</v>
      </c>
      <c r="E8168" t="s">
        <v>35</v>
      </c>
      <c r="F8168" s="2">
        <v>212901001</v>
      </c>
      <c r="G8168" s="2" t="s">
        <v>91</v>
      </c>
      <c r="I8168" s="95" t="s">
        <v>7231</v>
      </c>
      <c r="J8168" t="s">
        <v>61</v>
      </c>
      <c r="K8168" t="s">
        <v>62</v>
      </c>
      <c r="M8168">
        <v>165.41</v>
      </c>
      <c r="N8168" s="4">
        <f t="shared" si="127"/>
        <v>-20</v>
      </c>
      <c r="O8168" t="s">
        <v>83</v>
      </c>
      <c r="Q8168" s="92"/>
    </row>
    <row r="8169" spans="1:17" x14ac:dyDescent="0.25">
      <c r="A8169" s="22">
        <v>45919</v>
      </c>
      <c r="B8169" s="1">
        <v>918550027</v>
      </c>
      <c r="C8169" t="s">
        <v>6551</v>
      </c>
      <c r="D8169" s="44">
        <v>-3308.2</v>
      </c>
      <c r="E8169" t="s">
        <v>35</v>
      </c>
      <c r="F8169" s="2">
        <v>212901001</v>
      </c>
      <c r="G8169" s="2" t="s">
        <v>91</v>
      </c>
      <c r="I8169" s="95" t="s">
        <v>7231</v>
      </c>
      <c r="J8169" t="s">
        <v>61</v>
      </c>
      <c r="K8169" t="s">
        <v>62</v>
      </c>
      <c r="M8169">
        <v>165.41</v>
      </c>
      <c r="N8169" s="4">
        <f t="shared" si="127"/>
        <v>-20</v>
      </c>
      <c r="O8169" t="s">
        <v>83</v>
      </c>
      <c r="Q8169" s="92"/>
    </row>
    <row r="8170" spans="1:17" x14ac:dyDescent="0.25">
      <c r="A8170" s="22">
        <v>45919</v>
      </c>
      <c r="B8170" s="1">
        <v>918550030</v>
      </c>
      <c r="C8170" t="s">
        <v>6552</v>
      </c>
      <c r="D8170" s="44">
        <v>-3308.2</v>
      </c>
      <c r="E8170" t="s">
        <v>35</v>
      </c>
      <c r="F8170" s="2">
        <v>212901001</v>
      </c>
      <c r="G8170" s="2" t="s">
        <v>91</v>
      </c>
      <c r="I8170" s="95" t="s">
        <v>7231</v>
      </c>
      <c r="J8170" t="s">
        <v>61</v>
      </c>
      <c r="K8170" t="s">
        <v>62</v>
      </c>
      <c r="M8170">
        <v>165.41</v>
      </c>
      <c r="N8170" s="4">
        <f t="shared" si="127"/>
        <v>-20</v>
      </c>
      <c r="O8170" t="s">
        <v>83</v>
      </c>
      <c r="Q8170" s="92"/>
    </row>
    <row r="8171" spans="1:17" x14ac:dyDescent="0.25">
      <c r="A8171" s="33">
        <v>45919</v>
      </c>
      <c r="B8171" s="27">
        <v>918550031</v>
      </c>
      <c r="C8171" s="28" t="s">
        <v>6553</v>
      </c>
      <c r="D8171" s="47">
        <v>-52931.199999999997</v>
      </c>
      <c r="E8171" s="28" t="s">
        <v>35</v>
      </c>
      <c r="F8171" s="30">
        <v>610156001</v>
      </c>
      <c r="G8171" s="30" t="s">
        <v>72</v>
      </c>
      <c r="H8171" s="30"/>
      <c r="I8171" s="95" t="s">
        <v>7231</v>
      </c>
      <c r="J8171" s="28" t="s">
        <v>2398</v>
      </c>
      <c r="K8171" s="28" t="s">
        <v>632</v>
      </c>
      <c r="L8171" s="28" t="s">
        <v>56</v>
      </c>
      <c r="M8171" s="28">
        <v>165.41</v>
      </c>
      <c r="N8171" s="4">
        <f t="shared" si="127"/>
        <v>-320</v>
      </c>
      <c r="O8171" t="s">
        <v>83</v>
      </c>
      <c r="Q8171" s="92"/>
    </row>
    <row r="8172" spans="1:17" x14ac:dyDescent="0.25">
      <c r="A8172" s="33">
        <v>45919</v>
      </c>
      <c r="B8172" s="27">
        <v>918550033</v>
      </c>
      <c r="C8172" s="28" t="s">
        <v>6554</v>
      </c>
      <c r="D8172" s="47">
        <v>-19849.2</v>
      </c>
      <c r="E8172" s="28" t="s">
        <v>35</v>
      </c>
      <c r="F8172" s="30">
        <v>610156001</v>
      </c>
      <c r="G8172" s="30" t="s">
        <v>72</v>
      </c>
      <c r="H8172" s="30"/>
      <c r="I8172" s="95" t="s">
        <v>7231</v>
      </c>
      <c r="J8172" s="28" t="s">
        <v>73</v>
      </c>
      <c r="K8172" s="28" t="s">
        <v>74</v>
      </c>
      <c r="L8172" s="28" t="s">
        <v>56</v>
      </c>
      <c r="M8172" s="28">
        <v>165.41</v>
      </c>
      <c r="N8172" s="4">
        <f t="shared" si="127"/>
        <v>-120</v>
      </c>
      <c r="O8172" t="s">
        <v>83</v>
      </c>
      <c r="Q8172" s="92"/>
    </row>
    <row r="8173" spans="1:17" x14ac:dyDescent="0.25">
      <c r="A8173" s="22">
        <v>45919</v>
      </c>
      <c r="B8173" s="1">
        <v>918550034</v>
      </c>
      <c r="C8173" t="s">
        <v>6555</v>
      </c>
      <c r="D8173" s="44">
        <v>-8488.5300000000007</v>
      </c>
      <c r="E8173" t="s">
        <v>35</v>
      </c>
      <c r="F8173" s="2">
        <v>210101001</v>
      </c>
      <c r="G8173" s="2" t="s">
        <v>36</v>
      </c>
      <c r="I8173" s="95" t="s">
        <v>7231</v>
      </c>
      <c r="J8173" t="s">
        <v>283</v>
      </c>
      <c r="K8173" t="s">
        <v>1628</v>
      </c>
      <c r="M8173">
        <v>165.41</v>
      </c>
      <c r="N8173" s="4">
        <f t="shared" si="127"/>
        <v>-51.318118614352223</v>
      </c>
      <c r="O8173" t="s">
        <v>83</v>
      </c>
      <c r="Q8173" s="92"/>
    </row>
    <row r="8174" spans="1:17" x14ac:dyDescent="0.25">
      <c r="A8174" s="22">
        <v>45919</v>
      </c>
      <c r="B8174" s="1">
        <v>50931801</v>
      </c>
      <c r="C8174" t="s">
        <v>89</v>
      </c>
      <c r="D8174" s="44">
        <v>-1743.46</v>
      </c>
      <c r="E8174" t="s">
        <v>35</v>
      </c>
      <c r="F8174" s="2">
        <v>610148001</v>
      </c>
      <c r="G8174" s="2" t="s">
        <v>41</v>
      </c>
      <c r="I8174" s="95" t="s">
        <v>7231</v>
      </c>
      <c r="J8174" t="s">
        <v>42</v>
      </c>
      <c r="K8174" t="s">
        <v>41</v>
      </c>
      <c r="M8174">
        <v>165.41</v>
      </c>
      <c r="N8174" s="4">
        <f t="shared" si="127"/>
        <v>-10.540233359530863</v>
      </c>
      <c r="O8174" t="s">
        <v>83</v>
      </c>
      <c r="Q8174" s="91" t="s">
        <v>6298</v>
      </c>
    </row>
    <row r="8175" spans="1:17" x14ac:dyDescent="0.25">
      <c r="A8175" s="22">
        <v>45923</v>
      </c>
      <c r="B8175" s="1">
        <v>133652726</v>
      </c>
      <c r="C8175" t="s">
        <v>6556</v>
      </c>
      <c r="D8175" s="44">
        <v>185000</v>
      </c>
      <c r="E8175" t="s">
        <v>45</v>
      </c>
      <c r="F8175" s="2">
        <v>210115002</v>
      </c>
      <c r="G8175" s="2" t="s">
        <v>5259</v>
      </c>
      <c r="I8175" s="95" t="s">
        <v>7231</v>
      </c>
      <c r="K8175" t="s">
        <v>6556</v>
      </c>
      <c r="M8175">
        <v>168.42</v>
      </c>
      <c r="N8175" s="4">
        <f t="shared" si="127"/>
        <v>1098.4443652772832</v>
      </c>
      <c r="O8175" t="s">
        <v>83</v>
      </c>
      <c r="Q8175" s="92"/>
    </row>
    <row r="8176" spans="1:17" x14ac:dyDescent="0.25">
      <c r="A8176" s="22">
        <v>45923</v>
      </c>
      <c r="B8176" s="1">
        <v>618667496</v>
      </c>
      <c r="C8176" t="s">
        <v>6557</v>
      </c>
      <c r="D8176" s="44">
        <v>-87335.24</v>
      </c>
      <c r="E8176" t="s">
        <v>35</v>
      </c>
      <c r="F8176" s="2">
        <v>110114001</v>
      </c>
      <c r="G8176" s="2" t="s">
        <v>181</v>
      </c>
      <c r="I8176" s="95" t="s">
        <v>7231</v>
      </c>
      <c r="J8176" t="s">
        <v>414</v>
      </c>
      <c r="K8176" t="s">
        <v>415</v>
      </c>
      <c r="M8176">
        <v>168.42</v>
      </c>
      <c r="N8176" s="4">
        <f t="shared" si="127"/>
        <v>-518.55622847642803</v>
      </c>
      <c r="O8176" t="s">
        <v>83</v>
      </c>
      <c r="P8176" t="s">
        <v>6558</v>
      </c>
      <c r="Q8176" s="92"/>
    </row>
    <row r="8177" spans="1:17" x14ac:dyDescent="0.25">
      <c r="A8177" s="22">
        <v>45923</v>
      </c>
      <c r="B8177" s="1">
        <v>618667495</v>
      </c>
      <c r="C8177" t="s">
        <v>6559</v>
      </c>
      <c r="D8177" s="44">
        <v>-95378.26</v>
      </c>
      <c r="E8177" t="s">
        <v>35</v>
      </c>
      <c r="F8177" s="2">
        <v>210101001</v>
      </c>
      <c r="G8177" s="2" t="s">
        <v>36</v>
      </c>
      <c r="I8177" s="95" t="s">
        <v>7231</v>
      </c>
      <c r="J8177" t="s">
        <v>680</v>
      </c>
      <c r="K8177" t="s">
        <v>681</v>
      </c>
      <c r="M8177">
        <v>168.42</v>
      </c>
      <c r="N8177" s="4">
        <f t="shared" si="127"/>
        <v>-566.3119581997388</v>
      </c>
      <c r="O8177" t="s">
        <v>83</v>
      </c>
      <c r="Q8177" s="92"/>
    </row>
    <row r="8178" spans="1:17" x14ac:dyDescent="0.25">
      <c r="A8178" s="22">
        <v>45923</v>
      </c>
      <c r="B8178" s="1">
        <v>50987706</v>
      </c>
      <c r="C8178" t="s">
        <v>89</v>
      </c>
      <c r="D8178" s="44">
        <v>-456.78</v>
      </c>
      <c r="E8178" t="s">
        <v>35</v>
      </c>
      <c r="F8178" s="2">
        <v>610148001</v>
      </c>
      <c r="G8178" s="2" t="s">
        <v>41</v>
      </c>
      <c r="I8178" s="95" t="s">
        <v>7231</v>
      </c>
      <c r="J8178" t="s">
        <v>42</v>
      </c>
      <c r="K8178" t="s">
        <v>41</v>
      </c>
      <c r="M8178">
        <v>168.42</v>
      </c>
      <c r="N8178" s="4">
        <f t="shared" si="127"/>
        <v>-2.7121482009262556</v>
      </c>
      <c r="O8178" t="s">
        <v>83</v>
      </c>
      <c r="Q8178" s="91" t="s">
        <v>6298</v>
      </c>
    </row>
    <row r="8179" spans="1:17" x14ac:dyDescent="0.25">
      <c r="A8179" s="22">
        <v>45922</v>
      </c>
      <c r="B8179" s="1">
        <v>141223155</v>
      </c>
      <c r="C8179" t="s">
        <v>82</v>
      </c>
      <c r="D8179" s="44">
        <v>500000</v>
      </c>
      <c r="E8179" t="s">
        <v>45</v>
      </c>
      <c r="F8179" s="2">
        <v>210115002</v>
      </c>
      <c r="G8179" s="2" t="s">
        <v>5259</v>
      </c>
      <c r="I8179" s="95" t="s">
        <v>7231</v>
      </c>
      <c r="K8179" t="s">
        <v>82</v>
      </c>
      <c r="M8179">
        <v>166.58</v>
      </c>
      <c r="N8179" s="4">
        <f t="shared" si="127"/>
        <v>3001.5608116220433</v>
      </c>
      <c r="O8179" t="s">
        <v>83</v>
      </c>
      <c r="Q8179" s="92"/>
    </row>
    <row r="8180" spans="1:17" x14ac:dyDescent="0.25">
      <c r="A8180" s="22">
        <v>45922</v>
      </c>
      <c r="B8180" s="1">
        <v>418639205</v>
      </c>
      <c r="C8180" t="s">
        <v>6560</v>
      </c>
      <c r="D8180" s="44">
        <v>-66632</v>
      </c>
      <c r="E8180" t="s">
        <v>35</v>
      </c>
      <c r="F8180" s="2">
        <v>110114001</v>
      </c>
      <c r="G8180" s="2" t="s">
        <v>181</v>
      </c>
      <c r="I8180" s="95" t="s">
        <v>7231</v>
      </c>
      <c r="K8180" t="s">
        <v>1256</v>
      </c>
      <c r="M8180">
        <v>166.58</v>
      </c>
      <c r="N8180" s="4">
        <f t="shared" si="127"/>
        <v>-399.99999999999994</v>
      </c>
      <c r="O8180" t="s">
        <v>83</v>
      </c>
      <c r="Q8180" s="92"/>
    </row>
    <row r="8181" spans="1:17" x14ac:dyDescent="0.25">
      <c r="A8181" s="22">
        <v>45922</v>
      </c>
      <c r="B8181" s="1">
        <v>418639208</v>
      </c>
      <c r="C8181" t="s">
        <v>6561</v>
      </c>
      <c r="D8181" s="44">
        <v>-179706.5</v>
      </c>
      <c r="E8181" t="s">
        <v>35</v>
      </c>
      <c r="F8181" s="2">
        <v>210101001</v>
      </c>
      <c r="G8181" s="2" t="s">
        <v>36</v>
      </c>
      <c r="I8181" s="95" t="s">
        <v>7231</v>
      </c>
      <c r="J8181" t="s">
        <v>414</v>
      </c>
      <c r="K8181" t="s">
        <v>415</v>
      </c>
      <c r="M8181">
        <v>166.58</v>
      </c>
      <c r="N8181" s="4">
        <f t="shared" si="127"/>
        <v>-1078.7999759875133</v>
      </c>
      <c r="O8181" t="s">
        <v>83</v>
      </c>
      <c r="Q8181" s="92"/>
    </row>
    <row r="8182" spans="1:17" x14ac:dyDescent="0.25">
      <c r="A8182" s="22">
        <v>45922</v>
      </c>
      <c r="B8182" s="1">
        <v>418639206</v>
      </c>
      <c r="C8182" t="s">
        <v>6562</v>
      </c>
      <c r="D8182" s="44">
        <v>-1334.6</v>
      </c>
      <c r="E8182" t="s">
        <v>35</v>
      </c>
      <c r="F8182" s="2">
        <v>210101001</v>
      </c>
      <c r="G8182" s="2" t="s">
        <v>36</v>
      </c>
      <c r="I8182" s="95" t="s">
        <v>7231</v>
      </c>
      <c r="J8182" t="s">
        <v>414</v>
      </c>
      <c r="K8182" t="s">
        <v>415</v>
      </c>
      <c r="M8182">
        <v>166.58</v>
      </c>
      <c r="N8182" s="4">
        <f t="shared" si="127"/>
        <v>-8.0117661183815567</v>
      </c>
      <c r="O8182" t="s">
        <v>83</v>
      </c>
      <c r="Q8182" s="92"/>
    </row>
    <row r="8183" spans="1:17" x14ac:dyDescent="0.25">
      <c r="A8183" s="22">
        <v>45922</v>
      </c>
      <c r="B8183" s="1">
        <v>418639207</v>
      </c>
      <c r="C8183" t="s">
        <v>6563</v>
      </c>
      <c r="D8183" s="44">
        <v>-80379.03</v>
      </c>
      <c r="E8183" t="s">
        <v>35</v>
      </c>
      <c r="F8183" s="2">
        <v>210101001</v>
      </c>
      <c r="G8183" s="2" t="s">
        <v>36</v>
      </c>
      <c r="I8183" s="95" t="s">
        <v>7231</v>
      </c>
      <c r="J8183" t="s">
        <v>414</v>
      </c>
      <c r="K8183" t="s">
        <v>415</v>
      </c>
      <c r="M8183">
        <v>166.58</v>
      </c>
      <c r="N8183" s="4">
        <f t="shared" si="127"/>
        <v>-482.52509304838514</v>
      </c>
      <c r="O8183" t="s">
        <v>83</v>
      </c>
      <c r="Q8183" s="92"/>
    </row>
    <row r="8184" spans="1:17" x14ac:dyDescent="0.25">
      <c r="A8184" s="22">
        <v>45922</v>
      </c>
      <c r="B8184" s="1">
        <v>418639209</v>
      </c>
      <c r="C8184" t="s">
        <v>6564</v>
      </c>
      <c r="D8184" s="44">
        <v>-86240.98</v>
      </c>
      <c r="E8184" t="s">
        <v>35</v>
      </c>
      <c r="F8184" s="2">
        <v>210101001</v>
      </c>
      <c r="G8184" s="2" t="s">
        <v>36</v>
      </c>
      <c r="I8184" s="95" t="s">
        <v>7231</v>
      </c>
      <c r="J8184" t="s">
        <v>394</v>
      </c>
      <c r="K8184" t="s">
        <v>395</v>
      </c>
      <c r="M8184">
        <v>166.58</v>
      </c>
      <c r="N8184" s="4">
        <f t="shared" si="127"/>
        <v>-517.71509184776073</v>
      </c>
      <c r="O8184" t="s">
        <v>83</v>
      </c>
      <c r="Q8184" s="92"/>
    </row>
    <row r="8185" spans="1:17" x14ac:dyDescent="0.25">
      <c r="A8185" s="22">
        <v>45922</v>
      </c>
      <c r="B8185" s="1">
        <v>418639210</v>
      </c>
      <c r="C8185" t="s">
        <v>6565</v>
      </c>
      <c r="D8185" s="44">
        <v>-86240.98</v>
      </c>
      <c r="E8185" t="s">
        <v>35</v>
      </c>
      <c r="F8185" s="2">
        <v>210101001</v>
      </c>
      <c r="G8185" s="2" t="s">
        <v>36</v>
      </c>
      <c r="I8185" s="95" t="s">
        <v>7231</v>
      </c>
      <c r="J8185" t="s">
        <v>394</v>
      </c>
      <c r="K8185" t="s">
        <v>395</v>
      </c>
      <c r="M8185">
        <v>166.58</v>
      </c>
      <c r="N8185" s="4">
        <f t="shared" si="127"/>
        <v>-517.71509184776073</v>
      </c>
      <c r="O8185" t="s">
        <v>83</v>
      </c>
      <c r="Q8185" s="92"/>
    </row>
    <row r="8186" spans="1:17" x14ac:dyDescent="0.25">
      <c r="A8186" s="22">
        <v>45922</v>
      </c>
      <c r="B8186" s="1">
        <v>50969300</v>
      </c>
      <c r="C8186" t="s">
        <v>89</v>
      </c>
      <c r="D8186" s="44">
        <v>-1251.33</v>
      </c>
      <c r="E8186" t="s">
        <v>35</v>
      </c>
      <c r="F8186" s="2">
        <v>610148001</v>
      </c>
      <c r="G8186" s="2" t="s">
        <v>41</v>
      </c>
      <c r="I8186" s="95" t="s">
        <v>7231</v>
      </c>
      <c r="J8186" t="s">
        <v>42</v>
      </c>
      <c r="K8186" t="s">
        <v>41</v>
      </c>
      <c r="M8186">
        <v>166.58</v>
      </c>
      <c r="N8186" s="4">
        <f t="shared" si="127"/>
        <v>-7.511886180814022</v>
      </c>
      <c r="O8186" t="s">
        <v>83</v>
      </c>
      <c r="Q8186" s="91" t="s">
        <v>6298</v>
      </c>
    </row>
    <row r="8187" spans="1:17" x14ac:dyDescent="0.25">
      <c r="A8187" s="22">
        <v>45924</v>
      </c>
      <c r="B8187" s="1">
        <v>160883983</v>
      </c>
      <c r="C8187" t="s">
        <v>293</v>
      </c>
      <c r="D8187" s="44">
        <v>680000</v>
      </c>
      <c r="E8187" t="s">
        <v>45</v>
      </c>
      <c r="F8187" s="2">
        <v>210115002</v>
      </c>
      <c r="G8187" s="2" t="s">
        <v>5259</v>
      </c>
      <c r="I8187" s="95" t="s">
        <v>7231</v>
      </c>
      <c r="K8187" t="s">
        <v>293</v>
      </c>
      <c r="M8187">
        <v>169.98</v>
      </c>
      <c r="N8187" s="4">
        <f t="shared" si="127"/>
        <v>4000.4706436051301</v>
      </c>
      <c r="O8187" t="s">
        <v>83</v>
      </c>
      <c r="Q8187" s="92"/>
    </row>
    <row r="8188" spans="1:17" x14ac:dyDescent="0.25">
      <c r="A8188" s="22">
        <v>45924</v>
      </c>
      <c r="B8188" s="1">
        <v>808459475</v>
      </c>
      <c r="C8188" t="s">
        <v>6566</v>
      </c>
      <c r="D8188" s="44">
        <v>-666418.38</v>
      </c>
      <c r="E8188" t="s">
        <v>35</v>
      </c>
      <c r="F8188" s="2">
        <v>110114001</v>
      </c>
      <c r="G8188" s="2" t="s">
        <v>181</v>
      </c>
      <c r="I8188" s="95" t="s">
        <v>7231</v>
      </c>
      <c r="J8188" t="s">
        <v>37</v>
      </c>
      <c r="K8188" t="s">
        <v>38</v>
      </c>
      <c r="M8188">
        <v>169.98</v>
      </c>
      <c r="N8188" s="4">
        <f t="shared" si="127"/>
        <v>-3920.5693611013062</v>
      </c>
      <c r="O8188" t="s">
        <v>83</v>
      </c>
      <c r="P8188" t="s">
        <v>6567</v>
      </c>
      <c r="Q8188" s="92"/>
    </row>
    <row r="8189" spans="1:17" x14ac:dyDescent="0.25">
      <c r="A8189" s="22">
        <v>45924</v>
      </c>
      <c r="B8189" s="1">
        <v>808459475</v>
      </c>
      <c r="C8189" t="s">
        <v>185</v>
      </c>
      <c r="D8189" s="44">
        <v>-1999.26</v>
      </c>
      <c r="E8189" t="s">
        <v>35</v>
      </c>
      <c r="F8189" s="2">
        <v>610148001</v>
      </c>
      <c r="G8189" s="2" t="s">
        <v>41</v>
      </c>
      <c r="I8189" s="95" t="s">
        <v>7231</v>
      </c>
      <c r="J8189" t="s">
        <v>42</v>
      </c>
      <c r="K8189" t="s">
        <v>41</v>
      </c>
      <c r="M8189">
        <v>169.98</v>
      </c>
      <c r="N8189" s="4">
        <f t="shared" si="127"/>
        <v>-11.761736674902931</v>
      </c>
      <c r="O8189" t="s">
        <v>83</v>
      </c>
      <c r="Q8189" s="91" t="s">
        <v>6298</v>
      </c>
    </row>
    <row r="8190" spans="1:17" x14ac:dyDescent="0.25">
      <c r="A8190" s="22">
        <v>45925</v>
      </c>
      <c r="B8190" s="1">
        <v>263468796</v>
      </c>
      <c r="C8190" t="s">
        <v>293</v>
      </c>
      <c r="D8190" s="44">
        <v>100000</v>
      </c>
      <c r="E8190" t="s">
        <v>45</v>
      </c>
      <c r="F8190" s="2">
        <v>210115002</v>
      </c>
      <c r="G8190" s="2" t="s">
        <v>5259</v>
      </c>
      <c r="I8190" s="95" t="s">
        <v>7231</v>
      </c>
      <c r="K8190" t="s">
        <v>293</v>
      </c>
      <c r="M8190">
        <v>169.98</v>
      </c>
      <c r="N8190" s="4">
        <f t="shared" si="127"/>
        <v>588.30450641251912</v>
      </c>
      <c r="O8190" t="s">
        <v>83</v>
      </c>
      <c r="Q8190" s="92"/>
    </row>
    <row r="8191" spans="1:17" x14ac:dyDescent="0.25">
      <c r="A8191" s="22">
        <v>45925</v>
      </c>
      <c r="B8191" s="1">
        <v>683397600</v>
      </c>
      <c r="C8191" t="s">
        <v>6568</v>
      </c>
      <c r="D8191" s="44">
        <v>44681</v>
      </c>
      <c r="E8191" t="s">
        <v>45</v>
      </c>
      <c r="F8191" s="2">
        <v>110106001</v>
      </c>
      <c r="G8191" s="2" t="s">
        <v>1011</v>
      </c>
      <c r="I8191" s="95" t="s">
        <v>7231</v>
      </c>
      <c r="K8191" t="s">
        <v>6569</v>
      </c>
      <c r="M8191">
        <v>169.98</v>
      </c>
      <c r="N8191" s="4">
        <f t="shared" si="127"/>
        <v>262.86033651017766</v>
      </c>
      <c r="O8191" t="s">
        <v>83</v>
      </c>
      <c r="Q8191" s="92"/>
    </row>
    <row r="8192" spans="1:17" x14ac:dyDescent="0.25">
      <c r="A8192" s="22">
        <v>45925</v>
      </c>
      <c r="B8192" s="1">
        <v>683397600</v>
      </c>
      <c r="C8192" t="s">
        <v>1013</v>
      </c>
      <c r="D8192" s="44">
        <v>-670.21</v>
      </c>
      <c r="E8192" t="s">
        <v>35</v>
      </c>
      <c r="F8192" s="2">
        <v>610148001</v>
      </c>
      <c r="G8192" s="2" t="s">
        <v>41</v>
      </c>
      <c r="I8192" s="95" t="s">
        <v>7231</v>
      </c>
      <c r="J8192" t="s">
        <v>42</v>
      </c>
      <c r="K8192" t="s">
        <v>41</v>
      </c>
      <c r="M8192">
        <v>169.98</v>
      </c>
      <c r="N8192" s="4">
        <f t="shared" si="127"/>
        <v>-3.9428756324273446</v>
      </c>
      <c r="O8192" t="s">
        <v>83</v>
      </c>
      <c r="Q8192" s="91" t="s">
        <v>6298</v>
      </c>
    </row>
    <row r="8193" spans="1:17" x14ac:dyDescent="0.25">
      <c r="A8193" s="22">
        <v>45926</v>
      </c>
      <c r="B8193" s="1">
        <v>161819313</v>
      </c>
      <c r="C8193" t="s">
        <v>82</v>
      </c>
      <c r="D8193" s="44">
        <v>910000</v>
      </c>
      <c r="E8193" t="s">
        <v>45</v>
      </c>
      <c r="F8193" s="2">
        <v>210115002</v>
      </c>
      <c r="G8193" s="2" t="s">
        <v>5259</v>
      </c>
      <c r="I8193" s="95" t="s">
        <v>7231</v>
      </c>
      <c r="K8193" t="s">
        <v>82</v>
      </c>
      <c r="M8193">
        <v>173.74</v>
      </c>
      <c r="N8193" s="4">
        <f t="shared" si="127"/>
        <v>5237.71152296535</v>
      </c>
      <c r="O8193" t="s">
        <v>83</v>
      </c>
      <c r="Q8193" s="92"/>
    </row>
    <row r="8194" spans="1:17" x14ac:dyDescent="0.25">
      <c r="A8194" s="22">
        <v>45926</v>
      </c>
      <c r="B8194" s="1">
        <v>161852521</v>
      </c>
      <c r="C8194" t="s">
        <v>82</v>
      </c>
      <c r="D8194" s="44">
        <v>400000</v>
      </c>
      <c r="E8194" t="s">
        <v>45</v>
      </c>
      <c r="F8194" s="2">
        <v>210115002</v>
      </c>
      <c r="G8194" s="2" t="s">
        <v>5259</v>
      </c>
      <c r="I8194" s="95" t="s">
        <v>7231</v>
      </c>
      <c r="K8194" t="s">
        <v>82</v>
      </c>
      <c r="M8194">
        <v>173.74</v>
      </c>
      <c r="N8194" s="4">
        <f t="shared" si="127"/>
        <v>2302.2907793254285</v>
      </c>
      <c r="O8194" t="s">
        <v>83</v>
      </c>
      <c r="Q8194" s="92"/>
    </row>
    <row r="8195" spans="1:17" x14ac:dyDescent="0.25">
      <c r="A8195" s="22">
        <v>45926</v>
      </c>
      <c r="B8195" s="1">
        <v>618733283</v>
      </c>
      <c r="C8195" t="s">
        <v>6570</v>
      </c>
      <c r="D8195" s="44">
        <v>-10311</v>
      </c>
      <c r="E8195" t="s">
        <v>35</v>
      </c>
      <c r="F8195" s="2">
        <v>212901001</v>
      </c>
      <c r="G8195" s="2" t="s">
        <v>91</v>
      </c>
      <c r="I8195" s="95" t="s">
        <v>7231</v>
      </c>
      <c r="J8195" t="s">
        <v>61</v>
      </c>
      <c r="K8195" t="s">
        <v>62</v>
      </c>
      <c r="M8195">
        <v>173.74</v>
      </c>
      <c r="N8195" s="4">
        <f t="shared" si="127"/>
        <v>-59.347300564061236</v>
      </c>
      <c r="O8195" t="s">
        <v>83</v>
      </c>
      <c r="Q8195" s="92"/>
    </row>
    <row r="8196" spans="1:17" x14ac:dyDescent="0.25">
      <c r="A8196" s="22">
        <v>45926</v>
      </c>
      <c r="B8196" s="1">
        <v>518733281</v>
      </c>
      <c r="C8196" t="s">
        <v>6571</v>
      </c>
      <c r="D8196" s="44">
        <v>-10311</v>
      </c>
      <c r="E8196" t="s">
        <v>35</v>
      </c>
      <c r="F8196" s="2">
        <v>212901001</v>
      </c>
      <c r="G8196" s="2" t="s">
        <v>91</v>
      </c>
      <c r="I8196" s="95" t="s">
        <v>7231</v>
      </c>
      <c r="J8196" t="s">
        <v>61</v>
      </c>
      <c r="K8196" t="s">
        <v>62</v>
      </c>
      <c r="M8196">
        <v>173.74</v>
      </c>
      <c r="N8196" s="4">
        <f t="shared" si="127"/>
        <v>-59.347300564061236</v>
      </c>
      <c r="O8196" t="s">
        <v>83</v>
      </c>
      <c r="Q8196" s="92"/>
    </row>
    <row r="8197" spans="1:17" x14ac:dyDescent="0.25">
      <c r="A8197" s="22">
        <v>45926</v>
      </c>
      <c r="B8197" s="1">
        <v>518733280</v>
      </c>
      <c r="C8197" t="s">
        <v>6572</v>
      </c>
      <c r="D8197" s="44">
        <v>-13748</v>
      </c>
      <c r="E8197" t="s">
        <v>35</v>
      </c>
      <c r="F8197" s="2">
        <v>212901001</v>
      </c>
      <c r="G8197" s="2" t="s">
        <v>91</v>
      </c>
      <c r="I8197" s="95" t="s">
        <v>7231</v>
      </c>
      <c r="J8197" t="s">
        <v>61</v>
      </c>
      <c r="K8197" t="s">
        <v>62</v>
      </c>
      <c r="M8197">
        <v>173.74</v>
      </c>
      <c r="N8197" s="4">
        <f t="shared" si="127"/>
        <v>-79.129734085414981</v>
      </c>
      <c r="O8197" t="s">
        <v>83</v>
      </c>
      <c r="Q8197" s="92"/>
    </row>
    <row r="8198" spans="1:17" x14ac:dyDescent="0.25">
      <c r="A8198" s="22">
        <v>45926</v>
      </c>
      <c r="B8198" s="1">
        <v>618733284</v>
      </c>
      <c r="C8198" t="s">
        <v>6573</v>
      </c>
      <c r="D8198" s="44">
        <v>-10311</v>
      </c>
      <c r="E8198" t="s">
        <v>35</v>
      </c>
      <c r="F8198" s="2">
        <v>212901001</v>
      </c>
      <c r="G8198" s="2" t="s">
        <v>91</v>
      </c>
      <c r="I8198" s="95" t="s">
        <v>7231</v>
      </c>
      <c r="J8198" t="s">
        <v>61</v>
      </c>
      <c r="K8198" t="s">
        <v>62</v>
      </c>
      <c r="M8198">
        <v>173.74</v>
      </c>
      <c r="N8198" s="4">
        <f t="shared" si="127"/>
        <v>-59.347300564061236</v>
      </c>
      <c r="O8198" t="s">
        <v>83</v>
      </c>
      <c r="Q8198" s="92"/>
    </row>
    <row r="8199" spans="1:17" x14ac:dyDescent="0.25">
      <c r="A8199" s="22">
        <v>45926</v>
      </c>
      <c r="B8199" s="1">
        <v>618733285</v>
      </c>
      <c r="C8199" t="s">
        <v>6574</v>
      </c>
      <c r="D8199" s="44">
        <v>-10311</v>
      </c>
      <c r="E8199" t="s">
        <v>35</v>
      </c>
      <c r="F8199" s="2">
        <v>212901001</v>
      </c>
      <c r="G8199" s="2" t="s">
        <v>91</v>
      </c>
      <c r="I8199" s="95" t="s">
        <v>7231</v>
      </c>
      <c r="J8199" t="s">
        <v>61</v>
      </c>
      <c r="K8199" t="s">
        <v>62</v>
      </c>
      <c r="M8199">
        <v>173.74</v>
      </c>
      <c r="N8199" s="4">
        <f t="shared" si="127"/>
        <v>-59.347300564061236</v>
      </c>
      <c r="O8199" t="s">
        <v>83</v>
      </c>
      <c r="Q8199" s="92"/>
    </row>
    <row r="8200" spans="1:17" x14ac:dyDescent="0.25">
      <c r="A8200" s="22">
        <v>45926</v>
      </c>
      <c r="B8200" s="1">
        <v>618733287</v>
      </c>
      <c r="C8200" t="s">
        <v>6575</v>
      </c>
      <c r="D8200" s="44">
        <v>-10311</v>
      </c>
      <c r="E8200" t="s">
        <v>35</v>
      </c>
      <c r="F8200" s="2">
        <v>212901001</v>
      </c>
      <c r="G8200" s="2" t="s">
        <v>91</v>
      </c>
      <c r="I8200" s="95" t="s">
        <v>7231</v>
      </c>
      <c r="J8200" t="s">
        <v>61</v>
      </c>
      <c r="K8200" t="s">
        <v>62</v>
      </c>
      <c r="M8200">
        <v>173.74</v>
      </c>
      <c r="N8200" s="4">
        <f t="shared" si="127"/>
        <v>-59.347300564061236</v>
      </c>
      <c r="O8200" t="s">
        <v>83</v>
      </c>
      <c r="Q8200" s="92"/>
    </row>
    <row r="8201" spans="1:17" x14ac:dyDescent="0.25">
      <c r="A8201" s="22">
        <v>45926</v>
      </c>
      <c r="B8201" s="1">
        <v>618733286</v>
      </c>
      <c r="C8201" t="s">
        <v>6576</v>
      </c>
      <c r="D8201" s="44">
        <v>-10311</v>
      </c>
      <c r="E8201" t="s">
        <v>35</v>
      </c>
      <c r="F8201" s="2">
        <v>212901001</v>
      </c>
      <c r="G8201" s="2" t="s">
        <v>91</v>
      </c>
      <c r="I8201" s="95" t="s">
        <v>7231</v>
      </c>
      <c r="J8201" t="s">
        <v>61</v>
      </c>
      <c r="K8201" t="s">
        <v>62</v>
      </c>
      <c r="M8201">
        <v>173.74</v>
      </c>
      <c r="N8201" s="4">
        <f t="shared" si="127"/>
        <v>-59.347300564061236</v>
      </c>
      <c r="O8201" t="s">
        <v>83</v>
      </c>
      <c r="Q8201" s="92"/>
    </row>
    <row r="8202" spans="1:17" x14ac:dyDescent="0.25">
      <c r="A8202" s="22">
        <v>45926</v>
      </c>
      <c r="B8202" s="1">
        <v>618733288</v>
      </c>
      <c r="C8202" t="s">
        <v>6577</v>
      </c>
      <c r="D8202" s="44">
        <v>-10311</v>
      </c>
      <c r="E8202" t="s">
        <v>35</v>
      </c>
      <c r="F8202" s="2">
        <v>212901001</v>
      </c>
      <c r="G8202" s="2" t="s">
        <v>91</v>
      </c>
      <c r="I8202" s="95" t="s">
        <v>7231</v>
      </c>
      <c r="J8202" t="s">
        <v>61</v>
      </c>
      <c r="K8202" t="s">
        <v>62</v>
      </c>
      <c r="M8202">
        <v>173.74</v>
      </c>
      <c r="N8202" s="4">
        <f t="shared" si="127"/>
        <v>-59.347300564061236</v>
      </c>
      <c r="O8202" t="s">
        <v>83</v>
      </c>
      <c r="Q8202" s="92"/>
    </row>
    <row r="8203" spans="1:17" x14ac:dyDescent="0.25">
      <c r="A8203" s="22">
        <v>45926</v>
      </c>
      <c r="B8203" s="1">
        <v>618733290</v>
      </c>
      <c r="C8203" t="s">
        <v>6578</v>
      </c>
      <c r="D8203" s="44">
        <v>-10311</v>
      </c>
      <c r="E8203" t="s">
        <v>35</v>
      </c>
      <c r="F8203" s="2">
        <v>212901001</v>
      </c>
      <c r="G8203" s="2" t="s">
        <v>91</v>
      </c>
      <c r="I8203" s="95" t="s">
        <v>7231</v>
      </c>
      <c r="J8203" t="s">
        <v>61</v>
      </c>
      <c r="K8203" t="s">
        <v>62</v>
      </c>
      <c r="M8203">
        <v>173.74</v>
      </c>
      <c r="N8203" s="4">
        <f t="shared" si="127"/>
        <v>-59.347300564061236</v>
      </c>
      <c r="O8203" t="s">
        <v>83</v>
      </c>
      <c r="Q8203" s="92"/>
    </row>
    <row r="8204" spans="1:17" x14ac:dyDescent="0.25">
      <c r="A8204" s="22">
        <v>45926</v>
      </c>
      <c r="B8204" s="1">
        <v>618733289</v>
      </c>
      <c r="C8204" t="s">
        <v>6579</v>
      </c>
      <c r="D8204" s="44">
        <v>-10311</v>
      </c>
      <c r="E8204" t="s">
        <v>35</v>
      </c>
      <c r="F8204" s="2">
        <v>212901001</v>
      </c>
      <c r="G8204" s="2" t="s">
        <v>91</v>
      </c>
      <c r="I8204" s="95" t="s">
        <v>7231</v>
      </c>
      <c r="J8204" t="s">
        <v>61</v>
      </c>
      <c r="K8204" t="s">
        <v>62</v>
      </c>
      <c r="M8204">
        <v>173.74</v>
      </c>
      <c r="N8204" s="4">
        <f t="shared" ref="N8204:N8267" si="128">D8204/M8204</f>
        <v>-59.347300564061236</v>
      </c>
      <c r="O8204" t="s">
        <v>83</v>
      </c>
      <c r="Q8204" s="92"/>
    </row>
    <row r="8205" spans="1:17" x14ac:dyDescent="0.25">
      <c r="A8205" s="22">
        <v>45926</v>
      </c>
      <c r="B8205" s="1">
        <v>518733282</v>
      </c>
      <c r="C8205" t="s">
        <v>6580</v>
      </c>
      <c r="D8205" s="44">
        <v>-10311</v>
      </c>
      <c r="E8205" t="s">
        <v>35</v>
      </c>
      <c r="F8205" s="2">
        <v>212901001</v>
      </c>
      <c r="G8205" s="2" t="s">
        <v>91</v>
      </c>
      <c r="I8205" s="95" t="s">
        <v>7231</v>
      </c>
      <c r="J8205" t="s">
        <v>61</v>
      </c>
      <c r="K8205" t="s">
        <v>62</v>
      </c>
      <c r="M8205">
        <v>173.74</v>
      </c>
      <c r="N8205" s="4">
        <f t="shared" si="128"/>
        <v>-59.347300564061236</v>
      </c>
      <c r="O8205" t="s">
        <v>83</v>
      </c>
      <c r="Q8205" s="92"/>
    </row>
    <row r="8206" spans="1:17" x14ac:dyDescent="0.25">
      <c r="A8206" s="22">
        <v>45926</v>
      </c>
      <c r="B8206" s="1">
        <v>718733293</v>
      </c>
      <c r="C8206" t="s">
        <v>6581</v>
      </c>
      <c r="D8206" s="44">
        <v>-10311</v>
      </c>
      <c r="E8206" t="s">
        <v>35</v>
      </c>
      <c r="F8206" s="2">
        <v>212901001</v>
      </c>
      <c r="G8206" s="2" t="s">
        <v>91</v>
      </c>
      <c r="I8206" s="95" t="s">
        <v>7231</v>
      </c>
      <c r="J8206" t="s">
        <v>61</v>
      </c>
      <c r="K8206" t="s">
        <v>62</v>
      </c>
      <c r="M8206">
        <v>173.74</v>
      </c>
      <c r="N8206" s="4">
        <f t="shared" si="128"/>
        <v>-59.347300564061236</v>
      </c>
      <c r="O8206" t="s">
        <v>83</v>
      </c>
      <c r="Q8206" s="92"/>
    </row>
    <row r="8207" spans="1:17" x14ac:dyDescent="0.25">
      <c r="A8207" s="22">
        <v>45926</v>
      </c>
      <c r="B8207" s="1">
        <v>718733295</v>
      </c>
      <c r="C8207" t="s">
        <v>6582</v>
      </c>
      <c r="D8207" s="44">
        <v>-10311</v>
      </c>
      <c r="E8207" t="s">
        <v>35</v>
      </c>
      <c r="F8207" s="2">
        <v>212901001</v>
      </c>
      <c r="G8207" s="2" t="s">
        <v>91</v>
      </c>
      <c r="I8207" s="95" t="s">
        <v>7231</v>
      </c>
      <c r="J8207" t="s">
        <v>61</v>
      </c>
      <c r="K8207" t="s">
        <v>62</v>
      </c>
      <c r="M8207">
        <v>173.74</v>
      </c>
      <c r="N8207" s="4">
        <f t="shared" si="128"/>
        <v>-59.347300564061236</v>
      </c>
      <c r="O8207" t="s">
        <v>83</v>
      </c>
      <c r="Q8207" s="92"/>
    </row>
    <row r="8208" spans="1:17" x14ac:dyDescent="0.25">
      <c r="A8208" s="22">
        <v>45926</v>
      </c>
      <c r="B8208" s="1">
        <v>618733291</v>
      </c>
      <c r="C8208" t="s">
        <v>6583</v>
      </c>
      <c r="D8208" s="44">
        <v>-10311</v>
      </c>
      <c r="E8208" t="s">
        <v>35</v>
      </c>
      <c r="F8208" s="2">
        <v>212901001</v>
      </c>
      <c r="G8208" s="2" t="s">
        <v>91</v>
      </c>
      <c r="I8208" s="95" t="s">
        <v>7231</v>
      </c>
      <c r="J8208" t="s">
        <v>61</v>
      </c>
      <c r="K8208" t="s">
        <v>62</v>
      </c>
      <c r="M8208">
        <v>173.74</v>
      </c>
      <c r="N8208" s="4">
        <f t="shared" si="128"/>
        <v>-59.347300564061236</v>
      </c>
      <c r="O8208" t="s">
        <v>83</v>
      </c>
      <c r="Q8208" s="92"/>
    </row>
    <row r="8209" spans="1:17" x14ac:dyDescent="0.25">
      <c r="A8209" s="22">
        <v>45926</v>
      </c>
      <c r="B8209" s="1">
        <v>718733294</v>
      </c>
      <c r="C8209" t="s">
        <v>6584</v>
      </c>
      <c r="D8209" s="44">
        <v>-10311</v>
      </c>
      <c r="E8209" t="s">
        <v>35</v>
      </c>
      <c r="F8209" s="2">
        <v>212901001</v>
      </c>
      <c r="G8209" s="2" t="s">
        <v>91</v>
      </c>
      <c r="I8209" s="95" t="s">
        <v>7231</v>
      </c>
      <c r="J8209" t="s">
        <v>61</v>
      </c>
      <c r="K8209" t="s">
        <v>62</v>
      </c>
      <c r="M8209">
        <v>173.74</v>
      </c>
      <c r="N8209" s="4">
        <f t="shared" si="128"/>
        <v>-59.347300564061236</v>
      </c>
      <c r="O8209" t="s">
        <v>83</v>
      </c>
      <c r="Q8209" s="92"/>
    </row>
    <row r="8210" spans="1:17" x14ac:dyDescent="0.25">
      <c r="A8210" s="22">
        <v>45926</v>
      </c>
      <c r="B8210" s="1">
        <v>718733292</v>
      </c>
      <c r="C8210" t="s">
        <v>6585</v>
      </c>
      <c r="D8210" s="44">
        <v>-10311</v>
      </c>
      <c r="E8210" t="s">
        <v>35</v>
      </c>
      <c r="F8210" s="2">
        <v>212901001</v>
      </c>
      <c r="G8210" s="2" t="s">
        <v>91</v>
      </c>
      <c r="I8210" s="95" t="s">
        <v>7231</v>
      </c>
      <c r="J8210" t="s">
        <v>61</v>
      </c>
      <c r="K8210" t="s">
        <v>62</v>
      </c>
      <c r="M8210">
        <v>173.74</v>
      </c>
      <c r="N8210" s="4">
        <f t="shared" si="128"/>
        <v>-59.347300564061236</v>
      </c>
      <c r="O8210" t="s">
        <v>83</v>
      </c>
      <c r="Q8210" s="92"/>
    </row>
    <row r="8211" spans="1:17" x14ac:dyDescent="0.25">
      <c r="A8211" s="22">
        <v>45926</v>
      </c>
      <c r="B8211" s="1">
        <v>818733304</v>
      </c>
      <c r="C8211" t="s">
        <v>6586</v>
      </c>
      <c r="D8211" s="44">
        <v>-13748</v>
      </c>
      <c r="E8211" t="s">
        <v>35</v>
      </c>
      <c r="F8211" s="2">
        <v>212901001</v>
      </c>
      <c r="G8211" s="2" t="s">
        <v>91</v>
      </c>
      <c r="I8211" s="95" t="s">
        <v>7231</v>
      </c>
      <c r="J8211" t="s">
        <v>61</v>
      </c>
      <c r="K8211" t="s">
        <v>62</v>
      </c>
      <c r="M8211">
        <v>173.74</v>
      </c>
      <c r="N8211" s="4">
        <f t="shared" si="128"/>
        <v>-79.129734085414981</v>
      </c>
      <c r="O8211" t="s">
        <v>83</v>
      </c>
      <c r="Q8211" s="92"/>
    </row>
    <row r="8212" spans="1:17" x14ac:dyDescent="0.25">
      <c r="A8212" s="22">
        <v>45926</v>
      </c>
      <c r="B8212" s="1">
        <v>718733297</v>
      </c>
      <c r="C8212" t="s">
        <v>6587</v>
      </c>
      <c r="D8212" s="44">
        <v>-25777.5</v>
      </c>
      <c r="E8212" t="s">
        <v>35</v>
      </c>
      <c r="F8212" s="2">
        <v>212901001</v>
      </c>
      <c r="G8212" s="2" t="s">
        <v>91</v>
      </c>
      <c r="I8212" s="95" t="s">
        <v>7231</v>
      </c>
      <c r="J8212" t="s">
        <v>61</v>
      </c>
      <c r="K8212" t="s">
        <v>62</v>
      </c>
      <c r="M8212">
        <v>173.74</v>
      </c>
      <c r="N8212" s="4">
        <f t="shared" si="128"/>
        <v>-148.36825141015311</v>
      </c>
      <c r="O8212" t="s">
        <v>83</v>
      </c>
      <c r="Q8212" s="92"/>
    </row>
    <row r="8213" spans="1:17" x14ac:dyDescent="0.25">
      <c r="A8213" s="22">
        <v>45926</v>
      </c>
      <c r="B8213" s="1">
        <v>718733299</v>
      </c>
      <c r="C8213" t="s">
        <v>6588</v>
      </c>
      <c r="D8213" s="44">
        <v>-13748</v>
      </c>
      <c r="E8213" t="s">
        <v>35</v>
      </c>
      <c r="F8213" s="2">
        <v>212901001</v>
      </c>
      <c r="G8213" s="2" t="s">
        <v>91</v>
      </c>
      <c r="I8213" s="95" t="s">
        <v>7231</v>
      </c>
      <c r="J8213" t="s">
        <v>61</v>
      </c>
      <c r="K8213" t="s">
        <v>62</v>
      </c>
      <c r="M8213">
        <v>173.74</v>
      </c>
      <c r="N8213" s="4">
        <f t="shared" si="128"/>
        <v>-79.129734085414981</v>
      </c>
      <c r="O8213" t="s">
        <v>83</v>
      </c>
      <c r="Q8213" s="92"/>
    </row>
    <row r="8214" spans="1:17" x14ac:dyDescent="0.25">
      <c r="A8214" s="22">
        <v>45926</v>
      </c>
      <c r="B8214" s="1">
        <v>818733303</v>
      </c>
      <c r="C8214" t="s">
        <v>6589</v>
      </c>
      <c r="D8214" s="44">
        <v>-13748</v>
      </c>
      <c r="E8214" t="s">
        <v>35</v>
      </c>
      <c r="F8214" s="2">
        <v>212901001</v>
      </c>
      <c r="G8214" s="2" t="s">
        <v>91</v>
      </c>
      <c r="I8214" s="95" t="s">
        <v>7231</v>
      </c>
      <c r="J8214" t="s">
        <v>61</v>
      </c>
      <c r="K8214" t="s">
        <v>62</v>
      </c>
      <c r="M8214">
        <v>173.74</v>
      </c>
      <c r="N8214" s="4">
        <f t="shared" si="128"/>
        <v>-79.129734085414981</v>
      </c>
      <c r="O8214" t="s">
        <v>83</v>
      </c>
      <c r="Q8214" s="92"/>
    </row>
    <row r="8215" spans="1:17" x14ac:dyDescent="0.25">
      <c r="A8215" s="22">
        <v>45926</v>
      </c>
      <c r="B8215" s="1">
        <v>818733302</v>
      </c>
      <c r="C8215" t="s">
        <v>6590</v>
      </c>
      <c r="D8215" s="44">
        <v>-13748</v>
      </c>
      <c r="E8215" t="s">
        <v>35</v>
      </c>
      <c r="F8215" s="2">
        <v>212901001</v>
      </c>
      <c r="G8215" s="2" t="s">
        <v>91</v>
      </c>
      <c r="I8215" s="95" t="s">
        <v>7231</v>
      </c>
      <c r="J8215" t="s">
        <v>61</v>
      </c>
      <c r="K8215" t="s">
        <v>62</v>
      </c>
      <c r="M8215">
        <v>173.74</v>
      </c>
      <c r="N8215" s="4">
        <f t="shared" si="128"/>
        <v>-79.129734085414981</v>
      </c>
      <c r="O8215" t="s">
        <v>83</v>
      </c>
      <c r="Q8215" s="92"/>
    </row>
    <row r="8216" spans="1:17" x14ac:dyDescent="0.25">
      <c r="A8216" s="22">
        <v>45926</v>
      </c>
      <c r="B8216" s="1">
        <v>718733301</v>
      </c>
      <c r="C8216" t="s">
        <v>6591</v>
      </c>
      <c r="D8216" s="44">
        <v>-13748</v>
      </c>
      <c r="E8216" t="s">
        <v>35</v>
      </c>
      <c r="F8216" s="2">
        <v>212901001</v>
      </c>
      <c r="G8216" s="2" t="s">
        <v>91</v>
      </c>
      <c r="I8216" s="95" t="s">
        <v>7231</v>
      </c>
      <c r="J8216" t="s">
        <v>61</v>
      </c>
      <c r="K8216" t="s">
        <v>62</v>
      </c>
      <c r="M8216">
        <v>173.74</v>
      </c>
      <c r="N8216" s="4">
        <f t="shared" si="128"/>
        <v>-79.129734085414981</v>
      </c>
      <c r="O8216" t="s">
        <v>83</v>
      </c>
      <c r="Q8216" s="92"/>
    </row>
    <row r="8217" spans="1:17" x14ac:dyDescent="0.25">
      <c r="A8217" s="22">
        <v>45926</v>
      </c>
      <c r="B8217" s="1">
        <v>818733305</v>
      </c>
      <c r="C8217" t="s">
        <v>6592</v>
      </c>
      <c r="D8217" s="44">
        <v>-8592.5</v>
      </c>
      <c r="E8217" t="s">
        <v>35</v>
      </c>
      <c r="F8217" s="2">
        <v>212901001</v>
      </c>
      <c r="G8217" s="2" t="s">
        <v>91</v>
      </c>
      <c r="I8217" s="95" t="s">
        <v>7231</v>
      </c>
      <c r="J8217" t="s">
        <v>61</v>
      </c>
      <c r="K8217" t="s">
        <v>62</v>
      </c>
      <c r="M8217">
        <v>173.74</v>
      </c>
      <c r="N8217" s="4">
        <f t="shared" si="128"/>
        <v>-49.456083803384367</v>
      </c>
      <c r="O8217" t="s">
        <v>83</v>
      </c>
      <c r="Q8217" s="92"/>
    </row>
    <row r="8218" spans="1:17" x14ac:dyDescent="0.25">
      <c r="A8218" s="22">
        <v>45926</v>
      </c>
      <c r="B8218" s="1">
        <v>918733311</v>
      </c>
      <c r="C8218" t="s">
        <v>6593</v>
      </c>
      <c r="D8218" s="44">
        <v>-8592.5</v>
      </c>
      <c r="E8218" t="s">
        <v>35</v>
      </c>
      <c r="F8218" s="2">
        <v>212901001</v>
      </c>
      <c r="G8218" s="2" t="s">
        <v>91</v>
      </c>
      <c r="I8218" s="95" t="s">
        <v>7231</v>
      </c>
      <c r="J8218" t="s">
        <v>61</v>
      </c>
      <c r="K8218" t="s">
        <v>62</v>
      </c>
      <c r="M8218">
        <v>173.74</v>
      </c>
      <c r="N8218" s="4">
        <f t="shared" si="128"/>
        <v>-49.456083803384367</v>
      </c>
      <c r="O8218" t="s">
        <v>83</v>
      </c>
      <c r="Q8218" s="92"/>
    </row>
    <row r="8219" spans="1:17" x14ac:dyDescent="0.25">
      <c r="A8219" s="22">
        <v>45926</v>
      </c>
      <c r="B8219" s="1">
        <v>718733298</v>
      </c>
      <c r="C8219" t="s">
        <v>6594</v>
      </c>
      <c r="D8219" s="44">
        <v>-17185</v>
      </c>
      <c r="E8219" t="s">
        <v>35</v>
      </c>
      <c r="F8219" s="2">
        <v>212901001</v>
      </c>
      <c r="G8219" s="2" t="s">
        <v>91</v>
      </c>
      <c r="I8219" s="95" t="s">
        <v>7231</v>
      </c>
      <c r="J8219" t="s">
        <v>61</v>
      </c>
      <c r="K8219" t="s">
        <v>62</v>
      </c>
      <c r="M8219">
        <v>173.74</v>
      </c>
      <c r="N8219" s="4">
        <f t="shared" si="128"/>
        <v>-98.912167606768733</v>
      </c>
      <c r="O8219" t="s">
        <v>83</v>
      </c>
      <c r="Q8219" s="92"/>
    </row>
    <row r="8220" spans="1:17" x14ac:dyDescent="0.25">
      <c r="A8220" s="22">
        <v>45926</v>
      </c>
      <c r="B8220" s="1">
        <v>718733300</v>
      </c>
      <c r="C8220" t="s">
        <v>6595</v>
      </c>
      <c r="D8220" s="44">
        <v>-13748</v>
      </c>
      <c r="E8220" t="s">
        <v>35</v>
      </c>
      <c r="F8220" s="2">
        <v>212901001</v>
      </c>
      <c r="G8220" s="2" t="s">
        <v>91</v>
      </c>
      <c r="I8220" s="95" t="s">
        <v>7231</v>
      </c>
      <c r="J8220" t="s">
        <v>61</v>
      </c>
      <c r="K8220" t="s">
        <v>62</v>
      </c>
      <c r="M8220">
        <v>173.74</v>
      </c>
      <c r="N8220" s="4">
        <f t="shared" si="128"/>
        <v>-79.129734085414981</v>
      </c>
      <c r="O8220" t="s">
        <v>83</v>
      </c>
      <c r="Q8220" s="92"/>
    </row>
    <row r="8221" spans="1:17" x14ac:dyDescent="0.25">
      <c r="A8221" s="22">
        <v>45926</v>
      </c>
      <c r="B8221" s="1">
        <v>918733313</v>
      </c>
      <c r="C8221" t="s">
        <v>6596</v>
      </c>
      <c r="D8221" s="44">
        <v>-6874</v>
      </c>
      <c r="E8221" t="s">
        <v>35</v>
      </c>
      <c r="F8221" s="2">
        <v>212901001</v>
      </c>
      <c r="G8221" s="2" t="s">
        <v>91</v>
      </c>
      <c r="I8221" s="95" t="s">
        <v>7231</v>
      </c>
      <c r="J8221" t="s">
        <v>61</v>
      </c>
      <c r="K8221" t="s">
        <v>62</v>
      </c>
      <c r="M8221">
        <v>173.74</v>
      </c>
      <c r="N8221" s="4">
        <f t="shared" si="128"/>
        <v>-39.56486704270749</v>
      </c>
      <c r="O8221" t="s">
        <v>83</v>
      </c>
      <c r="Q8221" s="92"/>
    </row>
    <row r="8222" spans="1:17" x14ac:dyDescent="0.25">
      <c r="A8222" s="22">
        <v>45926</v>
      </c>
      <c r="B8222" s="1">
        <v>818733307</v>
      </c>
      <c r="C8222" t="s">
        <v>6597</v>
      </c>
      <c r="D8222" s="44">
        <v>-8592.5</v>
      </c>
      <c r="E8222" t="s">
        <v>35</v>
      </c>
      <c r="F8222" s="2">
        <v>212901001</v>
      </c>
      <c r="G8222" s="2" t="s">
        <v>91</v>
      </c>
      <c r="I8222" s="95" t="s">
        <v>7231</v>
      </c>
      <c r="J8222" t="s">
        <v>61</v>
      </c>
      <c r="K8222" t="s">
        <v>62</v>
      </c>
      <c r="M8222">
        <v>173.74</v>
      </c>
      <c r="N8222" s="4">
        <f t="shared" si="128"/>
        <v>-49.456083803384367</v>
      </c>
      <c r="O8222" t="s">
        <v>83</v>
      </c>
      <c r="Q8222" s="92"/>
    </row>
    <row r="8223" spans="1:17" x14ac:dyDescent="0.25">
      <c r="A8223" s="22">
        <v>45926</v>
      </c>
      <c r="B8223" s="1">
        <v>918733316</v>
      </c>
      <c r="C8223" t="s">
        <v>6598</v>
      </c>
      <c r="D8223" s="44">
        <v>-6874</v>
      </c>
      <c r="E8223" t="s">
        <v>35</v>
      </c>
      <c r="F8223" s="2">
        <v>212901001</v>
      </c>
      <c r="G8223" s="2" t="s">
        <v>91</v>
      </c>
      <c r="I8223" s="95" t="s">
        <v>7231</v>
      </c>
      <c r="J8223" t="s">
        <v>61</v>
      </c>
      <c r="K8223" t="s">
        <v>62</v>
      </c>
      <c r="M8223">
        <v>173.74</v>
      </c>
      <c r="N8223" s="4">
        <f t="shared" si="128"/>
        <v>-39.56486704270749</v>
      </c>
      <c r="O8223" t="s">
        <v>83</v>
      </c>
      <c r="Q8223" s="92"/>
    </row>
    <row r="8224" spans="1:17" x14ac:dyDescent="0.25">
      <c r="A8224" s="22">
        <v>45926</v>
      </c>
      <c r="B8224" s="1">
        <v>918733315</v>
      </c>
      <c r="C8224" t="s">
        <v>6599</v>
      </c>
      <c r="D8224" s="44">
        <v>-6874</v>
      </c>
      <c r="E8224" t="s">
        <v>35</v>
      </c>
      <c r="F8224" s="2">
        <v>212901001</v>
      </c>
      <c r="G8224" s="2" t="s">
        <v>91</v>
      </c>
      <c r="I8224" s="95" t="s">
        <v>7231</v>
      </c>
      <c r="J8224" t="s">
        <v>61</v>
      </c>
      <c r="K8224" t="s">
        <v>62</v>
      </c>
      <c r="M8224">
        <v>173.74</v>
      </c>
      <c r="N8224" s="4">
        <f t="shared" si="128"/>
        <v>-39.56486704270749</v>
      </c>
      <c r="O8224" t="s">
        <v>83</v>
      </c>
      <c r="Q8224" s="92"/>
    </row>
    <row r="8225" spans="1:17" x14ac:dyDescent="0.25">
      <c r="A8225" s="22">
        <v>45926</v>
      </c>
      <c r="B8225" s="1">
        <v>918733317</v>
      </c>
      <c r="C8225" t="s">
        <v>6600</v>
      </c>
      <c r="D8225" s="44">
        <v>-6874</v>
      </c>
      <c r="E8225" t="s">
        <v>35</v>
      </c>
      <c r="F8225" s="2">
        <v>212901001</v>
      </c>
      <c r="G8225" s="2" t="s">
        <v>91</v>
      </c>
      <c r="I8225" s="95" t="s">
        <v>7231</v>
      </c>
      <c r="J8225" t="s">
        <v>61</v>
      </c>
      <c r="K8225" t="s">
        <v>62</v>
      </c>
      <c r="M8225">
        <v>173.74</v>
      </c>
      <c r="N8225" s="4">
        <f t="shared" si="128"/>
        <v>-39.56486704270749</v>
      </c>
      <c r="O8225" t="s">
        <v>83</v>
      </c>
      <c r="Q8225" s="92"/>
    </row>
    <row r="8226" spans="1:17" x14ac:dyDescent="0.25">
      <c r="A8226" s="22">
        <v>45926</v>
      </c>
      <c r="B8226" s="1">
        <v>18733320</v>
      </c>
      <c r="C8226" t="s">
        <v>6601</v>
      </c>
      <c r="D8226" s="44">
        <v>-17185</v>
      </c>
      <c r="E8226" t="s">
        <v>35</v>
      </c>
      <c r="F8226" s="2">
        <v>212901001</v>
      </c>
      <c r="G8226" s="2" t="s">
        <v>91</v>
      </c>
      <c r="I8226" s="95" t="s">
        <v>7231</v>
      </c>
      <c r="J8226" t="s">
        <v>61</v>
      </c>
      <c r="K8226" t="s">
        <v>62</v>
      </c>
      <c r="M8226">
        <v>173.74</v>
      </c>
      <c r="N8226" s="4">
        <f t="shared" si="128"/>
        <v>-98.912167606768733</v>
      </c>
      <c r="O8226" t="s">
        <v>83</v>
      </c>
      <c r="Q8226" s="92"/>
    </row>
    <row r="8227" spans="1:17" x14ac:dyDescent="0.25">
      <c r="A8227" s="22">
        <v>45926</v>
      </c>
      <c r="B8227" s="1">
        <v>18733326</v>
      </c>
      <c r="C8227" t="s">
        <v>6602</v>
      </c>
      <c r="D8227" s="44">
        <v>-12029.5</v>
      </c>
      <c r="E8227" t="s">
        <v>35</v>
      </c>
      <c r="F8227" s="2">
        <v>212901001</v>
      </c>
      <c r="G8227" s="2" t="s">
        <v>91</v>
      </c>
      <c r="I8227" s="95" t="s">
        <v>7231</v>
      </c>
      <c r="J8227" t="s">
        <v>61</v>
      </c>
      <c r="K8227" t="s">
        <v>62</v>
      </c>
      <c r="M8227">
        <v>173.74</v>
      </c>
      <c r="N8227" s="4">
        <f t="shared" si="128"/>
        <v>-69.238517324738112</v>
      </c>
      <c r="O8227" t="s">
        <v>83</v>
      </c>
      <c r="Q8227" s="92"/>
    </row>
    <row r="8228" spans="1:17" x14ac:dyDescent="0.25">
      <c r="A8228" s="22">
        <v>45926</v>
      </c>
      <c r="B8228" s="1">
        <v>18733324</v>
      </c>
      <c r="C8228" t="s">
        <v>6603</v>
      </c>
      <c r="D8228" s="44">
        <v>-17185</v>
      </c>
      <c r="E8228" t="s">
        <v>35</v>
      </c>
      <c r="F8228" s="2">
        <v>212901001</v>
      </c>
      <c r="G8228" s="2" t="s">
        <v>91</v>
      </c>
      <c r="I8228" s="95" t="s">
        <v>7231</v>
      </c>
      <c r="J8228" t="s">
        <v>61</v>
      </c>
      <c r="K8228" t="s">
        <v>62</v>
      </c>
      <c r="M8228">
        <v>173.74</v>
      </c>
      <c r="N8228" s="4">
        <f t="shared" si="128"/>
        <v>-98.912167606768733</v>
      </c>
      <c r="O8228" t="s">
        <v>83</v>
      </c>
      <c r="Q8228" s="92"/>
    </row>
    <row r="8229" spans="1:17" x14ac:dyDescent="0.25">
      <c r="A8229" s="22">
        <v>45926</v>
      </c>
      <c r="B8229" s="1">
        <v>18733323</v>
      </c>
      <c r="C8229" t="s">
        <v>6604</v>
      </c>
      <c r="D8229" s="44">
        <v>-13748</v>
      </c>
      <c r="E8229" t="s">
        <v>35</v>
      </c>
      <c r="F8229" s="2">
        <v>212901001</v>
      </c>
      <c r="G8229" s="2" t="s">
        <v>91</v>
      </c>
      <c r="I8229" s="95" t="s">
        <v>7231</v>
      </c>
      <c r="J8229" t="s">
        <v>61</v>
      </c>
      <c r="K8229" t="s">
        <v>62</v>
      </c>
      <c r="M8229">
        <v>173.74</v>
      </c>
      <c r="N8229" s="4">
        <f t="shared" si="128"/>
        <v>-79.129734085414981</v>
      </c>
      <c r="O8229" t="s">
        <v>83</v>
      </c>
      <c r="Q8229" s="92"/>
    </row>
    <row r="8230" spans="1:17" x14ac:dyDescent="0.25">
      <c r="A8230" s="22">
        <v>45926</v>
      </c>
      <c r="B8230" s="1">
        <v>918733318</v>
      </c>
      <c r="C8230" t="s">
        <v>6605</v>
      </c>
      <c r="D8230" s="44">
        <v>-6874</v>
      </c>
      <c r="E8230" t="s">
        <v>35</v>
      </c>
      <c r="F8230" s="2">
        <v>212901001</v>
      </c>
      <c r="G8230" s="2" t="s">
        <v>91</v>
      </c>
      <c r="I8230" s="95" t="s">
        <v>7231</v>
      </c>
      <c r="J8230" t="s">
        <v>61</v>
      </c>
      <c r="K8230" t="s">
        <v>62</v>
      </c>
      <c r="M8230">
        <v>173.74</v>
      </c>
      <c r="N8230" s="4">
        <f t="shared" si="128"/>
        <v>-39.56486704270749</v>
      </c>
      <c r="O8230" t="s">
        <v>83</v>
      </c>
      <c r="Q8230" s="92"/>
    </row>
    <row r="8231" spans="1:17" x14ac:dyDescent="0.25">
      <c r="A8231" s="22">
        <v>45926</v>
      </c>
      <c r="B8231" s="1">
        <v>918733319</v>
      </c>
      <c r="C8231" t="s">
        <v>6606</v>
      </c>
      <c r="D8231" s="44">
        <v>-17185</v>
      </c>
      <c r="E8231" t="s">
        <v>35</v>
      </c>
      <c r="F8231" s="2">
        <v>212901001</v>
      </c>
      <c r="G8231" s="2" t="s">
        <v>91</v>
      </c>
      <c r="I8231" s="95" t="s">
        <v>7231</v>
      </c>
      <c r="J8231" t="s">
        <v>61</v>
      </c>
      <c r="K8231" t="s">
        <v>62</v>
      </c>
      <c r="M8231">
        <v>173.74</v>
      </c>
      <c r="N8231" s="4">
        <f t="shared" si="128"/>
        <v>-98.912167606768733</v>
      </c>
      <c r="O8231" t="s">
        <v>83</v>
      </c>
      <c r="Q8231" s="92"/>
    </row>
    <row r="8232" spans="1:17" x14ac:dyDescent="0.25">
      <c r="A8232" s="22">
        <v>45926</v>
      </c>
      <c r="B8232" s="1">
        <v>18733322</v>
      </c>
      <c r="C8232" t="s">
        <v>6607</v>
      </c>
      <c r="D8232" s="44">
        <v>-18903.5</v>
      </c>
      <c r="E8232" t="s">
        <v>35</v>
      </c>
      <c r="F8232" s="2">
        <v>212901001</v>
      </c>
      <c r="G8232" s="2" t="s">
        <v>91</v>
      </c>
      <c r="I8232" s="95" t="s">
        <v>7231</v>
      </c>
      <c r="J8232" t="s">
        <v>61</v>
      </c>
      <c r="K8232" t="s">
        <v>62</v>
      </c>
      <c r="M8232">
        <v>173.74</v>
      </c>
      <c r="N8232" s="4">
        <f t="shared" si="128"/>
        <v>-108.8033843674456</v>
      </c>
      <c r="O8232" t="s">
        <v>83</v>
      </c>
      <c r="Q8232" s="92"/>
    </row>
    <row r="8233" spans="1:17" x14ac:dyDescent="0.25">
      <c r="A8233" s="22">
        <v>45926</v>
      </c>
      <c r="B8233" s="1">
        <v>18733325</v>
      </c>
      <c r="C8233" t="s">
        <v>6608</v>
      </c>
      <c r="D8233" s="44">
        <v>-12029.5</v>
      </c>
      <c r="E8233" t="s">
        <v>35</v>
      </c>
      <c r="F8233" s="2">
        <v>212901001</v>
      </c>
      <c r="G8233" s="2" t="s">
        <v>91</v>
      </c>
      <c r="I8233" s="95" t="s">
        <v>7231</v>
      </c>
      <c r="J8233" t="s">
        <v>61</v>
      </c>
      <c r="K8233" t="s">
        <v>62</v>
      </c>
      <c r="M8233">
        <v>173.74</v>
      </c>
      <c r="N8233" s="4">
        <f t="shared" si="128"/>
        <v>-69.238517324738112</v>
      </c>
      <c r="O8233" t="s">
        <v>83</v>
      </c>
      <c r="Q8233" s="92"/>
    </row>
    <row r="8234" spans="1:17" x14ac:dyDescent="0.25">
      <c r="A8234" s="22">
        <v>45926</v>
      </c>
      <c r="B8234" s="1">
        <v>818733309</v>
      </c>
      <c r="C8234" t="s">
        <v>6609</v>
      </c>
      <c r="D8234" s="44">
        <v>-8592.5</v>
      </c>
      <c r="E8234" t="s">
        <v>35</v>
      </c>
      <c r="F8234" s="2">
        <v>212901001</v>
      </c>
      <c r="G8234" s="2" t="s">
        <v>91</v>
      </c>
      <c r="I8234" s="95" t="s">
        <v>7231</v>
      </c>
      <c r="J8234" t="s">
        <v>61</v>
      </c>
      <c r="K8234" t="s">
        <v>62</v>
      </c>
      <c r="M8234">
        <v>173.74</v>
      </c>
      <c r="N8234" s="4">
        <f t="shared" si="128"/>
        <v>-49.456083803384367</v>
      </c>
      <c r="O8234" t="s">
        <v>83</v>
      </c>
      <c r="Q8234" s="92"/>
    </row>
    <row r="8235" spans="1:17" x14ac:dyDescent="0.25">
      <c r="A8235" s="22">
        <v>45926</v>
      </c>
      <c r="B8235" s="1">
        <v>918733312</v>
      </c>
      <c r="C8235" t="s">
        <v>6610</v>
      </c>
      <c r="D8235" s="44">
        <v>-6874</v>
      </c>
      <c r="E8235" t="s">
        <v>35</v>
      </c>
      <c r="F8235" s="2">
        <v>212901001</v>
      </c>
      <c r="G8235" s="2" t="s">
        <v>91</v>
      </c>
      <c r="I8235" s="95" t="s">
        <v>7231</v>
      </c>
      <c r="J8235" t="s">
        <v>61</v>
      </c>
      <c r="K8235" t="s">
        <v>62</v>
      </c>
      <c r="M8235">
        <v>173.74</v>
      </c>
      <c r="N8235" s="4">
        <f t="shared" si="128"/>
        <v>-39.56486704270749</v>
      </c>
      <c r="O8235" t="s">
        <v>83</v>
      </c>
      <c r="Q8235" s="92"/>
    </row>
    <row r="8236" spans="1:17" x14ac:dyDescent="0.25">
      <c r="A8236" s="22">
        <v>45926</v>
      </c>
      <c r="B8236" s="1">
        <v>118733334</v>
      </c>
      <c r="C8236" t="s">
        <v>6611</v>
      </c>
      <c r="D8236" s="44">
        <v>-8592.5</v>
      </c>
      <c r="E8236" t="s">
        <v>35</v>
      </c>
      <c r="F8236" s="2">
        <v>212901001</v>
      </c>
      <c r="G8236" s="2" t="s">
        <v>91</v>
      </c>
      <c r="I8236" s="95" t="s">
        <v>7231</v>
      </c>
      <c r="J8236" t="s">
        <v>61</v>
      </c>
      <c r="K8236" t="s">
        <v>62</v>
      </c>
      <c r="M8236">
        <v>173.74</v>
      </c>
      <c r="N8236" s="4">
        <f t="shared" si="128"/>
        <v>-49.456083803384367</v>
      </c>
      <c r="O8236" t="s">
        <v>83</v>
      </c>
      <c r="Q8236" s="92"/>
    </row>
    <row r="8237" spans="1:17" x14ac:dyDescent="0.25">
      <c r="A8237" s="22">
        <v>45926</v>
      </c>
      <c r="B8237" s="1">
        <v>118733332</v>
      </c>
      <c r="C8237" t="s">
        <v>6612</v>
      </c>
      <c r="D8237" s="44">
        <v>-8592.5</v>
      </c>
      <c r="E8237" t="s">
        <v>35</v>
      </c>
      <c r="F8237" s="2">
        <v>212901001</v>
      </c>
      <c r="G8237" s="2" t="s">
        <v>91</v>
      </c>
      <c r="I8237" s="95" t="s">
        <v>7231</v>
      </c>
      <c r="J8237" t="s">
        <v>61</v>
      </c>
      <c r="K8237" t="s">
        <v>62</v>
      </c>
      <c r="M8237">
        <v>173.74</v>
      </c>
      <c r="N8237" s="4">
        <f t="shared" si="128"/>
        <v>-49.456083803384367</v>
      </c>
      <c r="O8237" t="s">
        <v>83</v>
      </c>
      <c r="Q8237" s="92"/>
    </row>
    <row r="8238" spans="1:17" x14ac:dyDescent="0.25">
      <c r="A8238" s="22">
        <v>45926</v>
      </c>
      <c r="B8238" s="1">
        <v>818733310</v>
      </c>
      <c r="C8238" t="s">
        <v>6613</v>
      </c>
      <c r="D8238" s="44">
        <v>-8592.5</v>
      </c>
      <c r="E8238" t="s">
        <v>35</v>
      </c>
      <c r="F8238" s="2">
        <v>212901001</v>
      </c>
      <c r="G8238" s="2" t="s">
        <v>91</v>
      </c>
      <c r="I8238" s="95" t="s">
        <v>7231</v>
      </c>
      <c r="J8238" t="s">
        <v>61</v>
      </c>
      <c r="K8238" t="s">
        <v>62</v>
      </c>
      <c r="M8238">
        <v>173.74</v>
      </c>
      <c r="N8238" s="4">
        <f t="shared" si="128"/>
        <v>-49.456083803384367</v>
      </c>
      <c r="O8238" t="s">
        <v>83</v>
      </c>
      <c r="Q8238" s="92"/>
    </row>
    <row r="8239" spans="1:17" x14ac:dyDescent="0.25">
      <c r="A8239" s="22">
        <v>45926</v>
      </c>
      <c r="B8239" s="1">
        <v>118733335</v>
      </c>
      <c r="C8239" t="s">
        <v>6614</v>
      </c>
      <c r="D8239" s="44">
        <v>-8592.5</v>
      </c>
      <c r="E8239" t="s">
        <v>35</v>
      </c>
      <c r="F8239" s="2">
        <v>212901001</v>
      </c>
      <c r="G8239" s="2" t="s">
        <v>91</v>
      </c>
      <c r="I8239" s="95" t="s">
        <v>7231</v>
      </c>
      <c r="J8239" t="s">
        <v>61</v>
      </c>
      <c r="K8239" t="s">
        <v>62</v>
      </c>
      <c r="M8239">
        <v>173.74</v>
      </c>
      <c r="N8239" s="4">
        <f t="shared" si="128"/>
        <v>-49.456083803384367</v>
      </c>
      <c r="O8239" t="s">
        <v>83</v>
      </c>
      <c r="Q8239" s="92"/>
    </row>
    <row r="8240" spans="1:17" x14ac:dyDescent="0.25">
      <c r="A8240" s="22">
        <v>45926</v>
      </c>
      <c r="B8240" s="1">
        <v>118733339</v>
      </c>
      <c r="C8240" t="s">
        <v>6615</v>
      </c>
      <c r="D8240" s="44">
        <v>-8592.5</v>
      </c>
      <c r="E8240" t="s">
        <v>35</v>
      </c>
      <c r="F8240" s="2">
        <v>212901001</v>
      </c>
      <c r="G8240" s="2" t="s">
        <v>91</v>
      </c>
      <c r="I8240" s="95" t="s">
        <v>7231</v>
      </c>
      <c r="J8240" t="s">
        <v>61</v>
      </c>
      <c r="K8240" t="s">
        <v>62</v>
      </c>
      <c r="M8240">
        <v>173.74</v>
      </c>
      <c r="N8240" s="4">
        <f t="shared" si="128"/>
        <v>-49.456083803384367</v>
      </c>
      <c r="O8240" t="s">
        <v>83</v>
      </c>
      <c r="Q8240" s="92"/>
    </row>
    <row r="8241" spans="1:17" x14ac:dyDescent="0.25">
      <c r="A8241" s="22">
        <v>45926</v>
      </c>
      <c r="B8241" s="1">
        <v>118733331</v>
      </c>
      <c r="C8241" t="s">
        <v>6616</v>
      </c>
      <c r="D8241" s="44">
        <v>-8592.5</v>
      </c>
      <c r="E8241" t="s">
        <v>35</v>
      </c>
      <c r="F8241" s="2">
        <v>212901001</v>
      </c>
      <c r="G8241" s="2" t="s">
        <v>91</v>
      </c>
      <c r="I8241" s="95" t="s">
        <v>7231</v>
      </c>
      <c r="J8241" t="s">
        <v>61</v>
      </c>
      <c r="K8241" t="s">
        <v>62</v>
      </c>
      <c r="M8241">
        <v>173.74</v>
      </c>
      <c r="N8241" s="4">
        <f t="shared" si="128"/>
        <v>-49.456083803384367</v>
      </c>
      <c r="O8241" t="s">
        <v>83</v>
      </c>
      <c r="Q8241" s="92"/>
    </row>
    <row r="8242" spans="1:17" x14ac:dyDescent="0.25">
      <c r="A8242" s="22">
        <v>45926</v>
      </c>
      <c r="B8242" s="1">
        <v>18733328</v>
      </c>
      <c r="C8242" t="s">
        <v>6617</v>
      </c>
      <c r="D8242" s="44">
        <v>-12029.5</v>
      </c>
      <c r="E8242" t="s">
        <v>35</v>
      </c>
      <c r="F8242" s="2">
        <v>212901001</v>
      </c>
      <c r="G8242" s="2" t="s">
        <v>91</v>
      </c>
      <c r="I8242" s="95" t="s">
        <v>7231</v>
      </c>
      <c r="J8242" t="s">
        <v>61</v>
      </c>
      <c r="K8242" t="s">
        <v>62</v>
      </c>
      <c r="M8242">
        <v>173.74</v>
      </c>
      <c r="N8242" s="4">
        <f t="shared" si="128"/>
        <v>-69.238517324738112</v>
      </c>
      <c r="O8242" t="s">
        <v>83</v>
      </c>
      <c r="Q8242" s="92"/>
    </row>
    <row r="8243" spans="1:17" x14ac:dyDescent="0.25">
      <c r="A8243" s="22">
        <v>45926</v>
      </c>
      <c r="B8243" s="1">
        <v>218733341</v>
      </c>
      <c r="C8243" t="s">
        <v>6618</v>
      </c>
      <c r="D8243" s="44">
        <v>-8592.5</v>
      </c>
      <c r="E8243" t="s">
        <v>35</v>
      </c>
      <c r="F8243" s="2">
        <v>212901001</v>
      </c>
      <c r="G8243" s="2" t="s">
        <v>91</v>
      </c>
      <c r="I8243" s="95" t="s">
        <v>7231</v>
      </c>
      <c r="J8243" t="s">
        <v>61</v>
      </c>
      <c r="K8243" t="s">
        <v>62</v>
      </c>
      <c r="M8243">
        <v>173.74</v>
      </c>
      <c r="N8243" s="4">
        <f t="shared" si="128"/>
        <v>-49.456083803384367</v>
      </c>
      <c r="O8243" t="s">
        <v>83</v>
      </c>
      <c r="Q8243" s="92"/>
    </row>
    <row r="8244" spans="1:17" x14ac:dyDescent="0.25">
      <c r="A8244" s="22">
        <v>45926</v>
      </c>
      <c r="B8244" s="1">
        <v>918733314</v>
      </c>
      <c r="C8244" t="s">
        <v>6619</v>
      </c>
      <c r="D8244" s="44">
        <v>-6874</v>
      </c>
      <c r="E8244" t="s">
        <v>35</v>
      </c>
      <c r="F8244" s="2">
        <v>212901001</v>
      </c>
      <c r="G8244" s="2" t="s">
        <v>91</v>
      </c>
      <c r="I8244" s="95" t="s">
        <v>7231</v>
      </c>
      <c r="J8244" t="s">
        <v>61</v>
      </c>
      <c r="K8244" t="s">
        <v>62</v>
      </c>
      <c r="M8244">
        <v>173.74</v>
      </c>
      <c r="N8244" s="4">
        <f t="shared" si="128"/>
        <v>-39.56486704270749</v>
      </c>
      <c r="O8244" t="s">
        <v>83</v>
      </c>
      <c r="Q8244" s="92"/>
    </row>
    <row r="8245" spans="1:17" x14ac:dyDescent="0.25">
      <c r="A8245" s="22">
        <v>45926</v>
      </c>
      <c r="B8245" s="1">
        <v>218733340</v>
      </c>
      <c r="C8245" t="s">
        <v>6617</v>
      </c>
      <c r="D8245" s="44">
        <v>-8592.5</v>
      </c>
      <c r="E8245" t="s">
        <v>35</v>
      </c>
      <c r="F8245" s="2">
        <v>212901001</v>
      </c>
      <c r="G8245" s="2" t="s">
        <v>91</v>
      </c>
      <c r="I8245" s="95" t="s">
        <v>7231</v>
      </c>
      <c r="J8245" t="s">
        <v>61</v>
      </c>
      <c r="K8245" t="s">
        <v>62</v>
      </c>
      <c r="M8245">
        <v>173.74</v>
      </c>
      <c r="N8245" s="4">
        <f t="shared" si="128"/>
        <v>-49.456083803384367</v>
      </c>
      <c r="O8245" t="s">
        <v>83</v>
      </c>
      <c r="Q8245" s="92"/>
    </row>
    <row r="8246" spans="1:17" x14ac:dyDescent="0.25">
      <c r="A8246" s="22">
        <v>45926</v>
      </c>
      <c r="B8246" s="1">
        <v>118733338</v>
      </c>
      <c r="C8246" t="s">
        <v>6620</v>
      </c>
      <c r="D8246" s="44">
        <v>-8592.5</v>
      </c>
      <c r="E8246" t="s">
        <v>35</v>
      </c>
      <c r="F8246" s="2">
        <v>212901001</v>
      </c>
      <c r="G8246" s="2" t="s">
        <v>91</v>
      </c>
      <c r="I8246" s="95" t="s">
        <v>7231</v>
      </c>
      <c r="J8246" t="s">
        <v>61</v>
      </c>
      <c r="K8246" t="s">
        <v>62</v>
      </c>
      <c r="M8246">
        <v>173.74</v>
      </c>
      <c r="N8246" s="4">
        <f t="shared" si="128"/>
        <v>-49.456083803384367</v>
      </c>
      <c r="O8246" t="s">
        <v>83</v>
      </c>
      <c r="Q8246" s="92"/>
    </row>
    <row r="8247" spans="1:17" x14ac:dyDescent="0.25">
      <c r="A8247" s="22">
        <v>45926</v>
      </c>
      <c r="B8247" s="1">
        <v>218733345</v>
      </c>
      <c r="C8247" t="s">
        <v>6621</v>
      </c>
      <c r="D8247" s="44">
        <v>-3437</v>
      </c>
      <c r="E8247" t="s">
        <v>35</v>
      </c>
      <c r="F8247" s="2">
        <v>212901001</v>
      </c>
      <c r="G8247" s="2" t="s">
        <v>91</v>
      </c>
      <c r="I8247" s="95" t="s">
        <v>7231</v>
      </c>
      <c r="J8247" t="s">
        <v>61</v>
      </c>
      <c r="K8247" t="s">
        <v>62</v>
      </c>
      <c r="M8247">
        <v>173.74</v>
      </c>
      <c r="N8247" s="4">
        <f t="shared" si="128"/>
        <v>-19.782433521353745</v>
      </c>
      <c r="O8247" t="s">
        <v>83</v>
      </c>
      <c r="Q8247" s="92"/>
    </row>
    <row r="8248" spans="1:17" x14ac:dyDescent="0.25">
      <c r="A8248" s="22">
        <v>45926</v>
      </c>
      <c r="B8248" s="1">
        <v>318733349</v>
      </c>
      <c r="C8248" t="s">
        <v>6622</v>
      </c>
      <c r="D8248" s="44">
        <v>-24574.55</v>
      </c>
      <c r="E8248" t="s">
        <v>35</v>
      </c>
      <c r="F8248" s="2">
        <v>212901001</v>
      </c>
      <c r="G8248" s="2" t="s">
        <v>91</v>
      </c>
      <c r="I8248" s="95" t="s">
        <v>7231</v>
      </c>
      <c r="J8248" t="s">
        <v>61</v>
      </c>
      <c r="K8248" t="s">
        <v>62</v>
      </c>
      <c r="M8248">
        <v>173.74</v>
      </c>
      <c r="N8248" s="4">
        <f t="shared" si="128"/>
        <v>-141.44439967767929</v>
      </c>
      <c r="O8248" t="s">
        <v>83</v>
      </c>
      <c r="Q8248" s="92"/>
    </row>
    <row r="8249" spans="1:17" x14ac:dyDescent="0.25">
      <c r="A8249" s="22">
        <v>45926</v>
      </c>
      <c r="B8249" s="1">
        <v>218733344</v>
      </c>
      <c r="C8249" t="s">
        <v>6623</v>
      </c>
      <c r="D8249" s="44">
        <v>-3437</v>
      </c>
      <c r="E8249" t="s">
        <v>35</v>
      </c>
      <c r="F8249" s="2">
        <v>212901001</v>
      </c>
      <c r="G8249" s="2" t="s">
        <v>91</v>
      </c>
      <c r="I8249" s="95" t="s">
        <v>7231</v>
      </c>
      <c r="J8249" t="s">
        <v>61</v>
      </c>
      <c r="K8249" t="s">
        <v>62</v>
      </c>
      <c r="M8249">
        <v>173.74</v>
      </c>
      <c r="N8249" s="4">
        <f t="shared" si="128"/>
        <v>-19.782433521353745</v>
      </c>
      <c r="O8249" t="s">
        <v>83</v>
      </c>
      <c r="Q8249" s="92"/>
    </row>
    <row r="8250" spans="1:17" x14ac:dyDescent="0.25">
      <c r="A8250" s="22">
        <v>45926</v>
      </c>
      <c r="B8250" s="1">
        <v>218733343</v>
      </c>
      <c r="C8250" t="s">
        <v>6624</v>
      </c>
      <c r="D8250" s="44">
        <v>-3437</v>
      </c>
      <c r="E8250" t="s">
        <v>35</v>
      </c>
      <c r="F8250" s="2">
        <v>212901001</v>
      </c>
      <c r="G8250" s="2" t="s">
        <v>91</v>
      </c>
      <c r="I8250" s="95" t="s">
        <v>7231</v>
      </c>
      <c r="J8250" t="s">
        <v>61</v>
      </c>
      <c r="K8250" t="s">
        <v>62</v>
      </c>
      <c r="M8250">
        <v>173.74</v>
      </c>
      <c r="N8250" s="4">
        <f t="shared" si="128"/>
        <v>-19.782433521353745</v>
      </c>
      <c r="O8250" t="s">
        <v>83</v>
      </c>
      <c r="Q8250" s="92"/>
    </row>
    <row r="8251" spans="1:17" x14ac:dyDescent="0.25">
      <c r="A8251" s="22">
        <v>45926</v>
      </c>
      <c r="B8251" s="1">
        <v>218733347</v>
      </c>
      <c r="C8251" t="s">
        <v>6625</v>
      </c>
      <c r="D8251" s="44">
        <v>-17185</v>
      </c>
      <c r="E8251" t="s">
        <v>35</v>
      </c>
      <c r="F8251" s="2">
        <v>212901001</v>
      </c>
      <c r="G8251" s="2" t="s">
        <v>91</v>
      </c>
      <c r="I8251" s="95" t="s">
        <v>7231</v>
      </c>
      <c r="J8251" t="s">
        <v>61</v>
      </c>
      <c r="K8251" t="s">
        <v>62</v>
      </c>
      <c r="M8251">
        <v>173.74</v>
      </c>
      <c r="N8251" s="4">
        <f t="shared" si="128"/>
        <v>-98.912167606768733</v>
      </c>
      <c r="O8251" t="s">
        <v>83</v>
      </c>
      <c r="Q8251" s="92"/>
    </row>
    <row r="8252" spans="1:17" x14ac:dyDescent="0.25">
      <c r="A8252" s="22">
        <v>45926</v>
      </c>
      <c r="B8252" s="1">
        <v>218733346</v>
      </c>
      <c r="C8252" t="s">
        <v>6626</v>
      </c>
      <c r="D8252" s="44">
        <v>-3437</v>
      </c>
      <c r="E8252" t="s">
        <v>35</v>
      </c>
      <c r="F8252" s="2">
        <v>212901001</v>
      </c>
      <c r="G8252" s="2" t="s">
        <v>91</v>
      </c>
      <c r="I8252" s="95" t="s">
        <v>7231</v>
      </c>
      <c r="J8252" t="s">
        <v>61</v>
      </c>
      <c r="K8252" t="s">
        <v>62</v>
      </c>
      <c r="M8252">
        <v>173.74</v>
      </c>
      <c r="N8252" s="4">
        <f t="shared" si="128"/>
        <v>-19.782433521353745</v>
      </c>
      <c r="O8252" t="s">
        <v>83</v>
      </c>
      <c r="Q8252" s="92"/>
    </row>
    <row r="8253" spans="1:17" x14ac:dyDescent="0.25">
      <c r="A8253" s="22">
        <v>45926</v>
      </c>
      <c r="B8253" s="1">
        <v>218733348</v>
      </c>
      <c r="C8253" t="s">
        <v>6627</v>
      </c>
      <c r="D8253" s="44">
        <v>-34370</v>
      </c>
      <c r="E8253" t="s">
        <v>35</v>
      </c>
      <c r="F8253" s="2">
        <v>212901001</v>
      </c>
      <c r="G8253" s="2" t="s">
        <v>91</v>
      </c>
      <c r="I8253" s="95" t="s">
        <v>7231</v>
      </c>
      <c r="J8253" t="s">
        <v>61</v>
      </c>
      <c r="K8253" t="s">
        <v>62</v>
      </c>
      <c r="M8253">
        <v>173.74</v>
      </c>
      <c r="N8253" s="4">
        <f t="shared" si="128"/>
        <v>-197.82433521353747</v>
      </c>
      <c r="O8253" t="s">
        <v>83</v>
      </c>
      <c r="Q8253" s="92"/>
    </row>
    <row r="8254" spans="1:17" x14ac:dyDescent="0.25">
      <c r="A8254" s="22">
        <v>45926</v>
      </c>
      <c r="B8254" s="1">
        <v>18733321</v>
      </c>
      <c r="C8254" t="s">
        <v>6628</v>
      </c>
      <c r="D8254" s="44">
        <v>-25777.5</v>
      </c>
      <c r="E8254" t="s">
        <v>35</v>
      </c>
      <c r="F8254" s="2">
        <v>212901001</v>
      </c>
      <c r="G8254" s="2" t="s">
        <v>91</v>
      </c>
      <c r="I8254" s="95" t="s">
        <v>7231</v>
      </c>
      <c r="J8254" t="s">
        <v>61</v>
      </c>
      <c r="K8254" t="s">
        <v>62</v>
      </c>
      <c r="M8254">
        <v>173.74</v>
      </c>
      <c r="N8254" s="4">
        <f t="shared" si="128"/>
        <v>-148.36825141015311</v>
      </c>
      <c r="O8254" t="s">
        <v>83</v>
      </c>
      <c r="Q8254" s="92"/>
    </row>
    <row r="8255" spans="1:17" x14ac:dyDescent="0.25">
      <c r="A8255" s="22">
        <v>45926</v>
      </c>
      <c r="B8255" s="1">
        <v>318733351</v>
      </c>
      <c r="C8255" t="s">
        <v>6629</v>
      </c>
      <c r="D8255" s="44">
        <v>-6874</v>
      </c>
      <c r="E8255" t="s">
        <v>35</v>
      </c>
      <c r="F8255" s="2">
        <v>212901001</v>
      </c>
      <c r="G8255" s="2" t="s">
        <v>91</v>
      </c>
      <c r="I8255" s="95" t="s">
        <v>7231</v>
      </c>
      <c r="J8255" t="s">
        <v>61</v>
      </c>
      <c r="K8255" t="s">
        <v>62</v>
      </c>
      <c r="M8255">
        <v>173.74</v>
      </c>
      <c r="N8255" s="4">
        <f t="shared" si="128"/>
        <v>-39.56486704270749</v>
      </c>
      <c r="O8255" t="s">
        <v>83</v>
      </c>
      <c r="Q8255" s="92"/>
    </row>
    <row r="8256" spans="1:17" x14ac:dyDescent="0.25">
      <c r="A8256" s="22">
        <v>45926</v>
      </c>
      <c r="B8256" s="1">
        <v>818733308</v>
      </c>
      <c r="C8256" t="s">
        <v>6630</v>
      </c>
      <c r="D8256" s="44">
        <v>-8592.5</v>
      </c>
      <c r="E8256" t="s">
        <v>35</v>
      </c>
      <c r="F8256" s="2">
        <v>212901001</v>
      </c>
      <c r="G8256" s="2" t="s">
        <v>91</v>
      </c>
      <c r="I8256" s="95" t="s">
        <v>7231</v>
      </c>
      <c r="J8256" t="s">
        <v>61</v>
      </c>
      <c r="K8256" t="s">
        <v>62</v>
      </c>
      <c r="M8256">
        <v>173.74</v>
      </c>
      <c r="N8256" s="4">
        <f t="shared" si="128"/>
        <v>-49.456083803384367</v>
      </c>
      <c r="O8256" t="s">
        <v>83</v>
      </c>
      <c r="Q8256" s="92"/>
    </row>
    <row r="8257" spans="1:17" x14ac:dyDescent="0.25">
      <c r="A8257" s="22">
        <v>45926</v>
      </c>
      <c r="B8257" s="1">
        <v>318733350</v>
      </c>
      <c r="C8257" t="s">
        <v>6631</v>
      </c>
      <c r="D8257" s="44">
        <v>-5155.5</v>
      </c>
      <c r="E8257" t="s">
        <v>35</v>
      </c>
      <c r="F8257" s="2">
        <v>212901001</v>
      </c>
      <c r="G8257" s="2" t="s">
        <v>91</v>
      </c>
      <c r="I8257" s="95" t="s">
        <v>7231</v>
      </c>
      <c r="J8257" t="s">
        <v>61</v>
      </c>
      <c r="K8257" t="s">
        <v>62</v>
      </c>
      <c r="M8257">
        <v>173.74</v>
      </c>
      <c r="N8257" s="4">
        <f t="shared" si="128"/>
        <v>-29.673650282030618</v>
      </c>
      <c r="O8257" t="s">
        <v>83</v>
      </c>
      <c r="Q8257" s="92"/>
    </row>
    <row r="8258" spans="1:17" x14ac:dyDescent="0.25">
      <c r="A8258" s="22">
        <v>45926</v>
      </c>
      <c r="B8258" s="1">
        <v>18733327</v>
      </c>
      <c r="C8258" t="s">
        <v>6632</v>
      </c>
      <c r="D8258" s="44">
        <v>-8592.5</v>
      </c>
      <c r="E8258" t="s">
        <v>35</v>
      </c>
      <c r="F8258" s="2">
        <v>212901001</v>
      </c>
      <c r="G8258" s="2" t="s">
        <v>91</v>
      </c>
      <c r="I8258" s="95" t="s">
        <v>7231</v>
      </c>
      <c r="J8258" t="s">
        <v>61</v>
      </c>
      <c r="K8258" t="s">
        <v>62</v>
      </c>
      <c r="M8258">
        <v>173.74</v>
      </c>
      <c r="N8258" s="4">
        <f t="shared" si="128"/>
        <v>-49.456083803384367</v>
      </c>
      <c r="O8258" t="s">
        <v>83</v>
      </c>
      <c r="Q8258" s="92"/>
    </row>
    <row r="8259" spans="1:17" x14ac:dyDescent="0.25">
      <c r="A8259" s="22">
        <v>45926</v>
      </c>
      <c r="B8259" s="1">
        <v>118733330</v>
      </c>
      <c r="C8259" t="s">
        <v>6633</v>
      </c>
      <c r="D8259" s="44">
        <v>-8592.5</v>
      </c>
      <c r="E8259" t="s">
        <v>35</v>
      </c>
      <c r="F8259" s="2">
        <v>212901001</v>
      </c>
      <c r="G8259" s="2" t="s">
        <v>91</v>
      </c>
      <c r="I8259" s="95" t="s">
        <v>7231</v>
      </c>
      <c r="J8259" t="s">
        <v>61</v>
      </c>
      <c r="K8259" t="s">
        <v>62</v>
      </c>
      <c r="M8259">
        <v>173.74</v>
      </c>
      <c r="N8259" s="4">
        <f t="shared" si="128"/>
        <v>-49.456083803384367</v>
      </c>
      <c r="O8259" t="s">
        <v>83</v>
      </c>
      <c r="Q8259" s="92"/>
    </row>
    <row r="8260" spans="1:17" x14ac:dyDescent="0.25">
      <c r="A8260" s="22">
        <v>45926</v>
      </c>
      <c r="B8260" s="1">
        <v>118733329</v>
      </c>
      <c r="C8260" t="s">
        <v>6634</v>
      </c>
      <c r="D8260" s="44">
        <v>-8592.5</v>
      </c>
      <c r="E8260" t="s">
        <v>35</v>
      </c>
      <c r="F8260" s="2">
        <v>212901001</v>
      </c>
      <c r="G8260" s="2" t="s">
        <v>91</v>
      </c>
      <c r="I8260" s="95" t="s">
        <v>7231</v>
      </c>
      <c r="J8260" t="s">
        <v>61</v>
      </c>
      <c r="K8260" t="s">
        <v>62</v>
      </c>
      <c r="M8260">
        <v>173.74</v>
      </c>
      <c r="N8260" s="4">
        <f t="shared" si="128"/>
        <v>-49.456083803384367</v>
      </c>
      <c r="O8260" t="s">
        <v>83</v>
      </c>
      <c r="Q8260" s="92"/>
    </row>
    <row r="8261" spans="1:17" x14ac:dyDescent="0.25">
      <c r="A8261" s="22">
        <v>45926</v>
      </c>
      <c r="B8261" s="1">
        <v>118733337</v>
      </c>
      <c r="C8261" t="s">
        <v>6635</v>
      </c>
      <c r="D8261" s="44">
        <v>-8592.5</v>
      </c>
      <c r="E8261" t="s">
        <v>35</v>
      </c>
      <c r="F8261" s="2">
        <v>212901001</v>
      </c>
      <c r="G8261" s="2" t="s">
        <v>91</v>
      </c>
      <c r="I8261" s="95" t="s">
        <v>7231</v>
      </c>
      <c r="J8261" t="s">
        <v>61</v>
      </c>
      <c r="K8261" t="s">
        <v>62</v>
      </c>
      <c r="M8261">
        <v>173.74</v>
      </c>
      <c r="N8261" s="4">
        <f t="shared" si="128"/>
        <v>-49.456083803384367</v>
      </c>
      <c r="O8261" t="s">
        <v>83</v>
      </c>
      <c r="Q8261" s="92"/>
    </row>
    <row r="8262" spans="1:17" x14ac:dyDescent="0.25">
      <c r="A8262" s="22">
        <v>45926</v>
      </c>
      <c r="B8262" s="1">
        <v>118733336</v>
      </c>
      <c r="C8262" t="s">
        <v>6636</v>
      </c>
      <c r="D8262" s="44">
        <v>-68740</v>
      </c>
      <c r="E8262" t="s">
        <v>35</v>
      </c>
      <c r="F8262" s="2">
        <v>212901001</v>
      </c>
      <c r="G8262" s="2" t="s">
        <v>91</v>
      </c>
      <c r="I8262" s="95" t="s">
        <v>7231</v>
      </c>
      <c r="J8262" t="s">
        <v>61</v>
      </c>
      <c r="K8262" t="s">
        <v>62</v>
      </c>
      <c r="M8262">
        <v>173.74</v>
      </c>
      <c r="N8262" s="4">
        <f t="shared" si="128"/>
        <v>-395.64867042707493</v>
      </c>
      <c r="O8262" t="s">
        <v>83</v>
      </c>
      <c r="Q8262" s="92"/>
    </row>
    <row r="8263" spans="1:17" x14ac:dyDescent="0.25">
      <c r="A8263" s="22">
        <v>45926</v>
      </c>
      <c r="B8263" s="1">
        <v>218733342</v>
      </c>
      <c r="C8263" t="s">
        <v>6637</v>
      </c>
      <c r="D8263" s="44">
        <v>-68740</v>
      </c>
      <c r="E8263" t="s">
        <v>35</v>
      </c>
      <c r="F8263" s="2">
        <v>212901001</v>
      </c>
      <c r="G8263" s="2" t="s">
        <v>91</v>
      </c>
      <c r="I8263" s="95" t="s">
        <v>7231</v>
      </c>
      <c r="J8263" t="s">
        <v>61</v>
      </c>
      <c r="K8263" t="s">
        <v>62</v>
      </c>
      <c r="M8263">
        <v>173.74</v>
      </c>
      <c r="N8263" s="4">
        <f t="shared" si="128"/>
        <v>-395.64867042707493</v>
      </c>
      <c r="O8263" t="s">
        <v>83</v>
      </c>
      <c r="Q8263" s="92"/>
    </row>
    <row r="8264" spans="1:17" x14ac:dyDescent="0.25">
      <c r="A8264" s="22">
        <v>45926</v>
      </c>
      <c r="B8264" s="1">
        <v>50954051</v>
      </c>
      <c r="C8264" t="s">
        <v>6368</v>
      </c>
      <c r="D8264" s="44">
        <v>-24059</v>
      </c>
      <c r="E8264" t="s">
        <v>35</v>
      </c>
      <c r="F8264" s="2">
        <v>212901001</v>
      </c>
      <c r="G8264" s="2" t="s">
        <v>91</v>
      </c>
      <c r="I8264" s="95" t="s">
        <v>7231</v>
      </c>
      <c r="J8264" t="s">
        <v>61</v>
      </c>
      <c r="K8264" t="s">
        <v>62</v>
      </c>
      <c r="M8264">
        <v>173.74</v>
      </c>
      <c r="N8264" s="4">
        <f t="shared" si="128"/>
        <v>-138.47703464947622</v>
      </c>
      <c r="O8264" t="s">
        <v>83</v>
      </c>
      <c r="Q8264" s="92"/>
    </row>
    <row r="8265" spans="1:17" x14ac:dyDescent="0.25">
      <c r="A8265" s="22">
        <v>45926</v>
      </c>
      <c r="B8265" s="1">
        <v>50954051</v>
      </c>
      <c r="C8265" t="s">
        <v>179</v>
      </c>
      <c r="D8265" s="44">
        <v>-36.08</v>
      </c>
      <c r="E8265" t="s">
        <v>35</v>
      </c>
      <c r="F8265" s="2">
        <v>610148001</v>
      </c>
      <c r="G8265" s="2" t="s">
        <v>41</v>
      </c>
      <c r="I8265" s="95" t="s">
        <v>7231</v>
      </c>
      <c r="J8265" t="s">
        <v>42</v>
      </c>
      <c r="K8265" t="s">
        <v>41</v>
      </c>
      <c r="M8265">
        <v>173.74</v>
      </c>
      <c r="N8265" s="4">
        <f t="shared" si="128"/>
        <v>-0.20766662829515364</v>
      </c>
      <c r="O8265" t="s">
        <v>83</v>
      </c>
      <c r="Q8265" s="91" t="s">
        <v>6298</v>
      </c>
    </row>
    <row r="8266" spans="1:17" x14ac:dyDescent="0.25">
      <c r="A8266" s="22">
        <v>45926</v>
      </c>
      <c r="B8266" s="1">
        <v>50954051</v>
      </c>
      <c r="C8266" t="s">
        <v>89</v>
      </c>
      <c r="D8266" s="44">
        <v>-2205.2600000000002</v>
      </c>
      <c r="E8266" t="s">
        <v>35</v>
      </c>
      <c r="F8266" s="2">
        <v>610148001</v>
      </c>
      <c r="G8266" s="2" t="s">
        <v>41</v>
      </c>
      <c r="I8266" s="95" t="s">
        <v>7231</v>
      </c>
      <c r="J8266" t="s">
        <v>42</v>
      </c>
      <c r="K8266" t="s">
        <v>41</v>
      </c>
      <c r="M8266">
        <v>173.74</v>
      </c>
      <c r="N8266" s="4">
        <f t="shared" si="128"/>
        <v>-12.692874410037989</v>
      </c>
      <c r="O8266" t="s">
        <v>83</v>
      </c>
      <c r="Q8266" s="91" t="s">
        <v>6298</v>
      </c>
    </row>
    <row r="8267" spans="1:17" x14ac:dyDescent="0.25">
      <c r="A8267" s="22">
        <v>45926</v>
      </c>
      <c r="B8267" s="1">
        <v>424383556</v>
      </c>
      <c r="C8267" t="s">
        <v>6638</v>
      </c>
      <c r="D8267" s="44">
        <v>-382914.36</v>
      </c>
      <c r="E8267" t="s">
        <v>35</v>
      </c>
      <c r="F8267" s="2">
        <v>210101001</v>
      </c>
      <c r="G8267" s="2" t="s">
        <v>36</v>
      </c>
      <c r="I8267" s="95" t="s">
        <v>7231</v>
      </c>
      <c r="J8267" t="s">
        <v>37</v>
      </c>
      <c r="K8267" t="s">
        <v>38</v>
      </c>
      <c r="M8267">
        <v>173.74</v>
      </c>
      <c r="N8267" s="4">
        <f t="shared" si="128"/>
        <v>-2203.9505007482444</v>
      </c>
      <c r="O8267" t="s">
        <v>83</v>
      </c>
      <c r="Q8267" s="92"/>
    </row>
    <row r="8268" spans="1:17" x14ac:dyDescent="0.25">
      <c r="A8268" s="22">
        <v>45926</v>
      </c>
      <c r="B8268" s="1">
        <v>424383556</v>
      </c>
      <c r="C8268" t="s">
        <v>185</v>
      </c>
      <c r="D8268" s="44">
        <v>-1148.74</v>
      </c>
      <c r="E8268" t="s">
        <v>35</v>
      </c>
      <c r="F8268" s="2">
        <v>610148001</v>
      </c>
      <c r="G8268" s="2" t="s">
        <v>41</v>
      </c>
      <c r="I8268" s="95" t="s">
        <v>7231</v>
      </c>
      <c r="J8268" t="s">
        <v>42</v>
      </c>
      <c r="K8268" t="s">
        <v>41</v>
      </c>
      <c r="M8268">
        <v>173.74</v>
      </c>
      <c r="N8268" s="4">
        <f t="shared" ref="N8268:N8331" si="129">D8268/M8268</f>
        <v>-6.6118337746057323</v>
      </c>
      <c r="O8268" t="s">
        <v>83</v>
      </c>
      <c r="Q8268" s="91" t="s">
        <v>6298</v>
      </c>
    </row>
    <row r="8269" spans="1:17" x14ac:dyDescent="0.25">
      <c r="A8269" s="22">
        <v>45929</v>
      </c>
      <c r="B8269" s="1">
        <v>60827476</v>
      </c>
      <c r="C8269" t="s">
        <v>498</v>
      </c>
      <c r="D8269" s="44">
        <v>-263.47000000000003</v>
      </c>
      <c r="E8269" t="s">
        <v>35</v>
      </c>
      <c r="F8269" s="2">
        <v>610148001</v>
      </c>
      <c r="G8269" s="2" t="s">
        <v>41</v>
      </c>
      <c r="I8269" s="95" t="s">
        <v>7231</v>
      </c>
      <c r="J8269" t="s">
        <v>42</v>
      </c>
      <c r="K8269" t="s">
        <v>41</v>
      </c>
      <c r="M8269">
        <v>175.65</v>
      </c>
      <c r="N8269" s="4">
        <f t="shared" si="129"/>
        <v>-1.4999715343011673</v>
      </c>
      <c r="O8269" t="s">
        <v>83</v>
      </c>
      <c r="Q8269" s="91" t="s">
        <v>6298</v>
      </c>
    </row>
    <row r="8270" spans="1:17" x14ac:dyDescent="0.25">
      <c r="A8270" s="22">
        <v>45929</v>
      </c>
      <c r="B8270" s="1">
        <v>519023864</v>
      </c>
      <c r="C8270" t="s">
        <v>6639</v>
      </c>
      <c r="D8270" s="44">
        <v>28525.56</v>
      </c>
      <c r="E8270" t="s">
        <v>45</v>
      </c>
      <c r="F8270" s="2">
        <v>110106001</v>
      </c>
      <c r="G8270" s="2" t="s">
        <v>1011</v>
      </c>
      <c r="I8270" s="95" t="s">
        <v>7231</v>
      </c>
      <c r="K8270" t="s">
        <v>1012</v>
      </c>
      <c r="M8270">
        <v>175.65</v>
      </c>
      <c r="N8270" s="4">
        <f t="shared" si="129"/>
        <v>162.4</v>
      </c>
      <c r="O8270" t="s">
        <v>83</v>
      </c>
      <c r="Q8270" s="92"/>
    </row>
    <row r="8271" spans="1:17" x14ac:dyDescent="0.25">
      <c r="A8271" s="22">
        <v>45929</v>
      </c>
      <c r="B8271" s="1">
        <v>519023864</v>
      </c>
      <c r="C8271" t="s">
        <v>1013</v>
      </c>
      <c r="D8271" s="44">
        <v>-427.88</v>
      </c>
      <c r="E8271" t="s">
        <v>35</v>
      </c>
      <c r="F8271" s="2">
        <v>610148001</v>
      </c>
      <c r="G8271" s="2" t="s">
        <v>41</v>
      </c>
      <c r="I8271" s="95" t="s">
        <v>7231</v>
      </c>
      <c r="J8271" t="s">
        <v>42</v>
      </c>
      <c r="K8271" t="s">
        <v>41</v>
      </c>
      <c r="M8271">
        <v>175.65</v>
      </c>
      <c r="N8271" s="4">
        <f t="shared" si="129"/>
        <v>-2.4359806433247937</v>
      </c>
      <c r="O8271" t="s">
        <v>83</v>
      </c>
      <c r="Q8271" s="91" t="s">
        <v>6298</v>
      </c>
    </row>
    <row r="8272" spans="1:17" x14ac:dyDescent="0.25">
      <c r="A8272" s="22">
        <v>45930</v>
      </c>
      <c r="B8272" s="1">
        <v>62209493</v>
      </c>
      <c r="C8272" t="s">
        <v>6640</v>
      </c>
      <c r="D8272" s="44">
        <v>86531.59</v>
      </c>
      <c r="E8272" t="s">
        <v>45</v>
      </c>
      <c r="F8272" s="2">
        <v>110106001</v>
      </c>
      <c r="G8272" s="2" t="s">
        <v>1011</v>
      </c>
      <c r="I8272" s="95" t="s">
        <v>7231</v>
      </c>
      <c r="K8272" t="s">
        <v>1012</v>
      </c>
      <c r="M8272">
        <v>177.61</v>
      </c>
      <c r="N8272" s="4">
        <f t="shared" si="129"/>
        <v>487.19998873937271</v>
      </c>
      <c r="O8272" t="s">
        <v>83</v>
      </c>
      <c r="Q8272" s="92"/>
    </row>
    <row r="8273" spans="1:20" x14ac:dyDescent="0.25">
      <c r="A8273" s="22">
        <v>45930</v>
      </c>
      <c r="B8273" s="1">
        <v>62209493</v>
      </c>
      <c r="C8273" t="s">
        <v>6641</v>
      </c>
      <c r="D8273" s="44">
        <v>-1297.97</v>
      </c>
      <c r="E8273" t="s">
        <v>35</v>
      </c>
      <c r="F8273" s="2">
        <v>610148001</v>
      </c>
      <c r="G8273" s="2" t="s">
        <v>41</v>
      </c>
      <c r="I8273" s="95" t="s">
        <v>7231</v>
      </c>
      <c r="J8273" t="s">
        <v>42</v>
      </c>
      <c r="K8273" t="s">
        <v>41</v>
      </c>
      <c r="M8273">
        <v>177.61</v>
      </c>
      <c r="N8273" s="4">
        <f t="shared" si="129"/>
        <v>-7.307978154383199</v>
      </c>
      <c r="O8273" t="s">
        <v>83</v>
      </c>
      <c r="Q8273" s="91" t="s">
        <v>6298</v>
      </c>
    </row>
    <row r="8274" spans="1:20" x14ac:dyDescent="0.25">
      <c r="A8274" s="22">
        <v>45930</v>
      </c>
      <c r="B8274" s="1">
        <v>110836690</v>
      </c>
      <c r="C8274" t="s">
        <v>6642</v>
      </c>
      <c r="D8274" s="44">
        <v>-112805.63</v>
      </c>
      <c r="E8274" t="s">
        <v>35</v>
      </c>
      <c r="F8274" s="2">
        <v>210101001</v>
      </c>
      <c r="G8274" s="2" t="s">
        <v>36</v>
      </c>
      <c r="I8274" s="95" t="s">
        <v>7231</v>
      </c>
      <c r="J8274" t="s">
        <v>1301</v>
      </c>
      <c r="K8274" t="s">
        <v>1302</v>
      </c>
      <c r="M8274">
        <v>177.61</v>
      </c>
      <c r="N8274" s="4">
        <f t="shared" si="129"/>
        <v>-635.13107370080513</v>
      </c>
      <c r="O8274" t="s">
        <v>83</v>
      </c>
      <c r="Q8274" s="92"/>
    </row>
    <row r="8275" spans="1:20" x14ac:dyDescent="0.25">
      <c r="A8275" s="22">
        <v>45930</v>
      </c>
      <c r="B8275" s="1">
        <v>588907088</v>
      </c>
      <c r="C8275" t="s">
        <v>5590</v>
      </c>
      <c r="D8275" s="44">
        <v>370000</v>
      </c>
      <c r="E8275" t="s">
        <v>45</v>
      </c>
      <c r="F8275" s="2">
        <v>210115002</v>
      </c>
      <c r="G8275" s="2" t="s">
        <v>5259</v>
      </c>
      <c r="I8275" s="95" t="s">
        <v>7231</v>
      </c>
      <c r="K8275" t="s">
        <v>5590</v>
      </c>
      <c r="M8275">
        <v>177.61</v>
      </c>
      <c r="N8275" s="4">
        <f t="shared" si="129"/>
        <v>2083.2160351331568</v>
      </c>
      <c r="O8275" t="s">
        <v>83</v>
      </c>
      <c r="Q8275" s="92"/>
    </row>
    <row r="8276" spans="1:20" x14ac:dyDescent="0.25">
      <c r="A8276" s="22">
        <v>45930</v>
      </c>
      <c r="B8276" s="1">
        <v>154656811</v>
      </c>
      <c r="C8276" t="s">
        <v>6643</v>
      </c>
      <c r="D8276" s="44">
        <v>138450.54999999999</v>
      </c>
      <c r="E8276" t="s">
        <v>45</v>
      </c>
      <c r="F8276" s="2">
        <v>110106001</v>
      </c>
      <c r="G8276" s="2" t="s">
        <v>1011</v>
      </c>
      <c r="I8276" s="95" t="s">
        <v>7231</v>
      </c>
      <c r="K8276" t="s">
        <v>6644</v>
      </c>
      <c r="M8276">
        <v>177.61</v>
      </c>
      <c r="N8276" s="4">
        <f t="shared" si="129"/>
        <v>779.52001576487794</v>
      </c>
      <c r="O8276" t="s">
        <v>83</v>
      </c>
      <c r="Q8276" s="92"/>
    </row>
    <row r="8277" spans="1:20" x14ac:dyDescent="0.25">
      <c r="A8277" s="22">
        <v>45930</v>
      </c>
      <c r="B8277" s="1">
        <v>155809924</v>
      </c>
      <c r="C8277" t="s">
        <v>6645</v>
      </c>
      <c r="D8277" s="44">
        <v>486537.73</v>
      </c>
      <c r="E8277" t="s">
        <v>45</v>
      </c>
      <c r="F8277" s="2">
        <v>110106001</v>
      </c>
      <c r="G8277" s="2" t="s">
        <v>1011</v>
      </c>
      <c r="I8277" s="95" t="s">
        <v>7231</v>
      </c>
      <c r="K8277" t="s">
        <v>6646</v>
      </c>
      <c r="M8277">
        <v>177.61</v>
      </c>
      <c r="N8277" s="4">
        <f t="shared" si="129"/>
        <v>2739.360002252125</v>
      </c>
      <c r="O8277" t="s">
        <v>83</v>
      </c>
      <c r="Q8277" s="92"/>
    </row>
    <row r="8278" spans="1:20" x14ac:dyDescent="0.25">
      <c r="A8278" s="22">
        <v>45930</v>
      </c>
      <c r="B8278" s="1">
        <v>155907582</v>
      </c>
      <c r="C8278" t="s">
        <v>6647</v>
      </c>
      <c r="D8278" s="44">
        <v>69225.27</v>
      </c>
      <c r="E8278" t="s">
        <v>45</v>
      </c>
      <c r="F8278" s="2">
        <v>110106001</v>
      </c>
      <c r="G8278" s="2" t="s">
        <v>1011</v>
      </c>
      <c r="I8278" s="95" t="s">
        <v>7231</v>
      </c>
      <c r="K8278" t="s">
        <v>6648</v>
      </c>
      <c r="M8278">
        <v>177.61</v>
      </c>
      <c r="N8278" s="4">
        <f t="shared" si="129"/>
        <v>389.75997973087101</v>
      </c>
      <c r="O8278" t="s">
        <v>83</v>
      </c>
      <c r="Q8278" s="92"/>
    </row>
    <row r="8279" spans="1:20" x14ac:dyDescent="0.25">
      <c r="A8279" s="22">
        <v>45930</v>
      </c>
      <c r="B8279" s="1">
        <v>242460425</v>
      </c>
      <c r="C8279" t="s">
        <v>6649</v>
      </c>
      <c r="D8279" s="44">
        <v>-24344.7</v>
      </c>
      <c r="E8279" t="s">
        <v>35</v>
      </c>
      <c r="F8279" s="2">
        <v>110114001</v>
      </c>
      <c r="G8279" s="2" t="s">
        <v>181</v>
      </c>
      <c r="I8279" s="95" t="s">
        <v>7231</v>
      </c>
      <c r="J8279" t="s">
        <v>182</v>
      </c>
      <c r="K8279" t="s">
        <v>183</v>
      </c>
      <c r="M8279">
        <v>177.61</v>
      </c>
      <c r="N8279" s="4">
        <f t="shared" si="129"/>
        <v>-137.06829570407072</v>
      </c>
      <c r="O8279" t="s">
        <v>83</v>
      </c>
      <c r="P8279" s="34" t="s">
        <v>6558</v>
      </c>
      <c r="Q8279" s="92"/>
    </row>
    <row r="8280" spans="1:20" x14ac:dyDescent="0.25">
      <c r="A8280" s="22">
        <v>45930</v>
      </c>
      <c r="B8280" s="1">
        <v>242460425</v>
      </c>
      <c r="C8280" t="s">
        <v>185</v>
      </c>
      <c r="D8280" s="44">
        <v>-73.03</v>
      </c>
      <c r="E8280" t="s">
        <v>35</v>
      </c>
      <c r="F8280" s="2">
        <v>610148001</v>
      </c>
      <c r="G8280" s="2" t="s">
        <v>41</v>
      </c>
      <c r="I8280" s="95" t="s">
        <v>7231</v>
      </c>
      <c r="J8280" t="s">
        <v>42</v>
      </c>
      <c r="K8280" t="s">
        <v>41</v>
      </c>
      <c r="M8280">
        <v>177.61</v>
      </c>
      <c r="N8280" s="4">
        <f t="shared" si="129"/>
        <v>-0.41118180282641742</v>
      </c>
      <c r="O8280" t="s">
        <v>83</v>
      </c>
      <c r="Q8280" s="91" t="s">
        <v>6298</v>
      </c>
    </row>
    <row r="8281" spans="1:20" x14ac:dyDescent="0.25">
      <c r="A8281" s="22">
        <v>45930</v>
      </c>
      <c r="B8281" s="1">
        <v>525227690</v>
      </c>
      <c r="C8281" t="s">
        <v>6650</v>
      </c>
      <c r="D8281" s="44">
        <v>-342005.81</v>
      </c>
      <c r="E8281" t="s">
        <v>35</v>
      </c>
      <c r="F8281" s="2">
        <v>110114001</v>
      </c>
      <c r="G8281" s="2" t="s">
        <v>181</v>
      </c>
      <c r="I8281" s="95" t="s">
        <v>7231</v>
      </c>
      <c r="J8281" t="s">
        <v>37</v>
      </c>
      <c r="K8281" t="s">
        <v>38</v>
      </c>
      <c r="M8281">
        <v>177.61</v>
      </c>
      <c r="N8281" s="4">
        <f t="shared" si="129"/>
        <v>-1925.5999662181182</v>
      </c>
      <c r="O8281" t="s">
        <v>83</v>
      </c>
      <c r="P8281" s="34" t="s">
        <v>6558</v>
      </c>
      <c r="Q8281" s="92"/>
    </row>
    <row r="8282" spans="1:20" x14ac:dyDescent="0.25">
      <c r="A8282" s="22">
        <v>45930</v>
      </c>
      <c r="B8282" s="1">
        <v>525227690</v>
      </c>
      <c r="C8282" t="s">
        <v>185</v>
      </c>
      <c r="D8282" s="44">
        <v>-1026.02</v>
      </c>
      <c r="E8282" t="s">
        <v>35</v>
      </c>
      <c r="F8282" s="2">
        <v>610148001</v>
      </c>
      <c r="G8282" s="2" t="s">
        <v>41</v>
      </c>
      <c r="I8282" s="95" t="s">
        <v>7231</v>
      </c>
      <c r="J8282" t="s">
        <v>42</v>
      </c>
      <c r="K8282" t="s">
        <v>41</v>
      </c>
      <c r="M8282">
        <v>177.61</v>
      </c>
      <c r="N8282" s="4">
        <f t="shared" si="129"/>
        <v>-5.7768143685603279</v>
      </c>
      <c r="O8282" t="s">
        <v>83</v>
      </c>
      <c r="Q8282" s="91" t="s">
        <v>6298</v>
      </c>
    </row>
    <row r="8283" spans="1:20" x14ac:dyDescent="0.25">
      <c r="A8283" s="22">
        <v>45930</v>
      </c>
      <c r="B8283" s="1">
        <v>180544618</v>
      </c>
      <c r="C8283" t="s">
        <v>82</v>
      </c>
      <c r="D8283" s="44">
        <v>300000</v>
      </c>
      <c r="E8283" t="s">
        <v>45</v>
      </c>
      <c r="F8283" s="2">
        <v>210115002</v>
      </c>
      <c r="G8283" s="2" t="s">
        <v>5259</v>
      </c>
      <c r="I8283" s="95" t="s">
        <v>7231</v>
      </c>
      <c r="K8283" t="s">
        <v>82</v>
      </c>
      <c r="M8283">
        <v>177.61</v>
      </c>
      <c r="N8283" s="4">
        <f t="shared" si="129"/>
        <v>1689.0940825403973</v>
      </c>
      <c r="O8283" t="s">
        <v>83</v>
      </c>
      <c r="Q8283" s="92"/>
    </row>
    <row r="8284" spans="1:20" x14ac:dyDescent="0.25">
      <c r="A8284" s="22">
        <v>45930</v>
      </c>
      <c r="B8284" s="1">
        <v>18810974</v>
      </c>
      <c r="C8284" t="s">
        <v>6651</v>
      </c>
      <c r="D8284" s="44">
        <v>-1756.5</v>
      </c>
      <c r="E8284" t="s">
        <v>35</v>
      </c>
      <c r="F8284" s="2">
        <v>212901001</v>
      </c>
      <c r="G8284" s="2" t="s">
        <v>91</v>
      </c>
      <c r="I8284" s="95" t="s">
        <v>7231</v>
      </c>
      <c r="J8284" t="s">
        <v>61</v>
      </c>
      <c r="K8284" t="s">
        <v>62</v>
      </c>
      <c r="M8284">
        <v>177.61</v>
      </c>
      <c r="N8284" s="4">
        <f t="shared" si="129"/>
        <v>-9.8896458532740272</v>
      </c>
      <c r="O8284" t="s">
        <v>83</v>
      </c>
      <c r="Q8284" s="92"/>
      <c r="S8284" t="s">
        <v>4600</v>
      </c>
      <c r="T8284" t="s">
        <v>6400</v>
      </c>
    </row>
    <row r="8285" spans="1:20" x14ac:dyDescent="0.25">
      <c r="A8285" s="22">
        <v>45930</v>
      </c>
      <c r="B8285" s="1">
        <v>18810975</v>
      </c>
      <c r="C8285" t="s">
        <v>6652</v>
      </c>
      <c r="D8285" s="44">
        <v>-10539</v>
      </c>
      <c r="E8285" t="s">
        <v>35</v>
      </c>
      <c r="F8285" s="2">
        <v>212901001</v>
      </c>
      <c r="G8285" s="2" t="s">
        <v>91</v>
      </c>
      <c r="I8285" s="95" t="s">
        <v>7231</v>
      </c>
      <c r="J8285" t="s">
        <v>61</v>
      </c>
      <c r="K8285" t="s">
        <v>62</v>
      </c>
      <c r="M8285">
        <v>177.61</v>
      </c>
      <c r="N8285" s="4">
        <f t="shared" si="129"/>
        <v>-59.33787511964416</v>
      </c>
      <c r="O8285" t="s">
        <v>83</v>
      </c>
      <c r="Q8285" s="92"/>
      <c r="S8285" t="s">
        <v>4600</v>
      </c>
      <c r="T8285" t="s">
        <v>6400</v>
      </c>
    </row>
    <row r="8286" spans="1:20" x14ac:dyDescent="0.25">
      <c r="A8286" s="22">
        <v>45930</v>
      </c>
      <c r="B8286" s="1">
        <v>918810973</v>
      </c>
      <c r="C8286" t="s">
        <v>6653</v>
      </c>
      <c r="D8286" s="44">
        <v>-52695</v>
      </c>
      <c r="E8286" t="s">
        <v>35</v>
      </c>
      <c r="F8286" s="2">
        <v>212901001</v>
      </c>
      <c r="G8286" s="2" t="s">
        <v>91</v>
      </c>
      <c r="I8286" s="95" t="s">
        <v>7231</v>
      </c>
      <c r="J8286" t="s">
        <v>61</v>
      </c>
      <c r="K8286" t="s">
        <v>62</v>
      </c>
      <c r="M8286">
        <v>177.61</v>
      </c>
      <c r="N8286" s="4">
        <f t="shared" si="129"/>
        <v>-296.68937559822081</v>
      </c>
      <c r="O8286" t="s">
        <v>83</v>
      </c>
      <c r="Q8286" s="92"/>
      <c r="S8286" t="s">
        <v>4600</v>
      </c>
      <c r="T8286" t="s">
        <v>6403</v>
      </c>
    </row>
    <row r="8287" spans="1:20" x14ac:dyDescent="0.25">
      <c r="A8287" s="22">
        <v>45930</v>
      </c>
      <c r="B8287" s="1">
        <v>18810978</v>
      </c>
      <c r="C8287" t="s">
        <v>6654</v>
      </c>
      <c r="D8287" s="44">
        <v>-1756.5</v>
      </c>
      <c r="E8287" t="s">
        <v>35</v>
      </c>
      <c r="F8287" s="2">
        <v>212901001</v>
      </c>
      <c r="G8287" s="2" t="s">
        <v>91</v>
      </c>
      <c r="I8287" s="95" t="s">
        <v>7231</v>
      </c>
      <c r="J8287" t="s">
        <v>61</v>
      </c>
      <c r="K8287" t="s">
        <v>62</v>
      </c>
      <c r="M8287">
        <v>177.61</v>
      </c>
      <c r="N8287" s="4">
        <f t="shared" si="129"/>
        <v>-9.8896458532740272</v>
      </c>
      <c r="O8287" t="s">
        <v>83</v>
      </c>
      <c r="Q8287" s="92"/>
      <c r="S8287" t="s">
        <v>4600</v>
      </c>
      <c r="T8287" t="s">
        <v>6400</v>
      </c>
    </row>
    <row r="8288" spans="1:20" x14ac:dyDescent="0.25">
      <c r="A8288" s="22">
        <v>45930</v>
      </c>
      <c r="B8288" s="1">
        <v>18810979</v>
      </c>
      <c r="C8288" t="s">
        <v>6655</v>
      </c>
      <c r="D8288" s="44">
        <v>-1756.5</v>
      </c>
      <c r="E8288" t="s">
        <v>35</v>
      </c>
      <c r="F8288" s="2">
        <v>212901001</v>
      </c>
      <c r="G8288" s="2" t="s">
        <v>91</v>
      </c>
      <c r="I8288" s="95" t="s">
        <v>7231</v>
      </c>
      <c r="J8288" t="s">
        <v>61</v>
      </c>
      <c r="K8288" t="s">
        <v>62</v>
      </c>
      <c r="M8288">
        <v>177.61</v>
      </c>
      <c r="N8288" s="4">
        <f t="shared" si="129"/>
        <v>-9.8896458532740272</v>
      </c>
      <c r="O8288" t="s">
        <v>83</v>
      </c>
      <c r="Q8288" s="92"/>
      <c r="S8288" t="s">
        <v>4600</v>
      </c>
      <c r="T8288" t="s">
        <v>6400</v>
      </c>
    </row>
    <row r="8289" spans="1:20" x14ac:dyDescent="0.25">
      <c r="A8289" s="22">
        <v>45930</v>
      </c>
      <c r="B8289" s="1">
        <v>18810976</v>
      </c>
      <c r="C8289" t="s">
        <v>6656</v>
      </c>
      <c r="D8289" s="44">
        <v>-1756.5</v>
      </c>
      <c r="E8289" t="s">
        <v>35</v>
      </c>
      <c r="F8289" s="2">
        <v>212901001</v>
      </c>
      <c r="G8289" s="2" t="s">
        <v>91</v>
      </c>
      <c r="I8289" s="95" t="s">
        <v>7231</v>
      </c>
      <c r="J8289" t="s">
        <v>61</v>
      </c>
      <c r="K8289" t="s">
        <v>62</v>
      </c>
      <c r="M8289">
        <v>177.61</v>
      </c>
      <c r="N8289" s="4">
        <f t="shared" si="129"/>
        <v>-9.8896458532740272</v>
      </c>
      <c r="O8289" t="s">
        <v>83</v>
      </c>
      <c r="Q8289" s="92"/>
      <c r="S8289" t="s">
        <v>4600</v>
      </c>
      <c r="T8289" t="s">
        <v>6400</v>
      </c>
    </row>
    <row r="8290" spans="1:20" x14ac:dyDescent="0.25">
      <c r="A8290" s="22">
        <v>45930</v>
      </c>
      <c r="B8290" s="1">
        <v>18810977</v>
      </c>
      <c r="C8290" t="s">
        <v>6657</v>
      </c>
      <c r="D8290" s="44">
        <v>-1756.5</v>
      </c>
      <c r="E8290" t="s">
        <v>35</v>
      </c>
      <c r="F8290" s="2">
        <v>212901001</v>
      </c>
      <c r="G8290" s="2" t="s">
        <v>91</v>
      </c>
      <c r="I8290" s="95" t="s">
        <v>7231</v>
      </c>
      <c r="J8290" t="s">
        <v>61</v>
      </c>
      <c r="K8290" t="s">
        <v>62</v>
      </c>
      <c r="M8290">
        <v>177.61</v>
      </c>
      <c r="N8290" s="4">
        <f t="shared" si="129"/>
        <v>-9.8896458532740272</v>
      </c>
      <c r="O8290" t="s">
        <v>83</v>
      </c>
      <c r="Q8290" s="92"/>
      <c r="S8290" t="s">
        <v>4600</v>
      </c>
      <c r="T8290" t="s">
        <v>6400</v>
      </c>
    </row>
    <row r="8291" spans="1:20" x14ac:dyDescent="0.25">
      <c r="A8291" s="22">
        <v>45930</v>
      </c>
      <c r="B8291" s="1">
        <v>18810982</v>
      </c>
      <c r="C8291" t="s">
        <v>6658</v>
      </c>
      <c r="D8291" s="44">
        <v>-1756.5</v>
      </c>
      <c r="E8291" t="s">
        <v>35</v>
      </c>
      <c r="F8291" s="2">
        <v>212901001</v>
      </c>
      <c r="G8291" s="2" t="s">
        <v>91</v>
      </c>
      <c r="I8291" s="95" t="s">
        <v>7231</v>
      </c>
      <c r="J8291" t="s">
        <v>61</v>
      </c>
      <c r="K8291" t="s">
        <v>62</v>
      </c>
      <c r="M8291">
        <v>177.61</v>
      </c>
      <c r="N8291" s="4">
        <f t="shared" si="129"/>
        <v>-9.8896458532740272</v>
      </c>
      <c r="O8291" t="s">
        <v>83</v>
      </c>
      <c r="Q8291" s="92"/>
      <c r="S8291" t="s">
        <v>4600</v>
      </c>
      <c r="T8291" t="s">
        <v>6400</v>
      </c>
    </row>
    <row r="8292" spans="1:20" x14ac:dyDescent="0.25">
      <c r="A8292" s="22">
        <v>45930</v>
      </c>
      <c r="B8292" s="1">
        <v>18810980</v>
      </c>
      <c r="C8292" t="s">
        <v>6659</v>
      </c>
      <c r="D8292" s="44">
        <v>-1756.5</v>
      </c>
      <c r="E8292" t="s">
        <v>35</v>
      </c>
      <c r="F8292" s="2">
        <v>212901001</v>
      </c>
      <c r="G8292" s="2" t="s">
        <v>91</v>
      </c>
      <c r="I8292" s="95" t="s">
        <v>7231</v>
      </c>
      <c r="J8292" t="s">
        <v>61</v>
      </c>
      <c r="K8292" t="s">
        <v>62</v>
      </c>
      <c r="M8292">
        <v>177.61</v>
      </c>
      <c r="N8292" s="4">
        <f t="shared" si="129"/>
        <v>-9.8896458532740272</v>
      </c>
      <c r="O8292" t="s">
        <v>83</v>
      </c>
      <c r="Q8292" s="92"/>
      <c r="S8292" t="s">
        <v>4600</v>
      </c>
      <c r="T8292" t="s">
        <v>6400</v>
      </c>
    </row>
    <row r="8293" spans="1:20" x14ac:dyDescent="0.25">
      <c r="A8293" s="22">
        <v>45930</v>
      </c>
      <c r="B8293" s="1">
        <v>18810981</v>
      </c>
      <c r="C8293" t="s">
        <v>6660</v>
      </c>
      <c r="D8293" s="44">
        <v>-35130</v>
      </c>
      <c r="E8293" t="s">
        <v>35</v>
      </c>
      <c r="F8293" s="2">
        <v>212901001</v>
      </c>
      <c r="G8293" s="2" t="s">
        <v>91</v>
      </c>
      <c r="I8293" s="95" t="s">
        <v>7231</v>
      </c>
      <c r="J8293" t="s">
        <v>61</v>
      </c>
      <c r="K8293" t="s">
        <v>62</v>
      </c>
      <c r="M8293">
        <v>177.61</v>
      </c>
      <c r="N8293" s="4">
        <f t="shared" si="129"/>
        <v>-197.79291706548054</v>
      </c>
      <c r="O8293" t="s">
        <v>83</v>
      </c>
      <c r="Q8293" s="92"/>
      <c r="S8293" t="s">
        <v>4600</v>
      </c>
      <c r="T8293" t="s">
        <v>6403</v>
      </c>
    </row>
    <row r="8294" spans="1:20" x14ac:dyDescent="0.25">
      <c r="A8294" s="22">
        <v>45930</v>
      </c>
      <c r="B8294" s="1">
        <v>118810984</v>
      </c>
      <c r="C8294" t="s">
        <v>6661</v>
      </c>
      <c r="D8294" s="44">
        <v>-1756.5</v>
      </c>
      <c r="E8294" t="s">
        <v>35</v>
      </c>
      <c r="F8294" s="2">
        <v>212901001</v>
      </c>
      <c r="G8294" s="2" t="s">
        <v>91</v>
      </c>
      <c r="I8294" s="95" t="s">
        <v>7231</v>
      </c>
      <c r="J8294" t="s">
        <v>61</v>
      </c>
      <c r="K8294" t="s">
        <v>62</v>
      </c>
      <c r="M8294">
        <v>177.61</v>
      </c>
      <c r="N8294" s="4">
        <f t="shared" si="129"/>
        <v>-9.8896458532740272</v>
      </c>
      <c r="O8294" t="s">
        <v>83</v>
      </c>
      <c r="Q8294" s="92"/>
      <c r="S8294" t="s">
        <v>4600</v>
      </c>
      <c r="T8294" t="s">
        <v>6400</v>
      </c>
    </row>
    <row r="8295" spans="1:20" x14ac:dyDescent="0.25">
      <c r="A8295" s="22">
        <v>45930</v>
      </c>
      <c r="B8295" s="1">
        <v>118810983</v>
      </c>
      <c r="C8295" t="s">
        <v>6662</v>
      </c>
      <c r="D8295" s="44">
        <v>-1756.5</v>
      </c>
      <c r="E8295" t="s">
        <v>35</v>
      </c>
      <c r="F8295" s="2">
        <v>212901001</v>
      </c>
      <c r="G8295" s="2" t="s">
        <v>91</v>
      </c>
      <c r="I8295" s="95" t="s">
        <v>7231</v>
      </c>
      <c r="J8295" t="s">
        <v>61</v>
      </c>
      <c r="K8295" t="s">
        <v>62</v>
      </c>
      <c r="M8295">
        <v>177.61</v>
      </c>
      <c r="N8295" s="4">
        <f t="shared" si="129"/>
        <v>-9.8896458532740272</v>
      </c>
      <c r="O8295" t="s">
        <v>83</v>
      </c>
      <c r="Q8295" s="92"/>
      <c r="S8295" t="s">
        <v>4600</v>
      </c>
      <c r="T8295" t="s">
        <v>6400</v>
      </c>
    </row>
    <row r="8296" spans="1:20" x14ac:dyDescent="0.25">
      <c r="A8296" s="22">
        <v>45930</v>
      </c>
      <c r="B8296" s="1">
        <v>118810990</v>
      </c>
      <c r="C8296" t="s">
        <v>6663</v>
      </c>
      <c r="D8296" s="44">
        <v>-1756.5</v>
      </c>
      <c r="E8296" t="s">
        <v>35</v>
      </c>
      <c r="F8296" s="2">
        <v>212901001</v>
      </c>
      <c r="G8296" s="2" t="s">
        <v>91</v>
      </c>
      <c r="I8296" s="95" t="s">
        <v>7231</v>
      </c>
      <c r="J8296" t="s">
        <v>61</v>
      </c>
      <c r="K8296" t="s">
        <v>62</v>
      </c>
      <c r="M8296">
        <v>177.61</v>
      </c>
      <c r="N8296" s="4">
        <f t="shared" si="129"/>
        <v>-9.8896458532740272</v>
      </c>
      <c r="O8296" t="s">
        <v>83</v>
      </c>
      <c r="Q8296" s="92"/>
      <c r="S8296" t="s">
        <v>4600</v>
      </c>
      <c r="T8296" t="s">
        <v>6400</v>
      </c>
    </row>
    <row r="8297" spans="1:20" x14ac:dyDescent="0.25">
      <c r="A8297" s="22">
        <v>45930</v>
      </c>
      <c r="B8297" s="1">
        <v>118810985</v>
      </c>
      <c r="C8297" t="s">
        <v>6664</v>
      </c>
      <c r="D8297" s="44">
        <v>-10539</v>
      </c>
      <c r="E8297" t="s">
        <v>35</v>
      </c>
      <c r="F8297" s="2">
        <v>212901001</v>
      </c>
      <c r="G8297" s="2" t="s">
        <v>91</v>
      </c>
      <c r="I8297" s="95" t="s">
        <v>7231</v>
      </c>
      <c r="J8297" t="s">
        <v>61</v>
      </c>
      <c r="K8297" t="s">
        <v>62</v>
      </c>
      <c r="M8297">
        <v>177.61</v>
      </c>
      <c r="N8297" s="4">
        <f t="shared" si="129"/>
        <v>-59.33787511964416</v>
      </c>
      <c r="O8297" t="s">
        <v>83</v>
      </c>
      <c r="Q8297" s="92"/>
      <c r="S8297" t="s">
        <v>5465</v>
      </c>
      <c r="T8297" t="s">
        <v>6400</v>
      </c>
    </row>
    <row r="8298" spans="1:20" x14ac:dyDescent="0.25">
      <c r="A8298" s="22">
        <v>45930</v>
      </c>
      <c r="B8298" s="1">
        <v>118810987</v>
      </c>
      <c r="C8298" t="s">
        <v>6665</v>
      </c>
      <c r="D8298" s="44">
        <v>-1756.5</v>
      </c>
      <c r="E8298" t="s">
        <v>35</v>
      </c>
      <c r="F8298" s="2">
        <v>212901001</v>
      </c>
      <c r="G8298" s="2" t="s">
        <v>91</v>
      </c>
      <c r="I8298" s="95" t="s">
        <v>7231</v>
      </c>
      <c r="J8298" t="s">
        <v>61</v>
      </c>
      <c r="K8298" t="s">
        <v>62</v>
      </c>
      <c r="M8298">
        <v>177.61</v>
      </c>
      <c r="N8298" s="4">
        <f t="shared" si="129"/>
        <v>-9.8896458532740272</v>
      </c>
      <c r="O8298" t="s">
        <v>83</v>
      </c>
      <c r="Q8298" s="92"/>
      <c r="S8298" t="s">
        <v>4600</v>
      </c>
      <c r="T8298" t="s">
        <v>6400</v>
      </c>
    </row>
    <row r="8299" spans="1:20" x14ac:dyDescent="0.25">
      <c r="A8299" s="22">
        <v>45930</v>
      </c>
      <c r="B8299" s="1">
        <v>118810989</v>
      </c>
      <c r="C8299" t="s">
        <v>6666</v>
      </c>
      <c r="D8299" s="44">
        <v>-1756.5</v>
      </c>
      <c r="E8299" t="s">
        <v>35</v>
      </c>
      <c r="F8299" s="2">
        <v>212901001</v>
      </c>
      <c r="G8299" s="2" t="s">
        <v>91</v>
      </c>
      <c r="I8299" s="95" t="s">
        <v>7231</v>
      </c>
      <c r="J8299" t="s">
        <v>61</v>
      </c>
      <c r="K8299" t="s">
        <v>62</v>
      </c>
      <c r="M8299">
        <v>177.61</v>
      </c>
      <c r="N8299" s="4">
        <f t="shared" si="129"/>
        <v>-9.8896458532740272</v>
      </c>
      <c r="O8299" t="s">
        <v>83</v>
      </c>
      <c r="Q8299" s="92"/>
      <c r="S8299" t="s">
        <v>4600</v>
      </c>
      <c r="T8299" t="s">
        <v>6400</v>
      </c>
    </row>
    <row r="8300" spans="1:20" x14ac:dyDescent="0.25">
      <c r="A8300" s="22">
        <v>45930</v>
      </c>
      <c r="B8300" s="1">
        <v>118810986</v>
      </c>
      <c r="C8300" t="s">
        <v>6667</v>
      </c>
      <c r="D8300" s="44">
        <v>-1756.5</v>
      </c>
      <c r="E8300" t="s">
        <v>35</v>
      </c>
      <c r="F8300" s="2">
        <v>212901001</v>
      </c>
      <c r="G8300" s="2" t="s">
        <v>91</v>
      </c>
      <c r="I8300" s="95" t="s">
        <v>7231</v>
      </c>
      <c r="J8300" t="s">
        <v>61</v>
      </c>
      <c r="K8300" t="s">
        <v>62</v>
      </c>
      <c r="M8300">
        <v>177.61</v>
      </c>
      <c r="N8300" s="4">
        <f t="shared" si="129"/>
        <v>-9.8896458532740272</v>
      </c>
      <c r="O8300" t="s">
        <v>83</v>
      </c>
      <c r="Q8300" s="92"/>
      <c r="S8300" t="s">
        <v>4600</v>
      </c>
      <c r="T8300" t="s">
        <v>6400</v>
      </c>
    </row>
    <row r="8301" spans="1:20" x14ac:dyDescent="0.25">
      <c r="A8301" s="22">
        <v>45930</v>
      </c>
      <c r="B8301" s="1">
        <v>118810988</v>
      </c>
      <c r="C8301" t="s">
        <v>6668</v>
      </c>
      <c r="D8301" s="44">
        <v>-1756.5</v>
      </c>
      <c r="E8301" t="s">
        <v>35</v>
      </c>
      <c r="F8301" s="2">
        <v>212901001</v>
      </c>
      <c r="G8301" s="2" t="s">
        <v>91</v>
      </c>
      <c r="I8301" s="95" t="s">
        <v>7231</v>
      </c>
      <c r="J8301" t="s">
        <v>61</v>
      </c>
      <c r="K8301" t="s">
        <v>62</v>
      </c>
      <c r="M8301">
        <v>177.61</v>
      </c>
      <c r="N8301" s="4">
        <f t="shared" si="129"/>
        <v>-9.8896458532740272</v>
      </c>
      <c r="O8301" t="s">
        <v>83</v>
      </c>
      <c r="Q8301" s="92"/>
      <c r="S8301" t="s">
        <v>4600</v>
      </c>
      <c r="T8301" t="s">
        <v>6400</v>
      </c>
    </row>
    <row r="8302" spans="1:20" x14ac:dyDescent="0.25">
      <c r="A8302" s="22">
        <v>45930</v>
      </c>
      <c r="B8302" s="1">
        <v>118810991</v>
      </c>
      <c r="C8302" t="s">
        <v>6669</v>
      </c>
      <c r="D8302" s="44">
        <v>-1756.5</v>
      </c>
      <c r="E8302" t="s">
        <v>35</v>
      </c>
      <c r="F8302" s="2">
        <v>212901001</v>
      </c>
      <c r="G8302" s="2" t="s">
        <v>91</v>
      </c>
      <c r="I8302" s="95" t="s">
        <v>7231</v>
      </c>
      <c r="J8302" t="s">
        <v>61</v>
      </c>
      <c r="K8302" t="s">
        <v>62</v>
      </c>
      <c r="M8302">
        <v>177.61</v>
      </c>
      <c r="N8302" s="4">
        <f t="shared" si="129"/>
        <v>-9.8896458532740272</v>
      </c>
      <c r="O8302" t="s">
        <v>83</v>
      </c>
      <c r="Q8302" s="92"/>
      <c r="S8302" t="s">
        <v>4600</v>
      </c>
      <c r="T8302" t="s">
        <v>6400</v>
      </c>
    </row>
    <row r="8303" spans="1:20" x14ac:dyDescent="0.25">
      <c r="A8303" s="22">
        <v>45930</v>
      </c>
      <c r="B8303" s="1">
        <v>218810995</v>
      </c>
      <c r="C8303" t="s">
        <v>6670</v>
      </c>
      <c r="D8303" s="44">
        <v>-87500.05</v>
      </c>
      <c r="E8303" t="s">
        <v>35</v>
      </c>
      <c r="F8303" s="2">
        <v>212901001</v>
      </c>
      <c r="G8303" s="2" t="s">
        <v>91</v>
      </c>
      <c r="I8303" s="95" t="s">
        <v>7231</v>
      </c>
      <c r="J8303" t="s">
        <v>61</v>
      </c>
      <c r="K8303" t="s">
        <v>62</v>
      </c>
      <c r="M8303">
        <v>177.61</v>
      </c>
      <c r="N8303" s="4">
        <f t="shared" si="129"/>
        <v>-492.65272225662966</v>
      </c>
      <c r="O8303" t="s">
        <v>83</v>
      </c>
      <c r="Q8303" s="92"/>
      <c r="S8303" t="s">
        <v>4600</v>
      </c>
      <c r="T8303" t="s">
        <v>6403</v>
      </c>
    </row>
    <row r="8304" spans="1:20" x14ac:dyDescent="0.25">
      <c r="A8304" s="22">
        <v>45930</v>
      </c>
      <c r="B8304" s="1">
        <v>218810993</v>
      </c>
      <c r="C8304" t="s">
        <v>6671</v>
      </c>
      <c r="D8304" s="44">
        <v>-15808.5</v>
      </c>
      <c r="E8304" t="s">
        <v>35</v>
      </c>
      <c r="F8304" s="2">
        <v>212901001</v>
      </c>
      <c r="G8304" s="2" t="s">
        <v>91</v>
      </c>
      <c r="I8304" s="95" t="s">
        <v>7231</v>
      </c>
      <c r="J8304" t="s">
        <v>61</v>
      </c>
      <c r="K8304" t="s">
        <v>62</v>
      </c>
      <c r="M8304">
        <v>177.61</v>
      </c>
      <c r="N8304" s="4">
        <f t="shared" si="129"/>
        <v>-89.006812679466236</v>
      </c>
      <c r="O8304" t="s">
        <v>83</v>
      </c>
      <c r="Q8304" s="92"/>
      <c r="S8304" t="s">
        <v>4600</v>
      </c>
    </row>
    <row r="8305" spans="1:20" x14ac:dyDescent="0.25">
      <c r="A8305" s="22">
        <v>45930</v>
      </c>
      <c r="B8305" s="1">
        <v>218810997</v>
      </c>
      <c r="C8305" t="s">
        <v>6672</v>
      </c>
      <c r="D8305" s="44">
        <v>-6727.4</v>
      </c>
      <c r="E8305" t="s">
        <v>35</v>
      </c>
      <c r="F8305" s="2">
        <v>212901001</v>
      </c>
      <c r="G8305" s="2" t="s">
        <v>91</v>
      </c>
      <c r="I8305" s="95" t="s">
        <v>7231</v>
      </c>
      <c r="J8305" t="s">
        <v>61</v>
      </c>
      <c r="K8305" t="s">
        <v>62</v>
      </c>
      <c r="M8305">
        <v>177.61</v>
      </c>
      <c r="N8305" s="4">
        <f t="shared" si="129"/>
        <v>-37.877371769607564</v>
      </c>
      <c r="O8305" t="s">
        <v>83</v>
      </c>
      <c r="Q8305" s="92"/>
      <c r="S8305" t="s">
        <v>4600</v>
      </c>
      <c r="T8305" t="s">
        <v>6400</v>
      </c>
    </row>
    <row r="8306" spans="1:20" x14ac:dyDescent="0.25">
      <c r="A8306" s="22">
        <v>45930</v>
      </c>
      <c r="B8306" s="1">
        <v>218810994</v>
      </c>
      <c r="C8306" t="s">
        <v>6673</v>
      </c>
      <c r="D8306" s="44">
        <v>-15808.5</v>
      </c>
      <c r="E8306" t="s">
        <v>35</v>
      </c>
      <c r="F8306" s="2">
        <v>212901001</v>
      </c>
      <c r="G8306" s="2" t="s">
        <v>91</v>
      </c>
      <c r="I8306" s="95" t="s">
        <v>7231</v>
      </c>
      <c r="J8306" t="s">
        <v>61</v>
      </c>
      <c r="K8306" t="s">
        <v>62</v>
      </c>
      <c r="M8306">
        <v>177.61</v>
      </c>
      <c r="N8306" s="4">
        <f t="shared" si="129"/>
        <v>-89.006812679466236</v>
      </c>
      <c r="O8306" t="s">
        <v>83</v>
      </c>
      <c r="Q8306" s="92"/>
      <c r="S8306" t="s">
        <v>5465</v>
      </c>
      <c r="T8306" t="s">
        <v>6400</v>
      </c>
    </row>
    <row r="8307" spans="1:20" x14ac:dyDescent="0.25">
      <c r="A8307" s="22">
        <v>45930</v>
      </c>
      <c r="B8307" s="1">
        <v>218810992</v>
      </c>
      <c r="C8307" t="s">
        <v>6674</v>
      </c>
      <c r="D8307" s="44">
        <v>-15808.5</v>
      </c>
      <c r="E8307" t="s">
        <v>35</v>
      </c>
      <c r="F8307" s="2">
        <v>212901001</v>
      </c>
      <c r="G8307" s="2" t="s">
        <v>91</v>
      </c>
      <c r="I8307" s="95" t="s">
        <v>7231</v>
      </c>
      <c r="J8307" t="s">
        <v>61</v>
      </c>
      <c r="K8307" t="s">
        <v>62</v>
      </c>
      <c r="M8307">
        <v>177.61</v>
      </c>
      <c r="N8307" s="4">
        <f t="shared" si="129"/>
        <v>-89.006812679466236</v>
      </c>
      <c r="O8307" t="s">
        <v>83</v>
      </c>
      <c r="Q8307" s="92"/>
      <c r="S8307" t="s">
        <v>4600</v>
      </c>
    </row>
    <row r="8308" spans="1:20" x14ac:dyDescent="0.25">
      <c r="A8308" s="22">
        <v>45930</v>
      </c>
      <c r="B8308" s="1">
        <v>218810998</v>
      </c>
      <c r="C8308" t="s">
        <v>6675</v>
      </c>
      <c r="D8308" s="44">
        <v>-8485.65</v>
      </c>
      <c r="E8308" t="s">
        <v>35</v>
      </c>
      <c r="F8308" s="2">
        <v>212901001</v>
      </c>
      <c r="G8308" s="2" t="s">
        <v>91</v>
      </c>
      <c r="I8308" s="95" t="s">
        <v>7231</v>
      </c>
      <c r="J8308" t="s">
        <v>61</v>
      </c>
      <c r="K8308" t="s">
        <v>62</v>
      </c>
      <c r="M8308">
        <v>177.61</v>
      </c>
      <c r="N8308" s="4">
        <f t="shared" si="129"/>
        <v>-47.776870671696408</v>
      </c>
      <c r="O8308" t="s">
        <v>83</v>
      </c>
      <c r="Q8308" s="92"/>
      <c r="S8308" t="s">
        <v>4600</v>
      </c>
      <c r="T8308" t="s">
        <v>6400</v>
      </c>
    </row>
    <row r="8309" spans="1:20" x14ac:dyDescent="0.25">
      <c r="A8309" s="22">
        <v>45930</v>
      </c>
      <c r="B8309" s="1">
        <v>218810996</v>
      </c>
      <c r="C8309" t="s">
        <v>6676</v>
      </c>
      <c r="D8309" s="44">
        <v>-13727.05</v>
      </c>
      <c r="E8309" t="s">
        <v>35</v>
      </c>
      <c r="F8309" s="2">
        <v>212901001</v>
      </c>
      <c r="G8309" s="2" t="s">
        <v>91</v>
      </c>
      <c r="I8309" s="95" t="s">
        <v>7231</v>
      </c>
      <c r="J8309" t="s">
        <v>61</v>
      </c>
      <c r="K8309" t="s">
        <v>62</v>
      </c>
      <c r="M8309">
        <v>177.61</v>
      </c>
      <c r="N8309" s="4">
        <f t="shared" si="129"/>
        <v>-77.287596419120533</v>
      </c>
      <c r="O8309" t="s">
        <v>83</v>
      </c>
      <c r="Q8309" s="92"/>
      <c r="S8309" t="s">
        <v>5465</v>
      </c>
      <c r="T8309" t="s">
        <v>6400</v>
      </c>
    </row>
    <row r="8310" spans="1:20" x14ac:dyDescent="0.25">
      <c r="A8310" s="22">
        <v>45930</v>
      </c>
      <c r="B8310" s="1">
        <v>218810999</v>
      </c>
      <c r="C8310" t="s">
        <v>6677</v>
      </c>
      <c r="D8310" s="44">
        <v>-5455.69</v>
      </c>
      <c r="E8310" t="s">
        <v>35</v>
      </c>
      <c r="F8310" s="2">
        <v>212901001</v>
      </c>
      <c r="G8310" s="2" t="s">
        <v>91</v>
      </c>
      <c r="I8310" s="95" t="s">
        <v>7231</v>
      </c>
      <c r="J8310" t="s">
        <v>61</v>
      </c>
      <c r="K8310" t="s">
        <v>62</v>
      </c>
      <c r="M8310">
        <v>177.61</v>
      </c>
      <c r="N8310" s="4">
        <f t="shared" si="129"/>
        <v>-30.717245650582733</v>
      </c>
      <c r="O8310" t="s">
        <v>83</v>
      </c>
      <c r="Q8310" s="92"/>
      <c r="S8310" t="s">
        <v>4600</v>
      </c>
      <c r="T8310" t="s">
        <v>6400</v>
      </c>
    </row>
    <row r="8311" spans="1:20" x14ac:dyDescent="0.25">
      <c r="A8311" s="22">
        <v>45930</v>
      </c>
      <c r="B8311" s="1">
        <v>318811002</v>
      </c>
      <c r="C8311" t="s">
        <v>6678</v>
      </c>
      <c r="D8311" s="44">
        <v>-13140.38</v>
      </c>
      <c r="E8311" t="s">
        <v>35</v>
      </c>
      <c r="F8311" s="2">
        <v>212901001</v>
      </c>
      <c r="G8311" s="2" t="s">
        <v>91</v>
      </c>
      <c r="I8311" s="95" t="s">
        <v>7231</v>
      </c>
      <c r="J8311" t="s">
        <v>61</v>
      </c>
      <c r="K8311" t="s">
        <v>62</v>
      </c>
      <c r="M8311">
        <v>177.61</v>
      </c>
      <c r="N8311" s="4">
        <f t="shared" si="129"/>
        <v>-73.984460334440612</v>
      </c>
      <c r="O8311" t="s">
        <v>83</v>
      </c>
      <c r="Q8311" s="92"/>
      <c r="S8311" t="s">
        <v>4600</v>
      </c>
      <c r="T8311" t="s">
        <v>6400</v>
      </c>
    </row>
    <row r="8312" spans="1:20" x14ac:dyDescent="0.25">
      <c r="A8312" s="22">
        <v>45930</v>
      </c>
      <c r="B8312" s="1">
        <v>318811001</v>
      </c>
      <c r="C8312" t="s">
        <v>6679</v>
      </c>
      <c r="D8312" s="44">
        <v>-13416.15</v>
      </c>
      <c r="E8312" t="s">
        <v>35</v>
      </c>
      <c r="F8312" s="2">
        <v>212901001</v>
      </c>
      <c r="G8312" s="2" t="s">
        <v>91</v>
      </c>
      <c r="I8312" s="95" t="s">
        <v>7231</v>
      </c>
      <c r="J8312" t="s">
        <v>61</v>
      </c>
      <c r="K8312" t="s">
        <v>62</v>
      </c>
      <c r="M8312">
        <v>177.61</v>
      </c>
      <c r="N8312" s="4">
        <f t="shared" si="129"/>
        <v>-75.537131918247837</v>
      </c>
      <c r="O8312" t="s">
        <v>83</v>
      </c>
      <c r="Q8312" s="92"/>
      <c r="S8312" t="s">
        <v>4600</v>
      </c>
      <c r="T8312" t="s">
        <v>6400</v>
      </c>
    </row>
    <row r="8313" spans="1:20" x14ac:dyDescent="0.25">
      <c r="A8313" s="22">
        <v>45930</v>
      </c>
      <c r="B8313" s="1">
        <v>318811003</v>
      </c>
      <c r="C8313" t="s">
        <v>6680</v>
      </c>
      <c r="D8313" s="44">
        <v>-12920.81</v>
      </c>
      <c r="E8313" t="s">
        <v>35</v>
      </c>
      <c r="F8313" s="2">
        <v>212901001</v>
      </c>
      <c r="G8313" s="2" t="s">
        <v>91</v>
      </c>
      <c r="I8313" s="95" t="s">
        <v>7231</v>
      </c>
      <c r="J8313" t="s">
        <v>61</v>
      </c>
      <c r="K8313" t="s">
        <v>62</v>
      </c>
      <c r="M8313">
        <v>177.61</v>
      </c>
      <c r="N8313" s="4">
        <f t="shared" si="129"/>
        <v>-72.748212375429304</v>
      </c>
      <c r="O8313" t="s">
        <v>83</v>
      </c>
      <c r="Q8313" s="92"/>
      <c r="S8313" t="s">
        <v>4600</v>
      </c>
      <c r="T8313" t="s">
        <v>6400</v>
      </c>
    </row>
    <row r="8314" spans="1:20" x14ac:dyDescent="0.25">
      <c r="A8314" s="22">
        <v>45930</v>
      </c>
      <c r="B8314" s="1">
        <v>318811000</v>
      </c>
      <c r="C8314" t="s">
        <v>6681</v>
      </c>
      <c r="D8314" s="44">
        <v>-8506.73</v>
      </c>
      <c r="E8314" t="s">
        <v>35</v>
      </c>
      <c r="F8314" s="2">
        <v>212901001</v>
      </c>
      <c r="G8314" s="2" t="s">
        <v>91</v>
      </c>
      <c r="I8314" s="95" t="s">
        <v>7231</v>
      </c>
      <c r="J8314" t="s">
        <v>61</v>
      </c>
      <c r="K8314" t="s">
        <v>62</v>
      </c>
      <c r="M8314">
        <v>177.61</v>
      </c>
      <c r="N8314" s="4">
        <f t="shared" si="129"/>
        <v>-47.895557682562909</v>
      </c>
      <c r="O8314" t="s">
        <v>83</v>
      </c>
      <c r="Q8314" s="92"/>
      <c r="S8314" t="s">
        <v>4600</v>
      </c>
      <c r="T8314" t="s">
        <v>6400</v>
      </c>
    </row>
    <row r="8315" spans="1:20" x14ac:dyDescent="0.25">
      <c r="A8315" s="22">
        <v>45930</v>
      </c>
      <c r="B8315" s="1">
        <v>318811005</v>
      </c>
      <c r="C8315" t="s">
        <v>6682</v>
      </c>
      <c r="D8315" s="44">
        <v>-12896.22</v>
      </c>
      <c r="E8315" t="s">
        <v>35</v>
      </c>
      <c r="F8315" s="2">
        <v>212901001</v>
      </c>
      <c r="G8315" s="2" t="s">
        <v>91</v>
      </c>
      <c r="I8315" s="95" t="s">
        <v>7231</v>
      </c>
      <c r="J8315" t="s">
        <v>61</v>
      </c>
      <c r="K8315" t="s">
        <v>62</v>
      </c>
      <c r="M8315">
        <v>177.61</v>
      </c>
      <c r="N8315" s="4">
        <f t="shared" si="129"/>
        <v>-72.609762963797081</v>
      </c>
      <c r="O8315" t="s">
        <v>83</v>
      </c>
      <c r="Q8315" s="92"/>
      <c r="S8315" t="s">
        <v>4600</v>
      </c>
      <c r="T8315" t="s">
        <v>6400</v>
      </c>
    </row>
    <row r="8316" spans="1:20" x14ac:dyDescent="0.25">
      <c r="A8316" s="22">
        <v>45930</v>
      </c>
      <c r="B8316" s="1">
        <v>318811004</v>
      </c>
      <c r="C8316" t="s">
        <v>6683</v>
      </c>
      <c r="D8316" s="44">
        <v>-5847.39</v>
      </c>
      <c r="E8316" t="s">
        <v>35</v>
      </c>
      <c r="F8316" s="2">
        <v>212901001</v>
      </c>
      <c r="G8316" s="2" t="s">
        <v>91</v>
      </c>
      <c r="I8316" s="95" t="s">
        <v>7231</v>
      </c>
      <c r="J8316" t="s">
        <v>61</v>
      </c>
      <c r="K8316" t="s">
        <v>62</v>
      </c>
      <c r="M8316">
        <v>177.61</v>
      </c>
      <c r="N8316" s="4">
        <f t="shared" si="129"/>
        <v>-32.922639491019652</v>
      </c>
      <c r="O8316" t="s">
        <v>83</v>
      </c>
      <c r="Q8316" s="92"/>
      <c r="S8316" t="s">
        <v>4600</v>
      </c>
      <c r="T8316" t="s">
        <v>6400</v>
      </c>
    </row>
    <row r="8317" spans="1:20" x14ac:dyDescent="0.25">
      <c r="A8317" s="22">
        <v>45930</v>
      </c>
      <c r="B8317" s="1">
        <v>318811006</v>
      </c>
      <c r="C8317" t="s">
        <v>6684</v>
      </c>
      <c r="D8317" s="44">
        <v>-12738.14</v>
      </c>
      <c r="E8317" t="s">
        <v>35</v>
      </c>
      <c r="F8317" s="2">
        <v>212901001</v>
      </c>
      <c r="G8317" s="2" t="s">
        <v>91</v>
      </c>
      <c r="I8317" s="95" t="s">
        <v>7231</v>
      </c>
      <c r="J8317" t="s">
        <v>61</v>
      </c>
      <c r="K8317" t="s">
        <v>62</v>
      </c>
      <c r="M8317">
        <v>177.61</v>
      </c>
      <c r="N8317" s="4">
        <f t="shared" si="129"/>
        <v>-71.719722988570453</v>
      </c>
      <c r="O8317" t="s">
        <v>83</v>
      </c>
      <c r="Q8317" s="92"/>
      <c r="S8317" t="s">
        <v>4600</v>
      </c>
      <c r="T8317" t="s">
        <v>6400</v>
      </c>
    </row>
    <row r="8318" spans="1:20" x14ac:dyDescent="0.25">
      <c r="A8318" s="22">
        <v>45930</v>
      </c>
      <c r="B8318" s="1">
        <v>318811007</v>
      </c>
      <c r="C8318" t="s">
        <v>6685</v>
      </c>
      <c r="D8318" s="44">
        <v>-69935.05</v>
      </c>
      <c r="E8318" t="s">
        <v>35</v>
      </c>
      <c r="F8318" s="2">
        <v>212901001</v>
      </c>
      <c r="G8318" s="2" t="s">
        <v>91</v>
      </c>
      <c r="I8318" s="95" t="s">
        <v>7231</v>
      </c>
      <c r="J8318" t="s">
        <v>61</v>
      </c>
      <c r="K8318" t="s">
        <v>62</v>
      </c>
      <c r="M8318">
        <v>177.61</v>
      </c>
      <c r="N8318" s="4">
        <f t="shared" si="129"/>
        <v>-393.75626372388939</v>
      </c>
      <c r="O8318" t="s">
        <v>83</v>
      </c>
      <c r="Q8318" s="92"/>
      <c r="S8318" t="s">
        <v>4600</v>
      </c>
      <c r="T8318" t="s">
        <v>6403</v>
      </c>
    </row>
    <row r="8319" spans="1:20" x14ac:dyDescent="0.25">
      <c r="A8319" s="22">
        <v>45930</v>
      </c>
      <c r="B8319" s="1">
        <v>318811008</v>
      </c>
      <c r="C8319" t="s">
        <v>6686</v>
      </c>
      <c r="D8319" s="44">
        <v>-10212.290000000001</v>
      </c>
      <c r="E8319" t="s">
        <v>35</v>
      </c>
      <c r="F8319" s="2">
        <v>212901001</v>
      </c>
      <c r="G8319" s="2" t="s">
        <v>91</v>
      </c>
      <c r="I8319" s="95" t="s">
        <v>7231</v>
      </c>
      <c r="J8319" t="s">
        <v>61</v>
      </c>
      <c r="K8319" t="s">
        <v>62</v>
      </c>
      <c r="M8319">
        <v>177.61</v>
      </c>
      <c r="N8319" s="4">
        <f t="shared" si="129"/>
        <v>-57.498395360621586</v>
      </c>
      <c r="O8319" t="s">
        <v>83</v>
      </c>
      <c r="Q8319" s="92"/>
      <c r="S8319" t="s">
        <v>4600</v>
      </c>
      <c r="T8319" t="s">
        <v>6400</v>
      </c>
    </row>
    <row r="8320" spans="1:20" x14ac:dyDescent="0.25">
      <c r="A8320" s="22">
        <v>45930</v>
      </c>
      <c r="B8320" s="1">
        <v>418811011</v>
      </c>
      <c r="C8320" t="s">
        <v>6687</v>
      </c>
      <c r="D8320" s="44">
        <v>-13727.05</v>
      </c>
      <c r="E8320" t="s">
        <v>35</v>
      </c>
      <c r="F8320" s="2">
        <v>212901001</v>
      </c>
      <c r="G8320" s="2" t="s">
        <v>91</v>
      </c>
      <c r="I8320" s="95" t="s">
        <v>7231</v>
      </c>
      <c r="J8320" t="s">
        <v>61</v>
      </c>
      <c r="K8320" t="s">
        <v>62</v>
      </c>
      <c r="M8320">
        <v>177.61</v>
      </c>
      <c r="N8320" s="4">
        <f t="shared" si="129"/>
        <v>-77.287596419120533</v>
      </c>
      <c r="O8320" t="s">
        <v>83</v>
      </c>
      <c r="Q8320" s="92"/>
      <c r="S8320" t="s">
        <v>4600</v>
      </c>
      <c r="T8320" t="s">
        <v>6400</v>
      </c>
    </row>
    <row r="8321" spans="1:20" x14ac:dyDescent="0.25">
      <c r="A8321" s="22">
        <v>45930</v>
      </c>
      <c r="B8321" s="1">
        <v>418811009</v>
      </c>
      <c r="C8321" t="s">
        <v>6450</v>
      </c>
      <c r="D8321" s="44">
        <v>-12848.8</v>
      </c>
      <c r="E8321" t="s">
        <v>35</v>
      </c>
      <c r="F8321" s="2">
        <v>212901001</v>
      </c>
      <c r="G8321" s="2" t="s">
        <v>91</v>
      </c>
      <c r="I8321" s="95" t="s">
        <v>7231</v>
      </c>
      <c r="J8321" t="s">
        <v>61</v>
      </c>
      <c r="K8321" t="s">
        <v>62</v>
      </c>
      <c r="M8321">
        <v>177.61</v>
      </c>
      <c r="N8321" s="4">
        <f t="shared" si="129"/>
        <v>-72.342773492483516</v>
      </c>
      <c r="O8321" t="s">
        <v>83</v>
      </c>
      <c r="Q8321" s="92"/>
      <c r="S8321" t="s">
        <v>4600</v>
      </c>
      <c r="T8321" t="s">
        <v>6400</v>
      </c>
    </row>
    <row r="8322" spans="1:20" x14ac:dyDescent="0.25">
      <c r="A8322" s="22">
        <v>45930</v>
      </c>
      <c r="B8322" s="1">
        <v>418811010</v>
      </c>
      <c r="C8322" t="s">
        <v>6688</v>
      </c>
      <c r="D8322" s="44">
        <v>-18996.55</v>
      </c>
      <c r="E8322" t="s">
        <v>35</v>
      </c>
      <c r="F8322" s="2">
        <v>212901001</v>
      </c>
      <c r="G8322" s="2" t="s">
        <v>91</v>
      </c>
      <c r="I8322" s="95" t="s">
        <v>7231</v>
      </c>
      <c r="J8322" t="s">
        <v>61</v>
      </c>
      <c r="K8322" t="s">
        <v>62</v>
      </c>
      <c r="M8322">
        <v>177.61</v>
      </c>
      <c r="N8322" s="4">
        <f t="shared" si="129"/>
        <v>-106.95653397894262</v>
      </c>
      <c r="O8322" t="s">
        <v>83</v>
      </c>
      <c r="Q8322" s="92"/>
      <c r="S8322" t="s">
        <v>5465</v>
      </c>
      <c r="T8322" t="s">
        <v>6400</v>
      </c>
    </row>
    <row r="8323" spans="1:20" x14ac:dyDescent="0.25">
      <c r="A8323" s="22">
        <v>45930</v>
      </c>
      <c r="B8323" s="1">
        <v>418811013</v>
      </c>
      <c r="C8323" t="s">
        <v>6689</v>
      </c>
      <c r="D8323" s="44">
        <v>-13029.72</v>
      </c>
      <c r="E8323" t="s">
        <v>35</v>
      </c>
      <c r="F8323" s="2">
        <v>212901001</v>
      </c>
      <c r="G8323" s="2" t="s">
        <v>91</v>
      </c>
      <c r="I8323" s="95" t="s">
        <v>7231</v>
      </c>
      <c r="J8323" t="s">
        <v>61</v>
      </c>
      <c r="K8323" t="s">
        <v>62</v>
      </c>
      <c r="M8323">
        <v>177.61</v>
      </c>
      <c r="N8323" s="4">
        <f t="shared" si="129"/>
        <v>-73.361409830527549</v>
      </c>
      <c r="O8323" t="s">
        <v>83</v>
      </c>
      <c r="Q8323" s="92"/>
      <c r="S8323" t="s">
        <v>4600</v>
      </c>
      <c r="T8323" t="s">
        <v>6400</v>
      </c>
    </row>
    <row r="8324" spans="1:20" x14ac:dyDescent="0.25">
      <c r="A8324" s="22">
        <v>45930</v>
      </c>
      <c r="B8324" s="1">
        <v>418811014</v>
      </c>
      <c r="C8324" t="s">
        <v>6690</v>
      </c>
      <c r="D8324" s="44">
        <v>-17306.79</v>
      </c>
      <c r="E8324" t="s">
        <v>35</v>
      </c>
      <c r="F8324" s="2">
        <v>212901001</v>
      </c>
      <c r="G8324" s="2" t="s">
        <v>91</v>
      </c>
      <c r="I8324" s="95" t="s">
        <v>7231</v>
      </c>
      <c r="J8324" t="s">
        <v>61</v>
      </c>
      <c r="K8324" t="s">
        <v>62</v>
      </c>
      <c r="M8324">
        <v>177.61</v>
      </c>
      <c r="N8324" s="4">
        <f t="shared" si="129"/>
        <v>-97.442655255897748</v>
      </c>
      <c r="O8324" t="s">
        <v>83</v>
      </c>
      <c r="Q8324" s="92"/>
      <c r="S8324" t="s">
        <v>4600</v>
      </c>
      <c r="T8324" t="s">
        <v>6400</v>
      </c>
    </row>
    <row r="8325" spans="1:20" x14ac:dyDescent="0.25">
      <c r="A8325" s="22">
        <v>45930</v>
      </c>
      <c r="B8325" s="1">
        <v>418811012</v>
      </c>
      <c r="C8325" t="s">
        <v>6691</v>
      </c>
      <c r="D8325" s="44">
        <v>-13727.05</v>
      </c>
      <c r="E8325" t="s">
        <v>35</v>
      </c>
      <c r="F8325" s="2">
        <v>212901001</v>
      </c>
      <c r="G8325" s="2" t="s">
        <v>91</v>
      </c>
      <c r="I8325" s="95" t="s">
        <v>7231</v>
      </c>
      <c r="J8325" t="s">
        <v>61</v>
      </c>
      <c r="K8325" t="s">
        <v>62</v>
      </c>
      <c r="M8325">
        <v>177.61</v>
      </c>
      <c r="N8325" s="4">
        <f t="shared" si="129"/>
        <v>-77.287596419120533</v>
      </c>
      <c r="O8325" t="s">
        <v>83</v>
      </c>
      <c r="Q8325" s="92"/>
      <c r="S8325" t="s">
        <v>4600</v>
      </c>
      <c r="T8325" t="s">
        <v>6400</v>
      </c>
    </row>
    <row r="8326" spans="1:20" x14ac:dyDescent="0.25">
      <c r="A8326" s="22">
        <v>45930</v>
      </c>
      <c r="B8326" s="1">
        <v>418811015</v>
      </c>
      <c r="C8326" t="s">
        <v>6692</v>
      </c>
      <c r="D8326" s="44">
        <v>-43587.55</v>
      </c>
      <c r="E8326" t="s">
        <v>35</v>
      </c>
      <c r="F8326" s="2">
        <v>212901001</v>
      </c>
      <c r="G8326" s="2" t="s">
        <v>91</v>
      </c>
      <c r="I8326" s="95" t="s">
        <v>7231</v>
      </c>
      <c r="J8326" t="s">
        <v>61</v>
      </c>
      <c r="K8326" t="s">
        <v>62</v>
      </c>
      <c r="M8326">
        <v>177.61</v>
      </c>
      <c r="N8326" s="4">
        <f t="shared" si="129"/>
        <v>-245.41157592477902</v>
      </c>
      <c r="O8326" t="s">
        <v>83</v>
      </c>
      <c r="Q8326" s="92"/>
      <c r="S8326" t="s">
        <v>5465</v>
      </c>
      <c r="T8326" t="s">
        <v>6400</v>
      </c>
    </row>
    <row r="8327" spans="1:20" x14ac:dyDescent="0.25">
      <c r="A8327" s="22">
        <v>45930</v>
      </c>
      <c r="B8327" s="1">
        <v>518811019</v>
      </c>
      <c r="C8327" t="s">
        <v>6693</v>
      </c>
      <c r="D8327" s="44">
        <v>-18675.11</v>
      </c>
      <c r="E8327" t="s">
        <v>35</v>
      </c>
      <c r="F8327" s="2">
        <v>212901001</v>
      </c>
      <c r="G8327" s="2" t="s">
        <v>91</v>
      </c>
      <c r="I8327" s="95" t="s">
        <v>7231</v>
      </c>
      <c r="J8327" t="s">
        <v>61</v>
      </c>
      <c r="K8327" t="s">
        <v>62</v>
      </c>
      <c r="M8327">
        <v>177.61</v>
      </c>
      <c r="N8327" s="4">
        <f t="shared" si="129"/>
        <v>-105.14672597263667</v>
      </c>
      <c r="O8327" t="s">
        <v>83</v>
      </c>
      <c r="Q8327" s="92"/>
      <c r="S8327" t="s">
        <v>5465</v>
      </c>
      <c r="T8327" t="s">
        <v>6400</v>
      </c>
    </row>
    <row r="8328" spans="1:20" x14ac:dyDescent="0.25">
      <c r="A8328" s="22">
        <v>45930</v>
      </c>
      <c r="B8328" s="1">
        <v>418811016</v>
      </c>
      <c r="C8328" t="s">
        <v>6694</v>
      </c>
      <c r="D8328" s="44">
        <v>-8496.19</v>
      </c>
      <c r="E8328" t="s">
        <v>35</v>
      </c>
      <c r="F8328" s="2">
        <v>212901001</v>
      </c>
      <c r="G8328" s="2" t="s">
        <v>91</v>
      </c>
      <c r="I8328" s="95" t="s">
        <v>7231</v>
      </c>
      <c r="J8328" t="s">
        <v>61</v>
      </c>
      <c r="K8328" t="s">
        <v>62</v>
      </c>
      <c r="M8328">
        <v>177.61</v>
      </c>
      <c r="N8328" s="4">
        <f t="shared" si="129"/>
        <v>-47.836214177129662</v>
      </c>
      <c r="O8328" t="s">
        <v>83</v>
      </c>
      <c r="Q8328" s="92"/>
      <c r="S8328" t="s">
        <v>4600</v>
      </c>
      <c r="T8328" t="s">
        <v>6400</v>
      </c>
    </row>
    <row r="8329" spans="1:20" x14ac:dyDescent="0.25">
      <c r="A8329" s="22">
        <v>45930</v>
      </c>
      <c r="B8329" s="1">
        <v>518811020</v>
      </c>
      <c r="C8329" t="s">
        <v>6695</v>
      </c>
      <c r="D8329" s="44">
        <v>-5847.39</v>
      </c>
      <c r="E8329" t="s">
        <v>35</v>
      </c>
      <c r="F8329" s="2">
        <v>212901001</v>
      </c>
      <c r="G8329" s="2" t="s">
        <v>91</v>
      </c>
      <c r="I8329" s="95" t="s">
        <v>7231</v>
      </c>
      <c r="J8329" t="s">
        <v>61</v>
      </c>
      <c r="K8329" t="s">
        <v>62</v>
      </c>
      <c r="M8329">
        <v>177.61</v>
      </c>
      <c r="N8329" s="4">
        <f t="shared" si="129"/>
        <v>-32.922639491019652</v>
      </c>
      <c r="O8329" t="s">
        <v>83</v>
      </c>
      <c r="Q8329" s="92"/>
      <c r="S8329" t="s">
        <v>5465</v>
      </c>
      <c r="T8329" t="s">
        <v>6400</v>
      </c>
    </row>
    <row r="8330" spans="1:20" x14ac:dyDescent="0.25">
      <c r="A8330" s="22">
        <v>45930</v>
      </c>
      <c r="B8330" s="1">
        <v>518811018</v>
      </c>
      <c r="C8330" t="s">
        <v>6696</v>
      </c>
      <c r="D8330" s="44">
        <v>-12811.91</v>
      </c>
      <c r="E8330" t="s">
        <v>35</v>
      </c>
      <c r="F8330" s="2">
        <v>212901001</v>
      </c>
      <c r="G8330" s="2" t="s">
        <v>91</v>
      </c>
      <c r="I8330" s="95" t="s">
        <v>7231</v>
      </c>
      <c r="J8330" t="s">
        <v>61</v>
      </c>
      <c r="K8330" t="s">
        <v>62</v>
      </c>
      <c r="M8330">
        <v>177.61</v>
      </c>
      <c r="N8330" s="4">
        <f t="shared" si="129"/>
        <v>-72.135071223467136</v>
      </c>
      <c r="O8330" t="s">
        <v>83</v>
      </c>
      <c r="Q8330" s="92"/>
      <c r="S8330" t="s">
        <v>4600</v>
      </c>
      <c r="T8330" t="s">
        <v>6400</v>
      </c>
    </row>
    <row r="8331" spans="1:20" x14ac:dyDescent="0.25">
      <c r="A8331" s="22">
        <v>45930</v>
      </c>
      <c r="B8331" s="1">
        <v>418811017</v>
      </c>
      <c r="C8331" t="s">
        <v>6697</v>
      </c>
      <c r="D8331" s="44">
        <v>-13727.05</v>
      </c>
      <c r="E8331" t="s">
        <v>35</v>
      </c>
      <c r="F8331" s="2">
        <v>212901001</v>
      </c>
      <c r="G8331" s="2" t="s">
        <v>91</v>
      </c>
      <c r="I8331" s="95" t="s">
        <v>7231</v>
      </c>
      <c r="J8331" t="s">
        <v>61</v>
      </c>
      <c r="K8331" t="s">
        <v>62</v>
      </c>
      <c r="M8331">
        <v>177.61</v>
      </c>
      <c r="N8331" s="4">
        <f t="shared" si="129"/>
        <v>-77.287596419120533</v>
      </c>
      <c r="O8331" t="s">
        <v>83</v>
      </c>
      <c r="Q8331" s="92"/>
      <c r="S8331" t="s">
        <v>5465</v>
      </c>
      <c r="T8331" t="s">
        <v>6400</v>
      </c>
    </row>
    <row r="8332" spans="1:20" x14ac:dyDescent="0.25">
      <c r="A8332" s="22">
        <v>45930</v>
      </c>
      <c r="B8332" s="1">
        <v>518811021</v>
      </c>
      <c r="C8332" t="s">
        <v>6698</v>
      </c>
      <c r="D8332" s="44">
        <v>-8485.65</v>
      </c>
      <c r="E8332" t="s">
        <v>35</v>
      </c>
      <c r="F8332" s="2">
        <v>212901001</v>
      </c>
      <c r="G8332" s="2" t="s">
        <v>91</v>
      </c>
      <c r="I8332" s="95" t="s">
        <v>7231</v>
      </c>
      <c r="J8332" t="s">
        <v>61</v>
      </c>
      <c r="K8332" t="s">
        <v>62</v>
      </c>
      <c r="M8332">
        <v>177.61</v>
      </c>
      <c r="N8332" s="4">
        <f t="shared" ref="N8332:N8395" si="130">D8332/M8332</f>
        <v>-47.776870671696408</v>
      </c>
      <c r="O8332" t="s">
        <v>83</v>
      </c>
      <c r="Q8332" s="92"/>
      <c r="S8332" t="s">
        <v>4600</v>
      </c>
      <c r="T8332" t="s">
        <v>6400</v>
      </c>
    </row>
    <row r="8333" spans="1:20" x14ac:dyDescent="0.25">
      <c r="A8333" s="22">
        <v>45930</v>
      </c>
      <c r="B8333" s="1">
        <v>518811022</v>
      </c>
      <c r="C8333" t="s">
        <v>6699</v>
      </c>
      <c r="D8333" s="44">
        <v>-5926.43</v>
      </c>
      <c r="E8333" t="s">
        <v>35</v>
      </c>
      <c r="F8333" s="2">
        <v>212901001</v>
      </c>
      <c r="G8333" s="2" t="s">
        <v>91</v>
      </c>
      <c r="I8333" s="95" t="s">
        <v>7231</v>
      </c>
      <c r="J8333" t="s">
        <v>61</v>
      </c>
      <c r="K8333" t="s">
        <v>62</v>
      </c>
      <c r="M8333">
        <v>177.61</v>
      </c>
      <c r="N8333" s="4">
        <f t="shared" si="130"/>
        <v>-33.367659478632959</v>
      </c>
      <c r="O8333" t="s">
        <v>83</v>
      </c>
      <c r="Q8333" s="92"/>
      <c r="S8333" t="s">
        <v>4600</v>
      </c>
      <c r="T8333" t="s">
        <v>6400</v>
      </c>
    </row>
    <row r="8334" spans="1:20" x14ac:dyDescent="0.25">
      <c r="A8334" s="22">
        <v>45930</v>
      </c>
      <c r="B8334" s="1">
        <v>518811024</v>
      </c>
      <c r="C8334" t="s">
        <v>6700</v>
      </c>
      <c r="D8334" s="44">
        <v>-5743.76</v>
      </c>
      <c r="E8334" t="s">
        <v>35</v>
      </c>
      <c r="F8334" s="2">
        <v>212901001</v>
      </c>
      <c r="G8334" s="2" t="s">
        <v>91</v>
      </c>
      <c r="I8334" s="95" t="s">
        <v>7231</v>
      </c>
      <c r="J8334" t="s">
        <v>61</v>
      </c>
      <c r="K8334" t="s">
        <v>62</v>
      </c>
      <c r="M8334">
        <v>177.61</v>
      </c>
      <c r="N8334" s="4">
        <f t="shared" si="130"/>
        <v>-32.339170091774108</v>
      </c>
      <c r="O8334" t="s">
        <v>83</v>
      </c>
      <c r="Q8334" s="92"/>
      <c r="S8334" t="s">
        <v>4600</v>
      </c>
      <c r="T8334" t="s">
        <v>6400</v>
      </c>
    </row>
    <row r="8335" spans="1:20" x14ac:dyDescent="0.25">
      <c r="A8335" s="22">
        <v>45930</v>
      </c>
      <c r="B8335" s="1">
        <v>518811025</v>
      </c>
      <c r="C8335" t="s">
        <v>6701</v>
      </c>
      <c r="D8335" s="44">
        <v>-12896.22</v>
      </c>
      <c r="E8335" t="s">
        <v>35</v>
      </c>
      <c r="F8335" s="2">
        <v>212901001</v>
      </c>
      <c r="G8335" s="2" t="s">
        <v>91</v>
      </c>
      <c r="I8335" s="95" t="s">
        <v>7231</v>
      </c>
      <c r="J8335" t="s">
        <v>61</v>
      </c>
      <c r="K8335" t="s">
        <v>62</v>
      </c>
      <c r="M8335">
        <v>177.61</v>
      </c>
      <c r="N8335" s="4">
        <f t="shared" si="130"/>
        <v>-72.609762963797081</v>
      </c>
      <c r="O8335" t="s">
        <v>83</v>
      </c>
      <c r="Q8335" s="92"/>
      <c r="S8335" t="s">
        <v>4600</v>
      </c>
      <c r="T8335" t="s">
        <v>6400</v>
      </c>
    </row>
    <row r="8336" spans="1:20" x14ac:dyDescent="0.25">
      <c r="A8336" s="22">
        <v>45930</v>
      </c>
      <c r="B8336" s="1">
        <v>518811023</v>
      </c>
      <c r="C8336" t="s">
        <v>6702</v>
      </c>
      <c r="D8336" s="44">
        <v>-25583.42</v>
      </c>
      <c r="E8336" t="s">
        <v>35</v>
      </c>
      <c r="F8336" s="2">
        <v>212901001</v>
      </c>
      <c r="G8336" s="2" t="s">
        <v>91</v>
      </c>
      <c r="I8336" s="95" t="s">
        <v>7231</v>
      </c>
      <c r="J8336" t="s">
        <v>61</v>
      </c>
      <c r="K8336" t="s">
        <v>62</v>
      </c>
      <c r="M8336">
        <v>177.61</v>
      </c>
      <c r="N8336" s="4">
        <f t="shared" si="130"/>
        <v>-144.04267777715216</v>
      </c>
      <c r="O8336" t="s">
        <v>83</v>
      </c>
      <c r="Q8336" s="92"/>
      <c r="S8336" t="s">
        <v>5465</v>
      </c>
      <c r="T8336" t="s">
        <v>6400</v>
      </c>
    </row>
    <row r="8337" spans="1:20" x14ac:dyDescent="0.25">
      <c r="A8337" s="22">
        <v>45930</v>
      </c>
      <c r="B8337" s="1">
        <v>618811027</v>
      </c>
      <c r="C8337" t="s">
        <v>6703</v>
      </c>
      <c r="D8337" s="44">
        <v>-13474.11</v>
      </c>
      <c r="E8337" t="s">
        <v>35</v>
      </c>
      <c r="F8337" s="2">
        <v>212901001</v>
      </c>
      <c r="G8337" s="2" t="s">
        <v>91</v>
      </c>
      <c r="I8337" s="95" t="s">
        <v>7231</v>
      </c>
      <c r="J8337" t="s">
        <v>61</v>
      </c>
      <c r="K8337" t="s">
        <v>62</v>
      </c>
      <c r="M8337">
        <v>177.61</v>
      </c>
      <c r="N8337" s="4">
        <f t="shared" si="130"/>
        <v>-75.86346489499465</v>
      </c>
      <c r="O8337" t="s">
        <v>83</v>
      </c>
      <c r="Q8337" s="92"/>
      <c r="S8337" t="s">
        <v>4600</v>
      </c>
      <c r="T8337" t="s">
        <v>6400</v>
      </c>
    </row>
    <row r="8338" spans="1:20" x14ac:dyDescent="0.25">
      <c r="A8338" s="22">
        <v>45930</v>
      </c>
      <c r="B8338" s="1">
        <v>618811028</v>
      </c>
      <c r="C8338" t="s">
        <v>6704</v>
      </c>
      <c r="D8338" s="44">
        <v>-12896.22</v>
      </c>
      <c r="E8338" t="s">
        <v>35</v>
      </c>
      <c r="F8338" s="2">
        <v>212901001</v>
      </c>
      <c r="G8338" s="2" t="s">
        <v>91</v>
      </c>
      <c r="I8338" s="95" t="s">
        <v>7231</v>
      </c>
      <c r="J8338" t="s">
        <v>61</v>
      </c>
      <c r="K8338" t="s">
        <v>62</v>
      </c>
      <c r="M8338">
        <v>177.61</v>
      </c>
      <c r="N8338" s="4">
        <f t="shared" si="130"/>
        <v>-72.609762963797081</v>
      </c>
      <c r="O8338" t="s">
        <v>83</v>
      </c>
      <c r="Q8338" s="92"/>
      <c r="S8338" t="s">
        <v>4600</v>
      </c>
      <c r="T8338" t="s">
        <v>6400</v>
      </c>
    </row>
    <row r="8339" spans="1:20" x14ac:dyDescent="0.25">
      <c r="A8339" s="22">
        <v>45930</v>
      </c>
      <c r="B8339" s="1">
        <v>618811026</v>
      </c>
      <c r="C8339" t="s">
        <v>6705</v>
      </c>
      <c r="D8339" s="44">
        <v>-6727.4</v>
      </c>
      <c r="E8339" t="s">
        <v>35</v>
      </c>
      <c r="F8339" s="2">
        <v>212901001</v>
      </c>
      <c r="G8339" s="2" t="s">
        <v>91</v>
      </c>
      <c r="I8339" s="95" t="s">
        <v>7231</v>
      </c>
      <c r="J8339" t="s">
        <v>61</v>
      </c>
      <c r="K8339" t="s">
        <v>62</v>
      </c>
      <c r="M8339">
        <v>177.61</v>
      </c>
      <c r="N8339" s="4">
        <f t="shared" si="130"/>
        <v>-37.877371769607564</v>
      </c>
      <c r="O8339" t="s">
        <v>83</v>
      </c>
      <c r="Q8339" s="92"/>
      <c r="S8339" t="s">
        <v>4600</v>
      </c>
      <c r="T8339" t="s">
        <v>6400</v>
      </c>
    </row>
    <row r="8340" spans="1:20" x14ac:dyDescent="0.25">
      <c r="A8340" s="22">
        <v>45930</v>
      </c>
      <c r="B8340" s="1">
        <v>618811031</v>
      </c>
      <c r="C8340" t="s">
        <v>6706</v>
      </c>
      <c r="D8340" s="44">
        <v>-7026</v>
      </c>
      <c r="E8340" t="s">
        <v>35</v>
      </c>
      <c r="F8340" s="2">
        <v>212901001</v>
      </c>
      <c r="G8340" s="2" t="s">
        <v>91</v>
      </c>
      <c r="I8340" s="95" t="s">
        <v>7231</v>
      </c>
      <c r="J8340" t="s">
        <v>61</v>
      </c>
      <c r="K8340" t="s">
        <v>62</v>
      </c>
      <c r="M8340">
        <v>177.61</v>
      </c>
      <c r="N8340" s="4">
        <f t="shared" si="130"/>
        <v>-39.558583413096109</v>
      </c>
      <c r="O8340" t="s">
        <v>83</v>
      </c>
      <c r="Q8340" s="92"/>
      <c r="S8340" t="s">
        <v>4600</v>
      </c>
      <c r="T8340" t="s">
        <v>6403</v>
      </c>
    </row>
    <row r="8341" spans="1:20" x14ac:dyDescent="0.25">
      <c r="A8341" s="22">
        <v>45930</v>
      </c>
      <c r="B8341" s="1">
        <v>618811032</v>
      </c>
      <c r="C8341" t="s">
        <v>6707</v>
      </c>
      <c r="D8341" s="44">
        <v>-7026</v>
      </c>
      <c r="E8341" t="s">
        <v>35</v>
      </c>
      <c r="F8341" s="2">
        <v>212901001</v>
      </c>
      <c r="G8341" s="2" t="s">
        <v>91</v>
      </c>
      <c r="I8341" s="95" t="s">
        <v>7231</v>
      </c>
      <c r="J8341" t="s">
        <v>61</v>
      </c>
      <c r="K8341" t="s">
        <v>62</v>
      </c>
      <c r="M8341">
        <v>177.61</v>
      </c>
      <c r="N8341" s="4">
        <f t="shared" si="130"/>
        <v>-39.558583413096109</v>
      </c>
      <c r="O8341" t="s">
        <v>83</v>
      </c>
      <c r="Q8341" s="92"/>
      <c r="S8341" t="s">
        <v>4600</v>
      </c>
      <c r="T8341" t="s">
        <v>6403</v>
      </c>
    </row>
    <row r="8342" spans="1:20" x14ac:dyDescent="0.25">
      <c r="A8342" s="22">
        <v>45930</v>
      </c>
      <c r="B8342" s="1">
        <v>618811029</v>
      </c>
      <c r="C8342" t="s">
        <v>6708</v>
      </c>
      <c r="D8342" s="44">
        <v>-13140.38</v>
      </c>
      <c r="E8342" t="s">
        <v>35</v>
      </c>
      <c r="F8342" s="2">
        <v>212901001</v>
      </c>
      <c r="G8342" s="2" t="s">
        <v>91</v>
      </c>
      <c r="I8342" s="95" t="s">
        <v>7231</v>
      </c>
      <c r="J8342" t="s">
        <v>61</v>
      </c>
      <c r="K8342" t="s">
        <v>62</v>
      </c>
      <c r="M8342">
        <v>177.61</v>
      </c>
      <c r="N8342" s="4">
        <f t="shared" si="130"/>
        <v>-73.984460334440612</v>
      </c>
      <c r="O8342" t="s">
        <v>83</v>
      </c>
      <c r="Q8342" s="92"/>
      <c r="S8342" t="s">
        <v>4600</v>
      </c>
      <c r="T8342" t="s">
        <v>6400</v>
      </c>
    </row>
    <row r="8343" spans="1:20" x14ac:dyDescent="0.25">
      <c r="A8343" s="22">
        <v>45930</v>
      </c>
      <c r="B8343" s="1">
        <v>618811030</v>
      </c>
      <c r="C8343" t="s">
        <v>6709</v>
      </c>
      <c r="D8343" s="44">
        <v>-7026</v>
      </c>
      <c r="E8343" t="s">
        <v>35</v>
      </c>
      <c r="F8343" s="2">
        <v>212901001</v>
      </c>
      <c r="G8343" s="2" t="s">
        <v>91</v>
      </c>
      <c r="I8343" s="95" t="s">
        <v>7231</v>
      </c>
      <c r="J8343" t="s">
        <v>61</v>
      </c>
      <c r="K8343" t="s">
        <v>62</v>
      </c>
      <c r="M8343">
        <v>177.61</v>
      </c>
      <c r="N8343" s="4">
        <f t="shared" si="130"/>
        <v>-39.558583413096109</v>
      </c>
      <c r="O8343" t="s">
        <v>83</v>
      </c>
      <c r="Q8343" s="92"/>
      <c r="S8343" t="s">
        <v>5465</v>
      </c>
      <c r="T8343" t="s">
        <v>6400</v>
      </c>
    </row>
    <row r="8344" spans="1:20" x14ac:dyDescent="0.25">
      <c r="A8344" s="22">
        <v>45930</v>
      </c>
      <c r="B8344" s="1">
        <v>718811036</v>
      </c>
      <c r="C8344" t="s">
        <v>6710</v>
      </c>
      <c r="D8344" s="44">
        <v>-7026</v>
      </c>
      <c r="E8344" t="s">
        <v>35</v>
      </c>
      <c r="F8344" s="2">
        <v>212901001</v>
      </c>
      <c r="G8344" s="2" t="s">
        <v>91</v>
      </c>
      <c r="I8344" s="95" t="s">
        <v>7231</v>
      </c>
      <c r="J8344" t="s">
        <v>61</v>
      </c>
      <c r="K8344" t="s">
        <v>62</v>
      </c>
      <c r="M8344">
        <v>177.61</v>
      </c>
      <c r="N8344" s="4">
        <f t="shared" si="130"/>
        <v>-39.558583413096109</v>
      </c>
      <c r="O8344" t="s">
        <v>83</v>
      </c>
      <c r="Q8344" s="92"/>
      <c r="S8344" t="s">
        <v>5465</v>
      </c>
      <c r="T8344" t="s">
        <v>6400</v>
      </c>
    </row>
    <row r="8345" spans="1:20" x14ac:dyDescent="0.25">
      <c r="A8345" s="22">
        <v>45930</v>
      </c>
      <c r="B8345" s="1">
        <v>718811037</v>
      </c>
      <c r="C8345" t="s">
        <v>6711</v>
      </c>
      <c r="D8345" s="44">
        <v>-7026</v>
      </c>
      <c r="E8345" t="s">
        <v>35</v>
      </c>
      <c r="F8345" s="2">
        <v>212901001</v>
      </c>
      <c r="G8345" s="2" t="s">
        <v>91</v>
      </c>
      <c r="I8345" s="95" t="s">
        <v>7231</v>
      </c>
      <c r="J8345" t="s">
        <v>61</v>
      </c>
      <c r="K8345" t="s">
        <v>62</v>
      </c>
      <c r="M8345">
        <v>177.61</v>
      </c>
      <c r="N8345" s="4">
        <f t="shared" si="130"/>
        <v>-39.558583413096109</v>
      </c>
      <c r="O8345" t="s">
        <v>83</v>
      </c>
      <c r="Q8345" s="92"/>
      <c r="S8345" t="s">
        <v>4600</v>
      </c>
      <c r="T8345" t="s">
        <v>6403</v>
      </c>
    </row>
    <row r="8346" spans="1:20" x14ac:dyDescent="0.25">
      <c r="A8346" s="22">
        <v>45930</v>
      </c>
      <c r="B8346" s="1">
        <v>618811034</v>
      </c>
      <c r="C8346" t="s">
        <v>6712</v>
      </c>
      <c r="D8346" s="44">
        <v>-7026</v>
      </c>
      <c r="E8346" t="s">
        <v>35</v>
      </c>
      <c r="F8346" s="2">
        <v>212901001</v>
      </c>
      <c r="G8346" s="2" t="s">
        <v>91</v>
      </c>
      <c r="I8346" s="95" t="s">
        <v>7231</v>
      </c>
      <c r="J8346" t="s">
        <v>61</v>
      </c>
      <c r="K8346" t="s">
        <v>62</v>
      </c>
      <c r="M8346">
        <v>177.61</v>
      </c>
      <c r="N8346" s="4">
        <f t="shared" si="130"/>
        <v>-39.558583413096109</v>
      </c>
      <c r="O8346" t="s">
        <v>83</v>
      </c>
      <c r="Q8346" s="92"/>
      <c r="S8346" t="s">
        <v>5465</v>
      </c>
      <c r="T8346" t="s">
        <v>6400</v>
      </c>
    </row>
    <row r="8347" spans="1:20" x14ac:dyDescent="0.25">
      <c r="A8347" s="22">
        <v>45930</v>
      </c>
      <c r="B8347" s="1">
        <v>718811039</v>
      </c>
      <c r="C8347" t="s">
        <v>6713</v>
      </c>
      <c r="D8347" s="44">
        <v>-7026</v>
      </c>
      <c r="E8347" t="s">
        <v>35</v>
      </c>
      <c r="F8347" s="2">
        <v>212901001</v>
      </c>
      <c r="G8347" s="2" t="s">
        <v>91</v>
      </c>
      <c r="I8347" s="95" t="s">
        <v>7231</v>
      </c>
      <c r="J8347" t="s">
        <v>61</v>
      </c>
      <c r="K8347" t="s">
        <v>62</v>
      </c>
      <c r="M8347">
        <v>177.61</v>
      </c>
      <c r="N8347" s="4">
        <f t="shared" si="130"/>
        <v>-39.558583413096109</v>
      </c>
      <c r="O8347" t="s">
        <v>83</v>
      </c>
      <c r="Q8347" s="92"/>
      <c r="S8347" t="s">
        <v>4600</v>
      </c>
      <c r="T8347" t="s">
        <v>6400</v>
      </c>
    </row>
    <row r="8348" spans="1:20" x14ac:dyDescent="0.25">
      <c r="A8348" s="22">
        <v>45930</v>
      </c>
      <c r="B8348" s="1">
        <v>618811033</v>
      </c>
      <c r="C8348" t="s">
        <v>6714</v>
      </c>
      <c r="D8348" s="44">
        <v>-7026</v>
      </c>
      <c r="E8348" t="s">
        <v>35</v>
      </c>
      <c r="F8348" s="2">
        <v>212901001</v>
      </c>
      <c r="G8348" s="2" t="s">
        <v>91</v>
      </c>
      <c r="I8348" s="95" t="s">
        <v>7231</v>
      </c>
      <c r="J8348" t="s">
        <v>61</v>
      </c>
      <c r="K8348" t="s">
        <v>62</v>
      </c>
      <c r="M8348">
        <v>177.61</v>
      </c>
      <c r="N8348" s="4">
        <f t="shared" si="130"/>
        <v>-39.558583413096109</v>
      </c>
      <c r="O8348" t="s">
        <v>83</v>
      </c>
      <c r="Q8348" s="92"/>
      <c r="S8348" t="s">
        <v>4600</v>
      </c>
      <c r="T8348" t="s">
        <v>6400</v>
      </c>
    </row>
    <row r="8349" spans="1:20" x14ac:dyDescent="0.25">
      <c r="A8349" s="22">
        <v>45930</v>
      </c>
      <c r="B8349" s="1">
        <v>718811035</v>
      </c>
      <c r="C8349" t="s">
        <v>6715</v>
      </c>
      <c r="D8349" s="44">
        <v>-7026</v>
      </c>
      <c r="E8349" t="s">
        <v>35</v>
      </c>
      <c r="F8349" s="2">
        <v>212901001</v>
      </c>
      <c r="G8349" s="2" t="s">
        <v>91</v>
      </c>
      <c r="I8349" s="95" t="s">
        <v>7231</v>
      </c>
      <c r="J8349" t="s">
        <v>61</v>
      </c>
      <c r="K8349" t="s">
        <v>62</v>
      </c>
      <c r="M8349">
        <v>177.61</v>
      </c>
      <c r="N8349" s="4">
        <f t="shared" si="130"/>
        <v>-39.558583413096109</v>
      </c>
      <c r="O8349" t="s">
        <v>83</v>
      </c>
      <c r="Q8349" s="92"/>
      <c r="S8349" t="s">
        <v>4600</v>
      </c>
      <c r="T8349" t="s">
        <v>6400</v>
      </c>
    </row>
    <row r="8350" spans="1:20" x14ac:dyDescent="0.25">
      <c r="A8350" s="22">
        <v>45930</v>
      </c>
      <c r="B8350" s="1">
        <v>718811040</v>
      </c>
      <c r="C8350" t="s">
        <v>6716</v>
      </c>
      <c r="D8350" s="44">
        <v>-7026</v>
      </c>
      <c r="E8350" t="s">
        <v>35</v>
      </c>
      <c r="F8350" s="2">
        <v>212901001</v>
      </c>
      <c r="G8350" s="2" t="s">
        <v>91</v>
      </c>
      <c r="I8350" s="95" t="s">
        <v>7231</v>
      </c>
      <c r="J8350" t="s">
        <v>61</v>
      </c>
      <c r="K8350" t="s">
        <v>62</v>
      </c>
      <c r="M8350">
        <v>177.61</v>
      </c>
      <c r="N8350" s="4">
        <f t="shared" si="130"/>
        <v>-39.558583413096109</v>
      </c>
      <c r="O8350" t="s">
        <v>83</v>
      </c>
      <c r="Q8350" s="92"/>
      <c r="S8350" t="s">
        <v>4600</v>
      </c>
      <c r="T8350" t="s">
        <v>6400</v>
      </c>
    </row>
    <row r="8351" spans="1:20" x14ac:dyDescent="0.25">
      <c r="A8351" s="22">
        <v>45930</v>
      </c>
      <c r="B8351" s="1">
        <v>718811038</v>
      </c>
      <c r="C8351" t="s">
        <v>6717</v>
      </c>
      <c r="D8351" s="44">
        <v>-7026</v>
      </c>
      <c r="E8351" t="s">
        <v>35</v>
      </c>
      <c r="F8351" s="2">
        <v>212901001</v>
      </c>
      <c r="G8351" s="2" t="s">
        <v>91</v>
      </c>
      <c r="I8351" s="95" t="s">
        <v>7231</v>
      </c>
      <c r="J8351" t="s">
        <v>61</v>
      </c>
      <c r="K8351" t="s">
        <v>62</v>
      </c>
      <c r="M8351">
        <v>177.61</v>
      </c>
      <c r="N8351" s="4">
        <f t="shared" si="130"/>
        <v>-39.558583413096109</v>
      </c>
      <c r="O8351" t="s">
        <v>83</v>
      </c>
      <c r="Q8351" s="92"/>
      <c r="S8351" t="s">
        <v>4600</v>
      </c>
      <c r="T8351" t="s">
        <v>6400</v>
      </c>
    </row>
    <row r="8352" spans="1:20" x14ac:dyDescent="0.25">
      <c r="A8352" s="22">
        <v>45930</v>
      </c>
      <c r="B8352" s="1">
        <v>718811041</v>
      </c>
      <c r="C8352" t="s">
        <v>6718</v>
      </c>
      <c r="D8352" s="44">
        <v>-7026</v>
      </c>
      <c r="E8352" t="s">
        <v>35</v>
      </c>
      <c r="F8352" s="2">
        <v>212901001</v>
      </c>
      <c r="G8352" s="2" t="s">
        <v>91</v>
      </c>
      <c r="I8352" s="95" t="s">
        <v>7231</v>
      </c>
      <c r="J8352" t="s">
        <v>61</v>
      </c>
      <c r="K8352" t="s">
        <v>62</v>
      </c>
      <c r="M8352">
        <v>177.61</v>
      </c>
      <c r="N8352" s="4">
        <f t="shared" si="130"/>
        <v>-39.558583413096109</v>
      </c>
      <c r="O8352" t="s">
        <v>83</v>
      </c>
      <c r="Q8352" s="92"/>
      <c r="S8352" t="s">
        <v>4600</v>
      </c>
      <c r="T8352" t="s">
        <v>6400</v>
      </c>
    </row>
    <row r="8353" spans="1:20" x14ac:dyDescent="0.25">
      <c r="A8353" s="22">
        <v>45930</v>
      </c>
      <c r="B8353" s="1">
        <v>718811042</v>
      </c>
      <c r="C8353" t="s">
        <v>6719</v>
      </c>
      <c r="D8353" s="44">
        <v>-7026</v>
      </c>
      <c r="E8353" t="s">
        <v>35</v>
      </c>
      <c r="F8353" s="2">
        <v>212901001</v>
      </c>
      <c r="G8353" s="2" t="s">
        <v>91</v>
      </c>
      <c r="I8353" s="95" t="s">
        <v>7231</v>
      </c>
      <c r="J8353" t="s">
        <v>61</v>
      </c>
      <c r="K8353" t="s">
        <v>62</v>
      </c>
      <c r="M8353">
        <v>177.61</v>
      </c>
      <c r="N8353" s="4">
        <f t="shared" si="130"/>
        <v>-39.558583413096109</v>
      </c>
      <c r="O8353" t="s">
        <v>83</v>
      </c>
      <c r="Q8353" s="92"/>
      <c r="S8353" t="s">
        <v>4600</v>
      </c>
      <c r="T8353" t="s">
        <v>6400</v>
      </c>
    </row>
    <row r="8354" spans="1:20" x14ac:dyDescent="0.25">
      <c r="A8354" s="22">
        <v>45930</v>
      </c>
      <c r="B8354" s="1">
        <v>818811044</v>
      </c>
      <c r="C8354" t="s">
        <v>6720</v>
      </c>
      <c r="D8354" s="44">
        <v>-7026</v>
      </c>
      <c r="E8354" t="s">
        <v>35</v>
      </c>
      <c r="F8354" s="2">
        <v>212901001</v>
      </c>
      <c r="G8354" s="2" t="s">
        <v>91</v>
      </c>
      <c r="I8354" s="95" t="s">
        <v>7231</v>
      </c>
      <c r="J8354" t="s">
        <v>61</v>
      </c>
      <c r="K8354" t="s">
        <v>62</v>
      </c>
      <c r="M8354">
        <v>177.61</v>
      </c>
      <c r="N8354" s="4">
        <f t="shared" si="130"/>
        <v>-39.558583413096109</v>
      </c>
      <c r="O8354" t="s">
        <v>83</v>
      </c>
      <c r="Q8354" s="92"/>
      <c r="S8354" t="s">
        <v>4600</v>
      </c>
      <c r="T8354" t="s">
        <v>6400</v>
      </c>
    </row>
    <row r="8355" spans="1:20" x14ac:dyDescent="0.25">
      <c r="A8355" s="22">
        <v>45930</v>
      </c>
      <c r="B8355" s="1">
        <v>718811043</v>
      </c>
      <c r="C8355" t="s">
        <v>6721</v>
      </c>
      <c r="D8355" s="44">
        <v>-7026</v>
      </c>
      <c r="E8355" t="s">
        <v>35</v>
      </c>
      <c r="F8355" s="2">
        <v>212901001</v>
      </c>
      <c r="G8355" s="2" t="s">
        <v>91</v>
      </c>
      <c r="I8355" s="95" t="s">
        <v>7231</v>
      </c>
      <c r="J8355" t="s">
        <v>61</v>
      </c>
      <c r="K8355" t="s">
        <v>62</v>
      </c>
      <c r="M8355">
        <v>177.61</v>
      </c>
      <c r="N8355" s="4">
        <f t="shared" si="130"/>
        <v>-39.558583413096109</v>
      </c>
      <c r="O8355" t="s">
        <v>83</v>
      </c>
      <c r="Q8355" s="92"/>
      <c r="S8355" t="s">
        <v>4600</v>
      </c>
      <c r="T8355" t="s">
        <v>6400</v>
      </c>
    </row>
    <row r="8356" spans="1:20" x14ac:dyDescent="0.25">
      <c r="A8356" s="22">
        <v>45930</v>
      </c>
      <c r="B8356" s="1">
        <v>818811045</v>
      </c>
      <c r="C8356" t="s">
        <v>6722</v>
      </c>
      <c r="D8356" s="44">
        <v>-7026</v>
      </c>
      <c r="E8356" t="s">
        <v>35</v>
      </c>
      <c r="F8356" s="2">
        <v>212901001</v>
      </c>
      <c r="G8356" s="2" t="s">
        <v>91</v>
      </c>
      <c r="I8356" s="95" t="s">
        <v>7231</v>
      </c>
      <c r="J8356" t="s">
        <v>61</v>
      </c>
      <c r="K8356" t="s">
        <v>62</v>
      </c>
      <c r="M8356">
        <v>177.61</v>
      </c>
      <c r="N8356" s="4">
        <f t="shared" si="130"/>
        <v>-39.558583413096109</v>
      </c>
      <c r="O8356" t="s">
        <v>83</v>
      </c>
      <c r="Q8356" s="92"/>
      <c r="S8356" t="s">
        <v>4600</v>
      </c>
      <c r="T8356" t="s">
        <v>6400</v>
      </c>
    </row>
    <row r="8357" spans="1:20" x14ac:dyDescent="0.25">
      <c r="A8357" s="22">
        <v>45930</v>
      </c>
      <c r="B8357" s="1">
        <v>818811046</v>
      </c>
      <c r="C8357" t="s">
        <v>6723</v>
      </c>
      <c r="D8357" s="44">
        <v>-7026</v>
      </c>
      <c r="E8357" t="s">
        <v>35</v>
      </c>
      <c r="F8357" s="2">
        <v>212901001</v>
      </c>
      <c r="G8357" s="2" t="s">
        <v>91</v>
      </c>
      <c r="I8357" s="95" t="s">
        <v>7231</v>
      </c>
      <c r="J8357" t="s">
        <v>61</v>
      </c>
      <c r="K8357" t="s">
        <v>62</v>
      </c>
      <c r="M8357">
        <v>177.61</v>
      </c>
      <c r="N8357" s="4">
        <f t="shared" si="130"/>
        <v>-39.558583413096109</v>
      </c>
      <c r="O8357" t="s">
        <v>83</v>
      </c>
      <c r="Q8357" s="92"/>
      <c r="S8357" t="s">
        <v>4600</v>
      </c>
      <c r="T8357" t="s">
        <v>6403</v>
      </c>
    </row>
    <row r="8358" spans="1:20" x14ac:dyDescent="0.25">
      <c r="A8358" s="22">
        <v>45930</v>
      </c>
      <c r="B8358" s="1">
        <v>818811047</v>
      </c>
      <c r="C8358" t="s">
        <v>6724</v>
      </c>
      <c r="D8358" s="44">
        <v>-7026</v>
      </c>
      <c r="E8358" t="s">
        <v>35</v>
      </c>
      <c r="F8358" s="2">
        <v>212901001</v>
      </c>
      <c r="G8358" s="2" t="s">
        <v>91</v>
      </c>
      <c r="I8358" s="95" t="s">
        <v>7231</v>
      </c>
      <c r="J8358" t="s">
        <v>61</v>
      </c>
      <c r="K8358" t="s">
        <v>62</v>
      </c>
      <c r="M8358">
        <v>177.61</v>
      </c>
      <c r="N8358" s="4">
        <f t="shared" si="130"/>
        <v>-39.558583413096109</v>
      </c>
      <c r="O8358" t="s">
        <v>83</v>
      </c>
      <c r="Q8358" s="92"/>
      <c r="S8358" t="s">
        <v>4600</v>
      </c>
      <c r="T8358" t="s">
        <v>6400</v>
      </c>
    </row>
    <row r="8359" spans="1:20" x14ac:dyDescent="0.25">
      <c r="A8359" s="22">
        <v>45930</v>
      </c>
      <c r="B8359" s="1">
        <v>818811048</v>
      </c>
      <c r="C8359" t="s">
        <v>6725</v>
      </c>
      <c r="D8359" s="44">
        <v>-7026</v>
      </c>
      <c r="E8359" t="s">
        <v>35</v>
      </c>
      <c r="F8359" s="2">
        <v>212901001</v>
      </c>
      <c r="G8359" s="2" t="s">
        <v>91</v>
      </c>
      <c r="I8359" s="95" t="s">
        <v>7231</v>
      </c>
      <c r="J8359" t="s">
        <v>61</v>
      </c>
      <c r="K8359" t="s">
        <v>62</v>
      </c>
      <c r="M8359">
        <v>177.61</v>
      </c>
      <c r="N8359" s="4">
        <f t="shared" si="130"/>
        <v>-39.558583413096109</v>
      </c>
      <c r="O8359" t="s">
        <v>83</v>
      </c>
      <c r="Q8359" s="92"/>
      <c r="S8359" t="s">
        <v>4600</v>
      </c>
      <c r="T8359" t="s">
        <v>6400</v>
      </c>
    </row>
    <row r="8360" spans="1:20" x14ac:dyDescent="0.25">
      <c r="A8360" s="22">
        <v>45930</v>
      </c>
      <c r="B8360" s="1">
        <v>818811051</v>
      </c>
      <c r="C8360" t="s">
        <v>6726</v>
      </c>
      <c r="D8360" s="44">
        <v>-7026</v>
      </c>
      <c r="E8360" t="s">
        <v>35</v>
      </c>
      <c r="F8360" s="2">
        <v>212901001</v>
      </c>
      <c r="G8360" s="2" t="s">
        <v>91</v>
      </c>
      <c r="I8360" s="95" t="s">
        <v>7231</v>
      </c>
      <c r="J8360" t="s">
        <v>61</v>
      </c>
      <c r="K8360" t="s">
        <v>62</v>
      </c>
      <c r="M8360">
        <v>177.61</v>
      </c>
      <c r="N8360" s="4">
        <f t="shared" si="130"/>
        <v>-39.558583413096109</v>
      </c>
      <c r="O8360" t="s">
        <v>83</v>
      </c>
      <c r="Q8360" s="92"/>
      <c r="S8360" t="s">
        <v>5465</v>
      </c>
      <c r="T8360" t="s">
        <v>6400</v>
      </c>
    </row>
    <row r="8361" spans="1:20" x14ac:dyDescent="0.25">
      <c r="A8361" s="22">
        <v>45930</v>
      </c>
      <c r="B8361" s="1">
        <v>918811053</v>
      </c>
      <c r="C8361" t="s">
        <v>6727</v>
      </c>
      <c r="D8361" s="44">
        <v>-7026</v>
      </c>
      <c r="E8361" t="s">
        <v>35</v>
      </c>
      <c r="F8361" s="2">
        <v>212901001</v>
      </c>
      <c r="G8361" s="2" t="s">
        <v>91</v>
      </c>
      <c r="I8361" s="95" t="s">
        <v>7231</v>
      </c>
      <c r="J8361" t="s">
        <v>61</v>
      </c>
      <c r="K8361" t="s">
        <v>62</v>
      </c>
      <c r="M8361">
        <v>177.61</v>
      </c>
      <c r="N8361" s="4">
        <f t="shared" si="130"/>
        <v>-39.558583413096109</v>
      </c>
      <c r="O8361" t="s">
        <v>83</v>
      </c>
      <c r="Q8361" s="92"/>
      <c r="S8361" t="s">
        <v>4600</v>
      </c>
      <c r="T8361" t="s">
        <v>6400</v>
      </c>
    </row>
    <row r="8362" spans="1:20" x14ac:dyDescent="0.25">
      <c r="A8362" s="22">
        <v>45930</v>
      </c>
      <c r="B8362" s="1">
        <v>818811049</v>
      </c>
      <c r="C8362" t="s">
        <v>6728</v>
      </c>
      <c r="D8362" s="44">
        <v>-7026</v>
      </c>
      <c r="E8362" t="s">
        <v>35</v>
      </c>
      <c r="F8362" s="2">
        <v>212901001</v>
      </c>
      <c r="G8362" s="2" t="s">
        <v>91</v>
      </c>
      <c r="I8362" s="95" t="s">
        <v>7231</v>
      </c>
      <c r="J8362" t="s">
        <v>61</v>
      </c>
      <c r="K8362" t="s">
        <v>62</v>
      </c>
      <c r="M8362">
        <v>177.61</v>
      </c>
      <c r="N8362" s="4">
        <f t="shared" si="130"/>
        <v>-39.558583413096109</v>
      </c>
      <c r="O8362" t="s">
        <v>83</v>
      </c>
      <c r="Q8362" s="92"/>
      <c r="S8362" t="s">
        <v>4600</v>
      </c>
      <c r="T8362" t="s">
        <v>6400</v>
      </c>
    </row>
    <row r="8363" spans="1:20" x14ac:dyDescent="0.25">
      <c r="A8363" s="22">
        <v>45930</v>
      </c>
      <c r="B8363" s="1">
        <v>818811052</v>
      </c>
      <c r="C8363" t="s">
        <v>6729</v>
      </c>
      <c r="D8363" s="44">
        <v>-7026</v>
      </c>
      <c r="E8363" t="s">
        <v>35</v>
      </c>
      <c r="F8363" s="2">
        <v>212901001</v>
      </c>
      <c r="G8363" s="2" t="s">
        <v>91</v>
      </c>
      <c r="I8363" s="95" t="s">
        <v>7231</v>
      </c>
      <c r="J8363" t="s">
        <v>61</v>
      </c>
      <c r="K8363" t="s">
        <v>62</v>
      </c>
      <c r="M8363">
        <v>177.61</v>
      </c>
      <c r="N8363" s="4">
        <f t="shared" si="130"/>
        <v>-39.558583413096109</v>
      </c>
      <c r="O8363" t="s">
        <v>83</v>
      </c>
      <c r="Q8363" s="92"/>
      <c r="S8363" t="s">
        <v>4600</v>
      </c>
      <c r="T8363" t="s">
        <v>6400</v>
      </c>
    </row>
    <row r="8364" spans="1:20" x14ac:dyDescent="0.25">
      <c r="A8364" s="22">
        <v>45930</v>
      </c>
      <c r="B8364" s="1">
        <v>918811054</v>
      </c>
      <c r="C8364" t="s">
        <v>6730</v>
      </c>
      <c r="D8364" s="44">
        <v>-7026</v>
      </c>
      <c r="E8364" t="s">
        <v>35</v>
      </c>
      <c r="F8364" s="2">
        <v>212901001</v>
      </c>
      <c r="G8364" s="2" t="s">
        <v>91</v>
      </c>
      <c r="I8364" s="95" t="s">
        <v>7231</v>
      </c>
      <c r="J8364" t="s">
        <v>61</v>
      </c>
      <c r="K8364" t="s">
        <v>62</v>
      </c>
      <c r="M8364">
        <v>177.61</v>
      </c>
      <c r="N8364" s="4">
        <f t="shared" si="130"/>
        <v>-39.558583413096109</v>
      </c>
      <c r="O8364" t="s">
        <v>83</v>
      </c>
      <c r="Q8364" s="92"/>
      <c r="S8364" t="s">
        <v>4600</v>
      </c>
      <c r="T8364" t="s">
        <v>6400</v>
      </c>
    </row>
    <row r="8365" spans="1:20" x14ac:dyDescent="0.25">
      <c r="A8365" s="22">
        <v>45930</v>
      </c>
      <c r="B8365" s="1">
        <v>918811056</v>
      </c>
      <c r="C8365" t="s">
        <v>6731</v>
      </c>
      <c r="D8365" s="44">
        <v>-7026</v>
      </c>
      <c r="E8365" t="s">
        <v>35</v>
      </c>
      <c r="F8365" s="2">
        <v>212901001</v>
      </c>
      <c r="G8365" s="2" t="s">
        <v>91</v>
      </c>
      <c r="I8365" s="95" t="s">
        <v>7231</v>
      </c>
      <c r="J8365" t="s">
        <v>61</v>
      </c>
      <c r="K8365" t="s">
        <v>62</v>
      </c>
      <c r="M8365">
        <v>177.61</v>
      </c>
      <c r="N8365" s="4">
        <f t="shared" si="130"/>
        <v>-39.558583413096109</v>
      </c>
      <c r="O8365" t="s">
        <v>83</v>
      </c>
      <c r="Q8365" s="92"/>
      <c r="S8365" t="s">
        <v>5465</v>
      </c>
      <c r="T8365" t="s">
        <v>6400</v>
      </c>
    </row>
    <row r="8366" spans="1:20" x14ac:dyDescent="0.25">
      <c r="A8366" s="22">
        <v>45930</v>
      </c>
      <c r="B8366" s="1">
        <v>918811059</v>
      </c>
      <c r="C8366" t="s">
        <v>6732</v>
      </c>
      <c r="D8366" s="44">
        <v>-7026</v>
      </c>
      <c r="E8366" t="s">
        <v>35</v>
      </c>
      <c r="F8366" s="2">
        <v>212901001</v>
      </c>
      <c r="G8366" s="2" t="s">
        <v>91</v>
      </c>
      <c r="I8366" s="95" t="s">
        <v>7231</v>
      </c>
      <c r="J8366" t="s">
        <v>61</v>
      </c>
      <c r="K8366" t="s">
        <v>62</v>
      </c>
      <c r="M8366">
        <v>177.61</v>
      </c>
      <c r="N8366" s="4">
        <f t="shared" si="130"/>
        <v>-39.558583413096109</v>
      </c>
      <c r="O8366" t="s">
        <v>83</v>
      </c>
      <c r="Q8366" s="92"/>
      <c r="S8366" t="s">
        <v>4600</v>
      </c>
      <c r="T8366" t="s">
        <v>6400</v>
      </c>
    </row>
    <row r="8367" spans="1:20" x14ac:dyDescent="0.25">
      <c r="A8367" s="22">
        <v>45930</v>
      </c>
      <c r="B8367" s="1">
        <v>918811058</v>
      </c>
      <c r="C8367" t="s">
        <v>6733</v>
      </c>
      <c r="D8367" s="44">
        <v>-7026</v>
      </c>
      <c r="E8367" t="s">
        <v>35</v>
      </c>
      <c r="F8367" s="2">
        <v>212901001</v>
      </c>
      <c r="G8367" s="2" t="s">
        <v>91</v>
      </c>
      <c r="I8367" s="95" t="s">
        <v>7231</v>
      </c>
      <c r="J8367" t="s">
        <v>61</v>
      </c>
      <c r="K8367" t="s">
        <v>62</v>
      </c>
      <c r="M8367">
        <v>177.61</v>
      </c>
      <c r="N8367" s="4">
        <f t="shared" si="130"/>
        <v>-39.558583413096109</v>
      </c>
      <c r="O8367" t="s">
        <v>83</v>
      </c>
      <c r="Q8367" s="92"/>
      <c r="S8367" t="s">
        <v>5465</v>
      </c>
      <c r="T8367" t="s">
        <v>6400</v>
      </c>
    </row>
    <row r="8368" spans="1:20" x14ac:dyDescent="0.25">
      <c r="A8368" s="22">
        <v>45930</v>
      </c>
      <c r="B8368" s="1">
        <v>918811055</v>
      </c>
      <c r="C8368" t="s">
        <v>6734</v>
      </c>
      <c r="D8368" s="44">
        <v>-7026</v>
      </c>
      <c r="E8368" t="s">
        <v>35</v>
      </c>
      <c r="F8368" s="2">
        <v>212901001</v>
      </c>
      <c r="G8368" s="2" t="s">
        <v>91</v>
      </c>
      <c r="I8368" s="95" t="s">
        <v>7231</v>
      </c>
      <c r="J8368" t="s">
        <v>61</v>
      </c>
      <c r="K8368" t="s">
        <v>62</v>
      </c>
      <c r="M8368">
        <v>177.61</v>
      </c>
      <c r="N8368" s="4">
        <f t="shared" si="130"/>
        <v>-39.558583413096109</v>
      </c>
      <c r="O8368" t="s">
        <v>83</v>
      </c>
      <c r="Q8368" s="92"/>
      <c r="S8368" t="s">
        <v>4600</v>
      </c>
      <c r="T8368" t="s">
        <v>6400</v>
      </c>
    </row>
    <row r="8369" spans="1:20" x14ac:dyDescent="0.25">
      <c r="A8369" s="22">
        <v>45930</v>
      </c>
      <c r="B8369" s="1">
        <v>918811057</v>
      </c>
      <c r="C8369" t="s">
        <v>6735</v>
      </c>
      <c r="D8369" s="44">
        <v>-7026</v>
      </c>
      <c r="E8369" t="s">
        <v>35</v>
      </c>
      <c r="F8369" s="2">
        <v>212901001</v>
      </c>
      <c r="G8369" s="2" t="s">
        <v>91</v>
      </c>
      <c r="I8369" s="95" t="s">
        <v>7231</v>
      </c>
      <c r="J8369" t="s">
        <v>61</v>
      </c>
      <c r="K8369" t="s">
        <v>62</v>
      </c>
      <c r="M8369">
        <v>177.61</v>
      </c>
      <c r="N8369" s="4">
        <f t="shared" si="130"/>
        <v>-39.558583413096109</v>
      </c>
      <c r="O8369" t="s">
        <v>83</v>
      </c>
      <c r="Q8369" s="92"/>
      <c r="S8369" t="s">
        <v>5465</v>
      </c>
      <c r="T8369" t="s">
        <v>6400</v>
      </c>
    </row>
    <row r="8370" spans="1:20" x14ac:dyDescent="0.25">
      <c r="A8370" s="22">
        <v>45930</v>
      </c>
      <c r="B8370" s="1">
        <v>918811060</v>
      </c>
      <c r="C8370" t="s">
        <v>6736</v>
      </c>
      <c r="D8370" s="44">
        <v>-7026</v>
      </c>
      <c r="E8370" t="s">
        <v>35</v>
      </c>
      <c r="F8370" s="2">
        <v>212901001</v>
      </c>
      <c r="G8370" s="2" t="s">
        <v>91</v>
      </c>
      <c r="I8370" s="95" t="s">
        <v>7231</v>
      </c>
      <c r="J8370" t="s">
        <v>61</v>
      </c>
      <c r="K8370" t="s">
        <v>62</v>
      </c>
      <c r="M8370">
        <v>177.61</v>
      </c>
      <c r="N8370" s="4">
        <f t="shared" si="130"/>
        <v>-39.558583413096109</v>
      </c>
      <c r="O8370" t="s">
        <v>83</v>
      </c>
      <c r="Q8370" s="92"/>
      <c r="S8370" t="s">
        <v>5465</v>
      </c>
      <c r="T8370" t="s">
        <v>6400</v>
      </c>
    </row>
    <row r="8371" spans="1:20" x14ac:dyDescent="0.25">
      <c r="A8371" s="22">
        <v>45930</v>
      </c>
      <c r="B8371" s="1">
        <v>918811061</v>
      </c>
      <c r="C8371" t="s">
        <v>6737</v>
      </c>
      <c r="D8371" s="44">
        <v>-7026</v>
      </c>
      <c r="E8371" t="s">
        <v>35</v>
      </c>
      <c r="F8371" s="2">
        <v>212901001</v>
      </c>
      <c r="G8371" s="2" t="s">
        <v>91</v>
      </c>
      <c r="I8371" s="95" t="s">
        <v>7231</v>
      </c>
      <c r="J8371" t="s">
        <v>61</v>
      </c>
      <c r="K8371" t="s">
        <v>62</v>
      </c>
      <c r="M8371">
        <v>177.61</v>
      </c>
      <c r="N8371" s="4">
        <f t="shared" si="130"/>
        <v>-39.558583413096109</v>
      </c>
      <c r="O8371" t="s">
        <v>83</v>
      </c>
      <c r="Q8371" s="92"/>
      <c r="S8371" t="s">
        <v>4600</v>
      </c>
      <c r="T8371" t="s">
        <v>6400</v>
      </c>
    </row>
    <row r="8372" spans="1:20" x14ac:dyDescent="0.25">
      <c r="A8372" s="22">
        <v>45930</v>
      </c>
      <c r="B8372" s="1">
        <v>18811065</v>
      </c>
      <c r="C8372" t="s">
        <v>6738</v>
      </c>
      <c r="D8372" s="44">
        <v>-7026</v>
      </c>
      <c r="E8372" t="s">
        <v>35</v>
      </c>
      <c r="F8372" s="2">
        <v>212901001</v>
      </c>
      <c r="G8372" s="2" t="s">
        <v>91</v>
      </c>
      <c r="I8372" s="95" t="s">
        <v>7231</v>
      </c>
      <c r="J8372" t="s">
        <v>61</v>
      </c>
      <c r="K8372" t="s">
        <v>62</v>
      </c>
      <c r="M8372">
        <v>177.61</v>
      </c>
      <c r="N8372" s="4">
        <f t="shared" si="130"/>
        <v>-39.558583413096109</v>
      </c>
      <c r="O8372" t="s">
        <v>83</v>
      </c>
      <c r="Q8372" s="92"/>
      <c r="S8372" t="s">
        <v>4600</v>
      </c>
      <c r="T8372" t="s">
        <v>6400</v>
      </c>
    </row>
    <row r="8373" spans="1:20" x14ac:dyDescent="0.25">
      <c r="A8373" s="22">
        <v>45930</v>
      </c>
      <c r="B8373" s="1">
        <v>18811062</v>
      </c>
      <c r="C8373" t="s">
        <v>6739</v>
      </c>
      <c r="D8373" s="44">
        <v>-7026</v>
      </c>
      <c r="E8373" t="s">
        <v>35</v>
      </c>
      <c r="F8373" s="2">
        <v>212901001</v>
      </c>
      <c r="G8373" s="2" t="s">
        <v>91</v>
      </c>
      <c r="I8373" s="95" t="s">
        <v>7231</v>
      </c>
      <c r="J8373" t="s">
        <v>61</v>
      </c>
      <c r="K8373" t="s">
        <v>62</v>
      </c>
      <c r="M8373">
        <v>177.61</v>
      </c>
      <c r="N8373" s="4">
        <f t="shared" si="130"/>
        <v>-39.558583413096109</v>
      </c>
      <c r="O8373" t="s">
        <v>83</v>
      </c>
      <c r="Q8373" s="92"/>
      <c r="S8373" t="s">
        <v>5465</v>
      </c>
      <c r="T8373" t="s">
        <v>6400</v>
      </c>
    </row>
    <row r="8374" spans="1:20" x14ac:dyDescent="0.25">
      <c r="A8374" s="22">
        <v>45930</v>
      </c>
      <c r="B8374" s="1">
        <v>18811066</v>
      </c>
      <c r="C8374" t="s">
        <v>6740</v>
      </c>
      <c r="D8374" s="44">
        <v>-7026</v>
      </c>
      <c r="E8374" t="s">
        <v>35</v>
      </c>
      <c r="F8374" s="2">
        <v>212901001</v>
      </c>
      <c r="G8374" s="2" t="s">
        <v>91</v>
      </c>
      <c r="I8374" s="95" t="s">
        <v>7231</v>
      </c>
      <c r="J8374" t="s">
        <v>61</v>
      </c>
      <c r="K8374" t="s">
        <v>62</v>
      </c>
      <c r="M8374">
        <v>177.61</v>
      </c>
      <c r="N8374" s="4">
        <f t="shared" si="130"/>
        <v>-39.558583413096109</v>
      </c>
      <c r="O8374" t="s">
        <v>83</v>
      </c>
      <c r="Q8374" s="92"/>
      <c r="S8374" t="s">
        <v>4600</v>
      </c>
      <c r="T8374" t="s">
        <v>6400</v>
      </c>
    </row>
    <row r="8375" spans="1:20" x14ac:dyDescent="0.25">
      <c r="A8375" s="22">
        <v>45930</v>
      </c>
      <c r="B8375" s="1">
        <v>18811064</v>
      </c>
      <c r="C8375" t="s">
        <v>6741</v>
      </c>
      <c r="D8375" s="44">
        <v>-7026</v>
      </c>
      <c r="E8375" t="s">
        <v>35</v>
      </c>
      <c r="F8375" s="2">
        <v>212901001</v>
      </c>
      <c r="G8375" s="2" t="s">
        <v>91</v>
      </c>
      <c r="I8375" s="95" t="s">
        <v>7231</v>
      </c>
      <c r="J8375" t="s">
        <v>61</v>
      </c>
      <c r="K8375" t="s">
        <v>62</v>
      </c>
      <c r="M8375">
        <v>177.61</v>
      </c>
      <c r="N8375" s="4">
        <f t="shared" si="130"/>
        <v>-39.558583413096109</v>
      </c>
      <c r="O8375" t="s">
        <v>83</v>
      </c>
      <c r="Q8375" s="92"/>
      <c r="S8375" t="s">
        <v>4600</v>
      </c>
      <c r="T8375" t="s">
        <v>6400</v>
      </c>
    </row>
    <row r="8376" spans="1:20" x14ac:dyDescent="0.25">
      <c r="A8376" s="22">
        <v>45930</v>
      </c>
      <c r="B8376" s="1">
        <v>18811068</v>
      </c>
      <c r="C8376" t="s">
        <v>6742</v>
      </c>
      <c r="D8376" s="44">
        <v>-7026</v>
      </c>
      <c r="E8376" t="s">
        <v>35</v>
      </c>
      <c r="F8376" s="2">
        <v>212901001</v>
      </c>
      <c r="G8376" s="2" t="s">
        <v>91</v>
      </c>
      <c r="I8376" s="95" t="s">
        <v>7231</v>
      </c>
      <c r="J8376" t="s">
        <v>61</v>
      </c>
      <c r="K8376" t="s">
        <v>62</v>
      </c>
      <c r="M8376">
        <v>177.61</v>
      </c>
      <c r="N8376" s="4">
        <f t="shared" si="130"/>
        <v>-39.558583413096109</v>
      </c>
      <c r="O8376" t="s">
        <v>83</v>
      </c>
      <c r="Q8376" s="92"/>
      <c r="S8376" t="s">
        <v>4600</v>
      </c>
      <c r="T8376" t="s">
        <v>6400</v>
      </c>
    </row>
    <row r="8377" spans="1:20" x14ac:dyDescent="0.25">
      <c r="A8377" s="22">
        <v>45930</v>
      </c>
      <c r="B8377" s="1">
        <v>18811067</v>
      </c>
      <c r="C8377" t="s">
        <v>6743</v>
      </c>
      <c r="D8377" s="44">
        <v>-7026</v>
      </c>
      <c r="E8377" t="s">
        <v>35</v>
      </c>
      <c r="F8377" s="2">
        <v>212901001</v>
      </c>
      <c r="G8377" s="2" t="s">
        <v>91</v>
      </c>
      <c r="I8377" s="95" t="s">
        <v>7231</v>
      </c>
      <c r="J8377" t="s">
        <v>61</v>
      </c>
      <c r="K8377" t="s">
        <v>62</v>
      </c>
      <c r="M8377">
        <v>177.61</v>
      </c>
      <c r="N8377" s="4">
        <f t="shared" si="130"/>
        <v>-39.558583413096109</v>
      </c>
      <c r="O8377" t="s">
        <v>83</v>
      </c>
      <c r="Q8377" s="92"/>
      <c r="S8377" t="s">
        <v>4600</v>
      </c>
      <c r="T8377" t="s">
        <v>6400</v>
      </c>
    </row>
    <row r="8378" spans="1:20" x14ac:dyDescent="0.25">
      <c r="A8378" s="22">
        <v>45930</v>
      </c>
      <c r="B8378" s="1">
        <v>18811063</v>
      </c>
      <c r="C8378" t="s">
        <v>6744</v>
      </c>
      <c r="D8378" s="44">
        <v>-7026</v>
      </c>
      <c r="E8378" t="s">
        <v>35</v>
      </c>
      <c r="F8378" s="2">
        <v>212901001</v>
      </c>
      <c r="G8378" s="2" t="s">
        <v>91</v>
      </c>
      <c r="I8378" s="95" t="s">
        <v>7231</v>
      </c>
      <c r="J8378" t="s">
        <v>61</v>
      </c>
      <c r="K8378" t="s">
        <v>62</v>
      </c>
      <c r="M8378">
        <v>177.61</v>
      </c>
      <c r="N8378" s="4">
        <f t="shared" si="130"/>
        <v>-39.558583413096109</v>
      </c>
      <c r="O8378" t="s">
        <v>83</v>
      </c>
      <c r="Q8378" s="92"/>
      <c r="S8378" t="s">
        <v>4600</v>
      </c>
      <c r="T8378" t="s">
        <v>6400</v>
      </c>
    </row>
    <row r="8379" spans="1:20" x14ac:dyDescent="0.25">
      <c r="A8379" s="22">
        <v>45930</v>
      </c>
      <c r="B8379" s="1">
        <v>18811069</v>
      </c>
      <c r="C8379" t="s">
        <v>6745</v>
      </c>
      <c r="D8379" s="44">
        <v>-7026</v>
      </c>
      <c r="E8379" t="s">
        <v>35</v>
      </c>
      <c r="F8379" s="2">
        <v>212901001</v>
      </c>
      <c r="G8379" s="2" t="s">
        <v>91</v>
      </c>
      <c r="I8379" s="95" t="s">
        <v>7231</v>
      </c>
      <c r="J8379" t="s">
        <v>61</v>
      </c>
      <c r="K8379" t="s">
        <v>62</v>
      </c>
      <c r="M8379">
        <v>177.61</v>
      </c>
      <c r="N8379" s="4">
        <f t="shared" si="130"/>
        <v>-39.558583413096109</v>
      </c>
      <c r="O8379" t="s">
        <v>83</v>
      </c>
      <c r="Q8379" s="92"/>
      <c r="S8379" t="s">
        <v>4600</v>
      </c>
      <c r="T8379" t="s">
        <v>6400</v>
      </c>
    </row>
    <row r="8380" spans="1:20" x14ac:dyDescent="0.25">
      <c r="A8380" s="22">
        <v>45930</v>
      </c>
      <c r="B8380" s="1">
        <v>118811073</v>
      </c>
      <c r="C8380" t="s">
        <v>6746</v>
      </c>
      <c r="D8380" s="44">
        <v>-308.25</v>
      </c>
      <c r="E8380" t="s">
        <v>35</v>
      </c>
      <c r="F8380" s="2">
        <v>212901001</v>
      </c>
      <c r="G8380" s="2" t="s">
        <v>91</v>
      </c>
      <c r="I8380" s="95" t="s">
        <v>7231</v>
      </c>
      <c r="J8380" t="s">
        <v>61</v>
      </c>
      <c r="K8380" t="s">
        <v>62</v>
      </c>
      <c r="M8380">
        <v>177.61</v>
      </c>
      <c r="N8380" s="4">
        <f t="shared" si="130"/>
        <v>-1.7355441698102583</v>
      </c>
      <c r="O8380" t="s">
        <v>83</v>
      </c>
      <c r="Q8380" s="92"/>
      <c r="S8380" t="s">
        <v>4600</v>
      </c>
      <c r="T8380" t="s">
        <v>6403</v>
      </c>
    </row>
    <row r="8381" spans="1:20" x14ac:dyDescent="0.25">
      <c r="A8381" s="22">
        <v>45930</v>
      </c>
      <c r="B8381" s="1">
        <v>118811074</v>
      </c>
      <c r="C8381" t="s">
        <v>6747</v>
      </c>
      <c r="D8381" s="44">
        <v>-308.25</v>
      </c>
      <c r="E8381" t="s">
        <v>35</v>
      </c>
      <c r="F8381" s="2">
        <v>212901001</v>
      </c>
      <c r="G8381" s="2" t="s">
        <v>91</v>
      </c>
      <c r="I8381" s="95" t="s">
        <v>7231</v>
      </c>
      <c r="J8381" t="s">
        <v>61</v>
      </c>
      <c r="K8381" t="s">
        <v>62</v>
      </c>
      <c r="M8381">
        <v>177.61</v>
      </c>
      <c r="N8381" s="4">
        <f t="shared" si="130"/>
        <v>-1.7355441698102583</v>
      </c>
      <c r="O8381" t="s">
        <v>83</v>
      </c>
      <c r="Q8381" s="92"/>
      <c r="S8381" t="s">
        <v>5465</v>
      </c>
      <c r="T8381" t="s">
        <v>6400</v>
      </c>
    </row>
    <row r="8382" spans="1:20" x14ac:dyDescent="0.25">
      <c r="A8382" s="22">
        <v>45930</v>
      </c>
      <c r="B8382" s="1">
        <v>18811070</v>
      </c>
      <c r="C8382" t="s">
        <v>6748</v>
      </c>
      <c r="D8382" s="44">
        <v>-7026</v>
      </c>
      <c r="E8382" t="s">
        <v>35</v>
      </c>
      <c r="F8382" s="2">
        <v>212901001</v>
      </c>
      <c r="G8382" s="2" t="s">
        <v>91</v>
      </c>
      <c r="I8382" s="95" t="s">
        <v>7231</v>
      </c>
      <c r="J8382" t="s">
        <v>61</v>
      </c>
      <c r="K8382" t="s">
        <v>62</v>
      </c>
      <c r="M8382">
        <v>177.61</v>
      </c>
      <c r="N8382" s="4">
        <f t="shared" si="130"/>
        <v>-39.558583413096109</v>
      </c>
      <c r="O8382" t="s">
        <v>83</v>
      </c>
      <c r="Q8382" s="92"/>
      <c r="S8382" t="s">
        <v>4600</v>
      </c>
      <c r="T8382" t="s">
        <v>6400</v>
      </c>
    </row>
    <row r="8383" spans="1:20" x14ac:dyDescent="0.25">
      <c r="A8383" s="22">
        <v>45930</v>
      </c>
      <c r="B8383" s="1">
        <v>118811072</v>
      </c>
      <c r="C8383" t="s">
        <v>6749</v>
      </c>
      <c r="D8383" s="44">
        <v>-308.25</v>
      </c>
      <c r="E8383" t="s">
        <v>35</v>
      </c>
      <c r="F8383" s="2">
        <v>212901001</v>
      </c>
      <c r="G8383" s="2" t="s">
        <v>91</v>
      </c>
      <c r="I8383" s="95" t="s">
        <v>7231</v>
      </c>
      <c r="J8383" t="s">
        <v>61</v>
      </c>
      <c r="K8383" t="s">
        <v>62</v>
      </c>
      <c r="M8383">
        <v>177.61</v>
      </c>
      <c r="N8383" s="4">
        <f t="shared" si="130"/>
        <v>-1.7355441698102583</v>
      </c>
      <c r="O8383" t="s">
        <v>83</v>
      </c>
      <c r="Q8383" s="92"/>
      <c r="S8383" t="s">
        <v>4600</v>
      </c>
      <c r="T8383" t="s">
        <v>6400</v>
      </c>
    </row>
    <row r="8384" spans="1:20" x14ac:dyDescent="0.25">
      <c r="A8384" s="22">
        <v>45930</v>
      </c>
      <c r="B8384" s="1">
        <v>118811071</v>
      </c>
      <c r="C8384" t="s">
        <v>6750</v>
      </c>
      <c r="D8384" s="44">
        <v>-308.25</v>
      </c>
      <c r="E8384" t="s">
        <v>35</v>
      </c>
      <c r="F8384" s="2">
        <v>212901001</v>
      </c>
      <c r="G8384" s="2" t="s">
        <v>91</v>
      </c>
      <c r="I8384" s="95" t="s">
        <v>7231</v>
      </c>
      <c r="J8384" t="s">
        <v>61</v>
      </c>
      <c r="K8384" t="s">
        <v>62</v>
      </c>
      <c r="M8384">
        <v>177.61</v>
      </c>
      <c r="N8384" s="4">
        <f t="shared" si="130"/>
        <v>-1.7355441698102583</v>
      </c>
      <c r="O8384" t="s">
        <v>83</v>
      </c>
      <c r="Q8384" s="92"/>
      <c r="S8384" t="s">
        <v>4600</v>
      </c>
      <c r="T8384" t="s">
        <v>6400</v>
      </c>
    </row>
    <row r="8385" spans="1:20" x14ac:dyDescent="0.25">
      <c r="A8385" s="22">
        <v>45930</v>
      </c>
      <c r="B8385" s="1">
        <v>118811076</v>
      </c>
      <c r="C8385" t="s">
        <v>6751</v>
      </c>
      <c r="D8385" s="44">
        <v>-308.25</v>
      </c>
      <c r="E8385" t="s">
        <v>35</v>
      </c>
      <c r="F8385" s="2">
        <v>212901001</v>
      </c>
      <c r="G8385" s="2" t="s">
        <v>91</v>
      </c>
      <c r="I8385" s="95" t="s">
        <v>7231</v>
      </c>
      <c r="J8385" t="s">
        <v>61</v>
      </c>
      <c r="K8385" t="s">
        <v>62</v>
      </c>
      <c r="M8385">
        <v>177.61</v>
      </c>
      <c r="N8385" s="4">
        <f t="shared" si="130"/>
        <v>-1.7355441698102583</v>
      </c>
      <c r="O8385" t="s">
        <v>83</v>
      </c>
      <c r="Q8385" s="92"/>
      <c r="S8385" t="s">
        <v>4600</v>
      </c>
      <c r="T8385" t="s">
        <v>6400</v>
      </c>
    </row>
    <row r="8386" spans="1:20" x14ac:dyDescent="0.25">
      <c r="A8386" s="22">
        <v>45930</v>
      </c>
      <c r="B8386" s="1">
        <v>118811077</v>
      </c>
      <c r="C8386" t="s">
        <v>6752</v>
      </c>
      <c r="D8386" s="44">
        <v>-308.25</v>
      </c>
      <c r="E8386" t="s">
        <v>35</v>
      </c>
      <c r="F8386" s="2">
        <v>212901001</v>
      </c>
      <c r="G8386" s="2" t="s">
        <v>91</v>
      </c>
      <c r="I8386" s="95" t="s">
        <v>7231</v>
      </c>
      <c r="J8386" t="s">
        <v>61</v>
      </c>
      <c r="K8386" t="s">
        <v>62</v>
      </c>
      <c r="M8386">
        <v>177.61</v>
      </c>
      <c r="N8386" s="4">
        <f t="shared" si="130"/>
        <v>-1.7355441698102583</v>
      </c>
      <c r="O8386" t="s">
        <v>83</v>
      </c>
      <c r="Q8386" s="92"/>
      <c r="S8386" t="s">
        <v>4600</v>
      </c>
      <c r="T8386" t="s">
        <v>6400</v>
      </c>
    </row>
    <row r="8387" spans="1:20" x14ac:dyDescent="0.25">
      <c r="A8387" s="22">
        <v>45930</v>
      </c>
      <c r="B8387" s="1">
        <v>118811075</v>
      </c>
      <c r="C8387" t="s">
        <v>6753</v>
      </c>
      <c r="D8387" s="44">
        <v>-286.8</v>
      </c>
      <c r="E8387" t="s">
        <v>35</v>
      </c>
      <c r="F8387" s="2">
        <v>212901001</v>
      </c>
      <c r="G8387" s="2" t="s">
        <v>91</v>
      </c>
      <c r="I8387" s="95" t="s">
        <v>7231</v>
      </c>
      <c r="J8387" t="s">
        <v>61</v>
      </c>
      <c r="K8387" t="s">
        <v>62</v>
      </c>
      <c r="M8387">
        <v>177.61</v>
      </c>
      <c r="N8387" s="4">
        <f t="shared" si="130"/>
        <v>-1.6147739429086199</v>
      </c>
      <c r="O8387" t="s">
        <v>83</v>
      </c>
      <c r="Q8387" s="92"/>
      <c r="S8387" t="s">
        <v>4600</v>
      </c>
      <c r="T8387" t="s">
        <v>6400</v>
      </c>
    </row>
    <row r="8388" spans="1:20" x14ac:dyDescent="0.25">
      <c r="A8388" s="22">
        <v>45930</v>
      </c>
      <c r="B8388" s="1">
        <v>118811079</v>
      </c>
      <c r="C8388" t="s">
        <v>6754</v>
      </c>
      <c r="D8388" s="44">
        <v>-308.25</v>
      </c>
      <c r="E8388" t="s">
        <v>35</v>
      </c>
      <c r="F8388" s="2">
        <v>212901001</v>
      </c>
      <c r="G8388" s="2" t="s">
        <v>91</v>
      </c>
      <c r="I8388" s="95" t="s">
        <v>7231</v>
      </c>
      <c r="J8388" t="s">
        <v>61</v>
      </c>
      <c r="K8388" t="s">
        <v>62</v>
      </c>
      <c r="M8388">
        <v>177.61</v>
      </c>
      <c r="N8388" s="4">
        <f t="shared" si="130"/>
        <v>-1.7355441698102583</v>
      </c>
      <c r="O8388" t="s">
        <v>83</v>
      </c>
      <c r="Q8388" s="92"/>
      <c r="S8388" t="s">
        <v>4600</v>
      </c>
      <c r="T8388" t="s">
        <v>6400</v>
      </c>
    </row>
    <row r="8389" spans="1:20" x14ac:dyDescent="0.25">
      <c r="A8389" s="22">
        <v>45930</v>
      </c>
      <c r="B8389" s="1">
        <v>118811078</v>
      </c>
      <c r="C8389" t="s">
        <v>6755</v>
      </c>
      <c r="D8389" s="44">
        <v>-308.25</v>
      </c>
      <c r="E8389" t="s">
        <v>35</v>
      </c>
      <c r="F8389" s="2">
        <v>212901001</v>
      </c>
      <c r="G8389" s="2" t="s">
        <v>91</v>
      </c>
      <c r="I8389" s="95" t="s">
        <v>7231</v>
      </c>
      <c r="J8389" t="s">
        <v>61</v>
      </c>
      <c r="K8389" t="s">
        <v>62</v>
      </c>
      <c r="M8389">
        <v>177.61</v>
      </c>
      <c r="N8389" s="4">
        <f t="shared" si="130"/>
        <v>-1.7355441698102583</v>
      </c>
      <c r="O8389" t="s">
        <v>83</v>
      </c>
      <c r="Q8389" s="92"/>
      <c r="S8389" t="s">
        <v>4600</v>
      </c>
      <c r="T8389" t="s">
        <v>6400</v>
      </c>
    </row>
    <row r="8390" spans="1:20" x14ac:dyDescent="0.25">
      <c r="A8390" s="22">
        <v>45930</v>
      </c>
      <c r="B8390" s="1">
        <v>218811081</v>
      </c>
      <c r="C8390" t="s">
        <v>6756</v>
      </c>
      <c r="D8390" s="44">
        <v>-308.25</v>
      </c>
      <c r="E8390" t="s">
        <v>35</v>
      </c>
      <c r="F8390" s="2">
        <v>212901001</v>
      </c>
      <c r="G8390" s="2" t="s">
        <v>91</v>
      </c>
      <c r="I8390" s="95" t="s">
        <v>7231</v>
      </c>
      <c r="J8390" t="s">
        <v>61</v>
      </c>
      <c r="K8390" t="s">
        <v>62</v>
      </c>
      <c r="M8390">
        <v>177.61</v>
      </c>
      <c r="N8390" s="4">
        <f t="shared" si="130"/>
        <v>-1.7355441698102583</v>
      </c>
      <c r="O8390" t="s">
        <v>83</v>
      </c>
      <c r="Q8390" s="92"/>
      <c r="S8390" t="s">
        <v>4600</v>
      </c>
      <c r="T8390" t="s">
        <v>6400</v>
      </c>
    </row>
    <row r="8391" spans="1:20" x14ac:dyDescent="0.25">
      <c r="A8391" s="22">
        <v>45930</v>
      </c>
      <c r="B8391" s="1">
        <v>218811083</v>
      </c>
      <c r="C8391" t="s">
        <v>6757</v>
      </c>
      <c r="D8391" s="44">
        <v>-308.25</v>
      </c>
      <c r="E8391" t="s">
        <v>35</v>
      </c>
      <c r="F8391" s="2">
        <v>212901001</v>
      </c>
      <c r="G8391" s="2" t="s">
        <v>91</v>
      </c>
      <c r="I8391" s="95" t="s">
        <v>7231</v>
      </c>
      <c r="J8391" t="s">
        <v>61</v>
      </c>
      <c r="K8391" t="s">
        <v>62</v>
      </c>
      <c r="M8391">
        <v>177.61</v>
      </c>
      <c r="N8391" s="4">
        <f t="shared" si="130"/>
        <v>-1.7355441698102583</v>
      </c>
      <c r="O8391" t="s">
        <v>83</v>
      </c>
      <c r="Q8391" s="92"/>
      <c r="S8391" t="s">
        <v>4600</v>
      </c>
      <c r="T8391" t="s">
        <v>6400</v>
      </c>
    </row>
    <row r="8392" spans="1:20" x14ac:dyDescent="0.25">
      <c r="A8392" s="22">
        <v>45930</v>
      </c>
      <c r="B8392" s="1">
        <v>218811080</v>
      </c>
      <c r="C8392" t="s">
        <v>6758</v>
      </c>
      <c r="D8392" s="44">
        <v>-308.25</v>
      </c>
      <c r="E8392" t="s">
        <v>35</v>
      </c>
      <c r="F8392" s="2">
        <v>212901001</v>
      </c>
      <c r="G8392" s="2" t="s">
        <v>91</v>
      </c>
      <c r="I8392" s="95" t="s">
        <v>7231</v>
      </c>
      <c r="J8392" t="s">
        <v>61</v>
      </c>
      <c r="K8392" t="s">
        <v>62</v>
      </c>
      <c r="M8392">
        <v>177.61</v>
      </c>
      <c r="N8392" s="4">
        <f t="shared" si="130"/>
        <v>-1.7355441698102583</v>
      </c>
      <c r="O8392" t="s">
        <v>83</v>
      </c>
      <c r="Q8392" s="92"/>
      <c r="S8392" t="s">
        <v>4600</v>
      </c>
      <c r="T8392" t="s">
        <v>6400</v>
      </c>
    </row>
    <row r="8393" spans="1:20" x14ac:dyDescent="0.25">
      <c r="A8393" s="22">
        <v>45930</v>
      </c>
      <c r="B8393" s="1">
        <v>218811082</v>
      </c>
      <c r="C8393" t="s">
        <v>6759</v>
      </c>
      <c r="D8393" s="44">
        <v>-308.25</v>
      </c>
      <c r="E8393" t="s">
        <v>35</v>
      </c>
      <c r="F8393" s="2">
        <v>212901001</v>
      </c>
      <c r="G8393" s="2" t="s">
        <v>91</v>
      </c>
      <c r="I8393" s="95" t="s">
        <v>7231</v>
      </c>
      <c r="J8393" t="s">
        <v>61</v>
      </c>
      <c r="K8393" t="s">
        <v>62</v>
      </c>
      <c r="M8393">
        <v>177.61</v>
      </c>
      <c r="N8393" s="4">
        <f t="shared" si="130"/>
        <v>-1.7355441698102583</v>
      </c>
      <c r="O8393" t="s">
        <v>83</v>
      </c>
      <c r="Q8393" s="92"/>
      <c r="S8393" t="s">
        <v>4600</v>
      </c>
      <c r="T8393" t="s">
        <v>6403</v>
      </c>
    </row>
    <row r="8394" spans="1:20" x14ac:dyDescent="0.25">
      <c r="A8394" s="22">
        <v>45930</v>
      </c>
      <c r="B8394" s="1">
        <v>218811084</v>
      </c>
      <c r="C8394" t="s">
        <v>6760</v>
      </c>
      <c r="D8394" s="44">
        <v>-265.35000000000002</v>
      </c>
      <c r="E8394" t="s">
        <v>35</v>
      </c>
      <c r="F8394" s="2">
        <v>212901001</v>
      </c>
      <c r="G8394" s="2" t="s">
        <v>91</v>
      </c>
      <c r="I8394" s="95" t="s">
        <v>7231</v>
      </c>
      <c r="J8394" t="s">
        <v>61</v>
      </c>
      <c r="K8394" t="s">
        <v>62</v>
      </c>
      <c r="M8394">
        <v>177.61</v>
      </c>
      <c r="N8394" s="4">
        <f t="shared" si="130"/>
        <v>-1.4940037160069817</v>
      </c>
      <c r="O8394" t="s">
        <v>83</v>
      </c>
      <c r="Q8394" s="92"/>
      <c r="S8394" t="s">
        <v>4600</v>
      </c>
      <c r="T8394" t="s">
        <v>6400</v>
      </c>
    </row>
    <row r="8395" spans="1:20" x14ac:dyDescent="0.25">
      <c r="A8395" s="22">
        <v>45930</v>
      </c>
      <c r="B8395" s="1">
        <v>218811085</v>
      </c>
      <c r="C8395" t="s">
        <v>6447</v>
      </c>
      <c r="D8395" s="44">
        <v>-308.25</v>
      </c>
      <c r="E8395" t="s">
        <v>35</v>
      </c>
      <c r="F8395" s="2">
        <v>212901001</v>
      </c>
      <c r="G8395" s="2" t="s">
        <v>91</v>
      </c>
      <c r="I8395" s="95" t="s">
        <v>7231</v>
      </c>
      <c r="J8395" t="s">
        <v>61</v>
      </c>
      <c r="K8395" t="s">
        <v>62</v>
      </c>
      <c r="M8395">
        <v>177.61</v>
      </c>
      <c r="N8395" s="4">
        <f t="shared" si="130"/>
        <v>-1.7355441698102583</v>
      </c>
      <c r="O8395" t="s">
        <v>83</v>
      </c>
      <c r="Q8395" s="92"/>
      <c r="S8395" t="s">
        <v>4600</v>
      </c>
      <c r="T8395" t="s">
        <v>6400</v>
      </c>
    </row>
    <row r="8396" spans="1:20" x14ac:dyDescent="0.25">
      <c r="A8396" s="22">
        <v>45930</v>
      </c>
      <c r="B8396" s="1">
        <v>318811089</v>
      </c>
      <c r="C8396" t="s">
        <v>6761</v>
      </c>
      <c r="D8396" s="44">
        <v>-308.25</v>
      </c>
      <c r="E8396" t="s">
        <v>35</v>
      </c>
      <c r="F8396" s="2">
        <v>212901001</v>
      </c>
      <c r="G8396" s="2" t="s">
        <v>91</v>
      </c>
      <c r="I8396" s="95" t="s">
        <v>7231</v>
      </c>
      <c r="J8396" t="s">
        <v>61</v>
      </c>
      <c r="K8396" t="s">
        <v>62</v>
      </c>
      <c r="M8396">
        <v>177.61</v>
      </c>
      <c r="N8396" s="4">
        <f t="shared" ref="N8396:N8418" si="131">D8396/M8396</f>
        <v>-1.7355441698102583</v>
      </c>
      <c r="O8396" t="s">
        <v>83</v>
      </c>
      <c r="Q8396" s="92"/>
      <c r="S8396" t="s">
        <v>5465</v>
      </c>
      <c r="T8396" t="s">
        <v>6400</v>
      </c>
    </row>
    <row r="8397" spans="1:20" x14ac:dyDescent="0.25">
      <c r="A8397" s="22">
        <v>45930</v>
      </c>
      <c r="B8397" s="1">
        <v>218811087</v>
      </c>
      <c r="C8397" t="s">
        <v>6762</v>
      </c>
      <c r="D8397" s="44">
        <v>-308.25</v>
      </c>
      <c r="E8397" t="s">
        <v>35</v>
      </c>
      <c r="F8397" s="2">
        <v>212901001</v>
      </c>
      <c r="G8397" s="2" t="s">
        <v>91</v>
      </c>
      <c r="I8397" s="95" t="s">
        <v>7231</v>
      </c>
      <c r="J8397" t="s">
        <v>61</v>
      </c>
      <c r="K8397" t="s">
        <v>62</v>
      </c>
      <c r="M8397">
        <v>177.61</v>
      </c>
      <c r="N8397" s="4">
        <f t="shared" si="131"/>
        <v>-1.7355441698102583</v>
      </c>
      <c r="O8397" t="s">
        <v>83</v>
      </c>
      <c r="Q8397" s="92"/>
      <c r="S8397" t="s">
        <v>4600</v>
      </c>
      <c r="T8397" t="s">
        <v>6400</v>
      </c>
    </row>
    <row r="8398" spans="1:20" x14ac:dyDescent="0.25">
      <c r="A8398" s="22">
        <v>45930</v>
      </c>
      <c r="B8398" s="1">
        <v>218811086</v>
      </c>
      <c r="C8398" t="s">
        <v>6763</v>
      </c>
      <c r="D8398" s="44">
        <v>-308.25</v>
      </c>
      <c r="E8398" t="s">
        <v>35</v>
      </c>
      <c r="F8398" s="2">
        <v>212901001</v>
      </c>
      <c r="G8398" s="2" t="s">
        <v>91</v>
      </c>
      <c r="I8398" s="95" t="s">
        <v>7231</v>
      </c>
      <c r="J8398" t="s">
        <v>61</v>
      </c>
      <c r="K8398" t="s">
        <v>62</v>
      </c>
      <c r="M8398">
        <v>177.61</v>
      </c>
      <c r="N8398" s="4">
        <f t="shared" si="131"/>
        <v>-1.7355441698102583</v>
      </c>
      <c r="O8398" t="s">
        <v>83</v>
      </c>
      <c r="Q8398" s="92"/>
      <c r="S8398" t="s">
        <v>4600</v>
      </c>
      <c r="T8398" t="s">
        <v>6400</v>
      </c>
    </row>
    <row r="8399" spans="1:20" x14ac:dyDescent="0.25">
      <c r="A8399" s="22">
        <v>45930</v>
      </c>
      <c r="B8399" s="1">
        <v>318811092</v>
      </c>
      <c r="C8399" t="s">
        <v>6764</v>
      </c>
      <c r="D8399" s="44">
        <v>-308.25</v>
      </c>
      <c r="E8399" t="s">
        <v>35</v>
      </c>
      <c r="F8399" s="2">
        <v>212901001</v>
      </c>
      <c r="G8399" s="2" t="s">
        <v>91</v>
      </c>
      <c r="I8399" s="95" t="s">
        <v>7231</v>
      </c>
      <c r="J8399" t="s">
        <v>61</v>
      </c>
      <c r="K8399" t="s">
        <v>62</v>
      </c>
      <c r="M8399">
        <v>177.61</v>
      </c>
      <c r="N8399" s="4">
        <f t="shared" si="131"/>
        <v>-1.7355441698102583</v>
      </c>
      <c r="O8399" t="s">
        <v>83</v>
      </c>
      <c r="Q8399" s="92"/>
      <c r="S8399" t="s">
        <v>4600</v>
      </c>
      <c r="T8399" t="s">
        <v>6400</v>
      </c>
    </row>
    <row r="8400" spans="1:20" x14ac:dyDescent="0.25">
      <c r="A8400" s="22">
        <v>45930</v>
      </c>
      <c r="B8400" s="1">
        <v>318811088</v>
      </c>
      <c r="C8400" t="s">
        <v>6765</v>
      </c>
      <c r="D8400" s="44">
        <v>-308.25</v>
      </c>
      <c r="E8400" t="s">
        <v>35</v>
      </c>
      <c r="F8400" s="2">
        <v>212901001</v>
      </c>
      <c r="G8400" s="2" t="s">
        <v>91</v>
      </c>
      <c r="I8400" s="95" t="s">
        <v>7231</v>
      </c>
      <c r="J8400" t="s">
        <v>61</v>
      </c>
      <c r="K8400" t="s">
        <v>62</v>
      </c>
      <c r="M8400">
        <v>177.61</v>
      </c>
      <c r="N8400" s="4">
        <f t="shared" si="131"/>
        <v>-1.7355441698102583</v>
      </c>
      <c r="O8400" t="s">
        <v>83</v>
      </c>
      <c r="Q8400" s="92"/>
      <c r="S8400" t="s">
        <v>5465</v>
      </c>
      <c r="T8400" t="s">
        <v>6400</v>
      </c>
    </row>
    <row r="8401" spans="1:20" x14ac:dyDescent="0.25">
      <c r="A8401" s="22">
        <v>45930</v>
      </c>
      <c r="B8401" s="1">
        <v>318811095</v>
      </c>
      <c r="C8401" t="s">
        <v>6766</v>
      </c>
      <c r="D8401" s="44">
        <v>-308.25</v>
      </c>
      <c r="E8401" t="s">
        <v>35</v>
      </c>
      <c r="F8401" s="2">
        <v>212901001</v>
      </c>
      <c r="G8401" s="2" t="s">
        <v>91</v>
      </c>
      <c r="I8401" s="95" t="s">
        <v>7231</v>
      </c>
      <c r="J8401" t="s">
        <v>61</v>
      </c>
      <c r="K8401" t="s">
        <v>62</v>
      </c>
      <c r="M8401">
        <v>177.61</v>
      </c>
      <c r="N8401" s="4">
        <f t="shared" si="131"/>
        <v>-1.7355441698102583</v>
      </c>
      <c r="O8401" t="s">
        <v>83</v>
      </c>
      <c r="Q8401" s="92"/>
      <c r="S8401" t="s">
        <v>4600</v>
      </c>
      <c r="T8401" t="s">
        <v>6400</v>
      </c>
    </row>
    <row r="8402" spans="1:20" x14ac:dyDescent="0.25">
      <c r="A8402" s="22">
        <v>45930</v>
      </c>
      <c r="B8402" s="1">
        <v>318811091</v>
      </c>
      <c r="C8402" t="s">
        <v>6767</v>
      </c>
      <c r="D8402" s="44">
        <v>-308.25</v>
      </c>
      <c r="E8402" t="s">
        <v>35</v>
      </c>
      <c r="F8402" s="2">
        <v>212901001</v>
      </c>
      <c r="G8402" s="2" t="s">
        <v>91</v>
      </c>
      <c r="I8402" s="95" t="s">
        <v>7231</v>
      </c>
      <c r="J8402" t="s">
        <v>61</v>
      </c>
      <c r="K8402" t="s">
        <v>62</v>
      </c>
      <c r="M8402">
        <v>177.61</v>
      </c>
      <c r="N8402" s="4">
        <f t="shared" si="131"/>
        <v>-1.7355441698102583</v>
      </c>
      <c r="O8402" t="s">
        <v>83</v>
      </c>
      <c r="Q8402" s="92"/>
      <c r="S8402" t="s">
        <v>5465</v>
      </c>
      <c r="T8402" t="s">
        <v>6400</v>
      </c>
    </row>
    <row r="8403" spans="1:20" x14ac:dyDescent="0.25">
      <c r="A8403" s="22">
        <v>45930</v>
      </c>
      <c r="B8403" s="1">
        <v>318811096</v>
      </c>
      <c r="C8403" t="s">
        <v>6768</v>
      </c>
      <c r="D8403" s="44">
        <v>-308.25</v>
      </c>
      <c r="E8403" t="s">
        <v>35</v>
      </c>
      <c r="F8403" s="2">
        <v>212901001</v>
      </c>
      <c r="G8403" s="2" t="s">
        <v>91</v>
      </c>
      <c r="I8403" s="95" t="s">
        <v>7231</v>
      </c>
      <c r="J8403" t="s">
        <v>61</v>
      </c>
      <c r="K8403" t="s">
        <v>62</v>
      </c>
      <c r="M8403">
        <v>177.61</v>
      </c>
      <c r="N8403" s="4">
        <f t="shared" si="131"/>
        <v>-1.7355441698102583</v>
      </c>
      <c r="O8403" t="s">
        <v>83</v>
      </c>
      <c r="Q8403" s="92"/>
      <c r="S8403" t="s">
        <v>5465</v>
      </c>
      <c r="T8403" t="s">
        <v>6400</v>
      </c>
    </row>
    <row r="8404" spans="1:20" x14ac:dyDescent="0.25">
      <c r="A8404" s="22">
        <v>45930</v>
      </c>
      <c r="B8404" s="1">
        <v>318811090</v>
      </c>
      <c r="C8404" t="s">
        <v>6769</v>
      </c>
      <c r="D8404" s="44">
        <v>-243.9</v>
      </c>
      <c r="E8404" t="s">
        <v>35</v>
      </c>
      <c r="F8404" s="2">
        <v>212901001</v>
      </c>
      <c r="G8404" s="2" t="s">
        <v>91</v>
      </c>
      <c r="I8404" s="95" t="s">
        <v>7231</v>
      </c>
      <c r="J8404" t="s">
        <v>61</v>
      </c>
      <c r="K8404" t="s">
        <v>62</v>
      </c>
      <c r="M8404">
        <v>177.61</v>
      </c>
      <c r="N8404" s="4">
        <f t="shared" si="131"/>
        <v>-1.373233489105343</v>
      </c>
      <c r="O8404" t="s">
        <v>83</v>
      </c>
      <c r="Q8404" s="92"/>
      <c r="S8404" t="s">
        <v>4600</v>
      </c>
      <c r="T8404" t="s">
        <v>6400</v>
      </c>
    </row>
    <row r="8405" spans="1:20" x14ac:dyDescent="0.25">
      <c r="A8405" s="22">
        <v>45930</v>
      </c>
      <c r="B8405" s="1">
        <v>318811093</v>
      </c>
      <c r="C8405" t="s">
        <v>6770</v>
      </c>
      <c r="D8405" s="44">
        <v>-308.25</v>
      </c>
      <c r="E8405" t="s">
        <v>35</v>
      </c>
      <c r="F8405" s="2">
        <v>212901001</v>
      </c>
      <c r="G8405" s="2" t="s">
        <v>91</v>
      </c>
      <c r="I8405" s="95" t="s">
        <v>7231</v>
      </c>
      <c r="J8405" t="s">
        <v>61</v>
      </c>
      <c r="K8405" t="s">
        <v>62</v>
      </c>
      <c r="M8405">
        <v>177.61</v>
      </c>
      <c r="N8405" s="4">
        <f t="shared" si="131"/>
        <v>-1.7355441698102583</v>
      </c>
      <c r="O8405" t="s">
        <v>83</v>
      </c>
      <c r="Q8405" s="92"/>
      <c r="S8405" t="s">
        <v>5465</v>
      </c>
      <c r="T8405" t="s">
        <v>6400</v>
      </c>
    </row>
    <row r="8406" spans="1:20" x14ac:dyDescent="0.25">
      <c r="A8406" s="22">
        <v>45930</v>
      </c>
      <c r="B8406" s="1">
        <v>318811094</v>
      </c>
      <c r="C8406" t="s">
        <v>6771</v>
      </c>
      <c r="D8406" s="44">
        <v>-286.8</v>
      </c>
      <c r="E8406" t="s">
        <v>35</v>
      </c>
      <c r="F8406" s="2">
        <v>212901001</v>
      </c>
      <c r="G8406" s="2" t="s">
        <v>91</v>
      </c>
      <c r="I8406" s="95" t="s">
        <v>7231</v>
      </c>
      <c r="J8406" t="s">
        <v>61</v>
      </c>
      <c r="K8406" t="s">
        <v>62</v>
      </c>
      <c r="M8406">
        <v>177.61</v>
      </c>
      <c r="N8406" s="4">
        <f t="shared" si="131"/>
        <v>-1.6147739429086199</v>
      </c>
      <c r="O8406" t="s">
        <v>83</v>
      </c>
      <c r="Q8406" s="92"/>
      <c r="S8406" t="s">
        <v>4600</v>
      </c>
      <c r="T8406" t="s">
        <v>6400</v>
      </c>
    </row>
    <row r="8407" spans="1:20" x14ac:dyDescent="0.25">
      <c r="A8407" s="22">
        <v>45930</v>
      </c>
      <c r="B8407" s="1">
        <v>418811098</v>
      </c>
      <c r="C8407" t="s">
        <v>6772</v>
      </c>
      <c r="D8407" s="44">
        <v>-308.25</v>
      </c>
      <c r="E8407" t="s">
        <v>35</v>
      </c>
      <c r="F8407" s="2">
        <v>212901001</v>
      </c>
      <c r="G8407" s="2" t="s">
        <v>91</v>
      </c>
      <c r="I8407" s="95" t="s">
        <v>7231</v>
      </c>
      <c r="J8407" t="s">
        <v>61</v>
      </c>
      <c r="K8407" t="s">
        <v>62</v>
      </c>
      <c r="M8407">
        <v>177.61</v>
      </c>
      <c r="N8407" s="4">
        <f t="shared" si="131"/>
        <v>-1.7355441698102583</v>
      </c>
      <c r="O8407" t="s">
        <v>83</v>
      </c>
      <c r="Q8407" s="92"/>
      <c r="S8407" t="s">
        <v>4600</v>
      </c>
      <c r="T8407" t="s">
        <v>6400</v>
      </c>
    </row>
    <row r="8408" spans="1:20" x14ac:dyDescent="0.25">
      <c r="A8408" s="22">
        <v>45930</v>
      </c>
      <c r="B8408" s="1">
        <v>418811101</v>
      </c>
      <c r="C8408" t="s">
        <v>6773</v>
      </c>
      <c r="D8408" s="44">
        <v>-308.25</v>
      </c>
      <c r="E8408" t="s">
        <v>35</v>
      </c>
      <c r="F8408" s="2">
        <v>212901001</v>
      </c>
      <c r="G8408" s="2" t="s">
        <v>91</v>
      </c>
      <c r="I8408" s="95" t="s">
        <v>7231</v>
      </c>
      <c r="J8408" t="s">
        <v>61</v>
      </c>
      <c r="K8408" t="s">
        <v>62</v>
      </c>
      <c r="M8408">
        <v>177.61</v>
      </c>
      <c r="N8408" s="4">
        <f t="shared" si="131"/>
        <v>-1.7355441698102583</v>
      </c>
      <c r="O8408" t="s">
        <v>83</v>
      </c>
      <c r="Q8408" s="92"/>
      <c r="S8408" t="s">
        <v>4600</v>
      </c>
      <c r="T8408" t="s">
        <v>6400</v>
      </c>
    </row>
    <row r="8409" spans="1:20" x14ac:dyDescent="0.25">
      <c r="A8409" s="22">
        <v>45930</v>
      </c>
      <c r="B8409" s="1">
        <v>418811100</v>
      </c>
      <c r="C8409" t="s">
        <v>6774</v>
      </c>
      <c r="D8409" s="44">
        <v>-308.25</v>
      </c>
      <c r="E8409" t="s">
        <v>35</v>
      </c>
      <c r="F8409" s="2">
        <v>212901001</v>
      </c>
      <c r="G8409" s="2" t="s">
        <v>91</v>
      </c>
      <c r="I8409" s="95" t="s">
        <v>7231</v>
      </c>
      <c r="J8409" t="s">
        <v>61</v>
      </c>
      <c r="K8409" t="s">
        <v>62</v>
      </c>
      <c r="M8409">
        <v>177.61</v>
      </c>
      <c r="N8409" s="4">
        <f t="shared" si="131"/>
        <v>-1.7355441698102583</v>
      </c>
      <c r="O8409" t="s">
        <v>83</v>
      </c>
      <c r="Q8409" s="92"/>
      <c r="S8409" t="s">
        <v>5465</v>
      </c>
      <c r="T8409" t="s">
        <v>6400</v>
      </c>
    </row>
    <row r="8410" spans="1:20" x14ac:dyDescent="0.25">
      <c r="A8410" s="22">
        <v>45930</v>
      </c>
      <c r="B8410" s="1">
        <v>418811103</v>
      </c>
      <c r="C8410" t="s">
        <v>6775</v>
      </c>
      <c r="D8410" s="44">
        <v>-308.25</v>
      </c>
      <c r="E8410" t="s">
        <v>35</v>
      </c>
      <c r="F8410" s="2">
        <v>212901001</v>
      </c>
      <c r="G8410" s="2" t="s">
        <v>91</v>
      </c>
      <c r="I8410" s="95" t="s">
        <v>7231</v>
      </c>
      <c r="J8410" t="s">
        <v>61</v>
      </c>
      <c r="K8410" t="s">
        <v>62</v>
      </c>
      <c r="M8410">
        <v>177.61</v>
      </c>
      <c r="N8410" s="4">
        <f t="shared" si="131"/>
        <v>-1.7355441698102583</v>
      </c>
      <c r="O8410" t="s">
        <v>83</v>
      </c>
      <c r="Q8410" s="92"/>
      <c r="S8410" t="s">
        <v>4600</v>
      </c>
      <c r="T8410" t="s">
        <v>6400</v>
      </c>
    </row>
    <row r="8411" spans="1:20" x14ac:dyDescent="0.25">
      <c r="A8411" s="22">
        <v>45930</v>
      </c>
      <c r="B8411" s="1">
        <v>418811097</v>
      </c>
      <c r="C8411" t="s">
        <v>6776</v>
      </c>
      <c r="D8411" s="44">
        <v>-308.25</v>
      </c>
      <c r="E8411" t="s">
        <v>35</v>
      </c>
      <c r="F8411" s="2">
        <v>212901001</v>
      </c>
      <c r="G8411" s="2" t="s">
        <v>91</v>
      </c>
      <c r="I8411" s="95" t="s">
        <v>7231</v>
      </c>
      <c r="J8411" t="s">
        <v>61</v>
      </c>
      <c r="K8411" t="s">
        <v>62</v>
      </c>
      <c r="M8411">
        <v>177.61</v>
      </c>
      <c r="N8411" s="4">
        <f t="shared" si="131"/>
        <v>-1.7355441698102583</v>
      </c>
      <c r="O8411" t="s">
        <v>83</v>
      </c>
      <c r="Q8411" s="92"/>
      <c r="S8411" t="s">
        <v>4600</v>
      </c>
      <c r="T8411" t="s">
        <v>6400</v>
      </c>
    </row>
    <row r="8412" spans="1:20" x14ac:dyDescent="0.25">
      <c r="A8412" s="22">
        <v>45930</v>
      </c>
      <c r="B8412" s="1">
        <v>418811104</v>
      </c>
      <c r="C8412" t="s">
        <v>6777</v>
      </c>
      <c r="D8412" s="44">
        <v>-308.25</v>
      </c>
      <c r="E8412" t="s">
        <v>35</v>
      </c>
      <c r="F8412" s="2">
        <v>212901001</v>
      </c>
      <c r="G8412" s="2" t="s">
        <v>91</v>
      </c>
      <c r="I8412" s="95" t="s">
        <v>7231</v>
      </c>
      <c r="J8412" t="s">
        <v>61</v>
      </c>
      <c r="K8412" t="s">
        <v>62</v>
      </c>
      <c r="M8412">
        <v>177.61</v>
      </c>
      <c r="N8412" s="4">
        <f t="shared" si="131"/>
        <v>-1.7355441698102583</v>
      </c>
      <c r="O8412" t="s">
        <v>83</v>
      </c>
      <c r="Q8412" s="92"/>
      <c r="S8412" t="s">
        <v>4600</v>
      </c>
      <c r="T8412" t="s">
        <v>6400</v>
      </c>
    </row>
    <row r="8413" spans="1:20" x14ac:dyDescent="0.25">
      <c r="A8413" s="22">
        <v>45930</v>
      </c>
      <c r="B8413" s="1">
        <v>418811099</v>
      </c>
      <c r="C8413" t="s">
        <v>6778</v>
      </c>
      <c r="D8413" s="44">
        <v>-308.25</v>
      </c>
      <c r="E8413" t="s">
        <v>35</v>
      </c>
      <c r="F8413" s="2">
        <v>212901001</v>
      </c>
      <c r="G8413" s="2" t="s">
        <v>91</v>
      </c>
      <c r="I8413" s="95" t="s">
        <v>7231</v>
      </c>
      <c r="J8413" t="s">
        <v>61</v>
      </c>
      <c r="K8413" t="s">
        <v>62</v>
      </c>
      <c r="M8413">
        <v>177.61</v>
      </c>
      <c r="N8413" s="4">
        <f t="shared" si="131"/>
        <v>-1.7355441698102583</v>
      </c>
      <c r="O8413" t="s">
        <v>83</v>
      </c>
      <c r="Q8413" s="92"/>
      <c r="S8413" t="s">
        <v>4600</v>
      </c>
      <c r="T8413" t="s">
        <v>6400</v>
      </c>
    </row>
    <row r="8414" spans="1:20" x14ac:dyDescent="0.25">
      <c r="A8414" s="22">
        <v>45930</v>
      </c>
      <c r="B8414" s="1">
        <v>418811102</v>
      </c>
      <c r="C8414" t="s">
        <v>6779</v>
      </c>
      <c r="D8414" s="44">
        <v>-308.25</v>
      </c>
      <c r="E8414" t="s">
        <v>35</v>
      </c>
      <c r="F8414" s="2">
        <v>212901001</v>
      </c>
      <c r="G8414" s="2" t="s">
        <v>91</v>
      </c>
      <c r="I8414" s="95" t="s">
        <v>7231</v>
      </c>
      <c r="J8414" t="s">
        <v>61</v>
      </c>
      <c r="K8414" t="s">
        <v>62</v>
      </c>
      <c r="M8414">
        <v>177.61</v>
      </c>
      <c r="N8414" s="4">
        <f t="shared" si="131"/>
        <v>-1.7355441698102583</v>
      </c>
      <c r="O8414" t="s">
        <v>83</v>
      </c>
      <c r="Q8414" s="92"/>
      <c r="S8414" t="s">
        <v>4600</v>
      </c>
      <c r="T8414" t="s">
        <v>6400</v>
      </c>
    </row>
    <row r="8415" spans="1:20" x14ac:dyDescent="0.25">
      <c r="A8415" s="22">
        <v>45930</v>
      </c>
      <c r="B8415" s="1">
        <v>418811105</v>
      </c>
      <c r="C8415" t="s">
        <v>6780</v>
      </c>
      <c r="D8415" s="44">
        <v>-308.25</v>
      </c>
      <c r="E8415" t="s">
        <v>35</v>
      </c>
      <c r="F8415" s="2">
        <v>212901001</v>
      </c>
      <c r="G8415" s="2" t="s">
        <v>91</v>
      </c>
      <c r="I8415" s="95" t="s">
        <v>7231</v>
      </c>
      <c r="J8415" t="s">
        <v>61</v>
      </c>
      <c r="K8415" t="s">
        <v>62</v>
      </c>
      <c r="M8415">
        <v>177.61</v>
      </c>
      <c r="N8415" s="4">
        <f t="shared" si="131"/>
        <v>-1.7355441698102583</v>
      </c>
      <c r="O8415" t="s">
        <v>83</v>
      </c>
      <c r="Q8415" s="92"/>
      <c r="S8415" t="s">
        <v>4600</v>
      </c>
      <c r="T8415" t="s">
        <v>6400</v>
      </c>
    </row>
    <row r="8416" spans="1:20" x14ac:dyDescent="0.25">
      <c r="A8416" s="22">
        <v>45930</v>
      </c>
      <c r="B8416" s="1">
        <v>50995305</v>
      </c>
      <c r="C8416" t="s">
        <v>89</v>
      </c>
      <c r="D8416" s="44">
        <v>-2633.79</v>
      </c>
      <c r="E8416" t="s">
        <v>35</v>
      </c>
      <c r="F8416" s="2">
        <v>610148001</v>
      </c>
      <c r="G8416" s="2" t="s">
        <v>41</v>
      </c>
      <c r="I8416" s="95" t="s">
        <v>7231</v>
      </c>
      <c r="J8416" t="s">
        <v>42</v>
      </c>
      <c r="K8416" t="s">
        <v>41</v>
      </c>
      <c r="M8416">
        <v>177.61</v>
      </c>
      <c r="N8416" s="4">
        <f t="shared" si="131"/>
        <v>-14.829063678846911</v>
      </c>
      <c r="O8416" t="s">
        <v>83</v>
      </c>
      <c r="Q8416" s="91" t="s">
        <v>6298</v>
      </c>
    </row>
    <row r="8417" spans="1:17" x14ac:dyDescent="0.25">
      <c r="A8417" s="22">
        <v>45930</v>
      </c>
      <c r="C8417" t="s">
        <v>602</v>
      </c>
      <c r="D8417" s="44">
        <v>-0.5</v>
      </c>
      <c r="E8417" t="s">
        <v>35</v>
      </c>
      <c r="F8417" s="2">
        <v>610148001</v>
      </c>
      <c r="G8417" s="2" t="s">
        <v>41</v>
      </c>
      <c r="I8417" s="95" t="s">
        <v>7231</v>
      </c>
      <c r="J8417" t="s">
        <v>42</v>
      </c>
      <c r="K8417" t="s">
        <v>41</v>
      </c>
      <c r="M8417">
        <v>177.61</v>
      </c>
      <c r="N8417" s="4">
        <f t="shared" si="131"/>
        <v>-2.8151568042339955E-3</v>
      </c>
      <c r="O8417" t="s">
        <v>83</v>
      </c>
      <c r="Q8417" s="91" t="s">
        <v>6298</v>
      </c>
    </row>
    <row r="8418" spans="1:17" x14ac:dyDescent="0.25">
      <c r="A8418" s="22">
        <v>45930</v>
      </c>
      <c r="C8418" t="s">
        <v>603</v>
      </c>
      <c r="D8418" s="44">
        <v>-0.5</v>
      </c>
      <c r="E8418" t="s">
        <v>35</v>
      </c>
      <c r="F8418" s="2">
        <v>610148001</v>
      </c>
      <c r="G8418" s="2" t="s">
        <v>41</v>
      </c>
      <c r="I8418" s="95" t="s">
        <v>7231</v>
      </c>
      <c r="J8418" t="s">
        <v>42</v>
      </c>
      <c r="K8418" t="s">
        <v>41</v>
      </c>
      <c r="M8418">
        <v>177.61</v>
      </c>
      <c r="N8418" s="4">
        <f t="shared" si="131"/>
        <v>-2.8151568042339955E-3</v>
      </c>
      <c r="O8418" t="s">
        <v>83</v>
      </c>
      <c r="Q8418" s="91" t="s">
        <v>6298</v>
      </c>
    </row>
    <row r="8419" spans="1:17" x14ac:dyDescent="0.25">
      <c r="A8419" s="22">
        <v>45901</v>
      </c>
      <c r="B8419" s="1" t="s">
        <v>6781</v>
      </c>
      <c r="C8419" t="s">
        <v>1250</v>
      </c>
      <c r="D8419" s="44" t="s">
        <v>4411</v>
      </c>
      <c r="E8419" t="s">
        <v>35</v>
      </c>
      <c r="F8419" s="2">
        <v>610148001</v>
      </c>
      <c r="G8419" s="2" t="s">
        <v>41</v>
      </c>
      <c r="I8419" s="95" t="s">
        <v>7231</v>
      </c>
      <c r="J8419" t="s">
        <v>42</v>
      </c>
      <c r="K8419" t="s">
        <v>41</v>
      </c>
      <c r="M8419">
        <v>148.44</v>
      </c>
      <c r="O8419" t="s">
        <v>605</v>
      </c>
      <c r="Q8419" s="94" t="s">
        <v>6298</v>
      </c>
    </row>
    <row r="8420" spans="1:17" x14ac:dyDescent="0.25">
      <c r="A8420" s="22">
        <v>45901</v>
      </c>
      <c r="B8420" s="1" t="s">
        <v>6782</v>
      </c>
      <c r="C8420" t="s">
        <v>6783</v>
      </c>
      <c r="D8420" s="44" t="s">
        <v>6784</v>
      </c>
      <c r="E8420" t="s">
        <v>45</v>
      </c>
      <c r="F8420" s="2">
        <v>110106001</v>
      </c>
      <c r="G8420" s="2" t="s">
        <v>1011</v>
      </c>
      <c r="I8420" s="95" t="s">
        <v>7231</v>
      </c>
      <c r="K8420" t="s">
        <v>6785</v>
      </c>
      <c r="M8420">
        <v>148.44</v>
      </c>
      <c r="N8420" s="4">
        <f t="shared" ref="N8420:N8483" si="132">D8420/M8420</f>
        <v>5096.8699811371598</v>
      </c>
      <c r="O8420" t="s">
        <v>605</v>
      </c>
      <c r="Q8420" s="80"/>
    </row>
    <row r="8421" spans="1:17" x14ac:dyDescent="0.25">
      <c r="A8421" s="22">
        <v>45903</v>
      </c>
      <c r="B8421" s="1" t="s">
        <v>6786</v>
      </c>
      <c r="C8421" t="s">
        <v>6787</v>
      </c>
      <c r="D8421" s="44" t="s">
        <v>6788</v>
      </c>
      <c r="E8421" t="s">
        <v>35</v>
      </c>
      <c r="F8421" s="2">
        <v>210101001</v>
      </c>
      <c r="G8421" s="2" t="s">
        <v>36</v>
      </c>
      <c r="I8421" s="95" t="s">
        <v>7231</v>
      </c>
      <c r="J8421" t="s">
        <v>414</v>
      </c>
      <c r="K8421" t="s">
        <v>415</v>
      </c>
      <c r="M8421">
        <v>150.80000000000001</v>
      </c>
      <c r="N8421" s="4">
        <f t="shared" si="132"/>
        <v>-9.1347480106100782</v>
      </c>
      <c r="O8421" t="s">
        <v>605</v>
      </c>
    </row>
    <row r="8422" spans="1:17" x14ac:dyDescent="0.25">
      <c r="A8422" s="22">
        <v>45903</v>
      </c>
      <c r="B8422" s="1" t="s">
        <v>6789</v>
      </c>
      <c r="C8422" t="s">
        <v>622</v>
      </c>
      <c r="D8422" s="44" t="s">
        <v>6790</v>
      </c>
      <c r="E8422" t="s">
        <v>35</v>
      </c>
      <c r="F8422" s="2">
        <v>610148001</v>
      </c>
      <c r="G8422" s="2" t="s">
        <v>41</v>
      </c>
      <c r="I8422" s="95" t="s">
        <v>7231</v>
      </c>
      <c r="J8422" t="s">
        <v>42</v>
      </c>
      <c r="K8422" t="s">
        <v>41</v>
      </c>
      <c r="M8422">
        <v>150.80000000000001</v>
      </c>
      <c r="N8422" s="4">
        <f t="shared" si="132"/>
        <v>-2.2811671087533153E-2</v>
      </c>
      <c r="O8422" t="s">
        <v>605</v>
      </c>
      <c r="Q8422" s="94" t="s">
        <v>6298</v>
      </c>
    </row>
    <row r="8423" spans="1:17" x14ac:dyDescent="0.25">
      <c r="A8423" s="22">
        <v>45903</v>
      </c>
      <c r="B8423" s="1" t="s">
        <v>6791</v>
      </c>
      <c r="C8423" t="s">
        <v>622</v>
      </c>
      <c r="D8423" s="44" t="s">
        <v>6792</v>
      </c>
      <c r="E8423" t="s">
        <v>35</v>
      </c>
      <c r="F8423" s="2">
        <v>610148001</v>
      </c>
      <c r="G8423" s="2" t="s">
        <v>41</v>
      </c>
      <c r="I8423" s="95" t="s">
        <v>7231</v>
      </c>
      <c r="J8423" t="s">
        <v>42</v>
      </c>
      <c r="K8423" t="s">
        <v>41</v>
      </c>
      <c r="M8423">
        <v>150.80000000000001</v>
      </c>
      <c r="N8423" s="4">
        <f t="shared" si="132"/>
        <v>-0.25762599469496023</v>
      </c>
      <c r="O8423" t="s">
        <v>605</v>
      </c>
      <c r="Q8423" s="94" t="s">
        <v>6298</v>
      </c>
    </row>
    <row r="8424" spans="1:17" x14ac:dyDescent="0.25">
      <c r="A8424" s="22">
        <v>45903</v>
      </c>
      <c r="B8424" s="1" t="s">
        <v>6793</v>
      </c>
      <c r="C8424" t="s">
        <v>6794</v>
      </c>
      <c r="D8424" s="44" t="s">
        <v>6795</v>
      </c>
      <c r="E8424" t="s">
        <v>35</v>
      </c>
      <c r="F8424" s="2">
        <v>210101001</v>
      </c>
      <c r="G8424" s="2" t="s">
        <v>36</v>
      </c>
      <c r="I8424" s="95" t="s">
        <v>7231</v>
      </c>
      <c r="J8424" t="s">
        <v>414</v>
      </c>
      <c r="K8424" t="s">
        <v>415</v>
      </c>
      <c r="M8424">
        <v>150.80000000000001</v>
      </c>
      <c r="N8424" s="4">
        <f t="shared" si="132"/>
        <v>-103.07208222811671</v>
      </c>
      <c r="O8424" t="s">
        <v>605</v>
      </c>
    </row>
    <row r="8425" spans="1:17" x14ac:dyDescent="0.25">
      <c r="A8425" s="22">
        <v>45903</v>
      </c>
      <c r="B8425" s="1" t="s">
        <v>6796</v>
      </c>
      <c r="C8425" t="s">
        <v>622</v>
      </c>
      <c r="D8425" s="44" t="s">
        <v>6797</v>
      </c>
      <c r="E8425" t="s">
        <v>35</v>
      </c>
      <c r="F8425" s="2">
        <v>610148001</v>
      </c>
      <c r="G8425" s="2" t="s">
        <v>41</v>
      </c>
      <c r="I8425" s="95" t="s">
        <v>7231</v>
      </c>
      <c r="J8425" t="s">
        <v>42</v>
      </c>
      <c r="K8425" t="s">
        <v>41</v>
      </c>
      <c r="M8425">
        <v>150.80000000000001</v>
      </c>
      <c r="N8425" s="4">
        <f t="shared" si="132"/>
        <v>-1.2994031830238726</v>
      </c>
      <c r="O8425" t="s">
        <v>605</v>
      </c>
      <c r="Q8425" s="94" t="s">
        <v>6298</v>
      </c>
    </row>
    <row r="8426" spans="1:17" x14ac:dyDescent="0.25">
      <c r="A8426" s="22">
        <v>45903</v>
      </c>
      <c r="B8426" s="1" t="s">
        <v>6798</v>
      </c>
      <c r="C8426" t="s">
        <v>6799</v>
      </c>
      <c r="D8426" s="44" t="s">
        <v>6800</v>
      </c>
      <c r="E8426" t="s">
        <v>35</v>
      </c>
      <c r="F8426" s="2">
        <v>210101001</v>
      </c>
      <c r="G8426" s="2" t="s">
        <v>36</v>
      </c>
      <c r="I8426" s="95" t="s">
        <v>7231</v>
      </c>
      <c r="J8426" t="s">
        <v>376</v>
      </c>
      <c r="K8426" t="s">
        <v>377</v>
      </c>
      <c r="M8426">
        <v>150.80000000000001</v>
      </c>
      <c r="N8426" s="4">
        <f t="shared" si="132"/>
        <v>-519.76697612732096</v>
      </c>
      <c r="O8426" t="s">
        <v>605</v>
      </c>
    </row>
    <row r="8427" spans="1:17" x14ac:dyDescent="0.25">
      <c r="A8427" s="22">
        <v>45903</v>
      </c>
      <c r="B8427" s="1" t="s">
        <v>6801</v>
      </c>
      <c r="C8427" t="s">
        <v>622</v>
      </c>
      <c r="D8427" s="44" t="s">
        <v>6802</v>
      </c>
      <c r="E8427" t="s">
        <v>35</v>
      </c>
      <c r="F8427" s="2">
        <v>610148001</v>
      </c>
      <c r="G8427" s="2" t="s">
        <v>41</v>
      </c>
      <c r="I8427" s="95" t="s">
        <v>7231</v>
      </c>
      <c r="J8427" t="s">
        <v>42</v>
      </c>
      <c r="K8427" t="s">
        <v>41</v>
      </c>
      <c r="M8427">
        <v>150.80000000000001</v>
      </c>
      <c r="N8427" s="4">
        <f t="shared" si="132"/>
        <v>-5.3303713527851455</v>
      </c>
      <c r="O8427" t="s">
        <v>605</v>
      </c>
      <c r="Q8427" s="94" t="s">
        <v>6298</v>
      </c>
    </row>
    <row r="8428" spans="1:17" x14ac:dyDescent="0.25">
      <c r="A8428" s="22">
        <v>45903</v>
      </c>
      <c r="B8428" s="1" t="s">
        <v>6803</v>
      </c>
      <c r="C8428" t="s">
        <v>6380</v>
      </c>
      <c r="D8428" s="44" t="s">
        <v>6804</v>
      </c>
      <c r="E8428" t="s">
        <v>35</v>
      </c>
      <c r="F8428" s="2">
        <v>210101001</v>
      </c>
      <c r="G8428" s="2" t="s">
        <v>36</v>
      </c>
      <c r="I8428" s="95" t="s">
        <v>7231</v>
      </c>
      <c r="J8428" t="s">
        <v>502</v>
      </c>
      <c r="K8428" t="s">
        <v>503</v>
      </c>
      <c r="M8428">
        <v>150.80000000000001</v>
      </c>
      <c r="N8428" s="4">
        <f t="shared" si="132"/>
        <v>-2132.1598806366046</v>
      </c>
      <c r="O8428" t="s">
        <v>605</v>
      </c>
    </row>
    <row r="8429" spans="1:17" x14ac:dyDescent="0.25">
      <c r="A8429" s="22">
        <v>45905</v>
      </c>
      <c r="B8429" s="1" t="s">
        <v>6805</v>
      </c>
      <c r="C8429" t="s">
        <v>3307</v>
      </c>
      <c r="D8429" s="44" t="s">
        <v>6806</v>
      </c>
      <c r="E8429" t="s">
        <v>35</v>
      </c>
      <c r="F8429" s="2">
        <v>610148001</v>
      </c>
      <c r="G8429" s="2" t="s">
        <v>41</v>
      </c>
      <c r="I8429" s="95" t="s">
        <v>7231</v>
      </c>
      <c r="J8429" t="s">
        <v>42</v>
      </c>
      <c r="K8429" t="s">
        <v>41</v>
      </c>
      <c r="M8429">
        <v>152.82</v>
      </c>
      <c r="N8429" s="4">
        <f t="shared" si="132"/>
        <v>-5.7256903546656197</v>
      </c>
      <c r="O8429" t="s">
        <v>605</v>
      </c>
      <c r="Q8429" s="94" t="s">
        <v>6298</v>
      </c>
    </row>
    <row r="8430" spans="1:17" x14ac:dyDescent="0.25">
      <c r="A8430" s="22">
        <v>45905</v>
      </c>
      <c r="B8430" s="1" t="s">
        <v>6807</v>
      </c>
      <c r="C8430" t="s">
        <v>3305</v>
      </c>
      <c r="D8430" s="44" t="s">
        <v>6808</v>
      </c>
      <c r="E8430" t="s">
        <v>35</v>
      </c>
      <c r="F8430" s="2">
        <v>110101003</v>
      </c>
      <c r="G8430" s="2" t="s">
        <v>2945</v>
      </c>
      <c r="I8430" s="95" t="s">
        <v>7231</v>
      </c>
      <c r="K8430" t="s">
        <v>3305</v>
      </c>
      <c r="M8430">
        <v>152.82</v>
      </c>
      <c r="N8430" s="4">
        <f t="shared" si="132"/>
        <v>-2290.2761418662481</v>
      </c>
      <c r="O8430" t="s">
        <v>605</v>
      </c>
    </row>
    <row r="8431" spans="1:17" x14ac:dyDescent="0.25">
      <c r="A8431" s="22">
        <v>45905</v>
      </c>
      <c r="B8431" s="1" t="s">
        <v>6809</v>
      </c>
      <c r="C8431" t="s">
        <v>3252</v>
      </c>
      <c r="D8431" s="44" t="s">
        <v>6810</v>
      </c>
      <c r="E8431" t="s">
        <v>45</v>
      </c>
      <c r="F8431" s="2">
        <v>210115002</v>
      </c>
      <c r="G8431" s="2" t="s">
        <v>5259</v>
      </c>
      <c r="I8431" s="95" t="s">
        <v>7231</v>
      </c>
      <c r="K8431" t="s">
        <v>3252</v>
      </c>
      <c r="M8431">
        <v>152.82</v>
      </c>
      <c r="N8431" s="4">
        <f t="shared" si="132"/>
        <v>9815.4691794267765</v>
      </c>
      <c r="O8431" t="s">
        <v>605</v>
      </c>
    </row>
    <row r="8432" spans="1:17" x14ac:dyDescent="0.25">
      <c r="A8432" s="22">
        <v>45905</v>
      </c>
      <c r="B8432" s="1" t="s">
        <v>6811</v>
      </c>
      <c r="C8432" t="s">
        <v>82</v>
      </c>
      <c r="D8432" s="44" t="s">
        <v>6812</v>
      </c>
      <c r="E8432" t="s">
        <v>45</v>
      </c>
      <c r="F8432" s="2">
        <v>210115002</v>
      </c>
      <c r="G8432" s="2" t="s">
        <v>5259</v>
      </c>
      <c r="I8432" s="95" t="s">
        <v>7231</v>
      </c>
      <c r="K8432" t="s">
        <v>82</v>
      </c>
      <c r="M8432">
        <v>152.82</v>
      </c>
      <c r="N8432" s="4">
        <f t="shared" si="132"/>
        <v>850.67399555032068</v>
      </c>
      <c r="O8432" t="s">
        <v>605</v>
      </c>
    </row>
    <row r="8433" spans="1:17" x14ac:dyDescent="0.25">
      <c r="A8433" s="22">
        <v>45905</v>
      </c>
      <c r="B8433" s="1" t="s">
        <v>6813</v>
      </c>
      <c r="C8433" t="s">
        <v>6814</v>
      </c>
      <c r="D8433" s="44">
        <v>-15282</v>
      </c>
      <c r="E8433" t="s">
        <v>35</v>
      </c>
      <c r="F8433" s="2">
        <v>212901001</v>
      </c>
      <c r="G8433" s="2" t="s">
        <v>91</v>
      </c>
      <c r="I8433" s="95" t="s">
        <v>7231</v>
      </c>
      <c r="J8433" t="s">
        <v>61</v>
      </c>
      <c r="K8433" t="s">
        <v>62</v>
      </c>
      <c r="M8433">
        <v>152.82</v>
      </c>
      <c r="N8433" s="4">
        <f t="shared" si="132"/>
        <v>-100</v>
      </c>
      <c r="O8433" t="s">
        <v>605</v>
      </c>
    </row>
    <row r="8434" spans="1:17" x14ac:dyDescent="0.25">
      <c r="A8434" s="22">
        <v>45905</v>
      </c>
      <c r="B8434" s="1" t="s">
        <v>6815</v>
      </c>
      <c r="C8434" t="s">
        <v>622</v>
      </c>
      <c r="D8434" s="44">
        <v>-38.200000000000003</v>
      </c>
      <c r="E8434" t="s">
        <v>35</v>
      </c>
      <c r="F8434" s="2">
        <v>610148001</v>
      </c>
      <c r="G8434" s="2" t="s">
        <v>41</v>
      </c>
      <c r="I8434" s="95" t="s">
        <v>7231</v>
      </c>
      <c r="J8434" t="s">
        <v>42</v>
      </c>
      <c r="K8434" t="s">
        <v>41</v>
      </c>
      <c r="M8434">
        <v>152.82</v>
      </c>
      <c r="N8434" s="4">
        <f t="shared" si="132"/>
        <v>-0.24996728176940194</v>
      </c>
      <c r="O8434" t="s">
        <v>605</v>
      </c>
      <c r="Q8434" s="94" t="s">
        <v>6298</v>
      </c>
    </row>
    <row r="8435" spans="1:17" x14ac:dyDescent="0.25">
      <c r="A8435" s="22">
        <v>45905</v>
      </c>
      <c r="B8435" s="1" t="s">
        <v>6816</v>
      </c>
      <c r="C8435" t="s">
        <v>6817</v>
      </c>
      <c r="D8435" s="44">
        <v>-3056.4</v>
      </c>
      <c r="E8435" t="s">
        <v>35</v>
      </c>
      <c r="F8435" s="2">
        <v>212901001</v>
      </c>
      <c r="G8435" s="2" t="s">
        <v>91</v>
      </c>
      <c r="I8435" s="95" t="s">
        <v>7231</v>
      </c>
      <c r="J8435" t="s">
        <v>61</v>
      </c>
      <c r="K8435" t="s">
        <v>62</v>
      </c>
      <c r="M8435">
        <v>152.82</v>
      </c>
      <c r="N8435" s="4">
        <f t="shared" si="132"/>
        <v>-20</v>
      </c>
      <c r="O8435" t="s">
        <v>605</v>
      </c>
    </row>
    <row r="8436" spans="1:17" x14ac:dyDescent="0.25">
      <c r="A8436" s="22">
        <v>45905</v>
      </c>
      <c r="B8436" s="1" t="s">
        <v>6818</v>
      </c>
      <c r="C8436" t="s">
        <v>622</v>
      </c>
      <c r="D8436" s="44">
        <v>-7.64</v>
      </c>
      <c r="E8436" t="s">
        <v>35</v>
      </c>
      <c r="F8436" s="2">
        <v>610148001</v>
      </c>
      <c r="G8436" s="2" t="s">
        <v>41</v>
      </c>
      <c r="I8436" s="95" t="s">
        <v>7231</v>
      </c>
      <c r="J8436" t="s">
        <v>42</v>
      </c>
      <c r="K8436" t="s">
        <v>41</v>
      </c>
      <c r="M8436">
        <v>152.82</v>
      </c>
      <c r="N8436" s="4">
        <f t="shared" si="132"/>
        <v>-4.9993456353880382E-2</v>
      </c>
      <c r="O8436" t="s">
        <v>605</v>
      </c>
      <c r="Q8436" s="94" t="s">
        <v>6298</v>
      </c>
    </row>
    <row r="8437" spans="1:17" x14ac:dyDescent="0.25">
      <c r="A8437" s="22">
        <v>45905</v>
      </c>
      <c r="B8437" s="1" t="s">
        <v>6819</v>
      </c>
      <c r="C8437" t="s">
        <v>6820</v>
      </c>
      <c r="D8437" s="44">
        <v>-3056.4</v>
      </c>
      <c r="E8437" t="s">
        <v>35</v>
      </c>
      <c r="F8437" s="2">
        <v>212901001</v>
      </c>
      <c r="G8437" s="2" t="s">
        <v>91</v>
      </c>
      <c r="I8437" s="95" t="s">
        <v>7231</v>
      </c>
      <c r="J8437" t="s">
        <v>61</v>
      </c>
      <c r="K8437" t="s">
        <v>62</v>
      </c>
      <c r="M8437">
        <v>152.82</v>
      </c>
      <c r="N8437" s="4">
        <f t="shared" si="132"/>
        <v>-20</v>
      </c>
      <c r="O8437" t="s">
        <v>605</v>
      </c>
    </row>
    <row r="8438" spans="1:17" x14ac:dyDescent="0.25">
      <c r="A8438" s="22">
        <v>45905</v>
      </c>
      <c r="B8438" s="1" t="s">
        <v>6821</v>
      </c>
      <c r="C8438" t="s">
        <v>622</v>
      </c>
      <c r="D8438" s="44">
        <v>-7.64</v>
      </c>
      <c r="E8438" t="s">
        <v>35</v>
      </c>
      <c r="F8438" s="2">
        <v>610148001</v>
      </c>
      <c r="G8438" s="2" t="s">
        <v>41</v>
      </c>
      <c r="I8438" s="95" t="s">
        <v>7231</v>
      </c>
      <c r="J8438" t="s">
        <v>42</v>
      </c>
      <c r="K8438" t="s">
        <v>41</v>
      </c>
      <c r="M8438">
        <v>152.82</v>
      </c>
      <c r="N8438" s="4">
        <f t="shared" si="132"/>
        <v>-4.9993456353880382E-2</v>
      </c>
      <c r="O8438" t="s">
        <v>605</v>
      </c>
      <c r="Q8438" s="94" t="s">
        <v>6298</v>
      </c>
    </row>
    <row r="8439" spans="1:17" x14ac:dyDescent="0.25">
      <c r="A8439" s="22">
        <v>45905</v>
      </c>
      <c r="B8439" s="1" t="s">
        <v>6822</v>
      </c>
      <c r="C8439" t="s">
        <v>6823</v>
      </c>
      <c r="D8439" s="44">
        <v>-3056.4</v>
      </c>
      <c r="E8439" t="s">
        <v>35</v>
      </c>
      <c r="F8439" s="2">
        <v>212901001</v>
      </c>
      <c r="G8439" s="2" t="s">
        <v>91</v>
      </c>
      <c r="I8439" s="95" t="s">
        <v>7231</v>
      </c>
      <c r="J8439" t="s">
        <v>61</v>
      </c>
      <c r="K8439" t="s">
        <v>62</v>
      </c>
      <c r="M8439">
        <v>152.82</v>
      </c>
      <c r="N8439" s="4">
        <f t="shared" si="132"/>
        <v>-20</v>
      </c>
      <c r="O8439" t="s">
        <v>605</v>
      </c>
    </row>
    <row r="8440" spans="1:17" x14ac:dyDescent="0.25">
      <c r="A8440" s="22">
        <v>45905</v>
      </c>
      <c r="B8440" s="1" t="s">
        <v>6824</v>
      </c>
      <c r="C8440" t="s">
        <v>622</v>
      </c>
      <c r="D8440" s="44">
        <v>-7.64</v>
      </c>
      <c r="E8440" t="s">
        <v>35</v>
      </c>
      <c r="F8440" s="2">
        <v>610148001</v>
      </c>
      <c r="G8440" s="2" t="s">
        <v>41</v>
      </c>
      <c r="I8440" s="95" t="s">
        <v>7231</v>
      </c>
      <c r="J8440" t="s">
        <v>42</v>
      </c>
      <c r="K8440" t="s">
        <v>41</v>
      </c>
      <c r="M8440">
        <v>152.82</v>
      </c>
      <c r="N8440" s="4">
        <f t="shared" si="132"/>
        <v>-4.9993456353880382E-2</v>
      </c>
      <c r="O8440" t="s">
        <v>605</v>
      </c>
      <c r="Q8440" s="94" t="s">
        <v>6298</v>
      </c>
    </row>
    <row r="8441" spans="1:17" x14ac:dyDescent="0.25">
      <c r="A8441" s="33">
        <v>45905</v>
      </c>
      <c r="B8441" s="27" t="s">
        <v>6825</v>
      </c>
      <c r="C8441" s="28" t="s">
        <v>6826</v>
      </c>
      <c r="D8441" s="47">
        <v>-45081.9</v>
      </c>
      <c r="E8441" s="28" t="s">
        <v>35</v>
      </c>
      <c r="F8441" s="30">
        <v>610156001</v>
      </c>
      <c r="G8441" s="30" t="s">
        <v>72</v>
      </c>
      <c r="H8441" s="30"/>
      <c r="I8441" s="95" t="s">
        <v>7231</v>
      </c>
      <c r="J8441" s="28" t="s">
        <v>2398</v>
      </c>
      <c r="K8441" s="28" t="s">
        <v>632</v>
      </c>
      <c r="L8441" s="28" t="s">
        <v>56</v>
      </c>
      <c r="M8441" s="28">
        <v>152.82</v>
      </c>
      <c r="N8441" s="4">
        <f t="shared" si="132"/>
        <v>-295</v>
      </c>
      <c r="O8441" t="s">
        <v>605</v>
      </c>
      <c r="Q8441" s="24" t="s">
        <v>6827</v>
      </c>
    </row>
    <row r="8442" spans="1:17" x14ac:dyDescent="0.25">
      <c r="A8442" s="22">
        <v>45905</v>
      </c>
      <c r="B8442" s="1" t="s">
        <v>6828</v>
      </c>
      <c r="C8442" t="s">
        <v>622</v>
      </c>
      <c r="D8442" s="44">
        <v>-112.7</v>
      </c>
      <c r="E8442" t="s">
        <v>35</v>
      </c>
      <c r="F8442" s="2">
        <v>610148001</v>
      </c>
      <c r="G8442" s="2" t="s">
        <v>41</v>
      </c>
      <c r="I8442" s="95" t="s">
        <v>7231</v>
      </c>
      <c r="J8442" t="s">
        <v>42</v>
      </c>
      <c r="K8442" t="s">
        <v>41</v>
      </c>
      <c r="M8442">
        <v>152.82</v>
      </c>
      <c r="N8442" s="4">
        <f t="shared" si="132"/>
        <v>-0.73746891768093181</v>
      </c>
      <c r="O8442" t="s">
        <v>605</v>
      </c>
      <c r="Q8442" s="94" t="s">
        <v>6298</v>
      </c>
    </row>
    <row r="8443" spans="1:17" x14ac:dyDescent="0.25">
      <c r="A8443" s="22">
        <v>45905</v>
      </c>
      <c r="B8443" s="1" t="s">
        <v>6829</v>
      </c>
      <c r="C8443" t="s">
        <v>6830</v>
      </c>
      <c r="D8443" s="44">
        <v>-696</v>
      </c>
      <c r="E8443" t="s">
        <v>35</v>
      </c>
      <c r="F8443" s="2">
        <v>210101001</v>
      </c>
      <c r="G8443" s="2" t="s">
        <v>36</v>
      </c>
      <c r="I8443" s="95" t="s">
        <v>7231</v>
      </c>
      <c r="J8443" t="s">
        <v>414</v>
      </c>
      <c r="K8443" t="s">
        <v>415</v>
      </c>
      <c r="M8443">
        <v>152.82</v>
      </c>
      <c r="N8443" s="4">
        <f t="shared" si="132"/>
        <v>-4.5543776992540241</v>
      </c>
      <c r="O8443" t="s">
        <v>605</v>
      </c>
    </row>
    <row r="8444" spans="1:17" x14ac:dyDescent="0.25">
      <c r="A8444" s="22">
        <v>45905</v>
      </c>
      <c r="B8444" s="1" t="s">
        <v>6831</v>
      </c>
      <c r="C8444" t="s">
        <v>622</v>
      </c>
      <c r="D8444" s="44">
        <v>-1.74</v>
      </c>
      <c r="E8444" t="s">
        <v>35</v>
      </c>
      <c r="F8444" s="2">
        <v>610148001</v>
      </c>
      <c r="G8444" s="2" t="s">
        <v>41</v>
      </c>
      <c r="I8444" s="95" t="s">
        <v>7231</v>
      </c>
      <c r="J8444" t="s">
        <v>42</v>
      </c>
      <c r="K8444" t="s">
        <v>41</v>
      </c>
      <c r="M8444">
        <v>152.82</v>
      </c>
      <c r="N8444" s="4">
        <f t="shared" si="132"/>
        <v>-1.1385944248135061E-2</v>
      </c>
      <c r="O8444" t="s">
        <v>605</v>
      </c>
      <c r="Q8444" s="94" t="s">
        <v>6298</v>
      </c>
    </row>
    <row r="8445" spans="1:17" x14ac:dyDescent="0.25">
      <c r="A8445" s="22">
        <v>45905</v>
      </c>
      <c r="B8445" s="1" t="s">
        <v>6832</v>
      </c>
      <c r="C8445" t="s">
        <v>6833</v>
      </c>
      <c r="D8445" s="44">
        <v>-3056.4</v>
      </c>
      <c r="E8445" t="s">
        <v>35</v>
      </c>
      <c r="F8445" s="2">
        <v>212901001</v>
      </c>
      <c r="G8445" s="2" t="s">
        <v>91</v>
      </c>
      <c r="I8445" s="95" t="s">
        <v>7231</v>
      </c>
      <c r="J8445" t="s">
        <v>61</v>
      </c>
      <c r="K8445" t="s">
        <v>62</v>
      </c>
      <c r="M8445">
        <v>152.82</v>
      </c>
      <c r="N8445" s="4">
        <f t="shared" si="132"/>
        <v>-20</v>
      </c>
      <c r="O8445" t="s">
        <v>605</v>
      </c>
    </row>
    <row r="8446" spans="1:17" x14ac:dyDescent="0.25">
      <c r="A8446" s="22">
        <v>45905</v>
      </c>
      <c r="B8446" s="1" t="s">
        <v>6834</v>
      </c>
      <c r="C8446" t="s">
        <v>622</v>
      </c>
      <c r="D8446" s="44">
        <v>-7.64</v>
      </c>
      <c r="E8446" t="s">
        <v>35</v>
      </c>
      <c r="F8446" s="2">
        <v>610148001</v>
      </c>
      <c r="G8446" s="2" t="s">
        <v>41</v>
      </c>
      <c r="I8446" s="95" t="s">
        <v>7231</v>
      </c>
      <c r="J8446" t="s">
        <v>42</v>
      </c>
      <c r="K8446" t="s">
        <v>41</v>
      </c>
      <c r="M8446">
        <v>152.82</v>
      </c>
      <c r="N8446" s="4">
        <f t="shared" si="132"/>
        <v>-4.9993456353880382E-2</v>
      </c>
      <c r="O8446" t="s">
        <v>605</v>
      </c>
      <c r="Q8446" s="94" t="s">
        <v>6298</v>
      </c>
    </row>
    <row r="8447" spans="1:17" x14ac:dyDescent="0.25">
      <c r="A8447" s="22">
        <v>45905</v>
      </c>
      <c r="B8447" s="1" t="s">
        <v>6835</v>
      </c>
      <c r="C8447" t="s">
        <v>6836</v>
      </c>
      <c r="D8447" s="44">
        <v>-4584.6000000000004</v>
      </c>
      <c r="E8447" t="s">
        <v>35</v>
      </c>
      <c r="F8447" s="2">
        <v>212901001</v>
      </c>
      <c r="G8447" s="2" t="s">
        <v>91</v>
      </c>
      <c r="I8447" s="95" t="s">
        <v>7231</v>
      </c>
      <c r="J8447" t="s">
        <v>61</v>
      </c>
      <c r="K8447" t="s">
        <v>62</v>
      </c>
      <c r="M8447">
        <v>152.82</v>
      </c>
      <c r="N8447" s="4">
        <f t="shared" si="132"/>
        <v>-30.000000000000004</v>
      </c>
      <c r="O8447" t="s">
        <v>605</v>
      </c>
    </row>
    <row r="8448" spans="1:17" x14ac:dyDescent="0.25">
      <c r="A8448" s="22">
        <v>45905</v>
      </c>
      <c r="B8448" s="1" t="s">
        <v>6837</v>
      </c>
      <c r="C8448" t="s">
        <v>622</v>
      </c>
      <c r="D8448" s="44">
        <v>-11.46</v>
      </c>
      <c r="E8448" t="s">
        <v>35</v>
      </c>
      <c r="F8448" s="2">
        <v>610148001</v>
      </c>
      <c r="G8448" s="2" t="s">
        <v>41</v>
      </c>
      <c r="I8448" s="95" t="s">
        <v>7231</v>
      </c>
      <c r="J8448" t="s">
        <v>42</v>
      </c>
      <c r="K8448" t="s">
        <v>41</v>
      </c>
      <c r="M8448">
        <v>152.82</v>
      </c>
      <c r="N8448" s="4">
        <f t="shared" si="132"/>
        <v>-7.4990184530820583E-2</v>
      </c>
      <c r="O8448" t="s">
        <v>605</v>
      </c>
      <c r="Q8448" s="94" t="s">
        <v>6298</v>
      </c>
    </row>
    <row r="8449" spans="1:17" x14ac:dyDescent="0.25">
      <c r="A8449" s="22">
        <v>45905</v>
      </c>
      <c r="B8449" s="1" t="s">
        <v>6838</v>
      </c>
      <c r="C8449" t="s">
        <v>6839</v>
      </c>
      <c r="D8449" s="44">
        <v>-15282</v>
      </c>
      <c r="E8449" t="s">
        <v>35</v>
      </c>
      <c r="F8449" s="2">
        <v>212901001</v>
      </c>
      <c r="G8449" s="2" t="s">
        <v>91</v>
      </c>
      <c r="I8449" s="95" t="s">
        <v>7231</v>
      </c>
      <c r="J8449" t="s">
        <v>61</v>
      </c>
      <c r="K8449" t="s">
        <v>62</v>
      </c>
      <c r="M8449">
        <v>152.82</v>
      </c>
      <c r="N8449" s="4">
        <f t="shared" si="132"/>
        <v>-100</v>
      </c>
      <c r="O8449" t="s">
        <v>605</v>
      </c>
    </row>
    <row r="8450" spans="1:17" x14ac:dyDescent="0.25">
      <c r="A8450" s="22">
        <v>45905</v>
      </c>
      <c r="B8450" s="1" t="s">
        <v>6840</v>
      </c>
      <c r="C8450" t="s">
        <v>622</v>
      </c>
      <c r="D8450" s="44">
        <v>-38.200000000000003</v>
      </c>
      <c r="E8450" t="s">
        <v>35</v>
      </c>
      <c r="F8450" s="2">
        <v>610148001</v>
      </c>
      <c r="G8450" s="2" t="s">
        <v>41</v>
      </c>
      <c r="I8450" s="95" t="s">
        <v>7231</v>
      </c>
      <c r="J8450" t="s">
        <v>42</v>
      </c>
      <c r="K8450" t="s">
        <v>41</v>
      </c>
      <c r="M8450">
        <v>152.82</v>
      </c>
      <c r="N8450" s="4">
        <f t="shared" si="132"/>
        <v>-0.24996728176940194</v>
      </c>
      <c r="O8450" t="s">
        <v>605</v>
      </c>
      <c r="Q8450" s="94" t="s">
        <v>6298</v>
      </c>
    </row>
    <row r="8451" spans="1:17" x14ac:dyDescent="0.25">
      <c r="A8451" s="22">
        <v>45905</v>
      </c>
      <c r="B8451" s="1" t="s">
        <v>6841</v>
      </c>
      <c r="C8451" t="s">
        <v>6842</v>
      </c>
      <c r="D8451" s="44">
        <v>-3056.4</v>
      </c>
      <c r="E8451" t="s">
        <v>35</v>
      </c>
      <c r="F8451" s="2">
        <v>212901001</v>
      </c>
      <c r="G8451" s="2" t="s">
        <v>91</v>
      </c>
      <c r="I8451" s="95" t="s">
        <v>7231</v>
      </c>
      <c r="J8451" t="s">
        <v>61</v>
      </c>
      <c r="K8451" t="s">
        <v>62</v>
      </c>
      <c r="M8451">
        <v>152.82</v>
      </c>
      <c r="N8451" s="4">
        <f t="shared" si="132"/>
        <v>-20</v>
      </c>
      <c r="O8451" t="s">
        <v>605</v>
      </c>
    </row>
    <row r="8452" spans="1:17" x14ac:dyDescent="0.25">
      <c r="A8452" s="22">
        <v>45905</v>
      </c>
      <c r="B8452" s="1" t="s">
        <v>6843</v>
      </c>
      <c r="C8452" t="s">
        <v>622</v>
      </c>
      <c r="D8452" s="44">
        <v>-7.64</v>
      </c>
      <c r="E8452" t="s">
        <v>35</v>
      </c>
      <c r="F8452" s="2">
        <v>610148001</v>
      </c>
      <c r="G8452" s="2" t="s">
        <v>41</v>
      </c>
      <c r="I8452" s="95" t="s">
        <v>7231</v>
      </c>
      <c r="J8452" t="s">
        <v>42</v>
      </c>
      <c r="K8452" t="s">
        <v>41</v>
      </c>
      <c r="M8452">
        <v>152.82</v>
      </c>
      <c r="N8452" s="4">
        <f t="shared" si="132"/>
        <v>-4.9993456353880382E-2</v>
      </c>
      <c r="O8452" t="s">
        <v>605</v>
      </c>
      <c r="Q8452" s="94" t="s">
        <v>6298</v>
      </c>
    </row>
    <row r="8453" spans="1:17" x14ac:dyDescent="0.25">
      <c r="A8453" s="22">
        <v>45905</v>
      </c>
      <c r="B8453" s="1" t="s">
        <v>6844</v>
      </c>
      <c r="C8453" t="s">
        <v>622</v>
      </c>
      <c r="D8453" s="44">
        <v>-2523.52</v>
      </c>
      <c r="E8453" t="s">
        <v>35</v>
      </c>
      <c r="F8453" s="2">
        <v>610148001</v>
      </c>
      <c r="G8453" s="2" t="s">
        <v>41</v>
      </c>
      <c r="I8453" s="95" t="s">
        <v>7231</v>
      </c>
      <c r="J8453" t="s">
        <v>42</v>
      </c>
      <c r="K8453" t="s">
        <v>41</v>
      </c>
      <c r="M8453">
        <v>152.82</v>
      </c>
      <c r="N8453" s="4">
        <f t="shared" si="132"/>
        <v>-16.513021855778039</v>
      </c>
      <c r="O8453" t="s">
        <v>605</v>
      </c>
      <c r="Q8453" s="94" t="s">
        <v>6298</v>
      </c>
    </row>
    <row r="8454" spans="1:17" x14ac:dyDescent="0.25">
      <c r="A8454" s="22">
        <v>45905</v>
      </c>
      <c r="B8454" s="1" t="s">
        <v>6845</v>
      </c>
      <c r="C8454" t="s">
        <v>6846</v>
      </c>
      <c r="D8454" s="44">
        <v>-1009409.72</v>
      </c>
      <c r="E8454" t="s">
        <v>35</v>
      </c>
      <c r="F8454" s="2">
        <v>110114001</v>
      </c>
      <c r="G8454" s="2" t="s">
        <v>181</v>
      </c>
      <c r="I8454" s="95" t="s">
        <v>7231</v>
      </c>
      <c r="J8454" t="s">
        <v>37</v>
      </c>
      <c r="K8454" t="s">
        <v>38</v>
      </c>
      <c r="M8454">
        <v>152.82</v>
      </c>
      <c r="N8454" s="4">
        <f t="shared" si="132"/>
        <v>-6605.2199973825418</v>
      </c>
      <c r="O8454" t="s">
        <v>605</v>
      </c>
      <c r="P8454" s="34" t="s">
        <v>6558</v>
      </c>
    </row>
    <row r="8455" spans="1:17" x14ac:dyDescent="0.25">
      <c r="A8455" s="22">
        <v>45905</v>
      </c>
      <c r="B8455" s="1" t="s">
        <v>6847</v>
      </c>
      <c r="C8455" t="s">
        <v>622</v>
      </c>
      <c r="D8455" s="44">
        <v>-6.82</v>
      </c>
      <c r="E8455" t="s">
        <v>35</v>
      </c>
      <c r="F8455" s="2">
        <v>610148001</v>
      </c>
      <c r="G8455" s="2" t="s">
        <v>41</v>
      </c>
      <c r="I8455" s="95" t="s">
        <v>7231</v>
      </c>
      <c r="J8455" t="s">
        <v>42</v>
      </c>
      <c r="K8455" t="s">
        <v>41</v>
      </c>
      <c r="M8455">
        <v>152.82</v>
      </c>
      <c r="N8455" s="4">
        <f t="shared" si="132"/>
        <v>-4.4627666535793746E-2</v>
      </c>
      <c r="O8455" t="s">
        <v>605</v>
      </c>
      <c r="Q8455" s="94" t="s">
        <v>6298</v>
      </c>
    </row>
    <row r="8456" spans="1:17" x14ac:dyDescent="0.25">
      <c r="A8456" s="22">
        <v>45905</v>
      </c>
      <c r="B8456" s="1" t="s">
        <v>6848</v>
      </c>
      <c r="C8456" t="s">
        <v>6849</v>
      </c>
      <c r="D8456" s="44">
        <v>-2731.66</v>
      </c>
      <c r="E8456" t="s">
        <v>35</v>
      </c>
      <c r="F8456" s="2">
        <v>210101001</v>
      </c>
      <c r="G8456" s="2" t="s">
        <v>36</v>
      </c>
      <c r="I8456" s="95" t="s">
        <v>7231</v>
      </c>
      <c r="J8456" t="s">
        <v>631</v>
      </c>
      <c r="K8456" t="s">
        <v>632</v>
      </c>
      <c r="M8456">
        <v>152.82</v>
      </c>
      <c r="N8456" s="4">
        <f t="shared" si="132"/>
        <v>-17.8750163591153</v>
      </c>
      <c r="O8456" t="s">
        <v>605</v>
      </c>
    </row>
    <row r="8457" spans="1:17" x14ac:dyDescent="0.25">
      <c r="A8457" s="22">
        <v>45905</v>
      </c>
      <c r="B8457" s="1" t="s">
        <v>6850</v>
      </c>
      <c r="C8457" t="s">
        <v>622</v>
      </c>
      <c r="D8457" s="44">
        <v>-3.82</v>
      </c>
      <c r="E8457" t="s">
        <v>35</v>
      </c>
      <c r="F8457" s="2">
        <v>610148001</v>
      </c>
      <c r="G8457" s="2" t="s">
        <v>41</v>
      </c>
      <c r="I8457" s="95" t="s">
        <v>7231</v>
      </c>
      <c r="J8457" t="s">
        <v>42</v>
      </c>
      <c r="K8457" t="s">
        <v>41</v>
      </c>
      <c r="M8457">
        <v>152.82</v>
      </c>
      <c r="N8457" s="4">
        <f t="shared" si="132"/>
        <v>-2.4996728176940191E-2</v>
      </c>
      <c r="O8457" t="s">
        <v>605</v>
      </c>
      <c r="Q8457" s="94" t="s">
        <v>6298</v>
      </c>
    </row>
    <row r="8458" spans="1:17" x14ac:dyDescent="0.25">
      <c r="A8458" s="22">
        <v>45905</v>
      </c>
      <c r="B8458" s="1" t="s">
        <v>6851</v>
      </c>
      <c r="C8458" t="s">
        <v>6852</v>
      </c>
      <c r="D8458" s="44">
        <v>-1528.2</v>
      </c>
      <c r="E8458" t="s">
        <v>35</v>
      </c>
      <c r="F8458" s="2">
        <v>212901001</v>
      </c>
      <c r="G8458" s="2" t="s">
        <v>91</v>
      </c>
      <c r="I8458" s="95" t="s">
        <v>7231</v>
      </c>
      <c r="J8458" t="s">
        <v>61</v>
      </c>
      <c r="K8458" t="s">
        <v>62</v>
      </c>
      <c r="M8458">
        <v>152.82</v>
      </c>
      <c r="N8458" s="4">
        <f t="shared" si="132"/>
        <v>-10</v>
      </c>
      <c r="O8458" t="s">
        <v>605</v>
      </c>
    </row>
    <row r="8459" spans="1:17" x14ac:dyDescent="0.25">
      <c r="A8459" s="22">
        <v>45905</v>
      </c>
      <c r="B8459" s="1" t="s">
        <v>6853</v>
      </c>
      <c r="C8459" t="s">
        <v>622</v>
      </c>
      <c r="D8459" s="44">
        <v>-45.84</v>
      </c>
      <c r="E8459" t="s">
        <v>35</v>
      </c>
      <c r="F8459" s="2">
        <v>610148001</v>
      </c>
      <c r="G8459" s="2" t="s">
        <v>41</v>
      </c>
      <c r="I8459" s="95" t="s">
        <v>7231</v>
      </c>
      <c r="J8459" t="s">
        <v>42</v>
      </c>
      <c r="K8459" t="s">
        <v>41</v>
      </c>
      <c r="M8459">
        <v>152.82</v>
      </c>
      <c r="N8459" s="4">
        <f t="shared" si="132"/>
        <v>-0.29996073812328233</v>
      </c>
      <c r="O8459" t="s">
        <v>605</v>
      </c>
      <c r="Q8459" s="94" t="s">
        <v>6298</v>
      </c>
    </row>
    <row r="8460" spans="1:17" x14ac:dyDescent="0.25">
      <c r="A8460" s="33">
        <v>45905</v>
      </c>
      <c r="B8460" s="27" t="s">
        <v>6854</v>
      </c>
      <c r="C8460" s="28" t="s">
        <v>52</v>
      </c>
      <c r="D8460" s="47">
        <v>-18338.400000000001</v>
      </c>
      <c r="E8460" s="28" t="s">
        <v>35</v>
      </c>
      <c r="F8460" s="30">
        <v>610129001</v>
      </c>
      <c r="G8460" s="30" t="s">
        <v>53</v>
      </c>
      <c r="H8460" s="30"/>
      <c r="I8460" s="95" t="s">
        <v>7231</v>
      </c>
      <c r="J8460" s="28" t="s">
        <v>54</v>
      </c>
      <c r="K8460" s="28" t="s">
        <v>55</v>
      </c>
      <c r="L8460" s="28" t="s">
        <v>56</v>
      </c>
      <c r="M8460" s="28">
        <v>152.82</v>
      </c>
      <c r="N8460" s="4">
        <f t="shared" si="132"/>
        <v>-120.00000000000001</v>
      </c>
      <c r="O8460" t="s">
        <v>605</v>
      </c>
      <c r="Q8460" s="24" t="s">
        <v>6855</v>
      </c>
    </row>
    <row r="8461" spans="1:17" x14ac:dyDescent="0.25">
      <c r="A8461" s="22">
        <v>45905</v>
      </c>
      <c r="B8461" s="1" t="s">
        <v>6856</v>
      </c>
      <c r="C8461" t="s">
        <v>622</v>
      </c>
      <c r="D8461" s="44">
        <v>-23.62</v>
      </c>
      <c r="E8461" t="s">
        <v>35</v>
      </c>
      <c r="F8461" s="2">
        <v>610148001</v>
      </c>
      <c r="G8461" s="2" t="s">
        <v>41</v>
      </c>
      <c r="I8461" s="95" t="s">
        <v>7231</v>
      </c>
      <c r="J8461" t="s">
        <v>42</v>
      </c>
      <c r="K8461" t="s">
        <v>41</v>
      </c>
      <c r="M8461">
        <v>152.82</v>
      </c>
      <c r="N8461" s="4">
        <f t="shared" si="132"/>
        <v>-0.15456092134537366</v>
      </c>
      <c r="O8461" t="s">
        <v>605</v>
      </c>
      <c r="Q8461" s="94" t="s">
        <v>6298</v>
      </c>
    </row>
    <row r="8462" spans="1:17" x14ac:dyDescent="0.25">
      <c r="A8462" s="22">
        <v>45905</v>
      </c>
      <c r="B8462" s="1" t="s">
        <v>6857</v>
      </c>
      <c r="C8462" t="s">
        <v>3285</v>
      </c>
      <c r="D8462" s="44">
        <v>-9450.15</v>
      </c>
      <c r="E8462" t="s">
        <v>35</v>
      </c>
      <c r="F8462" s="2">
        <v>110101002</v>
      </c>
      <c r="G8462" s="2" t="s">
        <v>2771</v>
      </c>
      <c r="I8462" s="95" t="s">
        <v>7231</v>
      </c>
      <c r="K8462" t="s">
        <v>3285</v>
      </c>
      <c r="M8462">
        <v>152.82</v>
      </c>
      <c r="N8462" s="4">
        <f t="shared" si="132"/>
        <v>-61.838437377306633</v>
      </c>
      <c r="O8462" t="s">
        <v>605</v>
      </c>
    </row>
    <row r="8463" spans="1:17" x14ac:dyDescent="0.25">
      <c r="A8463" s="22">
        <v>45905</v>
      </c>
      <c r="B8463" s="1" t="s">
        <v>6858</v>
      </c>
      <c r="C8463" t="s">
        <v>622</v>
      </c>
      <c r="D8463" s="44">
        <v>-42.02</v>
      </c>
      <c r="E8463" t="s">
        <v>35</v>
      </c>
      <c r="F8463" s="2">
        <v>610148001</v>
      </c>
      <c r="G8463" s="2" t="s">
        <v>41</v>
      </c>
      <c r="I8463" s="95" t="s">
        <v>7231</v>
      </c>
      <c r="J8463" t="s">
        <v>42</v>
      </c>
      <c r="K8463" t="s">
        <v>41</v>
      </c>
      <c r="M8463">
        <v>152.82</v>
      </c>
      <c r="N8463" s="4">
        <f t="shared" si="132"/>
        <v>-0.27496400994634213</v>
      </c>
      <c r="O8463" t="s">
        <v>605</v>
      </c>
      <c r="Q8463" s="94" t="s">
        <v>6298</v>
      </c>
    </row>
    <row r="8464" spans="1:17" x14ac:dyDescent="0.25">
      <c r="A8464" s="33">
        <v>45905</v>
      </c>
      <c r="B8464" s="27" t="s">
        <v>6859</v>
      </c>
      <c r="C8464" s="28" t="s">
        <v>6860</v>
      </c>
      <c r="D8464" s="47">
        <v>-16810.2</v>
      </c>
      <c r="E8464" s="28" t="s">
        <v>35</v>
      </c>
      <c r="F8464" s="30">
        <v>610156001</v>
      </c>
      <c r="G8464" s="30" t="s">
        <v>72</v>
      </c>
      <c r="H8464" s="30"/>
      <c r="I8464" s="95" t="s">
        <v>7231</v>
      </c>
      <c r="J8464" s="28" t="s">
        <v>73</v>
      </c>
      <c r="K8464" s="28" t="s">
        <v>74</v>
      </c>
      <c r="L8464" s="28" t="s">
        <v>56</v>
      </c>
      <c r="M8464" s="28">
        <v>152.82</v>
      </c>
      <c r="N8464" s="4">
        <f t="shared" si="132"/>
        <v>-110.00000000000001</v>
      </c>
      <c r="O8464" t="s">
        <v>605</v>
      </c>
      <c r="Q8464" s="24" t="s">
        <v>6861</v>
      </c>
    </row>
    <row r="8465" spans="1:17" x14ac:dyDescent="0.25">
      <c r="A8465" s="22">
        <v>45905</v>
      </c>
      <c r="B8465" s="1" t="s">
        <v>6862</v>
      </c>
      <c r="C8465" t="s">
        <v>622</v>
      </c>
      <c r="D8465" s="44">
        <v>-111.15</v>
      </c>
      <c r="E8465" t="s">
        <v>35</v>
      </c>
      <c r="F8465" s="2">
        <v>610148001</v>
      </c>
      <c r="G8465" s="2" t="s">
        <v>41</v>
      </c>
      <c r="I8465" s="95" t="s">
        <v>7231</v>
      </c>
      <c r="J8465" t="s">
        <v>42</v>
      </c>
      <c r="K8465" t="s">
        <v>41</v>
      </c>
      <c r="M8465">
        <v>152.82</v>
      </c>
      <c r="N8465" s="4">
        <f t="shared" si="132"/>
        <v>-0.72732626619552421</v>
      </c>
      <c r="O8465" t="s">
        <v>605</v>
      </c>
      <c r="Q8465" s="94" t="s">
        <v>6298</v>
      </c>
    </row>
    <row r="8466" spans="1:17" x14ac:dyDescent="0.25">
      <c r="A8466" s="22">
        <v>45905</v>
      </c>
      <c r="B8466" s="1" t="s">
        <v>6863</v>
      </c>
      <c r="C8466" t="s">
        <v>6864</v>
      </c>
      <c r="D8466" s="44">
        <v>-44460</v>
      </c>
      <c r="E8466" t="s">
        <v>35</v>
      </c>
      <c r="F8466" s="2">
        <v>110114001</v>
      </c>
      <c r="G8466" s="2" t="s">
        <v>181</v>
      </c>
      <c r="I8466" s="95" t="s">
        <v>7231</v>
      </c>
      <c r="K8466" t="s">
        <v>1256</v>
      </c>
      <c r="M8466">
        <v>152.82</v>
      </c>
      <c r="N8466" s="4">
        <f t="shared" si="132"/>
        <v>-290.93050647820968</v>
      </c>
      <c r="O8466" t="s">
        <v>605</v>
      </c>
    </row>
    <row r="8467" spans="1:17" x14ac:dyDescent="0.25">
      <c r="A8467" s="22">
        <v>45905</v>
      </c>
      <c r="B8467" s="1" t="s">
        <v>6865</v>
      </c>
      <c r="C8467" t="s">
        <v>622</v>
      </c>
      <c r="D8467" s="44">
        <v>-1069.51</v>
      </c>
      <c r="E8467" t="s">
        <v>35</v>
      </c>
      <c r="F8467" s="2">
        <v>610148001</v>
      </c>
      <c r="G8467" s="2" t="s">
        <v>41</v>
      </c>
      <c r="I8467" s="95" t="s">
        <v>7231</v>
      </c>
      <c r="J8467" t="s">
        <v>42</v>
      </c>
      <c r="K8467" t="s">
        <v>41</v>
      </c>
      <c r="M8467">
        <v>152.82</v>
      </c>
      <c r="N8467" s="4">
        <f t="shared" si="132"/>
        <v>-6.9984949613924883</v>
      </c>
      <c r="O8467" t="s">
        <v>605</v>
      </c>
      <c r="Q8467" s="94" t="s">
        <v>6298</v>
      </c>
    </row>
    <row r="8468" spans="1:17" x14ac:dyDescent="0.25">
      <c r="A8468" s="22">
        <v>45905</v>
      </c>
      <c r="B8468" s="1" t="s">
        <v>6866</v>
      </c>
      <c r="C8468" t="s">
        <v>6867</v>
      </c>
      <c r="D8468" s="44">
        <v>-427805.26</v>
      </c>
      <c r="E8468" t="s">
        <v>35</v>
      </c>
      <c r="F8468" s="2">
        <v>210101001</v>
      </c>
      <c r="G8468" s="2" t="s">
        <v>36</v>
      </c>
      <c r="I8468" s="95" t="s">
        <v>7231</v>
      </c>
      <c r="J8468" t="s">
        <v>37</v>
      </c>
      <c r="K8468" t="s">
        <v>38</v>
      </c>
      <c r="M8468">
        <v>152.82</v>
      </c>
      <c r="N8468" s="4">
        <f t="shared" si="132"/>
        <v>-2799.4062295511062</v>
      </c>
      <c r="O8468" t="s">
        <v>605</v>
      </c>
    </row>
    <row r="8469" spans="1:17" x14ac:dyDescent="0.25">
      <c r="A8469" s="22">
        <v>45905</v>
      </c>
      <c r="B8469" s="1" t="s">
        <v>6868</v>
      </c>
      <c r="C8469" t="s">
        <v>622</v>
      </c>
      <c r="D8469" s="44">
        <v>-11.46</v>
      </c>
      <c r="E8469" t="s">
        <v>35</v>
      </c>
      <c r="F8469" s="2">
        <v>610148001</v>
      </c>
      <c r="G8469" s="2" t="s">
        <v>41</v>
      </c>
      <c r="I8469" s="95" t="s">
        <v>7231</v>
      </c>
      <c r="J8469" t="s">
        <v>42</v>
      </c>
      <c r="K8469" t="s">
        <v>41</v>
      </c>
      <c r="M8469">
        <v>152.82</v>
      </c>
      <c r="N8469" s="4">
        <f t="shared" si="132"/>
        <v>-7.4990184530820583E-2</v>
      </c>
      <c r="O8469" t="s">
        <v>605</v>
      </c>
      <c r="Q8469" s="94" t="s">
        <v>6298</v>
      </c>
    </row>
    <row r="8470" spans="1:17" x14ac:dyDescent="0.25">
      <c r="A8470" s="22">
        <v>45905</v>
      </c>
      <c r="B8470" s="1" t="s">
        <v>6869</v>
      </c>
      <c r="C8470" t="s">
        <v>6870</v>
      </c>
      <c r="D8470" s="44">
        <v>-4584.6000000000004</v>
      </c>
      <c r="E8470" t="s">
        <v>35</v>
      </c>
      <c r="F8470" s="2">
        <v>212901001</v>
      </c>
      <c r="G8470" s="2" t="s">
        <v>91</v>
      </c>
      <c r="I8470" s="95" t="s">
        <v>7231</v>
      </c>
      <c r="J8470" t="s">
        <v>61</v>
      </c>
      <c r="K8470" t="s">
        <v>62</v>
      </c>
      <c r="M8470">
        <v>152.82</v>
      </c>
      <c r="N8470" s="4">
        <f t="shared" si="132"/>
        <v>-30.000000000000004</v>
      </c>
      <c r="O8470" t="s">
        <v>605</v>
      </c>
    </row>
    <row r="8471" spans="1:17" x14ac:dyDescent="0.25">
      <c r="A8471" s="22">
        <v>45905</v>
      </c>
      <c r="B8471" s="1" t="s">
        <v>6871</v>
      </c>
      <c r="C8471" t="s">
        <v>6872</v>
      </c>
      <c r="D8471" s="44">
        <v>-176.72</v>
      </c>
      <c r="E8471" t="s">
        <v>35</v>
      </c>
      <c r="F8471" s="2">
        <v>213201001</v>
      </c>
      <c r="G8471" s="2" t="s">
        <v>636</v>
      </c>
      <c r="I8471" s="95" t="s">
        <v>7231</v>
      </c>
      <c r="J8471" t="s">
        <v>637</v>
      </c>
      <c r="K8471" t="s">
        <v>638</v>
      </c>
      <c r="M8471">
        <v>152.82</v>
      </c>
      <c r="N8471" s="4">
        <f t="shared" si="132"/>
        <v>-1.1563931422588667</v>
      </c>
      <c r="O8471" t="s">
        <v>605</v>
      </c>
      <c r="Q8471" s="24" t="s">
        <v>6873</v>
      </c>
    </row>
    <row r="8472" spans="1:17" x14ac:dyDescent="0.25">
      <c r="A8472" s="22">
        <v>45905</v>
      </c>
      <c r="B8472" s="1" t="s">
        <v>6874</v>
      </c>
      <c r="C8472" t="s">
        <v>6875</v>
      </c>
      <c r="D8472" s="44">
        <v>-712.8</v>
      </c>
      <c r="E8472" t="s">
        <v>35</v>
      </c>
      <c r="F8472" s="2">
        <v>213101001</v>
      </c>
      <c r="G8472" s="2" t="s">
        <v>642</v>
      </c>
      <c r="I8472" s="95" t="s">
        <v>7231</v>
      </c>
      <c r="J8472" t="s">
        <v>643</v>
      </c>
      <c r="K8472" t="s">
        <v>644</v>
      </c>
      <c r="M8472">
        <v>152.82</v>
      </c>
      <c r="N8472" s="4">
        <f t="shared" si="132"/>
        <v>-4.6643109540636045</v>
      </c>
      <c r="O8472" t="s">
        <v>605</v>
      </c>
      <c r="Q8472" s="24" t="s">
        <v>6873</v>
      </c>
    </row>
    <row r="8473" spans="1:17" x14ac:dyDescent="0.25">
      <c r="A8473" s="22">
        <v>45910</v>
      </c>
      <c r="B8473" s="1" t="s">
        <v>6876</v>
      </c>
      <c r="C8473" t="s">
        <v>6877</v>
      </c>
      <c r="D8473" s="44">
        <v>195900.34</v>
      </c>
      <c r="E8473" t="s">
        <v>45</v>
      </c>
      <c r="F8473" s="2">
        <v>110106001</v>
      </c>
      <c r="G8473" s="2" t="s">
        <v>1011</v>
      </c>
      <c r="I8473" s="95" t="s">
        <v>7231</v>
      </c>
      <c r="K8473" t="s">
        <v>5901</v>
      </c>
      <c r="M8473">
        <v>156.37</v>
      </c>
      <c r="N8473" s="4">
        <f t="shared" si="132"/>
        <v>1252.8000255803543</v>
      </c>
      <c r="O8473" t="s">
        <v>605</v>
      </c>
    </row>
    <row r="8474" spans="1:17" x14ac:dyDescent="0.25">
      <c r="A8474" s="22">
        <v>45910</v>
      </c>
      <c r="B8474" s="1" t="s">
        <v>6878</v>
      </c>
      <c r="C8474" t="s">
        <v>622</v>
      </c>
      <c r="D8474" s="44">
        <v>-187.17</v>
      </c>
      <c r="E8474" t="s">
        <v>35</v>
      </c>
      <c r="F8474" s="2">
        <v>610148001</v>
      </c>
      <c r="G8474" s="2" t="s">
        <v>41</v>
      </c>
      <c r="I8474" s="95" t="s">
        <v>7231</v>
      </c>
      <c r="J8474" t="s">
        <v>42</v>
      </c>
      <c r="K8474" t="s">
        <v>41</v>
      </c>
      <c r="M8474">
        <v>156.37</v>
      </c>
      <c r="N8474" s="4">
        <f t="shared" si="132"/>
        <v>-1.1969687280168828</v>
      </c>
      <c r="O8474" t="s">
        <v>605</v>
      </c>
      <c r="Q8474" s="94" t="s">
        <v>6298</v>
      </c>
    </row>
    <row r="8475" spans="1:17" x14ac:dyDescent="0.25">
      <c r="A8475" s="22">
        <v>45910</v>
      </c>
      <c r="B8475" s="1" t="s">
        <v>6879</v>
      </c>
      <c r="C8475" t="s">
        <v>6880</v>
      </c>
      <c r="D8475" s="44">
        <v>-74871.820000000007</v>
      </c>
      <c r="E8475" t="s">
        <v>35</v>
      </c>
      <c r="F8475" s="2">
        <v>210101001</v>
      </c>
      <c r="G8475" s="2" t="s">
        <v>36</v>
      </c>
      <c r="I8475" s="95" t="s">
        <v>7231</v>
      </c>
      <c r="J8475" t="s">
        <v>701</v>
      </c>
      <c r="K8475" t="s">
        <v>702</v>
      </c>
      <c r="M8475">
        <v>156.37</v>
      </c>
      <c r="N8475" s="4">
        <f t="shared" si="132"/>
        <v>-478.81192044509817</v>
      </c>
      <c r="O8475" t="s">
        <v>605</v>
      </c>
    </row>
    <row r="8476" spans="1:17" x14ac:dyDescent="0.25">
      <c r="A8476" s="22">
        <v>45910</v>
      </c>
      <c r="B8476" s="1" t="s">
        <v>6881</v>
      </c>
      <c r="C8476" t="s">
        <v>6882</v>
      </c>
      <c r="D8476" s="44">
        <v>48975.08</v>
      </c>
      <c r="E8476" t="s">
        <v>45</v>
      </c>
      <c r="F8476" s="2">
        <v>110106001</v>
      </c>
      <c r="G8476" s="2" t="s">
        <v>1011</v>
      </c>
      <c r="I8476" s="95" t="s">
        <v>7231</v>
      </c>
      <c r="K8476" t="s">
        <v>6883</v>
      </c>
      <c r="M8476">
        <v>156.37</v>
      </c>
      <c r="N8476" s="4">
        <f t="shared" si="132"/>
        <v>313.19997441964574</v>
      </c>
      <c r="O8476" t="s">
        <v>605</v>
      </c>
    </row>
    <row r="8477" spans="1:17" x14ac:dyDescent="0.25">
      <c r="A8477" s="33">
        <v>45912</v>
      </c>
      <c r="B8477" s="27" t="s">
        <v>6884</v>
      </c>
      <c r="C8477" s="28" t="s">
        <v>6885</v>
      </c>
      <c r="D8477" s="47">
        <v>-6865.73</v>
      </c>
      <c r="E8477" s="28" t="s">
        <v>35</v>
      </c>
      <c r="F8477" s="30">
        <v>610122005</v>
      </c>
      <c r="G8477" s="30" t="s">
        <v>401</v>
      </c>
      <c r="H8477" s="30"/>
      <c r="I8477" s="95" t="s">
        <v>7231</v>
      </c>
      <c r="J8477" s="28" t="s">
        <v>608</v>
      </c>
      <c r="K8477" s="28" t="s">
        <v>609</v>
      </c>
      <c r="L8477" s="28" t="s">
        <v>56</v>
      </c>
      <c r="M8477" s="28">
        <v>158.93</v>
      </c>
      <c r="N8477" s="4">
        <f t="shared" si="132"/>
        <v>-43.199710564399417</v>
      </c>
      <c r="O8477" t="s">
        <v>605</v>
      </c>
      <c r="Q8477" s="24" t="s">
        <v>6886</v>
      </c>
    </row>
    <row r="8478" spans="1:17" x14ac:dyDescent="0.25">
      <c r="A8478" s="22">
        <v>45912</v>
      </c>
      <c r="B8478" s="1" t="s">
        <v>6887</v>
      </c>
      <c r="C8478" t="s">
        <v>612</v>
      </c>
      <c r="D8478" s="44">
        <v>-6.86</v>
      </c>
      <c r="E8478" t="s">
        <v>35</v>
      </c>
      <c r="F8478" s="2">
        <v>610148001</v>
      </c>
      <c r="G8478" s="2" t="s">
        <v>41</v>
      </c>
      <c r="I8478" s="95" t="s">
        <v>7231</v>
      </c>
      <c r="J8478" t="s">
        <v>42</v>
      </c>
      <c r="K8478" t="s">
        <v>41</v>
      </c>
      <c r="M8478">
        <v>158.93</v>
      </c>
      <c r="N8478" s="4">
        <f t="shared" si="132"/>
        <v>-4.3163656955892533E-2</v>
      </c>
      <c r="O8478" t="s">
        <v>605</v>
      </c>
      <c r="Q8478" s="94" t="s">
        <v>6298</v>
      </c>
    </row>
    <row r="8479" spans="1:17" x14ac:dyDescent="0.25">
      <c r="A8479" s="33">
        <v>45912</v>
      </c>
      <c r="B8479" s="27" t="s">
        <v>6888</v>
      </c>
      <c r="C8479" s="28" t="s">
        <v>6889</v>
      </c>
      <c r="D8479" s="47">
        <v>-6865.73</v>
      </c>
      <c r="E8479" s="28" t="s">
        <v>35</v>
      </c>
      <c r="F8479" s="30">
        <v>610122005</v>
      </c>
      <c r="G8479" s="30" t="s">
        <v>401</v>
      </c>
      <c r="H8479" s="30"/>
      <c r="I8479" s="95" t="s">
        <v>7231</v>
      </c>
      <c r="J8479" s="28" t="s">
        <v>608</v>
      </c>
      <c r="K8479" s="28" t="s">
        <v>609</v>
      </c>
      <c r="L8479" s="28" t="s">
        <v>56</v>
      </c>
      <c r="M8479" s="28">
        <v>158.93</v>
      </c>
      <c r="N8479" s="4">
        <f t="shared" si="132"/>
        <v>-43.199710564399417</v>
      </c>
      <c r="O8479" t="s">
        <v>605</v>
      </c>
      <c r="Q8479" s="24" t="s">
        <v>6886</v>
      </c>
    </row>
    <row r="8480" spans="1:17" x14ac:dyDescent="0.25">
      <c r="A8480" s="22">
        <v>45912</v>
      </c>
      <c r="B8480" s="1" t="s">
        <v>6887</v>
      </c>
      <c r="C8480" t="s">
        <v>612</v>
      </c>
      <c r="D8480" s="44">
        <v>-6.86</v>
      </c>
      <c r="E8480" t="s">
        <v>35</v>
      </c>
      <c r="F8480" s="2">
        <v>610148001</v>
      </c>
      <c r="G8480" s="2" t="s">
        <v>41</v>
      </c>
      <c r="I8480" s="95" t="s">
        <v>7231</v>
      </c>
      <c r="J8480" t="s">
        <v>42</v>
      </c>
      <c r="K8480" t="s">
        <v>41</v>
      </c>
      <c r="M8480">
        <v>158.93</v>
      </c>
      <c r="N8480" s="4">
        <f t="shared" si="132"/>
        <v>-4.3163656955892533E-2</v>
      </c>
      <c r="O8480" t="s">
        <v>605</v>
      </c>
      <c r="Q8480" s="94" t="s">
        <v>6298</v>
      </c>
    </row>
    <row r="8481" spans="1:17" x14ac:dyDescent="0.25">
      <c r="A8481" s="22">
        <v>45912</v>
      </c>
      <c r="B8481" s="1" t="s">
        <v>6890</v>
      </c>
      <c r="C8481" t="s">
        <v>293</v>
      </c>
      <c r="D8481" s="44">
        <v>600000</v>
      </c>
      <c r="E8481" t="s">
        <v>45</v>
      </c>
      <c r="F8481" s="2">
        <v>210115002</v>
      </c>
      <c r="G8481" s="2" t="s">
        <v>5259</v>
      </c>
      <c r="I8481" s="95" t="s">
        <v>7231</v>
      </c>
      <c r="K8481" t="s">
        <v>293</v>
      </c>
      <c r="M8481">
        <v>158.93</v>
      </c>
      <c r="N8481" s="4">
        <f t="shared" si="132"/>
        <v>3775.2469640722329</v>
      </c>
      <c r="O8481" t="s">
        <v>605</v>
      </c>
    </row>
    <row r="8482" spans="1:17" x14ac:dyDescent="0.25">
      <c r="A8482" s="22">
        <v>45912</v>
      </c>
      <c r="B8482" s="1" t="s">
        <v>6891</v>
      </c>
      <c r="C8482" t="s">
        <v>6892</v>
      </c>
      <c r="D8482" s="44">
        <v>-9463.7999999999993</v>
      </c>
      <c r="E8482" t="s">
        <v>35</v>
      </c>
      <c r="F8482" s="2">
        <v>212901001</v>
      </c>
      <c r="G8482" s="2" t="s">
        <v>91</v>
      </c>
      <c r="I8482" s="95" t="s">
        <v>7231</v>
      </c>
      <c r="J8482" t="s">
        <v>61</v>
      </c>
      <c r="K8482" t="s">
        <v>62</v>
      </c>
      <c r="M8482">
        <v>158.93</v>
      </c>
      <c r="N8482" s="4">
        <f t="shared" si="132"/>
        <v>-59.546970364311328</v>
      </c>
      <c r="O8482" t="s">
        <v>605</v>
      </c>
    </row>
    <row r="8483" spans="1:17" x14ac:dyDescent="0.25">
      <c r="A8483" s="22">
        <v>45912</v>
      </c>
      <c r="B8483" s="1" t="s">
        <v>6893</v>
      </c>
      <c r="C8483" t="s">
        <v>622</v>
      </c>
      <c r="D8483" s="44">
        <v>-23.65</v>
      </c>
      <c r="E8483" t="s">
        <v>35</v>
      </c>
      <c r="F8483" s="2">
        <v>610148001</v>
      </c>
      <c r="G8483" s="2" t="s">
        <v>41</v>
      </c>
      <c r="I8483" s="95" t="s">
        <v>7231</v>
      </c>
      <c r="J8483" t="s">
        <v>42</v>
      </c>
      <c r="K8483" t="s">
        <v>41</v>
      </c>
      <c r="M8483">
        <v>158.93</v>
      </c>
      <c r="N8483" s="4">
        <f t="shared" si="132"/>
        <v>-0.1488076511671805</v>
      </c>
      <c r="O8483" t="s">
        <v>605</v>
      </c>
      <c r="Q8483" s="94" t="s">
        <v>6298</v>
      </c>
    </row>
    <row r="8484" spans="1:17" x14ac:dyDescent="0.25">
      <c r="A8484" s="22">
        <v>45912</v>
      </c>
      <c r="B8484" s="1" t="s">
        <v>6894</v>
      </c>
      <c r="C8484" t="s">
        <v>6895</v>
      </c>
      <c r="D8484" s="44">
        <v>-15773</v>
      </c>
      <c r="E8484" t="s">
        <v>35</v>
      </c>
      <c r="F8484" s="2">
        <v>212901001</v>
      </c>
      <c r="G8484" s="2" t="s">
        <v>91</v>
      </c>
      <c r="I8484" s="95" t="s">
        <v>7231</v>
      </c>
      <c r="J8484" t="s">
        <v>61</v>
      </c>
      <c r="K8484" t="s">
        <v>62</v>
      </c>
      <c r="M8484">
        <v>158.93</v>
      </c>
      <c r="N8484" s="4">
        <f t="shared" ref="N8484:N8547" si="133">D8484/M8484</f>
        <v>-99.244950607185544</v>
      </c>
      <c r="O8484" t="s">
        <v>605</v>
      </c>
    </row>
    <row r="8485" spans="1:17" x14ac:dyDescent="0.25">
      <c r="A8485" s="22">
        <v>45912</v>
      </c>
      <c r="B8485" s="1" t="s">
        <v>6896</v>
      </c>
      <c r="C8485" t="s">
        <v>622</v>
      </c>
      <c r="D8485" s="44">
        <v>-39.43</v>
      </c>
      <c r="E8485" t="s">
        <v>35</v>
      </c>
      <c r="F8485" s="2">
        <v>610148001</v>
      </c>
      <c r="G8485" s="2" t="s">
        <v>41</v>
      </c>
      <c r="I8485" s="95" t="s">
        <v>7231</v>
      </c>
      <c r="J8485" t="s">
        <v>42</v>
      </c>
      <c r="K8485" t="s">
        <v>41</v>
      </c>
      <c r="M8485">
        <v>158.93</v>
      </c>
      <c r="N8485" s="4">
        <f t="shared" si="133"/>
        <v>-0.24809664632228023</v>
      </c>
      <c r="O8485" t="s">
        <v>605</v>
      </c>
      <c r="Q8485" s="94" t="s">
        <v>6298</v>
      </c>
    </row>
    <row r="8486" spans="1:17" x14ac:dyDescent="0.25">
      <c r="A8486" s="22">
        <v>45912</v>
      </c>
      <c r="B8486" s="1" t="s">
        <v>6897</v>
      </c>
      <c r="C8486" t="s">
        <v>6898</v>
      </c>
      <c r="D8486" s="44">
        <v>-7886.5</v>
      </c>
      <c r="E8486" t="s">
        <v>35</v>
      </c>
      <c r="F8486" s="2">
        <v>212901001</v>
      </c>
      <c r="G8486" s="2" t="s">
        <v>91</v>
      </c>
      <c r="I8486" s="95" t="s">
        <v>7231</v>
      </c>
      <c r="J8486" t="s">
        <v>61</v>
      </c>
      <c r="K8486" t="s">
        <v>62</v>
      </c>
      <c r="M8486">
        <v>158.93</v>
      </c>
      <c r="N8486" s="4">
        <f t="shared" si="133"/>
        <v>-49.622475303592772</v>
      </c>
      <c r="O8486" t="s">
        <v>605</v>
      </c>
    </row>
    <row r="8487" spans="1:17" x14ac:dyDescent="0.25">
      <c r="A8487" s="22">
        <v>45912</v>
      </c>
      <c r="B8487" s="1" t="s">
        <v>6899</v>
      </c>
      <c r="C8487" t="s">
        <v>622</v>
      </c>
      <c r="D8487" s="44">
        <v>-19.71</v>
      </c>
      <c r="E8487" t="s">
        <v>35</v>
      </c>
      <c r="F8487" s="2">
        <v>610148001</v>
      </c>
      <c r="G8487" s="2" t="s">
        <v>41</v>
      </c>
      <c r="I8487" s="95" t="s">
        <v>7231</v>
      </c>
      <c r="J8487" t="s">
        <v>42</v>
      </c>
      <c r="K8487" t="s">
        <v>41</v>
      </c>
      <c r="M8487">
        <v>158.93</v>
      </c>
      <c r="N8487" s="4">
        <f t="shared" si="133"/>
        <v>-0.12401686276977286</v>
      </c>
      <c r="O8487" t="s">
        <v>605</v>
      </c>
      <c r="Q8487" s="94" t="s">
        <v>6298</v>
      </c>
    </row>
    <row r="8488" spans="1:17" x14ac:dyDescent="0.25">
      <c r="A8488" s="22">
        <v>45912</v>
      </c>
      <c r="B8488" s="1" t="s">
        <v>6900</v>
      </c>
      <c r="C8488" t="s">
        <v>6901</v>
      </c>
      <c r="D8488" s="44">
        <v>-7886.5</v>
      </c>
      <c r="E8488" t="s">
        <v>35</v>
      </c>
      <c r="F8488" s="2">
        <v>212901001</v>
      </c>
      <c r="G8488" s="2" t="s">
        <v>91</v>
      </c>
      <c r="I8488" s="95" t="s">
        <v>7231</v>
      </c>
      <c r="J8488" t="s">
        <v>61</v>
      </c>
      <c r="K8488" t="s">
        <v>62</v>
      </c>
      <c r="M8488">
        <v>158.93</v>
      </c>
      <c r="N8488" s="4">
        <f t="shared" si="133"/>
        <v>-49.622475303592772</v>
      </c>
      <c r="O8488" t="s">
        <v>605</v>
      </c>
    </row>
    <row r="8489" spans="1:17" x14ac:dyDescent="0.25">
      <c r="A8489" s="22">
        <v>45912</v>
      </c>
      <c r="B8489" s="1" t="s">
        <v>6902</v>
      </c>
      <c r="C8489" t="s">
        <v>622</v>
      </c>
      <c r="D8489" s="44">
        <v>-19.71</v>
      </c>
      <c r="E8489" t="s">
        <v>35</v>
      </c>
      <c r="F8489" s="2">
        <v>610148001</v>
      </c>
      <c r="G8489" s="2" t="s">
        <v>41</v>
      </c>
      <c r="I8489" s="95" t="s">
        <v>7231</v>
      </c>
      <c r="J8489" t="s">
        <v>42</v>
      </c>
      <c r="K8489" t="s">
        <v>41</v>
      </c>
      <c r="M8489">
        <v>158.93</v>
      </c>
      <c r="N8489" s="4">
        <f t="shared" si="133"/>
        <v>-0.12401686276977286</v>
      </c>
      <c r="O8489" t="s">
        <v>605</v>
      </c>
      <c r="Q8489" s="94" t="s">
        <v>6298</v>
      </c>
    </row>
    <row r="8490" spans="1:17" x14ac:dyDescent="0.25">
      <c r="A8490" s="22">
        <v>45912</v>
      </c>
      <c r="B8490" s="1" t="s">
        <v>6903</v>
      </c>
      <c r="C8490" t="s">
        <v>6904</v>
      </c>
      <c r="D8490" s="44">
        <v>-7886.5</v>
      </c>
      <c r="E8490" t="s">
        <v>35</v>
      </c>
      <c r="F8490" s="2">
        <v>212901001</v>
      </c>
      <c r="G8490" s="2" t="s">
        <v>91</v>
      </c>
      <c r="I8490" s="95" t="s">
        <v>7231</v>
      </c>
      <c r="J8490" t="s">
        <v>61</v>
      </c>
      <c r="K8490" t="s">
        <v>62</v>
      </c>
      <c r="M8490">
        <v>158.93</v>
      </c>
      <c r="N8490" s="4">
        <f t="shared" si="133"/>
        <v>-49.622475303592772</v>
      </c>
      <c r="O8490" t="s">
        <v>605</v>
      </c>
    </row>
    <row r="8491" spans="1:17" x14ac:dyDescent="0.25">
      <c r="A8491" s="22">
        <v>45912</v>
      </c>
      <c r="B8491" s="1" t="s">
        <v>6905</v>
      </c>
      <c r="C8491" t="s">
        <v>622</v>
      </c>
      <c r="D8491" s="44">
        <v>-19.71</v>
      </c>
      <c r="E8491" t="s">
        <v>35</v>
      </c>
      <c r="F8491" s="2">
        <v>610148001</v>
      </c>
      <c r="G8491" s="2" t="s">
        <v>41</v>
      </c>
      <c r="I8491" s="95" t="s">
        <v>7231</v>
      </c>
      <c r="J8491" t="s">
        <v>42</v>
      </c>
      <c r="K8491" t="s">
        <v>41</v>
      </c>
      <c r="M8491">
        <v>158.93</v>
      </c>
      <c r="N8491" s="4">
        <f t="shared" si="133"/>
        <v>-0.12401686276977286</v>
      </c>
      <c r="O8491" t="s">
        <v>605</v>
      </c>
      <c r="Q8491" s="94" t="s">
        <v>6298</v>
      </c>
    </row>
    <row r="8492" spans="1:17" x14ac:dyDescent="0.25">
      <c r="A8492" s="22">
        <v>45912</v>
      </c>
      <c r="B8492" s="1" t="s">
        <v>6906</v>
      </c>
      <c r="C8492" t="s">
        <v>6907</v>
      </c>
      <c r="D8492" s="44">
        <v>-7886.5</v>
      </c>
      <c r="E8492" t="s">
        <v>35</v>
      </c>
      <c r="F8492" s="2">
        <v>212901001</v>
      </c>
      <c r="G8492" s="2" t="s">
        <v>91</v>
      </c>
      <c r="I8492" s="95" t="s">
        <v>7231</v>
      </c>
      <c r="J8492" t="s">
        <v>61</v>
      </c>
      <c r="K8492" t="s">
        <v>62</v>
      </c>
      <c r="M8492">
        <v>158.93</v>
      </c>
      <c r="N8492" s="4">
        <f t="shared" si="133"/>
        <v>-49.622475303592772</v>
      </c>
      <c r="O8492" t="s">
        <v>605</v>
      </c>
    </row>
    <row r="8493" spans="1:17" x14ac:dyDescent="0.25">
      <c r="A8493" s="22">
        <v>45912</v>
      </c>
      <c r="B8493" s="1" t="s">
        <v>6908</v>
      </c>
      <c r="C8493" t="s">
        <v>622</v>
      </c>
      <c r="D8493" s="44">
        <v>-19.71</v>
      </c>
      <c r="E8493" t="s">
        <v>35</v>
      </c>
      <c r="F8493" s="2">
        <v>610148001</v>
      </c>
      <c r="G8493" s="2" t="s">
        <v>41</v>
      </c>
      <c r="I8493" s="95" t="s">
        <v>7231</v>
      </c>
      <c r="J8493" t="s">
        <v>42</v>
      </c>
      <c r="K8493" t="s">
        <v>41</v>
      </c>
      <c r="M8493">
        <v>158.93</v>
      </c>
      <c r="N8493" s="4">
        <f t="shared" si="133"/>
        <v>-0.12401686276977286</v>
      </c>
      <c r="O8493" t="s">
        <v>605</v>
      </c>
      <c r="Q8493" s="94" t="s">
        <v>6298</v>
      </c>
    </row>
    <row r="8494" spans="1:17" x14ac:dyDescent="0.25">
      <c r="A8494" s="22">
        <v>45912</v>
      </c>
      <c r="B8494" s="1" t="s">
        <v>6909</v>
      </c>
      <c r="C8494" t="s">
        <v>6910</v>
      </c>
      <c r="D8494" s="44">
        <v>-9463.7999999999993</v>
      </c>
      <c r="E8494" t="s">
        <v>35</v>
      </c>
      <c r="F8494" s="2">
        <v>212901001</v>
      </c>
      <c r="G8494" s="2" t="s">
        <v>91</v>
      </c>
      <c r="I8494" s="95" t="s">
        <v>7231</v>
      </c>
      <c r="J8494" t="s">
        <v>61</v>
      </c>
      <c r="K8494" t="s">
        <v>62</v>
      </c>
      <c r="M8494">
        <v>158.93</v>
      </c>
      <c r="N8494" s="4">
        <f t="shared" si="133"/>
        <v>-59.546970364311328</v>
      </c>
      <c r="O8494" t="s">
        <v>605</v>
      </c>
    </row>
    <row r="8495" spans="1:17" x14ac:dyDescent="0.25">
      <c r="A8495" s="22">
        <v>45912</v>
      </c>
      <c r="B8495" s="1" t="s">
        <v>6911</v>
      </c>
      <c r="C8495" t="s">
        <v>622</v>
      </c>
      <c r="D8495" s="44">
        <v>-23.65</v>
      </c>
      <c r="E8495" t="s">
        <v>35</v>
      </c>
      <c r="F8495" s="2">
        <v>610148001</v>
      </c>
      <c r="G8495" s="2" t="s">
        <v>41</v>
      </c>
      <c r="I8495" s="95" t="s">
        <v>7231</v>
      </c>
      <c r="J8495" t="s">
        <v>42</v>
      </c>
      <c r="K8495" t="s">
        <v>41</v>
      </c>
      <c r="M8495">
        <v>158.93</v>
      </c>
      <c r="N8495" s="4">
        <f t="shared" si="133"/>
        <v>-0.1488076511671805</v>
      </c>
      <c r="O8495" t="s">
        <v>605</v>
      </c>
      <c r="Q8495" s="94" t="s">
        <v>6298</v>
      </c>
    </row>
    <row r="8496" spans="1:17" x14ac:dyDescent="0.25">
      <c r="A8496" s="22">
        <v>45912</v>
      </c>
      <c r="B8496" s="1" t="s">
        <v>6912</v>
      </c>
      <c r="C8496" t="s">
        <v>6913</v>
      </c>
      <c r="D8496" s="44">
        <v>-6309.2</v>
      </c>
      <c r="E8496" t="s">
        <v>35</v>
      </c>
      <c r="F8496" s="2">
        <v>212901001</v>
      </c>
      <c r="G8496" s="2" t="s">
        <v>91</v>
      </c>
      <c r="I8496" s="95" t="s">
        <v>7231</v>
      </c>
      <c r="J8496" t="s">
        <v>61</v>
      </c>
      <c r="K8496" t="s">
        <v>62</v>
      </c>
      <c r="M8496">
        <v>158.93</v>
      </c>
      <c r="N8496" s="4">
        <f t="shared" si="133"/>
        <v>-39.697980242874216</v>
      </c>
      <c r="O8496" t="s">
        <v>605</v>
      </c>
    </row>
    <row r="8497" spans="1:17" x14ac:dyDescent="0.25">
      <c r="A8497" s="22">
        <v>45912</v>
      </c>
      <c r="B8497" s="1" t="s">
        <v>6914</v>
      </c>
      <c r="C8497" t="s">
        <v>622</v>
      </c>
      <c r="D8497" s="44">
        <v>-15.77</v>
      </c>
      <c r="E8497" t="s">
        <v>35</v>
      </c>
      <c r="F8497" s="2">
        <v>610148001</v>
      </c>
      <c r="G8497" s="2" t="s">
        <v>41</v>
      </c>
      <c r="I8497" s="95" t="s">
        <v>7231</v>
      </c>
      <c r="J8497" t="s">
        <v>42</v>
      </c>
      <c r="K8497" t="s">
        <v>41</v>
      </c>
      <c r="M8497">
        <v>158.93</v>
      </c>
      <c r="N8497" s="4">
        <f t="shared" si="133"/>
        <v>-9.9226074372365192E-2</v>
      </c>
      <c r="O8497" t="s">
        <v>605</v>
      </c>
      <c r="Q8497" s="94" t="s">
        <v>6298</v>
      </c>
    </row>
    <row r="8498" spans="1:17" x14ac:dyDescent="0.25">
      <c r="A8498" s="22">
        <v>45912</v>
      </c>
      <c r="B8498" s="1" t="s">
        <v>6915</v>
      </c>
      <c r="C8498" t="s">
        <v>6916</v>
      </c>
      <c r="D8498" s="44">
        <v>-6309.2</v>
      </c>
      <c r="E8498" t="s">
        <v>35</v>
      </c>
      <c r="F8498" s="2">
        <v>212901001</v>
      </c>
      <c r="G8498" s="2" t="s">
        <v>91</v>
      </c>
      <c r="I8498" s="95" t="s">
        <v>7231</v>
      </c>
      <c r="J8498" t="s">
        <v>61</v>
      </c>
      <c r="K8498" t="s">
        <v>62</v>
      </c>
      <c r="M8498">
        <v>158.93</v>
      </c>
      <c r="N8498" s="4">
        <f t="shared" si="133"/>
        <v>-39.697980242874216</v>
      </c>
      <c r="O8498" t="s">
        <v>605</v>
      </c>
    </row>
    <row r="8499" spans="1:17" x14ac:dyDescent="0.25">
      <c r="A8499" s="22">
        <v>45912</v>
      </c>
      <c r="B8499" s="1" t="s">
        <v>6917</v>
      </c>
      <c r="C8499" t="s">
        <v>622</v>
      </c>
      <c r="D8499" s="44">
        <v>-15.77</v>
      </c>
      <c r="E8499" t="s">
        <v>35</v>
      </c>
      <c r="F8499" s="2">
        <v>610148001</v>
      </c>
      <c r="G8499" s="2" t="s">
        <v>41</v>
      </c>
      <c r="I8499" s="95" t="s">
        <v>7231</v>
      </c>
      <c r="J8499" t="s">
        <v>42</v>
      </c>
      <c r="K8499" t="s">
        <v>41</v>
      </c>
      <c r="M8499">
        <v>158.93</v>
      </c>
      <c r="N8499" s="4">
        <f t="shared" si="133"/>
        <v>-9.9226074372365192E-2</v>
      </c>
      <c r="O8499" t="s">
        <v>605</v>
      </c>
      <c r="Q8499" s="94" t="s">
        <v>6298</v>
      </c>
    </row>
    <row r="8500" spans="1:17" x14ac:dyDescent="0.25">
      <c r="A8500" s="22">
        <v>45912</v>
      </c>
      <c r="B8500" s="1" t="s">
        <v>6918</v>
      </c>
      <c r="C8500" t="s">
        <v>6919</v>
      </c>
      <c r="D8500" s="44">
        <v>-6309.2</v>
      </c>
      <c r="E8500" t="s">
        <v>35</v>
      </c>
      <c r="F8500" s="2">
        <v>212901001</v>
      </c>
      <c r="G8500" s="2" t="s">
        <v>91</v>
      </c>
      <c r="I8500" s="95" t="s">
        <v>7231</v>
      </c>
      <c r="J8500" t="s">
        <v>61</v>
      </c>
      <c r="K8500" t="s">
        <v>62</v>
      </c>
      <c r="M8500">
        <v>158.93</v>
      </c>
      <c r="N8500" s="4">
        <f t="shared" si="133"/>
        <v>-39.697980242874216</v>
      </c>
      <c r="O8500" t="s">
        <v>605</v>
      </c>
    </row>
    <row r="8501" spans="1:17" x14ac:dyDescent="0.25">
      <c r="A8501" s="22">
        <v>45912</v>
      </c>
      <c r="B8501" s="1" t="s">
        <v>6920</v>
      </c>
      <c r="C8501" t="s">
        <v>622</v>
      </c>
      <c r="D8501" s="44">
        <v>-15.77</v>
      </c>
      <c r="E8501" t="s">
        <v>35</v>
      </c>
      <c r="F8501" s="2">
        <v>610148001</v>
      </c>
      <c r="G8501" s="2" t="s">
        <v>41</v>
      </c>
      <c r="I8501" s="95" t="s">
        <v>7231</v>
      </c>
      <c r="J8501" t="s">
        <v>42</v>
      </c>
      <c r="K8501" t="s">
        <v>41</v>
      </c>
      <c r="M8501">
        <v>158.93</v>
      </c>
      <c r="N8501" s="4">
        <f t="shared" si="133"/>
        <v>-9.9226074372365192E-2</v>
      </c>
      <c r="O8501" t="s">
        <v>605</v>
      </c>
      <c r="Q8501" s="94" t="s">
        <v>6298</v>
      </c>
    </row>
    <row r="8502" spans="1:17" x14ac:dyDescent="0.25">
      <c r="A8502" s="22">
        <v>45912</v>
      </c>
      <c r="B8502" s="1" t="s">
        <v>6921</v>
      </c>
      <c r="C8502" t="s">
        <v>6922</v>
      </c>
      <c r="D8502" s="44">
        <v>-17350.3</v>
      </c>
      <c r="E8502" t="s">
        <v>35</v>
      </c>
      <c r="F8502" s="2">
        <v>212901001</v>
      </c>
      <c r="G8502" s="2" t="s">
        <v>91</v>
      </c>
      <c r="I8502" s="95" t="s">
        <v>7231</v>
      </c>
      <c r="J8502" t="s">
        <v>61</v>
      </c>
      <c r="K8502" t="s">
        <v>62</v>
      </c>
      <c r="M8502">
        <v>158.93</v>
      </c>
      <c r="N8502" s="4">
        <f t="shared" si="133"/>
        <v>-109.1694456679041</v>
      </c>
      <c r="O8502" t="s">
        <v>605</v>
      </c>
    </row>
    <row r="8503" spans="1:17" x14ac:dyDescent="0.25">
      <c r="A8503" s="22">
        <v>45912</v>
      </c>
      <c r="B8503" s="1" t="s">
        <v>6923</v>
      </c>
      <c r="C8503" t="s">
        <v>622</v>
      </c>
      <c r="D8503" s="44">
        <v>-43.37</v>
      </c>
      <c r="E8503" t="s">
        <v>35</v>
      </c>
      <c r="F8503" s="2">
        <v>610148001</v>
      </c>
      <c r="G8503" s="2" t="s">
        <v>41</v>
      </c>
      <c r="I8503" s="95" t="s">
        <v>7231</v>
      </c>
      <c r="J8503" t="s">
        <v>42</v>
      </c>
      <c r="K8503" t="s">
        <v>41</v>
      </c>
      <c r="M8503">
        <v>158.93</v>
      </c>
      <c r="N8503" s="4">
        <f t="shared" si="133"/>
        <v>-0.2728874347196879</v>
      </c>
      <c r="O8503" t="s">
        <v>605</v>
      </c>
      <c r="Q8503" s="94" t="s">
        <v>6298</v>
      </c>
    </row>
    <row r="8504" spans="1:17" x14ac:dyDescent="0.25">
      <c r="A8504" s="22">
        <v>45912</v>
      </c>
      <c r="B8504" s="1" t="s">
        <v>6924</v>
      </c>
      <c r="C8504" t="s">
        <v>6925</v>
      </c>
      <c r="D8504" s="44">
        <v>-11041.1</v>
      </c>
      <c r="E8504" t="s">
        <v>35</v>
      </c>
      <c r="F8504" s="2">
        <v>212901001</v>
      </c>
      <c r="G8504" s="2" t="s">
        <v>91</v>
      </c>
      <c r="I8504" s="95" t="s">
        <v>7231</v>
      </c>
      <c r="J8504" t="s">
        <v>61</v>
      </c>
      <c r="K8504" t="s">
        <v>62</v>
      </c>
      <c r="M8504">
        <v>158.93</v>
      </c>
      <c r="N8504" s="4">
        <f t="shared" si="133"/>
        <v>-69.471465425029891</v>
      </c>
      <c r="O8504" t="s">
        <v>605</v>
      </c>
    </row>
    <row r="8505" spans="1:17" x14ac:dyDescent="0.25">
      <c r="A8505" s="22">
        <v>45912</v>
      </c>
      <c r="B8505" s="1" t="s">
        <v>6926</v>
      </c>
      <c r="C8505" t="s">
        <v>622</v>
      </c>
      <c r="D8505" s="44">
        <v>-27.6</v>
      </c>
      <c r="E8505" t="s">
        <v>35</v>
      </c>
      <c r="F8505" s="2">
        <v>610148001</v>
      </c>
      <c r="G8505" s="2" t="s">
        <v>41</v>
      </c>
      <c r="I8505" s="95" t="s">
        <v>7231</v>
      </c>
      <c r="J8505" t="s">
        <v>42</v>
      </c>
      <c r="K8505" t="s">
        <v>41</v>
      </c>
      <c r="M8505">
        <v>158.93</v>
      </c>
      <c r="N8505" s="4">
        <f t="shared" si="133"/>
        <v>-0.17366136034732271</v>
      </c>
      <c r="O8505" t="s">
        <v>605</v>
      </c>
      <c r="Q8505" s="94" t="s">
        <v>6298</v>
      </c>
    </row>
    <row r="8506" spans="1:17" x14ac:dyDescent="0.25">
      <c r="A8506" s="22">
        <v>45912</v>
      </c>
      <c r="B8506" s="1" t="s">
        <v>6927</v>
      </c>
      <c r="C8506" t="s">
        <v>6928</v>
      </c>
      <c r="D8506" s="44">
        <v>-9463.7999999999993</v>
      </c>
      <c r="E8506" t="s">
        <v>35</v>
      </c>
      <c r="F8506" s="2">
        <v>212901001</v>
      </c>
      <c r="G8506" s="2" t="s">
        <v>91</v>
      </c>
      <c r="I8506" s="95" t="s">
        <v>7231</v>
      </c>
      <c r="J8506" t="s">
        <v>61</v>
      </c>
      <c r="K8506" t="s">
        <v>62</v>
      </c>
      <c r="M8506">
        <v>158.93</v>
      </c>
      <c r="N8506" s="4">
        <f t="shared" si="133"/>
        <v>-59.546970364311328</v>
      </c>
      <c r="O8506" t="s">
        <v>605</v>
      </c>
    </row>
    <row r="8507" spans="1:17" x14ac:dyDescent="0.25">
      <c r="A8507" s="22">
        <v>45912</v>
      </c>
      <c r="B8507" s="1" t="s">
        <v>6929</v>
      </c>
      <c r="C8507" t="s">
        <v>622</v>
      </c>
      <c r="D8507" s="44">
        <v>-23.65</v>
      </c>
      <c r="E8507" t="s">
        <v>35</v>
      </c>
      <c r="F8507" s="2">
        <v>610148001</v>
      </c>
      <c r="G8507" s="2" t="s">
        <v>41</v>
      </c>
      <c r="I8507" s="95" t="s">
        <v>7231</v>
      </c>
      <c r="J8507" t="s">
        <v>42</v>
      </c>
      <c r="K8507" t="s">
        <v>41</v>
      </c>
      <c r="M8507">
        <v>158.93</v>
      </c>
      <c r="N8507" s="4">
        <f t="shared" si="133"/>
        <v>-0.1488076511671805</v>
      </c>
      <c r="O8507" t="s">
        <v>605</v>
      </c>
      <c r="Q8507" s="94" t="s">
        <v>6298</v>
      </c>
    </row>
    <row r="8508" spans="1:17" x14ac:dyDescent="0.25">
      <c r="A8508" s="22">
        <v>45912</v>
      </c>
      <c r="B8508" s="1" t="s">
        <v>6930</v>
      </c>
      <c r="C8508" t="s">
        <v>6931</v>
      </c>
      <c r="D8508" s="44">
        <v>-9463.7999999999993</v>
      </c>
      <c r="E8508" t="s">
        <v>35</v>
      </c>
      <c r="F8508" s="2">
        <v>212901001</v>
      </c>
      <c r="G8508" s="2" t="s">
        <v>91</v>
      </c>
      <c r="I8508" s="95" t="s">
        <v>7231</v>
      </c>
      <c r="J8508" t="s">
        <v>61</v>
      </c>
      <c r="K8508" t="s">
        <v>62</v>
      </c>
      <c r="M8508">
        <v>158.93</v>
      </c>
      <c r="N8508" s="4">
        <f t="shared" si="133"/>
        <v>-59.546970364311328</v>
      </c>
      <c r="O8508" t="s">
        <v>605</v>
      </c>
    </row>
    <row r="8509" spans="1:17" x14ac:dyDescent="0.25">
      <c r="A8509" s="22">
        <v>45912</v>
      </c>
      <c r="B8509" s="1" t="s">
        <v>6932</v>
      </c>
      <c r="C8509" t="s">
        <v>622</v>
      </c>
      <c r="D8509" s="44">
        <v>-23.65</v>
      </c>
      <c r="E8509" t="s">
        <v>35</v>
      </c>
      <c r="F8509" s="2">
        <v>610148001</v>
      </c>
      <c r="G8509" s="2" t="s">
        <v>41</v>
      </c>
      <c r="I8509" s="95" t="s">
        <v>7231</v>
      </c>
      <c r="J8509" t="s">
        <v>42</v>
      </c>
      <c r="K8509" t="s">
        <v>41</v>
      </c>
      <c r="M8509">
        <v>158.93</v>
      </c>
      <c r="N8509" s="4">
        <f t="shared" si="133"/>
        <v>-0.1488076511671805</v>
      </c>
      <c r="O8509" t="s">
        <v>605</v>
      </c>
      <c r="Q8509" s="94" t="s">
        <v>6298</v>
      </c>
    </row>
    <row r="8510" spans="1:17" x14ac:dyDescent="0.25">
      <c r="A8510" s="22">
        <v>45912</v>
      </c>
      <c r="B8510" s="1" t="s">
        <v>6933</v>
      </c>
      <c r="C8510" t="s">
        <v>6934</v>
      </c>
      <c r="D8510" s="44">
        <v>-6309.2</v>
      </c>
      <c r="E8510" t="s">
        <v>35</v>
      </c>
      <c r="F8510" s="2">
        <v>212901001</v>
      </c>
      <c r="G8510" s="2" t="s">
        <v>91</v>
      </c>
      <c r="I8510" s="95" t="s">
        <v>7231</v>
      </c>
      <c r="J8510" t="s">
        <v>61</v>
      </c>
      <c r="K8510" t="s">
        <v>62</v>
      </c>
      <c r="M8510">
        <v>158.93</v>
      </c>
      <c r="N8510" s="4">
        <f t="shared" si="133"/>
        <v>-39.697980242874216</v>
      </c>
      <c r="O8510" t="s">
        <v>605</v>
      </c>
    </row>
    <row r="8511" spans="1:17" x14ac:dyDescent="0.25">
      <c r="A8511" s="22">
        <v>45912</v>
      </c>
      <c r="B8511" s="1" t="s">
        <v>6935</v>
      </c>
      <c r="C8511" t="s">
        <v>622</v>
      </c>
      <c r="D8511" s="44">
        <v>-15.77</v>
      </c>
      <c r="E8511" t="s">
        <v>35</v>
      </c>
      <c r="F8511" s="2">
        <v>610148001</v>
      </c>
      <c r="G8511" s="2" t="s">
        <v>41</v>
      </c>
      <c r="I8511" s="95" t="s">
        <v>7231</v>
      </c>
      <c r="J8511" t="s">
        <v>42</v>
      </c>
      <c r="K8511" t="s">
        <v>41</v>
      </c>
      <c r="M8511">
        <v>158.93</v>
      </c>
      <c r="N8511" s="4">
        <f t="shared" si="133"/>
        <v>-9.9226074372365192E-2</v>
      </c>
      <c r="O8511" t="s">
        <v>605</v>
      </c>
      <c r="Q8511" s="94" t="s">
        <v>6298</v>
      </c>
    </row>
    <row r="8512" spans="1:17" x14ac:dyDescent="0.25">
      <c r="A8512" s="22">
        <v>45912</v>
      </c>
      <c r="B8512" s="1" t="s">
        <v>6936</v>
      </c>
      <c r="C8512" t="s">
        <v>6937</v>
      </c>
      <c r="D8512" s="44">
        <v>-6309.2</v>
      </c>
      <c r="E8512" t="s">
        <v>35</v>
      </c>
      <c r="F8512" s="2">
        <v>212901001</v>
      </c>
      <c r="G8512" s="2" t="s">
        <v>91</v>
      </c>
      <c r="I8512" s="95" t="s">
        <v>7231</v>
      </c>
      <c r="J8512" t="s">
        <v>61</v>
      </c>
      <c r="K8512" t="s">
        <v>62</v>
      </c>
      <c r="M8512">
        <v>158.93</v>
      </c>
      <c r="N8512" s="4">
        <f t="shared" si="133"/>
        <v>-39.697980242874216</v>
      </c>
      <c r="O8512" t="s">
        <v>605</v>
      </c>
    </row>
    <row r="8513" spans="1:17" x14ac:dyDescent="0.25">
      <c r="A8513" s="22">
        <v>45912</v>
      </c>
      <c r="B8513" s="1" t="s">
        <v>6938</v>
      </c>
      <c r="C8513" t="s">
        <v>622</v>
      </c>
      <c r="D8513" s="44">
        <v>-15.77</v>
      </c>
      <c r="E8513" t="s">
        <v>35</v>
      </c>
      <c r="F8513" s="2">
        <v>610148001</v>
      </c>
      <c r="G8513" s="2" t="s">
        <v>41</v>
      </c>
      <c r="I8513" s="95" t="s">
        <v>7231</v>
      </c>
      <c r="J8513" t="s">
        <v>42</v>
      </c>
      <c r="K8513" t="s">
        <v>41</v>
      </c>
      <c r="M8513">
        <v>158.93</v>
      </c>
      <c r="N8513" s="4">
        <f t="shared" si="133"/>
        <v>-9.9226074372365192E-2</v>
      </c>
      <c r="O8513" t="s">
        <v>605</v>
      </c>
      <c r="Q8513" s="94" t="s">
        <v>6298</v>
      </c>
    </row>
    <row r="8514" spans="1:17" x14ac:dyDescent="0.25">
      <c r="A8514" s="22">
        <v>45912</v>
      </c>
      <c r="B8514" s="1" t="s">
        <v>6939</v>
      </c>
      <c r="C8514" t="s">
        <v>6940</v>
      </c>
      <c r="D8514" s="44">
        <v>-12618.4</v>
      </c>
      <c r="E8514" t="s">
        <v>35</v>
      </c>
      <c r="F8514" s="2">
        <v>212901001</v>
      </c>
      <c r="G8514" s="2" t="s">
        <v>91</v>
      </c>
      <c r="I8514" s="95" t="s">
        <v>7231</v>
      </c>
      <c r="J8514" t="s">
        <v>61</v>
      </c>
      <c r="K8514" t="s">
        <v>62</v>
      </c>
      <c r="M8514">
        <v>158.93</v>
      </c>
      <c r="N8514" s="4">
        <f t="shared" si="133"/>
        <v>-79.395960485748432</v>
      </c>
      <c r="O8514" t="s">
        <v>605</v>
      </c>
    </row>
    <row r="8515" spans="1:17" x14ac:dyDescent="0.25">
      <c r="A8515" s="22">
        <v>45912</v>
      </c>
      <c r="B8515" s="1" t="s">
        <v>6941</v>
      </c>
      <c r="C8515" t="s">
        <v>622</v>
      </c>
      <c r="D8515" s="44">
        <v>-31.54</v>
      </c>
      <c r="E8515" t="s">
        <v>35</v>
      </c>
      <c r="F8515" s="2">
        <v>610148001</v>
      </c>
      <c r="G8515" s="2" t="s">
        <v>41</v>
      </c>
      <c r="I8515" s="95" t="s">
        <v>7231</v>
      </c>
      <c r="J8515" t="s">
        <v>42</v>
      </c>
      <c r="K8515" t="s">
        <v>41</v>
      </c>
      <c r="M8515">
        <v>158.93</v>
      </c>
      <c r="N8515" s="4">
        <f t="shared" si="133"/>
        <v>-0.19845214874473038</v>
      </c>
      <c r="O8515" t="s">
        <v>605</v>
      </c>
      <c r="Q8515" s="94" t="s">
        <v>6298</v>
      </c>
    </row>
    <row r="8516" spans="1:17" x14ac:dyDescent="0.25">
      <c r="A8516" s="22">
        <v>45912</v>
      </c>
      <c r="B8516" s="1" t="s">
        <v>6942</v>
      </c>
      <c r="C8516" t="s">
        <v>6943</v>
      </c>
      <c r="D8516" s="44">
        <v>-7886.5</v>
      </c>
      <c r="E8516" t="s">
        <v>35</v>
      </c>
      <c r="F8516" s="2">
        <v>212901001</v>
      </c>
      <c r="G8516" s="2" t="s">
        <v>91</v>
      </c>
      <c r="I8516" s="95" t="s">
        <v>7231</v>
      </c>
      <c r="J8516" t="s">
        <v>61</v>
      </c>
      <c r="K8516" t="s">
        <v>62</v>
      </c>
      <c r="M8516">
        <v>158.93</v>
      </c>
      <c r="N8516" s="4">
        <f t="shared" si="133"/>
        <v>-49.622475303592772</v>
      </c>
      <c r="O8516" t="s">
        <v>605</v>
      </c>
    </row>
    <row r="8517" spans="1:17" x14ac:dyDescent="0.25">
      <c r="A8517" s="22">
        <v>45912</v>
      </c>
      <c r="B8517" s="1" t="s">
        <v>6944</v>
      </c>
      <c r="C8517" t="s">
        <v>622</v>
      </c>
      <c r="D8517" s="44">
        <v>-19.71</v>
      </c>
      <c r="E8517" t="s">
        <v>35</v>
      </c>
      <c r="F8517" s="2">
        <v>610148001</v>
      </c>
      <c r="G8517" s="2" t="s">
        <v>41</v>
      </c>
      <c r="I8517" s="95" t="s">
        <v>7231</v>
      </c>
      <c r="J8517" t="s">
        <v>42</v>
      </c>
      <c r="K8517" t="s">
        <v>41</v>
      </c>
      <c r="M8517">
        <v>158.93</v>
      </c>
      <c r="N8517" s="4">
        <f t="shared" si="133"/>
        <v>-0.12401686276977286</v>
      </c>
      <c r="O8517" t="s">
        <v>605</v>
      </c>
      <c r="Q8517" s="94" t="s">
        <v>6298</v>
      </c>
    </row>
    <row r="8518" spans="1:17" x14ac:dyDescent="0.25">
      <c r="A8518" s="22">
        <v>45912</v>
      </c>
      <c r="B8518" s="1" t="s">
        <v>6945</v>
      </c>
      <c r="C8518" t="s">
        <v>6946</v>
      </c>
      <c r="D8518" s="44">
        <v>-9463.7999999999993</v>
      </c>
      <c r="E8518" t="s">
        <v>35</v>
      </c>
      <c r="F8518" s="2">
        <v>212901001</v>
      </c>
      <c r="G8518" s="2" t="s">
        <v>91</v>
      </c>
      <c r="I8518" s="95" t="s">
        <v>7231</v>
      </c>
      <c r="J8518" t="s">
        <v>61</v>
      </c>
      <c r="K8518" t="s">
        <v>62</v>
      </c>
      <c r="M8518">
        <v>158.93</v>
      </c>
      <c r="N8518" s="4">
        <f t="shared" si="133"/>
        <v>-59.546970364311328</v>
      </c>
      <c r="O8518" t="s">
        <v>605</v>
      </c>
    </row>
    <row r="8519" spans="1:17" x14ac:dyDescent="0.25">
      <c r="A8519" s="22">
        <v>45912</v>
      </c>
      <c r="B8519" s="1" t="s">
        <v>6947</v>
      </c>
      <c r="C8519" t="s">
        <v>622</v>
      </c>
      <c r="D8519" s="44">
        <v>-23.65</v>
      </c>
      <c r="E8519" t="s">
        <v>35</v>
      </c>
      <c r="F8519" s="2">
        <v>610148001</v>
      </c>
      <c r="G8519" s="2" t="s">
        <v>41</v>
      </c>
      <c r="I8519" s="95" t="s">
        <v>7231</v>
      </c>
      <c r="J8519" t="s">
        <v>42</v>
      </c>
      <c r="K8519" t="s">
        <v>41</v>
      </c>
      <c r="M8519">
        <v>158.93</v>
      </c>
      <c r="N8519" s="4">
        <f t="shared" si="133"/>
        <v>-0.1488076511671805</v>
      </c>
      <c r="O8519" t="s">
        <v>605</v>
      </c>
      <c r="Q8519" s="94" t="s">
        <v>6298</v>
      </c>
    </row>
    <row r="8520" spans="1:17" x14ac:dyDescent="0.25">
      <c r="A8520" s="22">
        <v>45912</v>
      </c>
      <c r="B8520" s="1" t="s">
        <v>6948</v>
      </c>
      <c r="C8520" t="s">
        <v>6949</v>
      </c>
      <c r="D8520" s="44">
        <v>-7886.5</v>
      </c>
      <c r="E8520" t="s">
        <v>35</v>
      </c>
      <c r="F8520" s="2">
        <v>212901001</v>
      </c>
      <c r="G8520" s="2" t="s">
        <v>91</v>
      </c>
      <c r="I8520" s="95" t="s">
        <v>7231</v>
      </c>
      <c r="J8520" t="s">
        <v>61</v>
      </c>
      <c r="K8520" t="s">
        <v>62</v>
      </c>
      <c r="M8520">
        <v>158.93</v>
      </c>
      <c r="N8520" s="4">
        <f t="shared" si="133"/>
        <v>-49.622475303592772</v>
      </c>
      <c r="O8520" t="s">
        <v>605</v>
      </c>
    </row>
    <row r="8521" spans="1:17" x14ac:dyDescent="0.25">
      <c r="A8521" s="22">
        <v>45912</v>
      </c>
      <c r="B8521" s="1" t="s">
        <v>6950</v>
      </c>
      <c r="C8521" t="s">
        <v>622</v>
      </c>
      <c r="D8521" s="44">
        <v>-19.71</v>
      </c>
      <c r="E8521" t="s">
        <v>35</v>
      </c>
      <c r="F8521" s="2">
        <v>610148001</v>
      </c>
      <c r="G8521" s="2" t="s">
        <v>41</v>
      </c>
      <c r="I8521" s="95" t="s">
        <v>7231</v>
      </c>
      <c r="J8521" t="s">
        <v>42</v>
      </c>
      <c r="K8521" t="s">
        <v>41</v>
      </c>
      <c r="M8521">
        <v>158.93</v>
      </c>
      <c r="N8521" s="4">
        <f t="shared" si="133"/>
        <v>-0.12401686276977286</v>
      </c>
      <c r="O8521" t="s">
        <v>605</v>
      </c>
      <c r="Q8521" s="94" t="s">
        <v>6298</v>
      </c>
    </row>
    <row r="8522" spans="1:17" x14ac:dyDescent="0.25">
      <c r="A8522" s="22">
        <v>45912</v>
      </c>
      <c r="B8522" s="1" t="s">
        <v>6951</v>
      </c>
      <c r="C8522" t="s">
        <v>6952</v>
      </c>
      <c r="D8522" s="44">
        <v>-7886.5</v>
      </c>
      <c r="E8522" t="s">
        <v>35</v>
      </c>
      <c r="F8522" s="2">
        <v>212901001</v>
      </c>
      <c r="G8522" s="2" t="s">
        <v>91</v>
      </c>
      <c r="I8522" s="95" t="s">
        <v>7231</v>
      </c>
      <c r="J8522" t="s">
        <v>61</v>
      </c>
      <c r="K8522" t="s">
        <v>62</v>
      </c>
      <c r="M8522">
        <v>158.93</v>
      </c>
      <c r="N8522" s="4">
        <f t="shared" si="133"/>
        <v>-49.622475303592772</v>
      </c>
      <c r="O8522" t="s">
        <v>605</v>
      </c>
    </row>
    <row r="8523" spans="1:17" x14ac:dyDescent="0.25">
      <c r="A8523" s="22">
        <v>45912</v>
      </c>
      <c r="B8523" s="1" t="s">
        <v>6953</v>
      </c>
      <c r="C8523" t="s">
        <v>622</v>
      </c>
      <c r="D8523" s="44">
        <v>-19.71</v>
      </c>
      <c r="E8523" t="s">
        <v>35</v>
      </c>
      <c r="F8523" s="2">
        <v>610148001</v>
      </c>
      <c r="G8523" s="2" t="s">
        <v>41</v>
      </c>
      <c r="I8523" s="95" t="s">
        <v>7231</v>
      </c>
      <c r="J8523" t="s">
        <v>42</v>
      </c>
      <c r="K8523" t="s">
        <v>41</v>
      </c>
      <c r="M8523">
        <v>158.93</v>
      </c>
      <c r="N8523" s="4">
        <f t="shared" si="133"/>
        <v>-0.12401686276977286</v>
      </c>
      <c r="O8523" t="s">
        <v>605</v>
      </c>
      <c r="Q8523" s="94" t="s">
        <v>6298</v>
      </c>
    </row>
    <row r="8524" spans="1:17" x14ac:dyDescent="0.25">
      <c r="A8524" s="22">
        <v>45912</v>
      </c>
      <c r="B8524" s="1" t="s">
        <v>6954</v>
      </c>
      <c r="C8524" t="s">
        <v>6955</v>
      </c>
      <c r="D8524" s="44">
        <v>-9463.7999999999993</v>
      </c>
      <c r="E8524" t="s">
        <v>35</v>
      </c>
      <c r="F8524" s="2">
        <v>212901001</v>
      </c>
      <c r="G8524" s="2" t="s">
        <v>91</v>
      </c>
      <c r="I8524" s="95" t="s">
        <v>7231</v>
      </c>
      <c r="J8524" t="s">
        <v>61</v>
      </c>
      <c r="K8524" t="s">
        <v>62</v>
      </c>
      <c r="M8524">
        <v>158.93</v>
      </c>
      <c r="N8524" s="4">
        <f t="shared" si="133"/>
        <v>-59.546970364311328</v>
      </c>
      <c r="O8524" t="s">
        <v>605</v>
      </c>
    </row>
    <row r="8525" spans="1:17" x14ac:dyDescent="0.25">
      <c r="A8525" s="22">
        <v>45912</v>
      </c>
      <c r="B8525" s="1" t="s">
        <v>6956</v>
      </c>
      <c r="C8525" t="s">
        <v>622</v>
      </c>
      <c r="D8525" s="44">
        <v>-23.65</v>
      </c>
      <c r="E8525" t="s">
        <v>35</v>
      </c>
      <c r="F8525" s="2">
        <v>610148001</v>
      </c>
      <c r="G8525" s="2" t="s">
        <v>41</v>
      </c>
      <c r="I8525" s="95" t="s">
        <v>7231</v>
      </c>
      <c r="J8525" t="s">
        <v>42</v>
      </c>
      <c r="K8525" t="s">
        <v>41</v>
      </c>
      <c r="M8525">
        <v>158.93</v>
      </c>
      <c r="N8525" s="4">
        <f t="shared" si="133"/>
        <v>-0.1488076511671805</v>
      </c>
      <c r="O8525" t="s">
        <v>605</v>
      </c>
      <c r="Q8525" s="94" t="s">
        <v>6298</v>
      </c>
    </row>
    <row r="8526" spans="1:17" x14ac:dyDescent="0.25">
      <c r="A8526" s="22">
        <v>45912</v>
      </c>
      <c r="B8526" s="1" t="s">
        <v>6957</v>
      </c>
      <c r="C8526" t="s">
        <v>6958</v>
      </c>
      <c r="D8526" s="44">
        <v>-6309.2</v>
      </c>
      <c r="E8526" t="s">
        <v>35</v>
      </c>
      <c r="F8526" s="2">
        <v>212901001</v>
      </c>
      <c r="G8526" s="2" t="s">
        <v>91</v>
      </c>
      <c r="I8526" s="95" t="s">
        <v>7231</v>
      </c>
      <c r="J8526" t="s">
        <v>61</v>
      </c>
      <c r="K8526" t="s">
        <v>62</v>
      </c>
      <c r="M8526">
        <v>158.93</v>
      </c>
      <c r="N8526" s="4">
        <f t="shared" si="133"/>
        <v>-39.697980242874216</v>
      </c>
      <c r="O8526" t="s">
        <v>605</v>
      </c>
    </row>
    <row r="8527" spans="1:17" x14ac:dyDescent="0.25">
      <c r="A8527" s="22">
        <v>45912</v>
      </c>
      <c r="B8527" s="1" t="s">
        <v>6959</v>
      </c>
      <c r="C8527" t="s">
        <v>622</v>
      </c>
      <c r="D8527" s="44">
        <v>-15.77</v>
      </c>
      <c r="E8527" t="s">
        <v>35</v>
      </c>
      <c r="F8527" s="2">
        <v>610148001</v>
      </c>
      <c r="G8527" s="2" t="s">
        <v>41</v>
      </c>
      <c r="I8527" s="95" t="s">
        <v>7231</v>
      </c>
      <c r="J8527" t="s">
        <v>42</v>
      </c>
      <c r="K8527" t="s">
        <v>41</v>
      </c>
      <c r="M8527">
        <v>158.93</v>
      </c>
      <c r="N8527" s="4">
        <f t="shared" si="133"/>
        <v>-9.9226074372365192E-2</v>
      </c>
      <c r="O8527" t="s">
        <v>605</v>
      </c>
      <c r="Q8527" s="94" t="s">
        <v>6298</v>
      </c>
    </row>
    <row r="8528" spans="1:17" x14ac:dyDescent="0.25">
      <c r="A8528" s="22">
        <v>45912</v>
      </c>
      <c r="B8528" s="1" t="s">
        <v>6960</v>
      </c>
      <c r="C8528" t="s">
        <v>6961</v>
      </c>
      <c r="D8528" s="44">
        <v>-11041.1</v>
      </c>
      <c r="E8528" t="s">
        <v>35</v>
      </c>
      <c r="F8528" s="2">
        <v>212901001</v>
      </c>
      <c r="G8528" s="2" t="s">
        <v>91</v>
      </c>
      <c r="I8528" s="95" t="s">
        <v>7231</v>
      </c>
      <c r="J8528" t="s">
        <v>61</v>
      </c>
      <c r="K8528" t="s">
        <v>62</v>
      </c>
      <c r="M8528">
        <v>158.93</v>
      </c>
      <c r="N8528" s="4">
        <f t="shared" si="133"/>
        <v>-69.471465425029891</v>
      </c>
      <c r="O8528" t="s">
        <v>605</v>
      </c>
    </row>
    <row r="8529" spans="1:17" x14ac:dyDescent="0.25">
      <c r="A8529" s="22">
        <v>45912</v>
      </c>
      <c r="B8529" s="1" t="s">
        <v>6962</v>
      </c>
      <c r="C8529" t="s">
        <v>622</v>
      </c>
      <c r="D8529" s="44">
        <v>-27.6</v>
      </c>
      <c r="E8529" t="s">
        <v>35</v>
      </c>
      <c r="F8529" s="2">
        <v>610148001</v>
      </c>
      <c r="G8529" s="2" t="s">
        <v>41</v>
      </c>
      <c r="I8529" s="95" t="s">
        <v>7231</v>
      </c>
      <c r="J8529" t="s">
        <v>42</v>
      </c>
      <c r="K8529" t="s">
        <v>41</v>
      </c>
      <c r="M8529">
        <v>158.93</v>
      </c>
      <c r="N8529" s="4">
        <f t="shared" si="133"/>
        <v>-0.17366136034732271</v>
      </c>
      <c r="O8529" t="s">
        <v>605</v>
      </c>
      <c r="Q8529" s="94" t="s">
        <v>6298</v>
      </c>
    </row>
    <row r="8530" spans="1:17" x14ac:dyDescent="0.25">
      <c r="A8530" s="22">
        <v>45912</v>
      </c>
      <c r="B8530" s="1" t="s">
        <v>6963</v>
      </c>
      <c r="C8530" t="s">
        <v>6964</v>
      </c>
      <c r="D8530" s="44">
        <v>-7886.5</v>
      </c>
      <c r="E8530" t="s">
        <v>35</v>
      </c>
      <c r="F8530" s="2">
        <v>212901001</v>
      </c>
      <c r="G8530" s="2" t="s">
        <v>91</v>
      </c>
      <c r="I8530" s="95" t="s">
        <v>7231</v>
      </c>
      <c r="J8530" t="s">
        <v>61</v>
      </c>
      <c r="K8530" t="s">
        <v>62</v>
      </c>
      <c r="M8530">
        <v>158.93</v>
      </c>
      <c r="N8530" s="4">
        <f t="shared" si="133"/>
        <v>-49.622475303592772</v>
      </c>
      <c r="O8530" t="s">
        <v>605</v>
      </c>
    </row>
    <row r="8531" spans="1:17" x14ac:dyDescent="0.25">
      <c r="A8531" s="22">
        <v>45912</v>
      </c>
      <c r="B8531" s="1" t="s">
        <v>6965</v>
      </c>
      <c r="C8531" t="s">
        <v>622</v>
      </c>
      <c r="D8531" s="44">
        <v>-19.71</v>
      </c>
      <c r="E8531" t="s">
        <v>35</v>
      </c>
      <c r="F8531" s="2">
        <v>610148001</v>
      </c>
      <c r="G8531" s="2" t="s">
        <v>41</v>
      </c>
      <c r="I8531" s="95" t="s">
        <v>7231</v>
      </c>
      <c r="J8531" t="s">
        <v>42</v>
      </c>
      <c r="K8531" t="s">
        <v>41</v>
      </c>
      <c r="M8531">
        <v>158.93</v>
      </c>
      <c r="N8531" s="4">
        <f t="shared" si="133"/>
        <v>-0.12401686276977286</v>
      </c>
      <c r="O8531" t="s">
        <v>605</v>
      </c>
      <c r="Q8531" s="94" t="s">
        <v>6298</v>
      </c>
    </row>
    <row r="8532" spans="1:17" x14ac:dyDescent="0.25">
      <c r="A8532" s="22">
        <v>45912</v>
      </c>
      <c r="B8532" s="1" t="s">
        <v>6966</v>
      </c>
      <c r="C8532" t="s">
        <v>6967</v>
      </c>
      <c r="D8532" s="44">
        <v>-9463.7999999999993</v>
      </c>
      <c r="E8532" t="s">
        <v>35</v>
      </c>
      <c r="F8532" s="2">
        <v>212901001</v>
      </c>
      <c r="G8532" s="2" t="s">
        <v>91</v>
      </c>
      <c r="I8532" s="95" t="s">
        <v>7231</v>
      </c>
      <c r="J8532" t="s">
        <v>61</v>
      </c>
      <c r="K8532" t="s">
        <v>62</v>
      </c>
      <c r="M8532">
        <v>158.93</v>
      </c>
      <c r="N8532" s="4">
        <f t="shared" si="133"/>
        <v>-59.546970364311328</v>
      </c>
      <c r="O8532" t="s">
        <v>605</v>
      </c>
    </row>
    <row r="8533" spans="1:17" x14ac:dyDescent="0.25">
      <c r="A8533" s="22">
        <v>45912</v>
      </c>
      <c r="B8533" s="1" t="s">
        <v>6968</v>
      </c>
      <c r="C8533" t="s">
        <v>622</v>
      </c>
      <c r="D8533" s="44">
        <v>-23.65</v>
      </c>
      <c r="E8533" t="s">
        <v>35</v>
      </c>
      <c r="F8533" s="2">
        <v>610148001</v>
      </c>
      <c r="G8533" s="2" t="s">
        <v>41</v>
      </c>
      <c r="I8533" s="95" t="s">
        <v>7231</v>
      </c>
      <c r="J8533" t="s">
        <v>42</v>
      </c>
      <c r="K8533" t="s">
        <v>41</v>
      </c>
      <c r="M8533">
        <v>158.93</v>
      </c>
      <c r="N8533" s="4">
        <f t="shared" si="133"/>
        <v>-0.1488076511671805</v>
      </c>
      <c r="O8533" t="s">
        <v>605</v>
      </c>
      <c r="Q8533" s="94" t="s">
        <v>6298</v>
      </c>
    </row>
    <row r="8534" spans="1:17" x14ac:dyDescent="0.25">
      <c r="A8534" s="22">
        <v>45912</v>
      </c>
      <c r="B8534" s="1" t="s">
        <v>6969</v>
      </c>
      <c r="C8534" t="s">
        <v>6970</v>
      </c>
      <c r="D8534" s="44">
        <v>-12618.4</v>
      </c>
      <c r="E8534" t="s">
        <v>35</v>
      </c>
      <c r="F8534" s="2">
        <v>212901001</v>
      </c>
      <c r="G8534" s="2" t="s">
        <v>91</v>
      </c>
      <c r="I8534" s="95" t="s">
        <v>7231</v>
      </c>
      <c r="J8534" t="s">
        <v>61</v>
      </c>
      <c r="K8534" t="s">
        <v>62</v>
      </c>
      <c r="M8534">
        <v>158.93</v>
      </c>
      <c r="N8534" s="4">
        <f t="shared" si="133"/>
        <v>-79.395960485748432</v>
      </c>
      <c r="O8534" t="s">
        <v>605</v>
      </c>
    </row>
    <row r="8535" spans="1:17" x14ac:dyDescent="0.25">
      <c r="A8535" s="22">
        <v>45912</v>
      </c>
      <c r="B8535" s="1" t="s">
        <v>6971</v>
      </c>
      <c r="C8535" t="s">
        <v>622</v>
      </c>
      <c r="D8535" s="44">
        <v>-31.54</v>
      </c>
      <c r="E8535" t="s">
        <v>35</v>
      </c>
      <c r="F8535" s="2">
        <v>610148001</v>
      </c>
      <c r="G8535" s="2" t="s">
        <v>41</v>
      </c>
      <c r="I8535" s="95" t="s">
        <v>7231</v>
      </c>
      <c r="J8535" t="s">
        <v>42</v>
      </c>
      <c r="K8535" t="s">
        <v>41</v>
      </c>
      <c r="M8535">
        <v>158.93</v>
      </c>
      <c r="N8535" s="4">
        <f t="shared" si="133"/>
        <v>-0.19845214874473038</v>
      </c>
      <c r="O8535" t="s">
        <v>605</v>
      </c>
      <c r="Q8535" s="94" t="s">
        <v>6298</v>
      </c>
    </row>
    <row r="8536" spans="1:17" x14ac:dyDescent="0.25">
      <c r="A8536" s="22">
        <v>45912</v>
      </c>
      <c r="B8536" s="1" t="s">
        <v>6972</v>
      </c>
      <c r="C8536" t="s">
        <v>6973</v>
      </c>
      <c r="D8536" s="44">
        <v>-7886.5</v>
      </c>
      <c r="E8536" t="s">
        <v>35</v>
      </c>
      <c r="F8536" s="2">
        <v>212901001</v>
      </c>
      <c r="G8536" s="2" t="s">
        <v>91</v>
      </c>
      <c r="I8536" s="95" t="s">
        <v>7231</v>
      </c>
      <c r="J8536" t="s">
        <v>61</v>
      </c>
      <c r="K8536" t="s">
        <v>62</v>
      </c>
      <c r="M8536">
        <v>158.93</v>
      </c>
      <c r="N8536" s="4">
        <f t="shared" si="133"/>
        <v>-49.622475303592772</v>
      </c>
      <c r="O8536" t="s">
        <v>605</v>
      </c>
    </row>
    <row r="8537" spans="1:17" x14ac:dyDescent="0.25">
      <c r="A8537" s="22">
        <v>45912</v>
      </c>
      <c r="B8537" s="1" t="s">
        <v>6974</v>
      </c>
      <c r="C8537" t="s">
        <v>622</v>
      </c>
      <c r="D8537" s="44">
        <v>-19.71</v>
      </c>
      <c r="E8537" t="s">
        <v>35</v>
      </c>
      <c r="F8537" s="2">
        <v>610148001</v>
      </c>
      <c r="G8537" s="2" t="s">
        <v>41</v>
      </c>
      <c r="I8537" s="95" t="s">
        <v>7231</v>
      </c>
      <c r="J8537" t="s">
        <v>42</v>
      </c>
      <c r="K8537" t="s">
        <v>41</v>
      </c>
      <c r="M8537">
        <v>158.93</v>
      </c>
      <c r="N8537" s="4">
        <f t="shared" si="133"/>
        <v>-0.12401686276977286</v>
      </c>
      <c r="O8537" t="s">
        <v>605</v>
      </c>
      <c r="Q8537" s="94" t="s">
        <v>6298</v>
      </c>
    </row>
    <row r="8538" spans="1:17" x14ac:dyDescent="0.25">
      <c r="A8538" s="22">
        <v>45912</v>
      </c>
      <c r="B8538" s="1" t="s">
        <v>6975</v>
      </c>
      <c r="C8538" t="s">
        <v>6976</v>
      </c>
      <c r="D8538" s="44">
        <v>-3154.6</v>
      </c>
      <c r="E8538" t="s">
        <v>35</v>
      </c>
      <c r="F8538" s="2">
        <v>212901001</v>
      </c>
      <c r="G8538" s="2" t="s">
        <v>91</v>
      </c>
      <c r="I8538" s="95" t="s">
        <v>7231</v>
      </c>
      <c r="J8538" t="s">
        <v>61</v>
      </c>
      <c r="K8538" t="s">
        <v>62</v>
      </c>
      <c r="M8538">
        <v>158.93</v>
      </c>
      <c r="N8538" s="4">
        <f t="shared" si="133"/>
        <v>-19.848990121437108</v>
      </c>
      <c r="O8538" t="s">
        <v>605</v>
      </c>
    </row>
    <row r="8539" spans="1:17" x14ac:dyDescent="0.25">
      <c r="A8539" s="22">
        <v>45912</v>
      </c>
      <c r="B8539" s="1" t="s">
        <v>6977</v>
      </c>
      <c r="C8539" t="s">
        <v>622</v>
      </c>
      <c r="D8539" s="44">
        <v>-7.88</v>
      </c>
      <c r="E8539" t="s">
        <v>35</v>
      </c>
      <c r="F8539" s="2">
        <v>610148001</v>
      </c>
      <c r="G8539" s="2" t="s">
        <v>41</v>
      </c>
      <c r="I8539" s="95" t="s">
        <v>7231</v>
      </c>
      <c r="J8539" t="s">
        <v>42</v>
      </c>
      <c r="K8539" t="s">
        <v>41</v>
      </c>
      <c r="M8539">
        <v>158.93</v>
      </c>
      <c r="N8539" s="4">
        <f t="shared" si="133"/>
        <v>-4.9581576794815327E-2</v>
      </c>
      <c r="O8539" t="s">
        <v>605</v>
      </c>
      <c r="Q8539" s="94" t="s">
        <v>6298</v>
      </c>
    </row>
    <row r="8540" spans="1:17" x14ac:dyDescent="0.25">
      <c r="A8540" s="22">
        <v>45912</v>
      </c>
      <c r="B8540" s="1" t="s">
        <v>6978</v>
      </c>
      <c r="C8540" t="s">
        <v>6979</v>
      </c>
      <c r="D8540" s="44">
        <v>-9463.7999999999993</v>
      </c>
      <c r="E8540" t="s">
        <v>35</v>
      </c>
      <c r="F8540" s="2">
        <v>212901001</v>
      </c>
      <c r="G8540" s="2" t="s">
        <v>91</v>
      </c>
      <c r="I8540" s="95" t="s">
        <v>7231</v>
      </c>
      <c r="J8540" t="s">
        <v>61</v>
      </c>
      <c r="K8540" t="s">
        <v>62</v>
      </c>
      <c r="M8540">
        <v>158.93</v>
      </c>
      <c r="N8540" s="4">
        <f t="shared" si="133"/>
        <v>-59.546970364311328</v>
      </c>
      <c r="O8540" t="s">
        <v>605</v>
      </c>
    </row>
    <row r="8541" spans="1:17" x14ac:dyDescent="0.25">
      <c r="A8541" s="22">
        <v>45912</v>
      </c>
      <c r="B8541" s="1" t="s">
        <v>6980</v>
      </c>
      <c r="C8541" t="s">
        <v>622</v>
      </c>
      <c r="D8541" s="44">
        <v>-23.65</v>
      </c>
      <c r="E8541" t="s">
        <v>35</v>
      </c>
      <c r="F8541" s="2">
        <v>610148001</v>
      </c>
      <c r="G8541" s="2" t="s">
        <v>41</v>
      </c>
      <c r="I8541" s="95" t="s">
        <v>7231</v>
      </c>
      <c r="J8541" t="s">
        <v>42</v>
      </c>
      <c r="K8541" t="s">
        <v>41</v>
      </c>
      <c r="M8541">
        <v>158.93</v>
      </c>
      <c r="N8541" s="4">
        <f t="shared" si="133"/>
        <v>-0.1488076511671805</v>
      </c>
      <c r="O8541" t="s">
        <v>605</v>
      </c>
      <c r="Q8541" s="94" t="s">
        <v>6298</v>
      </c>
    </row>
    <row r="8542" spans="1:17" x14ac:dyDescent="0.25">
      <c r="A8542" s="22">
        <v>45912</v>
      </c>
      <c r="B8542" s="1" t="s">
        <v>6981</v>
      </c>
      <c r="C8542" t="s">
        <v>6982</v>
      </c>
      <c r="D8542" s="44">
        <v>-9463.7999999999993</v>
      </c>
      <c r="E8542" t="s">
        <v>35</v>
      </c>
      <c r="F8542" s="2">
        <v>212901001</v>
      </c>
      <c r="G8542" s="2" t="s">
        <v>91</v>
      </c>
      <c r="I8542" s="95" t="s">
        <v>7231</v>
      </c>
      <c r="J8542" t="s">
        <v>61</v>
      </c>
      <c r="K8542" t="s">
        <v>62</v>
      </c>
      <c r="M8542">
        <v>158.93</v>
      </c>
      <c r="N8542" s="4">
        <f t="shared" si="133"/>
        <v>-59.546970364311328</v>
      </c>
      <c r="O8542" t="s">
        <v>605</v>
      </c>
    </row>
    <row r="8543" spans="1:17" x14ac:dyDescent="0.25">
      <c r="A8543" s="22">
        <v>45912</v>
      </c>
      <c r="B8543" s="1" t="s">
        <v>6983</v>
      </c>
      <c r="C8543" t="s">
        <v>622</v>
      </c>
      <c r="D8543" s="44">
        <v>-23.65</v>
      </c>
      <c r="E8543" t="s">
        <v>35</v>
      </c>
      <c r="F8543" s="2">
        <v>610148001</v>
      </c>
      <c r="G8543" s="2" t="s">
        <v>41</v>
      </c>
      <c r="I8543" s="95" t="s">
        <v>7231</v>
      </c>
      <c r="J8543" t="s">
        <v>42</v>
      </c>
      <c r="K8543" t="s">
        <v>41</v>
      </c>
      <c r="M8543">
        <v>158.93</v>
      </c>
      <c r="N8543" s="4">
        <f t="shared" si="133"/>
        <v>-0.1488076511671805</v>
      </c>
      <c r="O8543" t="s">
        <v>605</v>
      </c>
      <c r="Q8543" s="94" t="s">
        <v>6298</v>
      </c>
    </row>
    <row r="8544" spans="1:17" x14ac:dyDescent="0.25">
      <c r="A8544" s="22">
        <v>45912</v>
      </c>
      <c r="B8544" s="1" t="s">
        <v>6984</v>
      </c>
      <c r="C8544" t="s">
        <v>6985</v>
      </c>
      <c r="D8544" s="44">
        <v>-7886.5</v>
      </c>
      <c r="E8544" t="s">
        <v>35</v>
      </c>
      <c r="F8544" s="2">
        <v>212901001</v>
      </c>
      <c r="G8544" s="2" t="s">
        <v>91</v>
      </c>
      <c r="I8544" s="95" t="s">
        <v>7231</v>
      </c>
      <c r="J8544" t="s">
        <v>61</v>
      </c>
      <c r="K8544" t="s">
        <v>62</v>
      </c>
      <c r="M8544">
        <v>158.93</v>
      </c>
      <c r="N8544" s="4">
        <f t="shared" si="133"/>
        <v>-49.622475303592772</v>
      </c>
      <c r="O8544" t="s">
        <v>605</v>
      </c>
    </row>
    <row r="8545" spans="1:17" x14ac:dyDescent="0.25">
      <c r="A8545" s="22">
        <v>45912</v>
      </c>
      <c r="B8545" s="1" t="s">
        <v>6986</v>
      </c>
      <c r="C8545" t="s">
        <v>622</v>
      </c>
      <c r="D8545" s="44">
        <v>-19.71</v>
      </c>
      <c r="E8545" t="s">
        <v>35</v>
      </c>
      <c r="F8545" s="2">
        <v>610148001</v>
      </c>
      <c r="G8545" s="2" t="s">
        <v>41</v>
      </c>
      <c r="I8545" s="95" t="s">
        <v>7231</v>
      </c>
      <c r="J8545" t="s">
        <v>42</v>
      </c>
      <c r="K8545" t="s">
        <v>41</v>
      </c>
      <c r="M8545">
        <v>158.93</v>
      </c>
      <c r="N8545" s="4">
        <f t="shared" si="133"/>
        <v>-0.12401686276977286</v>
      </c>
      <c r="O8545" t="s">
        <v>605</v>
      </c>
      <c r="Q8545" s="94" t="s">
        <v>6298</v>
      </c>
    </row>
    <row r="8546" spans="1:17" x14ac:dyDescent="0.25">
      <c r="A8546" s="22">
        <v>45912</v>
      </c>
      <c r="B8546" s="1" t="s">
        <v>6987</v>
      </c>
      <c r="C8546" t="s">
        <v>6988</v>
      </c>
      <c r="D8546" s="44">
        <v>-7886.5</v>
      </c>
      <c r="E8546" t="s">
        <v>35</v>
      </c>
      <c r="F8546" s="2">
        <v>212901001</v>
      </c>
      <c r="G8546" s="2" t="s">
        <v>91</v>
      </c>
      <c r="I8546" s="95" t="s">
        <v>7231</v>
      </c>
      <c r="J8546" t="s">
        <v>61</v>
      </c>
      <c r="K8546" t="s">
        <v>62</v>
      </c>
      <c r="M8546">
        <v>158.93</v>
      </c>
      <c r="N8546" s="4">
        <f t="shared" si="133"/>
        <v>-49.622475303592772</v>
      </c>
      <c r="O8546" t="s">
        <v>605</v>
      </c>
    </row>
    <row r="8547" spans="1:17" x14ac:dyDescent="0.25">
      <c r="A8547" s="22">
        <v>45912</v>
      </c>
      <c r="B8547" s="1" t="s">
        <v>6989</v>
      </c>
      <c r="C8547" t="s">
        <v>622</v>
      </c>
      <c r="D8547" s="44">
        <v>-19.71</v>
      </c>
      <c r="E8547" t="s">
        <v>35</v>
      </c>
      <c r="F8547" s="2">
        <v>610148001</v>
      </c>
      <c r="G8547" s="2" t="s">
        <v>41</v>
      </c>
      <c r="I8547" s="95" t="s">
        <v>7231</v>
      </c>
      <c r="J8547" t="s">
        <v>42</v>
      </c>
      <c r="K8547" t="s">
        <v>41</v>
      </c>
      <c r="M8547">
        <v>158.93</v>
      </c>
      <c r="N8547" s="4">
        <f t="shared" si="133"/>
        <v>-0.12401686276977286</v>
      </c>
      <c r="O8547" t="s">
        <v>605</v>
      </c>
      <c r="Q8547" s="94" t="s">
        <v>6298</v>
      </c>
    </row>
    <row r="8548" spans="1:17" x14ac:dyDescent="0.25">
      <c r="A8548" s="22">
        <v>45912</v>
      </c>
      <c r="B8548" s="1" t="s">
        <v>6990</v>
      </c>
      <c r="C8548" t="s">
        <v>6991</v>
      </c>
      <c r="D8548" s="44">
        <v>-7886.5</v>
      </c>
      <c r="E8548" t="s">
        <v>35</v>
      </c>
      <c r="F8548" s="2">
        <v>212901001</v>
      </c>
      <c r="G8548" s="2" t="s">
        <v>91</v>
      </c>
      <c r="I8548" s="95" t="s">
        <v>7231</v>
      </c>
      <c r="J8548" t="s">
        <v>61</v>
      </c>
      <c r="K8548" t="s">
        <v>62</v>
      </c>
      <c r="M8548">
        <v>158.93</v>
      </c>
      <c r="N8548" s="4">
        <f t="shared" ref="N8548:N8611" si="134">D8548/M8548</f>
        <v>-49.622475303592772</v>
      </c>
      <c r="O8548" t="s">
        <v>605</v>
      </c>
    </row>
    <row r="8549" spans="1:17" x14ac:dyDescent="0.25">
      <c r="A8549" s="22">
        <v>45912</v>
      </c>
      <c r="B8549" s="1" t="s">
        <v>6992</v>
      </c>
      <c r="C8549" t="s">
        <v>622</v>
      </c>
      <c r="D8549" s="44">
        <v>-19.71</v>
      </c>
      <c r="E8549" t="s">
        <v>35</v>
      </c>
      <c r="F8549" s="2">
        <v>610148001</v>
      </c>
      <c r="G8549" s="2" t="s">
        <v>41</v>
      </c>
      <c r="I8549" s="95" t="s">
        <v>7231</v>
      </c>
      <c r="J8549" t="s">
        <v>42</v>
      </c>
      <c r="K8549" t="s">
        <v>41</v>
      </c>
      <c r="M8549">
        <v>158.93</v>
      </c>
      <c r="N8549" s="4">
        <f t="shared" si="134"/>
        <v>-0.12401686276977286</v>
      </c>
      <c r="O8549" t="s">
        <v>605</v>
      </c>
      <c r="Q8549" s="94" t="s">
        <v>6298</v>
      </c>
    </row>
    <row r="8550" spans="1:17" x14ac:dyDescent="0.25">
      <c r="A8550" s="22">
        <v>45912</v>
      </c>
      <c r="B8550" s="1" t="s">
        <v>6993</v>
      </c>
      <c r="C8550" t="s">
        <v>6994</v>
      </c>
      <c r="D8550" s="44">
        <v>-3154.6</v>
      </c>
      <c r="E8550" t="s">
        <v>35</v>
      </c>
      <c r="F8550" s="2">
        <v>212901001</v>
      </c>
      <c r="G8550" s="2" t="s">
        <v>91</v>
      </c>
      <c r="I8550" s="95" t="s">
        <v>7231</v>
      </c>
      <c r="J8550" t="s">
        <v>61</v>
      </c>
      <c r="K8550" t="s">
        <v>62</v>
      </c>
      <c r="M8550">
        <v>158.93</v>
      </c>
      <c r="N8550" s="4">
        <f t="shared" si="134"/>
        <v>-19.848990121437108</v>
      </c>
      <c r="O8550" t="s">
        <v>605</v>
      </c>
    </row>
    <row r="8551" spans="1:17" x14ac:dyDescent="0.25">
      <c r="A8551" s="22">
        <v>45912</v>
      </c>
      <c r="B8551" s="1" t="s">
        <v>6995</v>
      </c>
      <c r="C8551" t="s">
        <v>622</v>
      </c>
      <c r="D8551" s="44">
        <v>-7.88</v>
      </c>
      <c r="E8551" t="s">
        <v>35</v>
      </c>
      <c r="F8551" s="2">
        <v>610148001</v>
      </c>
      <c r="G8551" s="2" t="s">
        <v>41</v>
      </c>
      <c r="I8551" s="95" t="s">
        <v>7231</v>
      </c>
      <c r="J8551" t="s">
        <v>42</v>
      </c>
      <c r="K8551" t="s">
        <v>41</v>
      </c>
      <c r="M8551">
        <v>158.93</v>
      </c>
      <c r="N8551" s="4">
        <f t="shared" si="134"/>
        <v>-4.9581576794815327E-2</v>
      </c>
      <c r="O8551" t="s">
        <v>605</v>
      </c>
      <c r="Q8551" s="94" t="s">
        <v>6298</v>
      </c>
    </row>
    <row r="8552" spans="1:17" x14ac:dyDescent="0.25">
      <c r="A8552" s="22">
        <v>45912</v>
      </c>
      <c r="B8552" s="1" t="s">
        <v>6996</v>
      </c>
      <c r="C8552" t="s">
        <v>6997</v>
      </c>
      <c r="D8552" s="44">
        <v>-3154.6</v>
      </c>
      <c r="E8552" t="s">
        <v>35</v>
      </c>
      <c r="F8552" s="2">
        <v>212901001</v>
      </c>
      <c r="G8552" s="2" t="s">
        <v>91</v>
      </c>
      <c r="I8552" s="95" t="s">
        <v>7231</v>
      </c>
      <c r="J8552" t="s">
        <v>61</v>
      </c>
      <c r="K8552" t="s">
        <v>62</v>
      </c>
      <c r="M8552">
        <v>158.93</v>
      </c>
      <c r="N8552" s="4">
        <f t="shared" si="134"/>
        <v>-19.848990121437108</v>
      </c>
      <c r="O8552" t="s">
        <v>605</v>
      </c>
    </row>
    <row r="8553" spans="1:17" x14ac:dyDescent="0.25">
      <c r="A8553" s="22">
        <v>45912</v>
      </c>
      <c r="B8553" s="1" t="s">
        <v>6998</v>
      </c>
      <c r="C8553" t="s">
        <v>622</v>
      </c>
      <c r="D8553" s="44">
        <v>-7.88</v>
      </c>
      <c r="E8553" t="s">
        <v>35</v>
      </c>
      <c r="F8553" s="2">
        <v>610148001</v>
      </c>
      <c r="G8553" s="2" t="s">
        <v>41</v>
      </c>
      <c r="I8553" s="95" t="s">
        <v>7231</v>
      </c>
      <c r="J8553" t="s">
        <v>42</v>
      </c>
      <c r="K8553" t="s">
        <v>41</v>
      </c>
      <c r="M8553">
        <v>158.93</v>
      </c>
      <c r="N8553" s="4">
        <f t="shared" si="134"/>
        <v>-4.9581576794815327E-2</v>
      </c>
      <c r="O8553" t="s">
        <v>605</v>
      </c>
      <c r="Q8553" s="94" t="s">
        <v>6298</v>
      </c>
    </row>
    <row r="8554" spans="1:17" x14ac:dyDescent="0.25">
      <c r="A8554" s="22">
        <v>45912</v>
      </c>
      <c r="B8554" s="1" t="s">
        <v>6999</v>
      </c>
      <c r="C8554" t="s">
        <v>622</v>
      </c>
      <c r="D8554" s="44">
        <v>-31.54</v>
      </c>
      <c r="E8554" t="s">
        <v>35</v>
      </c>
      <c r="F8554" s="2">
        <v>610148001</v>
      </c>
      <c r="G8554" s="2" t="s">
        <v>41</v>
      </c>
      <c r="I8554" s="95" t="s">
        <v>7231</v>
      </c>
      <c r="J8554" t="s">
        <v>42</v>
      </c>
      <c r="K8554" t="s">
        <v>41</v>
      </c>
      <c r="M8554">
        <v>158.93</v>
      </c>
      <c r="N8554" s="4">
        <f t="shared" si="134"/>
        <v>-0.19845214874473038</v>
      </c>
      <c r="O8554" t="s">
        <v>605</v>
      </c>
      <c r="Q8554" s="94" t="s">
        <v>6298</v>
      </c>
    </row>
    <row r="8555" spans="1:17" x14ac:dyDescent="0.25">
      <c r="A8555" s="22">
        <v>45912</v>
      </c>
      <c r="B8555" s="1" t="s">
        <v>7000</v>
      </c>
      <c r="C8555" t="s">
        <v>7001</v>
      </c>
      <c r="D8555" s="44">
        <v>-12618.4</v>
      </c>
      <c r="E8555" t="s">
        <v>35</v>
      </c>
      <c r="F8555" s="2">
        <v>212901001</v>
      </c>
      <c r="G8555" s="2" t="s">
        <v>91</v>
      </c>
      <c r="I8555" s="95" t="s">
        <v>7231</v>
      </c>
      <c r="J8555" t="s">
        <v>61</v>
      </c>
      <c r="K8555" t="s">
        <v>62</v>
      </c>
      <c r="M8555">
        <v>158.93</v>
      </c>
      <c r="N8555" s="4">
        <f t="shared" si="134"/>
        <v>-79.395960485748432</v>
      </c>
      <c r="O8555" t="s">
        <v>605</v>
      </c>
    </row>
    <row r="8556" spans="1:17" x14ac:dyDescent="0.25">
      <c r="A8556" s="22">
        <v>45912</v>
      </c>
      <c r="B8556" s="1" t="s">
        <v>7002</v>
      </c>
      <c r="C8556" t="s">
        <v>622</v>
      </c>
      <c r="D8556" s="44">
        <v>-31.54</v>
      </c>
      <c r="E8556" t="s">
        <v>35</v>
      </c>
      <c r="F8556" s="2">
        <v>610148001</v>
      </c>
      <c r="G8556" s="2" t="s">
        <v>41</v>
      </c>
      <c r="I8556" s="95" t="s">
        <v>7231</v>
      </c>
      <c r="J8556" t="s">
        <v>42</v>
      </c>
      <c r="K8556" t="s">
        <v>41</v>
      </c>
      <c r="M8556">
        <v>158.93</v>
      </c>
      <c r="N8556" s="4">
        <f t="shared" si="134"/>
        <v>-0.19845214874473038</v>
      </c>
      <c r="O8556" t="s">
        <v>605</v>
      </c>
      <c r="Q8556" s="94" t="s">
        <v>6298</v>
      </c>
    </row>
    <row r="8557" spans="1:17" x14ac:dyDescent="0.25">
      <c r="A8557" s="22">
        <v>45912</v>
      </c>
      <c r="B8557" s="1" t="s">
        <v>7003</v>
      </c>
      <c r="C8557" t="s">
        <v>7004</v>
      </c>
      <c r="D8557" s="44">
        <v>-12618.4</v>
      </c>
      <c r="E8557" t="s">
        <v>35</v>
      </c>
      <c r="F8557" s="2">
        <v>212901001</v>
      </c>
      <c r="G8557" s="2" t="s">
        <v>91</v>
      </c>
      <c r="I8557" s="95" t="s">
        <v>7231</v>
      </c>
      <c r="J8557" t="s">
        <v>61</v>
      </c>
      <c r="K8557" t="s">
        <v>62</v>
      </c>
      <c r="M8557">
        <v>158.93</v>
      </c>
      <c r="N8557" s="4">
        <f t="shared" si="134"/>
        <v>-79.395960485748432</v>
      </c>
      <c r="O8557" t="s">
        <v>605</v>
      </c>
    </row>
    <row r="8558" spans="1:17" x14ac:dyDescent="0.25">
      <c r="A8558" s="22">
        <v>45912</v>
      </c>
      <c r="B8558" s="1" t="s">
        <v>7005</v>
      </c>
      <c r="C8558" t="s">
        <v>622</v>
      </c>
      <c r="D8558" s="44">
        <v>-19.71</v>
      </c>
      <c r="E8558" t="s">
        <v>35</v>
      </c>
      <c r="F8558" s="2">
        <v>610148001</v>
      </c>
      <c r="G8558" s="2" t="s">
        <v>41</v>
      </c>
      <c r="I8558" s="95" t="s">
        <v>7231</v>
      </c>
      <c r="J8558" t="s">
        <v>42</v>
      </c>
      <c r="K8558" t="s">
        <v>41</v>
      </c>
      <c r="M8558">
        <v>158.93</v>
      </c>
      <c r="N8558" s="4">
        <f t="shared" si="134"/>
        <v>-0.12401686276977286</v>
      </c>
      <c r="O8558" t="s">
        <v>605</v>
      </c>
      <c r="Q8558" s="94" t="s">
        <v>6298</v>
      </c>
    </row>
    <row r="8559" spans="1:17" x14ac:dyDescent="0.25">
      <c r="A8559" s="22">
        <v>45912</v>
      </c>
      <c r="B8559" s="1" t="s">
        <v>7006</v>
      </c>
      <c r="C8559" t="s">
        <v>7007</v>
      </c>
      <c r="D8559" s="44">
        <v>-7886.5</v>
      </c>
      <c r="E8559" t="s">
        <v>35</v>
      </c>
      <c r="F8559" s="2">
        <v>212901001</v>
      </c>
      <c r="G8559" s="2" t="s">
        <v>91</v>
      </c>
      <c r="I8559" s="95" t="s">
        <v>7231</v>
      </c>
      <c r="J8559" t="s">
        <v>61</v>
      </c>
      <c r="K8559" t="s">
        <v>62</v>
      </c>
      <c r="M8559">
        <v>158.93</v>
      </c>
      <c r="N8559" s="4">
        <f t="shared" si="134"/>
        <v>-49.622475303592772</v>
      </c>
      <c r="O8559" t="s">
        <v>605</v>
      </c>
    </row>
    <row r="8560" spans="1:17" x14ac:dyDescent="0.25">
      <c r="A8560" s="22">
        <v>45912</v>
      </c>
      <c r="B8560" s="1" t="s">
        <v>7008</v>
      </c>
      <c r="C8560" t="s">
        <v>622</v>
      </c>
      <c r="D8560" s="44">
        <v>-19.71</v>
      </c>
      <c r="E8560" t="s">
        <v>35</v>
      </c>
      <c r="F8560" s="2">
        <v>610148001</v>
      </c>
      <c r="G8560" s="2" t="s">
        <v>41</v>
      </c>
      <c r="I8560" s="95" t="s">
        <v>7231</v>
      </c>
      <c r="J8560" t="s">
        <v>42</v>
      </c>
      <c r="K8560" t="s">
        <v>41</v>
      </c>
      <c r="M8560">
        <v>158.93</v>
      </c>
      <c r="N8560" s="4">
        <f t="shared" si="134"/>
        <v>-0.12401686276977286</v>
      </c>
      <c r="O8560" t="s">
        <v>605</v>
      </c>
      <c r="Q8560" s="94" t="s">
        <v>6298</v>
      </c>
    </row>
    <row r="8561" spans="1:17" x14ac:dyDescent="0.25">
      <c r="A8561" s="22">
        <v>45912</v>
      </c>
      <c r="B8561" s="1" t="s">
        <v>7009</v>
      </c>
      <c r="C8561" t="s">
        <v>7010</v>
      </c>
      <c r="D8561" s="44">
        <v>-7886.5</v>
      </c>
      <c r="E8561" t="s">
        <v>35</v>
      </c>
      <c r="F8561" s="2">
        <v>212901001</v>
      </c>
      <c r="G8561" s="2" t="s">
        <v>91</v>
      </c>
      <c r="I8561" s="95" t="s">
        <v>7231</v>
      </c>
      <c r="J8561" t="s">
        <v>61</v>
      </c>
      <c r="K8561" t="s">
        <v>62</v>
      </c>
      <c r="M8561">
        <v>158.93</v>
      </c>
      <c r="N8561" s="4">
        <f t="shared" si="134"/>
        <v>-49.622475303592772</v>
      </c>
      <c r="O8561" t="s">
        <v>605</v>
      </c>
    </row>
    <row r="8562" spans="1:17" x14ac:dyDescent="0.25">
      <c r="A8562" s="22">
        <v>45912</v>
      </c>
      <c r="B8562" s="1" t="s">
        <v>7011</v>
      </c>
      <c r="C8562" t="s">
        <v>622</v>
      </c>
      <c r="D8562" s="44">
        <v>-19.71</v>
      </c>
      <c r="E8562" t="s">
        <v>35</v>
      </c>
      <c r="F8562" s="2">
        <v>610148001</v>
      </c>
      <c r="G8562" s="2" t="s">
        <v>41</v>
      </c>
      <c r="I8562" s="95" t="s">
        <v>7231</v>
      </c>
      <c r="J8562" t="s">
        <v>42</v>
      </c>
      <c r="K8562" t="s">
        <v>41</v>
      </c>
      <c r="M8562">
        <v>158.93</v>
      </c>
      <c r="N8562" s="4">
        <f t="shared" si="134"/>
        <v>-0.12401686276977286</v>
      </c>
      <c r="O8562" t="s">
        <v>605</v>
      </c>
      <c r="Q8562" s="94" t="s">
        <v>6298</v>
      </c>
    </row>
    <row r="8563" spans="1:17" x14ac:dyDescent="0.25">
      <c r="A8563" s="22">
        <v>45912</v>
      </c>
      <c r="B8563" s="1" t="s">
        <v>7012</v>
      </c>
      <c r="C8563" t="s">
        <v>7013</v>
      </c>
      <c r="D8563" s="44">
        <v>-7886.5</v>
      </c>
      <c r="E8563" t="s">
        <v>35</v>
      </c>
      <c r="F8563" s="2">
        <v>212901001</v>
      </c>
      <c r="G8563" s="2" t="s">
        <v>91</v>
      </c>
      <c r="I8563" s="95" t="s">
        <v>7231</v>
      </c>
      <c r="J8563" t="s">
        <v>61</v>
      </c>
      <c r="K8563" t="s">
        <v>62</v>
      </c>
      <c r="M8563">
        <v>158.93</v>
      </c>
      <c r="N8563" s="4">
        <f t="shared" si="134"/>
        <v>-49.622475303592772</v>
      </c>
      <c r="O8563" t="s">
        <v>605</v>
      </c>
    </row>
    <row r="8564" spans="1:17" x14ac:dyDescent="0.25">
      <c r="A8564" s="22">
        <v>45912</v>
      </c>
      <c r="B8564" s="1" t="s">
        <v>7014</v>
      </c>
      <c r="C8564" t="s">
        <v>622</v>
      </c>
      <c r="D8564" s="44">
        <v>-56.38</v>
      </c>
      <c r="E8564" t="s">
        <v>35</v>
      </c>
      <c r="F8564" s="2">
        <v>610148001</v>
      </c>
      <c r="G8564" s="2" t="s">
        <v>41</v>
      </c>
      <c r="I8564" s="95" t="s">
        <v>7231</v>
      </c>
      <c r="J8564" t="s">
        <v>42</v>
      </c>
      <c r="K8564" t="s">
        <v>41</v>
      </c>
      <c r="M8564">
        <v>158.93</v>
      </c>
      <c r="N8564" s="4">
        <f t="shared" si="134"/>
        <v>-0.35474737305732085</v>
      </c>
      <c r="O8564" t="s">
        <v>605</v>
      </c>
      <c r="Q8564" s="94" t="s">
        <v>6298</v>
      </c>
    </row>
    <row r="8565" spans="1:17" x14ac:dyDescent="0.25">
      <c r="A8565" s="22">
        <v>45912</v>
      </c>
      <c r="B8565" s="1" t="s">
        <v>7015</v>
      </c>
      <c r="C8565" t="s">
        <v>7016</v>
      </c>
      <c r="D8565" s="44">
        <v>-22555.39</v>
      </c>
      <c r="E8565" t="s">
        <v>35</v>
      </c>
      <c r="F8565" s="2">
        <v>212901001</v>
      </c>
      <c r="G8565" s="2" t="s">
        <v>91</v>
      </c>
      <c r="I8565" s="95" t="s">
        <v>7231</v>
      </c>
      <c r="J8565" t="s">
        <v>61</v>
      </c>
      <c r="K8565" t="s">
        <v>62</v>
      </c>
      <c r="M8565">
        <v>158.93</v>
      </c>
      <c r="N8565" s="4">
        <f t="shared" si="134"/>
        <v>-141.92027936827535</v>
      </c>
      <c r="O8565" t="s">
        <v>605</v>
      </c>
    </row>
    <row r="8566" spans="1:17" x14ac:dyDescent="0.25">
      <c r="A8566" s="22">
        <v>45912</v>
      </c>
      <c r="B8566" s="1" t="s">
        <v>7017</v>
      </c>
      <c r="C8566" t="s">
        <v>622</v>
      </c>
      <c r="D8566" s="44">
        <v>-11.82</v>
      </c>
      <c r="E8566" t="s">
        <v>35</v>
      </c>
      <c r="F8566" s="2">
        <v>610148001</v>
      </c>
      <c r="G8566" s="2" t="s">
        <v>41</v>
      </c>
      <c r="I8566" s="95" t="s">
        <v>7231</v>
      </c>
      <c r="J8566" t="s">
        <v>42</v>
      </c>
      <c r="K8566" t="s">
        <v>41</v>
      </c>
      <c r="M8566">
        <v>158.93</v>
      </c>
      <c r="N8566" s="4">
        <f t="shared" si="134"/>
        <v>-7.4372365192222983E-2</v>
      </c>
      <c r="O8566" t="s">
        <v>605</v>
      </c>
      <c r="Q8566" s="94" t="s">
        <v>6298</v>
      </c>
    </row>
    <row r="8567" spans="1:17" x14ac:dyDescent="0.25">
      <c r="A8567" s="22">
        <v>45912</v>
      </c>
      <c r="B8567" s="1" t="s">
        <v>7018</v>
      </c>
      <c r="C8567" t="s">
        <v>7019</v>
      </c>
      <c r="D8567" s="44">
        <v>-4731.8999999999996</v>
      </c>
      <c r="E8567" t="s">
        <v>35</v>
      </c>
      <c r="F8567" s="2">
        <v>212901001</v>
      </c>
      <c r="G8567" s="2" t="s">
        <v>91</v>
      </c>
      <c r="I8567" s="95" t="s">
        <v>7231</v>
      </c>
      <c r="J8567" t="s">
        <v>61</v>
      </c>
      <c r="K8567" t="s">
        <v>62</v>
      </c>
      <c r="M8567">
        <v>158.93</v>
      </c>
      <c r="N8567" s="4">
        <f t="shared" si="134"/>
        <v>-29.773485182155664</v>
      </c>
      <c r="O8567" t="s">
        <v>605</v>
      </c>
    </row>
    <row r="8568" spans="1:17" x14ac:dyDescent="0.25">
      <c r="A8568" s="22">
        <v>45912</v>
      </c>
      <c r="B8568" s="1" t="s">
        <v>7020</v>
      </c>
      <c r="C8568" t="s">
        <v>622</v>
      </c>
      <c r="D8568" s="44">
        <v>-15.77</v>
      </c>
      <c r="E8568" t="s">
        <v>35</v>
      </c>
      <c r="F8568" s="2">
        <v>610148001</v>
      </c>
      <c r="G8568" s="2" t="s">
        <v>41</v>
      </c>
      <c r="I8568" s="95" t="s">
        <v>7231</v>
      </c>
      <c r="J8568" t="s">
        <v>42</v>
      </c>
      <c r="K8568" t="s">
        <v>41</v>
      </c>
      <c r="M8568">
        <v>158.93</v>
      </c>
      <c r="N8568" s="4">
        <f t="shared" si="134"/>
        <v>-9.9226074372365192E-2</v>
      </c>
      <c r="O8568" t="s">
        <v>605</v>
      </c>
      <c r="Q8568" s="94" t="s">
        <v>6298</v>
      </c>
    </row>
    <row r="8569" spans="1:17" x14ac:dyDescent="0.25">
      <c r="A8569" s="22">
        <v>45912</v>
      </c>
      <c r="B8569" s="1" t="s">
        <v>7021</v>
      </c>
      <c r="C8569" t="s">
        <v>7022</v>
      </c>
      <c r="D8569" s="44">
        <v>-6309.2</v>
      </c>
      <c r="E8569" t="s">
        <v>35</v>
      </c>
      <c r="F8569" s="2">
        <v>212901001</v>
      </c>
      <c r="G8569" s="2" t="s">
        <v>91</v>
      </c>
      <c r="I8569" s="95" t="s">
        <v>7231</v>
      </c>
      <c r="J8569" t="s">
        <v>61</v>
      </c>
      <c r="K8569" t="s">
        <v>62</v>
      </c>
      <c r="M8569">
        <v>158.93</v>
      </c>
      <c r="N8569" s="4">
        <f t="shared" si="134"/>
        <v>-39.697980242874216</v>
      </c>
      <c r="O8569" t="s">
        <v>605</v>
      </c>
    </row>
    <row r="8570" spans="1:17" x14ac:dyDescent="0.25">
      <c r="A8570" s="22">
        <v>45912</v>
      </c>
      <c r="B8570" s="1" t="s">
        <v>7023</v>
      </c>
      <c r="C8570" t="s">
        <v>622</v>
      </c>
      <c r="D8570" s="44">
        <v>-23.65</v>
      </c>
      <c r="E8570" t="s">
        <v>35</v>
      </c>
      <c r="F8570" s="2">
        <v>610148001</v>
      </c>
      <c r="G8570" s="2" t="s">
        <v>41</v>
      </c>
      <c r="I8570" s="95" t="s">
        <v>7231</v>
      </c>
      <c r="J8570" t="s">
        <v>42</v>
      </c>
      <c r="K8570" t="s">
        <v>41</v>
      </c>
      <c r="M8570">
        <v>158.93</v>
      </c>
      <c r="N8570" s="4">
        <f t="shared" si="134"/>
        <v>-0.1488076511671805</v>
      </c>
      <c r="O8570" t="s">
        <v>605</v>
      </c>
      <c r="Q8570" s="94" t="s">
        <v>6298</v>
      </c>
    </row>
    <row r="8571" spans="1:17" x14ac:dyDescent="0.25">
      <c r="A8571" s="22">
        <v>45912</v>
      </c>
      <c r="B8571" s="1" t="s">
        <v>7024</v>
      </c>
      <c r="C8571" t="s">
        <v>7025</v>
      </c>
      <c r="D8571" s="44">
        <v>-9463.7999999999993</v>
      </c>
      <c r="E8571" t="s">
        <v>35</v>
      </c>
      <c r="F8571" s="2">
        <v>212901001</v>
      </c>
      <c r="G8571" s="2" t="s">
        <v>91</v>
      </c>
      <c r="I8571" s="95" t="s">
        <v>7231</v>
      </c>
      <c r="J8571" t="s">
        <v>61</v>
      </c>
      <c r="K8571" t="s">
        <v>62</v>
      </c>
      <c r="M8571">
        <v>158.93</v>
      </c>
      <c r="N8571" s="4">
        <f t="shared" si="134"/>
        <v>-59.546970364311328</v>
      </c>
      <c r="O8571" t="s">
        <v>605</v>
      </c>
    </row>
    <row r="8572" spans="1:17" x14ac:dyDescent="0.25">
      <c r="A8572" s="22">
        <v>45912</v>
      </c>
      <c r="B8572" s="1" t="s">
        <v>7026</v>
      </c>
      <c r="C8572" t="s">
        <v>622</v>
      </c>
      <c r="D8572" s="44">
        <v>-59.14</v>
      </c>
      <c r="E8572" t="s">
        <v>35</v>
      </c>
      <c r="F8572" s="2">
        <v>610148001</v>
      </c>
      <c r="G8572" s="2" t="s">
        <v>41</v>
      </c>
      <c r="I8572" s="95" t="s">
        <v>7231</v>
      </c>
      <c r="J8572" t="s">
        <v>42</v>
      </c>
      <c r="K8572" t="s">
        <v>41</v>
      </c>
      <c r="M8572">
        <v>158.93</v>
      </c>
      <c r="N8572" s="4">
        <f t="shared" si="134"/>
        <v>-0.3721135090920531</v>
      </c>
      <c r="O8572" t="s">
        <v>605</v>
      </c>
      <c r="Q8572" s="94" t="s">
        <v>6298</v>
      </c>
    </row>
    <row r="8573" spans="1:17" x14ac:dyDescent="0.25">
      <c r="A8573" s="22">
        <v>45912</v>
      </c>
      <c r="B8573" s="1" t="s">
        <v>7027</v>
      </c>
      <c r="C8573" t="s">
        <v>7028</v>
      </c>
      <c r="D8573" s="44">
        <v>-23659.5</v>
      </c>
      <c r="E8573" t="s">
        <v>35</v>
      </c>
      <c r="F8573" s="2">
        <v>212901001</v>
      </c>
      <c r="G8573" s="2" t="s">
        <v>91</v>
      </c>
      <c r="I8573" s="95" t="s">
        <v>7231</v>
      </c>
      <c r="J8573" t="s">
        <v>61</v>
      </c>
      <c r="K8573" t="s">
        <v>62</v>
      </c>
      <c r="M8573">
        <v>158.93</v>
      </c>
      <c r="N8573" s="4">
        <f t="shared" si="134"/>
        <v>-148.86742591077834</v>
      </c>
      <c r="O8573" t="s">
        <v>605</v>
      </c>
    </row>
    <row r="8574" spans="1:17" x14ac:dyDescent="0.25">
      <c r="A8574" s="22">
        <v>45912</v>
      </c>
      <c r="B8574" s="1" t="s">
        <v>7029</v>
      </c>
      <c r="C8574" t="s">
        <v>622</v>
      </c>
      <c r="D8574" s="44">
        <v>-39.43</v>
      </c>
      <c r="E8574" t="s">
        <v>35</v>
      </c>
      <c r="F8574" s="2">
        <v>610148001</v>
      </c>
      <c r="G8574" s="2" t="s">
        <v>41</v>
      </c>
      <c r="I8574" s="95" t="s">
        <v>7231</v>
      </c>
      <c r="J8574" t="s">
        <v>42</v>
      </c>
      <c r="K8574" t="s">
        <v>41</v>
      </c>
      <c r="M8574">
        <v>158.93</v>
      </c>
      <c r="N8574" s="4">
        <f t="shared" si="134"/>
        <v>-0.24809664632228023</v>
      </c>
      <c r="O8574" t="s">
        <v>605</v>
      </c>
      <c r="Q8574" s="94" t="s">
        <v>6298</v>
      </c>
    </row>
    <row r="8575" spans="1:17" x14ac:dyDescent="0.25">
      <c r="A8575" s="22">
        <v>45912</v>
      </c>
      <c r="B8575" s="1" t="s">
        <v>7030</v>
      </c>
      <c r="C8575" t="s">
        <v>7031</v>
      </c>
      <c r="D8575" s="44">
        <v>-15773</v>
      </c>
      <c r="E8575" t="s">
        <v>35</v>
      </c>
      <c r="F8575" s="2">
        <v>212901001</v>
      </c>
      <c r="G8575" s="2" t="s">
        <v>91</v>
      </c>
      <c r="I8575" s="95" t="s">
        <v>7231</v>
      </c>
      <c r="J8575" t="s">
        <v>61</v>
      </c>
      <c r="K8575" t="s">
        <v>62</v>
      </c>
      <c r="M8575">
        <v>158.93</v>
      </c>
      <c r="N8575" s="4">
        <f t="shared" si="134"/>
        <v>-99.244950607185544</v>
      </c>
      <c r="O8575" t="s">
        <v>605</v>
      </c>
    </row>
    <row r="8576" spans="1:17" x14ac:dyDescent="0.25">
      <c r="A8576" s="22">
        <v>45912</v>
      </c>
      <c r="B8576" s="1" t="s">
        <v>7032</v>
      </c>
      <c r="C8576" t="s">
        <v>622</v>
      </c>
      <c r="D8576" s="44">
        <v>-19.71</v>
      </c>
      <c r="E8576" t="s">
        <v>35</v>
      </c>
      <c r="F8576" s="2">
        <v>610148001</v>
      </c>
      <c r="G8576" s="2" t="s">
        <v>41</v>
      </c>
      <c r="I8576" s="95" t="s">
        <v>7231</v>
      </c>
      <c r="J8576" t="s">
        <v>42</v>
      </c>
      <c r="K8576" t="s">
        <v>41</v>
      </c>
      <c r="M8576">
        <v>158.93</v>
      </c>
      <c r="N8576" s="4">
        <f t="shared" si="134"/>
        <v>-0.12401686276977286</v>
      </c>
      <c r="O8576" t="s">
        <v>605</v>
      </c>
      <c r="Q8576" s="94" t="s">
        <v>6298</v>
      </c>
    </row>
    <row r="8577" spans="1:17" x14ac:dyDescent="0.25">
      <c r="A8577" s="22">
        <v>45912</v>
      </c>
      <c r="B8577" s="1" t="s">
        <v>7033</v>
      </c>
      <c r="C8577" t="s">
        <v>7034</v>
      </c>
      <c r="D8577" s="44">
        <v>-7886.5</v>
      </c>
      <c r="E8577" t="s">
        <v>35</v>
      </c>
      <c r="F8577" s="2">
        <v>212901001</v>
      </c>
      <c r="G8577" s="2" t="s">
        <v>91</v>
      </c>
      <c r="I8577" s="95" t="s">
        <v>7231</v>
      </c>
      <c r="J8577" t="s">
        <v>61</v>
      </c>
      <c r="K8577" t="s">
        <v>62</v>
      </c>
      <c r="M8577">
        <v>158.93</v>
      </c>
      <c r="N8577" s="4">
        <f t="shared" si="134"/>
        <v>-49.622475303592772</v>
      </c>
      <c r="O8577" t="s">
        <v>605</v>
      </c>
    </row>
    <row r="8578" spans="1:17" x14ac:dyDescent="0.25">
      <c r="A8578" s="22">
        <v>45912</v>
      </c>
      <c r="B8578" s="1" t="s">
        <v>7035</v>
      </c>
      <c r="C8578" t="s">
        <v>622</v>
      </c>
      <c r="D8578" s="44">
        <v>-23.65</v>
      </c>
      <c r="E8578" t="s">
        <v>35</v>
      </c>
      <c r="F8578" s="2">
        <v>610148001</v>
      </c>
      <c r="G8578" s="2" t="s">
        <v>41</v>
      </c>
      <c r="I8578" s="95" t="s">
        <v>7231</v>
      </c>
      <c r="J8578" t="s">
        <v>42</v>
      </c>
      <c r="K8578" t="s">
        <v>41</v>
      </c>
      <c r="M8578">
        <v>158.93</v>
      </c>
      <c r="N8578" s="4">
        <f t="shared" si="134"/>
        <v>-0.1488076511671805</v>
      </c>
      <c r="O8578" t="s">
        <v>605</v>
      </c>
      <c r="Q8578" s="94" t="s">
        <v>6298</v>
      </c>
    </row>
    <row r="8579" spans="1:17" x14ac:dyDescent="0.25">
      <c r="A8579" s="22">
        <v>45912</v>
      </c>
      <c r="B8579" s="1" t="s">
        <v>7036</v>
      </c>
      <c r="C8579" t="s">
        <v>7037</v>
      </c>
      <c r="D8579" s="44">
        <v>-9463.7999999999993</v>
      </c>
      <c r="E8579" t="s">
        <v>35</v>
      </c>
      <c r="F8579" s="2">
        <v>212901001</v>
      </c>
      <c r="G8579" s="2" t="s">
        <v>91</v>
      </c>
      <c r="I8579" s="95" t="s">
        <v>7231</v>
      </c>
      <c r="J8579" t="s">
        <v>61</v>
      </c>
      <c r="K8579" t="s">
        <v>62</v>
      </c>
      <c r="M8579">
        <v>158.93</v>
      </c>
      <c r="N8579" s="4">
        <f t="shared" si="134"/>
        <v>-59.546970364311328</v>
      </c>
      <c r="O8579" t="s">
        <v>605</v>
      </c>
    </row>
    <row r="8580" spans="1:17" x14ac:dyDescent="0.25">
      <c r="A8580" s="22">
        <v>45912</v>
      </c>
      <c r="B8580" s="1" t="s">
        <v>7038</v>
      </c>
      <c r="C8580" t="s">
        <v>622</v>
      </c>
      <c r="D8580" s="44">
        <v>-23.65</v>
      </c>
      <c r="E8580" t="s">
        <v>35</v>
      </c>
      <c r="F8580" s="2">
        <v>610148001</v>
      </c>
      <c r="G8580" s="2" t="s">
        <v>41</v>
      </c>
      <c r="I8580" s="95" t="s">
        <v>7231</v>
      </c>
      <c r="J8580" t="s">
        <v>42</v>
      </c>
      <c r="K8580" t="s">
        <v>41</v>
      </c>
      <c r="M8580">
        <v>158.93</v>
      </c>
      <c r="N8580" s="4">
        <f t="shared" si="134"/>
        <v>-0.1488076511671805</v>
      </c>
      <c r="O8580" t="s">
        <v>605</v>
      </c>
      <c r="Q8580" s="94" t="s">
        <v>6298</v>
      </c>
    </row>
    <row r="8581" spans="1:17" x14ac:dyDescent="0.25">
      <c r="A8581" s="22">
        <v>45912</v>
      </c>
      <c r="B8581" s="1" t="s">
        <v>7039</v>
      </c>
      <c r="C8581" t="s">
        <v>7040</v>
      </c>
      <c r="D8581" s="44">
        <v>-9463.7999999999993</v>
      </c>
      <c r="E8581" t="s">
        <v>35</v>
      </c>
      <c r="F8581" s="2">
        <v>212901001</v>
      </c>
      <c r="G8581" s="2" t="s">
        <v>91</v>
      </c>
      <c r="I8581" s="95" t="s">
        <v>7231</v>
      </c>
      <c r="J8581" t="s">
        <v>61</v>
      </c>
      <c r="K8581" t="s">
        <v>62</v>
      </c>
      <c r="M8581">
        <v>158.93</v>
      </c>
      <c r="N8581" s="4">
        <f t="shared" si="134"/>
        <v>-59.546970364311328</v>
      </c>
      <c r="O8581" t="s">
        <v>605</v>
      </c>
    </row>
    <row r="8582" spans="1:17" x14ac:dyDescent="0.25">
      <c r="A8582" s="22">
        <v>45912</v>
      </c>
      <c r="B8582" s="1" t="s">
        <v>7041</v>
      </c>
      <c r="C8582" t="s">
        <v>622</v>
      </c>
      <c r="D8582" s="44">
        <v>-31.54</v>
      </c>
      <c r="E8582" t="s">
        <v>35</v>
      </c>
      <c r="F8582" s="2">
        <v>610148001</v>
      </c>
      <c r="G8582" s="2" t="s">
        <v>41</v>
      </c>
      <c r="I8582" s="95" t="s">
        <v>7231</v>
      </c>
      <c r="J8582" t="s">
        <v>42</v>
      </c>
      <c r="K8582" t="s">
        <v>41</v>
      </c>
      <c r="M8582">
        <v>158.93</v>
      </c>
      <c r="N8582" s="4">
        <f t="shared" si="134"/>
        <v>-0.19845214874473038</v>
      </c>
      <c r="O8582" t="s">
        <v>605</v>
      </c>
      <c r="Q8582" s="94" t="s">
        <v>6298</v>
      </c>
    </row>
    <row r="8583" spans="1:17" x14ac:dyDescent="0.25">
      <c r="A8583" s="22">
        <v>45912</v>
      </c>
      <c r="B8583" s="1" t="s">
        <v>7042</v>
      </c>
      <c r="C8583" t="s">
        <v>7043</v>
      </c>
      <c r="D8583" s="44">
        <v>-12618.4</v>
      </c>
      <c r="E8583" t="s">
        <v>35</v>
      </c>
      <c r="F8583" s="2">
        <v>212901001</v>
      </c>
      <c r="G8583" s="2" t="s">
        <v>91</v>
      </c>
      <c r="I8583" s="95" t="s">
        <v>7231</v>
      </c>
      <c r="J8583" t="s">
        <v>61</v>
      </c>
      <c r="K8583" t="s">
        <v>62</v>
      </c>
      <c r="M8583">
        <v>158.93</v>
      </c>
      <c r="N8583" s="4">
        <f t="shared" si="134"/>
        <v>-79.395960485748432</v>
      </c>
      <c r="O8583" t="s">
        <v>605</v>
      </c>
    </row>
    <row r="8584" spans="1:17" x14ac:dyDescent="0.25">
      <c r="A8584" s="22">
        <v>45912</v>
      </c>
      <c r="B8584" s="1" t="s">
        <v>7044</v>
      </c>
      <c r="C8584" t="s">
        <v>622</v>
      </c>
      <c r="D8584" s="44">
        <v>-31.54</v>
      </c>
      <c r="E8584" t="s">
        <v>35</v>
      </c>
      <c r="F8584" s="2">
        <v>610148001</v>
      </c>
      <c r="G8584" s="2" t="s">
        <v>41</v>
      </c>
      <c r="I8584" s="95" t="s">
        <v>7231</v>
      </c>
      <c r="J8584" t="s">
        <v>42</v>
      </c>
      <c r="K8584" t="s">
        <v>41</v>
      </c>
      <c r="M8584">
        <v>158.93</v>
      </c>
      <c r="N8584" s="4">
        <f t="shared" si="134"/>
        <v>-0.19845214874473038</v>
      </c>
      <c r="O8584" t="s">
        <v>605</v>
      </c>
      <c r="Q8584" s="94" t="s">
        <v>6298</v>
      </c>
    </row>
    <row r="8585" spans="1:17" x14ac:dyDescent="0.25">
      <c r="A8585" s="22">
        <v>45912</v>
      </c>
      <c r="B8585" s="1" t="s">
        <v>7045</v>
      </c>
      <c r="C8585" t="s">
        <v>7046</v>
      </c>
      <c r="D8585" s="44">
        <v>-12618.4</v>
      </c>
      <c r="E8585" t="s">
        <v>35</v>
      </c>
      <c r="F8585" s="2">
        <v>212901001</v>
      </c>
      <c r="G8585" s="2" t="s">
        <v>91</v>
      </c>
      <c r="I8585" s="95" t="s">
        <v>7231</v>
      </c>
      <c r="J8585" t="s">
        <v>61</v>
      </c>
      <c r="K8585" t="s">
        <v>62</v>
      </c>
      <c r="M8585">
        <v>158.93</v>
      </c>
      <c r="N8585" s="4">
        <f t="shared" si="134"/>
        <v>-79.395960485748432</v>
      </c>
      <c r="O8585" t="s">
        <v>605</v>
      </c>
    </row>
    <row r="8586" spans="1:17" x14ac:dyDescent="0.25">
      <c r="A8586" s="22">
        <v>45912</v>
      </c>
      <c r="B8586" s="1" t="s">
        <v>7047</v>
      </c>
      <c r="C8586" t="s">
        <v>622</v>
      </c>
      <c r="D8586" s="44">
        <v>-59.14</v>
      </c>
      <c r="E8586" t="s">
        <v>35</v>
      </c>
      <c r="F8586" s="2">
        <v>610148001</v>
      </c>
      <c r="G8586" s="2" t="s">
        <v>41</v>
      </c>
      <c r="I8586" s="95" t="s">
        <v>7231</v>
      </c>
      <c r="J8586" t="s">
        <v>42</v>
      </c>
      <c r="K8586" t="s">
        <v>41</v>
      </c>
      <c r="M8586">
        <v>158.93</v>
      </c>
      <c r="N8586" s="4">
        <f t="shared" si="134"/>
        <v>-0.3721135090920531</v>
      </c>
      <c r="O8586" t="s">
        <v>605</v>
      </c>
      <c r="Q8586" s="94" t="s">
        <v>6298</v>
      </c>
    </row>
    <row r="8587" spans="1:17" x14ac:dyDescent="0.25">
      <c r="A8587" s="22">
        <v>45912</v>
      </c>
      <c r="B8587" s="1" t="s">
        <v>7048</v>
      </c>
      <c r="C8587" t="s">
        <v>7049</v>
      </c>
      <c r="D8587" s="44">
        <v>-23659.5</v>
      </c>
      <c r="E8587" t="s">
        <v>35</v>
      </c>
      <c r="F8587" s="2">
        <v>212901001</v>
      </c>
      <c r="G8587" s="2" t="s">
        <v>91</v>
      </c>
      <c r="I8587" s="95" t="s">
        <v>7231</v>
      </c>
      <c r="J8587" t="s">
        <v>61</v>
      </c>
      <c r="K8587" t="s">
        <v>62</v>
      </c>
      <c r="M8587">
        <v>158.93</v>
      </c>
      <c r="N8587" s="4">
        <f t="shared" si="134"/>
        <v>-148.86742591077834</v>
      </c>
      <c r="O8587" t="s">
        <v>605</v>
      </c>
    </row>
    <row r="8588" spans="1:17" x14ac:dyDescent="0.25">
      <c r="A8588" s="22">
        <v>45912</v>
      </c>
      <c r="B8588" s="1" t="s">
        <v>7050</v>
      </c>
      <c r="C8588" t="s">
        <v>622</v>
      </c>
      <c r="D8588" s="44">
        <v>-27.6</v>
      </c>
      <c r="E8588" t="s">
        <v>35</v>
      </c>
      <c r="F8588" s="2">
        <v>610148001</v>
      </c>
      <c r="G8588" s="2" t="s">
        <v>41</v>
      </c>
      <c r="I8588" s="95" t="s">
        <v>7231</v>
      </c>
      <c r="J8588" t="s">
        <v>42</v>
      </c>
      <c r="K8588" t="s">
        <v>41</v>
      </c>
      <c r="M8588">
        <v>158.93</v>
      </c>
      <c r="N8588" s="4">
        <f t="shared" si="134"/>
        <v>-0.17366136034732271</v>
      </c>
      <c r="O8588" t="s">
        <v>605</v>
      </c>
      <c r="Q8588" s="94" t="s">
        <v>6298</v>
      </c>
    </row>
    <row r="8589" spans="1:17" x14ac:dyDescent="0.25">
      <c r="A8589" s="22">
        <v>45912</v>
      </c>
      <c r="B8589" s="1" t="s">
        <v>7051</v>
      </c>
      <c r="C8589" t="s">
        <v>6991</v>
      </c>
      <c r="D8589" s="44">
        <v>-11041.1</v>
      </c>
      <c r="E8589" t="s">
        <v>35</v>
      </c>
      <c r="F8589" s="2">
        <v>212901001</v>
      </c>
      <c r="G8589" s="2" t="s">
        <v>91</v>
      </c>
      <c r="I8589" s="95" t="s">
        <v>7231</v>
      </c>
      <c r="J8589" t="s">
        <v>61</v>
      </c>
      <c r="K8589" t="s">
        <v>62</v>
      </c>
      <c r="M8589">
        <v>158.93</v>
      </c>
      <c r="N8589" s="4">
        <f t="shared" si="134"/>
        <v>-69.471465425029891</v>
      </c>
      <c r="O8589" t="s">
        <v>605</v>
      </c>
    </row>
    <row r="8590" spans="1:17" x14ac:dyDescent="0.25">
      <c r="A8590" s="22">
        <v>45912</v>
      </c>
      <c r="B8590" s="1" t="s">
        <v>7052</v>
      </c>
      <c r="C8590" t="s">
        <v>622</v>
      </c>
      <c r="D8590" s="44">
        <v>-31.54</v>
      </c>
      <c r="E8590" t="s">
        <v>35</v>
      </c>
      <c r="F8590" s="2">
        <v>610148001</v>
      </c>
      <c r="G8590" s="2" t="s">
        <v>41</v>
      </c>
      <c r="I8590" s="95" t="s">
        <v>7231</v>
      </c>
      <c r="J8590" t="s">
        <v>42</v>
      </c>
      <c r="K8590" t="s">
        <v>41</v>
      </c>
      <c r="M8590">
        <v>158.93</v>
      </c>
      <c r="N8590" s="4">
        <f t="shared" si="134"/>
        <v>-0.19845214874473038</v>
      </c>
      <c r="O8590" t="s">
        <v>605</v>
      </c>
      <c r="Q8590" s="94" t="s">
        <v>6298</v>
      </c>
    </row>
    <row r="8591" spans="1:17" x14ac:dyDescent="0.25">
      <c r="A8591" s="22">
        <v>45912</v>
      </c>
      <c r="B8591" s="1" t="s">
        <v>7053</v>
      </c>
      <c r="C8591" t="s">
        <v>7054</v>
      </c>
      <c r="D8591" s="44">
        <v>-12618.4</v>
      </c>
      <c r="E8591" t="s">
        <v>35</v>
      </c>
      <c r="F8591" s="2">
        <v>212901001</v>
      </c>
      <c r="G8591" s="2" t="s">
        <v>91</v>
      </c>
      <c r="I8591" s="95" t="s">
        <v>7231</v>
      </c>
      <c r="J8591" t="s">
        <v>61</v>
      </c>
      <c r="K8591" t="s">
        <v>62</v>
      </c>
      <c r="M8591">
        <v>158.93</v>
      </c>
      <c r="N8591" s="4">
        <f t="shared" si="134"/>
        <v>-79.395960485748432</v>
      </c>
      <c r="O8591" t="s">
        <v>605</v>
      </c>
    </row>
    <row r="8592" spans="1:17" x14ac:dyDescent="0.25">
      <c r="A8592" s="22">
        <v>45912</v>
      </c>
      <c r="B8592" s="1" t="s">
        <v>7055</v>
      </c>
      <c r="C8592" t="s">
        <v>622</v>
      </c>
      <c r="D8592" s="44">
        <v>-39.43</v>
      </c>
      <c r="E8592" t="s">
        <v>35</v>
      </c>
      <c r="F8592" s="2">
        <v>610148001</v>
      </c>
      <c r="G8592" s="2" t="s">
        <v>41</v>
      </c>
      <c r="I8592" s="95" t="s">
        <v>7231</v>
      </c>
      <c r="J8592" t="s">
        <v>42</v>
      </c>
      <c r="K8592" t="s">
        <v>41</v>
      </c>
      <c r="M8592">
        <v>158.93</v>
      </c>
      <c r="N8592" s="4">
        <f t="shared" si="134"/>
        <v>-0.24809664632228023</v>
      </c>
      <c r="O8592" t="s">
        <v>605</v>
      </c>
      <c r="Q8592" s="94" t="s">
        <v>6298</v>
      </c>
    </row>
    <row r="8593" spans="1:17" x14ac:dyDescent="0.25">
      <c r="A8593" s="22">
        <v>45912</v>
      </c>
      <c r="B8593" s="1" t="s">
        <v>7056</v>
      </c>
      <c r="C8593" t="s">
        <v>7057</v>
      </c>
      <c r="D8593" s="44">
        <v>-15773</v>
      </c>
      <c r="E8593" t="s">
        <v>35</v>
      </c>
      <c r="F8593" s="2">
        <v>212901001</v>
      </c>
      <c r="G8593" s="2" t="s">
        <v>91</v>
      </c>
      <c r="I8593" s="95" t="s">
        <v>7231</v>
      </c>
      <c r="J8593" t="s">
        <v>61</v>
      </c>
      <c r="K8593" t="s">
        <v>62</v>
      </c>
      <c r="M8593">
        <v>158.93</v>
      </c>
      <c r="N8593" s="4">
        <f t="shared" si="134"/>
        <v>-99.244950607185544</v>
      </c>
      <c r="O8593" t="s">
        <v>605</v>
      </c>
    </row>
    <row r="8594" spans="1:17" x14ac:dyDescent="0.25">
      <c r="A8594" s="22">
        <v>45912</v>
      </c>
      <c r="B8594" s="1" t="s">
        <v>7058</v>
      </c>
      <c r="C8594" t="s">
        <v>622</v>
      </c>
      <c r="D8594" s="44">
        <v>-19.71</v>
      </c>
      <c r="E8594" t="s">
        <v>35</v>
      </c>
      <c r="F8594" s="2">
        <v>610148001</v>
      </c>
      <c r="G8594" s="2" t="s">
        <v>41</v>
      </c>
      <c r="I8594" s="95" t="s">
        <v>7231</v>
      </c>
      <c r="J8594" t="s">
        <v>42</v>
      </c>
      <c r="K8594" t="s">
        <v>41</v>
      </c>
      <c r="M8594">
        <v>158.93</v>
      </c>
      <c r="N8594" s="4">
        <f t="shared" si="134"/>
        <v>-0.12401686276977286</v>
      </c>
      <c r="O8594" t="s">
        <v>605</v>
      </c>
      <c r="Q8594" s="94" t="s">
        <v>6298</v>
      </c>
    </row>
    <row r="8595" spans="1:17" x14ac:dyDescent="0.25">
      <c r="A8595" s="22">
        <v>45912</v>
      </c>
      <c r="B8595" s="1" t="s">
        <v>7059</v>
      </c>
      <c r="C8595" t="s">
        <v>7060</v>
      </c>
      <c r="D8595" s="44">
        <v>-7886.5</v>
      </c>
      <c r="E8595" t="s">
        <v>35</v>
      </c>
      <c r="F8595" s="2">
        <v>212901001</v>
      </c>
      <c r="G8595" s="2" t="s">
        <v>91</v>
      </c>
      <c r="I8595" s="95" t="s">
        <v>7231</v>
      </c>
      <c r="J8595" t="s">
        <v>61</v>
      </c>
      <c r="K8595" t="s">
        <v>62</v>
      </c>
      <c r="M8595">
        <v>158.93</v>
      </c>
      <c r="N8595" s="4">
        <f t="shared" si="134"/>
        <v>-49.622475303592772</v>
      </c>
      <c r="O8595" t="s">
        <v>605</v>
      </c>
    </row>
    <row r="8596" spans="1:17" x14ac:dyDescent="0.25">
      <c r="A8596" s="22">
        <v>45912</v>
      </c>
      <c r="B8596" s="1" t="s">
        <v>7061</v>
      </c>
      <c r="C8596" t="s">
        <v>622</v>
      </c>
      <c r="D8596" s="44">
        <v>-19.71</v>
      </c>
      <c r="E8596" t="s">
        <v>35</v>
      </c>
      <c r="F8596" s="2">
        <v>610148001</v>
      </c>
      <c r="G8596" s="2" t="s">
        <v>41</v>
      </c>
      <c r="I8596" s="95" t="s">
        <v>7231</v>
      </c>
      <c r="J8596" t="s">
        <v>42</v>
      </c>
      <c r="K8596" t="s">
        <v>41</v>
      </c>
      <c r="M8596">
        <v>158.93</v>
      </c>
      <c r="N8596" s="4">
        <f t="shared" si="134"/>
        <v>-0.12401686276977286</v>
      </c>
      <c r="O8596" t="s">
        <v>605</v>
      </c>
      <c r="Q8596" s="94" t="s">
        <v>6298</v>
      </c>
    </row>
    <row r="8597" spans="1:17" x14ac:dyDescent="0.25">
      <c r="A8597" s="22">
        <v>45912</v>
      </c>
      <c r="B8597" s="1" t="s">
        <v>7062</v>
      </c>
      <c r="C8597" t="s">
        <v>7063</v>
      </c>
      <c r="D8597" s="44">
        <v>-7886.5</v>
      </c>
      <c r="E8597" t="s">
        <v>35</v>
      </c>
      <c r="F8597" s="2">
        <v>212901001</v>
      </c>
      <c r="G8597" s="2" t="s">
        <v>91</v>
      </c>
      <c r="I8597" s="95" t="s">
        <v>7231</v>
      </c>
      <c r="J8597" t="s">
        <v>61</v>
      </c>
      <c r="K8597" t="s">
        <v>62</v>
      </c>
      <c r="M8597">
        <v>158.93</v>
      </c>
      <c r="N8597" s="4">
        <f t="shared" si="134"/>
        <v>-49.622475303592772</v>
      </c>
      <c r="O8597" t="s">
        <v>605</v>
      </c>
    </row>
    <row r="8598" spans="1:17" x14ac:dyDescent="0.25">
      <c r="A8598" s="22">
        <v>45912</v>
      </c>
      <c r="B8598" s="1" t="s">
        <v>7064</v>
      </c>
      <c r="C8598" t="s">
        <v>622</v>
      </c>
      <c r="D8598" s="44">
        <v>-23.65</v>
      </c>
      <c r="E8598" t="s">
        <v>35</v>
      </c>
      <c r="F8598" s="2">
        <v>610148001</v>
      </c>
      <c r="G8598" s="2" t="s">
        <v>41</v>
      </c>
      <c r="I8598" s="95" t="s">
        <v>7231</v>
      </c>
      <c r="J8598" t="s">
        <v>42</v>
      </c>
      <c r="K8598" t="s">
        <v>41</v>
      </c>
      <c r="M8598">
        <v>158.93</v>
      </c>
      <c r="N8598" s="4">
        <f t="shared" si="134"/>
        <v>-0.1488076511671805</v>
      </c>
      <c r="O8598" t="s">
        <v>605</v>
      </c>
      <c r="Q8598" s="94" t="s">
        <v>6298</v>
      </c>
    </row>
    <row r="8599" spans="1:17" x14ac:dyDescent="0.25">
      <c r="A8599" s="22">
        <v>45912</v>
      </c>
      <c r="B8599" s="1" t="s">
        <v>7065</v>
      </c>
      <c r="C8599" t="s">
        <v>7066</v>
      </c>
      <c r="D8599" s="44">
        <v>-9463.7999999999993</v>
      </c>
      <c r="E8599" t="s">
        <v>35</v>
      </c>
      <c r="F8599" s="2">
        <v>212901001</v>
      </c>
      <c r="G8599" s="2" t="s">
        <v>91</v>
      </c>
      <c r="I8599" s="95" t="s">
        <v>7231</v>
      </c>
      <c r="J8599" t="s">
        <v>61</v>
      </c>
      <c r="K8599" t="s">
        <v>62</v>
      </c>
      <c r="M8599">
        <v>158.93</v>
      </c>
      <c r="N8599" s="4">
        <f t="shared" si="134"/>
        <v>-59.546970364311328</v>
      </c>
      <c r="O8599" t="s">
        <v>605</v>
      </c>
    </row>
    <row r="8600" spans="1:17" x14ac:dyDescent="0.25">
      <c r="A8600" s="22">
        <v>45912</v>
      </c>
      <c r="B8600" s="1" t="s">
        <v>7067</v>
      </c>
      <c r="C8600" t="s">
        <v>622</v>
      </c>
      <c r="D8600" s="44">
        <v>-19.71</v>
      </c>
      <c r="E8600" t="s">
        <v>35</v>
      </c>
      <c r="F8600" s="2">
        <v>610148001</v>
      </c>
      <c r="G8600" s="2" t="s">
        <v>41</v>
      </c>
      <c r="I8600" s="95" t="s">
        <v>7231</v>
      </c>
      <c r="J8600" t="s">
        <v>42</v>
      </c>
      <c r="K8600" t="s">
        <v>41</v>
      </c>
      <c r="M8600">
        <v>158.93</v>
      </c>
      <c r="N8600" s="4">
        <f t="shared" si="134"/>
        <v>-0.12401686276977286</v>
      </c>
      <c r="O8600" t="s">
        <v>605</v>
      </c>
      <c r="Q8600" s="94" t="s">
        <v>6298</v>
      </c>
    </row>
    <row r="8601" spans="1:17" x14ac:dyDescent="0.25">
      <c r="A8601" s="22">
        <v>45912</v>
      </c>
      <c r="B8601" s="1" t="s">
        <v>7068</v>
      </c>
      <c r="C8601" t="s">
        <v>7069</v>
      </c>
      <c r="D8601" s="44">
        <v>-7886.5</v>
      </c>
      <c r="E8601" t="s">
        <v>35</v>
      </c>
      <c r="F8601" s="2">
        <v>212901001</v>
      </c>
      <c r="G8601" s="2" t="s">
        <v>91</v>
      </c>
      <c r="I8601" s="95" t="s">
        <v>7231</v>
      </c>
      <c r="J8601" t="s">
        <v>61</v>
      </c>
      <c r="K8601" t="s">
        <v>62</v>
      </c>
      <c r="M8601">
        <v>158.93</v>
      </c>
      <c r="N8601" s="4">
        <f t="shared" si="134"/>
        <v>-49.622475303592772</v>
      </c>
      <c r="O8601" t="s">
        <v>605</v>
      </c>
    </row>
    <row r="8602" spans="1:17" x14ac:dyDescent="0.25">
      <c r="A8602" s="22">
        <v>45912</v>
      </c>
      <c r="B8602" s="1" t="s">
        <v>7070</v>
      </c>
      <c r="C8602" t="s">
        <v>622</v>
      </c>
      <c r="D8602" s="44">
        <v>-55.2</v>
      </c>
      <c r="E8602" t="s">
        <v>35</v>
      </c>
      <c r="F8602" s="2">
        <v>610148001</v>
      </c>
      <c r="G8602" s="2" t="s">
        <v>41</v>
      </c>
      <c r="I8602" s="95" t="s">
        <v>7231</v>
      </c>
      <c r="J8602" t="s">
        <v>42</v>
      </c>
      <c r="K8602" t="s">
        <v>41</v>
      </c>
      <c r="M8602">
        <v>158.93</v>
      </c>
      <c r="N8602" s="4">
        <f t="shared" si="134"/>
        <v>-0.34732272069464543</v>
      </c>
      <c r="O8602" t="s">
        <v>605</v>
      </c>
      <c r="Q8602" s="94" t="s">
        <v>6298</v>
      </c>
    </row>
    <row r="8603" spans="1:17" x14ac:dyDescent="0.25">
      <c r="A8603" s="22">
        <v>45912</v>
      </c>
      <c r="B8603" s="1" t="s">
        <v>7071</v>
      </c>
      <c r="C8603" t="s">
        <v>7072</v>
      </c>
      <c r="D8603" s="44">
        <v>-22082.2</v>
      </c>
      <c r="E8603" t="s">
        <v>35</v>
      </c>
      <c r="F8603" s="2">
        <v>212901001</v>
      </c>
      <c r="G8603" s="2" t="s">
        <v>91</v>
      </c>
      <c r="I8603" s="95" t="s">
        <v>7231</v>
      </c>
      <c r="J8603" t="s">
        <v>61</v>
      </c>
      <c r="K8603" t="s">
        <v>62</v>
      </c>
      <c r="M8603">
        <v>158.93</v>
      </c>
      <c r="N8603" s="4">
        <f t="shared" si="134"/>
        <v>-138.94293085005978</v>
      </c>
      <c r="O8603" t="s">
        <v>605</v>
      </c>
    </row>
    <row r="8604" spans="1:17" x14ac:dyDescent="0.25">
      <c r="A8604" s="22">
        <v>45912</v>
      </c>
      <c r="B8604" s="1" t="s">
        <v>7073</v>
      </c>
      <c r="C8604" t="s">
        <v>622</v>
      </c>
      <c r="D8604" s="44">
        <v>-23.65</v>
      </c>
      <c r="E8604" t="s">
        <v>35</v>
      </c>
      <c r="F8604" s="2">
        <v>610148001</v>
      </c>
      <c r="G8604" s="2" t="s">
        <v>41</v>
      </c>
      <c r="I8604" s="95" t="s">
        <v>7231</v>
      </c>
      <c r="J8604" t="s">
        <v>42</v>
      </c>
      <c r="K8604" t="s">
        <v>41</v>
      </c>
      <c r="M8604">
        <v>158.93</v>
      </c>
      <c r="N8604" s="4">
        <f t="shared" si="134"/>
        <v>-0.1488076511671805</v>
      </c>
      <c r="O8604" t="s">
        <v>605</v>
      </c>
      <c r="Q8604" s="94" t="s">
        <v>6298</v>
      </c>
    </row>
    <row r="8605" spans="1:17" x14ac:dyDescent="0.25">
      <c r="A8605" s="22">
        <v>45912</v>
      </c>
      <c r="B8605" s="1" t="s">
        <v>7074</v>
      </c>
      <c r="C8605" t="s">
        <v>7075</v>
      </c>
      <c r="D8605" s="44">
        <v>-9463.7999999999993</v>
      </c>
      <c r="E8605" t="s">
        <v>35</v>
      </c>
      <c r="F8605" s="2">
        <v>212901001</v>
      </c>
      <c r="G8605" s="2" t="s">
        <v>91</v>
      </c>
      <c r="I8605" s="95" t="s">
        <v>7231</v>
      </c>
      <c r="J8605" t="s">
        <v>61</v>
      </c>
      <c r="K8605" t="s">
        <v>62</v>
      </c>
      <c r="M8605">
        <v>158.93</v>
      </c>
      <c r="N8605" s="4">
        <f t="shared" si="134"/>
        <v>-59.546970364311328</v>
      </c>
      <c r="O8605" t="s">
        <v>605</v>
      </c>
    </row>
    <row r="8606" spans="1:17" x14ac:dyDescent="0.25">
      <c r="A8606" s="22">
        <v>45912</v>
      </c>
      <c r="B8606" s="1" t="s">
        <v>7076</v>
      </c>
      <c r="C8606" t="s">
        <v>622</v>
      </c>
      <c r="D8606" s="44">
        <v>-23.65</v>
      </c>
      <c r="E8606" t="s">
        <v>35</v>
      </c>
      <c r="F8606" s="2">
        <v>610148001</v>
      </c>
      <c r="G8606" s="2" t="s">
        <v>41</v>
      </c>
      <c r="I8606" s="95" t="s">
        <v>7231</v>
      </c>
      <c r="J8606" t="s">
        <v>42</v>
      </c>
      <c r="K8606" t="s">
        <v>41</v>
      </c>
      <c r="M8606">
        <v>158.93</v>
      </c>
      <c r="N8606" s="4">
        <f t="shared" si="134"/>
        <v>-0.1488076511671805</v>
      </c>
      <c r="O8606" t="s">
        <v>605</v>
      </c>
      <c r="Q8606" s="94" t="s">
        <v>6298</v>
      </c>
    </row>
    <row r="8607" spans="1:17" x14ac:dyDescent="0.25">
      <c r="A8607" s="22">
        <v>45912</v>
      </c>
      <c r="B8607" s="1" t="s">
        <v>7077</v>
      </c>
      <c r="C8607" t="s">
        <v>7078</v>
      </c>
      <c r="D8607" s="44">
        <v>-9463.7999999999993</v>
      </c>
      <c r="E8607" t="s">
        <v>35</v>
      </c>
      <c r="F8607" s="2">
        <v>212901001</v>
      </c>
      <c r="G8607" s="2" t="s">
        <v>91</v>
      </c>
      <c r="I8607" s="95" t="s">
        <v>7231</v>
      </c>
      <c r="J8607" t="s">
        <v>61</v>
      </c>
      <c r="K8607" t="s">
        <v>62</v>
      </c>
      <c r="M8607">
        <v>158.93</v>
      </c>
      <c r="N8607" s="4">
        <f t="shared" si="134"/>
        <v>-59.546970364311328</v>
      </c>
      <c r="O8607" t="s">
        <v>605</v>
      </c>
    </row>
    <row r="8608" spans="1:17" x14ac:dyDescent="0.25">
      <c r="A8608" s="22">
        <v>45912</v>
      </c>
      <c r="B8608" s="1" t="s">
        <v>7079</v>
      </c>
      <c r="C8608" t="s">
        <v>622</v>
      </c>
      <c r="D8608" s="44">
        <v>-19.71</v>
      </c>
      <c r="E8608" t="s">
        <v>35</v>
      </c>
      <c r="F8608" s="2">
        <v>610148001</v>
      </c>
      <c r="G8608" s="2" t="s">
        <v>41</v>
      </c>
      <c r="I8608" s="95" t="s">
        <v>7231</v>
      </c>
      <c r="J8608" t="s">
        <v>42</v>
      </c>
      <c r="K8608" t="s">
        <v>41</v>
      </c>
      <c r="M8608">
        <v>158.93</v>
      </c>
      <c r="N8608" s="4">
        <f t="shared" si="134"/>
        <v>-0.12401686276977286</v>
      </c>
      <c r="O8608" t="s">
        <v>605</v>
      </c>
      <c r="Q8608" s="94" t="s">
        <v>6298</v>
      </c>
    </row>
    <row r="8609" spans="1:17" x14ac:dyDescent="0.25">
      <c r="A8609" s="22">
        <v>45912</v>
      </c>
      <c r="B8609" s="1" t="s">
        <v>7080</v>
      </c>
      <c r="C8609" t="s">
        <v>7081</v>
      </c>
      <c r="D8609" s="44">
        <v>-7886.5</v>
      </c>
      <c r="E8609" t="s">
        <v>35</v>
      </c>
      <c r="F8609" s="2">
        <v>212901001</v>
      </c>
      <c r="G8609" s="2" t="s">
        <v>91</v>
      </c>
      <c r="I8609" s="95" t="s">
        <v>7231</v>
      </c>
      <c r="J8609" t="s">
        <v>61</v>
      </c>
      <c r="K8609" t="s">
        <v>62</v>
      </c>
      <c r="M8609">
        <v>158.93</v>
      </c>
      <c r="N8609" s="4">
        <f t="shared" si="134"/>
        <v>-49.622475303592772</v>
      </c>
      <c r="O8609" t="s">
        <v>605</v>
      </c>
    </row>
    <row r="8610" spans="1:17" x14ac:dyDescent="0.25">
      <c r="A8610" s="22">
        <v>45912</v>
      </c>
      <c r="B8610" s="1" t="s">
        <v>7082</v>
      </c>
      <c r="C8610" t="s">
        <v>622</v>
      </c>
      <c r="D8610" s="44">
        <v>-7.88</v>
      </c>
      <c r="E8610" t="s">
        <v>35</v>
      </c>
      <c r="F8610" s="2">
        <v>610148001</v>
      </c>
      <c r="G8610" s="2" t="s">
        <v>41</v>
      </c>
      <c r="I8610" s="95" t="s">
        <v>7231</v>
      </c>
      <c r="J8610" t="s">
        <v>42</v>
      </c>
      <c r="K8610" t="s">
        <v>41</v>
      </c>
      <c r="M8610">
        <v>158.93</v>
      </c>
      <c r="N8610" s="4">
        <f t="shared" si="134"/>
        <v>-4.9581576794815327E-2</v>
      </c>
      <c r="O8610" t="s">
        <v>605</v>
      </c>
      <c r="Q8610" s="94" t="s">
        <v>6298</v>
      </c>
    </row>
    <row r="8611" spans="1:17" x14ac:dyDescent="0.25">
      <c r="A8611" s="22">
        <v>45912</v>
      </c>
      <c r="B8611" s="1" t="s">
        <v>7083</v>
      </c>
      <c r="C8611" t="s">
        <v>7084</v>
      </c>
      <c r="D8611" s="44">
        <v>-3154.6</v>
      </c>
      <c r="E8611" t="s">
        <v>35</v>
      </c>
      <c r="F8611" s="2">
        <v>212901001</v>
      </c>
      <c r="G8611" s="2" t="s">
        <v>91</v>
      </c>
      <c r="I8611" s="95" t="s">
        <v>7231</v>
      </c>
      <c r="J8611" t="s">
        <v>61</v>
      </c>
      <c r="K8611" t="s">
        <v>62</v>
      </c>
      <c r="M8611">
        <v>158.93</v>
      </c>
      <c r="N8611" s="4">
        <f t="shared" si="134"/>
        <v>-19.848990121437108</v>
      </c>
      <c r="O8611" t="s">
        <v>605</v>
      </c>
    </row>
    <row r="8612" spans="1:17" x14ac:dyDescent="0.25">
      <c r="A8612" s="22">
        <v>45912</v>
      </c>
      <c r="B8612" s="1" t="s">
        <v>7085</v>
      </c>
      <c r="C8612" t="s">
        <v>622</v>
      </c>
      <c r="D8612" s="44">
        <v>-78.86</v>
      </c>
      <c r="E8612" t="s">
        <v>35</v>
      </c>
      <c r="F8612" s="2">
        <v>610148001</v>
      </c>
      <c r="G8612" s="2" t="s">
        <v>41</v>
      </c>
      <c r="I8612" s="95" t="s">
        <v>7231</v>
      </c>
      <c r="J8612" t="s">
        <v>42</v>
      </c>
      <c r="K8612" t="s">
        <v>41</v>
      </c>
      <c r="M8612">
        <v>158.93</v>
      </c>
      <c r="N8612" s="4">
        <f t="shared" ref="N8612:N8675" si="135">D8612/M8612</f>
        <v>-0.49619329264456047</v>
      </c>
      <c r="O8612" t="s">
        <v>605</v>
      </c>
      <c r="Q8612" s="94" t="s">
        <v>6298</v>
      </c>
    </row>
    <row r="8613" spans="1:17" x14ac:dyDescent="0.25">
      <c r="A8613" s="22">
        <v>45912</v>
      </c>
      <c r="B8613" s="1" t="s">
        <v>7086</v>
      </c>
      <c r="C8613" t="s">
        <v>7087</v>
      </c>
      <c r="D8613" s="44">
        <v>-31546</v>
      </c>
      <c r="E8613" t="s">
        <v>35</v>
      </c>
      <c r="F8613" s="2">
        <v>212901001</v>
      </c>
      <c r="G8613" s="2" t="s">
        <v>91</v>
      </c>
      <c r="I8613" s="95" t="s">
        <v>7231</v>
      </c>
      <c r="J8613" t="s">
        <v>61</v>
      </c>
      <c r="K8613" t="s">
        <v>62</v>
      </c>
      <c r="M8613">
        <v>158.93</v>
      </c>
      <c r="N8613" s="4">
        <f t="shared" si="135"/>
        <v>-198.48990121437109</v>
      </c>
      <c r="O8613" t="s">
        <v>605</v>
      </c>
    </row>
    <row r="8614" spans="1:17" x14ac:dyDescent="0.25">
      <c r="A8614" s="22">
        <v>45912</v>
      </c>
      <c r="B8614" s="1" t="s">
        <v>7088</v>
      </c>
      <c r="C8614" t="s">
        <v>622</v>
      </c>
      <c r="D8614" s="44">
        <v>-31.54</v>
      </c>
      <c r="E8614" t="s">
        <v>35</v>
      </c>
      <c r="F8614" s="2">
        <v>610148001</v>
      </c>
      <c r="G8614" s="2" t="s">
        <v>41</v>
      </c>
      <c r="I8614" s="95" t="s">
        <v>7231</v>
      </c>
      <c r="J8614" t="s">
        <v>42</v>
      </c>
      <c r="K8614" t="s">
        <v>41</v>
      </c>
      <c r="M8614">
        <v>158.93</v>
      </c>
      <c r="N8614" s="4">
        <f t="shared" si="135"/>
        <v>-0.19845214874473038</v>
      </c>
      <c r="O8614" t="s">
        <v>605</v>
      </c>
      <c r="Q8614" s="94" t="s">
        <v>6298</v>
      </c>
    </row>
    <row r="8615" spans="1:17" x14ac:dyDescent="0.25">
      <c r="A8615" s="22">
        <v>45912</v>
      </c>
      <c r="B8615" s="1" t="s">
        <v>7089</v>
      </c>
      <c r="C8615" t="s">
        <v>7090</v>
      </c>
      <c r="D8615" s="44">
        <v>-12618.4</v>
      </c>
      <c r="E8615" t="s">
        <v>35</v>
      </c>
      <c r="F8615" s="2">
        <v>212901001</v>
      </c>
      <c r="G8615" s="2" t="s">
        <v>91</v>
      </c>
      <c r="I8615" s="95" t="s">
        <v>7231</v>
      </c>
      <c r="J8615" t="s">
        <v>61</v>
      </c>
      <c r="K8615" t="s">
        <v>62</v>
      </c>
      <c r="M8615">
        <v>158.93</v>
      </c>
      <c r="N8615" s="4">
        <f t="shared" si="135"/>
        <v>-79.395960485748432</v>
      </c>
      <c r="O8615" t="s">
        <v>605</v>
      </c>
    </row>
    <row r="8616" spans="1:17" x14ac:dyDescent="0.25">
      <c r="A8616" s="22">
        <v>45912</v>
      </c>
      <c r="B8616" s="1" t="s">
        <v>7091</v>
      </c>
      <c r="C8616" t="s">
        <v>622</v>
      </c>
      <c r="D8616" s="44">
        <v>-15.77</v>
      </c>
      <c r="E8616" t="s">
        <v>35</v>
      </c>
      <c r="F8616" s="2">
        <v>610148001</v>
      </c>
      <c r="G8616" s="2" t="s">
        <v>41</v>
      </c>
      <c r="I8616" s="95" t="s">
        <v>7231</v>
      </c>
      <c r="J8616" t="s">
        <v>42</v>
      </c>
      <c r="K8616" t="s">
        <v>41</v>
      </c>
      <c r="M8616">
        <v>158.93</v>
      </c>
      <c r="N8616" s="4">
        <f t="shared" si="135"/>
        <v>-9.9226074372365192E-2</v>
      </c>
      <c r="O8616" t="s">
        <v>605</v>
      </c>
      <c r="Q8616" s="94" t="s">
        <v>6298</v>
      </c>
    </row>
    <row r="8617" spans="1:17" x14ac:dyDescent="0.25">
      <c r="A8617" s="22">
        <v>45912</v>
      </c>
      <c r="B8617" s="1" t="s">
        <v>7092</v>
      </c>
      <c r="C8617" t="s">
        <v>7093</v>
      </c>
      <c r="D8617" s="44">
        <v>-6309.2</v>
      </c>
      <c r="E8617" t="s">
        <v>35</v>
      </c>
      <c r="F8617" s="2">
        <v>212901001</v>
      </c>
      <c r="G8617" s="2" t="s">
        <v>91</v>
      </c>
      <c r="I8617" s="95" t="s">
        <v>7231</v>
      </c>
      <c r="J8617" t="s">
        <v>61</v>
      </c>
      <c r="K8617" t="s">
        <v>62</v>
      </c>
      <c r="M8617">
        <v>158.93</v>
      </c>
      <c r="N8617" s="4">
        <f t="shared" si="135"/>
        <v>-39.697980242874216</v>
      </c>
      <c r="O8617" t="s">
        <v>605</v>
      </c>
    </row>
    <row r="8618" spans="1:17" x14ac:dyDescent="0.25">
      <c r="A8618" s="22">
        <v>45912</v>
      </c>
      <c r="B8618" s="1" t="s">
        <v>7094</v>
      </c>
      <c r="C8618" t="s">
        <v>622</v>
      </c>
      <c r="D8618" s="44">
        <v>-39.43</v>
      </c>
      <c r="E8618" t="s">
        <v>35</v>
      </c>
      <c r="F8618" s="2">
        <v>610148001</v>
      </c>
      <c r="G8618" s="2" t="s">
        <v>41</v>
      </c>
      <c r="I8618" s="95" t="s">
        <v>7231</v>
      </c>
      <c r="J8618" t="s">
        <v>42</v>
      </c>
      <c r="K8618" t="s">
        <v>41</v>
      </c>
      <c r="M8618">
        <v>158.93</v>
      </c>
      <c r="N8618" s="4">
        <f t="shared" si="135"/>
        <v>-0.24809664632228023</v>
      </c>
      <c r="O8618" t="s">
        <v>605</v>
      </c>
      <c r="Q8618" s="94" t="s">
        <v>6298</v>
      </c>
    </row>
    <row r="8619" spans="1:17" x14ac:dyDescent="0.25">
      <c r="A8619" s="22">
        <v>45912</v>
      </c>
      <c r="B8619" s="1" t="s">
        <v>7095</v>
      </c>
      <c r="C8619" t="s">
        <v>7096</v>
      </c>
      <c r="D8619" s="44">
        <v>-15773</v>
      </c>
      <c r="E8619" t="s">
        <v>35</v>
      </c>
      <c r="F8619" s="2">
        <v>212901001</v>
      </c>
      <c r="G8619" s="2" t="s">
        <v>91</v>
      </c>
      <c r="I8619" s="95" t="s">
        <v>7231</v>
      </c>
      <c r="J8619" t="s">
        <v>61</v>
      </c>
      <c r="K8619" t="s">
        <v>62</v>
      </c>
      <c r="M8619">
        <v>158.93</v>
      </c>
      <c r="N8619" s="4">
        <f t="shared" si="135"/>
        <v>-99.244950607185544</v>
      </c>
      <c r="O8619" t="s">
        <v>605</v>
      </c>
    </row>
    <row r="8620" spans="1:17" x14ac:dyDescent="0.25">
      <c r="A8620" s="22">
        <v>45912</v>
      </c>
      <c r="B8620" s="1" t="s">
        <v>7097</v>
      </c>
      <c r="C8620" t="s">
        <v>622</v>
      </c>
      <c r="D8620" s="44">
        <v>-39.43</v>
      </c>
      <c r="E8620" t="s">
        <v>35</v>
      </c>
      <c r="F8620" s="2">
        <v>610148001</v>
      </c>
      <c r="G8620" s="2" t="s">
        <v>41</v>
      </c>
      <c r="I8620" s="95" t="s">
        <v>7231</v>
      </c>
      <c r="J8620" t="s">
        <v>42</v>
      </c>
      <c r="K8620" t="s">
        <v>41</v>
      </c>
      <c r="M8620">
        <v>158.93</v>
      </c>
      <c r="N8620" s="4">
        <f t="shared" si="135"/>
        <v>-0.24809664632228023</v>
      </c>
      <c r="O8620" t="s">
        <v>605</v>
      </c>
      <c r="Q8620" s="94" t="s">
        <v>6298</v>
      </c>
    </row>
    <row r="8621" spans="1:17" x14ac:dyDescent="0.25">
      <c r="A8621" s="22">
        <v>45912</v>
      </c>
      <c r="B8621" s="1" t="s">
        <v>7098</v>
      </c>
      <c r="C8621" t="s">
        <v>7099</v>
      </c>
      <c r="D8621" s="44">
        <v>-15773</v>
      </c>
      <c r="E8621" t="s">
        <v>35</v>
      </c>
      <c r="F8621" s="2">
        <v>212901001</v>
      </c>
      <c r="G8621" s="2" t="s">
        <v>91</v>
      </c>
      <c r="I8621" s="95" t="s">
        <v>7231</v>
      </c>
      <c r="J8621" t="s">
        <v>61</v>
      </c>
      <c r="K8621" t="s">
        <v>62</v>
      </c>
      <c r="M8621">
        <v>158.93</v>
      </c>
      <c r="N8621" s="4">
        <f t="shared" si="135"/>
        <v>-99.244950607185544</v>
      </c>
      <c r="O8621" t="s">
        <v>605</v>
      </c>
    </row>
    <row r="8622" spans="1:17" x14ac:dyDescent="0.25">
      <c r="A8622" s="33">
        <v>45923</v>
      </c>
      <c r="B8622" s="27" t="s">
        <v>7100</v>
      </c>
      <c r="C8622" s="28" t="s">
        <v>7101</v>
      </c>
      <c r="D8622" s="47">
        <v>-18188.89</v>
      </c>
      <c r="E8622" s="28" t="s">
        <v>35</v>
      </c>
      <c r="F8622" s="30">
        <v>610122005</v>
      </c>
      <c r="G8622" s="30" t="s">
        <v>401</v>
      </c>
      <c r="H8622" s="30"/>
      <c r="I8622" s="95" t="s">
        <v>7231</v>
      </c>
      <c r="J8622" s="28" t="s">
        <v>608</v>
      </c>
      <c r="K8622" s="28" t="s">
        <v>609</v>
      </c>
      <c r="L8622" s="28" t="s">
        <v>56</v>
      </c>
      <c r="M8622" s="28">
        <v>168.42</v>
      </c>
      <c r="N8622" s="4">
        <f t="shared" si="135"/>
        <v>-107.99720935755849</v>
      </c>
      <c r="O8622" t="s">
        <v>605</v>
      </c>
      <c r="Q8622" s="24" t="s">
        <v>7102</v>
      </c>
    </row>
    <row r="8623" spans="1:17" x14ac:dyDescent="0.25">
      <c r="A8623" s="22">
        <v>45923</v>
      </c>
      <c r="B8623" s="1" t="s">
        <v>7103</v>
      </c>
      <c r="C8623" t="s">
        <v>612</v>
      </c>
      <c r="D8623" s="44">
        <v>-18.18</v>
      </c>
      <c r="E8623" t="s">
        <v>35</v>
      </c>
      <c r="F8623" s="2">
        <v>610148001</v>
      </c>
      <c r="G8623" s="2" t="s">
        <v>41</v>
      </c>
      <c r="I8623" s="95" t="s">
        <v>7231</v>
      </c>
      <c r="J8623" t="s">
        <v>42</v>
      </c>
      <c r="K8623" t="s">
        <v>41</v>
      </c>
      <c r="M8623">
        <v>168.42</v>
      </c>
      <c r="N8623" s="4">
        <f t="shared" si="135"/>
        <v>-0.10794442465265408</v>
      </c>
      <c r="O8623" t="s">
        <v>605</v>
      </c>
      <c r="Q8623" s="94" t="s">
        <v>6298</v>
      </c>
    </row>
    <row r="8624" spans="1:17" x14ac:dyDescent="0.25">
      <c r="A8624" s="22">
        <v>45924</v>
      </c>
      <c r="B8624" s="1" t="s">
        <v>7104</v>
      </c>
      <c r="C8624" t="s">
        <v>7105</v>
      </c>
      <c r="D8624" s="44">
        <v>66251.399999999994</v>
      </c>
      <c r="E8624" t="s">
        <v>45</v>
      </c>
      <c r="F8624" s="2">
        <v>110106001</v>
      </c>
      <c r="G8624" s="2" t="s">
        <v>1011</v>
      </c>
      <c r="I8624" s="95" t="s">
        <v>7231</v>
      </c>
      <c r="K8624" t="s">
        <v>7106</v>
      </c>
      <c r="M8624">
        <v>169.98</v>
      </c>
      <c r="N8624" s="4">
        <f t="shared" si="135"/>
        <v>389.75997176138367</v>
      </c>
      <c r="O8624" t="s">
        <v>605</v>
      </c>
    </row>
    <row r="8625" spans="1:17" x14ac:dyDescent="0.25">
      <c r="A8625" s="22">
        <v>45925</v>
      </c>
      <c r="B8625" s="1" t="s">
        <v>7107</v>
      </c>
      <c r="C8625" t="s">
        <v>293</v>
      </c>
      <c r="D8625" s="44">
        <v>3420000</v>
      </c>
      <c r="E8625" t="s">
        <v>45</v>
      </c>
      <c r="F8625" s="2">
        <v>210115002</v>
      </c>
      <c r="G8625" s="2" t="s">
        <v>5259</v>
      </c>
      <c r="I8625" s="95" t="s">
        <v>7231</v>
      </c>
      <c r="K8625" t="s">
        <v>293</v>
      </c>
      <c r="M8625">
        <v>169.98</v>
      </c>
      <c r="N8625" s="4">
        <f t="shared" si="135"/>
        <v>20120.014119308154</v>
      </c>
      <c r="O8625" t="s">
        <v>605</v>
      </c>
    </row>
    <row r="8626" spans="1:17" x14ac:dyDescent="0.25">
      <c r="A8626" s="22">
        <v>45925</v>
      </c>
      <c r="B8626" s="1" t="s">
        <v>7108</v>
      </c>
      <c r="C8626" t="s">
        <v>622</v>
      </c>
      <c r="D8626" s="44">
        <v>-107.4</v>
      </c>
      <c r="E8626" t="s">
        <v>35</v>
      </c>
      <c r="F8626" s="2">
        <v>610148001</v>
      </c>
      <c r="G8626" s="2" t="s">
        <v>41</v>
      </c>
      <c r="I8626" s="95" t="s">
        <v>7231</v>
      </c>
      <c r="J8626" t="s">
        <v>42</v>
      </c>
      <c r="K8626" t="s">
        <v>41</v>
      </c>
      <c r="M8626">
        <v>169.98</v>
      </c>
      <c r="N8626" s="4">
        <f t="shared" si="135"/>
        <v>-0.63183903988704559</v>
      </c>
      <c r="O8626" t="s">
        <v>605</v>
      </c>
      <c r="Q8626" s="94" t="s">
        <v>6298</v>
      </c>
    </row>
    <row r="8627" spans="1:17" x14ac:dyDescent="0.25">
      <c r="A8627" s="22">
        <v>45925</v>
      </c>
      <c r="B8627" s="1" t="s">
        <v>7109</v>
      </c>
      <c r="C8627" t="s">
        <v>7110</v>
      </c>
      <c r="D8627" s="44">
        <v>-42962.5</v>
      </c>
      <c r="E8627" t="s">
        <v>35</v>
      </c>
      <c r="F8627" s="2">
        <v>110114001</v>
      </c>
      <c r="G8627" s="2" t="s">
        <v>181</v>
      </c>
      <c r="I8627" s="95" t="s">
        <v>7231</v>
      </c>
      <c r="K8627" t="s">
        <v>1256</v>
      </c>
      <c r="M8627">
        <v>169.98</v>
      </c>
      <c r="N8627" s="4">
        <f t="shared" si="135"/>
        <v>-252.75032356747855</v>
      </c>
      <c r="O8627" t="s">
        <v>605</v>
      </c>
    </row>
    <row r="8628" spans="1:17" x14ac:dyDescent="0.25">
      <c r="A8628" s="22">
        <v>45925</v>
      </c>
      <c r="B8628" s="1" t="s">
        <v>7111</v>
      </c>
      <c r="C8628" t="s">
        <v>622</v>
      </c>
      <c r="D8628" s="44">
        <v>-1241.77</v>
      </c>
      <c r="E8628" t="s">
        <v>35</v>
      </c>
      <c r="F8628" s="2">
        <v>610148001</v>
      </c>
      <c r="G8628" s="2" t="s">
        <v>41</v>
      </c>
      <c r="I8628" s="95" t="s">
        <v>7231</v>
      </c>
      <c r="J8628" t="s">
        <v>42</v>
      </c>
      <c r="K8628" t="s">
        <v>41</v>
      </c>
      <c r="M8628">
        <v>169.98</v>
      </c>
      <c r="N8628" s="4">
        <f t="shared" si="135"/>
        <v>-7.3053888692787394</v>
      </c>
      <c r="O8628" t="s">
        <v>605</v>
      </c>
      <c r="Q8628" s="94" t="s">
        <v>6298</v>
      </c>
    </row>
    <row r="8629" spans="1:17" x14ac:dyDescent="0.25">
      <c r="A8629" s="22">
        <v>45925</v>
      </c>
      <c r="B8629" s="1" t="s">
        <v>7112</v>
      </c>
      <c r="C8629" t="s">
        <v>7113</v>
      </c>
      <c r="D8629" s="44">
        <v>-496709.91</v>
      </c>
      <c r="E8629" t="s">
        <v>35</v>
      </c>
      <c r="F8629" s="2">
        <v>210101001</v>
      </c>
      <c r="G8629" s="2" t="s">
        <v>36</v>
      </c>
      <c r="I8629" s="95" t="s">
        <v>7231</v>
      </c>
      <c r="J8629" t="s">
        <v>37</v>
      </c>
      <c r="K8629" t="s">
        <v>38</v>
      </c>
      <c r="M8629">
        <v>169.98</v>
      </c>
      <c r="N8629" s="4">
        <f t="shared" si="135"/>
        <v>-2922.1667843275682</v>
      </c>
      <c r="O8629" t="s">
        <v>605</v>
      </c>
    </row>
    <row r="8630" spans="1:17" x14ac:dyDescent="0.25">
      <c r="A8630" s="22">
        <v>45925</v>
      </c>
      <c r="B8630" s="1" t="s">
        <v>7114</v>
      </c>
      <c r="C8630" t="s">
        <v>622</v>
      </c>
      <c r="D8630" s="44">
        <v>-2206.1</v>
      </c>
      <c r="E8630" t="s">
        <v>35</v>
      </c>
      <c r="F8630" s="2">
        <v>610148001</v>
      </c>
      <c r="G8630" s="2" t="s">
        <v>41</v>
      </c>
      <c r="I8630" s="95" t="s">
        <v>7231</v>
      </c>
      <c r="J8630" t="s">
        <v>42</v>
      </c>
      <c r="K8630" t="s">
        <v>41</v>
      </c>
      <c r="M8630">
        <v>169.98</v>
      </c>
      <c r="N8630" s="4">
        <f t="shared" si="135"/>
        <v>-12.978585715966585</v>
      </c>
      <c r="O8630" t="s">
        <v>605</v>
      </c>
      <c r="Q8630" s="94" t="s">
        <v>6298</v>
      </c>
    </row>
    <row r="8631" spans="1:17" x14ac:dyDescent="0.25">
      <c r="A8631" s="22">
        <v>45925</v>
      </c>
      <c r="B8631" s="1" t="s">
        <v>7115</v>
      </c>
      <c r="C8631" t="s">
        <v>6378</v>
      </c>
      <c r="D8631" s="44">
        <v>-882443.06</v>
      </c>
      <c r="E8631" t="s">
        <v>35</v>
      </c>
      <c r="F8631" s="2">
        <v>110114001</v>
      </c>
      <c r="G8631" s="2" t="s">
        <v>181</v>
      </c>
      <c r="I8631" s="95" t="s">
        <v>7231</v>
      </c>
      <c r="J8631" t="s">
        <v>37</v>
      </c>
      <c r="K8631" t="s">
        <v>38</v>
      </c>
      <c r="M8631">
        <v>169.98</v>
      </c>
      <c r="N8631" s="4">
        <f t="shared" si="135"/>
        <v>-5191.4522885045308</v>
      </c>
      <c r="O8631" t="s">
        <v>605</v>
      </c>
    </row>
    <row r="8632" spans="1:17" x14ac:dyDescent="0.25">
      <c r="A8632" s="22">
        <v>45925</v>
      </c>
      <c r="B8632" s="1" t="s">
        <v>7116</v>
      </c>
      <c r="C8632" t="s">
        <v>622</v>
      </c>
      <c r="D8632" s="44">
        <v>-2500</v>
      </c>
      <c r="E8632" t="s">
        <v>35</v>
      </c>
      <c r="F8632" s="2">
        <v>610148001</v>
      </c>
      <c r="G8632" s="2" t="s">
        <v>41</v>
      </c>
      <c r="I8632" s="95" t="s">
        <v>7231</v>
      </c>
      <c r="J8632" t="s">
        <v>42</v>
      </c>
      <c r="K8632" t="s">
        <v>41</v>
      </c>
      <c r="M8632">
        <v>169.98</v>
      </c>
      <c r="N8632" s="4">
        <f t="shared" si="135"/>
        <v>-14.707612660312979</v>
      </c>
      <c r="O8632" t="s">
        <v>605</v>
      </c>
      <c r="Q8632" s="94" t="s">
        <v>6298</v>
      </c>
    </row>
    <row r="8633" spans="1:17" x14ac:dyDescent="0.25">
      <c r="A8633" s="22">
        <v>45925</v>
      </c>
      <c r="B8633" s="1" t="s">
        <v>7117</v>
      </c>
      <c r="C8633" t="s">
        <v>6378</v>
      </c>
      <c r="D8633" s="44">
        <v>-1000000</v>
      </c>
      <c r="E8633" t="s">
        <v>35</v>
      </c>
      <c r="F8633" s="2">
        <v>110114001</v>
      </c>
      <c r="G8633" s="2" t="s">
        <v>181</v>
      </c>
      <c r="I8633" s="95" t="s">
        <v>7231</v>
      </c>
      <c r="J8633" t="s">
        <v>37</v>
      </c>
      <c r="K8633" t="s">
        <v>38</v>
      </c>
      <c r="M8633">
        <v>169.98</v>
      </c>
      <c r="N8633" s="4">
        <f t="shared" si="135"/>
        <v>-5883.0450641251919</v>
      </c>
      <c r="O8633" t="s">
        <v>605</v>
      </c>
    </row>
    <row r="8634" spans="1:17" x14ac:dyDescent="0.25">
      <c r="A8634" s="22">
        <v>45925</v>
      </c>
      <c r="B8634" s="1" t="s">
        <v>7118</v>
      </c>
      <c r="C8634" t="s">
        <v>622</v>
      </c>
      <c r="D8634" s="44">
        <v>-2500</v>
      </c>
      <c r="E8634" t="s">
        <v>35</v>
      </c>
      <c r="F8634" s="2">
        <v>610148001</v>
      </c>
      <c r="G8634" s="2" t="s">
        <v>41</v>
      </c>
      <c r="I8634" s="95" t="s">
        <v>7231</v>
      </c>
      <c r="J8634" t="s">
        <v>42</v>
      </c>
      <c r="K8634" t="s">
        <v>41</v>
      </c>
      <c r="M8634">
        <v>169.98</v>
      </c>
      <c r="N8634" s="4">
        <f t="shared" si="135"/>
        <v>-14.707612660312979</v>
      </c>
      <c r="O8634" t="s">
        <v>605</v>
      </c>
      <c r="Q8634" s="94" t="s">
        <v>6298</v>
      </c>
    </row>
    <row r="8635" spans="1:17" x14ac:dyDescent="0.25">
      <c r="A8635" s="22">
        <v>45925</v>
      </c>
      <c r="B8635" s="1" t="s">
        <v>7119</v>
      </c>
      <c r="C8635" t="s">
        <v>6378</v>
      </c>
      <c r="D8635" s="44">
        <v>-1000000</v>
      </c>
      <c r="E8635" t="s">
        <v>35</v>
      </c>
      <c r="F8635" s="2">
        <v>110114001</v>
      </c>
      <c r="G8635" s="2" t="s">
        <v>181</v>
      </c>
      <c r="I8635" s="95" t="s">
        <v>7231</v>
      </c>
      <c r="J8635" t="s">
        <v>37</v>
      </c>
      <c r="K8635" t="s">
        <v>38</v>
      </c>
      <c r="M8635">
        <v>169.98</v>
      </c>
      <c r="N8635" s="4">
        <f t="shared" si="135"/>
        <v>-5883.0450641251919</v>
      </c>
      <c r="O8635" t="s">
        <v>605</v>
      </c>
    </row>
    <row r="8636" spans="1:17" x14ac:dyDescent="0.25">
      <c r="A8636" s="22">
        <v>45926</v>
      </c>
      <c r="B8636" s="1" t="s">
        <v>7120</v>
      </c>
      <c r="C8636" t="s">
        <v>293</v>
      </c>
      <c r="D8636" s="44">
        <v>2420000</v>
      </c>
      <c r="E8636" t="s">
        <v>45</v>
      </c>
      <c r="F8636" s="2">
        <v>210115002</v>
      </c>
      <c r="G8636" s="2" t="s">
        <v>5259</v>
      </c>
      <c r="I8636" s="95" t="s">
        <v>7231</v>
      </c>
      <c r="K8636" t="s">
        <v>293</v>
      </c>
      <c r="M8636">
        <v>173.74</v>
      </c>
      <c r="N8636" s="4">
        <f t="shared" si="135"/>
        <v>13928.859214918844</v>
      </c>
      <c r="O8636" t="s">
        <v>605</v>
      </c>
    </row>
    <row r="8637" spans="1:17" x14ac:dyDescent="0.25">
      <c r="A8637" s="22">
        <v>45926</v>
      </c>
      <c r="B8637" s="1" t="s">
        <v>7121</v>
      </c>
      <c r="C8637" t="s">
        <v>7122</v>
      </c>
      <c r="D8637" s="44">
        <v>-1205193.6000000001</v>
      </c>
      <c r="E8637" t="s">
        <v>35</v>
      </c>
      <c r="F8637" s="2">
        <v>110110001</v>
      </c>
      <c r="G8637" s="2" t="s">
        <v>655</v>
      </c>
      <c r="I8637" s="95" t="s">
        <v>7231</v>
      </c>
      <c r="K8637" t="s">
        <v>7123</v>
      </c>
      <c r="M8637">
        <v>173.74</v>
      </c>
      <c r="N8637" s="4">
        <f t="shared" si="135"/>
        <v>-6936.7652814550484</v>
      </c>
      <c r="O8637" t="s">
        <v>605</v>
      </c>
    </row>
    <row r="8638" spans="1:17" x14ac:dyDescent="0.25">
      <c r="A8638" s="22">
        <v>45926</v>
      </c>
      <c r="B8638" s="1" t="s">
        <v>7124</v>
      </c>
      <c r="C8638" t="s">
        <v>622</v>
      </c>
      <c r="D8638" s="44">
        <v>-3012.98</v>
      </c>
      <c r="E8638" t="s">
        <v>35</v>
      </c>
      <c r="F8638" s="2">
        <v>610148001</v>
      </c>
      <c r="G8638" s="2" t="s">
        <v>41</v>
      </c>
      <c r="I8638" s="95" t="s">
        <v>7231</v>
      </c>
      <c r="J8638" t="s">
        <v>42</v>
      </c>
      <c r="K8638" t="s">
        <v>41</v>
      </c>
      <c r="M8638">
        <v>173.74</v>
      </c>
      <c r="N8638" s="4">
        <f t="shared" si="135"/>
        <v>-17.341890180729827</v>
      </c>
      <c r="O8638" t="s">
        <v>605</v>
      </c>
      <c r="Q8638" s="94" t="s">
        <v>6298</v>
      </c>
    </row>
    <row r="8639" spans="1:17" x14ac:dyDescent="0.25">
      <c r="A8639" s="22">
        <v>45926</v>
      </c>
      <c r="B8639" s="1" t="s">
        <v>7125</v>
      </c>
      <c r="C8639" t="s">
        <v>7126</v>
      </c>
      <c r="D8639" s="44">
        <v>-1205193.6000000001</v>
      </c>
      <c r="E8639" t="s">
        <v>35</v>
      </c>
      <c r="F8639" s="2">
        <v>110110001</v>
      </c>
      <c r="G8639" s="2" t="s">
        <v>655</v>
      </c>
      <c r="I8639" s="95" t="s">
        <v>7231</v>
      </c>
      <c r="K8639" t="s">
        <v>7123</v>
      </c>
      <c r="M8639">
        <v>173.74</v>
      </c>
      <c r="N8639" s="4">
        <f t="shared" si="135"/>
        <v>-6936.7652814550484</v>
      </c>
      <c r="O8639" t="s">
        <v>605</v>
      </c>
    </row>
    <row r="8640" spans="1:17" x14ac:dyDescent="0.25">
      <c r="A8640" s="22">
        <v>45926</v>
      </c>
      <c r="B8640" s="1" t="s">
        <v>7127</v>
      </c>
      <c r="C8640" t="s">
        <v>622</v>
      </c>
      <c r="D8640" s="44">
        <v>-3012.98</v>
      </c>
      <c r="E8640" t="s">
        <v>35</v>
      </c>
      <c r="F8640" s="2">
        <v>610148001</v>
      </c>
      <c r="G8640" s="2" t="s">
        <v>41</v>
      </c>
      <c r="I8640" s="95" t="s">
        <v>7231</v>
      </c>
      <c r="J8640" t="s">
        <v>42</v>
      </c>
      <c r="K8640" t="s">
        <v>41</v>
      </c>
      <c r="M8640">
        <v>173.74</v>
      </c>
      <c r="N8640" s="4">
        <f t="shared" si="135"/>
        <v>-17.341890180729827</v>
      </c>
      <c r="O8640" t="s">
        <v>605</v>
      </c>
      <c r="Q8640" s="94" t="s">
        <v>6298</v>
      </c>
    </row>
    <row r="8641" spans="1:17" x14ac:dyDescent="0.25">
      <c r="A8641" s="22">
        <v>45926</v>
      </c>
      <c r="B8641" s="1" t="s">
        <v>7128</v>
      </c>
      <c r="C8641" t="s">
        <v>293</v>
      </c>
      <c r="D8641" s="44">
        <v>2000000</v>
      </c>
      <c r="E8641" t="s">
        <v>45</v>
      </c>
      <c r="F8641" s="2">
        <v>210115002</v>
      </c>
      <c r="G8641" s="2" t="s">
        <v>5259</v>
      </c>
      <c r="I8641" s="95" t="s">
        <v>7231</v>
      </c>
      <c r="K8641" t="s">
        <v>293</v>
      </c>
      <c r="M8641">
        <v>173.74</v>
      </c>
      <c r="N8641" s="4">
        <f t="shared" si="135"/>
        <v>11511.453896627143</v>
      </c>
      <c r="O8641" t="s">
        <v>605</v>
      </c>
    </row>
    <row r="8642" spans="1:17" x14ac:dyDescent="0.25">
      <c r="A8642" s="22">
        <v>45926</v>
      </c>
      <c r="B8642" s="1" t="s">
        <v>7129</v>
      </c>
      <c r="C8642" t="s">
        <v>6820</v>
      </c>
      <c r="D8642" s="44">
        <v>-3474.8</v>
      </c>
      <c r="E8642" t="s">
        <v>35</v>
      </c>
      <c r="F8642" s="2">
        <v>212901001</v>
      </c>
      <c r="G8642" s="2" t="s">
        <v>91</v>
      </c>
      <c r="I8642" s="95" t="s">
        <v>7231</v>
      </c>
      <c r="J8642" t="s">
        <v>61</v>
      </c>
      <c r="K8642" t="s">
        <v>62</v>
      </c>
      <c r="M8642">
        <v>173.74</v>
      </c>
      <c r="N8642" s="4">
        <f t="shared" si="135"/>
        <v>-20</v>
      </c>
      <c r="O8642" t="s">
        <v>605</v>
      </c>
    </row>
    <row r="8643" spans="1:17" x14ac:dyDescent="0.25">
      <c r="A8643" s="22">
        <v>45926</v>
      </c>
      <c r="B8643" s="1" t="s">
        <v>7130</v>
      </c>
      <c r="C8643" t="s">
        <v>622</v>
      </c>
      <c r="D8643" s="44">
        <v>-8.68</v>
      </c>
      <c r="E8643" t="s">
        <v>35</v>
      </c>
      <c r="F8643" s="2">
        <v>610148001</v>
      </c>
      <c r="G8643" s="2" t="s">
        <v>41</v>
      </c>
      <c r="I8643" s="95" t="s">
        <v>7231</v>
      </c>
      <c r="J8643" t="s">
        <v>42</v>
      </c>
      <c r="K8643" t="s">
        <v>41</v>
      </c>
      <c r="M8643">
        <v>173.74</v>
      </c>
      <c r="N8643" s="4">
        <f t="shared" si="135"/>
        <v>-4.9959709911361803E-2</v>
      </c>
      <c r="O8643" t="s">
        <v>605</v>
      </c>
      <c r="Q8643" s="94" t="s">
        <v>6298</v>
      </c>
    </row>
    <row r="8644" spans="1:17" x14ac:dyDescent="0.25">
      <c r="A8644" s="33">
        <v>45926</v>
      </c>
      <c r="B8644" s="27" t="s">
        <v>7131</v>
      </c>
      <c r="C8644" s="28" t="s">
        <v>6826</v>
      </c>
      <c r="D8644" s="47">
        <v>-9555.7000000000007</v>
      </c>
      <c r="E8644" s="28" t="s">
        <v>35</v>
      </c>
      <c r="F8644" s="30">
        <v>610156001</v>
      </c>
      <c r="G8644" s="30" t="s">
        <v>72</v>
      </c>
      <c r="H8644" s="30"/>
      <c r="I8644" s="95" t="s">
        <v>7231</v>
      </c>
      <c r="J8644" s="28" t="s">
        <v>2398</v>
      </c>
      <c r="K8644" s="28" t="s">
        <v>632</v>
      </c>
      <c r="L8644" s="28" t="s">
        <v>56</v>
      </c>
      <c r="M8644" s="28">
        <v>173.74</v>
      </c>
      <c r="N8644" s="4">
        <f t="shared" si="135"/>
        <v>-55</v>
      </c>
      <c r="O8644" t="s">
        <v>605</v>
      </c>
      <c r="Q8644" s="24" t="s">
        <v>7132</v>
      </c>
    </row>
    <row r="8645" spans="1:17" x14ac:dyDescent="0.25">
      <c r="A8645" s="22">
        <v>45926</v>
      </c>
      <c r="B8645" s="1" t="s">
        <v>7133</v>
      </c>
      <c r="C8645" t="s">
        <v>622</v>
      </c>
      <c r="D8645" s="44">
        <v>-23.88</v>
      </c>
      <c r="E8645" t="s">
        <v>35</v>
      </c>
      <c r="F8645" s="2">
        <v>610148001</v>
      </c>
      <c r="G8645" s="2" t="s">
        <v>41</v>
      </c>
      <c r="I8645" s="95" t="s">
        <v>7231</v>
      </c>
      <c r="J8645" t="s">
        <v>42</v>
      </c>
      <c r="K8645" t="s">
        <v>41</v>
      </c>
      <c r="M8645">
        <v>173.74</v>
      </c>
      <c r="N8645" s="4">
        <f t="shared" si="135"/>
        <v>-0.13744675952572807</v>
      </c>
      <c r="O8645" t="s">
        <v>605</v>
      </c>
      <c r="Q8645" s="94" t="s">
        <v>6298</v>
      </c>
    </row>
    <row r="8646" spans="1:17" x14ac:dyDescent="0.25">
      <c r="A8646" s="22">
        <v>45926</v>
      </c>
      <c r="B8646" s="1" t="s">
        <v>7134</v>
      </c>
      <c r="C8646" t="s">
        <v>6814</v>
      </c>
      <c r="D8646" s="44">
        <v>-17374</v>
      </c>
      <c r="E8646" t="s">
        <v>35</v>
      </c>
      <c r="F8646" s="2">
        <v>212901001</v>
      </c>
      <c r="G8646" s="2" t="s">
        <v>91</v>
      </c>
      <c r="I8646" s="95" t="s">
        <v>7231</v>
      </c>
      <c r="J8646" t="s">
        <v>61</v>
      </c>
      <c r="K8646" t="s">
        <v>62</v>
      </c>
      <c r="M8646">
        <v>173.74</v>
      </c>
      <c r="N8646" s="4">
        <f t="shared" si="135"/>
        <v>-100</v>
      </c>
      <c r="O8646" t="s">
        <v>605</v>
      </c>
    </row>
    <row r="8647" spans="1:17" x14ac:dyDescent="0.25">
      <c r="A8647" s="22">
        <v>45926</v>
      </c>
      <c r="B8647" s="1" t="s">
        <v>7135</v>
      </c>
      <c r="C8647" t="s">
        <v>622</v>
      </c>
      <c r="D8647" s="44">
        <v>-43.43</v>
      </c>
      <c r="E8647" t="s">
        <v>35</v>
      </c>
      <c r="F8647" s="2">
        <v>610148001</v>
      </c>
      <c r="G8647" s="2" t="s">
        <v>41</v>
      </c>
      <c r="I8647" s="95" t="s">
        <v>7231</v>
      </c>
      <c r="J8647" t="s">
        <v>42</v>
      </c>
      <c r="K8647" t="s">
        <v>41</v>
      </c>
      <c r="M8647">
        <v>173.74</v>
      </c>
      <c r="N8647" s="4">
        <f t="shared" si="135"/>
        <v>-0.24997122136525843</v>
      </c>
      <c r="O8647" t="s">
        <v>605</v>
      </c>
      <c r="Q8647" s="94" t="s">
        <v>6298</v>
      </c>
    </row>
    <row r="8648" spans="1:17" x14ac:dyDescent="0.25">
      <c r="A8648" s="22">
        <v>45926</v>
      </c>
      <c r="B8648" s="1" t="s">
        <v>7136</v>
      </c>
      <c r="C8648" t="s">
        <v>7137</v>
      </c>
      <c r="D8648" s="44">
        <v>-666.38</v>
      </c>
      <c r="E8648" t="s">
        <v>35</v>
      </c>
      <c r="F8648" s="2">
        <v>210101001</v>
      </c>
      <c r="G8648" s="2" t="s">
        <v>36</v>
      </c>
      <c r="I8648" s="95" t="s">
        <v>7231</v>
      </c>
      <c r="J8648" t="s">
        <v>928</v>
      </c>
      <c r="K8648" t="s">
        <v>929</v>
      </c>
      <c r="M8648">
        <v>173.74</v>
      </c>
      <c r="N8648" s="4">
        <f t="shared" si="135"/>
        <v>-3.8355013238171978</v>
      </c>
      <c r="O8648" t="s">
        <v>605</v>
      </c>
    </row>
    <row r="8649" spans="1:17" x14ac:dyDescent="0.25">
      <c r="A8649" s="22">
        <v>45926</v>
      </c>
      <c r="B8649" s="1" t="s">
        <v>7138</v>
      </c>
      <c r="C8649" t="s">
        <v>622</v>
      </c>
      <c r="D8649" s="44">
        <v>-1.66</v>
      </c>
      <c r="E8649" t="s">
        <v>35</v>
      </c>
      <c r="F8649" s="2">
        <v>610148001</v>
      </c>
      <c r="G8649" s="2" t="s">
        <v>41</v>
      </c>
      <c r="I8649" s="95" t="s">
        <v>7231</v>
      </c>
      <c r="J8649" t="s">
        <v>42</v>
      </c>
      <c r="K8649" t="s">
        <v>41</v>
      </c>
      <c r="M8649">
        <v>173.74</v>
      </c>
      <c r="N8649" s="4">
        <f t="shared" si="135"/>
        <v>-9.5545067342005293E-3</v>
      </c>
      <c r="O8649" t="s">
        <v>605</v>
      </c>
      <c r="Q8649" s="94" t="s">
        <v>6298</v>
      </c>
    </row>
    <row r="8650" spans="1:17" x14ac:dyDescent="0.25">
      <c r="A8650" s="22">
        <v>45926</v>
      </c>
      <c r="B8650" s="1" t="s">
        <v>7139</v>
      </c>
      <c r="C8650" t="s">
        <v>6839</v>
      </c>
      <c r="D8650" s="44">
        <v>-17374</v>
      </c>
      <c r="E8650" t="s">
        <v>35</v>
      </c>
      <c r="F8650" s="2">
        <v>212901001</v>
      </c>
      <c r="G8650" s="2" t="s">
        <v>91</v>
      </c>
      <c r="I8650" s="95" t="s">
        <v>7231</v>
      </c>
      <c r="J8650" t="s">
        <v>61</v>
      </c>
      <c r="K8650" t="s">
        <v>62</v>
      </c>
      <c r="M8650">
        <v>173.74</v>
      </c>
      <c r="N8650" s="4">
        <f t="shared" si="135"/>
        <v>-100</v>
      </c>
      <c r="O8650" t="s">
        <v>605</v>
      </c>
    </row>
    <row r="8651" spans="1:17" x14ac:dyDescent="0.25">
      <c r="A8651" s="22">
        <v>45926</v>
      </c>
      <c r="B8651" s="1" t="s">
        <v>7140</v>
      </c>
      <c r="C8651" t="s">
        <v>622</v>
      </c>
      <c r="D8651" s="44">
        <v>-43.43</v>
      </c>
      <c r="E8651" t="s">
        <v>35</v>
      </c>
      <c r="F8651" s="2">
        <v>610148001</v>
      </c>
      <c r="G8651" s="2" t="s">
        <v>41</v>
      </c>
      <c r="I8651" s="95" t="s">
        <v>7231</v>
      </c>
      <c r="J8651" t="s">
        <v>42</v>
      </c>
      <c r="K8651" t="s">
        <v>41</v>
      </c>
      <c r="M8651">
        <v>173.74</v>
      </c>
      <c r="N8651" s="4">
        <f t="shared" si="135"/>
        <v>-0.24997122136525843</v>
      </c>
      <c r="O8651" t="s">
        <v>605</v>
      </c>
      <c r="Q8651" s="94" t="s">
        <v>6298</v>
      </c>
    </row>
    <row r="8652" spans="1:17" x14ac:dyDescent="0.25">
      <c r="A8652" s="22">
        <v>45926</v>
      </c>
      <c r="B8652" s="1" t="s">
        <v>7141</v>
      </c>
      <c r="C8652" t="s">
        <v>6823</v>
      </c>
      <c r="D8652" s="44">
        <v>-3474.8</v>
      </c>
      <c r="E8652" t="s">
        <v>35</v>
      </c>
      <c r="F8652" s="2">
        <v>212901001</v>
      </c>
      <c r="G8652" s="2" t="s">
        <v>91</v>
      </c>
      <c r="I8652" s="95" t="s">
        <v>7231</v>
      </c>
      <c r="J8652" t="s">
        <v>61</v>
      </c>
      <c r="K8652" t="s">
        <v>62</v>
      </c>
      <c r="M8652">
        <v>173.74</v>
      </c>
      <c r="N8652" s="4">
        <f t="shared" si="135"/>
        <v>-20</v>
      </c>
      <c r="O8652" t="s">
        <v>605</v>
      </c>
    </row>
    <row r="8653" spans="1:17" x14ac:dyDescent="0.25">
      <c r="A8653" s="22">
        <v>45926</v>
      </c>
      <c r="B8653" s="1" t="s">
        <v>7142</v>
      </c>
      <c r="C8653" t="s">
        <v>622</v>
      </c>
      <c r="D8653" s="44">
        <v>-8.68</v>
      </c>
      <c r="E8653" t="s">
        <v>35</v>
      </c>
      <c r="F8653" s="2">
        <v>610148001</v>
      </c>
      <c r="G8653" s="2" t="s">
        <v>41</v>
      </c>
      <c r="I8653" s="95" t="s">
        <v>7231</v>
      </c>
      <c r="J8653" t="s">
        <v>42</v>
      </c>
      <c r="K8653" t="s">
        <v>41</v>
      </c>
      <c r="M8653">
        <v>173.74</v>
      </c>
      <c r="N8653" s="4">
        <f t="shared" si="135"/>
        <v>-4.9959709911361803E-2</v>
      </c>
      <c r="O8653" t="s">
        <v>605</v>
      </c>
      <c r="Q8653" s="94" t="s">
        <v>6298</v>
      </c>
    </row>
    <row r="8654" spans="1:17" x14ac:dyDescent="0.25">
      <c r="A8654" s="22">
        <v>45926</v>
      </c>
      <c r="B8654" s="1" t="s">
        <v>7143</v>
      </c>
      <c r="C8654" t="s">
        <v>6833</v>
      </c>
      <c r="D8654" s="44">
        <v>-3474.8</v>
      </c>
      <c r="E8654" t="s">
        <v>35</v>
      </c>
      <c r="F8654" s="2">
        <v>212901001</v>
      </c>
      <c r="G8654" s="2" t="s">
        <v>91</v>
      </c>
      <c r="I8654" s="95" t="s">
        <v>7231</v>
      </c>
      <c r="J8654" t="s">
        <v>61</v>
      </c>
      <c r="K8654" t="s">
        <v>62</v>
      </c>
      <c r="M8654">
        <v>173.74</v>
      </c>
      <c r="N8654" s="4">
        <f t="shared" si="135"/>
        <v>-20</v>
      </c>
      <c r="O8654" t="s">
        <v>605</v>
      </c>
    </row>
    <row r="8655" spans="1:17" x14ac:dyDescent="0.25">
      <c r="A8655" s="22">
        <v>45926</v>
      </c>
      <c r="B8655" s="1" t="s">
        <v>7144</v>
      </c>
      <c r="C8655" t="s">
        <v>622</v>
      </c>
      <c r="D8655" s="44">
        <v>-8.68</v>
      </c>
      <c r="E8655" t="s">
        <v>35</v>
      </c>
      <c r="F8655" s="2">
        <v>610148001</v>
      </c>
      <c r="G8655" s="2" t="s">
        <v>41</v>
      </c>
      <c r="I8655" s="95" t="s">
        <v>7231</v>
      </c>
      <c r="J8655" t="s">
        <v>42</v>
      </c>
      <c r="K8655" t="s">
        <v>41</v>
      </c>
      <c r="M8655">
        <v>173.74</v>
      </c>
      <c r="N8655" s="4">
        <f t="shared" si="135"/>
        <v>-4.9959709911361803E-2</v>
      </c>
      <c r="O8655" t="s">
        <v>605</v>
      </c>
      <c r="Q8655" s="94" t="s">
        <v>6298</v>
      </c>
    </row>
    <row r="8656" spans="1:17" x14ac:dyDescent="0.25">
      <c r="A8656" s="22">
        <v>45926</v>
      </c>
      <c r="B8656" s="1" t="s">
        <v>7145</v>
      </c>
      <c r="C8656" t="s">
        <v>6842</v>
      </c>
      <c r="D8656" s="44">
        <v>-3474.8</v>
      </c>
      <c r="E8656" t="s">
        <v>35</v>
      </c>
      <c r="F8656" s="2">
        <v>212901001</v>
      </c>
      <c r="G8656" s="2" t="s">
        <v>91</v>
      </c>
      <c r="I8656" s="95" t="s">
        <v>7231</v>
      </c>
      <c r="J8656" t="s">
        <v>61</v>
      </c>
      <c r="K8656" t="s">
        <v>62</v>
      </c>
      <c r="M8656">
        <v>173.74</v>
      </c>
      <c r="N8656" s="4">
        <f t="shared" si="135"/>
        <v>-20</v>
      </c>
      <c r="O8656" t="s">
        <v>605</v>
      </c>
    </row>
    <row r="8657" spans="1:17" x14ac:dyDescent="0.25">
      <c r="A8657" s="22">
        <v>45926</v>
      </c>
      <c r="B8657" s="1" t="s">
        <v>7146</v>
      </c>
      <c r="C8657" t="s">
        <v>622</v>
      </c>
      <c r="D8657" s="44">
        <v>-8.68</v>
      </c>
      <c r="E8657" t="s">
        <v>35</v>
      </c>
      <c r="F8657" s="2">
        <v>610148001</v>
      </c>
      <c r="G8657" s="2" t="s">
        <v>41</v>
      </c>
      <c r="I8657" s="95" t="s">
        <v>7231</v>
      </c>
      <c r="J8657" t="s">
        <v>42</v>
      </c>
      <c r="K8657" t="s">
        <v>41</v>
      </c>
      <c r="M8657">
        <v>173.74</v>
      </c>
      <c r="N8657" s="4">
        <f t="shared" si="135"/>
        <v>-4.9959709911361803E-2</v>
      </c>
      <c r="O8657" t="s">
        <v>605</v>
      </c>
      <c r="Q8657" s="94" t="s">
        <v>6298</v>
      </c>
    </row>
    <row r="8658" spans="1:17" x14ac:dyDescent="0.25">
      <c r="A8658" s="33">
        <v>45926</v>
      </c>
      <c r="B8658" s="27" t="s">
        <v>7147</v>
      </c>
      <c r="C8658" s="28" t="s">
        <v>7148</v>
      </c>
      <c r="D8658" s="47">
        <v>-38657.15</v>
      </c>
      <c r="E8658" s="28" t="s">
        <v>35</v>
      </c>
      <c r="F8658" s="30">
        <v>610156001</v>
      </c>
      <c r="G8658" s="30" t="s">
        <v>72</v>
      </c>
      <c r="H8658" s="30"/>
      <c r="I8658" s="95" t="s">
        <v>7231</v>
      </c>
      <c r="J8658" s="28" t="s">
        <v>2398</v>
      </c>
      <c r="K8658" s="28" t="s">
        <v>632</v>
      </c>
      <c r="L8658" s="28" t="s">
        <v>56</v>
      </c>
      <c r="M8658" s="28">
        <v>173.74</v>
      </c>
      <c r="N8658" s="4">
        <f t="shared" si="135"/>
        <v>-222.5</v>
      </c>
      <c r="O8658" t="s">
        <v>605</v>
      </c>
      <c r="Q8658" s="24" t="s">
        <v>7132</v>
      </c>
    </row>
    <row r="8659" spans="1:17" x14ac:dyDescent="0.25">
      <c r="A8659" s="22">
        <v>45926</v>
      </c>
      <c r="B8659" s="1" t="s">
        <v>7149</v>
      </c>
      <c r="C8659" t="s">
        <v>622</v>
      </c>
      <c r="D8659" s="44">
        <v>-96.64</v>
      </c>
      <c r="E8659" t="s">
        <v>35</v>
      </c>
      <c r="F8659" s="2">
        <v>610148001</v>
      </c>
      <c r="G8659" s="2" t="s">
        <v>41</v>
      </c>
      <c r="I8659" s="95" t="s">
        <v>7231</v>
      </c>
      <c r="J8659" t="s">
        <v>42</v>
      </c>
      <c r="K8659" t="s">
        <v>41</v>
      </c>
      <c r="M8659">
        <v>173.74</v>
      </c>
      <c r="N8659" s="4">
        <f t="shared" si="135"/>
        <v>-0.55623345228502352</v>
      </c>
      <c r="O8659" t="s">
        <v>605</v>
      </c>
      <c r="Q8659" s="94" t="s">
        <v>6298</v>
      </c>
    </row>
    <row r="8660" spans="1:17" x14ac:dyDescent="0.25">
      <c r="A8660" s="22">
        <v>45926</v>
      </c>
      <c r="B8660" s="1" t="s">
        <v>7150</v>
      </c>
      <c r="C8660" t="s">
        <v>622</v>
      </c>
      <c r="D8660" s="44">
        <v>-1064.8900000000001</v>
      </c>
      <c r="E8660" t="s">
        <v>35</v>
      </c>
      <c r="F8660" s="2">
        <v>610148001</v>
      </c>
      <c r="G8660" s="2" t="s">
        <v>41</v>
      </c>
      <c r="I8660" s="95" t="s">
        <v>7231</v>
      </c>
      <c r="J8660" t="s">
        <v>42</v>
      </c>
      <c r="K8660" t="s">
        <v>41</v>
      </c>
      <c r="M8660">
        <v>173.74</v>
      </c>
      <c r="N8660" s="4">
        <f t="shared" si="135"/>
        <v>-6.1292160699896403</v>
      </c>
      <c r="O8660" t="s">
        <v>605</v>
      </c>
      <c r="Q8660" s="94" t="s">
        <v>6298</v>
      </c>
    </row>
    <row r="8661" spans="1:17" x14ac:dyDescent="0.25">
      <c r="A8661" s="22">
        <v>45926</v>
      </c>
      <c r="B8661" s="1" t="s">
        <v>7151</v>
      </c>
      <c r="C8661" t="s">
        <v>622</v>
      </c>
      <c r="D8661" s="44">
        <v>-36.68</v>
      </c>
      <c r="E8661" t="s">
        <v>35</v>
      </c>
      <c r="F8661" s="2">
        <v>610148001</v>
      </c>
      <c r="G8661" s="2" t="s">
        <v>41</v>
      </c>
      <c r="I8661" s="95" t="s">
        <v>7231</v>
      </c>
      <c r="J8661" t="s">
        <v>42</v>
      </c>
      <c r="K8661" t="s">
        <v>41</v>
      </c>
      <c r="M8661">
        <v>173.74</v>
      </c>
      <c r="N8661" s="4">
        <f t="shared" si="135"/>
        <v>-0.2111200644641418</v>
      </c>
      <c r="O8661" t="s">
        <v>605</v>
      </c>
      <c r="Q8661" s="94" t="s">
        <v>6298</v>
      </c>
    </row>
    <row r="8662" spans="1:17" x14ac:dyDescent="0.25">
      <c r="A8662" s="22">
        <v>45926</v>
      </c>
      <c r="B8662" s="1" t="s">
        <v>7152</v>
      </c>
      <c r="C8662" t="s">
        <v>7153</v>
      </c>
      <c r="D8662" s="44">
        <v>-425957.17</v>
      </c>
      <c r="E8662" t="s">
        <v>35</v>
      </c>
      <c r="F8662" s="2">
        <v>110114001</v>
      </c>
      <c r="G8662" s="2" t="s">
        <v>181</v>
      </c>
      <c r="I8662" s="95" t="s">
        <v>7231</v>
      </c>
      <c r="K8662" t="s">
        <v>1256</v>
      </c>
      <c r="M8662">
        <v>173.74</v>
      </c>
      <c r="N8662" s="4">
        <f t="shared" si="135"/>
        <v>-2451.6931621963854</v>
      </c>
      <c r="O8662" t="s">
        <v>605</v>
      </c>
    </row>
    <row r="8663" spans="1:17" x14ac:dyDescent="0.25">
      <c r="A8663" s="22">
        <v>45926</v>
      </c>
      <c r="B8663" s="1" t="s">
        <v>7154</v>
      </c>
      <c r="C8663" t="s">
        <v>7155</v>
      </c>
      <c r="D8663" s="44">
        <v>-14674.11</v>
      </c>
      <c r="E8663" t="s">
        <v>35</v>
      </c>
      <c r="F8663" s="2">
        <v>110101002</v>
      </c>
      <c r="G8663" s="2" t="s">
        <v>2771</v>
      </c>
      <c r="I8663" s="95" t="s">
        <v>7231</v>
      </c>
      <c r="K8663" t="s">
        <v>7155</v>
      </c>
      <c r="M8663">
        <v>173.74</v>
      </c>
      <c r="N8663" s="4">
        <f t="shared" si="135"/>
        <v>-84.46017036951767</v>
      </c>
      <c r="O8663" t="s">
        <v>605</v>
      </c>
    </row>
    <row r="8664" spans="1:17" x14ac:dyDescent="0.25">
      <c r="A8664" s="22">
        <v>45926</v>
      </c>
      <c r="B8664" s="1" t="s">
        <v>7156</v>
      </c>
      <c r="C8664" t="s">
        <v>622</v>
      </c>
      <c r="D8664" s="44">
        <v>-957.28</v>
      </c>
      <c r="E8664" t="s">
        <v>35</v>
      </c>
      <c r="F8664" s="2">
        <v>610148001</v>
      </c>
      <c r="G8664" s="2" t="s">
        <v>41</v>
      </c>
      <c r="I8664" s="95" t="s">
        <v>7231</v>
      </c>
      <c r="J8664" t="s">
        <v>42</v>
      </c>
      <c r="K8664" t="s">
        <v>41</v>
      </c>
      <c r="M8664">
        <v>173.74</v>
      </c>
      <c r="N8664" s="4">
        <f t="shared" si="135"/>
        <v>-5.5098422930816158</v>
      </c>
      <c r="O8664" t="s">
        <v>605</v>
      </c>
      <c r="Q8664" s="94" t="s">
        <v>6298</v>
      </c>
    </row>
    <row r="8665" spans="1:17" x14ac:dyDescent="0.25">
      <c r="A8665" s="22">
        <v>45926</v>
      </c>
      <c r="B8665" s="1" t="s">
        <v>7157</v>
      </c>
      <c r="C8665" t="s">
        <v>622</v>
      </c>
      <c r="D8665" s="44">
        <v>-876.67</v>
      </c>
      <c r="E8665" t="s">
        <v>35</v>
      </c>
      <c r="F8665" s="2">
        <v>610148001</v>
      </c>
      <c r="G8665" s="2" t="s">
        <v>41</v>
      </c>
      <c r="I8665" s="95" t="s">
        <v>7231</v>
      </c>
      <c r="J8665" t="s">
        <v>42</v>
      </c>
      <c r="K8665" t="s">
        <v>41</v>
      </c>
      <c r="M8665">
        <v>173.74</v>
      </c>
      <c r="N8665" s="4">
        <f t="shared" si="135"/>
        <v>-5.0458731437780591</v>
      </c>
      <c r="O8665" t="s">
        <v>605</v>
      </c>
      <c r="Q8665" s="94" t="s">
        <v>6298</v>
      </c>
    </row>
    <row r="8666" spans="1:17" x14ac:dyDescent="0.25">
      <c r="A8666" s="22">
        <v>45926</v>
      </c>
      <c r="B8666" s="1" t="s">
        <v>7158</v>
      </c>
      <c r="C8666" t="s">
        <v>7159</v>
      </c>
      <c r="D8666" s="44">
        <v>-382914.36</v>
      </c>
      <c r="E8666" t="s">
        <v>35</v>
      </c>
      <c r="F8666" s="2">
        <v>210101001</v>
      </c>
      <c r="G8666" s="2" t="s">
        <v>36</v>
      </c>
      <c r="I8666" s="95" t="s">
        <v>7231</v>
      </c>
      <c r="K8666" t="s">
        <v>1862</v>
      </c>
      <c r="M8666">
        <v>173.74</v>
      </c>
      <c r="N8666" s="4">
        <f t="shared" si="135"/>
        <v>-2203.9505007482444</v>
      </c>
      <c r="O8666" t="s">
        <v>605</v>
      </c>
    </row>
    <row r="8667" spans="1:17" x14ac:dyDescent="0.25">
      <c r="A8667" s="22">
        <v>45926</v>
      </c>
      <c r="B8667" s="1" t="s">
        <v>7160</v>
      </c>
      <c r="C8667" t="s">
        <v>7161</v>
      </c>
      <c r="D8667" s="44">
        <v>-350668.94</v>
      </c>
      <c r="E8667" t="s">
        <v>35</v>
      </c>
      <c r="F8667" s="2">
        <v>110114001</v>
      </c>
      <c r="G8667" s="2" t="s">
        <v>181</v>
      </c>
      <c r="I8667" s="95" t="s">
        <v>7231</v>
      </c>
      <c r="K8667" t="s">
        <v>1256</v>
      </c>
      <c r="M8667">
        <v>173.74</v>
      </c>
      <c r="N8667" s="4">
        <f t="shared" si="135"/>
        <v>-2018.354667894555</v>
      </c>
      <c r="O8667" t="s">
        <v>605</v>
      </c>
    </row>
    <row r="8668" spans="1:17" x14ac:dyDescent="0.25">
      <c r="A8668" s="22">
        <v>45926</v>
      </c>
      <c r="B8668" s="1" t="s">
        <v>7162</v>
      </c>
      <c r="C8668" t="s">
        <v>622</v>
      </c>
      <c r="D8668" s="44">
        <v>-1118.72</v>
      </c>
      <c r="E8668" t="s">
        <v>35</v>
      </c>
      <c r="F8668" s="2">
        <v>610148001</v>
      </c>
      <c r="G8668" s="2" t="s">
        <v>41</v>
      </c>
      <c r="I8668" s="95" t="s">
        <v>7231</v>
      </c>
      <c r="J8668" t="s">
        <v>42</v>
      </c>
      <c r="K8668" t="s">
        <v>41</v>
      </c>
      <c r="M8668">
        <v>173.74</v>
      </c>
      <c r="N8668" s="4">
        <f t="shared" si="135"/>
        <v>-6.4390468516173591</v>
      </c>
      <c r="O8668" t="s">
        <v>605</v>
      </c>
      <c r="Q8668" s="94" t="s">
        <v>6298</v>
      </c>
    </row>
    <row r="8669" spans="1:17" x14ac:dyDescent="0.25">
      <c r="A8669" s="22">
        <v>45926</v>
      </c>
      <c r="B8669" s="1" t="s">
        <v>7163</v>
      </c>
      <c r="C8669" t="s">
        <v>7164</v>
      </c>
      <c r="D8669" s="44">
        <v>-447490.37</v>
      </c>
      <c r="E8669" t="s">
        <v>35</v>
      </c>
      <c r="F8669" s="2">
        <v>210101001</v>
      </c>
      <c r="G8669" s="2" t="s">
        <v>36</v>
      </c>
      <c r="I8669" s="95" t="s">
        <v>7231</v>
      </c>
      <c r="J8669" t="s">
        <v>414</v>
      </c>
      <c r="K8669" t="s">
        <v>415</v>
      </c>
      <c r="M8669">
        <v>173.74</v>
      </c>
      <c r="N8669" s="4">
        <f t="shared" si="135"/>
        <v>-2575.6323817198108</v>
      </c>
      <c r="O8669" t="s">
        <v>605</v>
      </c>
    </row>
    <row r="8670" spans="1:17" x14ac:dyDescent="0.25">
      <c r="A8670" s="22">
        <v>45926</v>
      </c>
      <c r="B8670" s="1" t="s">
        <v>7165</v>
      </c>
      <c r="C8670" t="s">
        <v>622</v>
      </c>
      <c r="D8670" s="44">
        <v>-158.69999999999999</v>
      </c>
      <c r="E8670" t="s">
        <v>35</v>
      </c>
      <c r="F8670" s="2">
        <v>610148001</v>
      </c>
      <c r="G8670" s="2" t="s">
        <v>41</v>
      </c>
      <c r="I8670" s="95" t="s">
        <v>7231</v>
      </c>
      <c r="J8670" t="s">
        <v>42</v>
      </c>
      <c r="K8670" t="s">
        <v>41</v>
      </c>
      <c r="M8670">
        <v>173.74</v>
      </c>
      <c r="N8670" s="4">
        <f t="shared" si="135"/>
        <v>-0.91343386669736382</v>
      </c>
      <c r="O8670" t="s">
        <v>605</v>
      </c>
      <c r="Q8670" s="94" t="s">
        <v>6298</v>
      </c>
    </row>
    <row r="8671" spans="1:17" x14ac:dyDescent="0.25">
      <c r="A8671" s="22">
        <v>45926</v>
      </c>
      <c r="B8671" s="1" t="s">
        <v>7166</v>
      </c>
      <c r="C8671" t="s">
        <v>7167</v>
      </c>
      <c r="D8671" s="44">
        <v>-63480.94</v>
      </c>
      <c r="E8671" t="s">
        <v>35</v>
      </c>
      <c r="F8671" s="2">
        <v>210101001</v>
      </c>
      <c r="G8671" s="2" t="s">
        <v>36</v>
      </c>
      <c r="I8671" s="95" t="s">
        <v>7231</v>
      </c>
      <c r="J8671" t="s">
        <v>37</v>
      </c>
      <c r="K8671" t="s">
        <v>38</v>
      </c>
      <c r="M8671">
        <v>173.74</v>
      </c>
      <c r="N8671" s="4">
        <f t="shared" si="135"/>
        <v>-365.37895706227698</v>
      </c>
      <c r="O8671" t="s">
        <v>605</v>
      </c>
    </row>
    <row r="8672" spans="1:17" x14ac:dyDescent="0.25">
      <c r="A8672" s="22">
        <v>45926</v>
      </c>
      <c r="B8672" s="1" t="s">
        <v>7168</v>
      </c>
      <c r="C8672" t="s">
        <v>622</v>
      </c>
      <c r="D8672" s="44">
        <v>-138.66</v>
      </c>
      <c r="E8672" t="s">
        <v>35</v>
      </c>
      <c r="F8672" s="2">
        <v>610148001</v>
      </c>
      <c r="G8672" s="2" t="s">
        <v>41</v>
      </c>
      <c r="I8672" s="95" t="s">
        <v>7231</v>
      </c>
      <c r="J8672" t="s">
        <v>42</v>
      </c>
      <c r="K8672" t="s">
        <v>41</v>
      </c>
      <c r="M8672">
        <v>173.74</v>
      </c>
      <c r="N8672" s="4">
        <f t="shared" si="135"/>
        <v>-0.7980890986531598</v>
      </c>
      <c r="O8672" t="s">
        <v>605</v>
      </c>
      <c r="Q8672" s="94" t="s">
        <v>6298</v>
      </c>
    </row>
    <row r="8673" spans="1:17" x14ac:dyDescent="0.25">
      <c r="A8673" s="22">
        <v>45926</v>
      </c>
      <c r="B8673" s="1" t="s">
        <v>7169</v>
      </c>
      <c r="C8673" t="s">
        <v>7170</v>
      </c>
      <c r="D8673" s="44">
        <v>-55465.83</v>
      </c>
      <c r="E8673" t="s">
        <v>35</v>
      </c>
      <c r="F8673" s="2">
        <v>210101001</v>
      </c>
      <c r="G8673" s="2" t="s">
        <v>36</v>
      </c>
      <c r="I8673" s="95" t="s">
        <v>7231</v>
      </c>
      <c r="J8673" t="s">
        <v>685</v>
      </c>
      <c r="K8673" t="s">
        <v>686</v>
      </c>
      <c r="M8673">
        <v>173.74</v>
      </c>
      <c r="N8673" s="4">
        <f t="shared" si="135"/>
        <v>-319.24617244157935</v>
      </c>
      <c r="O8673" t="s">
        <v>605</v>
      </c>
    </row>
    <row r="8674" spans="1:17" x14ac:dyDescent="0.25">
      <c r="A8674" s="22">
        <v>45926</v>
      </c>
      <c r="B8674" s="1" t="s">
        <v>7171</v>
      </c>
      <c r="C8674" t="s">
        <v>622</v>
      </c>
      <c r="D8674" s="44">
        <v>-371.79</v>
      </c>
      <c r="E8674" t="s">
        <v>35</v>
      </c>
      <c r="F8674" s="2">
        <v>610148001</v>
      </c>
      <c r="G8674" s="2" t="s">
        <v>41</v>
      </c>
      <c r="I8674" s="95" t="s">
        <v>7231</v>
      </c>
      <c r="J8674" t="s">
        <v>42</v>
      </c>
      <c r="K8674" t="s">
        <v>41</v>
      </c>
      <c r="M8674">
        <v>173.74</v>
      </c>
      <c r="N8674" s="4">
        <f t="shared" si="135"/>
        <v>-2.139921722113503</v>
      </c>
      <c r="O8674" t="s">
        <v>605</v>
      </c>
      <c r="Q8674" s="94" t="s">
        <v>6298</v>
      </c>
    </row>
    <row r="8675" spans="1:17" x14ac:dyDescent="0.25">
      <c r="A8675" s="22">
        <v>45926</v>
      </c>
      <c r="B8675" s="1" t="s">
        <v>7172</v>
      </c>
      <c r="C8675" t="s">
        <v>7173</v>
      </c>
      <c r="D8675" s="44">
        <v>-148718.07</v>
      </c>
      <c r="E8675" t="s">
        <v>35</v>
      </c>
      <c r="F8675" s="2">
        <v>210101001</v>
      </c>
      <c r="G8675" s="2" t="s">
        <v>36</v>
      </c>
      <c r="I8675" s="95" t="s">
        <v>7231</v>
      </c>
      <c r="J8675" t="s">
        <v>398</v>
      </c>
      <c r="K8675" t="s">
        <v>399</v>
      </c>
      <c r="M8675">
        <v>173.74</v>
      </c>
      <c r="N8675" s="4">
        <f t="shared" si="135"/>
        <v>-855.98060320018419</v>
      </c>
      <c r="O8675" t="s">
        <v>605</v>
      </c>
    </row>
    <row r="8676" spans="1:17" x14ac:dyDescent="0.25">
      <c r="A8676" s="22">
        <v>45926</v>
      </c>
      <c r="B8676" s="1" t="s">
        <v>7174</v>
      </c>
      <c r="C8676" t="s">
        <v>622</v>
      </c>
      <c r="D8676" s="44">
        <v>-52.12</v>
      </c>
      <c r="E8676" t="s">
        <v>35</v>
      </c>
      <c r="F8676" s="2">
        <v>610148001</v>
      </c>
      <c r="G8676" s="2" t="s">
        <v>41</v>
      </c>
      <c r="I8676" s="95" t="s">
        <v>7231</v>
      </c>
      <c r="J8676" t="s">
        <v>42</v>
      </c>
      <c r="K8676" t="s">
        <v>41</v>
      </c>
      <c r="M8676">
        <v>173.74</v>
      </c>
      <c r="N8676" s="4">
        <f t="shared" ref="N8676:N8717" si="136">D8676/M8676</f>
        <v>-0.29998848854610333</v>
      </c>
      <c r="O8676" t="s">
        <v>605</v>
      </c>
      <c r="Q8676" s="94" t="s">
        <v>6298</v>
      </c>
    </row>
    <row r="8677" spans="1:17" x14ac:dyDescent="0.25">
      <c r="A8677" s="33">
        <v>45926</v>
      </c>
      <c r="B8677" s="27" t="s">
        <v>7175</v>
      </c>
      <c r="C8677" s="28" t="s">
        <v>52</v>
      </c>
      <c r="D8677" s="47">
        <v>-20848.8</v>
      </c>
      <c r="E8677" s="28" t="s">
        <v>35</v>
      </c>
      <c r="F8677" s="30">
        <v>610129001</v>
      </c>
      <c r="G8677" s="30" t="s">
        <v>53</v>
      </c>
      <c r="H8677" s="30"/>
      <c r="I8677" s="95" t="s">
        <v>7231</v>
      </c>
      <c r="J8677" s="28" t="s">
        <v>54</v>
      </c>
      <c r="K8677" s="28" t="s">
        <v>55</v>
      </c>
      <c r="L8677" s="28" t="s">
        <v>56</v>
      </c>
      <c r="M8677" s="28">
        <v>173.74</v>
      </c>
      <c r="N8677" s="4">
        <f t="shared" si="136"/>
        <v>-119.99999999999999</v>
      </c>
      <c r="O8677" t="s">
        <v>605</v>
      </c>
      <c r="Q8677" s="24" t="s">
        <v>7176</v>
      </c>
    </row>
    <row r="8678" spans="1:17" x14ac:dyDescent="0.25">
      <c r="A8678" s="22">
        <v>45926</v>
      </c>
      <c r="B8678" s="1" t="s">
        <v>7177</v>
      </c>
      <c r="C8678" t="s">
        <v>622</v>
      </c>
      <c r="D8678" s="44">
        <v>-13.03</v>
      </c>
      <c r="E8678" t="s">
        <v>35</v>
      </c>
      <c r="F8678" s="2">
        <v>610148001</v>
      </c>
      <c r="G8678" s="2" t="s">
        <v>41</v>
      </c>
      <c r="I8678" s="95" t="s">
        <v>7231</v>
      </c>
      <c r="J8678" t="s">
        <v>42</v>
      </c>
      <c r="K8678" t="s">
        <v>41</v>
      </c>
      <c r="M8678">
        <v>173.74</v>
      </c>
      <c r="N8678" s="4">
        <f t="shared" si="136"/>
        <v>-7.4997122136525832E-2</v>
      </c>
      <c r="O8678" t="s">
        <v>605</v>
      </c>
      <c r="Q8678" s="94" t="s">
        <v>6298</v>
      </c>
    </row>
    <row r="8679" spans="1:17" x14ac:dyDescent="0.25">
      <c r="A8679" s="22">
        <v>45926</v>
      </c>
      <c r="B8679" s="1" t="s">
        <v>7178</v>
      </c>
      <c r="C8679" t="s">
        <v>6852</v>
      </c>
      <c r="D8679" s="44">
        <v>-5212.2</v>
      </c>
      <c r="E8679" t="s">
        <v>35</v>
      </c>
      <c r="F8679" s="2">
        <v>212901001</v>
      </c>
      <c r="G8679" s="2" t="s">
        <v>91</v>
      </c>
      <c r="I8679" s="95" t="s">
        <v>7231</v>
      </c>
      <c r="J8679" t="s">
        <v>61</v>
      </c>
      <c r="K8679" t="s">
        <v>62</v>
      </c>
      <c r="M8679">
        <v>173.74</v>
      </c>
      <c r="N8679" s="4">
        <f t="shared" si="136"/>
        <v>-29.999999999999996</v>
      </c>
      <c r="O8679" t="s">
        <v>605</v>
      </c>
    </row>
    <row r="8680" spans="1:17" x14ac:dyDescent="0.25">
      <c r="A8680" s="22">
        <v>45926</v>
      </c>
      <c r="B8680" s="1" t="s">
        <v>7179</v>
      </c>
      <c r="C8680" t="s">
        <v>622</v>
      </c>
      <c r="D8680" s="44">
        <v>-47.77</v>
      </c>
      <c r="E8680" t="s">
        <v>35</v>
      </c>
      <c r="F8680" s="2">
        <v>610148001</v>
      </c>
      <c r="G8680" s="2" t="s">
        <v>41</v>
      </c>
      <c r="I8680" s="95" t="s">
        <v>7231</v>
      </c>
      <c r="J8680" t="s">
        <v>42</v>
      </c>
      <c r="K8680" t="s">
        <v>41</v>
      </c>
      <c r="M8680">
        <v>173.74</v>
      </c>
      <c r="N8680" s="4">
        <f t="shared" si="136"/>
        <v>-0.27495107632093935</v>
      </c>
      <c r="O8680" t="s">
        <v>605</v>
      </c>
      <c r="Q8680" s="94" t="s">
        <v>6298</v>
      </c>
    </row>
    <row r="8681" spans="1:17" x14ac:dyDescent="0.25">
      <c r="A8681" s="33">
        <v>45926</v>
      </c>
      <c r="B8681" s="27" t="s">
        <v>7180</v>
      </c>
      <c r="C8681" s="28" t="s">
        <v>6860</v>
      </c>
      <c r="D8681" s="47">
        <v>-19111.400000000001</v>
      </c>
      <c r="E8681" s="28" t="s">
        <v>35</v>
      </c>
      <c r="F8681" s="30">
        <v>610156001</v>
      </c>
      <c r="G8681" s="30" t="s">
        <v>72</v>
      </c>
      <c r="H8681" s="30"/>
      <c r="I8681" s="95" t="s">
        <v>7231</v>
      </c>
      <c r="J8681" s="28" t="s">
        <v>73</v>
      </c>
      <c r="K8681" s="28" t="s">
        <v>74</v>
      </c>
      <c r="L8681" s="28" t="s">
        <v>56</v>
      </c>
      <c r="M8681" s="28">
        <v>173.74</v>
      </c>
      <c r="N8681" s="4">
        <f t="shared" si="136"/>
        <v>-110</v>
      </c>
      <c r="O8681" t="s">
        <v>605</v>
      </c>
      <c r="Q8681" s="24" t="s">
        <v>7181</v>
      </c>
    </row>
    <row r="8682" spans="1:17" x14ac:dyDescent="0.25">
      <c r="A8682" s="22">
        <v>45926</v>
      </c>
      <c r="B8682" s="1" t="s">
        <v>7182</v>
      </c>
      <c r="C8682" t="s">
        <v>7159</v>
      </c>
      <c r="D8682" s="44">
        <v>382914.36</v>
      </c>
      <c r="E8682" t="s">
        <v>45</v>
      </c>
      <c r="F8682" s="2">
        <v>210101001</v>
      </c>
      <c r="G8682" s="2" t="s">
        <v>36</v>
      </c>
      <c r="I8682" s="95" t="s">
        <v>7231</v>
      </c>
      <c r="K8682" t="s">
        <v>1162</v>
      </c>
      <c r="M8682">
        <v>173.74</v>
      </c>
      <c r="N8682" s="4">
        <f t="shared" si="136"/>
        <v>2203.9505007482444</v>
      </c>
      <c r="O8682" t="s">
        <v>605</v>
      </c>
    </row>
    <row r="8683" spans="1:17" x14ac:dyDescent="0.25">
      <c r="A8683" s="22">
        <v>45929</v>
      </c>
      <c r="B8683" s="1" t="s">
        <v>7183</v>
      </c>
      <c r="C8683" t="s">
        <v>293</v>
      </c>
      <c r="D8683" s="44">
        <v>300000</v>
      </c>
      <c r="E8683" t="s">
        <v>45</v>
      </c>
      <c r="F8683" s="2">
        <v>210115002</v>
      </c>
      <c r="G8683" s="2" t="s">
        <v>5259</v>
      </c>
      <c r="I8683" s="95" t="s">
        <v>7231</v>
      </c>
      <c r="K8683" t="s">
        <v>293</v>
      </c>
      <c r="M8683">
        <v>175.65</v>
      </c>
      <c r="N8683" s="4">
        <f t="shared" si="136"/>
        <v>1707.9419299743809</v>
      </c>
      <c r="O8683" t="s">
        <v>605</v>
      </c>
    </row>
    <row r="8684" spans="1:17" x14ac:dyDescent="0.25">
      <c r="A8684" s="22">
        <v>45929</v>
      </c>
      <c r="B8684" s="1" t="s">
        <v>7184</v>
      </c>
      <c r="C8684" t="s">
        <v>293</v>
      </c>
      <c r="D8684" s="44">
        <v>1300000</v>
      </c>
      <c r="E8684" t="s">
        <v>45</v>
      </c>
      <c r="F8684" s="2">
        <v>210115002</v>
      </c>
      <c r="G8684" s="2" t="s">
        <v>5259</v>
      </c>
      <c r="I8684" s="95" t="s">
        <v>7231</v>
      </c>
      <c r="K8684" t="s">
        <v>293</v>
      </c>
      <c r="M8684">
        <v>175.65</v>
      </c>
      <c r="N8684" s="4">
        <f t="shared" si="136"/>
        <v>7401.0816965556505</v>
      </c>
      <c r="O8684" t="s">
        <v>605</v>
      </c>
    </row>
    <row r="8685" spans="1:17" x14ac:dyDescent="0.25">
      <c r="A8685" s="22">
        <v>45929</v>
      </c>
      <c r="B8685" s="1" t="s">
        <v>7185</v>
      </c>
      <c r="C8685" t="s">
        <v>622</v>
      </c>
      <c r="D8685" s="44">
        <v>-2500</v>
      </c>
      <c r="E8685" t="s">
        <v>35</v>
      </c>
      <c r="F8685" s="2">
        <v>610148001</v>
      </c>
      <c r="G8685" s="2" t="s">
        <v>41</v>
      </c>
      <c r="I8685" s="95" t="s">
        <v>7231</v>
      </c>
      <c r="J8685" t="s">
        <v>42</v>
      </c>
      <c r="K8685" t="s">
        <v>41</v>
      </c>
      <c r="M8685">
        <v>175.65</v>
      </c>
      <c r="N8685" s="4">
        <f t="shared" si="136"/>
        <v>-14.232849416453174</v>
      </c>
      <c r="O8685" t="s">
        <v>605</v>
      </c>
      <c r="Q8685" s="94" t="s">
        <v>6298</v>
      </c>
    </row>
    <row r="8686" spans="1:17" x14ac:dyDescent="0.25">
      <c r="A8686" s="22">
        <v>45929</v>
      </c>
      <c r="B8686" s="1" t="s">
        <v>7186</v>
      </c>
      <c r="C8686" t="s">
        <v>7187</v>
      </c>
      <c r="D8686" s="44">
        <v>-1000000</v>
      </c>
      <c r="E8686" t="s">
        <v>35</v>
      </c>
      <c r="F8686" s="2">
        <v>110114001</v>
      </c>
      <c r="G8686" s="2" t="s">
        <v>181</v>
      </c>
      <c r="I8686" s="95" t="s">
        <v>7231</v>
      </c>
      <c r="J8686" t="s">
        <v>37</v>
      </c>
      <c r="K8686" t="s">
        <v>38</v>
      </c>
      <c r="M8686">
        <v>175.65</v>
      </c>
      <c r="N8686" s="4">
        <f t="shared" si="136"/>
        <v>-5693.1397665812692</v>
      </c>
      <c r="O8686" t="s">
        <v>605</v>
      </c>
      <c r="P8686" s="34" t="s">
        <v>6558</v>
      </c>
    </row>
    <row r="8687" spans="1:17" x14ac:dyDescent="0.25">
      <c r="A8687" s="22">
        <v>45929</v>
      </c>
      <c r="B8687" s="1" t="s">
        <v>7188</v>
      </c>
      <c r="C8687" t="s">
        <v>622</v>
      </c>
      <c r="D8687" s="44">
        <v>-1657.98</v>
      </c>
      <c r="E8687" t="s">
        <v>35</v>
      </c>
      <c r="F8687" s="2">
        <v>610148001</v>
      </c>
      <c r="G8687" s="2" t="s">
        <v>41</v>
      </c>
      <c r="I8687" s="95" t="s">
        <v>7231</v>
      </c>
      <c r="J8687" t="s">
        <v>42</v>
      </c>
      <c r="K8687" t="s">
        <v>41</v>
      </c>
      <c r="M8687">
        <v>175.65</v>
      </c>
      <c r="N8687" s="4">
        <f t="shared" si="136"/>
        <v>-9.4391118701964132</v>
      </c>
      <c r="O8687" t="s">
        <v>605</v>
      </c>
      <c r="Q8687" s="94" t="s">
        <v>6298</v>
      </c>
    </row>
    <row r="8688" spans="1:17" x14ac:dyDescent="0.25">
      <c r="A8688" s="22">
        <v>45929</v>
      </c>
      <c r="B8688" s="1" t="s">
        <v>7189</v>
      </c>
      <c r="C8688" t="s">
        <v>7187</v>
      </c>
      <c r="D8688" s="44">
        <v>-663195.94999999995</v>
      </c>
      <c r="E8688" t="s">
        <v>35</v>
      </c>
      <c r="F8688" s="2">
        <v>110114001</v>
      </c>
      <c r="G8688" s="2" t="s">
        <v>181</v>
      </c>
      <c r="I8688" s="95" t="s">
        <v>7231</v>
      </c>
      <c r="J8688" t="s">
        <v>37</v>
      </c>
      <c r="K8688" t="s">
        <v>38</v>
      </c>
      <c r="M8688">
        <v>175.65</v>
      </c>
      <c r="N8688" s="4">
        <f t="shared" si="136"/>
        <v>-3775.667235980643</v>
      </c>
      <c r="O8688" t="s">
        <v>605</v>
      </c>
      <c r="P8688" s="34" t="s">
        <v>6558</v>
      </c>
    </row>
    <row r="8689" spans="1:17" x14ac:dyDescent="0.25">
      <c r="A8689" s="22">
        <v>45929</v>
      </c>
      <c r="B8689" s="1" t="s">
        <v>7190</v>
      </c>
      <c r="C8689" t="s">
        <v>622</v>
      </c>
      <c r="D8689" s="44">
        <v>-794.64</v>
      </c>
      <c r="E8689" t="s">
        <v>35</v>
      </c>
      <c r="F8689" s="2">
        <v>610148001</v>
      </c>
      <c r="G8689" s="2" t="s">
        <v>41</v>
      </c>
      <c r="I8689" s="95" t="s">
        <v>7231</v>
      </c>
      <c r="J8689" t="s">
        <v>42</v>
      </c>
      <c r="K8689" t="s">
        <v>41</v>
      </c>
      <c r="M8689">
        <v>175.65</v>
      </c>
      <c r="N8689" s="4">
        <f t="shared" si="136"/>
        <v>-4.5239965841161398</v>
      </c>
      <c r="O8689" t="s">
        <v>605</v>
      </c>
      <c r="Q8689" s="94" t="s">
        <v>6298</v>
      </c>
    </row>
    <row r="8690" spans="1:17" x14ac:dyDescent="0.25">
      <c r="A8690" s="22">
        <v>45929</v>
      </c>
      <c r="B8690" s="1" t="s">
        <v>7191</v>
      </c>
      <c r="C8690" t="s">
        <v>7192</v>
      </c>
      <c r="D8690" s="44">
        <v>-317856.24</v>
      </c>
      <c r="E8690" t="s">
        <v>35</v>
      </c>
      <c r="F8690" s="2">
        <v>110114001</v>
      </c>
      <c r="G8690" s="2" t="s">
        <v>181</v>
      </c>
      <c r="I8690" s="95" t="s">
        <v>7231</v>
      </c>
      <c r="J8690" t="s">
        <v>37</v>
      </c>
      <c r="K8690" t="s">
        <v>38</v>
      </c>
      <c r="M8690">
        <v>175.65</v>
      </c>
      <c r="N8690" s="4">
        <f t="shared" si="136"/>
        <v>-1809.6</v>
      </c>
      <c r="O8690" t="s">
        <v>605</v>
      </c>
      <c r="P8690" s="34" t="s">
        <v>6558</v>
      </c>
    </row>
    <row r="8691" spans="1:17" x14ac:dyDescent="0.25">
      <c r="A8691" s="22">
        <v>45929</v>
      </c>
      <c r="B8691" s="1" t="s">
        <v>7193</v>
      </c>
      <c r="C8691" t="s">
        <v>622</v>
      </c>
      <c r="D8691" s="44">
        <v>-43.91</v>
      </c>
      <c r="E8691" t="s">
        <v>35</v>
      </c>
      <c r="F8691" s="2">
        <v>610148001</v>
      </c>
      <c r="G8691" s="2" t="s">
        <v>41</v>
      </c>
      <c r="I8691" s="95" t="s">
        <v>7231</v>
      </c>
      <c r="J8691" t="s">
        <v>42</v>
      </c>
      <c r="K8691" t="s">
        <v>41</v>
      </c>
      <c r="M8691">
        <v>175.65</v>
      </c>
      <c r="N8691" s="4">
        <f t="shared" si="136"/>
        <v>-0.24998576715058352</v>
      </c>
      <c r="O8691" t="s">
        <v>605</v>
      </c>
      <c r="Q8691" s="94" t="s">
        <v>6298</v>
      </c>
    </row>
    <row r="8692" spans="1:17" x14ac:dyDescent="0.25">
      <c r="A8692" s="22">
        <v>45929</v>
      </c>
      <c r="B8692" s="1" t="s">
        <v>7194</v>
      </c>
      <c r="C8692" t="s">
        <v>77</v>
      </c>
      <c r="D8692" s="85">
        <v>-17565</v>
      </c>
      <c r="E8692" t="s">
        <v>35</v>
      </c>
      <c r="F8692" s="2">
        <v>610124003</v>
      </c>
      <c r="G8692" s="2" t="s">
        <v>78</v>
      </c>
      <c r="I8692" s="95" t="s">
        <v>7231</v>
      </c>
      <c r="J8692" t="s">
        <v>79</v>
      </c>
      <c r="K8692" t="s">
        <v>80</v>
      </c>
      <c r="L8692" s="28" t="s">
        <v>56</v>
      </c>
      <c r="M8692">
        <v>175.65</v>
      </c>
      <c r="N8692" s="4">
        <f t="shared" si="136"/>
        <v>-100</v>
      </c>
      <c r="O8692" t="s">
        <v>605</v>
      </c>
      <c r="Q8692" s="24" t="s">
        <v>7195</v>
      </c>
    </row>
    <row r="8693" spans="1:17" x14ac:dyDescent="0.25">
      <c r="A8693" s="22">
        <v>45929</v>
      </c>
      <c r="B8693" s="1" t="s">
        <v>7196</v>
      </c>
      <c r="C8693" t="s">
        <v>293</v>
      </c>
      <c r="D8693" s="44">
        <v>1000000</v>
      </c>
      <c r="E8693" t="s">
        <v>45</v>
      </c>
      <c r="F8693" s="2">
        <v>210115002</v>
      </c>
      <c r="G8693" s="2" t="s">
        <v>5259</v>
      </c>
      <c r="I8693" s="95" t="s">
        <v>7231</v>
      </c>
      <c r="K8693" t="s">
        <v>293</v>
      </c>
      <c r="M8693">
        <v>175.65</v>
      </c>
      <c r="N8693" s="4">
        <f t="shared" si="136"/>
        <v>5693.1397665812692</v>
      </c>
      <c r="O8693" t="s">
        <v>605</v>
      </c>
    </row>
    <row r="8694" spans="1:17" x14ac:dyDescent="0.25">
      <c r="A8694" s="22">
        <v>45929</v>
      </c>
      <c r="B8694" s="1" t="s">
        <v>7197</v>
      </c>
      <c r="C8694" t="s">
        <v>7198</v>
      </c>
      <c r="D8694" s="44">
        <v>-19637.64</v>
      </c>
      <c r="E8694" t="s">
        <v>35</v>
      </c>
      <c r="F8694" s="2">
        <v>210101001</v>
      </c>
      <c r="G8694" s="2" t="s">
        <v>36</v>
      </c>
      <c r="I8694" s="95" t="s">
        <v>7231</v>
      </c>
      <c r="J8694" t="s">
        <v>1614</v>
      </c>
      <c r="K8694" t="s">
        <v>1615</v>
      </c>
      <c r="M8694">
        <v>175.65</v>
      </c>
      <c r="N8694" s="4">
        <f t="shared" si="136"/>
        <v>-111.799829205807</v>
      </c>
      <c r="O8694" t="s">
        <v>605</v>
      </c>
    </row>
    <row r="8695" spans="1:17" x14ac:dyDescent="0.25">
      <c r="A8695" s="22">
        <v>45929</v>
      </c>
      <c r="B8695" s="1" t="s">
        <v>7199</v>
      </c>
      <c r="C8695" t="s">
        <v>622</v>
      </c>
      <c r="D8695" s="44">
        <v>-49.09</v>
      </c>
      <c r="E8695" t="s">
        <v>35</v>
      </c>
      <c r="F8695" s="2">
        <v>610148001</v>
      </c>
      <c r="G8695" s="2" t="s">
        <v>41</v>
      </c>
      <c r="I8695" s="95" t="s">
        <v>7231</v>
      </c>
      <c r="J8695" t="s">
        <v>42</v>
      </c>
      <c r="K8695" t="s">
        <v>41</v>
      </c>
      <c r="M8695">
        <v>175.65</v>
      </c>
      <c r="N8695" s="4">
        <f t="shared" si="136"/>
        <v>-0.27947623114147452</v>
      </c>
      <c r="O8695" t="s">
        <v>605</v>
      </c>
      <c r="Q8695" s="94" t="s">
        <v>6298</v>
      </c>
    </row>
    <row r="8696" spans="1:17" x14ac:dyDescent="0.25">
      <c r="A8696" s="22">
        <v>45929</v>
      </c>
      <c r="B8696" s="1" t="s">
        <v>7200</v>
      </c>
      <c r="C8696" t="s">
        <v>7201</v>
      </c>
      <c r="D8696" s="44">
        <v>-324021.06</v>
      </c>
      <c r="E8696" t="s">
        <v>35</v>
      </c>
      <c r="F8696" s="2">
        <v>210101001</v>
      </c>
      <c r="G8696" s="2" t="s">
        <v>36</v>
      </c>
      <c r="I8696" s="95" t="s">
        <v>7231</v>
      </c>
      <c r="J8696" t="s">
        <v>1614</v>
      </c>
      <c r="K8696" t="s">
        <v>1615</v>
      </c>
      <c r="M8696">
        <v>175.65</v>
      </c>
      <c r="N8696" s="4">
        <f t="shared" si="136"/>
        <v>-1844.6971818958154</v>
      </c>
      <c r="O8696" t="s">
        <v>605</v>
      </c>
    </row>
    <row r="8697" spans="1:17" x14ac:dyDescent="0.25">
      <c r="A8697" s="22">
        <v>45929</v>
      </c>
      <c r="B8697" s="1" t="s">
        <v>7202</v>
      </c>
      <c r="C8697" t="s">
        <v>622</v>
      </c>
      <c r="D8697" s="44">
        <v>-810.05</v>
      </c>
      <c r="E8697" t="s">
        <v>35</v>
      </c>
      <c r="F8697" s="2">
        <v>610148001</v>
      </c>
      <c r="G8697" s="2" t="s">
        <v>41</v>
      </c>
      <c r="I8697" s="95" t="s">
        <v>7231</v>
      </c>
      <c r="J8697" t="s">
        <v>42</v>
      </c>
      <c r="K8697" t="s">
        <v>41</v>
      </c>
      <c r="M8697">
        <v>175.65</v>
      </c>
      <c r="N8697" s="4">
        <f t="shared" si="136"/>
        <v>-4.6117278679191571</v>
      </c>
      <c r="O8697" t="s">
        <v>605</v>
      </c>
      <c r="Q8697" s="94" t="s">
        <v>6298</v>
      </c>
    </row>
    <row r="8698" spans="1:17" x14ac:dyDescent="0.25">
      <c r="A8698" s="22">
        <v>45929</v>
      </c>
      <c r="B8698" s="1" t="s">
        <v>7203</v>
      </c>
      <c r="C8698" t="s">
        <v>7204</v>
      </c>
      <c r="D8698" s="44">
        <v>-225832.86</v>
      </c>
      <c r="E8698" t="s">
        <v>35</v>
      </c>
      <c r="F8698" s="2">
        <v>210101001</v>
      </c>
      <c r="G8698" s="2" t="s">
        <v>36</v>
      </c>
      <c r="I8698" s="95" t="s">
        <v>7231</v>
      </c>
      <c r="J8698" t="s">
        <v>1614</v>
      </c>
      <c r="K8698" t="s">
        <v>1615</v>
      </c>
      <c r="M8698">
        <v>175.65</v>
      </c>
      <c r="N8698" s="4">
        <f t="shared" si="136"/>
        <v>-1285.6980358667804</v>
      </c>
      <c r="O8698" t="s">
        <v>605</v>
      </c>
    </row>
    <row r="8699" spans="1:17" x14ac:dyDescent="0.25">
      <c r="A8699" s="22">
        <v>45929</v>
      </c>
      <c r="B8699" s="1" t="s">
        <v>7205</v>
      </c>
      <c r="C8699" t="s">
        <v>622</v>
      </c>
      <c r="D8699" s="44">
        <v>-564.58000000000004</v>
      </c>
      <c r="E8699" t="s">
        <v>35</v>
      </c>
      <c r="F8699" s="2">
        <v>610148001</v>
      </c>
      <c r="G8699" s="2" t="s">
        <v>41</v>
      </c>
      <c r="I8699" s="95" t="s">
        <v>7231</v>
      </c>
      <c r="J8699" t="s">
        <v>42</v>
      </c>
      <c r="K8699" t="s">
        <v>41</v>
      </c>
      <c r="M8699">
        <v>175.65</v>
      </c>
      <c r="N8699" s="4">
        <f t="shared" si="136"/>
        <v>-3.2142328494164532</v>
      </c>
      <c r="O8699" t="s">
        <v>605</v>
      </c>
      <c r="Q8699" s="94" t="s">
        <v>6298</v>
      </c>
    </row>
    <row r="8700" spans="1:17" x14ac:dyDescent="0.25">
      <c r="A8700" s="22">
        <v>45929</v>
      </c>
      <c r="B8700" s="1" t="s">
        <v>7206</v>
      </c>
      <c r="C8700" t="s">
        <v>7207</v>
      </c>
      <c r="D8700" s="44">
        <v>-196376.4</v>
      </c>
      <c r="E8700" t="s">
        <v>35</v>
      </c>
      <c r="F8700" s="2">
        <v>210101001</v>
      </c>
      <c r="G8700" s="2" t="s">
        <v>36</v>
      </c>
      <c r="I8700" s="95" t="s">
        <v>7231</v>
      </c>
      <c r="J8700" t="s">
        <v>1614</v>
      </c>
      <c r="K8700" t="s">
        <v>1615</v>
      </c>
      <c r="M8700">
        <v>175.65</v>
      </c>
      <c r="N8700" s="4">
        <f t="shared" si="136"/>
        <v>-1117.9982920580699</v>
      </c>
      <c r="O8700" t="s">
        <v>605</v>
      </c>
    </row>
    <row r="8701" spans="1:17" x14ac:dyDescent="0.25">
      <c r="A8701" s="22">
        <v>45929</v>
      </c>
      <c r="B8701" s="1" t="s">
        <v>7208</v>
      </c>
      <c r="C8701" t="s">
        <v>622</v>
      </c>
      <c r="D8701" s="44">
        <v>-490.94</v>
      </c>
      <c r="E8701" t="s">
        <v>35</v>
      </c>
      <c r="F8701" s="2">
        <v>610148001</v>
      </c>
      <c r="G8701" s="2" t="s">
        <v>41</v>
      </c>
      <c r="I8701" s="95" t="s">
        <v>7231</v>
      </c>
      <c r="J8701" t="s">
        <v>42</v>
      </c>
      <c r="K8701" t="s">
        <v>41</v>
      </c>
      <c r="M8701">
        <v>175.65</v>
      </c>
      <c r="N8701" s="4">
        <f t="shared" si="136"/>
        <v>-2.7949900370054084</v>
      </c>
      <c r="O8701" t="s">
        <v>605</v>
      </c>
      <c r="Q8701" s="94" t="s">
        <v>6298</v>
      </c>
    </row>
    <row r="8702" spans="1:17" x14ac:dyDescent="0.25">
      <c r="A8702" s="22">
        <v>45929</v>
      </c>
      <c r="B8702" s="1" t="s">
        <v>7209</v>
      </c>
      <c r="C8702" t="s">
        <v>7210</v>
      </c>
      <c r="D8702" s="44">
        <v>-235651.68</v>
      </c>
      <c r="E8702" t="s">
        <v>35</v>
      </c>
      <c r="F8702" s="2">
        <v>210101001</v>
      </c>
      <c r="G8702" s="2" t="s">
        <v>36</v>
      </c>
      <c r="I8702" s="95" t="s">
        <v>7231</v>
      </c>
      <c r="J8702" t="s">
        <v>1614</v>
      </c>
      <c r="K8702" t="s">
        <v>1615</v>
      </c>
      <c r="M8702">
        <v>175.65</v>
      </c>
      <c r="N8702" s="4">
        <f t="shared" si="136"/>
        <v>-1341.5979504696838</v>
      </c>
      <c r="O8702" t="s">
        <v>605</v>
      </c>
    </row>
    <row r="8703" spans="1:17" x14ac:dyDescent="0.25">
      <c r="A8703" s="22">
        <v>45929</v>
      </c>
      <c r="B8703" s="1" t="s">
        <v>7211</v>
      </c>
      <c r="C8703" t="s">
        <v>622</v>
      </c>
      <c r="D8703" s="44">
        <v>-589.12</v>
      </c>
      <c r="E8703" t="s">
        <v>35</v>
      </c>
      <c r="F8703" s="2">
        <v>610148001</v>
      </c>
      <c r="G8703" s="2" t="s">
        <v>41</v>
      </c>
      <c r="I8703" s="95" t="s">
        <v>7231</v>
      </c>
      <c r="J8703" t="s">
        <v>42</v>
      </c>
      <c r="K8703" t="s">
        <v>41</v>
      </c>
      <c r="M8703">
        <v>175.65</v>
      </c>
      <c r="N8703" s="4">
        <f t="shared" si="136"/>
        <v>-3.3539424992883573</v>
      </c>
      <c r="O8703" t="s">
        <v>605</v>
      </c>
      <c r="Q8703" s="94" t="s">
        <v>6298</v>
      </c>
    </row>
    <row r="8704" spans="1:17" x14ac:dyDescent="0.25">
      <c r="A8704" s="22">
        <v>45930</v>
      </c>
      <c r="B8704" s="1" t="s">
        <v>5254</v>
      </c>
      <c r="C8704" s="2" t="s">
        <v>4410</v>
      </c>
      <c r="D8704" s="44" t="s">
        <v>4411</v>
      </c>
      <c r="E8704" t="s">
        <v>35</v>
      </c>
      <c r="F8704" s="2">
        <v>610148001</v>
      </c>
      <c r="G8704" t="s">
        <v>41</v>
      </c>
      <c r="H8704"/>
      <c r="I8704" s="95" t="s">
        <v>7231</v>
      </c>
      <c r="J8704" t="s">
        <v>42</v>
      </c>
      <c r="K8704" t="s">
        <v>41</v>
      </c>
      <c r="M8704">
        <f>VLOOKUP(A8704,[3]Hoja1!$G$3:$H$32,2,FALSE)</f>
        <v>177.61</v>
      </c>
      <c r="N8704" s="4">
        <f t="shared" si="136"/>
        <v>-2.8151568042339955E-3</v>
      </c>
      <c r="O8704" t="s">
        <v>39</v>
      </c>
      <c r="Q8704" s="24" t="s">
        <v>6298</v>
      </c>
    </row>
    <row r="8705" spans="1:17" x14ac:dyDescent="0.25">
      <c r="A8705" s="22">
        <v>45930</v>
      </c>
      <c r="B8705" s="1" t="s">
        <v>5255</v>
      </c>
      <c r="C8705" s="2" t="s">
        <v>4412</v>
      </c>
      <c r="D8705" s="44" t="s">
        <v>4411</v>
      </c>
      <c r="E8705" t="s">
        <v>35</v>
      </c>
      <c r="F8705" s="2">
        <v>610148001</v>
      </c>
      <c r="G8705" t="s">
        <v>41</v>
      </c>
      <c r="H8705"/>
      <c r="I8705" s="95" t="s">
        <v>7231</v>
      </c>
      <c r="J8705" t="s">
        <v>42</v>
      </c>
      <c r="K8705" t="s">
        <v>41</v>
      </c>
      <c r="M8705">
        <f>VLOOKUP(A8705,[3]Hoja1!$G$3:$H$32,2,FALSE)</f>
        <v>177.61</v>
      </c>
      <c r="N8705" s="4">
        <f t="shared" si="136"/>
        <v>-2.8151568042339955E-3</v>
      </c>
      <c r="O8705" t="s">
        <v>39</v>
      </c>
      <c r="Q8705" s="24" t="s">
        <v>6298</v>
      </c>
    </row>
    <row r="8706" spans="1:17" x14ac:dyDescent="0.25">
      <c r="A8706" s="22">
        <v>45912</v>
      </c>
      <c r="B8706" s="1">
        <v>142</v>
      </c>
      <c r="C8706" t="s">
        <v>50</v>
      </c>
      <c r="D8706" s="44">
        <v>-118.29</v>
      </c>
      <c r="E8706" t="s">
        <v>35</v>
      </c>
      <c r="F8706" s="2">
        <v>610148001</v>
      </c>
      <c r="G8706" s="2" t="s">
        <v>41</v>
      </c>
      <c r="I8706" s="95" t="s">
        <v>7231</v>
      </c>
      <c r="J8706" t="s">
        <v>42</v>
      </c>
      <c r="K8706" t="s">
        <v>41</v>
      </c>
      <c r="M8706">
        <v>158.93</v>
      </c>
      <c r="N8706" s="4">
        <f t="shared" si="136"/>
        <v>-0.7442899389668407</v>
      </c>
      <c r="O8706" t="s">
        <v>51</v>
      </c>
      <c r="Q8706" s="24" t="s">
        <v>6298</v>
      </c>
    </row>
    <row r="8707" spans="1:17" x14ac:dyDescent="0.25">
      <c r="A8707" s="22">
        <v>45912</v>
      </c>
      <c r="B8707" s="1">
        <v>141</v>
      </c>
      <c r="C8707" t="s">
        <v>7212</v>
      </c>
      <c r="D8707" s="44">
        <v>-39432.5</v>
      </c>
      <c r="E8707" t="s">
        <v>35</v>
      </c>
      <c r="F8707" s="2">
        <v>840101001</v>
      </c>
      <c r="G8707" s="2" t="s">
        <v>5257</v>
      </c>
      <c r="I8707" s="95" t="s">
        <v>7231</v>
      </c>
      <c r="J8707" t="s">
        <v>61</v>
      </c>
      <c r="K8707" t="s">
        <v>62</v>
      </c>
      <c r="M8707">
        <v>158.93</v>
      </c>
      <c r="N8707" s="4">
        <f t="shared" si="136"/>
        <v>-248.11237651796387</v>
      </c>
      <c r="O8707" t="s">
        <v>51</v>
      </c>
    </row>
    <row r="8708" spans="1:17" x14ac:dyDescent="0.25">
      <c r="A8708" s="22">
        <v>45912</v>
      </c>
      <c r="B8708" s="1">
        <v>140</v>
      </c>
      <c r="C8708" t="s">
        <v>50</v>
      </c>
      <c r="D8708" s="44">
        <v>-118.29</v>
      </c>
      <c r="E8708" t="s">
        <v>35</v>
      </c>
      <c r="F8708" s="2">
        <v>610148001</v>
      </c>
      <c r="G8708" s="2" t="s">
        <v>41</v>
      </c>
      <c r="I8708" s="95" t="s">
        <v>7231</v>
      </c>
      <c r="J8708" t="s">
        <v>42</v>
      </c>
      <c r="K8708" t="s">
        <v>41</v>
      </c>
      <c r="M8708">
        <v>158.93</v>
      </c>
      <c r="N8708" s="4">
        <f t="shared" si="136"/>
        <v>-0.7442899389668407</v>
      </c>
      <c r="O8708" t="s">
        <v>51</v>
      </c>
      <c r="Q8708" s="24" t="s">
        <v>6298</v>
      </c>
    </row>
    <row r="8709" spans="1:17" x14ac:dyDescent="0.25">
      <c r="A8709" s="22">
        <v>45912</v>
      </c>
      <c r="B8709" s="1">
        <v>139</v>
      </c>
      <c r="C8709" t="s">
        <v>7213</v>
      </c>
      <c r="D8709" s="44">
        <v>-39432.5</v>
      </c>
      <c r="E8709" t="s">
        <v>35</v>
      </c>
      <c r="F8709" s="2">
        <v>840101001</v>
      </c>
      <c r="G8709" s="2" t="s">
        <v>5257</v>
      </c>
      <c r="I8709" s="95" t="s">
        <v>7231</v>
      </c>
      <c r="J8709" t="s">
        <v>61</v>
      </c>
      <c r="K8709" t="s">
        <v>62</v>
      </c>
      <c r="M8709">
        <v>158.93</v>
      </c>
      <c r="N8709" s="4">
        <f t="shared" si="136"/>
        <v>-248.11237651796387</v>
      </c>
      <c r="O8709" t="s">
        <v>51</v>
      </c>
    </row>
    <row r="8710" spans="1:17" x14ac:dyDescent="0.25">
      <c r="A8710" s="22">
        <v>45912</v>
      </c>
      <c r="B8710" s="1">
        <v>138</v>
      </c>
      <c r="C8710" t="s">
        <v>5590</v>
      </c>
      <c r="D8710" s="44">
        <v>80000</v>
      </c>
      <c r="E8710" t="s">
        <v>45</v>
      </c>
      <c r="F8710" s="2">
        <v>210115002</v>
      </c>
      <c r="G8710" s="2" t="s">
        <v>5259</v>
      </c>
      <c r="I8710" s="95" t="s">
        <v>7231</v>
      </c>
      <c r="K8710" t="s">
        <v>5590</v>
      </c>
      <c r="M8710">
        <v>158.93</v>
      </c>
      <c r="N8710" s="4">
        <f t="shared" si="136"/>
        <v>503.3662618762977</v>
      </c>
      <c r="O8710" t="s">
        <v>51</v>
      </c>
    </row>
    <row r="8711" spans="1:17" x14ac:dyDescent="0.25">
      <c r="A8711" s="22">
        <v>45930</v>
      </c>
      <c r="B8711" s="1">
        <v>149</v>
      </c>
      <c r="C8711" t="s">
        <v>68</v>
      </c>
      <c r="D8711" s="44">
        <v>-0.5</v>
      </c>
      <c r="E8711" t="s">
        <v>35</v>
      </c>
      <c r="F8711" s="2">
        <v>610148001</v>
      </c>
      <c r="G8711" s="2" t="s">
        <v>41</v>
      </c>
      <c r="I8711" s="95" t="s">
        <v>7231</v>
      </c>
      <c r="J8711" t="s">
        <v>42</v>
      </c>
      <c r="K8711" t="s">
        <v>41</v>
      </c>
      <c r="M8711">
        <v>177.61</v>
      </c>
      <c r="N8711" s="4">
        <f t="shared" si="136"/>
        <v>-2.8151568042339955E-3</v>
      </c>
      <c r="O8711" t="s">
        <v>51</v>
      </c>
      <c r="Q8711" s="24" t="s">
        <v>6298</v>
      </c>
    </row>
    <row r="8712" spans="1:17" x14ac:dyDescent="0.25">
      <c r="A8712" s="22">
        <v>45930</v>
      </c>
      <c r="B8712" s="1">
        <v>148</v>
      </c>
      <c r="C8712" t="s">
        <v>69</v>
      </c>
      <c r="D8712" s="44">
        <v>-0.5</v>
      </c>
      <c r="E8712" t="s">
        <v>35</v>
      </c>
      <c r="F8712" s="2">
        <v>610148001</v>
      </c>
      <c r="G8712" s="2" t="s">
        <v>41</v>
      </c>
      <c r="I8712" s="95" t="s">
        <v>7231</v>
      </c>
      <c r="J8712" t="s">
        <v>42</v>
      </c>
      <c r="K8712" t="s">
        <v>41</v>
      </c>
      <c r="M8712">
        <v>177.61</v>
      </c>
      <c r="N8712" s="4">
        <f t="shared" si="136"/>
        <v>-2.8151568042339955E-3</v>
      </c>
      <c r="O8712" t="s">
        <v>51</v>
      </c>
      <c r="Q8712" s="24" t="s">
        <v>6298</v>
      </c>
    </row>
    <row r="8713" spans="1:17" x14ac:dyDescent="0.25">
      <c r="A8713" s="22">
        <v>45930</v>
      </c>
      <c r="B8713" s="1">
        <v>147</v>
      </c>
      <c r="C8713" t="s">
        <v>50</v>
      </c>
      <c r="D8713" s="44">
        <v>-131.72999999999999</v>
      </c>
      <c r="E8713" t="s">
        <v>35</v>
      </c>
      <c r="F8713" s="2">
        <v>610148001</v>
      </c>
      <c r="G8713" s="2" t="s">
        <v>41</v>
      </c>
      <c r="I8713" s="95" t="s">
        <v>7231</v>
      </c>
      <c r="J8713" t="s">
        <v>42</v>
      </c>
      <c r="K8713" t="s">
        <v>41</v>
      </c>
      <c r="M8713">
        <v>177.61</v>
      </c>
      <c r="N8713" s="4">
        <f t="shared" si="136"/>
        <v>-0.74168121164348844</v>
      </c>
      <c r="O8713" t="s">
        <v>51</v>
      </c>
      <c r="Q8713" s="24" t="s">
        <v>6298</v>
      </c>
    </row>
    <row r="8714" spans="1:17" x14ac:dyDescent="0.25">
      <c r="A8714" s="22">
        <v>45930</v>
      </c>
      <c r="B8714" s="1">
        <v>146</v>
      </c>
      <c r="C8714" t="s">
        <v>7212</v>
      </c>
      <c r="D8714" s="44">
        <v>-43912.5</v>
      </c>
      <c r="E8714" t="s">
        <v>35</v>
      </c>
      <c r="F8714" s="2">
        <v>840101001</v>
      </c>
      <c r="G8714" s="2" t="s">
        <v>5257</v>
      </c>
      <c r="I8714" s="95" t="s">
        <v>7231</v>
      </c>
      <c r="J8714" t="s">
        <v>61</v>
      </c>
      <c r="K8714" t="s">
        <v>62</v>
      </c>
      <c r="M8714">
        <v>177.61</v>
      </c>
      <c r="N8714" s="4">
        <f t="shared" si="136"/>
        <v>-247.24114633185067</v>
      </c>
      <c r="O8714" t="s">
        <v>51</v>
      </c>
    </row>
    <row r="8715" spans="1:17" x14ac:dyDescent="0.25">
      <c r="A8715" s="22">
        <v>45930</v>
      </c>
      <c r="B8715" s="1">
        <v>145</v>
      </c>
      <c r="C8715" t="s">
        <v>50</v>
      </c>
      <c r="D8715" s="44">
        <v>-131.72999999999999</v>
      </c>
      <c r="E8715" t="s">
        <v>35</v>
      </c>
      <c r="F8715" s="2">
        <v>610148001</v>
      </c>
      <c r="G8715" s="2" t="s">
        <v>41</v>
      </c>
      <c r="I8715" s="95" t="s">
        <v>7231</v>
      </c>
      <c r="J8715" t="s">
        <v>42</v>
      </c>
      <c r="K8715" t="s">
        <v>41</v>
      </c>
      <c r="M8715">
        <v>177.61</v>
      </c>
      <c r="N8715" s="4">
        <f t="shared" si="136"/>
        <v>-0.74168121164348844</v>
      </c>
      <c r="O8715" t="s">
        <v>51</v>
      </c>
      <c r="Q8715" s="24" t="s">
        <v>6298</v>
      </c>
    </row>
    <row r="8716" spans="1:17" x14ac:dyDescent="0.25">
      <c r="A8716" s="22">
        <v>45930</v>
      </c>
      <c r="B8716" s="1">
        <v>144</v>
      </c>
      <c r="C8716" t="s">
        <v>7213</v>
      </c>
      <c r="D8716" s="44">
        <v>-43912.5</v>
      </c>
      <c r="E8716" t="s">
        <v>35</v>
      </c>
      <c r="F8716" s="2">
        <v>840101001</v>
      </c>
      <c r="G8716" s="2" t="s">
        <v>5257</v>
      </c>
      <c r="I8716" s="95" t="s">
        <v>7231</v>
      </c>
      <c r="J8716" t="s">
        <v>61</v>
      </c>
      <c r="K8716" t="s">
        <v>62</v>
      </c>
      <c r="M8716">
        <v>177.61</v>
      </c>
      <c r="N8716" s="4">
        <f t="shared" si="136"/>
        <v>-247.24114633185067</v>
      </c>
      <c r="O8716" t="s">
        <v>51</v>
      </c>
    </row>
    <row r="8717" spans="1:17" x14ac:dyDescent="0.25">
      <c r="A8717" s="22">
        <v>45930</v>
      </c>
      <c r="B8717" s="1">
        <v>143</v>
      </c>
      <c r="C8717" t="s">
        <v>82</v>
      </c>
      <c r="D8717" s="44">
        <v>90000</v>
      </c>
      <c r="E8717" t="s">
        <v>45</v>
      </c>
      <c r="F8717" s="2">
        <v>210115002</v>
      </c>
      <c r="G8717" s="2" t="s">
        <v>5259</v>
      </c>
      <c r="I8717" s="95" t="s">
        <v>7231</v>
      </c>
      <c r="K8717" t="s">
        <v>82</v>
      </c>
      <c r="M8717">
        <v>177.61</v>
      </c>
      <c r="N8717" s="4">
        <f t="shared" si="136"/>
        <v>506.72822476211923</v>
      </c>
      <c r="O8717" t="s">
        <v>51</v>
      </c>
    </row>
    <row r="8718" spans="1:17" x14ac:dyDescent="0.25">
      <c r="A8718" s="28"/>
      <c r="B8718" s="27"/>
      <c r="C8718" s="28"/>
      <c r="D8718" s="27"/>
      <c r="E8718" s="28"/>
      <c r="F8718" s="30"/>
      <c r="G8718" s="30"/>
      <c r="H8718" s="30"/>
      <c r="I8718" s="99"/>
      <c r="J8718" s="28"/>
      <c r="K8718" s="28"/>
      <c r="L8718" s="28"/>
      <c r="M8718" s="28"/>
    </row>
    <row r="8719" spans="1:17" x14ac:dyDescent="0.25">
      <c r="A8719" s="28"/>
      <c r="B8719" s="27"/>
      <c r="C8719" s="28"/>
      <c r="D8719" s="27"/>
      <c r="E8719" s="28"/>
      <c r="F8719" s="30"/>
      <c r="G8719" s="30"/>
      <c r="H8719" s="30"/>
      <c r="I8719" s="99"/>
      <c r="J8719" s="28"/>
      <c r="K8719" s="28"/>
      <c r="L8719" s="28"/>
      <c r="M8719" s="28"/>
    </row>
  </sheetData>
  <mergeCells count="1">
    <mergeCell ref="C8:G8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Hoja2!$B:$B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6"/>
  <sheetViews>
    <sheetView workbookViewId="0">
      <selection sqref="A1:XFD1048576"/>
    </sheetView>
  </sheetViews>
  <sheetFormatPr baseColWidth="10" defaultRowHeight="15" x14ac:dyDescent="0.25"/>
  <cols>
    <col min="1" max="1" width="11.7109375" bestFit="1" customWidth="1"/>
    <col min="2" max="2" width="38.28515625" bestFit="1" customWidth="1"/>
  </cols>
  <sheetData>
    <row r="1" spans="1:2" x14ac:dyDescent="0.25">
      <c r="A1" t="s">
        <v>7214</v>
      </c>
      <c r="B1" t="s">
        <v>7215</v>
      </c>
    </row>
    <row r="2" spans="1:2" x14ac:dyDescent="0.25">
      <c r="A2" t="s">
        <v>7219</v>
      </c>
      <c r="B2" t="s">
        <v>7221</v>
      </c>
    </row>
    <row r="3" spans="1:2" x14ac:dyDescent="0.25">
      <c r="A3" t="s">
        <v>7222</v>
      </c>
      <c r="B3" t="s">
        <v>7223</v>
      </c>
    </row>
    <row r="4" spans="1:2" x14ac:dyDescent="0.25">
      <c r="A4" t="s">
        <v>7224</v>
      </c>
      <c r="B4" t="s">
        <v>7225</v>
      </c>
    </row>
    <row r="5" spans="1:2" x14ac:dyDescent="0.25">
      <c r="A5" t="s">
        <v>7226</v>
      </c>
      <c r="B5" t="s">
        <v>7227</v>
      </c>
    </row>
    <row r="6" spans="1:2" x14ac:dyDescent="0.25">
      <c r="A6" t="s">
        <v>7228</v>
      </c>
      <c r="B6" t="s">
        <v>41</v>
      </c>
    </row>
    <row r="7" spans="1:2" x14ac:dyDescent="0.25">
      <c r="A7" t="s">
        <v>7229</v>
      </c>
      <c r="B7" t="s">
        <v>7230</v>
      </c>
    </row>
    <row r="8" spans="1:2" x14ac:dyDescent="0.25">
      <c r="A8" t="s">
        <v>7231</v>
      </c>
      <c r="B8" t="s">
        <v>2123</v>
      </c>
    </row>
    <row r="9" spans="1:2" x14ac:dyDescent="0.25">
      <c r="A9" t="s">
        <v>7232</v>
      </c>
      <c r="B9" t="s">
        <v>7233</v>
      </c>
    </row>
    <row r="10" spans="1:2" x14ac:dyDescent="0.25">
      <c r="A10" t="s">
        <v>7234</v>
      </c>
      <c r="B10" t="s">
        <v>7235</v>
      </c>
    </row>
    <row r="11" spans="1:2" x14ac:dyDescent="0.25">
      <c r="A11" t="s">
        <v>7236</v>
      </c>
      <c r="B11" t="s">
        <v>7237</v>
      </c>
    </row>
    <row r="12" spans="1:2" x14ac:dyDescent="0.25">
      <c r="A12" t="s">
        <v>7238</v>
      </c>
      <c r="B12" t="s">
        <v>7239</v>
      </c>
    </row>
    <row r="13" spans="1:2" x14ac:dyDescent="0.25">
      <c r="A13" t="s">
        <v>7240</v>
      </c>
      <c r="B13" t="s">
        <v>7241</v>
      </c>
    </row>
    <row r="14" spans="1:2" x14ac:dyDescent="0.25">
      <c r="A14" t="s">
        <v>7242</v>
      </c>
      <c r="B14" t="s">
        <v>7243</v>
      </c>
    </row>
    <row r="15" spans="1:2" x14ac:dyDescent="0.25">
      <c r="A15" t="s">
        <v>7244</v>
      </c>
      <c r="B15" t="s">
        <v>7245</v>
      </c>
    </row>
    <row r="16" spans="1:2" x14ac:dyDescent="0.25">
      <c r="A16" t="s">
        <v>7246</v>
      </c>
      <c r="B16" t="s">
        <v>7247</v>
      </c>
    </row>
    <row r="17" spans="1:2" x14ac:dyDescent="0.25">
      <c r="A17" t="s">
        <v>7248</v>
      </c>
      <c r="B17" t="s">
        <v>7249</v>
      </c>
    </row>
    <row r="18" spans="1:2" x14ac:dyDescent="0.25">
      <c r="A18" t="s">
        <v>7250</v>
      </c>
      <c r="B18" t="s">
        <v>7251</v>
      </c>
    </row>
    <row r="19" spans="1:2" x14ac:dyDescent="0.25">
      <c r="A19" t="s">
        <v>7252</v>
      </c>
      <c r="B19" t="s">
        <v>7253</v>
      </c>
    </row>
    <row r="20" spans="1:2" x14ac:dyDescent="0.25">
      <c r="A20" t="s">
        <v>7254</v>
      </c>
      <c r="B20" t="s">
        <v>1865</v>
      </c>
    </row>
    <row r="21" spans="1:2" x14ac:dyDescent="0.25">
      <c r="A21" t="s">
        <v>7255</v>
      </c>
      <c r="B21" t="s">
        <v>7256</v>
      </c>
    </row>
    <row r="22" spans="1:2" x14ac:dyDescent="0.25">
      <c r="A22" t="s">
        <v>7257</v>
      </c>
      <c r="B22" t="s">
        <v>7258</v>
      </c>
    </row>
    <row r="23" spans="1:2" x14ac:dyDescent="0.25">
      <c r="A23" t="s">
        <v>7259</v>
      </c>
      <c r="B23" t="s">
        <v>7260</v>
      </c>
    </row>
    <row r="24" spans="1:2" x14ac:dyDescent="0.25">
      <c r="A24" t="s">
        <v>7261</v>
      </c>
      <c r="B24" t="s">
        <v>7262</v>
      </c>
    </row>
    <row r="25" spans="1:2" x14ac:dyDescent="0.25">
      <c r="A25" t="s">
        <v>7263</v>
      </c>
      <c r="B25" t="s">
        <v>7264</v>
      </c>
    </row>
    <row r="26" spans="1:2" x14ac:dyDescent="0.25">
      <c r="A26" t="s">
        <v>7265</v>
      </c>
      <c r="B26" t="s">
        <v>7266</v>
      </c>
    </row>
    <row r="27" spans="1:2" x14ac:dyDescent="0.25">
      <c r="A27" t="s">
        <v>7267</v>
      </c>
      <c r="B27" t="s">
        <v>7268</v>
      </c>
    </row>
    <row r="28" spans="1:2" x14ac:dyDescent="0.25">
      <c r="A28" t="s">
        <v>7269</v>
      </c>
      <c r="B28" t="s">
        <v>7270</v>
      </c>
    </row>
    <row r="29" spans="1:2" x14ac:dyDescent="0.25">
      <c r="A29" t="s">
        <v>7271</v>
      </c>
      <c r="B29" t="s">
        <v>7272</v>
      </c>
    </row>
    <row r="30" spans="1:2" x14ac:dyDescent="0.25">
      <c r="A30" t="s">
        <v>7273</v>
      </c>
      <c r="B30" t="s">
        <v>7274</v>
      </c>
    </row>
    <row r="31" spans="1:2" x14ac:dyDescent="0.25">
      <c r="A31" t="s">
        <v>7275</v>
      </c>
      <c r="B31" t="s">
        <v>7276</v>
      </c>
    </row>
    <row r="32" spans="1:2" x14ac:dyDescent="0.25">
      <c r="A32" t="s">
        <v>7277</v>
      </c>
      <c r="B32" t="s">
        <v>7278</v>
      </c>
    </row>
    <row r="33" spans="1:2" x14ac:dyDescent="0.25">
      <c r="A33" t="s">
        <v>7279</v>
      </c>
      <c r="B33" t="s">
        <v>7280</v>
      </c>
    </row>
    <row r="34" spans="1:2" x14ac:dyDescent="0.25">
      <c r="A34" t="s">
        <v>7281</v>
      </c>
      <c r="B34" t="s">
        <v>7282</v>
      </c>
    </row>
    <row r="35" spans="1:2" x14ac:dyDescent="0.25">
      <c r="A35" t="s">
        <v>7283</v>
      </c>
      <c r="B35" t="s">
        <v>7284</v>
      </c>
    </row>
    <row r="36" spans="1:2" x14ac:dyDescent="0.25">
      <c r="A36" t="s">
        <v>7285</v>
      </c>
      <c r="B36" t="s">
        <v>7286</v>
      </c>
    </row>
    <row r="37" spans="1:2" x14ac:dyDescent="0.25">
      <c r="A37" t="s">
        <v>7287</v>
      </c>
      <c r="B37" t="s">
        <v>7288</v>
      </c>
    </row>
    <row r="38" spans="1:2" x14ac:dyDescent="0.25">
      <c r="A38" t="s">
        <v>7289</v>
      </c>
      <c r="B38" t="s">
        <v>7290</v>
      </c>
    </row>
    <row r="39" spans="1:2" x14ac:dyDescent="0.25">
      <c r="A39" t="s">
        <v>7291</v>
      </c>
      <c r="B39" t="s">
        <v>7292</v>
      </c>
    </row>
    <row r="40" spans="1:2" x14ac:dyDescent="0.25">
      <c r="A40" t="s">
        <v>7293</v>
      </c>
      <c r="B40" t="s">
        <v>2536</v>
      </c>
    </row>
    <row r="41" spans="1:2" x14ac:dyDescent="0.25">
      <c r="A41" t="s">
        <v>7294</v>
      </c>
      <c r="B41" t="s">
        <v>7295</v>
      </c>
    </row>
    <row r="42" spans="1:2" x14ac:dyDescent="0.25">
      <c r="A42" t="s">
        <v>7296</v>
      </c>
      <c r="B42" t="s">
        <v>7297</v>
      </c>
    </row>
    <row r="43" spans="1:2" x14ac:dyDescent="0.25">
      <c r="A43" t="s">
        <v>7298</v>
      </c>
      <c r="B43" t="s">
        <v>7220</v>
      </c>
    </row>
    <row r="44" spans="1:2" x14ac:dyDescent="0.25">
      <c r="A44" t="s">
        <v>7299</v>
      </c>
      <c r="B44" t="s">
        <v>7300</v>
      </c>
    </row>
    <row r="45" spans="1:2" x14ac:dyDescent="0.25">
      <c r="A45" t="s">
        <v>7301</v>
      </c>
      <c r="B45" t="s">
        <v>7302</v>
      </c>
    </row>
    <row r="46" spans="1:2" x14ac:dyDescent="0.25">
      <c r="A46" t="s">
        <v>7303</v>
      </c>
      <c r="B46" t="s">
        <v>7304</v>
      </c>
    </row>
    <row r="47" spans="1:2" x14ac:dyDescent="0.25">
      <c r="A47" t="s">
        <v>7305</v>
      </c>
      <c r="B47" t="s">
        <v>7306</v>
      </c>
    </row>
    <row r="48" spans="1:2" x14ac:dyDescent="0.25">
      <c r="A48" t="s">
        <v>7307</v>
      </c>
      <c r="B48" t="s">
        <v>7308</v>
      </c>
    </row>
    <row r="49" spans="1:2" x14ac:dyDescent="0.25">
      <c r="A49" t="s">
        <v>7309</v>
      </c>
      <c r="B49" t="s">
        <v>7310</v>
      </c>
    </row>
    <row r="50" spans="1:2" x14ac:dyDescent="0.25">
      <c r="A50" t="s">
        <v>7218</v>
      </c>
      <c r="B50" t="s">
        <v>7311</v>
      </c>
    </row>
    <row r="51" spans="1:2" x14ac:dyDescent="0.25">
      <c r="A51" t="s">
        <v>7312</v>
      </c>
      <c r="B51" t="s">
        <v>7313</v>
      </c>
    </row>
    <row r="52" spans="1:2" x14ac:dyDescent="0.25">
      <c r="A52" t="s">
        <v>7314</v>
      </c>
      <c r="B52" t="s">
        <v>7315</v>
      </c>
    </row>
    <row r="53" spans="1:2" x14ac:dyDescent="0.25">
      <c r="A53" t="s">
        <v>7316</v>
      </c>
      <c r="B53" t="s">
        <v>7317</v>
      </c>
    </row>
    <row r="54" spans="1:2" x14ac:dyDescent="0.25">
      <c r="A54" t="s">
        <v>7318</v>
      </c>
      <c r="B54" t="s">
        <v>7319</v>
      </c>
    </row>
    <row r="55" spans="1:2" x14ac:dyDescent="0.25">
      <c r="A55" t="s">
        <v>7320</v>
      </c>
      <c r="B55" t="s">
        <v>7321</v>
      </c>
    </row>
    <row r="56" spans="1:2" x14ac:dyDescent="0.25">
      <c r="A56" t="s">
        <v>7322</v>
      </c>
      <c r="B56" t="s">
        <v>7323</v>
      </c>
    </row>
    <row r="57" spans="1:2" x14ac:dyDescent="0.25">
      <c r="A57" t="s">
        <v>7324</v>
      </c>
      <c r="B57" t="s">
        <v>7325</v>
      </c>
    </row>
    <row r="58" spans="1:2" x14ac:dyDescent="0.25">
      <c r="A58" t="s">
        <v>7326</v>
      </c>
      <c r="B58" t="s">
        <v>7327</v>
      </c>
    </row>
    <row r="59" spans="1:2" x14ac:dyDescent="0.25">
      <c r="A59" t="s">
        <v>7328</v>
      </c>
      <c r="B59" t="s">
        <v>7329</v>
      </c>
    </row>
    <row r="60" spans="1:2" x14ac:dyDescent="0.25">
      <c r="A60" t="s">
        <v>7330</v>
      </c>
      <c r="B60" t="s">
        <v>7331</v>
      </c>
    </row>
    <row r="61" spans="1:2" x14ac:dyDescent="0.25">
      <c r="A61" t="s">
        <v>7332</v>
      </c>
      <c r="B61" t="s">
        <v>7333</v>
      </c>
    </row>
    <row r="62" spans="1:2" x14ac:dyDescent="0.25">
      <c r="A62" t="s">
        <v>7334</v>
      </c>
      <c r="B62" t="s">
        <v>7335</v>
      </c>
    </row>
    <row r="63" spans="1:2" x14ac:dyDescent="0.25">
      <c r="A63" t="s">
        <v>7336</v>
      </c>
      <c r="B63" t="s">
        <v>7337</v>
      </c>
    </row>
    <row r="64" spans="1:2" x14ac:dyDescent="0.25">
      <c r="A64" t="s">
        <v>7338</v>
      </c>
      <c r="B64" t="s">
        <v>7339</v>
      </c>
    </row>
    <row r="65" spans="1:2" x14ac:dyDescent="0.25">
      <c r="A65" t="s">
        <v>7340</v>
      </c>
      <c r="B65" t="s">
        <v>7341</v>
      </c>
    </row>
    <row r="66" spans="1:2" x14ac:dyDescent="0.25">
      <c r="A66" t="s">
        <v>7342</v>
      </c>
      <c r="B66" t="s">
        <v>7343</v>
      </c>
    </row>
    <row r="67" spans="1:2" x14ac:dyDescent="0.25">
      <c r="A67" t="s">
        <v>7344</v>
      </c>
      <c r="B67" t="s">
        <v>7345</v>
      </c>
    </row>
    <row r="68" spans="1:2" x14ac:dyDescent="0.25">
      <c r="A68" t="s">
        <v>7216</v>
      </c>
      <c r="B68" t="s">
        <v>7346</v>
      </c>
    </row>
    <row r="69" spans="1:2" x14ac:dyDescent="0.25">
      <c r="A69" t="s">
        <v>7347</v>
      </c>
      <c r="B69" t="s">
        <v>7348</v>
      </c>
    </row>
    <row r="70" spans="1:2" x14ac:dyDescent="0.25">
      <c r="A70" t="s">
        <v>7349</v>
      </c>
      <c r="B70" t="s">
        <v>7350</v>
      </c>
    </row>
    <row r="71" spans="1:2" x14ac:dyDescent="0.25">
      <c r="A71" t="s">
        <v>7351</v>
      </c>
      <c r="B71" t="s">
        <v>7352</v>
      </c>
    </row>
    <row r="72" spans="1:2" x14ac:dyDescent="0.25">
      <c r="A72" t="s">
        <v>7353</v>
      </c>
      <c r="B72" t="s">
        <v>7354</v>
      </c>
    </row>
    <row r="73" spans="1:2" x14ac:dyDescent="0.25">
      <c r="A73" t="s">
        <v>7355</v>
      </c>
      <c r="B73" t="s">
        <v>7356</v>
      </c>
    </row>
    <row r="74" spans="1:2" x14ac:dyDescent="0.25">
      <c r="A74" t="s">
        <v>7357</v>
      </c>
      <c r="B74" t="s">
        <v>7358</v>
      </c>
    </row>
    <row r="75" spans="1:2" x14ac:dyDescent="0.25">
      <c r="A75" t="s">
        <v>7359</v>
      </c>
      <c r="B75" t="s">
        <v>7360</v>
      </c>
    </row>
    <row r="76" spans="1:2" x14ac:dyDescent="0.25">
      <c r="A76" t="s">
        <v>7361</v>
      </c>
      <c r="B76" t="s">
        <v>7217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6"/>
  <sheetViews>
    <sheetView topLeftCell="A75" workbookViewId="0">
      <selection sqref="A1:XFD1048576"/>
    </sheetView>
  </sheetViews>
  <sheetFormatPr baseColWidth="10" defaultRowHeight="15" x14ac:dyDescent="0.25"/>
  <sheetData>
    <row r="1" spans="1:2" x14ac:dyDescent="0.25">
      <c r="A1" t="s">
        <v>7214</v>
      </c>
      <c r="B1" t="s">
        <v>7215</v>
      </c>
    </row>
    <row r="2" spans="1:2" x14ac:dyDescent="0.25">
      <c r="A2" t="s">
        <v>7219</v>
      </c>
      <c r="B2" t="s">
        <v>7221</v>
      </c>
    </row>
    <row r="3" spans="1:2" x14ac:dyDescent="0.25">
      <c r="A3" t="s">
        <v>7222</v>
      </c>
      <c r="B3" t="s">
        <v>7223</v>
      </c>
    </row>
    <row r="4" spans="1:2" x14ac:dyDescent="0.25">
      <c r="A4" t="s">
        <v>7224</v>
      </c>
      <c r="B4" t="s">
        <v>7225</v>
      </c>
    </row>
    <row r="5" spans="1:2" x14ac:dyDescent="0.25">
      <c r="A5" t="s">
        <v>7226</v>
      </c>
      <c r="B5" t="s">
        <v>7227</v>
      </c>
    </row>
    <row r="6" spans="1:2" x14ac:dyDescent="0.25">
      <c r="A6" t="s">
        <v>7228</v>
      </c>
      <c r="B6" t="s">
        <v>41</v>
      </c>
    </row>
    <row r="7" spans="1:2" x14ac:dyDescent="0.25">
      <c r="A7" t="s">
        <v>7229</v>
      </c>
      <c r="B7" t="s">
        <v>7230</v>
      </c>
    </row>
    <row r="8" spans="1:2" x14ac:dyDescent="0.25">
      <c r="A8" t="s">
        <v>7231</v>
      </c>
      <c r="B8" t="s">
        <v>2123</v>
      </c>
    </row>
    <row r="9" spans="1:2" x14ac:dyDescent="0.25">
      <c r="A9" t="s">
        <v>7232</v>
      </c>
      <c r="B9" t="s">
        <v>7233</v>
      </c>
    </row>
    <row r="10" spans="1:2" x14ac:dyDescent="0.25">
      <c r="A10" t="s">
        <v>7234</v>
      </c>
      <c r="B10" t="s">
        <v>7235</v>
      </c>
    </row>
    <row r="11" spans="1:2" x14ac:dyDescent="0.25">
      <c r="A11" t="s">
        <v>7236</v>
      </c>
      <c r="B11" t="s">
        <v>7237</v>
      </c>
    </row>
    <row r="12" spans="1:2" x14ac:dyDescent="0.25">
      <c r="A12" t="s">
        <v>7238</v>
      </c>
      <c r="B12" t="s">
        <v>7239</v>
      </c>
    </row>
    <row r="13" spans="1:2" x14ac:dyDescent="0.25">
      <c r="A13" t="s">
        <v>7240</v>
      </c>
      <c r="B13" t="s">
        <v>7241</v>
      </c>
    </row>
    <row r="14" spans="1:2" x14ac:dyDescent="0.25">
      <c r="A14" t="s">
        <v>7242</v>
      </c>
      <c r="B14" t="s">
        <v>7243</v>
      </c>
    </row>
    <row r="15" spans="1:2" x14ac:dyDescent="0.25">
      <c r="A15" t="s">
        <v>7244</v>
      </c>
      <c r="B15" t="s">
        <v>7245</v>
      </c>
    </row>
    <row r="16" spans="1:2" x14ac:dyDescent="0.25">
      <c r="A16" t="s">
        <v>7246</v>
      </c>
      <c r="B16" t="s">
        <v>7247</v>
      </c>
    </row>
    <row r="17" spans="1:2" x14ac:dyDescent="0.25">
      <c r="A17" t="s">
        <v>7248</v>
      </c>
      <c r="B17" t="s">
        <v>7249</v>
      </c>
    </row>
    <row r="18" spans="1:2" x14ac:dyDescent="0.25">
      <c r="A18" t="s">
        <v>7250</v>
      </c>
      <c r="B18" t="s">
        <v>7251</v>
      </c>
    </row>
    <row r="19" spans="1:2" x14ac:dyDescent="0.25">
      <c r="A19" t="s">
        <v>7252</v>
      </c>
      <c r="B19" t="s">
        <v>7253</v>
      </c>
    </row>
    <row r="20" spans="1:2" x14ac:dyDescent="0.25">
      <c r="A20" t="s">
        <v>7254</v>
      </c>
      <c r="B20" t="s">
        <v>1865</v>
      </c>
    </row>
    <row r="21" spans="1:2" x14ac:dyDescent="0.25">
      <c r="A21" t="s">
        <v>7255</v>
      </c>
      <c r="B21" t="s">
        <v>7256</v>
      </c>
    </row>
    <row r="22" spans="1:2" x14ac:dyDescent="0.25">
      <c r="A22" t="s">
        <v>7257</v>
      </c>
      <c r="B22" t="s">
        <v>7258</v>
      </c>
    </row>
    <row r="23" spans="1:2" x14ac:dyDescent="0.25">
      <c r="A23" t="s">
        <v>7259</v>
      </c>
      <c r="B23" t="s">
        <v>7260</v>
      </c>
    </row>
    <row r="24" spans="1:2" x14ac:dyDescent="0.25">
      <c r="A24" t="s">
        <v>7261</v>
      </c>
      <c r="B24" t="s">
        <v>7262</v>
      </c>
    </row>
    <row r="25" spans="1:2" x14ac:dyDescent="0.25">
      <c r="A25" t="s">
        <v>7263</v>
      </c>
      <c r="B25" t="s">
        <v>7264</v>
      </c>
    </row>
    <row r="26" spans="1:2" x14ac:dyDescent="0.25">
      <c r="A26" t="s">
        <v>7265</v>
      </c>
      <c r="B26" t="s">
        <v>7266</v>
      </c>
    </row>
    <row r="27" spans="1:2" x14ac:dyDescent="0.25">
      <c r="A27" t="s">
        <v>7267</v>
      </c>
      <c r="B27" t="s">
        <v>7268</v>
      </c>
    </row>
    <row r="28" spans="1:2" x14ac:dyDescent="0.25">
      <c r="A28" t="s">
        <v>7269</v>
      </c>
      <c r="B28" t="s">
        <v>7270</v>
      </c>
    </row>
    <row r="29" spans="1:2" x14ac:dyDescent="0.25">
      <c r="A29" t="s">
        <v>7271</v>
      </c>
      <c r="B29" t="s">
        <v>7272</v>
      </c>
    </row>
    <row r="30" spans="1:2" x14ac:dyDescent="0.25">
      <c r="A30" t="s">
        <v>7273</v>
      </c>
      <c r="B30" t="s">
        <v>7274</v>
      </c>
    </row>
    <row r="31" spans="1:2" x14ac:dyDescent="0.25">
      <c r="A31" t="s">
        <v>7275</v>
      </c>
      <c r="B31" t="s">
        <v>7276</v>
      </c>
    </row>
    <row r="32" spans="1:2" x14ac:dyDescent="0.25">
      <c r="A32" t="s">
        <v>7277</v>
      </c>
      <c r="B32" t="s">
        <v>7278</v>
      </c>
    </row>
    <row r="33" spans="1:2" x14ac:dyDescent="0.25">
      <c r="A33" t="s">
        <v>7279</v>
      </c>
      <c r="B33" t="s">
        <v>7280</v>
      </c>
    </row>
    <row r="34" spans="1:2" x14ac:dyDescent="0.25">
      <c r="A34" t="s">
        <v>7281</v>
      </c>
      <c r="B34" t="s">
        <v>7282</v>
      </c>
    </row>
    <row r="35" spans="1:2" x14ac:dyDescent="0.25">
      <c r="A35" t="s">
        <v>7283</v>
      </c>
      <c r="B35" t="s">
        <v>7284</v>
      </c>
    </row>
    <row r="36" spans="1:2" x14ac:dyDescent="0.25">
      <c r="A36" t="s">
        <v>7285</v>
      </c>
      <c r="B36" t="s">
        <v>7286</v>
      </c>
    </row>
    <row r="37" spans="1:2" x14ac:dyDescent="0.25">
      <c r="A37" t="s">
        <v>7287</v>
      </c>
      <c r="B37" t="s">
        <v>7288</v>
      </c>
    </row>
    <row r="38" spans="1:2" x14ac:dyDescent="0.25">
      <c r="A38" t="s">
        <v>7289</v>
      </c>
      <c r="B38" t="s">
        <v>7290</v>
      </c>
    </row>
    <row r="39" spans="1:2" x14ac:dyDescent="0.25">
      <c r="A39" t="s">
        <v>7291</v>
      </c>
      <c r="B39" t="s">
        <v>7292</v>
      </c>
    </row>
    <row r="40" spans="1:2" x14ac:dyDescent="0.25">
      <c r="A40" t="s">
        <v>7293</v>
      </c>
      <c r="B40" t="s">
        <v>2536</v>
      </c>
    </row>
    <row r="41" spans="1:2" x14ac:dyDescent="0.25">
      <c r="A41" t="s">
        <v>7294</v>
      </c>
      <c r="B41" t="s">
        <v>7295</v>
      </c>
    </row>
    <row r="42" spans="1:2" x14ac:dyDescent="0.25">
      <c r="A42" t="s">
        <v>7296</v>
      </c>
      <c r="B42" t="s">
        <v>7297</v>
      </c>
    </row>
    <row r="43" spans="1:2" x14ac:dyDescent="0.25">
      <c r="A43" t="s">
        <v>7298</v>
      </c>
      <c r="B43" t="s">
        <v>7220</v>
      </c>
    </row>
    <row r="44" spans="1:2" x14ac:dyDescent="0.25">
      <c r="A44" t="s">
        <v>7299</v>
      </c>
      <c r="B44" t="s">
        <v>7300</v>
      </c>
    </row>
    <row r="45" spans="1:2" x14ac:dyDescent="0.25">
      <c r="A45" t="s">
        <v>7301</v>
      </c>
      <c r="B45" t="s">
        <v>7302</v>
      </c>
    </row>
    <row r="46" spans="1:2" x14ac:dyDescent="0.25">
      <c r="A46" t="s">
        <v>7303</v>
      </c>
      <c r="B46" t="s">
        <v>7304</v>
      </c>
    </row>
    <row r="47" spans="1:2" x14ac:dyDescent="0.25">
      <c r="A47" t="s">
        <v>7305</v>
      </c>
      <c r="B47" t="s">
        <v>7306</v>
      </c>
    </row>
    <row r="48" spans="1:2" x14ac:dyDescent="0.25">
      <c r="A48" t="s">
        <v>7307</v>
      </c>
      <c r="B48" t="s">
        <v>7308</v>
      </c>
    </row>
    <row r="49" spans="1:2" x14ac:dyDescent="0.25">
      <c r="A49" t="s">
        <v>7309</v>
      </c>
      <c r="B49" t="s">
        <v>7310</v>
      </c>
    </row>
    <row r="50" spans="1:2" x14ac:dyDescent="0.25">
      <c r="A50" t="s">
        <v>7218</v>
      </c>
      <c r="B50" t="s">
        <v>7311</v>
      </c>
    </row>
    <row r="51" spans="1:2" x14ac:dyDescent="0.25">
      <c r="A51" t="s">
        <v>7312</v>
      </c>
      <c r="B51" t="s">
        <v>7313</v>
      </c>
    </row>
    <row r="52" spans="1:2" x14ac:dyDescent="0.25">
      <c r="A52" t="s">
        <v>7314</v>
      </c>
      <c r="B52" t="s">
        <v>7315</v>
      </c>
    </row>
    <row r="53" spans="1:2" x14ac:dyDescent="0.25">
      <c r="A53" t="s">
        <v>7316</v>
      </c>
      <c r="B53" t="s">
        <v>7317</v>
      </c>
    </row>
    <row r="54" spans="1:2" x14ac:dyDescent="0.25">
      <c r="A54" t="s">
        <v>7318</v>
      </c>
      <c r="B54" t="s">
        <v>7319</v>
      </c>
    </row>
    <row r="55" spans="1:2" x14ac:dyDescent="0.25">
      <c r="A55" t="s">
        <v>7320</v>
      </c>
      <c r="B55" t="s">
        <v>7321</v>
      </c>
    </row>
    <row r="56" spans="1:2" x14ac:dyDescent="0.25">
      <c r="A56" t="s">
        <v>7322</v>
      </c>
      <c r="B56" t="s">
        <v>7323</v>
      </c>
    </row>
    <row r="57" spans="1:2" x14ac:dyDescent="0.25">
      <c r="A57" t="s">
        <v>7324</v>
      </c>
      <c r="B57" t="s">
        <v>7325</v>
      </c>
    </row>
    <row r="58" spans="1:2" x14ac:dyDescent="0.25">
      <c r="A58" t="s">
        <v>7326</v>
      </c>
      <c r="B58" t="s">
        <v>7327</v>
      </c>
    </row>
    <row r="59" spans="1:2" x14ac:dyDescent="0.25">
      <c r="A59" t="s">
        <v>7328</v>
      </c>
      <c r="B59" t="s">
        <v>7329</v>
      </c>
    </row>
    <row r="60" spans="1:2" x14ac:dyDescent="0.25">
      <c r="A60" t="s">
        <v>7330</v>
      </c>
      <c r="B60" t="s">
        <v>7331</v>
      </c>
    </row>
    <row r="61" spans="1:2" x14ac:dyDescent="0.25">
      <c r="A61" t="s">
        <v>7332</v>
      </c>
      <c r="B61" t="s">
        <v>7333</v>
      </c>
    </row>
    <row r="62" spans="1:2" x14ac:dyDescent="0.25">
      <c r="A62" t="s">
        <v>7334</v>
      </c>
      <c r="B62" t="s">
        <v>7335</v>
      </c>
    </row>
    <row r="63" spans="1:2" x14ac:dyDescent="0.25">
      <c r="A63" t="s">
        <v>7336</v>
      </c>
      <c r="B63" t="s">
        <v>7337</v>
      </c>
    </row>
    <row r="64" spans="1:2" x14ac:dyDescent="0.25">
      <c r="A64" t="s">
        <v>7338</v>
      </c>
      <c r="B64" t="s">
        <v>7339</v>
      </c>
    </row>
    <row r="65" spans="1:2" x14ac:dyDescent="0.25">
      <c r="A65" t="s">
        <v>7340</v>
      </c>
      <c r="B65" t="s">
        <v>7341</v>
      </c>
    </row>
    <row r="66" spans="1:2" x14ac:dyDescent="0.25">
      <c r="A66" t="s">
        <v>7342</v>
      </c>
      <c r="B66" t="s">
        <v>7343</v>
      </c>
    </row>
    <row r="67" spans="1:2" x14ac:dyDescent="0.25">
      <c r="A67" t="s">
        <v>7344</v>
      </c>
      <c r="B67" t="s">
        <v>7345</v>
      </c>
    </row>
    <row r="68" spans="1:2" x14ac:dyDescent="0.25">
      <c r="A68" t="s">
        <v>7216</v>
      </c>
      <c r="B68" t="s">
        <v>7346</v>
      </c>
    </row>
    <row r="69" spans="1:2" x14ac:dyDescent="0.25">
      <c r="A69" t="s">
        <v>7347</v>
      </c>
      <c r="B69" t="s">
        <v>7348</v>
      </c>
    </row>
    <row r="70" spans="1:2" x14ac:dyDescent="0.25">
      <c r="A70" t="s">
        <v>7349</v>
      </c>
      <c r="B70" t="s">
        <v>7350</v>
      </c>
    </row>
    <row r="71" spans="1:2" x14ac:dyDescent="0.25">
      <c r="A71" t="s">
        <v>7351</v>
      </c>
      <c r="B71" t="s">
        <v>7352</v>
      </c>
    </row>
    <row r="72" spans="1:2" x14ac:dyDescent="0.25">
      <c r="A72" t="s">
        <v>7353</v>
      </c>
      <c r="B72" t="s">
        <v>7354</v>
      </c>
    </row>
    <row r="73" spans="1:2" x14ac:dyDescent="0.25">
      <c r="A73" t="s">
        <v>7355</v>
      </c>
      <c r="B73" t="s">
        <v>7356</v>
      </c>
    </row>
    <row r="74" spans="1:2" x14ac:dyDescent="0.25">
      <c r="A74" t="s">
        <v>7357</v>
      </c>
      <c r="B74" t="s">
        <v>7358</v>
      </c>
    </row>
    <row r="75" spans="1:2" x14ac:dyDescent="0.25">
      <c r="A75" t="s">
        <v>7359</v>
      </c>
      <c r="B75" t="s">
        <v>7360</v>
      </c>
    </row>
    <row r="76" spans="1:2" x14ac:dyDescent="0.25">
      <c r="A76" t="s">
        <v>7361</v>
      </c>
      <c r="B76" t="s">
        <v>7217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AD71C2-CBCE-4865-8528-1AFACE54DE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SAPROV (2)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hanley borge</dc:creator>
  <cp:lastModifiedBy>Sidney Borge</cp:lastModifiedBy>
  <dcterms:created xsi:type="dcterms:W3CDTF">2025-12-13T13:57:11Z</dcterms:created>
  <dcterms:modified xsi:type="dcterms:W3CDTF">2026-01-08T12:19:08Z</dcterms:modified>
</cp:coreProperties>
</file>